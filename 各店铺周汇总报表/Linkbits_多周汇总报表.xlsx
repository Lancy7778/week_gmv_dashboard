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KU全周期汇总" sheetId="2" state="visible" r:id="rId2"/>
    <sheet name="SKU周度明细" sheetId="3" state="visible" r:id="rId3"/>
    <sheet name="GMV明细" sheetId="4" state="visible" r:id="rId4"/>
    <sheet name="GMV公式说明" sheetId="5" state="visible" r:id="rId5"/>
  </sheets>
  <definedNames/>
  <calcPr calcId="124519" calcMode="auto"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4"/>
    </font>
    <font>
      <b val="1"/>
      <color rgb="00FFFFFF"/>
    </font>
    <font>
      <b val="1"/>
    </font>
  </fonts>
  <fills count="4">
    <fill>
      <patternFill/>
    </fill>
    <fill>
      <patternFill patternType="gray125"/>
    </fill>
    <fill>
      <patternFill patternType="solid">
        <fgColor rgb="000F766E"/>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xf>
    <xf numFmtId="4" fontId="0" fillId="0" borderId="0" pivotButton="0" quotePrefix="0" xfId="0"/>
    <xf numFmtId="3" fontId="0" fillId="0" borderId="0" pivotButton="0" quotePrefix="0" xfId="0"/>
    <xf numFmtId="0" fontId="2" fillId="3" borderId="1" applyAlignment="1" pivotButton="0" quotePrefix="0" xfId="0">
      <alignment horizontal="center" vertical="center" wrapText="1"/>
    </xf>
    <xf numFmtId="4" fontId="2" fillId="3" borderId="1" applyAlignment="1" pivotButton="0" quotePrefix="0" xfId="0">
      <alignment horizontal="center" vertical="center" wrapText="1"/>
    </xf>
    <xf numFmtId="0" fontId="0" fillId="0" borderId="1" applyAlignment="1" pivotButton="0" quotePrefix="0" xfId="0">
      <alignment/>
    </xf>
    <xf numFmtId="3" fontId="0" fillId="0" borderId="1" applyAlignment="1" pivotButton="0" quotePrefix="0" xfId="0">
      <alignment/>
    </xf>
    <xf numFmtId="0" fontId="0" fillId="0" borderId="1" applyAlignment="1" pivotButton="0" quotePrefix="0" xfId="0">
      <alignment vertical="top"/>
    </xf>
    <xf numFmtId="4" fontId="0" fillId="0" borderId="1" applyAlignment="1" pivotButton="0" quotePrefix="0" xfId="0">
      <alignment vertical="top"/>
    </xf>
    <xf numFmtId="4" fontId="0" fillId="0" borderId="1" applyAlignment="1" pivotButton="0" quotePrefix="0" xfId="0">
      <alignment/>
    </xf>
    <xf numFmtId="164" fontId="0" fillId="0" borderId="1" applyAlignment="1" pivotButton="0" quotePrefix="0" xfId="0">
      <alignment/>
    </xf>
    <xf numFmtId="0" fontId="3" fillId="0" borderId="1" applyAlignment="1" pivotButton="0" quotePrefix="0" xfId="0">
      <alignment vertical="top"/>
    </xf>
    <xf numFmtId="0" fontId="0" fillId="0" borderId="1" applyAlignment="1" pivotButton="0" quotePrefix="0" xfId="0">
      <alignment vertical="center"/>
    </xf>
    <xf numFmtId="164" fontId="0" fillId="0" borderId="1" applyAlignment="1" pivotButton="0" quotePrefix="0" xfId="0">
      <alignment vertical="top"/>
    </xf>
    <xf numFmtId="0" fontId="0" fillId="0" borderId="1" applyAlignment="1" pivotButton="0" quotePrefix="0" xfId="0">
      <alignment vertical="top" wrapText="1"/>
    </xf>
    <xf numFmtId="4"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Top SKU GMV贡献</a:t>
            </a:r>
          </a:p>
        </rich>
      </tx>
    </title>
    <plotArea>
      <barChart>
        <barDir val="bar"/>
        <grouping val="clustered"/>
        <ser>
          <idx val="0"/>
          <order val="0"/>
          <tx>
            <strRef>
              <f>'Dashboard'!B18</f>
            </strRef>
          </tx>
          <spPr>
            <a:ln>
              <a:prstDash val="solid"/>
            </a:ln>
          </spPr>
          <cat>
            <numRef>
              <f>'Dashboard'!$A$19:$A$38</f>
            </numRef>
          </cat>
          <val>
            <numRef>
              <f>'Dashboard'!$B$19:$B$38</f>
            </numRef>
          </val>
        </ser>
        <gapWidth val="150"/>
        <axId val="10"/>
        <axId val="100"/>
      </barChart>
      <catAx>
        <axId val="10"/>
        <scaling>
          <orientation val="minMax"/>
        </scaling>
        <axPos val="l"/>
        <title>
          <tx>
            <rich>
              <a:bodyPr/>
              <a:p>
                <a:pPr>
                  <a:defRPr/>
                </a:pPr>
                <a:r>
                  <a:t>GMV</a:t>
                </a:r>
              </a:p>
            </rich>
          </tx>
        </title>
        <majorTickMark val="none"/>
        <minorTickMark val="none"/>
        <crossAx val="100"/>
        <lblOffset val="100"/>
      </catAx>
      <valAx>
        <axId val="100"/>
        <scaling>
          <orientation val="minMax"/>
        </scaling>
        <axPos val="l"/>
        <majorGridlines/>
        <title>
          <tx>
            <rich>
              <a:bodyPr/>
              <a:p>
                <a:pPr>
                  <a:defRPr/>
                </a:pPr>
                <a:r>
                  <a:t>SKU</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Linkbits 周度GMV&amp;销量联动分析</a:t>
            </a:r>
          </a:p>
        </rich>
      </tx>
    </title>
    <plotArea>
      <barChart>
        <barDir val="col"/>
        <grouping val="clustered"/>
        <ser>
          <idx val="0"/>
          <order val="0"/>
          <tx>
            <strRef>
              <f>'Dashboard'!W1</f>
            </strRef>
          </tx>
          <spPr>
            <a:solidFill>
              <a:srgbClr val="2F5597"/>
            </a:solidFill>
            <a:ln>
              <a:prstDash val="solid"/>
            </a:ln>
          </spPr>
          <dLbls>
            <dLblPos val="inEnd"/>
            <showVal val="1"/>
          </dLbls>
          <cat>
            <numRef>
              <f>'Dashboard'!$U$2:$U$6</f>
            </numRef>
          </cat>
          <val>
            <numRef>
              <f>'Dashboard'!$W$2:$W$6</f>
            </numRef>
          </val>
        </ser>
        <gapWidth val="150"/>
        <axId val="10"/>
        <axId val="100"/>
      </barChart>
      <lineChart>
        <grouping val="standard"/>
        <ser>
          <idx val="1"/>
          <order val="1"/>
          <tx>
            <strRef>
              <f>'Dashboard'!V1</f>
            </strRef>
          </tx>
          <spPr>
            <a:ln w="30000">
              <a:solidFill>
                <a:srgbClr val="00B050"/>
              </a:solidFill>
              <a:prstDash val="solid"/>
            </a:ln>
          </spPr>
          <marker>
            <symbol val="circle"/>
            <spPr>
              <a:solidFill>
                <a:srgbClr val="00B050"/>
              </a:solidFill>
              <a:ln>
                <a:prstDash val="solid"/>
              </a:ln>
            </spPr>
          </marker>
          <dLbls>
            <dLblPos val="r"/>
            <showVal val="1"/>
            <showLeaderLines val="1"/>
          </dLbls>
          <val>
            <numRef>
              <f>'Dashboard'!$V$2:$V$6</f>
            </numRef>
          </val>
          <smooth val="1"/>
        </ser>
        <axId val="10"/>
        <axId val="200"/>
      </lineChart>
      <catAx>
        <axId val="10"/>
        <scaling>
          <orientation val="minMax"/>
        </scaling>
        <axPos val="l"/>
        <title>
          <tx>
            <rich>
              <a:bodyPr/>
              <a:p>
                <a:pPr>
                  <a:defRPr/>
                </a:pPr>
                <a:r>
                  <a:t>统计周期</a:t>
                </a:r>
              </a:p>
            </rich>
          </tx>
        </title>
        <majorTickMark val="none"/>
        <minorTickMark val="none"/>
        <crossAx val="100"/>
        <lblOffset val="100"/>
      </catAx>
      <valAx>
        <axId val="100"/>
        <scaling>
          <orientation val="minMax"/>
        </scaling>
        <axPos val="l"/>
        <title>
          <tx>
            <rich>
              <a:bodyPr/>
              <a:p>
                <a:pPr>
                  <a:defRPr/>
                </a:pPr>
                <a:r>
                  <a:t>销量(件)</a:t>
                </a:r>
              </a:p>
            </rich>
          </tx>
        </title>
        <majorTickMark val="none"/>
        <minorTickMark val="none"/>
        <crossAx val="10"/>
      </valAx>
      <valAx>
        <axId val="200"/>
        <scaling>
          <orientation val="minMax"/>
        </scaling>
        <axPos val="l"/>
        <title>
          <tx>
            <rich>
              <a:bodyPr/>
              <a:p>
                <a:pPr>
                  <a:defRPr/>
                </a:pPr>
                <a:r>
                  <a:t>GMV总额(MX$)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17</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9</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W38"/>
  <sheetViews>
    <sheetView showGridLines="1" workbookViewId="0">
      <selection activeCell="A1" sqref="A1"/>
    </sheetView>
  </sheetViews>
  <sheetFormatPr baseColWidth="8" defaultRowHeight="15"/>
  <cols>
    <col width="16" customWidth="1" min="1" max="1"/>
    <col width="18" customWidth="1" min="2" max="2"/>
    <col width="13" customWidth="1" min="3" max="3"/>
    <col width="14"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3" customWidth="1" min="14" max="14"/>
    <col width="13" customWidth="1" min="15" max="15"/>
  </cols>
  <sheetData>
    <row r="1" ht="21" customHeight="1">
      <c r="A1" s="1" t="inlineStr">
        <is>
          <t>Linkbits 5.1-6.4 GMV &amp; SKU贡献分析</t>
        </is>
      </c>
      <c r="B1" s="2" t="n"/>
      <c r="C1" s="2" t="n"/>
      <c r="D1" s="2" t="n"/>
      <c r="E1" s="2" t="n"/>
      <c r="F1" s="2" t="n"/>
      <c r="G1" s="2" t="n"/>
      <c r="H1" s="2" t="n"/>
      <c r="I1" s="2" t="n"/>
      <c r="J1" s="2" t="n"/>
      <c r="K1" s="2" t="n"/>
      <c r="L1" s="2" t="n"/>
      <c r="M1" s="2" t="n"/>
      <c r="N1" s="2" t="n"/>
      <c r="O1" s="2" t="n"/>
      <c r="U1" t="inlineStr">
        <is>
          <t>统计周期</t>
        </is>
      </c>
      <c r="V1" t="inlineStr">
        <is>
          <t>GMV</t>
        </is>
      </c>
      <c r="W1" t="inlineStr">
        <is>
          <t>销量</t>
        </is>
      </c>
    </row>
    <row r="2">
      <c r="A2" s="2" t="n"/>
      <c r="B2" s="2" t="n"/>
      <c r="C2" s="2" t="n"/>
      <c r="D2" s="2" t="n"/>
      <c r="E2" s="2" t="n"/>
      <c r="F2" s="2" t="n"/>
      <c r="G2" s="2" t="n"/>
      <c r="H2" s="2" t="n"/>
      <c r="I2" s="2" t="n"/>
      <c r="J2" s="2" t="n"/>
      <c r="K2" s="2" t="n"/>
      <c r="L2" s="2" t="n"/>
      <c r="M2" s="2" t="n"/>
      <c r="N2" s="2" t="n"/>
      <c r="O2" s="2" t="n"/>
      <c r="U2" t="inlineStr">
        <is>
          <t>5.1-5.7</t>
        </is>
      </c>
      <c r="V2" s="3" t="n">
        <v>98038.82000000001</v>
      </c>
      <c r="W2" s="4" t="n">
        <v>1181</v>
      </c>
    </row>
    <row r="3">
      <c r="A3" s="5" t="inlineStr">
        <is>
          <t>全周期GMV</t>
        </is>
      </c>
      <c r="B3" s="6" t="n">
        <v>457126.48</v>
      </c>
      <c r="C3" s="2" t="n"/>
      <c r="D3" s="5" t="inlineStr">
        <is>
          <t>周期</t>
        </is>
      </c>
      <c r="E3" s="6" t="inlineStr">
        <is>
          <t>GMV</t>
        </is>
      </c>
      <c r="F3" s="5" t="inlineStr">
        <is>
          <t>订单行数</t>
        </is>
      </c>
      <c r="G3" s="5" t="inlineStr">
        <is>
          <t>订单数</t>
        </is>
      </c>
      <c r="H3" s="5" t="inlineStr">
        <is>
          <t>销量</t>
        </is>
      </c>
      <c r="I3" s="6" t="inlineStr">
        <is>
          <t>Base金额</t>
        </is>
      </c>
      <c r="J3" s="6" t="inlineStr">
        <is>
          <t>Shipping金额</t>
        </is>
      </c>
      <c r="K3" s="6" t="inlineStr">
        <is>
          <t>返还VAT</t>
        </is>
      </c>
      <c r="L3" s="6" t="inlineStr">
        <is>
          <t>ISR预扣</t>
        </is>
      </c>
      <c r="M3" s="6" t="inlineStr">
        <is>
          <t>退款</t>
        </is>
      </c>
      <c r="N3" s="6" t="inlineStr">
        <is>
          <t>客单价</t>
        </is>
      </c>
      <c r="O3" s="6" t="inlineStr">
        <is>
          <t>件单价</t>
        </is>
      </c>
      <c r="U3" t="inlineStr">
        <is>
          <t>5.8-5.14</t>
        </is>
      </c>
      <c r="V3" s="3" t="n">
        <v>110661.95</v>
      </c>
      <c r="W3" s="4" t="n">
        <v>1586</v>
      </c>
    </row>
    <row r="4">
      <c r="A4" s="7" t="inlineStr">
        <is>
          <t>订单数</t>
        </is>
      </c>
      <c r="B4" s="8" t="n">
        <v>4916</v>
      </c>
      <c r="C4" s="2" t="n"/>
      <c r="D4" s="9" t="inlineStr">
        <is>
          <t>5.1-5.7</t>
        </is>
      </c>
      <c r="E4" s="10" t="n">
        <v>98038.82000000001</v>
      </c>
      <c r="F4" s="9" t="n">
        <v>971</v>
      </c>
      <c r="G4" s="9" t="n">
        <v>885</v>
      </c>
      <c r="H4" s="9" t="n">
        <v>1181</v>
      </c>
      <c r="I4" s="10" t="n">
        <v>107520.96</v>
      </c>
      <c r="J4" s="10" t="n">
        <v>18010.22</v>
      </c>
      <c r="K4" s="10" t="n">
        <v>10745.05</v>
      </c>
      <c r="L4" s="10" t="n">
        <v>-3357.83</v>
      </c>
      <c r="M4" s="10" t="n">
        <v>3807.58</v>
      </c>
      <c r="N4" s="10" t="n">
        <v>110.78</v>
      </c>
      <c r="O4" s="10" t="n">
        <v>83.01000000000001</v>
      </c>
      <c r="U4" t="inlineStr">
        <is>
          <t>5.15-5.21</t>
        </is>
      </c>
      <c r="V4" s="3" t="n">
        <v>94118.5</v>
      </c>
      <c r="W4" s="4" t="n">
        <v>1542</v>
      </c>
    </row>
    <row r="5">
      <c r="A5" s="7" t="inlineStr">
        <is>
          <t>销量</t>
        </is>
      </c>
      <c r="B5" s="8" t="n">
        <v>7193</v>
      </c>
      <c r="C5" s="2" t="n"/>
      <c r="D5" s="9" t="inlineStr">
        <is>
          <t>5.8-5.14</t>
        </is>
      </c>
      <c r="E5" s="10" t="n">
        <v>110661.95</v>
      </c>
      <c r="F5" s="9" t="n">
        <v>1096</v>
      </c>
      <c r="G5" s="9" t="n">
        <v>1022</v>
      </c>
      <c r="H5" s="9" t="n">
        <v>1586</v>
      </c>
      <c r="I5" s="10" t="n">
        <v>115422.63</v>
      </c>
      <c r="J5" s="10" t="n">
        <v>22782.66</v>
      </c>
      <c r="K5" s="10" t="n">
        <v>11268.01</v>
      </c>
      <c r="L5" s="10" t="n">
        <v>-3521.25</v>
      </c>
      <c r="M5" s="10" t="n">
        <v>218.09</v>
      </c>
      <c r="N5" s="10" t="n">
        <v>108.28</v>
      </c>
      <c r="O5" s="10" t="n">
        <v>69.77</v>
      </c>
      <c r="U5" t="inlineStr">
        <is>
          <t>5.22-5.28</t>
        </is>
      </c>
      <c r="V5" s="3" t="n">
        <v>71695.50999999999</v>
      </c>
      <c r="W5" s="4" t="n">
        <v>1357</v>
      </c>
    </row>
    <row r="6">
      <c r="A6" s="7" t="inlineStr">
        <is>
          <t>客单价</t>
        </is>
      </c>
      <c r="B6" s="11" t="n">
        <v>92.98999999999999</v>
      </c>
      <c r="C6" s="2" t="n"/>
      <c r="D6" s="9" t="inlineStr">
        <is>
          <t>5.15-5.21</t>
        </is>
      </c>
      <c r="E6" s="10" t="n">
        <v>94118.5</v>
      </c>
      <c r="F6" s="9" t="n">
        <v>1098</v>
      </c>
      <c r="G6" s="9" t="n">
        <v>992</v>
      </c>
      <c r="H6" s="9" t="n">
        <v>1542</v>
      </c>
      <c r="I6" s="10" t="n">
        <v>99591.23</v>
      </c>
      <c r="J6" s="10" t="n">
        <v>22860.37</v>
      </c>
      <c r="K6" s="10" t="n">
        <v>10392.79</v>
      </c>
      <c r="L6" s="10" t="n">
        <v>-3247.75</v>
      </c>
      <c r="M6" s="10" t="n">
        <v>342.14</v>
      </c>
      <c r="N6" s="10" t="n">
        <v>94.88</v>
      </c>
      <c r="O6" s="10" t="n">
        <v>61.04</v>
      </c>
      <c r="U6" t="inlineStr">
        <is>
          <t>5.29-6.4</t>
        </is>
      </c>
      <c r="V6" s="3" t="n">
        <v>82611.69</v>
      </c>
      <c r="W6" s="4" t="n">
        <v>1527</v>
      </c>
    </row>
    <row r="7">
      <c r="A7" s="7" t="inlineStr">
        <is>
          <t>件单价</t>
        </is>
      </c>
      <c r="B7" s="11" t="n">
        <v>63.55</v>
      </c>
      <c r="C7" s="2" t="n"/>
      <c r="D7" s="9" t="inlineStr">
        <is>
          <t>5.22-5.28</t>
        </is>
      </c>
      <c r="E7" s="10" t="n">
        <v>71695.50999999999</v>
      </c>
      <c r="F7" s="9" t="n">
        <v>1060</v>
      </c>
      <c r="G7" s="9" t="n">
        <v>915</v>
      </c>
      <c r="H7" s="9" t="n">
        <v>1357</v>
      </c>
      <c r="I7" s="10" t="n">
        <v>78345.82000000001</v>
      </c>
      <c r="J7" s="10" t="n">
        <v>21515.58</v>
      </c>
      <c r="K7" s="10" t="n">
        <v>8748.76</v>
      </c>
      <c r="L7" s="10" t="n">
        <v>-2733.99</v>
      </c>
      <c r="M7" s="10" t="n">
        <v>260.66</v>
      </c>
      <c r="N7" s="10" t="n">
        <v>78.36</v>
      </c>
      <c r="O7" s="10" t="n">
        <v>52.83</v>
      </c>
    </row>
    <row r="8">
      <c r="A8" s="7" t="inlineStr">
        <is>
          <t>5.29-6.4 GMV环比</t>
        </is>
      </c>
      <c r="B8" s="12" t="n">
        <v>0.1522574919351944</v>
      </c>
      <c r="C8" s="2" t="n"/>
      <c r="D8" s="9" t="inlineStr">
        <is>
          <t>5.29-6.4</t>
        </is>
      </c>
      <c r="E8" s="10" t="n">
        <v>82611.69</v>
      </c>
      <c r="F8" s="9" t="n">
        <v>1241</v>
      </c>
      <c r="G8" s="9" t="n">
        <v>1102</v>
      </c>
      <c r="H8" s="9" t="n">
        <v>1527</v>
      </c>
      <c r="I8" s="10" t="n">
        <v>89153.50999999999</v>
      </c>
      <c r="J8" s="10" t="n">
        <v>26325.54</v>
      </c>
      <c r="K8" s="10" t="n">
        <v>10254.98</v>
      </c>
      <c r="L8" s="10" t="n">
        <v>-3204.68</v>
      </c>
      <c r="M8" s="10" t="n">
        <v>205.66</v>
      </c>
      <c r="N8" s="10" t="n">
        <v>74.97</v>
      </c>
      <c r="O8" s="10" t="n">
        <v>54.1</v>
      </c>
    </row>
    <row r="9">
      <c r="A9" s="2" t="n"/>
      <c r="B9" s="2" t="n"/>
      <c r="C9" s="2" t="n"/>
      <c r="D9" s="2" t="n"/>
      <c r="E9" s="2" t="n"/>
      <c r="F9" s="2" t="n"/>
      <c r="G9" s="2" t="n"/>
      <c r="H9" s="2" t="n"/>
      <c r="I9" s="2" t="n"/>
      <c r="J9" s="2" t="n"/>
      <c r="K9" s="2" t="n"/>
      <c r="L9" s="2" t="n"/>
      <c r="M9" s="2" t="n"/>
      <c r="N9" s="2" t="n"/>
      <c r="O9" s="2" t="n"/>
    </row>
    <row r="10">
      <c r="A10" s="5" t="inlineStr">
        <is>
          <t>分析结论</t>
        </is>
      </c>
      <c r="B10" s="5" t="inlineStr">
        <is>
          <t>说明</t>
        </is>
      </c>
      <c r="C10" s="2" t="n"/>
      <c r="D10" s="2" t="n"/>
      <c r="E10" s="2" t="n"/>
      <c r="F10" s="2" t="n"/>
      <c r="G10" s="2" t="n"/>
      <c r="H10" s="2" t="n"/>
      <c r="I10" s="2" t="n"/>
      <c r="J10" s="2" t="n"/>
      <c r="K10" s="2" t="n"/>
      <c r="L10" s="2" t="n"/>
      <c r="M10" s="2" t="n"/>
      <c r="N10" s="2" t="n"/>
      <c r="O10" s="2" t="n"/>
    </row>
    <row r="11">
      <c r="A11" s="13" t="inlineStr">
        <is>
          <t>总览</t>
        </is>
      </c>
      <c r="B11" s="14" t="inlineStr">
        <is>
          <t>全周期 GMV 为 MX$457,126.48，订单数 4,916，销量 7,193，客单价 MX$92.99，件单价 MX$63.55。</t>
        </is>
      </c>
      <c r="C11" s="2" t="n"/>
      <c r="D11" s="2" t="n"/>
      <c r="E11" s="2" t="n"/>
      <c r="F11" s="2" t="n"/>
      <c r="G11" s="2" t="n"/>
      <c r="H11" s="2" t="n"/>
      <c r="I11" s="2" t="n"/>
      <c r="J11" s="2" t="n"/>
      <c r="K11" s="2" t="n"/>
      <c r="L11" s="2" t="n"/>
      <c r="M11" s="2" t="n"/>
      <c r="N11" s="2" t="n"/>
      <c r="O11" s="2" t="n"/>
    </row>
    <row r="12">
      <c r="A12" s="13" t="inlineStr">
        <is>
          <t>周度变化</t>
        </is>
      </c>
      <c r="B12" s="14" t="inlineStr">
        <is>
          <t>5.29-6.4 GMV 为 MX$82,611.69，较 5.22-5.28 增长 MX$10,916.18（+15.2%）；订单数 1,102，较上周 +187；客单价变化 MX$-3.39。</t>
        </is>
      </c>
      <c r="C12" s="2" t="n"/>
      <c r="D12" s="2" t="n"/>
      <c r="E12" s="2" t="n"/>
      <c r="F12" s="2" t="n"/>
      <c r="G12" s="2" t="n"/>
      <c r="H12" s="2" t="n"/>
      <c r="I12" s="2" t="n"/>
      <c r="J12" s="2" t="n"/>
      <c r="K12" s="2" t="n"/>
      <c r="L12" s="2" t="n"/>
      <c r="M12" s="2" t="n"/>
      <c r="N12" s="2" t="n"/>
      <c r="O12" s="2" t="n"/>
    </row>
    <row r="13">
      <c r="A13" s="13" t="inlineStr">
        <is>
          <t>第一贡献SKU</t>
        </is>
      </c>
      <c r="B13" s="14" t="inlineStr">
        <is>
          <t>LV25W22 全周期 GMV MX$79,996.21，占比 17.5%，销量 918，订单 564，是最核心业绩来源。</t>
        </is>
      </c>
      <c r="C13" s="2" t="n"/>
      <c r="D13" s="2" t="n"/>
      <c r="E13" s="2" t="n"/>
      <c r="F13" s="2" t="n"/>
      <c r="G13" s="2" t="n"/>
      <c r="H13" s="2" t="n"/>
      <c r="I13" s="2" t="n"/>
      <c r="J13" s="2" t="n"/>
      <c r="K13" s="2" t="n"/>
      <c r="L13" s="2" t="n"/>
      <c r="M13" s="2" t="n"/>
      <c r="N13" s="2" t="n"/>
      <c r="O13" s="2" t="n"/>
    </row>
    <row r="14">
      <c r="A14" s="13" t="inlineStr">
        <is>
          <t>第二贡献SKU</t>
        </is>
      </c>
      <c r="B14" s="14" t="inlineStr">
        <is>
          <t>AIR50W06-2P 全周期 GMV MX$35,430.60，占比 7.8%，销量 88，订单 82。 最新周 GMV 环比 +0.0%。</t>
        </is>
      </c>
      <c r="C14" s="2" t="n"/>
      <c r="D14" s="2" t="n"/>
      <c r="E14" s="2" t="n"/>
      <c r="F14" s="2" t="n"/>
      <c r="G14" s="2" t="n"/>
      <c r="H14" s="2" t="n"/>
      <c r="I14" s="2" t="n"/>
      <c r="J14" s="2" t="n"/>
      <c r="K14" s="2" t="n"/>
      <c r="L14" s="2" t="n"/>
      <c r="M14" s="2" t="n"/>
      <c r="N14" s="2" t="n"/>
      <c r="O14" s="2" t="n"/>
    </row>
    <row r="15">
      <c r="A15" s="13" t="inlineStr">
        <is>
          <t>增长SKU</t>
        </is>
      </c>
      <c r="B15" s="14" t="inlineStr">
        <is>
          <t>LV34W04（+MX$7,511.97，+225.4%）、VA880T（+MX$3,725.61，+77.1%）、LB02235-azul（+MX$3,165.46，+171.0%） 最新周 GMV 增长较明显，可作为增量 SKU 关注。</t>
        </is>
      </c>
      <c r="C15" s="2" t="n"/>
      <c r="D15" s="2" t="n"/>
      <c r="E15" s="2" t="n"/>
      <c r="F15" s="2" t="n"/>
      <c r="G15" s="2" t="n"/>
      <c r="H15" s="2" t="n"/>
      <c r="I15" s="2" t="n"/>
      <c r="J15" s="2" t="n"/>
      <c r="K15" s="2" t="n"/>
      <c r="L15" s="2" t="n"/>
      <c r="M15" s="2" t="n"/>
      <c r="N15" s="2" t="n"/>
      <c r="O15" s="2" t="n"/>
    </row>
    <row r="16">
      <c r="A16" s="13" t="inlineStr">
        <is>
          <t>风险SKU</t>
        </is>
      </c>
      <c r="B16" s="14" t="inlineStr">
        <is>
          <t>LV64W25（-MX$3,408.30，-84.2%）、SA8056T（-MX$2,337.37，-61.3%）、MCM-001A（-MX$1,772.05，-65.6%） 最新周 GMV 下滑明显，建议排查库存、价格、流量和活动变化。</t>
        </is>
      </c>
      <c r="C16" s="2" t="n"/>
      <c r="D16" s="2" t="n"/>
      <c r="E16" s="2" t="n"/>
      <c r="F16" s="2" t="n"/>
      <c r="G16" s="2" t="n"/>
      <c r="H16" s="2" t="n"/>
      <c r="I16" s="2" t="n"/>
      <c r="J16" s="2" t="n"/>
      <c r="K16" s="2" t="n"/>
      <c r="L16" s="2" t="n"/>
      <c r="M16" s="2" t="n"/>
      <c r="N16" s="2" t="n"/>
      <c r="O16" s="2" t="n"/>
    </row>
    <row r="17">
      <c r="A17" s="2" t="n"/>
      <c r="B17" s="2" t="n"/>
      <c r="C17" s="2" t="n"/>
      <c r="D17" s="2" t="n"/>
      <c r="E17" s="2" t="n"/>
      <c r="F17" s="2" t="n"/>
      <c r="G17" s="2" t="n"/>
      <c r="H17" s="2" t="n"/>
      <c r="I17" s="2" t="n"/>
      <c r="J17" s="2" t="n"/>
      <c r="K17" s="2" t="n"/>
      <c r="L17" s="2" t="n"/>
      <c r="M17" s="2" t="n"/>
      <c r="N17" s="2" t="n"/>
      <c r="O17" s="2" t="n"/>
    </row>
    <row r="18">
      <c r="A18" s="5" t="inlineStr">
        <is>
          <t>SKU</t>
        </is>
      </c>
      <c r="B18" s="5" t="inlineStr">
        <is>
          <t>GMV</t>
        </is>
      </c>
      <c r="C18" s="5" t="inlineStr">
        <is>
          <t>GMV占比</t>
        </is>
      </c>
      <c r="D18" s="5" t="inlineStr">
        <is>
          <t>销量</t>
        </is>
      </c>
      <c r="E18" s="5" t="inlineStr">
        <is>
          <t>订单数</t>
        </is>
      </c>
      <c r="F18" s="5" t="inlineStr">
        <is>
          <t>客单价</t>
        </is>
      </c>
      <c r="G18" s="5" t="inlineStr">
        <is>
          <t>件单价</t>
        </is>
      </c>
      <c r="H18" s="5" t="inlineStr">
        <is>
          <t>5.22-5.28 GMV</t>
        </is>
      </c>
      <c r="I18" s="5" t="inlineStr">
        <is>
          <t>5.29-6.4 GMV</t>
        </is>
      </c>
      <c r="J18" s="5" t="inlineStr">
        <is>
          <t>GMV变化</t>
        </is>
      </c>
      <c r="K18" s="5" t="inlineStr">
        <is>
          <t>GMV变化%</t>
        </is>
      </c>
      <c r="L18" s="2" t="n"/>
      <c r="M18" s="2" t="n"/>
      <c r="N18" s="2" t="n"/>
      <c r="O18" s="2" t="n"/>
    </row>
    <row r="19">
      <c r="A19" s="9" t="inlineStr">
        <is>
          <t>LV25W22</t>
        </is>
      </c>
      <c r="B19" s="10" t="n">
        <v>79996.21000000001</v>
      </c>
      <c r="C19" s="15" t="n">
        <v>0.1749979679611992</v>
      </c>
      <c r="D19" s="9" t="n">
        <v>918</v>
      </c>
      <c r="E19" s="9" t="n">
        <v>564</v>
      </c>
      <c r="F19" s="10" t="n">
        <v>141.84</v>
      </c>
      <c r="G19" s="10" t="n">
        <v>87.14</v>
      </c>
      <c r="H19" s="10" t="n">
        <v>0</v>
      </c>
      <c r="I19" s="10" t="n">
        <v>0</v>
      </c>
      <c r="J19" s="10" t="n">
        <v>0</v>
      </c>
      <c r="K19" s="15" t="n">
        <v>0</v>
      </c>
      <c r="L19" s="2" t="n"/>
      <c r="M19" s="2" t="n"/>
      <c r="N19" s="2" t="n"/>
      <c r="O19" s="2" t="n"/>
    </row>
    <row r="20">
      <c r="A20" s="9" t="inlineStr">
        <is>
          <t>AIR50W06-2P</t>
        </is>
      </c>
      <c r="B20" s="10" t="n">
        <v>35430.6</v>
      </c>
      <c r="C20" s="15" t="n">
        <v>0.077507209993839</v>
      </c>
      <c r="D20" s="9" t="n">
        <v>88</v>
      </c>
      <c r="E20" s="9" t="n">
        <v>82</v>
      </c>
      <c r="F20" s="10" t="n">
        <v>432.08</v>
      </c>
      <c r="G20" s="10" t="n">
        <v>402.62</v>
      </c>
      <c r="H20" s="10" t="n">
        <v>0</v>
      </c>
      <c r="I20" s="10" t="n">
        <v>0</v>
      </c>
      <c r="J20" s="10" t="n">
        <v>0</v>
      </c>
      <c r="K20" s="15" t="n">
        <v>0</v>
      </c>
      <c r="L20" s="2" t="n"/>
      <c r="M20" s="2" t="n"/>
      <c r="N20" s="2" t="n"/>
      <c r="O20" s="2" t="n"/>
    </row>
    <row r="21">
      <c r="A21" s="9" t="inlineStr">
        <is>
          <t>LV34W04</t>
        </is>
      </c>
      <c r="B21" s="10" t="n">
        <v>23956.47</v>
      </c>
      <c r="C21" s="15" t="n">
        <v>0.05240664771955686</v>
      </c>
      <c r="D21" s="9" t="n">
        <v>103</v>
      </c>
      <c r="E21" s="9" t="n">
        <v>70</v>
      </c>
      <c r="F21" s="10" t="n">
        <v>342.24</v>
      </c>
      <c r="G21" s="10" t="n">
        <v>232.59</v>
      </c>
      <c r="H21" s="10" t="n">
        <v>3332.99</v>
      </c>
      <c r="I21" s="10" t="n">
        <v>10844.95</v>
      </c>
      <c r="J21" s="10" t="n">
        <v>7511.97</v>
      </c>
      <c r="K21" s="15" t="n">
        <v>2.253825252857756</v>
      </c>
      <c r="L21" s="2" t="n"/>
      <c r="M21" s="2" t="n"/>
      <c r="N21" s="2" t="n"/>
      <c r="O21" s="2" t="n"/>
    </row>
    <row r="22">
      <c r="A22" s="9" t="inlineStr">
        <is>
          <t>LB02235-negro</t>
        </is>
      </c>
      <c r="B22" s="10" t="n">
        <v>22015.34</v>
      </c>
      <c r="C22" s="15" t="n">
        <v>0.04816029190158305</v>
      </c>
      <c r="D22" s="9" t="n">
        <v>686</v>
      </c>
      <c r="E22" s="9" t="n">
        <v>597</v>
      </c>
      <c r="F22" s="10" t="n">
        <v>36.88</v>
      </c>
      <c r="G22" s="10" t="n">
        <v>32.09</v>
      </c>
      <c r="H22" s="10" t="n">
        <v>5590.49</v>
      </c>
      <c r="I22" s="10" t="n">
        <v>7341.51</v>
      </c>
      <c r="J22" s="10" t="n">
        <v>1751.02</v>
      </c>
      <c r="K22" s="15" t="n">
        <v>0.3132146823316481</v>
      </c>
      <c r="L22" s="2" t="n"/>
      <c r="M22" s="2" t="n"/>
      <c r="N22" s="2" t="n"/>
      <c r="O22" s="2" t="n"/>
    </row>
    <row r="23">
      <c r="A23" s="9" t="inlineStr">
        <is>
          <t>SA8056T</t>
        </is>
      </c>
      <c r="B23" s="10" t="n">
        <v>18822.89</v>
      </c>
      <c r="C23" s="15" t="n">
        <v>0.04117654567428875</v>
      </c>
      <c r="D23" s="9" t="n">
        <v>147</v>
      </c>
      <c r="E23" s="9" t="n">
        <v>101</v>
      </c>
      <c r="F23" s="10" t="n">
        <v>186.37</v>
      </c>
      <c r="G23" s="10" t="n">
        <v>128.05</v>
      </c>
      <c r="H23" s="10" t="n">
        <v>3813.87</v>
      </c>
      <c r="I23" s="10" t="n">
        <v>1476.49</v>
      </c>
      <c r="J23" s="10" t="n">
        <v>-2337.37</v>
      </c>
      <c r="K23" s="15" t="n">
        <v>-0.6128616678080709</v>
      </c>
      <c r="L23" s="2" t="n"/>
      <c r="M23" s="2" t="n"/>
      <c r="N23" s="2" t="n"/>
      <c r="O23" s="2" t="n"/>
    </row>
    <row r="24">
      <c r="A24" s="9" t="inlineStr">
        <is>
          <t>SA325T</t>
        </is>
      </c>
      <c r="B24" s="10" t="n">
        <v>17856.4</v>
      </c>
      <c r="C24" s="15" t="n">
        <v>0.03906227558436894</v>
      </c>
      <c r="D24" s="9" t="n">
        <v>527</v>
      </c>
      <c r="E24" s="9" t="n">
        <v>321</v>
      </c>
      <c r="F24" s="10" t="n">
        <v>55.63</v>
      </c>
      <c r="G24" s="10" t="n">
        <v>33.88</v>
      </c>
      <c r="H24" s="10" t="n">
        <v>3708.39</v>
      </c>
      <c r="I24" s="10" t="n">
        <v>4695.21</v>
      </c>
      <c r="J24" s="10" t="n">
        <v>986.8200000000001</v>
      </c>
      <c r="K24" s="15" t="n">
        <v>0.2661057892769396</v>
      </c>
      <c r="L24" s="2" t="n"/>
      <c r="M24" s="2" t="n"/>
      <c r="N24" s="2" t="n"/>
      <c r="O24" s="2" t="n"/>
    </row>
    <row r="25">
      <c r="A25" s="9" t="inlineStr">
        <is>
          <t>BS-22</t>
        </is>
      </c>
      <c r="B25" s="10" t="n">
        <v>16920.23</v>
      </c>
      <c r="C25" s="15" t="n">
        <v>0.03701432488555284</v>
      </c>
      <c r="D25" s="9" t="n">
        <v>70</v>
      </c>
      <c r="E25" s="9" t="n">
        <v>69</v>
      </c>
      <c r="F25" s="10" t="n">
        <v>245.22</v>
      </c>
      <c r="G25" s="10" t="n">
        <v>241.72</v>
      </c>
      <c r="H25" s="10" t="n">
        <v>0</v>
      </c>
      <c r="I25" s="10" t="n">
        <v>0</v>
      </c>
      <c r="J25" s="10" t="n">
        <v>0</v>
      </c>
      <c r="K25" s="15" t="n">
        <v>0</v>
      </c>
      <c r="L25" s="2" t="n"/>
      <c r="M25" s="2" t="n"/>
      <c r="N25" s="2" t="n"/>
      <c r="O25" s="2" t="n"/>
    </row>
    <row r="26">
      <c r="A26" s="9" t="inlineStr">
        <is>
          <t>VB347T</t>
        </is>
      </c>
      <c r="B26" s="10" t="n">
        <v>16642.9</v>
      </c>
      <c r="C26" s="15" t="n">
        <v>0.03640764356122667</v>
      </c>
      <c r="D26" s="9" t="n">
        <v>220</v>
      </c>
      <c r="E26" s="9" t="n">
        <v>158</v>
      </c>
      <c r="F26" s="10" t="n">
        <v>105.33</v>
      </c>
      <c r="G26" s="10" t="n">
        <v>75.65000000000001</v>
      </c>
      <c r="H26" s="10" t="n">
        <v>3164.71</v>
      </c>
      <c r="I26" s="10" t="n">
        <v>2751.2</v>
      </c>
      <c r="J26" s="10" t="n">
        <v>-413.52</v>
      </c>
      <c r="K26" s="15" t="n">
        <v>-0.130664886537207</v>
      </c>
      <c r="L26" s="2" t="n"/>
      <c r="M26" s="2" t="n"/>
      <c r="N26" s="2" t="n"/>
      <c r="O26" s="2" t="n"/>
    </row>
    <row r="27">
      <c r="A27" s="9" t="inlineStr">
        <is>
          <t>LB02235-rojo</t>
        </is>
      </c>
      <c r="B27" s="10" t="n">
        <v>16278.54</v>
      </c>
      <c r="C27" s="15" t="n">
        <v>0.03561057827695707</v>
      </c>
      <c r="D27" s="9" t="n">
        <v>510</v>
      </c>
      <c r="E27" s="9" t="n">
        <v>412</v>
      </c>
      <c r="F27" s="10" t="n">
        <v>39.51</v>
      </c>
      <c r="G27" s="10" t="n">
        <v>31.92</v>
      </c>
      <c r="H27" s="10" t="n">
        <v>3004.85</v>
      </c>
      <c r="I27" s="10" t="n">
        <v>4459.13</v>
      </c>
      <c r="J27" s="10" t="n">
        <v>1454.27</v>
      </c>
      <c r="K27" s="15" t="n">
        <v>0.4839752839740525</v>
      </c>
      <c r="L27" s="2" t="n"/>
      <c r="M27" s="2" t="n"/>
      <c r="N27" s="2" t="n"/>
      <c r="O27" s="2" t="n"/>
    </row>
    <row r="28">
      <c r="A28" s="9" t="inlineStr">
        <is>
          <t>MB-185N</t>
        </is>
      </c>
      <c r="B28" s="10" t="n">
        <v>13553.22</v>
      </c>
      <c r="C28" s="15" t="n">
        <v>0.02964874046566081</v>
      </c>
      <c r="D28" s="9" t="n">
        <v>188</v>
      </c>
      <c r="E28" s="9" t="n">
        <v>175</v>
      </c>
      <c r="F28" s="10" t="n">
        <v>77.45</v>
      </c>
      <c r="G28" s="10" t="n">
        <v>72.09</v>
      </c>
      <c r="H28" s="10" t="n">
        <v>2489.52</v>
      </c>
      <c r="I28" s="10" t="n">
        <v>3789.11</v>
      </c>
      <c r="J28" s="10" t="n">
        <v>1299.6</v>
      </c>
      <c r="K28" s="15" t="n">
        <v>0.5220274027947156</v>
      </c>
      <c r="L28" s="2" t="n"/>
      <c r="M28" s="2" t="n"/>
      <c r="N28" s="2" t="n"/>
      <c r="O28" s="2" t="n"/>
    </row>
    <row r="29">
      <c r="A29" s="9" t="inlineStr">
        <is>
          <t>LB02235-azul</t>
        </is>
      </c>
      <c r="B29" s="10" t="n">
        <v>13536.45</v>
      </c>
      <c r="C29" s="15" t="n">
        <v>0.029612042416807</v>
      </c>
      <c r="D29" s="9" t="n">
        <v>492</v>
      </c>
      <c r="E29" s="9" t="n">
        <v>391</v>
      </c>
      <c r="F29" s="10" t="n">
        <v>34.62</v>
      </c>
      <c r="G29" s="10" t="n">
        <v>27.51</v>
      </c>
      <c r="H29" s="10" t="n">
        <v>1851.3</v>
      </c>
      <c r="I29" s="10" t="n">
        <v>5016.77</v>
      </c>
      <c r="J29" s="10" t="n">
        <v>3165.46</v>
      </c>
      <c r="K29" s="15" t="n">
        <v>1.70985525558571</v>
      </c>
      <c r="L29" s="2" t="n"/>
      <c r="M29" s="2" t="n"/>
      <c r="N29" s="2" t="n"/>
      <c r="O29" s="2" t="n"/>
    </row>
    <row r="30">
      <c r="A30" s="9" t="inlineStr">
        <is>
          <t>VA880T</t>
        </is>
      </c>
      <c r="B30" s="10" t="n">
        <v>13389.53</v>
      </c>
      <c r="C30" s="15" t="n">
        <v>0.02929064734233216</v>
      </c>
      <c r="D30" s="9" t="n">
        <v>118</v>
      </c>
      <c r="E30" s="9" t="n">
        <v>85</v>
      </c>
      <c r="F30" s="10" t="n">
        <v>157.52</v>
      </c>
      <c r="G30" s="10" t="n">
        <v>113.47</v>
      </c>
      <c r="H30" s="10" t="n">
        <v>4831.96</v>
      </c>
      <c r="I30" s="10" t="n">
        <v>8557.57</v>
      </c>
      <c r="J30" s="10" t="n">
        <v>3725.61</v>
      </c>
      <c r="K30" s="15" t="n">
        <v>0.7710351525375362</v>
      </c>
      <c r="L30" s="2" t="n"/>
      <c r="M30" s="2" t="n"/>
      <c r="N30" s="2" t="n"/>
      <c r="O30" s="2" t="n"/>
    </row>
    <row r="31">
      <c r="A31" s="9" t="inlineStr">
        <is>
          <t>LB02235-blanco</t>
        </is>
      </c>
      <c r="B31" s="10" t="n">
        <v>13024.85</v>
      </c>
      <c r="C31" s="15" t="n">
        <v>0.02849287645466371</v>
      </c>
      <c r="D31" s="9" t="n">
        <v>415</v>
      </c>
      <c r="E31" s="9" t="n">
        <v>316</v>
      </c>
      <c r="F31" s="10" t="n">
        <v>41.22</v>
      </c>
      <c r="G31" s="10" t="n">
        <v>31.39</v>
      </c>
      <c r="H31" s="10" t="n">
        <v>2534.07</v>
      </c>
      <c r="I31" s="10" t="n">
        <v>3377.45</v>
      </c>
      <c r="J31" s="10" t="n">
        <v>843.38</v>
      </c>
      <c r="K31" s="15" t="n">
        <v>0.3328159568933295</v>
      </c>
      <c r="L31" s="2" t="n"/>
      <c r="M31" s="2" t="n"/>
      <c r="N31" s="2" t="n"/>
      <c r="O31" s="2" t="n"/>
    </row>
    <row r="32">
      <c r="A32" s="9" t="inlineStr">
        <is>
          <t>MB-178-N</t>
        </is>
      </c>
      <c r="B32" s="10" t="n">
        <v>12237.47</v>
      </c>
      <c r="C32" s="15" t="n">
        <v>0.02677041641452124</v>
      </c>
      <c r="D32" s="9" t="n">
        <v>97</v>
      </c>
      <c r="E32" s="9" t="n">
        <v>74</v>
      </c>
      <c r="F32" s="10" t="n">
        <v>165.37</v>
      </c>
      <c r="G32" s="10" t="n">
        <v>126.16</v>
      </c>
      <c r="H32" s="10" t="n">
        <v>2315.98</v>
      </c>
      <c r="I32" s="10" t="n">
        <v>2832.1</v>
      </c>
      <c r="J32" s="10" t="n">
        <v>516.11</v>
      </c>
      <c r="K32" s="15" t="n">
        <v>0.2228488870563089</v>
      </c>
      <c r="L32" s="2" t="n"/>
      <c r="M32" s="2" t="n"/>
      <c r="N32" s="2" t="n"/>
      <c r="O32" s="2" t="n"/>
    </row>
    <row r="33">
      <c r="A33" s="9" t="inlineStr">
        <is>
          <t>MCM-001G</t>
        </is>
      </c>
      <c r="B33" s="10" t="n">
        <v>10937.84</v>
      </c>
      <c r="C33" s="15" t="n">
        <v>0.02392737515841782</v>
      </c>
      <c r="D33" s="9" t="n">
        <v>239</v>
      </c>
      <c r="E33" s="9" t="n">
        <v>206</v>
      </c>
      <c r="F33" s="10" t="n">
        <v>53.1</v>
      </c>
      <c r="G33" s="10" t="n">
        <v>45.77</v>
      </c>
      <c r="H33" s="10" t="n">
        <v>2627.17</v>
      </c>
      <c r="I33" s="10" t="n">
        <v>889.2</v>
      </c>
      <c r="J33" s="10" t="n">
        <v>-1737.97</v>
      </c>
      <c r="K33" s="15" t="n">
        <v>-0.661536348708808</v>
      </c>
      <c r="L33" s="2" t="n"/>
      <c r="M33" s="2" t="n"/>
      <c r="N33" s="2" t="n"/>
      <c r="O33" s="2" t="n"/>
    </row>
    <row r="34">
      <c r="A34" s="9" t="inlineStr">
        <is>
          <t>LV64W25</t>
        </is>
      </c>
      <c r="B34" s="10" t="n">
        <v>9921.040000000001</v>
      </c>
      <c r="C34" s="15" t="n">
        <v>0.02170304865766321</v>
      </c>
      <c r="D34" s="9" t="n">
        <v>83</v>
      </c>
      <c r="E34" s="9" t="n">
        <v>43</v>
      </c>
      <c r="F34" s="10" t="n">
        <v>230.72</v>
      </c>
      <c r="G34" s="10" t="n">
        <v>119.53</v>
      </c>
      <c r="H34" s="10" t="n">
        <v>4046.81</v>
      </c>
      <c r="I34" s="10" t="n">
        <v>638.51</v>
      </c>
      <c r="J34" s="10" t="n">
        <v>-3408.3</v>
      </c>
      <c r="K34" s="15" t="n">
        <v>-0.8422195727836278</v>
      </c>
      <c r="L34" s="2" t="n"/>
      <c r="M34" s="2" t="n"/>
      <c r="N34" s="2" t="n"/>
      <c r="O34" s="2" t="n"/>
    </row>
    <row r="35">
      <c r="A35" s="9" t="inlineStr">
        <is>
          <t>MB-185A</t>
        </is>
      </c>
      <c r="B35" s="10" t="n">
        <v>9079.139999999999</v>
      </c>
      <c r="C35" s="15" t="n">
        <v>0.01986133311156072</v>
      </c>
      <c r="D35" s="9" t="n">
        <v>130</v>
      </c>
      <c r="E35" s="9" t="n">
        <v>115</v>
      </c>
      <c r="F35" s="10" t="n">
        <v>78.95</v>
      </c>
      <c r="G35" s="10" t="n">
        <v>69.84</v>
      </c>
      <c r="H35" s="10" t="n">
        <v>2112.5</v>
      </c>
      <c r="I35" s="10" t="n">
        <v>3751.28</v>
      </c>
      <c r="J35" s="10" t="n">
        <v>1638.78</v>
      </c>
      <c r="K35" s="15" t="n">
        <v>0.7757499977929041</v>
      </c>
      <c r="L35" s="2" t="n"/>
      <c r="M35" s="2" t="n"/>
      <c r="N35" s="2" t="n"/>
      <c r="O35" s="2" t="n"/>
    </row>
    <row r="36">
      <c r="A36" s="9" t="inlineStr">
        <is>
          <t>MCM-001N</t>
        </is>
      </c>
      <c r="B36" s="10" t="n">
        <v>8587.66</v>
      </c>
      <c r="C36" s="15" t="n">
        <v>0.01878617149122364</v>
      </c>
      <c r="D36" s="9" t="n">
        <v>154</v>
      </c>
      <c r="E36" s="9" t="n">
        <v>147</v>
      </c>
      <c r="F36" s="10" t="n">
        <v>58.42</v>
      </c>
      <c r="G36" s="10" t="n">
        <v>55.76</v>
      </c>
      <c r="H36" s="10" t="n">
        <v>1493.72</v>
      </c>
      <c r="I36" s="10" t="n">
        <v>1839.53</v>
      </c>
      <c r="J36" s="10" t="n">
        <v>345.81</v>
      </c>
      <c r="K36" s="15" t="n">
        <v>0.2315112626298279</v>
      </c>
      <c r="L36" s="2" t="n"/>
      <c r="M36" s="2" t="n"/>
      <c r="N36" s="2" t="n"/>
      <c r="O36" s="2" t="n"/>
    </row>
    <row r="37">
      <c r="A37" s="9" t="inlineStr">
        <is>
          <t>MCM-001A</t>
        </is>
      </c>
      <c r="B37" s="10" t="n">
        <v>8163.52</v>
      </c>
      <c r="C37" s="15" t="n">
        <v>0.01785832971020134</v>
      </c>
      <c r="D37" s="9" t="n">
        <v>175</v>
      </c>
      <c r="E37" s="9" t="n">
        <v>142</v>
      </c>
      <c r="F37" s="10" t="n">
        <v>57.49</v>
      </c>
      <c r="G37" s="10" t="n">
        <v>46.65</v>
      </c>
      <c r="H37" s="10" t="n">
        <v>2699.23</v>
      </c>
      <c r="I37" s="10" t="n">
        <v>927.1900000000001</v>
      </c>
      <c r="J37" s="10" t="n">
        <v>-1772.05</v>
      </c>
      <c r="K37" s="15" t="n">
        <v>-0.6564997369901444</v>
      </c>
      <c r="L37" s="2" t="n"/>
      <c r="M37" s="2" t="n"/>
      <c r="N37" s="2" t="n"/>
      <c r="O37" s="2" t="n"/>
    </row>
    <row r="38">
      <c r="A38" s="9" t="inlineStr">
        <is>
          <t>MCM-001R</t>
        </is>
      </c>
      <c r="B38" s="10" t="n">
        <v>7749.14</v>
      </c>
      <c r="C38" s="15" t="n">
        <v>0.01695186177288875</v>
      </c>
      <c r="D38" s="9" t="n">
        <v>130</v>
      </c>
      <c r="E38" s="9" t="n">
        <v>127</v>
      </c>
      <c r="F38" s="10" t="n">
        <v>61.02</v>
      </c>
      <c r="G38" s="10" t="n">
        <v>59.61</v>
      </c>
      <c r="H38" s="10" t="n">
        <v>1292.82</v>
      </c>
      <c r="I38" s="10" t="n">
        <v>1361</v>
      </c>
      <c r="J38" s="10" t="n">
        <v>68.18000000000001</v>
      </c>
      <c r="K38" s="15" t="n">
        <v>0.05273873334931393</v>
      </c>
      <c r="L38" s="2" t="n"/>
      <c r="M38" s="2" t="n"/>
      <c r="N38" s="2" t="n"/>
      <c r="O38" s="2" t="n"/>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69"/>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7.6" customHeight="1">
      <c r="A1" s="5" t="inlineStr">
        <is>
          <t>SKU</t>
        </is>
      </c>
      <c r="B1" s="5" t="inlineStr">
        <is>
          <t>商品名称</t>
        </is>
      </c>
      <c r="C1" s="5" t="inlineStr">
        <is>
          <t>GMV</t>
        </is>
      </c>
      <c r="D1" s="5" t="inlineStr">
        <is>
          <t>GMV占比</t>
        </is>
      </c>
      <c r="E1" s="5" t="inlineStr">
        <is>
          <t>销量</t>
        </is>
      </c>
      <c r="F1" s="5" t="inlineStr">
        <is>
          <t>订单数</t>
        </is>
      </c>
      <c r="G1" s="5" t="inlineStr">
        <is>
          <t>订单行数</t>
        </is>
      </c>
      <c r="H1" s="5" t="inlineStr">
        <is>
          <t>客单价</t>
        </is>
      </c>
      <c r="I1" s="5" t="inlineStr">
        <is>
          <t>件单价</t>
        </is>
      </c>
      <c r="J1" s="5" t="inlineStr">
        <is>
          <t>5.1-5.7 GMV</t>
        </is>
      </c>
      <c r="K1" s="5" t="inlineStr">
        <is>
          <t>5.8-5.14 GMV</t>
        </is>
      </c>
      <c r="L1" s="5" t="inlineStr">
        <is>
          <t>5.15-5.21 GMV</t>
        </is>
      </c>
      <c r="M1" s="5" t="inlineStr">
        <is>
          <t>5.22-5.28 GMV</t>
        </is>
      </c>
      <c r="N1" s="5" t="inlineStr">
        <is>
          <t>5.29-6.4 GMV</t>
        </is>
      </c>
      <c r="O1" s="5" t="inlineStr">
        <is>
          <t>GMV变化</t>
        </is>
      </c>
      <c r="P1" s="5" t="inlineStr">
        <is>
          <t>GMV变化%</t>
        </is>
      </c>
    </row>
    <row r="2">
      <c r="A2" s="16" t="inlineStr">
        <is>
          <t>LV25W22</t>
        </is>
      </c>
      <c r="B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C2" s="17" t="n">
        <v>79996.21000000001</v>
      </c>
      <c r="D2" s="18" t="n">
        <v>0.1749979679611992</v>
      </c>
      <c r="E2" s="16" t="n">
        <v>918</v>
      </c>
      <c r="F2" s="16" t="n">
        <v>564</v>
      </c>
      <c r="G2" s="16" t="n">
        <v>566</v>
      </c>
      <c r="H2" s="17" t="n">
        <v>141.84</v>
      </c>
      <c r="I2" s="17" t="n">
        <v>87.14</v>
      </c>
      <c r="J2" s="17" t="n">
        <v>1279.84</v>
      </c>
      <c r="K2" s="17" t="n">
        <v>41751.91</v>
      </c>
      <c r="L2" s="17" t="n">
        <v>36964.46</v>
      </c>
      <c r="M2" s="17" t="n">
        <v>0</v>
      </c>
      <c r="N2" s="17" t="n">
        <v>0</v>
      </c>
      <c r="O2" s="17" t="n">
        <v>0</v>
      </c>
      <c r="P2" s="18" t="n">
        <v>0</v>
      </c>
    </row>
    <row r="3">
      <c r="A3" s="16" t="inlineStr">
        <is>
          <t>AIR50W06-2P</t>
        </is>
      </c>
      <c r="B3" s="16" t="inlineStr">
        <is>
          <t>Link Bits Ventilador de piso de 16 pulgadas, 2 unidades, 3 velocidades, motor silencioso, flujo de aire fuerte, altura ajustable, oscilación amplia, ventilador eléctrico para el hogar, ideal para sala, recámara y oficina</t>
        </is>
      </c>
      <c r="C3" s="17" t="n">
        <v>35430.6</v>
      </c>
      <c r="D3" s="18" t="n">
        <v>0.077507209993839</v>
      </c>
      <c r="E3" s="16" t="n">
        <v>88</v>
      </c>
      <c r="F3" s="16" t="n">
        <v>82</v>
      </c>
      <c r="G3" s="16" t="n">
        <v>82</v>
      </c>
      <c r="H3" s="17" t="n">
        <v>432.08</v>
      </c>
      <c r="I3" s="17" t="n">
        <v>402.62</v>
      </c>
      <c r="J3" s="17" t="n">
        <v>27982.72</v>
      </c>
      <c r="K3" s="17" t="n">
        <v>7447.88</v>
      </c>
      <c r="L3" s="17" t="n">
        <v>0</v>
      </c>
      <c r="M3" s="17" t="n">
        <v>0</v>
      </c>
      <c r="N3" s="17" t="n">
        <v>0</v>
      </c>
      <c r="O3" s="17" t="n">
        <v>0</v>
      </c>
      <c r="P3" s="18" t="n">
        <v>0</v>
      </c>
    </row>
    <row r="4">
      <c r="A4" s="16" t="inlineStr">
        <is>
          <t>LV34W04</t>
        </is>
      </c>
      <c r="B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C4" s="17" t="n">
        <v>23956.47</v>
      </c>
      <c r="D4" s="18" t="n">
        <v>0.05240664771955686</v>
      </c>
      <c r="E4" s="16" t="n">
        <v>103</v>
      </c>
      <c r="F4" s="16" t="n">
        <v>70</v>
      </c>
      <c r="G4" s="16" t="n">
        <v>70</v>
      </c>
      <c r="H4" s="17" t="n">
        <v>342.24</v>
      </c>
      <c r="I4" s="17" t="n">
        <v>232.59</v>
      </c>
      <c r="J4" s="17" t="n">
        <v>4347.13</v>
      </c>
      <c r="K4" s="17" t="n">
        <v>3885.74</v>
      </c>
      <c r="L4" s="17" t="n">
        <v>1545.66</v>
      </c>
      <c r="M4" s="17" t="n">
        <v>3332.99</v>
      </c>
      <c r="N4" s="17" t="n">
        <v>10844.95</v>
      </c>
      <c r="O4" s="17" t="n">
        <v>7511.97</v>
      </c>
      <c r="P4" s="18" t="n">
        <v>2.253825252857756</v>
      </c>
    </row>
    <row r="5">
      <c r="A5" s="16" t="inlineStr">
        <is>
          <t>LB02235-negro</t>
        </is>
      </c>
      <c r="B5" s="16" t="inlineStr">
        <is>
          <t>Audífonos Inalámbricos para la Cabeza, Recargables y Multifuncionales - Conectan a Varios Dispositivos, soportan Radio FM, Tarjeta TF y AUX - 4 Horas de Reproducción Musical - Ideal para Trabajo Cotidiano, Juegos y Estudio</t>
        </is>
      </c>
      <c r="C5" s="17" t="n">
        <v>22015.34</v>
      </c>
      <c r="D5" s="18" t="n">
        <v>0.04816029190158305</v>
      </c>
      <c r="E5" s="16" t="n">
        <v>686</v>
      </c>
      <c r="F5" s="16" t="n">
        <v>597</v>
      </c>
      <c r="G5" s="16" t="n">
        <v>599</v>
      </c>
      <c r="H5" s="17" t="n">
        <v>36.88</v>
      </c>
      <c r="I5" s="17" t="n">
        <v>32.09</v>
      </c>
      <c r="J5" s="17" t="n">
        <v>3745.36</v>
      </c>
      <c r="K5" s="17" t="n">
        <v>1927.21</v>
      </c>
      <c r="L5" s="17" t="n">
        <v>3410.77</v>
      </c>
      <c r="M5" s="17" t="n">
        <v>5590.49</v>
      </c>
      <c r="N5" s="17" t="n">
        <v>7341.51</v>
      </c>
      <c r="O5" s="17" t="n">
        <v>1751.02</v>
      </c>
      <c r="P5" s="18" t="n">
        <v>0.3132146823316481</v>
      </c>
    </row>
    <row r="6">
      <c r="A6" s="16" t="inlineStr">
        <is>
          <t>SA8056T</t>
        </is>
      </c>
      <c r="B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C6" s="17" t="n">
        <v>18822.89</v>
      </c>
      <c r="D6" s="18" t="n">
        <v>0.04117654567428875</v>
      </c>
      <c r="E6" s="16" t="n">
        <v>147</v>
      </c>
      <c r="F6" s="16" t="n">
        <v>101</v>
      </c>
      <c r="G6" s="16" t="n">
        <v>101</v>
      </c>
      <c r="H6" s="17" t="n">
        <v>186.37</v>
      </c>
      <c r="I6" s="17" t="n">
        <v>128.05</v>
      </c>
      <c r="J6" s="17" t="n">
        <v>2659.21</v>
      </c>
      <c r="K6" s="17" t="n">
        <v>6489.31</v>
      </c>
      <c r="L6" s="17" t="n">
        <v>4384.01</v>
      </c>
      <c r="M6" s="17" t="n">
        <v>3813.87</v>
      </c>
      <c r="N6" s="17" t="n">
        <v>1476.49</v>
      </c>
      <c r="O6" s="17" t="n">
        <v>-2337.37</v>
      </c>
      <c r="P6" s="18" t="n">
        <v>-0.6128616678080709</v>
      </c>
    </row>
    <row r="7">
      <c r="A7" s="16" t="inlineStr">
        <is>
          <t>SA325T</t>
        </is>
      </c>
      <c r="B7" s="16" t="inlineStr">
        <is>
          <t>Subwoofer Portátil Inalámbrico con Luces RGB, Sonido de Alta Potencia y Batería Duradera, TWS TF USB, Perfecto para Campamento Fiestas y Entretenimiento en Casa</t>
        </is>
      </c>
      <c r="C7" s="17" t="n">
        <v>17856.4</v>
      </c>
      <c r="D7" s="18" t="n">
        <v>0.03906227558436894</v>
      </c>
      <c r="E7" s="16" t="n">
        <v>527</v>
      </c>
      <c r="F7" s="16" t="n">
        <v>321</v>
      </c>
      <c r="G7" s="16" t="n">
        <v>321</v>
      </c>
      <c r="H7" s="17" t="n">
        <v>55.63</v>
      </c>
      <c r="I7" s="17" t="n">
        <v>33.88</v>
      </c>
      <c r="J7" s="17" t="n">
        <v>2476.59</v>
      </c>
      <c r="K7" s="17" t="n">
        <v>3061.38</v>
      </c>
      <c r="L7" s="17" t="n">
        <v>3914.83</v>
      </c>
      <c r="M7" s="17" t="n">
        <v>3708.39</v>
      </c>
      <c r="N7" s="17" t="n">
        <v>4695.21</v>
      </c>
      <c r="O7" s="17" t="n">
        <v>986.8200000000001</v>
      </c>
      <c r="P7" s="18" t="n">
        <v>0.2661057892769396</v>
      </c>
    </row>
    <row r="8">
      <c r="A8" s="16" t="inlineStr">
        <is>
          <t>BS-22</t>
        </is>
      </c>
      <c r="B8" s="16" t="inlineStr">
        <is>
          <t>link bits Barra de Sonido para TV, 2x2" Altavoces + 2 Membranas de Graves, Sonido Claro ≥80dB, Bluetooth Inalámbrico, Conexiones AUX/USB, Diseño Compacto 76cm, Sonido Envolvente 3D para Cine en Casa, PC, Juegos y Fiestas</t>
        </is>
      </c>
      <c r="C8" s="17" t="n">
        <v>16920.23</v>
      </c>
      <c r="D8" s="18" t="n">
        <v>0.03701432488555284</v>
      </c>
      <c r="E8" s="16" t="n">
        <v>70</v>
      </c>
      <c r="F8" s="16" t="n">
        <v>69</v>
      </c>
      <c r="G8" s="16" t="n">
        <v>69</v>
      </c>
      <c r="H8" s="17" t="n">
        <v>245.22</v>
      </c>
      <c r="I8" s="17" t="n">
        <v>241.72</v>
      </c>
      <c r="J8" s="17" t="n">
        <v>14295.46</v>
      </c>
      <c r="K8" s="17" t="n">
        <v>2624.77</v>
      </c>
      <c r="L8" s="17" t="n">
        <v>0</v>
      </c>
      <c r="M8" s="17" t="n">
        <v>0</v>
      </c>
      <c r="N8" s="17" t="n">
        <v>0</v>
      </c>
      <c r="O8" s="17" t="n">
        <v>0</v>
      </c>
      <c r="P8" s="18" t="n">
        <v>0</v>
      </c>
    </row>
    <row r="9">
      <c r="A9" s="16" t="inlineStr">
        <is>
          <t>VB347T</t>
        </is>
      </c>
      <c r="B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C9" s="17" t="n">
        <v>16642.9</v>
      </c>
      <c r="D9" s="18" t="n">
        <v>0.03640764356122667</v>
      </c>
      <c r="E9" s="16" t="n">
        <v>220</v>
      </c>
      <c r="F9" s="16" t="n">
        <v>158</v>
      </c>
      <c r="G9" s="16" t="n">
        <v>159</v>
      </c>
      <c r="H9" s="17" t="n">
        <v>105.33</v>
      </c>
      <c r="I9" s="17" t="n">
        <v>75.65000000000001</v>
      </c>
      <c r="J9" s="17" t="n">
        <v>4919.31</v>
      </c>
      <c r="K9" s="17" t="n">
        <v>3414.67</v>
      </c>
      <c r="L9" s="17" t="n">
        <v>2393.02</v>
      </c>
      <c r="M9" s="17" t="n">
        <v>3164.71</v>
      </c>
      <c r="N9" s="17" t="n">
        <v>2751.2</v>
      </c>
      <c r="O9" s="17" t="n">
        <v>-413.52</v>
      </c>
      <c r="P9" s="18" t="n">
        <v>-0.130664886537207</v>
      </c>
    </row>
    <row r="10">
      <c r="A10" s="16" t="inlineStr">
        <is>
          <t>LB02235-rojo</t>
        </is>
      </c>
      <c r="B10" s="16" t="inlineStr">
        <is>
          <t>Audífonos Inalámbricos para la Cabeza, Recargables y Multifuncionales - Conectan a Varios Dispositivos, soportan Radio FM, Tarjeta TF y AUX - 4 Horas de Reproducción Musical - Ideal para Trabajo Cotidiano, Juegos y Estudio</t>
        </is>
      </c>
      <c r="C10" s="17" t="n">
        <v>16278.54</v>
      </c>
      <c r="D10" s="18" t="n">
        <v>0.03561057827695707</v>
      </c>
      <c r="E10" s="16" t="n">
        <v>510</v>
      </c>
      <c r="F10" s="16" t="n">
        <v>412</v>
      </c>
      <c r="G10" s="16" t="n">
        <v>412</v>
      </c>
      <c r="H10" s="17" t="n">
        <v>39.51</v>
      </c>
      <c r="I10" s="17" t="n">
        <v>31.92</v>
      </c>
      <c r="J10" s="17" t="n">
        <v>2196</v>
      </c>
      <c r="K10" s="17" t="n">
        <v>4327.87</v>
      </c>
      <c r="L10" s="17" t="n">
        <v>2290.69</v>
      </c>
      <c r="M10" s="17" t="n">
        <v>3004.85</v>
      </c>
      <c r="N10" s="17" t="n">
        <v>4459.13</v>
      </c>
      <c r="O10" s="17" t="n">
        <v>1454.27</v>
      </c>
      <c r="P10" s="18" t="n">
        <v>0.4839752839740525</v>
      </c>
    </row>
    <row r="11">
      <c r="A11" s="16" t="inlineStr">
        <is>
          <t>MB-185N</t>
        </is>
      </c>
      <c r="B11" s="16" t="inlineStr">
        <is>
          <t>Bocina Radio FM/Reproductor, Compatible con Tarjeta TF, USB, Bluetooth, Aplicable para celular, computadora, Ipad y consola.</t>
        </is>
      </c>
      <c r="C11" s="17" t="n">
        <v>13553.22</v>
      </c>
      <c r="D11" s="18" t="n">
        <v>0.02964874046566081</v>
      </c>
      <c r="E11" s="16" t="n">
        <v>188</v>
      </c>
      <c r="F11" s="16" t="n">
        <v>175</v>
      </c>
      <c r="G11" s="16" t="n">
        <v>175</v>
      </c>
      <c r="H11" s="17" t="n">
        <v>77.45</v>
      </c>
      <c r="I11" s="17" t="n">
        <v>72.09</v>
      </c>
      <c r="J11" s="17" t="n">
        <v>2210.94</v>
      </c>
      <c r="K11" s="17" t="n">
        <v>2847.61</v>
      </c>
      <c r="L11" s="17" t="n">
        <v>2216.05</v>
      </c>
      <c r="M11" s="17" t="n">
        <v>2489.52</v>
      </c>
      <c r="N11" s="17" t="n">
        <v>3789.11</v>
      </c>
      <c r="O11" s="17" t="n">
        <v>1299.6</v>
      </c>
      <c r="P11" s="18" t="n">
        <v>0.5220274027947156</v>
      </c>
    </row>
    <row r="12">
      <c r="A12" s="16" t="inlineStr">
        <is>
          <t>LB02235-azul</t>
        </is>
      </c>
      <c r="B12" s="16" t="inlineStr">
        <is>
          <t>Audífonos Inalámbricos para la Cabeza, Recargables y Multifuncionales - Conectan a Varios Dispositivos, soportan Radio FM, Tarjeta TF y AUX - 4 Horas de Reproducción Musical - Ideal para Trabajo Cotidiano, Juegos y Estudio</t>
        </is>
      </c>
      <c r="C12" s="17" t="n">
        <v>13536.45</v>
      </c>
      <c r="D12" s="18" t="n">
        <v>0.029612042416807</v>
      </c>
      <c r="E12" s="16" t="n">
        <v>492</v>
      </c>
      <c r="F12" s="16" t="n">
        <v>391</v>
      </c>
      <c r="G12" s="16" t="n">
        <v>393</v>
      </c>
      <c r="H12" s="17" t="n">
        <v>34.62</v>
      </c>
      <c r="I12" s="17" t="n">
        <v>27.51</v>
      </c>
      <c r="J12" s="17" t="n">
        <v>2348.67</v>
      </c>
      <c r="K12" s="17" t="n">
        <v>2167.54</v>
      </c>
      <c r="L12" s="17" t="n">
        <v>2152.17</v>
      </c>
      <c r="M12" s="17" t="n">
        <v>1851.3</v>
      </c>
      <c r="N12" s="17" t="n">
        <v>5016.77</v>
      </c>
      <c r="O12" s="17" t="n">
        <v>3165.46</v>
      </c>
      <c r="P12" s="18" t="n">
        <v>1.70985525558571</v>
      </c>
    </row>
    <row r="13">
      <c r="A13" s="16" t="inlineStr">
        <is>
          <t>VA880T</t>
        </is>
      </c>
      <c r="B1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C13" s="17" t="n">
        <v>13389.53</v>
      </c>
      <c r="D13" s="18" t="n">
        <v>0.02929064734233216</v>
      </c>
      <c r="E13" s="16" t="n">
        <v>118</v>
      </c>
      <c r="F13" s="16" t="n">
        <v>85</v>
      </c>
      <c r="G13" s="16" t="n">
        <v>85</v>
      </c>
      <c r="H13" s="17" t="n">
        <v>157.52</v>
      </c>
      <c r="I13" s="17" t="n">
        <v>113.47</v>
      </c>
      <c r="J13" s="17" t="n">
        <v>0</v>
      </c>
      <c r="K13" s="17" t="n">
        <v>0</v>
      </c>
      <c r="L13" s="17" t="n">
        <v>0</v>
      </c>
      <c r="M13" s="17" t="n">
        <v>4831.96</v>
      </c>
      <c r="N13" s="17" t="n">
        <v>8557.57</v>
      </c>
      <c r="O13" s="17" t="n">
        <v>3725.61</v>
      </c>
      <c r="P13" s="18" t="n">
        <v>0.7710351525375362</v>
      </c>
    </row>
    <row r="14">
      <c r="A14" s="16" t="inlineStr">
        <is>
          <t>LB02235-blanco</t>
        </is>
      </c>
      <c r="B14" s="16" t="inlineStr">
        <is>
          <t>Audífonos Inalámbricos para la Cabeza, Recargables y Multifuncionales - Conectan a Varios Dispositivos, soportan Radio FM, Tarjeta TF y AUX - 4 Horas de Reproducción Musical - Ideal para Trabajo Cotidiano, Juegos y Estudio</t>
        </is>
      </c>
      <c r="C14" s="17" t="n">
        <v>13024.85</v>
      </c>
      <c r="D14" s="18" t="n">
        <v>0.02849287645466371</v>
      </c>
      <c r="E14" s="16" t="n">
        <v>415</v>
      </c>
      <c r="F14" s="16" t="n">
        <v>316</v>
      </c>
      <c r="G14" s="16" t="n">
        <v>317</v>
      </c>
      <c r="H14" s="17" t="n">
        <v>41.22</v>
      </c>
      <c r="I14" s="17" t="n">
        <v>31.39</v>
      </c>
      <c r="J14" s="17" t="n">
        <v>1948.15</v>
      </c>
      <c r="K14" s="17" t="n">
        <v>2279.48</v>
      </c>
      <c r="L14" s="17" t="n">
        <v>2885.71</v>
      </c>
      <c r="M14" s="17" t="n">
        <v>2534.07</v>
      </c>
      <c r="N14" s="17" t="n">
        <v>3377.45</v>
      </c>
      <c r="O14" s="17" t="n">
        <v>843.38</v>
      </c>
      <c r="P14" s="18" t="n">
        <v>0.3328159568933295</v>
      </c>
    </row>
    <row r="15">
      <c r="A15" s="16" t="inlineStr">
        <is>
          <t>MB-178-N</t>
        </is>
      </c>
      <c r="B15" s="16" t="inlineStr">
        <is>
          <t>Bocina de Barra Bluetooth LINK BITS con dos altavoces, sonido de alta calidad y multifuncional (Bluetooth, Radio FM, USB, TF, AUX, TWS), ideal para juegos, reuniones, oficina y cine en casa.</t>
        </is>
      </c>
      <c r="C15" s="17" t="n">
        <v>12237.47</v>
      </c>
      <c r="D15" s="18" t="n">
        <v>0.02677041641452124</v>
      </c>
      <c r="E15" s="16" t="n">
        <v>97</v>
      </c>
      <c r="F15" s="16" t="n">
        <v>74</v>
      </c>
      <c r="G15" s="16" t="n">
        <v>74</v>
      </c>
      <c r="H15" s="17" t="n">
        <v>165.37</v>
      </c>
      <c r="I15" s="17" t="n">
        <v>126.16</v>
      </c>
      <c r="J15" s="17" t="n">
        <v>808.23</v>
      </c>
      <c r="K15" s="17" t="n">
        <v>2349.02</v>
      </c>
      <c r="L15" s="17" t="n">
        <v>3932.14</v>
      </c>
      <c r="M15" s="17" t="n">
        <v>2315.98</v>
      </c>
      <c r="N15" s="17" t="n">
        <v>2832.1</v>
      </c>
      <c r="O15" s="17" t="n">
        <v>516.11</v>
      </c>
      <c r="P15" s="18" t="n">
        <v>0.2228488870563089</v>
      </c>
    </row>
    <row r="16">
      <c r="A16" s="16" t="inlineStr">
        <is>
          <t>MCM-001G</t>
        </is>
      </c>
      <c r="B16" s="16" t="inlineStr">
        <is>
          <t>Musicord Altavoz Inalámbrico BT Portátil: ¡Sonido impactante, luces LED multicolores y 4 horas de autonomía! Compatible con TWS, FM, TF y USB – Imprescindible para fiestas y viajes</t>
        </is>
      </c>
      <c r="C16" s="17" t="n">
        <v>10937.84</v>
      </c>
      <c r="D16" s="18" t="n">
        <v>0.02392737515841782</v>
      </c>
      <c r="E16" s="16" t="n">
        <v>239</v>
      </c>
      <c r="F16" s="16" t="n">
        <v>206</v>
      </c>
      <c r="G16" s="16" t="n">
        <v>206</v>
      </c>
      <c r="H16" s="17" t="n">
        <v>53.1</v>
      </c>
      <c r="I16" s="17" t="n">
        <v>45.77</v>
      </c>
      <c r="J16" s="17" t="n">
        <v>3144.61</v>
      </c>
      <c r="K16" s="17" t="n">
        <v>2675.43</v>
      </c>
      <c r="L16" s="17" t="n">
        <v>1601.42</v>
      </c>
      <c r="M16" s="17" t="n">
        <v>2627.17</v>
      </c>
      <c r="N16" s="17" t="n">
        <v>889.2</v>
      </c>
      <c r="O16" s="17" t="n">
        <v>-1737.97</v>
      </c>
      <c r="P16" s="18" t="n">
        <v>-0.661536348708808</v>
      </c>
    </row>
    <row r="17">
      <c r="A17" s="16" t="inlineStr">
        <is>
          <t>LV64W25</t>
        </is>
      </c>
      <c r="B17" s="16" t="inlineStr">
        <is>
          <t>Ventilador de Techo LED TIANLAI con 5 Aspas, Control Remoto, 3 Colores Luz, 3 Velocidades, Temporizador, Fácil Instalación, E27 para Baño Cocina Dormitorio Salón</t>
        </is>
      </c>
      <c r="C17" s="17" t="n">
        <v>9921.040000000001</v>
      </c>
      <c r="D17" s="18" t="n">
        <v>0.02170304865766321</v>
      </c>
      <c r="E17" s="16" t="n">
        <v>83</v>
      </c>
      <c r="F17" s="16" t="n">
        <v>43</v>
      </c>
      <c r="G17" s="16" t="n">
        <v>43</v>
      </c>
      <c r="H17" s="17" t="n">
        <v>230.72</v>
      </c>
      <c r="I17" s="17" t="n">
        <v>119.53</v>
      </c>
      <c r="J17" s="17" t="n">
        <v>1768.48</v>
      </c>
      <c r="K17" s="17" t="n">
        <v>1920.53</v>
      </c>
      <c r="L17" s="17" t="n">
        <v>1546.71</v>
      </c>
      <c r="M17" s="17" t="n">
        <v>4046.81</v>
      </c>
      <c r="N17" s="17" t="n">
        <v>638.51</v>
      </c>
      <c r="O17" s="17" t="n">
        <v>-3408.3</v>
      </c>
      <c r="P17" s="18" t="n">
        <v>-0.8422195727836278</v>
      </c>
    </row>
    <row r="18">
      <c r="A18" s="16" t="inlineStr">
        <is>
          <t>MB-185A</t>
        </is>
      </c>
      <c r="B18" s="16" t="inlineStr">
        <is>
          <t>Bocina Radio FM/Reproductor, Compatible con Tarjeta TF, USB, Bluetooth, Aplicable para celular, computadora, Ipad y consola.</t>
        </is>
      </c>
      <c r="C18" s="17" t="n">
        <v>9079.139999999999</v>
      </c>
      <c r="D18" s="18" t="n">
        <v>0.01986133311156072</v>
      </c>
      <c r="E18" s="16" t="n">
        <v>130</v>
      </c>
      <c r="F18" s="16" t="n">
        <v>115</v>
      </c>
      <c r="G18" s="16" t="n">
        <v>115</v>
      </c>
      <c r="H18" s="17" t="n">
        <v>78.95</v>
      </c>
      <c r="I18" s="17" t="n">
        <v>69.84</v>
      </c>
      <c r="J18" s="17" t="n">
        <v>1640.62</v>
      </c>
      <c r="K18" s="17" t="n">
        <v>680.72</v>
      </c>
      <c r="L18" s="17" t="n">
        <v>894.01</v>
      </c>
      <c r="M18" s="17" t="n">
        <v>2112.5</v>
      </c>
      <c r="N18" s="17" t="n">
        <v>3751.28</v>
      </c>
      <c r="O18" s="17" t="n">
        <v>1638.78</v>
      </c>
      <c r="P18" s="18" t="n">
        <v>0.7757499977929041</v>
      </c>
    </row>
    <row r="19">
      <c r="A19" s="16" t="inlineStr">
        <is>
          <t>MCM-001N</t>
        </is>
      </c>
      <c r="B19" s="16" t="inlineStr">
        <is>
          <t>Musicord Altavoz Inalámbrico BT Portátil: ¡Sonido impactante, luces LED multicolores y 4 horas de autonomía! Compatible con TWS, FM, TF y USB – Imprescindible para fiestas y viajes</t>
        </is>
      </c>
      <c r="C19" s="17" t="n">
        <v>8587.66</v>
      </c>
      <c r="D19" s="18" t="n">
        <v>0.01878617149122364</v>
      </c>
      <c r="E19" s="16" t="n">
        <v>154</v>
      </c>
      <c r="F19" s="16" t="n">
        <v>147</v>
      </c>
      <c r="G19" s="16" t="n">
        <v>147</v>
      </c>
      <c r="H19" s="17" t="n">
        <v>58.42</v>
      </c>
      <c r="I19" s="17" t="n">
        <v>55.76</v>
      </c>
      <c r="J19" s="17" t="n">
        <v>784.1900000000001</v>
      </c>
      <c r="K19" s="17" t="n">
        <v>1879.19</v>
      </c>
      <c r="L19" s="17" t="n">
        <v>2591.02</v>
      </c>
      <c r="M19" s="17" t="n">
        <v>1493.72</v>
      </c>
      <c r="N19" s="17" t="n">
        <v>1839.53</v>
      </c>
      <c r="O19" s="17" t="n">
        <v>345.81</v>
      </c>
      <c r="P19" s="18" t="n">
        <v>0.2315112626298279</v>
      </c>
    </row>
    <row r="20">
      <c r="A20" s="16" t="inlineStr">
        <is>
          <t>MCM-001A</t>
        </is>
      </c>
      <c r="B20" s="16" t="inlineStr">
        <is>
          <t>Musicord Altavoz Inalámbrico BT Portátil: ¡Sonido impactante, luces LED multicolores y 4 horas de autonomía! Compatible con TWS, FM, TF y USB – Imprescindible para fiestas y viajes</t>
        </is>
      </c>
      <c r="C20" s="17" t="n">
        <v>8163.52</v>
      </c>
      <c r="D20" s="18" t="n">
        <v>0.01785832971020134</v>
      </c>
      <c r="E20" s="16" t="n">
        <v>175</v>
      </c>
      <c r="F20" s="16" t="n">
        <v>142</v>
      </c>
      <c r="G20" s="16" t="n">
        <v>142</v>
      </c>
      <c r="H20" s="17" t="n">
        <v>57.49</v>
      </c>
      <c r="I20" s="17" t="n">
        <v>46.65</v>
      </c>
      <c r="J20" s="17" t="n">
        <v>2482.34</v>
      </c>
      <c r="K20" s="17" t="n">
        <v>1236.34</v>
      </c>
      <c r="L20" s="17" t="n">
        <v>818.41</v>
      </c>
      <c r="M20" s="17" t="n">
        <v>2699.23</v>
      </c>
      <c r="N20" s="17" t="n">
        <v>927.1900000000001</v>
      </c>
      <c r="O20" s="17" t="n">
        <v>-1772.05</v>
      </c>
      <c r="P20" s="18" t="n">
        <v>-0.6564997369901444</v>
      </c>
    </row>
    <row r="21">
      <c r="A21" s="16" t="inlineStr">
        <is>
          <t>MCM-001R</t>
        </is>
      </c>
      <c r="B21" s="16" t="inlineStr">
        <is>
          <t>Musicord Altavoz Inalámbrico BT Portátil: ¡Sonido impactante, luces LED multicolores y 4 horas de autonomía! Compatible con TWS, FM, TF y USB – Imprescindible para fiestas y viajes</t>
        </is>
      </c>
      <c r="C21" s="17" t="n">
        <v>7749.14</v>
      </c>
      <c r="D21" s="18" t="n">
        <v>0.01695186177288875</v>
      </c>
      <c r="E21" s="16" t="n">
        <v>130</v>
      </c>
      <c r="F21" s="16" t="n">
        <v>127</v>
      </c>
      <c r="G21" s="16" t="n">
        <v>127</v>
      </c>
      <c r="H21" s="17" t="n">
        <v>61.02</v>
      </c>
      <c r="I21" s="17" t="n">
        <v>59.61</v>
      </c>
      <c r="J21" s="17" t="n">
        <v>2292.83</v>
      </c>
      <c r="K21" s="17" t="n">
        <v>1331.37</v>
      </c>
      <c r="L21" s="17" t="n">
        <v>1471.12</v>
      </c>
      <c r="M21" s="17" t="n">
        <v>1292.82</v>
      </c>
      <c r="N21" s="17" t="n">
        <v>1361</v>
      </c>
      <c r="O21" s="17" t="n">
        <v>68.18000000000001</v>
      </c>
      <c r="P21" s="18" t="n">
        <v>0.05273873334931393</v>
      </c>
    </row>
    <row r="22">
      <c r="A22" s="16" t="inlineStr">
        <is>
          <t>FA028</t>
        </is>
      </c>
      <c r="B22" s="16" t="inlineStr">
        <is>
          <t>Extractor de agua para garrafas de agua, compatible con carga USB, extractor de agua automático, práctico, con dos modos de toma de agua: manual y programado, ideal para dormitorios, salones, oficinas, uso al aire libre y otros escenarios.</t>
        </is>
      </c>
      <c r="C22" s="17" t="n">
        <v>7290.79</v>
      </c>
      <c r="D22" s="18" t="n">
        <v>0.01594917035771996</v>
      </c>
      <c r="E22" s="16" t="n">
        <v>253</v>
      </c>
      <c r="F22" s="16" t="n">
        <v>194</v>
      </c>
      <c r="G22" s="16" t="n">
        <v>194</v>
      </c>
      <c r="H22" s="17" t="n">
        <v>37.58</v>
      </c>
      <c r="I22" s="17" t="n">
        <v>28.82</v>
      </c>
      <c r="J22" s="17" t="n">
        <v>1119.46</v>
      </c>
      <c r="K22" s="17" t="n">
        <v>1373.87</v>
      </c>
      <c r="L22" s="17" t="n">
        <v>1370.81</v>
      </c>
      <c r="M22" s="17" t="n">
        <v>1852.94</v>
      </c>
      <c r="N22" s="17" t="n">
        <v>1573.71</v>
      </c>
      <c r="O22" s="17" t="n">
        <v>-279.23</v>
      </c>
      <c r="P22" s="18" t="n">
        <v>-0.1506957440114723</v>
      </c>
    </row>
    <row r="23">
      <c r="A23" s="16" t="inlineStr">
        <is>
          <t>MB-185R</t>
        </is>
      </c>
      <c r="B23" s="16" t="inlineStr">
        <is>
          <t>Bocina Radio FM/Reproductor, Compatible con Tarjeta TF, USB, Bluetooth, Aplicable para celular, computadora, Ipad y consola.</t>
        </is>
      </c>
      <c r="C23" s="17" t="n">
        <v>6731.55</v>
      </c>
      <c r="D23" s="18" t="n">
        <v>0.01472578291249179</v>
      </c>
      <c r="E23" s="16" t="n">
        <v>98</v>
      </c>
      <c r="F23" s="16" t="n">
        <v>82</v>
      </c>
      <c r="G23" s="16" t="n">
        <v>82</v>
      </c>
      <c r="H23" s="17" t="n">
        <v>82.09</v>
      </c>
      <c r="I23" s="17" t="n">
        <v>68.69</v>
      </c>
      <c r="J23" s="17" t="n">
        <v>930.2</v>
      </c>
      <c r="K23" s="17" t="n">
        <v>1132.37</v>
      </c>
      <c r="L23" s="17" t="n">
        <v>1198.32</v>
      </c>
      <c r="M23" s="17" t="n">
        <v>1345.8</v>
      </c>
      <c r="N23" s="17" t="n">
        <v>2124.86</v>
      </c>
      <c r="O23" s="17" t="n">
        <v>779.0599999999999</v>
      </c>
      <c r="P23" s="18" t="n">
        <v>0.5788833484736726</v>
      </c>
    </row>
    <row r="24">
      <c r="A24" s="16" t="inlineStr">
        <is>
          <t>SA323T</t>
        </is>
      </c>
      <c r="B24" s="16" t="inlineStr">
        <is>
          <t>Linkbits Bocina Portátil Parlantes BT Portátiles con Iluminación de Ambiente | 1 Hora de Duración, FM, TWS, TF/Micro SD | Ideal para Hogar, Fiestas y Viajes</t>
        </is>
      </c>
      <c r="C24" s="17" t="n">
        <v>6440.86</v>
      </c>
      <c r="D24" s="18" t="n">
        <v>0.01408989118250995</v>
      </c>
      <c r="E24" s="16" t="n">
        <v>164</v>
      </c>
      <c r="F24" s="16" t="n">
        <v>138</v>
      </c>
      <c r="G24" s="16" t="n">
        <v>138</v>
      </c>
      <c r="H24" s="17" t="n">
        <v>46.67</v>
      </c>
      <c r="I24" s="17" t="n">
        <v>39.27</v>
      </c>
      <c r="J24" s="17" t="n">
        <v>1710.39</v>
      </c>
      <c r="K24" s="17" t="n">
        <v>1370.95</v>
      </c>
      <c r="L24" s="17" t="n">
        <v>1928.31</v>
      </c>
      <c r="M24" s="17" t="n">
        <v>1237.06</v>
      </c>
      <c r="N24" s="17" t="n">
        <v>194.16</v>
      </c>
      <c r="O24" s="17" t="n">
        <v>-1042.9</v>
      </c>
      <c r="P24" s="18" t="n">
        <v>-0.8430490714313834</v>
      </c>
    </row>
    <row r="25">
      <c r="A25" s="16" t="inlineStr">
        <is>
          <t>KTS-1678Y</t>
        </is>
      </c>
      <c r="B25" s="16" t="inlineStr">
        <is>
          <t>Bocina portátil Inalámbrico, de 3 pulgadas, tamaño de bolsillo, 170 g, con asa, compatible con TF, USB y Micro SD, con radio FM y función TWS (True Wireless Stereo), adecuada para relajarse en casa o viajar al aire libre.</t>
        </is>
      </c>
      <c r="C25" s="17" t="n">
        <v>6424.2</v>
      </c>
      <c r="D25" s="18" t="n">
        <v>0.01405344656460872</v>
      </c>
      <c r="E25" s="16" t="n">
        <v>176</v>
      </c>
      <c r="F25" s="16" t="n">
        <v>134</v>
      </c>
      <c r="G25" s="16" t="n">
        <v>134</v>
      </c>
      <c r="H25" s="17" t="n">
        <v>47.94</v>
      </c>
      <c r="I25" s="17" t="n">
        <v>36.5</v>
      </c>
      <c r="J25" s="17" t="n">
        <v>1157.28</v>
      </c>
      <c r="K25" s="17" t="n">
        <v>2423.65</v>
      </c>
      <c r="L25" s="17" t="n">
        <v>1764.23</v>
      </c>
      <c r="M25" s="17" t="n">
        <v>804.3200000000001</v>
      </c>
      <c r="N25" s="17" t="n">
        <v>274.72</v>
      </c>
      <c r="O25" s="17" t="n">
        <v>-529.6</v>
      </c>
      <c r="P25" s="18" t="n">
        <v>-0.658445482864107</v>
      </c>
    </row>
    <row r="26">
      <c r="A26" s="16" t="inlineStr">
        <is>
          <t>S09W18IB-8PZS</t>
        </is>
      </c>
      <c r="B2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C26" s="17" t="n">
        <v>5302.13</v>
      </c>
      <c r="D26" s="18" t="n">
        <v>0.0115988184866109</v>
      </c>
      <c r="E26" s="16" t="n">
        <v>22</v>
      </c>
      <c r="F26" s="16" t="n">
        <v>18</v>
      </c>
      <c r="G26" s="16" t="n">
        <v>18</v>
      </c>
      <c r="H26" s="17" t="n">
        <v>294.56</v>
      </c>
      <c r="I26" s="17" t="n">
        <v>241.01</v>
      </c>
      <c r="J26" s="17" t="n">
        <v>761.8099999999999</v>
      </c>
      <c r="K26" s="17" t="n">
        <v>717.34</v>
      </c>
      <c r="L26" s="17" t="n">
        <v>2123.43</v>
      </c>
      <c r="M26" s="17" t="n">
        <v>736.83</v>
      </c>
      <c r="N26" s="17" t="n">
        <v>962.72</v>
      </c>
      <c r="O26" s="17" t="n">
        <v>225.89</v>
      </c>
      <c r="P26" s="18" t="n">
        <v>0.306569877510045</v>
      </c>
    </row>
    <row r="27">
      <c r="A27" s="16" t="inlineStr">
        <is>
          <t>KTS-1678V</t>
        </is>
      </c>
      <c r="B27" s="16" t="inlineStr">
        <is>
          <t>Bocina portátil Inalámbrico, de 3 pulgadas, tamaño de bolsillo, 170 g, con asa, compatible con TF, USB y Micro SD, con radio FM y función TWS (True Wireless Stereo), adecuada para relajarse en casa o viajar al aire libre.</t>
        </is>
      </c>
      <c r="C27" s="17" t="n">
        <v>5027.12</v>
      </c>
      <c r="D27" s="18" t="n">
        <v>0.01099721485978659</v>
      </c>
      <c r="E27" s="16" t="n">
        <v>139</v>
      </c>
      <c r="F27" s="16" t="n">
        <v>89</v>
      </c>
      <c r="G27" s="16" t="n">
        <v>89</v>
      </c>
      <c r="H27" s="17" t="n">
        <v>56.48</v>
      </c>
      <c r="I27" s="17" t="n">
        <v>36.17</v>
      </c>
      <c r="J27" s="17" t="n">
        <v>1339.11</v>
      </c>
      <c r="K27" s="17" t="n">
        <v>1000.41</v>
      </c>
      <c r="L27" s="17" t="n">
        <v>1905.86</v>
      </c>
      <c r="M27" s="17" t="n">
        <v>490.41</v>
      </c>
      <c r="N27" s="17" t="n">
        <v>291.34</v>
      </c>
      <c r="O27" s="17" t="n">
        <v>-199.07</v>
      </c>
      <c r="P27" s="18" t="n">
        <v>-0.4059269167889716</v>
      </c>
    </row>
    <row r="28">
      <c r="A28" s="16" t="inlineStr">
        <is>
          <t>HD005</t>
        </is>
      </c>
      <c r="B28" s="16" t="inlineStr">
        <is>
          <t>Link bits HD005 Antena UHF para Exteriores, Antena de TV Digital HD con 10 Metros de Cable, Recepción 470-862MHz, 9-7dB de Ganancia, Antena para Canales Abiertos y HD, Resistente al Agua y Viento, Fácil Instalación</t>
        </is>
      </c>
      <c r="C28" s="17" t="n">
        <v>4982.63</v>
      </c>
      <c r="D28" s="18" t="n">
        <v>0.01089990393672944</v>
      </c>
      <c r="E28" s="16" t="n">
        <v>69</v>
      </c>
      <c r="F28" s="16" t="n">
        <v>56</v>
      </c>
      <c r="G28" s="16" t="n">
        <v>56</v>
      </c>
      <c r="H28" s="17" t="n">
        <v>88.98</v>
      </c>
      <c r="I28" s="17" t="n">
        <v>72.20999999999999</v>
      </c>
      <c r="J28" s="17" t="n">
        <v>0</v>
      </c>
      <c r="K28" s="17" t="n">
        <v>0</v>
      </c>
      <c r="L28" s="17" t="n">
        <v>0</v>
      </c>
      <c r="M28" s="17" t="n">
        <v>1747.22</v>
      </c>
      <c r="N28" s="17" t="n">
        <v>3235.42</v>
      </c>
      <c r="O28" s="17" t="n">
        <v>1488.2</v>
      </c>
      <c r="P28" s="18" t="n">
        <v>0.851752106025648</v>
      </c>
    </row>
    <row r="29">
      <c r="A29" s="16" t="inlineStr">
        <is>
          <t>S58W60</t>
        </is>
      </c>
      <c r="B29"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C29" s="17" t="n">
        <v>3945.91</v>
      </c>
      <c r="D29" s="18" t="n">
        <v>0.008631987312130411</v>
      </c>
      <c r="E29" s="16" t="n">
        <v>74</v>
      </c>
      <c r="F29" s="16" t="n">
        <v>28</v>
      </c>
      <c r="G29" s="16" t="n">
        <v>28</v>
      </c>
      <c r="H29" s="17" t="n">
        <v>140.93</v>
      </c>
      <c r="I29" s="17" t="n">
        <v>53.32</v>
      </c>
      <c r="J29" s="17" t="n">
        <v>1514.46</v>
      </c>
      <c r="K29" s="17" t="n">
        <v>852.72</v>
      </c>
      <c r="L29" s="17" t="n">
        <v>732.6900000000001</v>
      </c>
      <c r="M29" s="17" t="n">
        <v>786.8</v>
      </c>
      <c r="N29" s="17" t="n">
        <v>59.24</v>
      </c>
      <c r="O29" s="17" t="n">
        <v>-727.5599999999999</v>
      </c>
      <c r="P29" s="18" t="n">
        <v>-0.9247097402750497</v>
      </c>
    </row>
    <row r="30">
      <c r="A30" s="16" t="inlineStr">
        <is>
          <t>S09W18IB</t>
        </is>
      </c>
      <c r="B3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C30" s="17" t="n">
        <v>3860.26</v>
      </c>
      <c r="D30" s="18" t="n">
        <v>0.008444613241247482</v>
      </c>
      <c r="E30" s="16" t="n">
        <v>146</v>
      </c>
      <c r="F30" s="16" t="n">
        <v>49</v>
      </c>
      <c r="G30" s="16" t="n">
        <v>49</v>
      </c>
      <c r="H30" s="17" t="n">
        <v>78.78</v>
      </c>
      <c r="I30" s="17" t="n">
        <v>26.44</v>
      </c>
      <c r="J30" s="17" t="n">
        <v>117.31</v>
      </c>
      <c r="K30" s="17" t="n">
        <v>1086.67</v>
      </c>
      <c r="L30" s="17" t="n">
        <v>1267.62</v>
      </c>
      <c r="M30" s="17" t="n">
        <v>1153.54</v>
      </c>
      <c r="N30" s="17" t="n">
        <v>235.11</v>
      </c>
      <c r="O30" s="17" t="n">
        <v>-918.4299999999999</v>
      </c>
      <c r="P30" s="18" t="n">
        <v>-0.7961836491158748</v>
      </c>
    </row>
    <row r="31">
      <c r="A31" s="16" t="inlineStr">
        <is>
          <t>EM04W36-2PZS</t>
        </is>
      </c>
      <c r="B3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C31" s="17" t="n">
        <v>3238.17</v>
      </c>
      <c r="D31" s="18" t="n">
        <v>0.007083746121667078</v>
      </c>
      <c r="E31" s="16" t="n">
        <v>24</v>
      </c>
      <c r="F31" s="16" t="n">
        <v>22</v>
      </c>
      <c r="G31" s="16" t="n">
        <v>22</v>
      </c>
      <c r="H31" s="17" t="n">
        <v>147.19</v>
      </c>
      <c r="I31" s="17" t="n">
        <v>134.92</v>
      </c>
      <c r="J31" s="17" t="n">
        <v>180.74</v>
      </c>
      <c r="K31" s="17" t="n">
        <v>390.34</v>
      </c>
      <c r="L31" s="17" t="n">
        <v>239.23</v>
      </c>
      <c r="M31" s="17" t="n">
        <v>745.28</v>
      </c>
      <c r="N31" s="17" t="n">
        <v>1682.58</v>
      </c>
      <c r="O31" s="17" t="n">
        <v>937.3</v>
      </c>
      <c r="P31" s="18" t="n">
        <v>1.257661223179227</v>
      </c>
    </row>
    <row r="32">
      <c r="A32" s="16" t="inlineStr">
        <is>
          <t>SA8058T</t>
        </is>
      </c>
      <c r="B32"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C32" s="17" t="n">
        <v>3145.53</v>
      </c>
      <c r="D32" s="18" t="n">
        <v>0.006881102972614617</v>
      </c>
      <c r="E32" s="16" t="n">
        <v>17</v>
      </c>
      <c r="F32" s="16" t="n">
        <v>15</v>
      </c>
      <c r="G32" s="16" t="n">
        <v>15</v>
      </c>
      <c r="H32" s="17" t="n">
        <v>209.7</v>
      </c>
      <c r="I32" s="17" t="n">
        <v>185.03</v>
      </c>
      <c r="J32" s="17" t="n">
        <v>0</v>
      </c>
      <c r="K32" s="17" t="n">
        <v>533.41</v>
      </c>
      <c r="L32" s="17" t="n">
        <v>764.85</v>
      </c>
      <c r="M32" s="17" t="n">
        <v>1034.56</v>
      </c>
      <c r="N32" s="17" t="n">
        <v>812.71</v>
      </c>
      <c r="O32" s="17" t="n">
        <v>-221.85</v>
      </c>
      <c r="P32" s="18" t="n">
        <v>-0.2144345147189258</v>
      </c>
    </row>
    <row r="33">
      <c r="A33" s="16" t="inlineStr">
        <is>
          <t>MB-184N</t>
        </is>
      </c>
      <c r="B33" s="16" t="inlineStr">
        <is>
          <t>Link bits Portable Bluetooth Speaker - 800W Peak Power, 50W Full-Range Audio with Dual Bass System &amp; Deep Bass Membranes, Powerful &amp; Distortion-Free Sound, IP65 Waterproof Dustproof, TWS Support &amp; 6H Battery for Outdoor/Party</t>
        </is>
      </c>
      <c r="C33" s="17" t="n">
        <v>3050.02</v>
      </c>
      <c r="D33" s="18" t="n">
        <v>0.006672162332368795</v>
      </c>
      <c r="E33" s="16" t="n">
        <v>5</v>
      </c>
      <c r="F33" s="16" t="n">
        <v>5</v>
      </c>
      <c r="G33" s="16" t="n">
        <v>5</v>
      </c>
      <c r="H33" s="17" t="n">
        <v>610</v>
      </c>
      <c r="I33" s="17" t="n">
        <v>610</v>
      </c>
      <c r="J33" s="17" t="n">
        <v>594.37</v>
      </c>
      <c r="K33" s="17" t="n">
        <v>634.88</v>
      </c>
      <c r="L33" s="17" t="n">
        <v>590.1</v>
      </c>
      <c r="M33" s="17" t="n">
        <v>594.37</v>
      </c>
      <c r="N33" s="17" t="n">
        <v>636.3099999999999</v>
      </c>
      <c r="O33" s="17" t="n">
        <v>41.94</v>
      </c>
      <c r="P33" s="18" t="n">
        <v>0.07056143868985003</v>
      </c>
    </row>
    <row r="34">
      <c r="A34" s="16" t="inlineStr">
        <is>
          <t>MB-178-B</t>
        </is>
      </c>
      <c r="B34" s="16" t="inlineStr">
        <is>
          <t>Bocina de Barra Bluetooth LINK BITS con dos altavoces, sonido de alta calidad y multifuncional (Bluetooth, Radio FM, USB, TF, AUX, TWS), ideal para juegos, reuniones, oficina y cine en casa.</t>
        </is>
      </c>
      <c r="C34" s="17" t="n">
        <v>2755.44</v>
      </c>
      <c r="D34" s="18" t="n">
        <v>0.006027740249965262</v>
      </c>
      <c r="E34" s="16" t="n">
        <v>23</v>
      </c>
      <c r="F34" s="16" t="n">
        <v>21</v>
      </c>
      <c r="G34" s="16" t="n">
        <v>21</v>
      </c>
      <c r="H34" s="17" t="n">
        <v>131.21</v>
      </c>
      <c r="I34" s="17" t="n">
        <v>119.8</v>
      </c>
      <c r="J34" s="17" t="n">
        <v>131.85</v>
      </c>
      <c r="K34" s="17" t="n">
        <v>253.39</v>
      </c>
      <c r="L34" s="17" t="n">
        <v>583.89</v>
      </c>
      <c r="M34" s="17" t="n">
        <v>718.23</v>
      </c>
      <c r="N34" s="17" t="n">
        <v>1068.08</v>
      </c>
      <c r="O34" s="17" t="n">
        <v>349.84</v>
      </c>
      <c r="P34" s="18" t="n">
        <v>0.4870918377860288</v>
      </c>
    </row>
    <row r="35">
      <c r="A35" s="16" t="inlineStr">
        <is>
          <t>EM04W36</t>
        </is>
      </c>
      <c r="B3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C35" s="17" t="n">
        <v>2688.14</v>
      </c>
      <c r="D35" s="18" t="n">
        <v>0.005880511085773336</v>
      </c>
      <c r="E35" s="16" t="n">
        <v>43</v>
      </c>
      <c r="F35" s="16" t="n">
        <v>33</v>
      </c>
      <c r="G35" s="16" t="n">
        <v>34</v>
      </c>
      <c r="H35" s="17" t="n">
        <v>81.45999999999999</v>
      </c>
      <c r="I35" s="17" t="n">
        <v>62.51</v>
      </c>
      <c r="J35" s="17" t="n">
        <v>272.33</v>
      </c>
      <c r="K35" s="17" t="n">
        <v>351.14</v>
      </c>
      <c r="L35" s="17" t="n">
        <v>386.69</v>
      </c>
      <c r="M35" s="17" t="n">
        <v>916.77</v>
      </c>
      <c r="N35" s="17" t="n">
        <v>761.21</v>
      </c>
      <c r="O35" s="17" t="n">
        <v>-155.57</v>
      </c>
      <c r="P35" s="18" t="n">
        <v>-0.1696904775617447</v>
      </c>
    </row>
    <row r="36">
      <c r="A36" s="16" t="inlineStr">
        <is>
          <t>S39W48-5PZS</t>
        </is>
      </c>
      <c r="B36"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C36" s="17" t="n">
        <v>2642.81</v>
      </c>
      <c r="D36" s="18" t="n">
        <v>0.005781348377637535</v>
      </c>
      <c r="E36" s="16" t="n">
        <v>18</v>
      </c>
      <c r="F36" s="16" t="n">
        <v>13</v>
      </c>
      <c r="G36" s="16" t="n">
        <v>13</v>
      </c>
      <c r="H36" s="17" t="n">
        <v>203.29</v>
      </c>
      <c r="I36" s="17" t="n">
        <v>146.82</v>
      </c>
      <c r="J36" s="17" t="n">
        <v>196.28</v>
      </c>
      <c r="K36" s="17" t="n">
        <v>689.76</v>
      </c>
      <c r="L36" s="17" t="n">
        <v>446.66</v>
      </c>
      <c r="M36" s="17" t="n">
        <v>1153.28</v>
      </c>
      <c r="N36" s="17" t="n">
        <v>156.83</v>
      </c>
      <c r="O36" s="17" t="n">
        <v>-996.45</v>
      </c>
      <c r="P36" s="18" t="n">
        <v>-0.8640178593609145</v>
      </c>
    </row>
    <row r="37">
      <c r="A37" s="16" t="inlineStr">
        <is>
          <t>KTS-1678N</t>
        </is>
      </c>
      <c r="B37" s="16" t="inlineStr">
        <is>
          <t>Bocina portátil Inalámbrico, de 3 pulgadas, tamaño de bolsillo, 170 g, con asa, compatible con TF, USB y Micro SD, con radio FM y función TWS (True Wireless Stereo), adecuada para relajarse en casa o viajar al aire libre.</t>
        </is>
      </c>
      <c r="C37" s="17" t="n">
        <v>2042.47</v>
      </c>
      <c r="D37" s="18" t="n">
        <v>0.004468069071968885</v>
      </c>
      <c r="E37" s="16" t="n">
        <v>57</v>
      </c>
      <c r="F37" s="16" t="n">
        <v>52</v>
      </c>
      <c r="G37" s="16" t="n">
        <v>52</v>
      </c>
      <c r="H37" s="17" t="n">
        <v>39.28</v>
      </c>
      <c r="I37" s="17" t="n">
        <v>35.83</v>
      </c>
      <c r="J37" s="17" t="n">
        <v>1051.95</v>
      </c>
      <c r="K37" s="17" t="n">
        <v>76.40000000000001</v>
      </c>
      <c r="L37" s="17" t="n">
        <v>115.76</v>
      </c>
      <c r="M37" s="17" t="n">
        <v>407.48</v>
      </c>
      <c r="N37" s="17" t="n">
        <v>390.89</v>
      </c>
      <c r="O37" s="17" t="n">
        <v>-16.59</v>
      </c>
      <c r="P37" s="18" t="n">
        <v>-0.04071256685820756</v>
      </c>
    </row>
    <row r="38">
      <c r="A38" s="16" t="inlineStr">
        <is>
          <t>KTS-1678R</t>
        </is>
      </c>
      <c r="B38" s="16" t="inlineStr">
        <is>
          <t>Bocina portátil Inalámbrico, de 3 pulgadas, tamaño de bolsillo, 170 g, con asa, compatible con TF, USB y Micro SD, con radio FM y función TWS (True Wireless Stereo), adecuada para relajarse en casa o viajar al aire libre.</t>
        </is>
      </c>
      <c r="C38" s="17" t="n">
        <v>1849.15</v>
      </c>
      <c r="D38" s="18" t="n">
        <v>0.004045156142499784</v>
      </c>
      <c r="E38" s="16" t="n">
        <v>55</v>
      </c>
      <c r="F38" s="16" t="n">
        <v>47</v>
      </c>
      <c r="G38" s="16" t="n">
        <v>47</v>
      </c>
      <c r="H38" s="17" t="n">
        <v>39.34</v>
      </c>
      <c r="I38" s="17" t="n">
        <v>33.62</v>
      </c>
      <c r="J38" s="17" t="n">
        <v>662.28</v>
      </c>
      <c r="K38" s="17" t="n">
        <v>321.13</v>
      </c>
      <c r="L38" s="17" t="n">
        <v>231.99</v>
      </c>
      <c r="M38" s="17" t="n">
        <v>422.99</v>
      </c>
      <c r="N38" s="17" t="n">
        <v>210.76</v>
      </c>
      <c r="O38" s="17" t="n">
        <v>-212.23</v>
      </c>
      <c r="P38" s="18" t="n">
        <v>-0.5017462027699284</v>
      </c>
    </row>
    <row r="39">
      <c r="A39" s="16" t="inlineStr">
        <is>
          <t>VA384T-A</t>
        </is>
      </c>
      <c r="B39" s="16" t="inlineStr">
        <is>
          <t>Bocina Portátil Bluetooth de 3 Pulgadas con Radio FM, USB TF TWS, Sonido Estéreo 5W, Bocina Recargable para Hogar Exterior Viaje Fiesta Camping</t>
        </is>
      </c>
      <c r="C39" s="17" t="n">
        <v>1824.5</v>
      </c>
      <c r="D39" s="18" t="n">
        <v>0.003991226976448625</v>
      </c>
      <c r="E39" s="16" t="n">
        <v>47</v>
      </c>
      <c r="F39" s="16" t="n">
        <v>42</v>
      </c>
      <c r="G39" s="16" t="n">
        <v>42</v>
      </c>
      <c r="H39" s="17" t="n">
        <v>43.44</v>
      </c>
      <c r="I39" s="17" t="n">
        <v>38.82</v>
      </c>
      <c r="J39" s="17" t="n">
        <v>30.81</v>
      </c>
      <c r="K39" s="17" t="n">
        <v>202.32</v>
      </c>
      <c r="L39" s="17" t="n">
        <v>560.34</v>
      </c>
      <c r="M39" s="17" t="n">
        <v>704.47</v>
      </c>
      <c r="N39" s="17" t="n">
        <v>326.55</v>
      </c>
      <c r="O39" s="17" t="n">
        <v>-377.92</v>
      </c>
      <c r="P39" s="18" t="n">
        <v>-0.5364591687687108</v>
      </c>
    </row>
    <row r="40">
      <c r="A40" s="16" t="inlineStr">
        <is>
          <t>VA384T-N</t>
        </is>
      </c>
      <c r="B40" s="16" t="inlineStr">
        <is>
          <t>Bocina Portátil Bluetooth de 3 Pulgadas con Radio FM, USB TF TWS, Sonido Estéreo 5W, Bocina Recargable para Hogar Exterior Viaje Fiesta Camping</t>
        </is>
      </c>
      <c r="C40" s="17" t="n">
        <v>1810.51</v>
      </c>
      <c r="D40" s="18" t="n">
        <v>0.003960631396177706</v>
      </c>
      <c r="E40" s="16" t="n">
        <v>42</v>
      </c>
      <c r="F40" s="16" t="n">
        <v>38</v>
      </c>
      <c r="G40" s="16" t="n">
        <v>38</v>
      </c>
      <c r="H40" s="17" t="n">
        <v>47.64</v>
      </c>
      <c r="I40" s="17" t="n">
        <v>43.11</v>
      </c>
      <c r="J40" s="17" t="n">
        <v>194.89</v>
      </c>
      <c r="K40" s="17" t="n">
        <v>189.96</v>
      </c>
      <c r="L40" s="17" t="n">
        <v>314.08</v>
      </c>
      <c r="M40" s="17" t="n">
        <v>461.31</v>
      </c>
      <c r="N40" s="17" t="n">
        <v>650.26</v>
      </c>
      <c r="O40" s="17" t="n">
        <v>188.95</v>
      </c>
      <c r="P40" s="18" t="n">
        <v>0.4095870276349275</v>
      </c>
    </row>
    <row r="41">
      <c r="A41" s="16" t="inlineStr">
        <is>
          <t>MB-184R</t>
        </is>
      </c>
      <c r="B41" s="16" t="inlineStr">
        <is>
          <t>Link bits Portable Bluetooth Speaker - 800W Peak Power, 50W Full-Range Audio with Dual Bass System &amp; Deep Bass Membranes, Powerful &amp; Distortion-Free Sound, IP65 Waterproof Dustproof, TWS Support &amp; 6H Battery for Outdoor/Party</t>
        </is>
      </c>
      <c r="C41" s="17" t="n">
        <v>1809.79</v>
      </c>
      <c r="D41" s="18" t="n">
        <v>0.00395905480845628</v>
      </c>
      <c r="E41" s="16" t="n">
        <v>3</v>
      </c>
      <c r="F41" s="16" t="n">
        <v>3</v>
      </c>
      <c r="G41" s="16" t="n">
        <v>3</v>
      </c>
      <c r="H41" s="17" t="n">
        <v>603.26</v>
      </c>
      <c r="I41" s="17" t="n">
        <v>603.26</v>
      </c>
      <c r="J41" s="17" t="n">
        <v>0</v>
      </c>
      <c r="K41" s="17" t="n">
        <v>1215.42</v>
      </c>
      <c r="L41" s="17" t="n">
        <v>594.37</v>
      </c>
      <c r="M41" s="17" t="n">
        <v>0</v>
      </c>
      <c r="N41" s="17" t="n">
        <v>0</v>
      </c>
      <c r="O41" s="17" t="n">
        <v>0</v>
      </c>
      <c r="P41" s="18" t="n">
        <v>0</v>
      </c>
    </row>
    <row r="42">
      <c r="A42" s="16" t="inlineStr">
        <is>
          <t>S39W48</t>
        </is>
      </c>
      <c r="B4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C42" s="17" t="n">
        <v>1280.31</v>
      </c>
      <c r="D42" s="18" t="n">
        <v>0.002800771335797046</v>
      </c>
      <c r="E42" s="16" t="n">
        <v>45</v>
      </c>
      <c r="F42" s="16" t="n">
        <v>27</v>
      </c>
      <c r="G42" s="16" t="n">
        <v>29</v>
      </c>
      <c r="H42" s="17" t="n">
        <v>47.42</v>
      </c>
      <c r="I42" s="17" t="n">
        <v>28.45</v>
      </c>
      <c r="J42" s="17" t="n">
        <v>305.31</v>
      </c>
      <c r="K42" s="17" t="n">
        <v>303.98</v>
      </c>
      <c r="L42" s="17" t="n">
        <v>353.76</v>
      </c>
      <c r="M42" s="17" t="n">
        <v>120.62</v>
      </c>
      <c r="N42" s="17" t="n">
        <v>196.65</v>
      </c>
      <c r="O42" s="17" t="n">
        <v>76.04000000000001</v>
      </c>
      <c r="P42" s="18" t="n">
        <v>0.6303910758108378</v>
      </c>
    </row>
    <row r="43">
      <c r="A43" s="16" t="inlineStr">
        <is>
          <t>KTS-1943-N</t>
        </is>
      </c>
      <c r="B4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C43" s="17" t="n">
        <v>1080.98</v>
      </c>
      <c r="D43" s="18" t="n">
        <v>0.002364718826309409</v>
      </c>
      <c r="E43" s="16" t="n">
        <v>17</v>
      </c>
      <c r="F43" s="16" t="n">
        <v>17</v>
      </c>
      <c r="G43" s="16" t="n">
        <v>17</v>
      </c>
      <c r="H43" s="17" t="n">
        <v>63.59</v>
      </c>
      <c r="I43" s="17" t="n">
        <v>63.59</v>
      </c>
      <c r="J43" s="17" t="n">
        <v>265.72</v>
      </c>
      <c r="K43" s="17" t="n">
        <v>378.38</v>
      </c>
      <c r="L43" s="17" t="n">
        <v>67.34999999999999</v>
      </c>
      <c r="M43" s="17" t="n">
        <v>238.31</v>
      </c>
      <c r="N43" s="17" t="n">
        <v>131.21</v>
      </c>
      <c r="O43" s="17" t="n">
        <v>-107.11</v>
      </c>
      <c r="P43" s="18" t="n">
        <v>-0.4494392135709121</v>
      </c>
    </row>
    <row r="44">
      <c r="A44" s="16" t="inlineStr">
        <is>
          <t>KTS-1678A</t>
        </is>
      </c>
      <c r="B44" s="16" t="inlineStr">
        <is>
          <t>Bocina portátil Inalámbrico, de 3 pulgadas, tamaño de bolsillo, 170 g, con asa, compatible con TF, USB y Micro SD, con radio FM y función TWS (True Wireless Stereo), adecuada para relajarse en casa o viajar al aire libre.</t>
        </is>
      </c>
      <c r="C44" s="17" t="n">
        <v>1053.4</v>
      </c>
      <c r="D44" s="18" t="n">
        <v>0.002304388587229715</v>
      </c>
      <c r="E44" s="16" t="n">
        <v>32</v>
      </c>
      <c r="F44" s="16" t="n">
        <v>24</v>
      </c>
      <c r="G44" s="16" t="n">
        <v>24</v>
      </c>
      <c r="H44" s="17" t="n">
        <v>43.89</v>
      </c>
      <c r="I44" s="17" t="n">
        <v>32.92</v>
      </c>
      <c r="J44" s="17" t="n">
        <v>0</v>
      </c>
      <c r="K44" s="17" t="n">
        <v>0</v>
      </c>
      <c r="L44" s="17" t="n">
        <v>0</v>
      </c>
      <c r="M44" s="17" t="n">
        <v>750.08</v>
      </c>
      <c r="N44" s="17" t="n">
        <v>303.32</v>
      </c>
      <c r="O44" s="17" t="n">
        <v>-446.75</v>
      </c>
      <c r="P44" s="18" t="n">
        <v>-0.595612723992332</v>
      </c>
    </row>
    <row r="45">
      <c r="A45" s="16" t="inlineStr">
        <is>
          <t>VA384T-R</t>
        </is>
      </c>
      <c r="B45" s="16" t="inlineStr">
        <is>
          <t>Bocina Portátil Bluetooth de 3 Pulgadas con Radio FM, USB TF TWS, Sonido Estéreo 5W, Bocina Recargable para Hogar Exterior Viaje Fiesta Camping</t>
        </is>
      </c>
      <c r="C45" s="17" t="n">
        <v>1014.02</v>
      </c>
      <c r="D45" s="18" t="n">
        <v>0.002218247001744454</v>
      </c>
      <c r="E45" s="16" t="n">
        <v>23</v>
      </c>
      <c r="F45" s="16" t="n">
        <v>19</v>
      </c>
      <c r="G45" s="16" t="n">
        <v>19</v>
      </c>
      <c r="H45" s="17" t="n">
        <v>53.37</v>
      </c>
      <c r="I45" s="17" t="n">
        <v>44.09</v>
      </c>
      <c r="J45" s="17" t="n">
        <v>66.84999999999999</v>
      </c>
      <c r="K45" s="17" t="n">
        <v>0</v>
      </c>
      <c r="L45" s="17" t="n">
        <v>284.54</v>
      </c>
      <c r="M45" s="17" t="n">
        <v>206.72</v>
      </c>
      <c r="N45" s="17" t="n">
        <v>455.91</v>
      </c>
      <c r="O45" s="17" t="n">
        <v>249.19</v>
      </c>
      <c r="P45" s="18" t="n">
        <v>1.205443124620561</v>
      </c>
    </row>
    <row r="46">
      <c r="A46" s="16" t="inlineStr">
        <is>
          <t>T5050RGB07</t>
        </is>
      </c>
      <c r="B46"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C46" s="17" t="n">
        <v>841.88</v>
      </c>
      <c r="D46" s="18" t="n">
        <v>0.001841675404039654</v>
      </c>
      <c r="E46" s="16" t="n">
        <v>17</v>
      </c>
      <c r="F46" s="16" t="n">
        <v>12</v>
      </c>
      <c r="G46" s="16" t="n">
        <v>12</v>
      </c>
      <c r="H46" s="17" t="n">
        <v>70.16</v>
      </c>
      <c r="I46" s="17" t="n">
        <v>49.52</v>
      </c>
      <c r="J46" s="17" t="n">
        <v>310</v>
      </c>
      <c r="K46" s="17" t="n">
        <v>83.59</v>
      </c>
      <c r="L46" s="17" t="n">
        <v>150.2</v>
      </c>
      <c r="M46" s="17" t="n">
        <v>165.28</v>
      </c>
      <c r="N46" s="17" t="n">
        <v>132.81</v>
      </c>
      <c r="O46" s="17" t="n">
        <v>-32.47</v>
      </c>
      <c r="P46" s="18" t="n">
        <v>-0.196448942660153</v>
      </c>
    </row>
    <row r="47">
      <c r="A47" s="16" t="inlineStr">
        <is>
          <t>LV42W08</t>
        </is>
      </c>
      <c r="B47" s="16" t="inlineStr">
        <is>
          <t>TIANLAI Ventilador de techo con luz LED RGB E27, 6 pulgadas, 40W, motor silencioso, fácil instalación, alto brillo 3800 lm, 127V. Ideal para dormitorios, salas y cocinas del hogar.</t>
        </is>
      </c>
      <c r="C47" s="17" t="n">
        <v>759.76</v>
      </c>
      <c r="D47" s="18" t="n">
        <v>0.001662040000971254</v>
      </c>
      <c r="E47" s="16" t="n">
        <v>4</v>
      </c>
      <c r="F47" s="16" t="n">
        <v>3</v>
      </c>
      <c r="G47" s="16" t="n">
        <v>3</v>
      </c>
      <c r="H47" s="17" t="n">
        <v>253.25</v>
      </c>
      <c r="I47" s="17" t="n">
        <v>189.94</v>
      </c>
      <c r="J47" s="17" t="n">
        <v>202.02</v>
      </c>
      <c r="K47" s="17" t="n">
        <v>0</v>
      </c>
      <c r="L47" s="17" t="n">
        <v>557.74</v>
      </c>
      <c r="M47" s="17" t="n">
        <v>0</v>
      </c>
      <c r="N47" s="17" t="n">
        <v>0</v>
      </c>
      <c r="O47" s="17" t="n">
        <v>0</v>
      </c>
      <c r="P47" s="18" t="n">
        <v>0</v>
      </c>
    </row>
    <row r="48">
      <c r="A48" s="16" t="inlineStr">
        <is>
          <t>KTS-1943-R</t>
        </is>
      </c>
      <c r="B48"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C48" s="17" t="n">
        <v>728.0700000000001</v>
      </c>
      <c r="D48" s="18" t="n">
        <v>0.001592714111553469</v>
      </c>
      <c r="E48" s="16" t="n">
        <v>10</v>
      </c>
      <c r="F48" s="16" t="n">
        <v>10</v>
      </c>
      <c r="G48" s="16" t="n">
        <v>10</v>
      </c>
      <c r="H48" s="17" t="n">
        <v>72.81</v>
      </c>
      <c r="I48" s="17" t="n">
        <v>72.81</v>
      </c>
      <c r="J48" s="17" t="n">
        <v>147.11</v>
      </c>
      <c r="K48" s="17" t="n">
        <v>280.9</v>
      </c>
      <c r="L48" s="17" t="n">
        <v>75.27</v>
      </c>
      <c r="M48" s="17" t="n">
        <v>224.8</v>
      </c>
      <c r="N48" s="17" t="n">
        <v>0</v>
      </c>
      <c r="O48" s="17" t="n">
        <v>-224.8</v>
      </c>
      <c r="P48" s="18" t="n">
        <v>-1</v>
      </c>
    </row>
    <row r="49">
      <c r="A49" s="16" t="inlineStr">
        <is>
          <t>000089-50PZS</t>
        </is>
      </c>
      <c r="B49" s="16" t="inlineStr">
        <is>
          <t>Mascarillas Infantiles KF94 50 pcs, Cuatro Capas de Protección con Tejido de Fusión Filtrante, Patrones Divertidos, Piel Amigable y Transpirable</t>
        </is>
      </c>
      <c r="C49" s="17" t="n">
        <v>562.9400000000001</v>
      </c>
      <c r="D49" s="18" t="n">
        <v>0.001231477000611058</v>
      </c>
      <c r="E49" s="16" t="n">
        <v>5</v>
      </c>
      <c r="F49" s="16" t="n">
        <v>3</v>
      </c>
      <c r="G49" s="16" t="n">
        <v>3</v>
      </c>
      <c r="H49" s="17" t="n">
        <v>187.65</v>
      </c>
      <c r="I49" s="17" t="n">
        <v>112.59</v>
      </c>
      <c r="J49" s="17" t="n">
        <v>115.63</v>
      </c>
      <c r="K49" s="17" t="n">
        <v>0</v>
      </c>
      <c r="L49" s="17" t="n">
        <v>0</v>
      </c>
      <c r="M49" s="17" t="n">
        <v>447.31</v>
      </c>
      <c r="N49" s="17" t="n">
        <v>0</v>
      </c>
      <c r="O49" s="17" t="n">
        <v>-447.31</v>
      </c>
      <c r="P49" s="18" t="n">
        <v>-1</v>
      </c>
    </row>
    <row r="50">
      <c r="A50" s="16" t="inlineStr">
        <is>
          <t>VA384T-G</t>
        </is>
      </c>
      <c r="B50" s="16" t="inlineStr">
        <is>
          <t>Bocina Portátil Bluetooth de 3 Pulgadas con Radio FM, USB TF TWS, Sonido Estéreo 5W, Bocina Recargable para Hogar Exterior Viaje Fiesta Camping</t>
        </is>
      </c>
      <c r="C50" s="17" t="n">
        <v>562.7</v>
      </c>
      <c r="D50" s="18" t="n">
        <v>0.001230942903355353</v>
      </c>
      <c r="E50" s="16" t="n">
        <v>12</v>
      </c>
      <c r="F50" s="16" t="n">
        <v>11</v>
      </c>
      <c r="G50" s="16" t="n">
        <v>11</v>
      </c>
      <c r="H50" s="17" t="n">
        <v>51.15</v>
      </c>
      <c r="I50" s="17" t="n">
        <v>46.89</v>
      </c>
      <c r="J50" s="17" t="n">
        <v>0</v>
      </c>
      <c r="K50" s="17" t="n">
        <v>0</v>
      </c>
      <c r="L50" s="17" t="n">
        <v>47.57</v>
      </c>
      <c r="M50" s="17" t="n">
        <v>88.8</v>
      </c>
      <c r="N50" s="17" t="n">
        <v>426.33</v>
      </c>
      <c r="O50" s="17" t="n">
        <v>337.52</v>
      </c>
      <c r="P50" s="18" t="n">
        <v>3.800761904332923</v>
      </c>
    </row>
    <row r="51">
      <c r="A51" s="16" t="inlineStr">
        <is>
          <t>MB-183R</t>
        </is>
      </c>
      <c r="B51" s="16" t="inlineStr">
        <is>
          <t>Linkbits Altavoz Bluetooth Portátil con Stereo Inalámbrico TWS Impermeable y a Prueba de Polvo IP65 Altavoz de Graves de Rango Completo de 52mm con Doble Unidad Ligero de 215g para Camping Senderismo y Fiestas al Aire Libre</t>
        </is>
      </c>
      <c r="C51" s="17" t="n">
        <v>426.43</v>
      </c>
      <c r="D51" s="18" t="n">
        <v>0.0009328545074469644</v>
      </c>
      <c r="E51" s="16" t="n">
        <v>6</v>
      </c>
      <c r="F51" s="16" t="n">
        <v>6</v>
      </c>
      <c r="G51" s="16" t="n">
        <v>6</v>
      </c>
      <c r="H51" s="17" t="n">
        <v>71.06999999999999</v>
      </c>
      <c r="I51" s="17" t="n">
        <v>71.06999999999999</v>
      </c>
      <c r="J51" s="17" t="n">
        <v>0</v>
      </c>
      <c r="K51" s="17" t="n">
        <v>126.94</v>
      </c>
      <c r="L51" s="17" t="n">
        <v>58.34</v>
      </c>
      <c r="M51" s="17" t="n">
        <v>155.34</v>
      </c>
      <c r="N51" s="17" t="n">
        <v>85.81</v>
      </c>
      <c r="O51" s="17" t="n">
        <v>-69.53</v>
      </c>
      <c r="P51" s="18" t="n">
        <v>-0.4476072208896459</v>
      </c>
    </row>
    <row r="52">
      <c r="A52" s="16" t="inlineStr">
        <is>
          <t>SA316T</t>
        </is>
      </c>
      <c r="B52" s="16" t="inlineStr">
        <is>
          <t>Linkbits Máquina Portátil de Karaoke y Altavoz para Karaoke，Altavoz Inalámbrico de 3" con TWS, micrófono incluido, radio FM, tarjeta Micro SD y puerto USB, luces RGB, recargable, potencia de 10W</t>
        </is>
      </c>
      <c r="C52" s="17" t="n">
        <v>364.02</v>
      </c>
      <c r="D52" s="18" t="n">
        <v>0.0007963176793663203</v>
      </c>
      <c r="E52" s="16" t="n">
        <v>2</v>
      </c>
      <c r="F52" s="16" t="n">
        <v>2</v>
      </c>
      <c r="G52" s="16" t="n">
        <v>2</v>
      </c>
      <c r="H52" s="17" t="n">
        <v>182.01</v>
      </c>
      <c r="I52" s="17" t="n">
        <v>182.01</v>
      </c>
      <c r="J52" s="17" t="n">
        <v>228.09</v>
      </c>
      <c r="K52" s="17" t="n">
        <v>0</v>
      </c>
      <c r="L52" s="17" t="n">
        <v>0</v>
      </c>
      <c r="M52" s="17" t="n">
        <v>0</v>
      </c>
      <c r="N52" s="17" t="n">
        <v>135.93</v>
      </c>
      <c r="O52" s="17" t="n">
        <v>135.93</v>
      </c>
      <c r="P52" s="18" t="n">
        <v>0</v>
      </c>
    </row>
    <row r="53">
      <c r="A53" s="16" t="inlineStr">
        <is>
          <t>KTS-1916</t>
        </is>
      </c>
      <c r="B53" s="16" t="inlineStr">
        <is>
          <t>Bocina Portátil, Parlantes BT Portátiles, de 4 Pulgadas, Altavoz Inalámbrico, con Iluminación LED, Sonido Estéreo, Compatible con USB/ Tarjeta TF/ Micrófono, Soporta Radio FM, Posee Función de Voz Mágica y Diseño con Asa, Ideal para Viajar, Trabajar y Entretenerte</t>
        </is>
      </c>
      <c r="C53" s="17" t="n">
        <v>351.57</v>
      </c>
      <c r="D53" s="18" t="n">
        <v>0.0007690912979009437</v>
      </c>
      <c r="E53" s="16" t="n">
        <v>2</v>
      </c>
      <c r="F53" s="16" t="n">
        <v>1</v>
      </c>
      <c r="G53" s="16" t="n">
        <v>1</v>
      </c>
      <c r="H53" s="17" t="n">
        <v>351.57</v>
      </c>
      <c r="I53" s="17" t="n">
        <v>175.79</v>
      </c>
      <c r="J53" s="17" t="n">
        <v>351.57</v>
      </c>
      <c r="K53" s="17" t="n">
        <v>0</v>
      </c>
      <c r="L53" s="17" t="n">
        <v>0</v>
      </c>
      <c r="M53" s="17" t="n">
        <v>0</v>
      </c>
      <c r="N53" s="17" t="n">
        <v>0</v>
      </c>
      <c r="O53" s="17" t="n">
        <v>0</v>
      </c>
      <c r="P53" s="18" t="n">
        <v>0</v>
      </c>
    </row>
    <row r="54">
      <c r="A54" s="16" t="inlineStr">
        <is>
          <t>MB-183N</t>
        </is>
      </c>
      <c r="B54" s="16" t="inlineStr">
        <is>
          <t>Linkbits Altavoz Bluetooth Portátil con Stereo Inalámbrico TWS Impermeable y a Prueba de Polvo IP65 Altavoz de Graves de Rango Completo de 52mm con Doble Unidad Ligero de 215g para Camping Senderismo y Fiestas al Aire Libre</t>
        </is>
      </c>
      <c r="C54" s="17" t="n">
        <v>342.47</v>
      </c>
      <c r="D54" s="18" t="n">
        <v>0.0007491866318153743</v>
      </c>
      <c r="E54" s="16" t="n">
        <v>4</v>
      </c>
      <c r="F54" s="16" t="n">
        <v>4</v>
      </c>
      <c r="G54" s="16" t="n">
        <v>4</v>
      </c>
      <c r="H54" s="17" t="n">
        <v>85.62</v>
      </c>
      <c r="I54" s="17" t="n">
        <v>85.62</v>
      </c>
      <c r="J54" s="17" t="n">
        <v>181.2</v>
      </c>
      <c r="K54" s="17" t="n">
        <v>0</v>
      </c>
      <c r="L54" s="17" t="n">
        <v>0</v>
      </c>
      <c r="M54" s="17" t="n">
        <v>91.19</v>
      </c>
      <c r="N54" s="17" t="n">
        <v>70.09</v>
      </c>
      <c r="O54" s="17" t="n">
        <v>-21.1</v>
      </c>
      <c r="P54" s="18" t="n">
        <v>-0.2313895876878806</v>
      </c>
    </row>
    <row r="55">
      <c r="A55" s="16" t="inlineStr">
        <is>
          <t>MCM-003-V</t>
        </is>
      </c>
      <c r="B5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C55" s="17" t="n">
        <v>309.63</v>
      </c>
      <c r="D55" s="18" t="n">
        <v>0.0006773360582165187</v>
      </c>
      <c r="E55" s="16" t="n">
        <v>10</v>
      </c>
      <c r="F55" s="16" t="n">
        <v>9</v>
      </c>
      <c r="G55" s="16" t="n">
        <v>9</v>
      </c>
      <c r="H55" s="17" t="n">
        <v>34.4</v>
      </c>
      <c r="I55" s="17" t="n">
        <v>30.96</v>
      </c>
      <c r="J55" s="17" t="n">
        <v>0</v>
      </c>
      <c r="K55" s="17" t="n">
        <v>0</v>
      </c>
      <c r="L55" s="17" t="n">
        <v>0</v>
      </c>
      <c r="M55" s="17" t="n">
        <v>254.83</v>
      </c>
      <c r="N55" s="17" t="n">
        <v>54.8</v>
      </c>
      <c r="O55" s="17" t="n">
        <v>-200.02</v>
      </c>
      <c r="P55" s="18" t="n">
        <v>-0.7849431857758712</v>
      </c>
    </row>
    <row r="56">
      <c r="A56" s="16" t="inlineStr">
        <is>
          <t>000090-50PZS</t>
        </is>
      </c>
      <c r="B56" s="16" t="inlineStr">
        <is>
          <t>Mascarillas Infantiles KF94 50 pcs, Cuatro Capas de Protección con Tejido de Fusión Filtrante, Patrones Divertidos, Piel Amigable y Transpirable</t>
        </is>
      </c>
      <c r="C56" s="17" t="n">
        <v>295.73</v>
      </c>
      <c r="D56" s="18" t="n">
        <v>0.0006469303597469315</v>
      </c>
      <c r="E56" s="16" t="n">
        <v>3</v>
      </c>
      <c r="F56" s="16" t="n">
        <v>2</v>
      </c>
      <c r="G56" s="16" t="n">
        <v>2</v>
      </c>
      <c r="H56" s="17" t="n">
        <v>147.86</v>
      </c>
      <c r="I56" s="17" t="n">
        <v>98.58</v>
      </c>
      <c r="J56" s="17" t="n">
        <v>0</v>
      </c>
      <c r="K56" s="17" t="n">
        <v>115.25</v>
      </c>
      <c r="L56" s="17" t="n">
        <v>0</v>
      </c>
      <c r="M56" s="17" t="n">
        <v>180.47</v>
      </c>
      <c r="N56" s="17" t="n">
        <v>0</v>
      </c>
      <c r="O56" s="17" t="n">
        <v>-180.47</v>
      </c>
      <c r="P56" s="18" t="n">
        <v>-1</v>
      </c>
    </row>
    <row r="57">
      <c r="A57" s="16" t="inlineStr">
        <is>
          <t>MB-176</t>
        </is>
      </c>
      <c r="B57" s="16" t="inlineStr">
        <is>
          <t>Linkbits Altavoz Bluetooth Portátil - Luces LED RGB 360°, Bajos Potentes de 24W, Estéreo TWS y Asa para Exterior/Fiestas</t>
        </is>
      </c>
      <c r="C57" s="17" t="n">
        <v>276.92</v>
      </c>
      <c r="D57" s="18" t="n">
        <v>0.0006057765419179761</v>
      </c>
      <c r="E57" s="16" t="n">
        <v>2</v>
      </c>
      <c r="F57" s="16" t="n">
        <v>2</v>
      </c>
      <c r="G57" s="16" t="n">
        <v>2</v>
      </c>
      <c r="H57" s="17" t="n">
        <v>138.46</v>
      </c>
      <c r="I57" s="17" t="n">
        <v>138.46</v>
      </c>
      <c r="J57" s="17" t="n">
        <v>0</v>
      </c>
      <c r="K57" s="17" t="n">
        <v>0</v>
      </c>
      <c r="L57" s="17" t="n">
        <v>127.91</v>
      </c>
      <c r="M57" s="17" t="n">
        <v>149.01</v>
      </c>
      <c r="N57" s="17" t="n">
        <v>0</v>
      </c>
      <c r="O57" s="17" t="n">
        <v>-149.01</v>
      </c>
      <c r="P57" s="18" t="n">
        <v>-1</v>
      </c>
    </row>
    <row r="58">
      <c r="A58" s="16" t="inlineStr">
        <is>
          <t>LMC02</t>
        </is>
      </c>
      <c r="B58" s="16" t="inlineStr">
        <is>
          <t>Tira de poder 16 en 1 montable en pared con 10 tomas CA, 4 USB, 2 Tipo‑C, interruptor mecánico y protección contra sobrecarga. 125V 15A 1850W, color blanco, ideal para hogar, oficina y estudio. Carga segura y múltiple.</t>
        </is>
      </c>
      <c r="C58" s="17" t="n">
        <v>251.63</v>
      </c>
      <c r="D58" s="18" t="n">
        <v>0.0005504504977073655</v>
      </c>
      <c r="E58" s="16" t="n">
        <v>3</v>
      </c>
      <c r="F58" s="16" t="n">
        <v>2</v>
      </c>
      <c r="G58" s="16" t="n">
        <v>2</v>
      </c>
      <c r="H58" s="17" t="n">
        <v>125.81</v>
      </c>
      <c r="I58" s="17" t="n">
        <v>83.88</v>
      </c>
      <c r="J58" s="17" t="n">
        <v>0</v>
      </c>
      <c r="K58" s="17" t="n">
        <v>0</v>
      </c>
      <c r="L58" s="17" t="n">
        <v>0</v>
      </c>
      <c r="M58" s="17" t="n">
        <v>0</v>
      </c>
      <c r="N58" s="17" t="n">
        <v>251.63</v>
      </c>
      <c r="O58" s="17" t="n">
        <v>251.63</v>
      </c>
      <c r="P58" s="18" t="n">
        <v>0</v>
      </c>
    </row>
    <row r="59">
      <c r="A59" s="16" t="inlineStr">
        <is>
          <t>KTS-1943-Y</t>
        </is>
      </c>
      <c r="B59"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C59" s="17" t="n">
        <v>242.13</v>
      </c>
      <c r="D59" s="18" t="n">
        <v>0.0005296783474245829</v>
      </c>
      <c r="E59" s="16" t="n">
        <v>4</v>
      </c>
      <c r="F59" s="16" t="n">
        <v>4</v>
      </c>
      <c r="G59" s="16" t="n">
        <v>4</v>
      </c>
      <c r="H59" s="17" t="n">
        <v>60.53</v>
      </c>
      <c r="I59" s="17" t="n">
        <v>60.53</v>
      </c>
      <c r="J59" s="17" t="n">
        <v>67.34999999999999</v>
      </c>
      <c r="K59" s="17" t="n">
        <v>0</v>
      </c>
      <c r="L59" s="17" t="n">
        <v>67.34999999999999</v>
      </c>
      <c r="M59" s="17" t="n">
        <v>40.07</v>
      </c>
      <c r="N59" s="17" t="n">
        <v>67.34999999999999</v>
      </c>
      <c r="O59" s="17" t="n">
        <v>27.28</v>
      </c>
      <c r="P59" s="18" t="n">
        <v>0.6808574886762081</v>
      </c>
    </row>
    <row r="60">
      <c r="A60" s="16" t="inlineStr">
        <is>
          <t>VA396T</t>
        </is>
      </c>
      <c r="B60"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C60" s="17" t="n">
        <v>226.8</v>
      </c>
      <c r="D60" s="18" t="n">
        <v>0.0004961378491703371</v>
      </c>
      <c r="E60" s="16" t="n">
        <v>7</v>
      </c>
      <c r="F60" s="16" t="n">
        <v>6</v>
      </c>
      <c r="G60" s="16" t="n">
        <v>6</v>
      </c>
      <c r="H60" s="17" t="n">
        <v>37.8</v>
      </c>
      <c r="I60" s="17" t="n">
        <v>32.4</v>
      </c>
      <c r="J60" s="17" t="n">
        <v>36.63</v>
      </c>
      <c r="K60" s="17" t="n">
        <v>136.27</v>
      </c>
      <c r="L60" s="17" t="n">
        <v>53.89</v>
      </c>
      <c r="M60" s="17" t="n">
        <v>0</v>
      </c>
      <c r="N60" s="17" t="n">
        <v>0</v>
      </c>
      <c r="O60" s="17" t="n">
        <v>0</v>
      </c>
      <c r="P60" s="18" t="n">
        <v>0</v>
      </c>
    </row>
    <row r="61">
      <c r="A61" s="16" t="inlineStr">
        <is>
          <t>T2835CM16A</t>
        </is>
      </c>
      <c r="B61" s="16" t="inlineStr">
        <is>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is>
      </c>
      <c r="C61" s="17" t="n">
        <v>222.06</v>
      </c>
      <c r="D61" s="18" t="n">
        <v>0.0004857839314307843</v>
      </c>
      <c r="E61" s="16" t="n">
        <v>3</v>
      </c>
      <c r="F61" s="16" t="n">
        <v>2</v>
      </c>
      <c r="G61" s="16" t="n">
        <v>2</v>
      </c>
      <c r="H61" s="17" t="n">
        <v>111.03</v>
      </c>
      <c r="I61" s="17" t="n">
        <v>74.02</v>
      </c>
      <c r="J61" s="17" t="n">
        <v>0</v>
      </c>
      <c r="K61" s="17" t="n">
        <v>0</v>
      </c>
      <c r="L61" s="17" t="n">
        <v>72.45</v>
      </c>
      <c r="M61" s="17" t="n">
        <v>149.62</v>
      </c>
      <c r="N61" s="17" t="n">
        <v>0</v>
      </c>
      <c r="O61" s="17" t="n">
        <v>-149.62</v>
      </c>
      <c r="P61" s="18" t="n">
        <v>-1</v>
      </c>
    </row>
    <row r="62">
      <c r="A62" s="16" t="inlineStr">
        <is>
          <t>LV52W22</t>
        </is>
      </c>
      <c r="B62" s="16" t="inlineStr">
        <is>
          <t>Ventilador de Techo LED TIANLAI con 5 Aspas, Control Remoto, 3 Colores Luz, 3 Velocidades, Temporizador, Fácil Instalación, E27 para Baño Cocina Dormitorio Salón</t>
        </is>
      </c>
      <c r="C62" s="17" t="n">
        <v>210.24</v>
      </c>
      <c r="D62" s="18" t="n">
        <v>0.0004599193174922397</v>
      </c>
      <c r="E62" s="16" t="n">
        <v>2</v>
      </c>
      <c r="F62" s="16" t="n">
        <v>2</v>
      </c>
      <c r="G62" s="16" t="n">
        <v>2</v>
      </c>
      <c r="H62" s="17" t="n">
        <v>105.12</v>
      </c>
      <c r="I62" s="17" t="n">
        <v>105.12</v>
      </c>
      <c r="J62" s="17" t="n">
        <v>210.24</v>
      </c>
      <c r="K62" s="17" t="n">
        <v>0</v>
      </c>
      <c r="L62" s="17" t="n">
        <v>0</v>
      </c>
      <c r="M62" s="17" t="n">
        <v>0</v>
      </c>
      <c r="N62" s="17" t="n">
        <v>0</v>
      </c>
      <c r="O62" s="17" t="n">
        <v>0</v>
      </c>
      <c r="P62" s="18" t="n">
        <v>0</v>
      </c>
    </row>
    <row r="63">
      <c r="A63" s="16" t="inlineStr">
        <is>
          <t>MCM-003-N</t>
        </is>
      </c>
      <c r="B63"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C63" s="17" t="n">
        <v>191.27</v>
      </c>
      <c r="D63" s="18" t="n">
        <v>0.0004184215029667472</v>
      </c>
      <c r="E63" s="16" t="n">
        <v>5</v>
      </c>
      <c r="F63" s="16" t="n">
        <v>3</v>
      </c>
      <c r="G63" s="16" t="n">
        <v>3</v>
      </c>
      <c r="H63" s="17" t="n">
        <v>63.76</v>
      </c>
      <c r="I63" s="17" t="n">
        <v>38.25</v>
      </c>
      <c r="J63" s="17" t="n">
        <v>0</v>
      </c>
      <c r="K63" s="17" t="n">
        <v>0</v>
      </c>
      <c r="L63" s="17" t="n">
        <v>0</v>
      </c>
      <c r="M63" s="17" t="n">
        <v>162.7</v>
      </c>
      <c r="N63" s="17" t="n">
        <v>28.57</v>
      </c>
      <c r="O63" s="17" t="n">
        <v>-134.14</v>
      </c>
      <c r="P63" s="18" t="n">
        <v>-0.8244186675418768</v>
      </c>
    </row>
    <row r="64">
      <c r="A64" s="16" t="inlineStr">
        <is>
          <t>KTS-1943-A</t>
        </is>
      </c>
      <c r="B64"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C64" s="17" t="n">
        <v>151.26</v>
      </c>
      <c r="D64" s="18" t="n">
        <v>0.0003308843518690485</v>
      </c>
      <c r="E64" s="16" t="n">
        <v>2</v>
      </c>
      <c r="F64" s="16" t="n">
        <v>2</v>
      </c>
      <c r="G64" s="16" t="n">
        <v>2</v>
      </c>
      <c r="H64" s="17" t="n">
        <v>75.63</v>
      </c>
      <c r="I64" s="17" t="n">
        <v>75.63</v>
      </c>
      <c r="J64" s="17" t="n">
        <v>70.70999999999999</v>
      </c>
      <c r="K64" s="17" t="n">
        <v>80.54000000000001</v>
      </c>
      <c r="L64" s="17" t="n">
        <v>0</v>
      </c>
      <c r="M64" s="17" t="n">
        <v>0</v>
      </c>
      <c r="N64" s="17" t="n">
        <v>0</v>
      </c>
      <c r="O64" s="17" t="n">
        <v>0</v>
      </c>
      <c r="P64" s="18" t="n">
        <v>0</v>
      </c>
    </row>
    <row r="65">
      <c r="A65" s="16" t="inlineStr">
        <is>
          <t>KTS-1943-V</t>
        </is>
      </c>
      <c r="B65"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C65" s="17" t="n">
        <v>141.43</v>
      </c>
      <c r="D65" s="18" t="n">
        <v>0.0003093850505406131</v>
      </c>
      <c r="E65" s="16" t="n">
        <v>2</v>
      </c>
      <c r="F65" s="16" t="n">
        <v>2</v>
      </c>
      <c r="G65" s="16" t="n">
        <v>2</v>
      </c>
      <c r="H65" s="17" t="n">
        <v>70.70999999999999</v>
      </c>
      <c r="I65" s="17" t="n">
        <v>70.70999999999999</v>
      </c>
      <c r="J65" s="17" t="n">
        <v>70.70999999999999</v>
      </c>
      <c r="K65" s="17" t="n">
        <v>0</v>
      </c>
      <c r="L65" s="17" t="n">
        <v>70.70999999999999</v>
      </c>
      <c r="M65" s="17" t="n">
        <v>0</v>
      </c>
      <c r="N65" s="17" t="n">
        <v>0</v>
      </c>
      <c r="O65" s="17" t="n">
        <v>0</v>
      </c>
      <c r="P65" s="18" t="n">
        <v>0</v>
      </c>
    </row>
    <row r="66">
      <c r="A66" s="16" t="inlineStr">
        <is>
          <t>MB-183B</t>
        </is>
      </c>
      <c r="B66" s="16" t="inlineStr">
        <is>
          <t>Linkbits Altavoz Bluetooth Portátil con Stereo Inalámbrico TWS Impermeable y a Prueba de Polvo IP65 Altavoz de Graves de Rango Completo de 52mm con Doble Unidad Ligero de 215g para Camping Senderismo y Fiestas al Aire Libre</t>
        </is>
      </c>
      <c r="C66" s="17" t="n">
        <v>111.38</v>
      </c>
      <c r="D66" s="18" t="n">
        <v>0.0002436415394391977</v>
      </c>
      <c r="E66" s="16" t="n">
        <v>2</v>
      </c>
      <c r="F66" s="16" t="n">
        <v>2</v>
      </c>
      <c r="G66" s="16" t="n">
        <v>2</v>
      </c>
      <c r="H66" s="17" t="n">
        <v>55.69</v>
      </c>
      <c r="I66" s="17" t="n">
        <v>55.69</v>
      </c>
      <c r="J66" s="17" t="n">
        <v>69.37</v>
      </c>
      <c r="K66" s="17" t="n">
        <v>42.01</v>
      </c>
      <c r="L66" s="17" t="n">
        <v>0</v>
      </c>
      <c r="M66" s="17" t="n">
        <v>0</v>
      </c>
      <c r="N66" s="17" t="n">
        <v>0</v>
      </c>
      <c r="O66" s="17" t="n">
        <v>0</v>
      </c>
      <c r="P66" s="18" t="n">
        <v>0</v>
      </c>
    </row>
    <row r="67">
      <c r="A67" s="16" t="inlineStr">
        <is>
          <t>VA377T</t>
        </is>
      </c>
      <c r="B67" s="16" t="inlineStr">
        <is>
          <t>Bocina Inalámbrica 3 Pulgadas Bluetooth FM USB TF TWS Luz LED, Regalo Perfecto, Recargable para Fiesta Viaje y Uso Diario</t>
        </is>
      </c>
      <c r="C67" s="17" t="n">
        <v>75.66</v>
      </c>
      <c r="D67" s="18" t="n">
        <v>0.0001655165535986404</v>
      </c>
      <c r="E67" s="16" t="n">
        <v>2</v>
      </c>
      <c r="F67" s="16" t="n">
        <v>2</v>
      </c>
      <c r="G67" s="16" t="n">
        <v>2</v>
      </c>
      <c r="H67" s="17" t="n">
        <v>37.83</v>
      </c>
      <c r="I67" s="17" t="n">
        <v>37.83</v>
      </c>
      <c r="J67" s="17" t="n">
        <v>0</v>
      </c>
      <c r="K67" s="17" t="n">
        <v>0</v>
      </c>
      <c r="L67" s="17" t="n">
        <v>0</v>
      </c>
      <c r="M67" s="17" t="n">
        <v>0</v>
      </c>
      <c r="N67" s="17" t="n">
        <v>75.66</v>
      </c>
      <c r="O67" s="17" t="n">
        <v>75.66</v>
      </c>
      <c r="P67" s="18" t="n">
        <v>0</v>
      </c>
    </row>
    <row r="68">
      <c r="A68" s="16" t="inlineStr">
        <is>
          <t>MCM-003-P</t>
        </is>
      </c>
      <c r="B68"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C68" s="17" t="n">
        <v>46.32</v>
      </c>
      <c r="D68" s="18" t="n">
        <v>0.0001013225042470322</v>
      </c>
      <c r="E68" s="16" t="n">
        <v>1</v>
      </c>
      <c r="F68" s="16" t="n">
        <v>1</v>
      </c>
      <c r="G68" s="16" t="n">
        <v>1</v>
      </c>
      <c r="H68" s="17" t="n">
        <v>46.32</v>
      </c>
      <c r="I68" s="17" t="n">
        <v>46.32</v>
      </c>
      <c r="J68" s="17" t="n">
        <v>0</v>
      </c>
      <c r="K68" s="17" t="n">
        <v>0</v>
      </c>
      <c r="L68" s="17" t="n">
        <v>0</v>
      </c>
      <c r="M68" s="17" t="n">
        <v>46.32</v>
      </c>
      <c r="N68" s="17" t="n">
        <v>0</v>
      </c>
      <c r="O68" s="17" t="n">
        <v>-46.32</v>
      </c>
      <c r="P68" s="18" t="n">
        <v>-1</v>
      </c>
    </row>
    <row r="69">
      <c r="A69" s="16" t="inlineStr">
        <is>
          <t>SA313T-R</t>
        </is>
      </c>
      <c r="B69" s="16" t="inlineStr">
        <is>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C69" s="17" t="n">
        <v>44.11</v>
      </c>
      <c r="D69" s="18" t="n">
        <v>9.648336216493611e-05</v>
      </c>
      <c r="E69" s="16" t="n">
        <v>1</v>
      </c>
      <c r="F69" s="16" t="n">
        <v>1</v>
      </c>
      <c r="G69" s="16" t="n">
        <v>1</v>
      </c>
      <c r="H69" s="17" t="n">
        <v>44.11</v>
      </c>
      <c r="I69" s="17" t="n">
        <v>44.11</v>
      </c>
      <c r="J69" s="17" t="n">
        <v>44.11</v>
      </c>
      <c r="K69" s="17" t="n">
        <v>0</v>
      </c>
      <c r="L69" s="17" t="n">
        <v>0</v>
      </c>
      <c r="M69" s="17" t="n">
        <v>0</v>
      </c>
      <c r="N69" s="17" t="n">
        <v>0</v>
      </c>
      <c r="O69" s="17" t="n">
        <v>0</v>
      </c>
      <c r="P69" s="1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5" t="inlineStr">
        <is>
          <t>周期</t>
        </is>
      </c>
      <c r="B1" s="5" t="inlineStr">
        <is>
          <t>SKU</t>
        </is>
      </c>
      <c r="C1" s="5" t="inlineStr">
        <is>
          <t>商品名称</t>
        </is>
      </c>
      <c r="D1" s="5" t="inlineStr">
        <is>
          <t>GMV</t>
        </is>
      </c>
      <c r="E1" s="5" t="inlineStr">
        <is>
          <t>GMV占比</t>
        </is>
      </c>
      <c r="F1" s="5" t="inlineStr">
        <is>
          <t>销量</t>
        </is>
      </c>
      <c r="G1" s="5" t="inlineStr">
        <is>
          <t>订单数</t>
        </is>
      </c>
      <c r="H1" s="5" t="inlineStr">
        <is>
          <t>订单行数</t>
        </is>
      </c>
      <c r="I1" s="5" t="inlineStr">
        <is>
          <t>客单价</t>
        </is>
      </c>
      <c r="J1" s="5" t="inlineStr">
        <is>
          <t>件单价</t>
        </is>
      </c>
      <c r="K1" s="5" t="inlineStr">
        <is>
          <t>base</t>
        </is>
      </c>
      <c r="L1" s="5" t="inlineStr">
        <is>
          <t>shipping</t>
        </is>
      </c>
    </row>
    <row r="2">
      <c r="A2" s="16" t="inlineStr">
        <is>
          <t>5.1-5.7</t>
        </is>
      </c>
      <c r="B2" s="16" t="inlineStr">
        <is>
          <t>AIR50W06-2P</t>
        </is>
      </c>
      <c r="C2" s="16" t="inlineStr">
        <is>
          <t>Link Bits Ventilador de piso de 16 pulgadas, 2 unidades, 3 velocidades, motor silencioso, flujo de aire fuerte, altura ajustable, oscilación amplia, ventilador eléctrico para el hogar, ideal para sala, recámara y oficina</t>
        </is>
      </c>
      <c r="D2" s="17" t="n">
        <v>27982.72</v>
      </c>
      <c r="E2" s="18" t="n">
        <v>0.2854248588902971</v>
      </c>
      <c r="F2" s="16" t="n">
        <v>71</v>
      </c>
      <c r="G2" s="16" t="n">
        <v>68</v>
      </c>
      <c r="H2" s="16" t="n">
        <v>68</v>
      </c>
      <c r="I2" s="17" t="n">
        <v>411.51</v>
      </c>
      <c r="J2" s="17" t="n">
        <v>394.12</v>
      </c>
      <c r="K2" s="17" t="n">
        <v>31073.24</v>
      </c>
      <c r="L2" s="17" t="n">
        <v>0</v>
      </c>
    </row>
    <row r="3">
      <c r="A3" s="16" t="inlineStr">
        <is>
          <t>5.1-5.7</t>
        </is>
      </c>
      <c r="B3" s="16" t="inlineStr">
        <is>
          <t>BS-22</t>
        </is>
      </c>
      <c r="C3" s="16" t="inlineStr">
        <is>
          <t>link bits Barra de Sonido para TV, 2x2" Altavoces + 2 Membranas de Graves, Sonido Claro ≥80dB, Bluetooth Inalámbrico, Conexiones AUX/USB, Diseño Compacto 76cm, Sonido Envolvente 3D para Cine en Casa, PC, Juegos y Fiestas</t>
        </is>
      </c>
      <c r="D3" s="17" t="n">
        <v>14295.46</v>
      </c>
      <c r="E3" s="18" t="n">
        <v>0.1458142795607976</v>
      </c>
      <c r="F3" s="16" t="n">
        <v>59</v>
      </c>
      <c r="G3" s="16" t="n">
        <v>58</v>
      </c>
      <c r="H3" s="16" t="n">
        <v>58</v>
      </c>
      <c r="I3" s="17" t="n">
        <v>246.47</v>
      </c>
      <c r="J3" s="17" t="n">
        <v>242.3</v>
      </c>
      <c r="K3" s="17" t="n">
        <v>15290</v>
      </c>
      <c r="L3" s="17" t="n">
        <v>0</v>
      </c>
    </row>
    <row r="4">
      <c r="A4" s="16" t="inlineStr">
        <is>
          <t>5.1-5.7</t>
        </is>
      </c>
      <c r="B4" s="16" t="inlineStr">
        <is>
          <t>VB347T</t>
        </is>
      </c>
      <c r="C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4" s="17" t="n">
        <v>4919.31</v>
      </c>
      <c r="E4" s="18" t="n">
        <v>0.05017712833048028</v>
      </c>
      <c r="F4" s="16" t="n">
        <v>63</v>
      </c>
      <c r="G4" s="16" t="n">
        <v>38</v>
      </c>
      <c r="H4" s="16" t="n">
        <v>38</v>
      </c>
      <c r="I4" s="17" t="n">
        <v>129.46</v>
      </c>
      <c r="J4" s="17" t="n">
        <v>78.08</v>
      </c>
      <c r="K4" s="17" t="n">
        <v>5019.23</v>
      </c>
      <c r="L4" s="17" t="n">
        <v>778.76</v>
      </c>
    </row>
    <row r="5">
      <c r="A5" s="16" t="inlineStr">
        <is>
          <t>5.1-5.7</t>
        </is>
      </c>
      <c r="B5" s="16" t="inlineStr">
        <is>
          <t>LV34W04</t>
        </is>
      </c>
      <c r="C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D5" s="17" t="n">
        <v>4347.13</v>
      </c>
      <c r="E5" s="18" t="n">
        <v>0.0443409513926937</v>
      </c>
      <c r="F5" s="16" t="n">
        <v>20</v>
      </c>
      <c r="G5" s="16" t="n">
        <v>15</v>
      </c>
      <c r="H5" s="16" t="n">
        <v>15</v>
      </c>
      <c r="I5" s="17" t="n">
        <v>289.81</v>
      </c>
      <c r="J5" s="17" t="n">
        <v>217.36</v>
      </c>
      <c r="K5" s="17" t="n">
        <v>4437.6</v>
      </c>
      <c r="L5" s="17" t="n">
        <v>155.16</v>
      </c>
    </row>
    <row r="6">
      <c r="A6" s="16" t="inlineStr">
        <is>
          <t>5.1-5.7</t>
        </is>
      </c>
      <c r="B6" s="16" t="inlineStr">
        <is>
          <t>LB02235-negro</t>
        </is>
      </c>
      <c r="C6" s="16" t="inlineStr">
        <is>
          <t>Audífonos Inalámbricos para la Cabeza, Recargables y Multifuncionales - Conectan a Varios Dispositivos, soportan Radio FM, Tarjeta TF y AUX - 4 Horas de Reproducción Musical - Ideal para Trabajo Cotidiano, Juegos y Estudio</t>
        </is>
      </c>
      <c r="D6" s="17" t="n">
        <v>3745.36</v>
      </c>
      <c r="E6" s="18" t="n">
        <v>0.03820279713597267</v>
      </c>
      <c r="F6" s="16" t="n">
        <v>112</v>
      </c>
      <c r="G6" s="16" t="n">
        <v>99</v>
      </c>
      <c r="H6" s="16" t="n">
        <v>99</v>
      </c>
      <c r="I6" s="17" t="n">
        <v>37.83</v>
      </c>
      <c r="J6" s="17" t="n">
        <v>33.44</v>
      </c>
      <c r="K6" s="17" t="n">
        <v>4290.42</v>
      </c>
      <c r="L6" s="17" t="n">
        <v>2239.31</v>
      </c>
    </row>
    <row r="7">
      <c r="A7" s="16" t="inlineStr">
        <is>
          <t>5.1-5.7</t>
        </is>
      </c>
      <c r="B7" s="16" t="inlineStr">
        <is>
          <t>MCM-001G</t>
        </is>
      </c>
      <c r="C7" s="16" t="inlineStr">
        <is>
          <t>Musicord Altavoz Inalámbrico BT Portátil: ¡Sonido impactante, luces LED multicolores y 4 horas de autonomía! Compatible con TWS, FM, TF y USB – Imprescindible para fiestas y viajes</t>
        </is>
      </c>
      <c r="D7" s="17" t="n">
        <v>3144.61</v>
      </c>
      <c r="E7" s="18" t="n">
        <v>0.03207516473172319</v>
      </c>
      <c r="F7" s="16" t="n">
        <v>67</v>
      </c>
      <c r="G7" s="16" t="n">
        <v>63</v>
      </c>
      <c r="H7" s="16" t="n">
        <v>63</v>
      </c>
      <c r="I7" s="17" t="n">
        <v>49.91</v>
      </c>
      <c r="J7" s="17" t="n">
        <v>46.93</v>
      </c>
      <c r="K7" s="17" t="n">
        <v>3421.46</v>
      </c>
      <c r="L7" s="17" t="n">
        <v>1535.07</v>
      </c>
    </row>
    <row r="8">
      <c r="A8" s="16" t="inlineStr">
        <is>
          <t>5.1-5.7</t>
        </is>
      </c>
      <c r="B8" s="16" t="inlineStr">
        <is>
          <t>SA8056T</t>
        </is>
      </c>
      <c r="C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D8" s="17" t="n">
        <v>2659.21</v>
      </c>
      <c r="E8" s="18" t="n">
        <v>0.02712401221634655</v>
      </c>
      <c r="F8" s="16" t="n">
        <v>18</v>
      </c>
      <c r="G8" s="16" t="n">
        <v>14</v>
      </c>
      <c r="H8" s="16" t="n">
        <v>14</v>
      </c>
      <c r="I8" s="17" t="n">
        <v>189.94</v>
      </c>
      <c r="J8" s="17" t="n">
        <v>147.73</v>
      </c>
      <c r="K8" s="17" t="n">
        <v>2695.05</v>
      </c>
      <c r="L8" s="17" t="n">
        <v>258.6</v>
      </c>
    </row>
    <row r="9">
      <c r="A9" s="16" t="inlineStr">
        <is>
          <t>5.1-5.7</t>
        </is>
      </c>
      <c r="B9" s="16" t="inlineStr">
        <is>
          <t>MCM-001A</t>
        </is>
      </c>
      <c r="C9" s="16" t="inlineStr">
        <is>
          <t>Musicord Altavoz Inalámbrico BT Portátil: ¡Sonido impactante, luces LED multicolores y 4 horas de autonomía! Compatible con TWS, FM, TF y USB – Imprescindible para fiestas y viajes</t>
        </is>
      </c>
      <c r="D9" s="17" t="n">
        <v>2482.34</v>
      </c>
      <c r="E9" s="18" t="n">
        <v>0.02531998550437469</v>
      </c>
      <c r="F9" s="16" t="n">
        <v>53</v>
      </c>
      <c r="G9" s="16" t="n">
        <v>39</v>
      </c>
      <c r="H9" s="16" t="n">
        <v>39</v>
      </c>
      <c r="I9" s="17" t="n">
        <v>63.65</v>
      </c>
      <c r="J9" s="17" t="n">
        <v>46.84</v>
      </c>
      <c r="K9" s="17" t="n">
        <v>2722.04</v>
      </c>
      <c r="L9" s="17" t="n">
        <v>879.54</v>
      </c>
    </row>
    <row r="10">
      <c r="A10" s="16" t="inlineStr">
        <is>
          <t>5.1-5.7</t>
        </is>
      </c>
      <c r="B10" s="16" t="inlineStr">
        <is>
          <t>SA325T</t>
        </is>
      </c>
      <c r="C10" s="16" t="inlineStr">
        <is>
          <t>Subwoofer Portátil Inalámbrico con Luces RGB, Sonido de Alta Potencia y Batería Duradera, TWS TF USB, Perfecto para Campamento Fiestas y Entretenimiento en Casa</t>
        </is>
      </c>
      <c r="D10" s="17" t="n">
        <v>2476.59</v>
      </c>
      <c r="E10" s="18" t="n">
        <v>0.02526134648767771</v>
      </c>
      <c r="F10" s="16" t="n">
        <v>73</v>
      </c>
      <c r="G10" s="16" t="n">
        <v>41</v>
      </c>
      <c r="H10" s="16" t="n">
        <v>41</v>
      </c>
      <c r="I10" s="17" t="n">
        <v>60.4</v>
      </c>
      <c r="J10" s="17" t="n">
        <v>33.93</v>
      </c>
      <c r="K10" s="17" t="n">
        <v>2735.82</v>
      </c>
      <c r="L10" s="17" t="n">
        <v>857.59</v>
      </c>
    </row>
    <row r="11">
      <c r="A11" s="16" t="inlineStr">
        <is>
          <t>5.1-5.7</t>
        </is>
      </c>
      <c r="B11" s="16" t="inlineStr">
        <is>
          <t>LB02235-azul</t>
        </is>
      </c>
      <c r="C11" s="16" t="inlineStr">
        <is>
          <t>Audífonos Inalámbricos para la Cabeza, Recargables y Multifuncionales - Conectan a Varios Dispositivos, soportan Radio FM, Tarjeta TF y AUX - 4 Horas de Reproducción Musical - Ideal para Trabajo Cotidiano, Juegos y Estudio</t>
        </is>
      </c>
      <c r="D11" s="17" t="n">
        <v>2348.67</v>
      </c>
      <c r="E11" s="18" t="n">
        <v>0.02395650010065222</v>
      </c>
      <c r="F11" s="16" t="n">
        <v>82</v>
      </c>
      <c r="G11" s="16" t="n">
        <v>70</v>
      </c>
      <c r="H11" s="16" t="n">
        <v>70</v>
      </c>
      <c r="I11" s="17" t="n">
        <v>33.55</v>
      </c>
      <c r="J11" s="17" t="n">
        <v>28.64</v>
      </c>
      <c r="K11" s="17" t="n">
        <v>3003.29</v>
      </c>
      <c r="L11" s="17" t="n">
        <v>1467.19</v>
      </c>
    </row>
    <row r="12">
      <c r="A12" s="16" t="inlineStr">
        <is>
          <t>5.1-5.7</t>
        </is>
      </c>
      <c r="B12" s="16" t="inlineStr">
        <is>
          <t>MCM-001R</t>
        </is>
      </c>
      <c r="C12" s="16" t="inlineStr">
        <is>
          <t>Musicord Altavoz Inalámbrico BT Portátil: ¡Sonido impactante, luces LED multicolores y 4 horas de autonomía! Compatible con TWS, FM, TF y USB – Imprescindible para fiestas y viajes</t>
        </is>
      </c>
      <c r="D12" s="17" t="n">
        <v>2292.83</v>
      </c>
      <c r="E12" s="18" t="n">
        <v>0.02338694663164395</v>
      </c>
      <c r="F12" s="16" t="n">
        <v>38</v>
      </c>
      <c r="G12" s="16" t="n">
        <v>38</v>
      </c>
      <c r="H12" s="16" t="n">
        <v>38</v>
      </c>
      <c r="I12" s="17" t="n">
        <v>60.34</v>
      </c>
      <c r="J12" s="17" t="n">
        <v>60.34</v>
      </c>
      <c r="K12" s="17" t="n">
        <v>2524</v>
      </c>
      <c r="L12" s="17" t="n">
        <v>921.22</v>
      </c>
    </row>
    <row r="13">
      <c r="A13" s="16" t="inlineStr">
        <is>
          <t>5.1-5.7</t>
        </is>
      </c>
      <c r="B13" s="16" t="inlineStr">
        <is>
          <t>MB-185N</t>
        </is>
      </c>
      <c r="C13" s="16" t="inlineStr">
        <is>
          <t>Bocina Radio FM/Reproductor, Compatible con Tarjeta TF, USB, Bluetooth, Aplicable para celular, computadora, Ipad y consola.</t>
        </is>
      </c>
      <c r="D13" s="17" t="n">
        <v>2210.94</v>
      </c>
      <c r="E13" s="18" t="n">
        <v>0.02255167444005939</v>
      </c>
      <c r="F13" s="16" t="n">
        <v>32</v>
      </c>
      <c r="G13" s="16" t="n">
        <v>31</v>
      </c>
      <c r="H13" s="16" t="n">
        <v>31</v>
      </c>
      <c r="I13" s="17" t="n">
        <v>71.31999999999999</v>
      </c>
      <c r="J13" s="17" t="n">
        <v>69.09</v>
      </c>
      <c r="K13" s="17" t="n">
        <v>2357.34</v>
      </c>
      <c r="L13" s="17" t="n">
        <v>684.86</v>
      </c>
    </row>
    <row r="14">
      <c r="A14" s="16" t="inlineStr">
        <is>
          <t>5.1-5.7</t>
        </is>
      </c>
      <c r="B14" s="16" t="inlineStr">
        <is>
          <t>LB02235-rojo</t>
        </is>
      </c>
      <c r="C14" s="16" t="inlineStr">
        <is>
          <t>Audífonos Inalámbricos para la Cabeza, Recargables y Multifuncionales - Conectan a Varios Dispositivos, soportan Radio FM, Tarjeta TF y AUX - 4 Horas de Reproducción Musical - Ideal para Trabajo Cotidiano, Juegos y Estudio</t>
        </is>
      </c>
      <c r="D14" s="17" t="n">
        <v>2196</v>
      </c>
      <c r="E14" s="18" t="n">
        <v>0.02239933019512033</v>
      </c>
      <c r="F14" s="16" t="n">
        <v>64</v>
      </c>
      <c r="G14" s="16" t="n">
        <v>53</v>
      </c>
      <c r="H14" s="16" t="n">
        <v>53</v>
      </c>
      <c r="I14" s="17" t="n">
        <v>41.43</v>
      </c>
      <c r="J14" s="17" t="n">
        <v>34.31</v>
      </c>
      <c r="K14" s="17" t="n">
        <v>2630.67</v>
      </c>
      <c r="L14" s="17" t="n">
        <v>1099.88</v>
      </c>
    </row>
    <row r="15">
      <c r="A15" s="16" t="inlineStr">
        <is>
          <t>5.1-5.7</t>
        </is>
      </c>
      <c r="B15" s="16" t="inlineStr">
        <is>
          <t>LB02235-blanco</t>
        </is>
      </c>
      <c r="C15" s="16" t="inlineStr">
        <is>
          <t>Audífonos Inalámbricos para la Cabeza, Recargables y Multifuncionales - Conectan a Varios Dispositivos, soportan Radio FM, Tarjeta TF y AUX - 4 Horas de Reproducción Musical - Ideal para Trabajo Cotidiano, Juegos y Estudio</t>
        </is>
      </c>
      <c r="D15" s="17" t="n">
        <v>1948.15</v>
      </c>
      <c r="E15" s="18" t="n">
        <v>0.01987122806041078</v>
      </c>
      <c r="F15" s="16" t="n">
        <v>61</v>
      </c>
      <c r="G15" s="16" t="n">
        <v>51</v>
      </c>
      <c r="H15" s="16" t="n">
        <v>51</v>
      </c>
      <c r="I15" s="17" t="n">
        <v>38.2</v>
      </c>
      <c r="J15" s="17" t="n">
        <v>31.94</v>
      </c>
      <c r="K15" s="17" t="n">
        <v>2357.16</v>
      </c>
      <c r="L15" s="17" t="n">
        <v>1062.53</v>
      </c>
    </row>
    <row r="16">
      <c r="A16" s="16" t="inlineStr">
        <is>
          <t>5.1-5.7</t>
        </is>
      </c>
      <c r="B16" s="16" t="inlineStr">
        <is>
          <t>LV64W25</t>
        </is>
      </c>
      <c r="C16" s="16" t="inlineStr">
        <is>
          <t>Ventilador de Techo LED TIANLAI con 5 Aspas, Control Remoto, 3 Colores Luz, 3 Velocidades, Temporizador, Fácil Instalación, E27 para Baño Cocina Dormitorio Salón</t>
        </is>
      </c>
      <c r="D16" s="17" t="n">
        <v>1768.48</v>
      </c>
      <c r="E16" s="18" t="n">
        <v>0.0180385662628531</v>
      </c>
      <c r="F16" s="16" t="n">
        <v>12</v>
      </c>
      <c r="G16" s="16" t="n">
        <v>9</v>
      </c>
      <c r="H16" s="16" t="n">
        <v>9</v>
      </c>
      <c r="I16" s="17" t="n">
        <v>196.5</v>
      </c>
      <c r="J16" s="17" t="n">
        <v>147.37</v>
      </c>
      <c r="K16" s="17" t="n">
        <v>1782</v>
      </c>
      <c r="L16" s="17" t="n">
        <v>155.16</v>
      </c>
    </row>
    <row r="17">
      <c r="A17" s="16" t="inlineStr">
        <is>
          <t>5.1-5.7</t>
        </is>
      </c>
      <c r="B17" s="16" t="inlineStr">
        <is>
          <t>SA323T</t>
        </is>
      </c>
      <c r="C17" s="16" t="inlineStr">
        <is>
          <t>Linkbits Bocina Portátil Parlantes BT Portátiles con Iluminación de Ambiente | 1 Hora de Duración, FM, TWS, TF/Micro SD | Ideal para Hogar, Fiestas y Viajes</t>
        </is>
      </c>
      <c r="D17" s="17" t="n">
        <v>1710.39</v>
      </c>
      <c r="E17" s="18" t="n">
        <v>0.01744604842114891</v>
      </c>
      <c r="F17" s="16" t="n">
        <v>41</v>
      </c>
      <c r="G17" s="16" t="n">
        <v>37</v>
      </c>
      <c r="H17" s="16" t="n">
        <v>37</v>
      </c>
      <c r="I17" s="17" t="n">
        <v>46.23</v>
      </c>
      <c r="J17" s="17" t="n">
        <v>41.72</v>
      </c>
      <c r="K17" s="17" t="n">
        <v>1898.8</v>
      </c>
      <c r="L17" s="17" t="n">
        <v>856.45</v>
      </c>
    </row>
    <row r="18">
      <c r="A18" s="16" t="inlineStr">
        <is>
          <t>5.1-5.7</t>
        </is>
      </c>
      <c r="B18" s="16" t="inlineStr">
        <is>
          <t>MB-185A</t>
        </is>
      </c>
      <c r="C18" s="16" t="inlineStr">
        <is>
          <t>Bocina Radio FM/Reproductor, Compatible con Tarjeta TF, USB, Bluetooth, Aplicable para celular, computadora, Ipad y consola.</t>
        </is>
      </c>
      <c r="D18" s="17" t="n">
        <v>1640.62</v>
      </c>
      <c r="E18" s="18" t="n">
        <v>0.01673438542851412</v>
      </c>
      <c r="F18" s="16" t="n">
        <v>24</v>
      </c>
      <c r="G18" s="16" t="n">
        <v>23</v>
      </c>
      <c r="H18" s="16" t="n">
        <v>23</v>
      </c>
      <c r="I18" s="17" t="n">
        <v>71.33</v>
      </c>
      <c r="J18" s="17" t="n">
        <v>68.36</v>
      </c>
      <c r="K18" s="17" t="n">
        <v>1778.48</v>
      </c>
      <c r="L18" s="17" t="n">
        <v>478.4</v>
      </c>
    </row>
    <row r="19">
      <c r="A19" s="16" t="inlineStr">
        <is>
          <t>5.1-5.7</t>
        </is>
      </c>
      <c r="B19" s="16" t="inlineStr">
        <is>
          <t>S58W60</t>
        </is>
      </c>
      <c r="C19"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D19" s="17" t="n">
        <v>1514.46</v>
      </c>
      <c r="E19" s="18" t="n">
        <v>0.01544758852434555</v>
      </c>
      <c r="F19" s="16" t="n">
        <v>26</v>
      </c>
      <c r="G19" s="16" t="n">
        <v>6</v>
      </c>
      <c r="H19" s="16" t="n">
        <v>6</v>
      </c>
      <c r="I19" s="17" t="n">
        <v>252.41</v>
      </c>
      <c r="J19" s="17" t="n">
        <v>58.25</v>
      </c>
      <c r="K19" s="17" t="n">
        <v>1524</v>
      </c>
      <c r="L19" s="17" t="n">
        <v>77.58</v>
      </c>
    </row>
    <row r="20">
      <c r="A20" s="16" t="inlineStr">
        <is>
          <t>5.1-5.7</t>
        </is>
      </c>
      <c r="B20" s="16" t="inlineStr">
        <is>
          <t>KTS-1678V</t>
        </is>
      </c>
      <c r="C20" s="16" t="inlineStr">
        <is>
          <t>Bocina portátil Inalámbrico, de 3 pulgadas, tamaño de bolsillo, 170 g, con asa, compatible con TF, USB y Micro SD, con radio FM y función TWS (True Wireless Stereo), adecuada para relajarse en casa o viajar al aire libre.</t>
        </is>
      </c>
      <c r="D20" s="17" t="n">
        <v>1339.11</v>
      </c>
      <c r="E20" s="18" t="n">
        <v>0.01365893939444545</v>
      </c>
      <c r="F20" s="16" t="n">
        <v>38</v>
      </c>
      <c r="G20" s="16" t="n">
        <v>24</v>
      </c>
      <c r="H20" s="16" t="n">
        <v>24</v>
      </c>
      <c r="I20" s="17" t="n">
        <v>55.8</v>
      </c>
      <c r="J20" s="17" t="n">
        <v>35.24</v>
      </c>
      <c r="K20" s="17" t="n">
        <v>1595</v>
      </c>
      <c r="L20" s="17" t="n">
        <v>400.19</v>
      </c>
    </row>
    <row r="21">
      <c r="A21" s="16" t="inlineStr">
        <is>
          <t>5.1-5.7</t>
        </is>
      </c>
      <c r="B21" s="16" t="inlineStr">
        <is>
          <t>LV25W22</t>
        </is>
      </c>
      <c r="C2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D21" s="17" t="n">
        <v>1279.84</v>
      </c>
      <c r="E21" s="18" t="n">
        <v>0.01305437275410617</v>
      </c>
      <c r="F21" s="16" t="n">
        <v>14</v>
      </c>
      <c r="G21" s="16" t="n">
        <v>10</v>
      </c>
      <c r="H21" s="16" t="n">
        <v>10</v>
      </c>
      <c r="I21" s="17" t="n">
        <v>127.98</v>
      </c>
      <c r="J21" s="17" t="n">
        <v>91.42</v>
      </c>
      <c r="K21" s="17" t="n">
        <v>1358</v>
      </c>
      <c r="L21" s="17" t="n">
        <v>232.74</v>
      </c>
    </row>
    <row r="22">
      <c r="A22" s="16" t="inlineStr">
        <is>
          <t>5.1-5.7</t>
        </is>
      </c>
      <c r="B22" s="16" t="inlineStr">
        <is>
          <t>KTS-1678Y</t>
        </is>
      </c>
      <c r="C22" s="16" t="inlineStr">
        <is>
          <t>Bocina portátil Inalámbrico, de 3 pulgadas, tamaño de bolsillo, 170 g, con asa, compatible con TF, USB y Micro SD, con radio FM y función TWS (True Wireless Stereo), adecuada para relajarse en casa o viajar al aire libre.</t>
        </is>
      </c>
      <c r="D22" s="17" t="n">
        <v>1157.28</v>
      </c>
      <c r="E22" s="18" t="n">
        <v>0.01180430976821442</v>
      </c>
      <c r="F22" s="16" t="n">
        <v>33</v>
      </c>
      <c r="G22" s="16" t="n">
        <v>27</v>
      </c>
      <c r="H22" s="16" t="n">
        <v>27</v>
      </c>
      <c r="I22" s="17" t="n">
        <v>42.86</v>
      </c>
      <c r="J22" s="17" t="n">
        <v>35.07</v>
      </c>
      <c r="K22" s="17" t="n">
        <v>1382.5</v>
      </c>
      <c r="L22" s="17" t="n">
        <v>542.15</v>
      </c>
    </row>
    <row r="23">
      <c r="A23" s="16" t="inlineStr">
        <is>
          <t>5.1-5.7</t>
        </is>
      </c>
      <c r="B23" s="16" t="inlineStr">
        <is>
          <t>FA028</t>
        </is>
      </c>
      <c r="C23" s="16" t="inlineStr">
        <is>
          <t>Extractor de agua para garrafas de agua, compatible con carga USB, extractor de agua automático, práctico, con dos modos de toma de agua: manual y programado, ideal para dormitorios, salones, oficinas, uso al aire libre y otros escenarios.</t>
        </is>
      </c>
      <c r="D23" s="17" t="n">
        <v>1119.46</v>
      </c>
      <c r="E23" s="18" t="n">
        <v>0.01141850137089497</v>
      </c>
      <c r="F23" s="16" t="n">
        <v>37</v>
      </c>
      <c r="G23" s="16" t="n">
        <v>33</v>
      </c>
      <c r="H23" s="16" t="n">
        <v>33</v>
      </c>
      <c r="I23" s="17" t="n">
        <v>33.92</v>
      </c>
      <c r="J23" s="17" t="n">
        <v>30.26</v>
      </c>
      <c r="K23" s="17" t="n">
        <v>1258.59</v>
      </c>
      <c r="L23" s="17" t="n">
        <v>813.13</v>
      </c>
    </row>
    <row r="24">
      <c r="A24" s="16" t="inlineStr">
        <is>
          <t>5.1-5.7</t>
        </is>
      </c>
      <c r="B24" s="16" t="inlineStr">
        <is>
          <t>KTS-1678N</t>
        </is>
      </c>
      <c r="C24" s="16" t="inlineStr">
        <is>
          <t>Bocina portátil Inalámbrico, de 3 pulgadas, tamaño de bolsillo, 170 g, con asa, compatible con TF, USB y Micro SD, con radio FM y función TWS (True Wireless Stereo), adecuada para relajarse en casa o viajar al aire libre.</t>
        </is>
      </c>
      <c r="D24" s="17" t="n">
        <v>1051.95</v>
      </c>
      <c r="E24" s="18" t="n">
        <v>0.01072997156163751</v>
      </c>
      <c r="F24" s="16" t="n">
        <v>30</v>
      </c>
      <c r="G24" s="16" t="n">
        <v>28</v>
      </c>
      <c r="H24" s="16" t="n">
        <v>28</v>
      </c>
      <c r="I24" s="17" t="n">
        <v>37.57</v>
      </c>
      <c r="J24" s="17" t="n">
        <v>35.07</v>
      </c>
      <c r="K24" s="17" t="n">
        <v>1287.36</v>
      </c>
      <c r="L24" s="17" t="n">
        <v>560.15</v>
      </c>
    </row>
    <row r="25">
      <c r="A25" s="16" t="inlineStr">
        <is>
          <t>5.1-5.7</t>
        </is>
      </c>
      <c r="B25" s="16" t="inlineStr">
        <is>
          <t>MB-185R</t>
        </is>
      </c>
      <c r="C25" s="16" t="inlineStr">
        <is>
          <t>Bocina Radio FM/Reproductor, Compatible con Tarjeta TF, USB, Bluetooth, Aplicable para celular, computadora, Ipad y consola.</t>
        </is>
      </c>
      <c r="D25" s="17" t="n">
        <v>930.2</v>
      </c>
      <c r="E25" s="18" t="n">
        <v>0.009488126238916443</v>
      </c>
      <c r="F25" s="16" t="n">
        <v>17</v>
      </c>
      <c r="G25" s="16" t="n">
        <v>15</v>
      </c>
      <c r="H25" s="16" t="n">
        <v>15</v>
      </c>
      <c r="I25" s="17" t="n">
        <v>62.01</v>
      </c>
      <c r="J25" s="17" t="n">
        <v>54.72</v>
      </c>
      <c r="K25" s="17" t="n">
        <v>1255.57</v>
      </c>
      <c r="L25" s="17" t="n">
        <v>236.67</v>
      </c>
    </row>
    <row r="26">
      <c r="A26" s="16" t="inlineStr">
        <is>
          <t>5.1-5.7</t>
        </is>
      </c>
      <c r="B26" s="16" t="inlineStr">
        <is>
          <t>MB-178-N</t>
        </is>
      </c>
      <c r="C26" s="16" t="inlineStr">
        <is>
          <t>Bocina de Barra Bluetooth LINK BITS con dos altavoces, sonido de alta calidad y multifuncional (Bluetooth, Radio FM, USB, TF, AUX, TWS), ideal para juegos, reuniones, oficina y cine en casa.</t>
        </is>
      </c>
      <c r="D26" s="17" t="n">
        <v>808.23</v>
      </c>
      <c r="E26" s="18" t="n">
        <v>0.008243938476740102</v>
      </c>
      <c r="F26" s="16" t="n">
        <v>6</v>
      </c>
      <c r="G26" s="16" t="n">
        <v>6</v>
      </c>
      <c r="H26" s="16" t="n">
        <v>6</v>
      </c>
      <c r="I26" s="17" t="n">
        <v>134.7</v>
      </c>
      <c r="J26" s="17" t="n">
        <v>134.7</v>
      </c>
      <c r="K26" s="17" t="n">
        <v>790</v>
      </c>
      <c r="L26" s="17" t="n">
        <v>155.16</v>
      </c>
    </row>
    <row r="27">
      <c r="A27" s="16" t="inlineStr">
        <is>
          <t>5.1-5.7</t>
        </is>
      </c>
      <c r="B27" s="16" t="inlineStr">
        <is>
          <t>MCM-001N</t>
        </is>
      </c>
      <c r="C27" s="16" t="inlineStr">
        <is>
          <t>Musicord Altavoz Inalámbrico BT Portátil: ¡Sonido impactante, luces LED multicolores y 4 horas de autonomía! Compatible con TWS, FM, TF y USB – Imprescindible para fiestas y viajes</t>
        </is>
      </c>
      <c r="D27" s="17" t="n">
        <v>784.1900000000001</v>
      </c>
      <c r="E27" s="18" t="n">
        <v>0.007998790177196537</v>
      </c>
      <c r="F27" s="16" t="n">
        <v>13</v>
      </c>
      <c r="G27" s="16" t="n">
        <v>12</v>
      </c>
      <c r="H27" s="16" t="n">
        <v>12</v>
      </c>
      <c r="I27" s="17" t="n">
        <v>65.34999999999999</v>
      </c>
      <c r="J27" s="17" t="n">
        <v>60.32</v>
      </c>
      <c r="K27" s="17" t="n">
        <v>793</v>
      </c>
      <c r="L27" s="17" t="n">
        <v>310.32</v>
      </c>
    </row>
    <row r="28">
      <c r="A28" s="16" t="inlineStr">
        <is>
          <t>5.1-5.7</t>
        </is>
      </c>
      <c r="B28" s="16" t="inlineStr">
        <is>
          <t>S09W18IB-8PZS</t>
        </is>
      </c>
      <c r="C2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28" s="17" t="n">
        <v>761.8099999999999</v>
      </c>
      <c r="E28" s="18" t="n">
        <v>0.007770442875470371</v>
      </c>
      <c r="F28" s="16" t="n">
        <v>3</v>
      </c>
      <c r="G28" s="16" t="n">
        <v>2</v>
      </c>
      <c r="H28" s="16" t="n">
        <v>2</v>
      </c>
      <c r="I28" s="17" t="n">
        <v>380.9</v>
      </c>
      <c r="J28" s="17" t="n">
        <v>253.94</v>
      </c>
      <c r="K28" s="17" t="n">
        <v>810</v>
      </c>
      <c r="L28" s="17" t="n">
        <v>0</v>
      </c>
    </row>
    <row r="29">
      <c r="A29" s="16" t="inlineStr">
        <is>
          <t>5.1-5.7</t>
        </is>
      </c>
      <c r="B29" s="16" t="inlineStr">
        <is>
          <t>KTS-1678R</t>
        </is>
      </c>
      <c r="C29" s="16" t="inlineStr">
        <is>
          <t>Bocina portátil Inalámbrico, de 3 pulgadas, tamaño de bolsillo, 170 g, con asa, compatible con TF, USB y Micro SD, con radio FM y función TWS (True Wireless Stereo), adecuada para relajarse en casa o viajar al aire libre.</t>
        </is>
      </c>
      <c r="D29" s="17" t="n">
        <v>662.28</v>
      </c>
      <c r="E29" s="18" t="n">
        <v>0.006755314377894039</v>
      </c>
      <c r="F29" s="16" t="n">
        <v>21</v>
      </c>
      <c r="G29" s="16" t="n">
        <v>19</v>
      </c>
      <c r="H29" s="16" t="n">
        <v>19</v>
      </c>
      <c r="I29" s="17" t="n">
        <v>34.86</v>
      </c>
      <c r="J29" s="17" t="n">
        <v>31.54</v>
      </c>
      <c r="K29" s="17" t="n">
        <v>872.5</v>
      </c>
      <c r="L29" s="17" t="n">
        <v>330.93</v>
      </c>
    </row>
    <row r="30">
      <c r="A30" s="16" t="inlineStr">
        <is>
          <t>5.1-5.7</t>
        </is>
      </c>
      <c r="B30" s="16" t="inlineStr">
        <is>
          <t>MB-184N</t>
        </is>
      </c>
      <c r="C30" s="16" t="inlineStr">
        <is>
          <t>Link bits Portable Bluetooth Speaker - 800W Peak Power, 50W Full-Range Audio with Dual Bass System &amp; Deep Bass Membranes, Powerful &amp; Distortion-Free Sound, IP65 Waterproof Dustproof, TWS Support &amp; 6H Battery for Outdoor/Party</t>
        </is>
      </c>
      <c r="D30" s="17" t="n">
        <v>594.37</v>
      </c>
      <c r="E30" s="18" t="n">
        <v>0.006062589291702301</v>
      </c>
      <c r="F30" s="16" t="n">
        <v>1</v>
      </c>
      <c r="G30" s="16" t="n">
        <v>1</v>
      </c>
      <c r="H30" s="16" t="n">
        <v>1</v>
      </c>
      <c r="I30" s="17" t="n">
        <v>594.37</v>
      </c>
      <c r="J30" s="17" t="n">
        <v>594.37</v>
      </c>
      <c r="K30" s="17" t="n">
        <v>588</v>
      </c>
      <c r="L30" s="17" t="n">
        <v>0</v>
      </c>
    </row>
    <row r="31">
      <c r="A31" s="16" t="inlineStr">
        <is>
          <t>5.1-5.7</t>
        </is>
      </c>
      <c r="B31" s="16" t="inlineStr">
        <is>
          <t>KTS-1916</t>
        </is>
      </c>
      <c r="C31" s="16" t="inlineStr">
        <is>
          <t>Bocina Portátil, Parlantes BT Portátiles, de 4 Pulgadas, Altavoz Inalámbrico, con Iluminación LED, Sonido Estéreo, Compatible con USB/ Tarjeta TF/ Micrófono, Soporta Radio FM, Posee Función de Voz Mágica y Diseño con Asa, Ideal para Viajar, Trabajar y Entretenerte</t>
        </is>
      </c>
      <c r="D31" s="17" t="n">
        <v>351.57</v>
      </c>
      <c r="E31" s="18" t="n">
        <v>0.003586048875122145</v>
      </c>
      <c r="F31" s="16" t="n">
        <v>2</v>
      </c>
      <c r="G31" s="16" t="n">
        <v>1</v>
      </c>
      <c r="H31" s="16" t="n">
        <v>1</v>
      </c>
      <c r="I31" s="17" t="n">
        <v>351.57</v>
      </c>
      <c r="J31" s="17" t="n">
        <v>175.79</v>
      </c>
      <c r="K31" s="17" t="n">
        <v>363.64</v>
      </c>
      <c r="L31" s="17" t="n">
        <v>0</v>
      </c>
    </row>
    <row r="32">
      <c r="A32" s="16" t="inlineStr">
        <is>
          <t>5.1-5.7</t>
        </is>
      </c>
      <c r="B32" s="16" t="inlineStr">
        <is>
          <t>T5050RGB07</t>
        </is>
      </c>
      <c r="C32"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D32" s="17" t="n">
        <v>310</v>
      </c>
      <c r="E32" s="18" t="n">
        <v>0.003162029083562016</v>
      </c>
      <c r="F32" s="16" t="n">
        <v>6</v>
      </c>
      <c r="G32" s="16" t="n">
        <v>3</v>
      </c>
      <c r="H32" s="16" t="n">
        <v>3</v>
      </c>
      <c r="I32" s="17" t="n">
        <v>103.33</v>
      </c>
      <c r="J32" s="17" t="n">
        <v>51.67</v>
      </c>
      <c r="K32" s="17" t="n">
        <v>332</v>
      </c>
      <c r="L32" s="17" t="n">
        <v>51.72</v>
      </c>
    </row>
    <row r="33">
      <c r="A33" s="16" t="inlineStr">
        <is>
          <t>5.1-5.7</t>
        </is>
      </c>
      <c r="B33" s="16" t="inlineStr">
        <is>
          <t>S39W48</t>
        </is>
      </c>
      <c r="C3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33" s="17" t="n">
        <v>305.31</v>
      </c>
      <c r="E33" s="18" t="n">
        <v>0.003114151110302098</v>
      </c>
      <c r="F33" s="16" t="n">
        <v>8</v>
      </c>
      <c r="G33" s="16" t="n">
        <v>5</v>
      </c>
      <c r="H33" s="16" t="n">
        <v>5</v>
      </c>
      <c r="I33" s="17" t="n">
        <v>61.06</v>
      </c>
      <c r="J33" s="17" t="n">
        <v>38.16</v>
      </c>
      <c r="K33" s="17" t="n">
        <v>311.8</v>
      </c>
      <c r="L33" s="17" t="n">
        <v>129.3</v>
      </c>
    </row>
    <row r="34">
      <c r="A34" s="16" t="inlineStr">
        <is>
          <t>5.1-5.7</t>
        </is>
      </c>
      <c r="B34" s="16" t="inlineStr">
        <is>
          <t>EM04W36</t>
        </is>
      </c>
      <c r="C3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34" s="17" t="n">
        <v>272.33</v>
      </c>
      <c r="E34" s="18" t="n">
        <v>0.00277774610239992</v>
      </c>
      <c r="F34" s="16" t="n">
        <v>3</v>
      </c>
      <c r="G34" s="16" t="n">
        <v>3</v>
      </c>
      <c r="H34" s="16" t="n">
        <v>3</v>
      </c>
      <c r="I34" s="17" t="n">
        <v>90.78</v>
      </c>
      <c r="J34" s="17" t="n">
        <v>90.78</v>
      </c>
      <c r="K34" s="17" t="n">
        <v>268.5</v>
      </c>
      <c r="L34" s="17" t="n">
        <v>77.58</v>
      </c>
    </row>
    <row r="35">
      <c r="A35" s="16" t="inlineStr">
        <is>
          <t>5.1-5.7</t>
        </is>
      </c>
      <c r="B35" s="16" t="inlineStr">
        <is>
          <t>KTS-1943-N</t>
        </is>
      </c>
      <c r="C35"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35" s="17" t="n">
        <v>265.72</v>
      </c>
      <c r="E35" s="18" t="n">
        <v>0.002710386560502455</v>
      </c>
      <c r="F35" s="16" t="n">
        <v>4</v>
      </c>
      <c r="G35" s="16" t="n">
        <v>4</v>
      </c>
      <c r="H35" s="16" t="n">
        <v>4</v>
      </c>
      <c r="I35" s="17" t="n">
        <v>66.43000000000001</v>
      </c>
      <c r="J35" s="17" t="n">
        <v>66.43000000000001</v>
      </c>
      <c r="K35" s="17" t="n">
        <v>266.5</v>
      </c>
      <c r="L35" s="17" t="n">
        <v>103.44</v>
      </c>
    </row>
    <row r="36">
      <c r="A36" s="16" t="inlineStr">
        <is>
          <t>5.1-5.7</t>
        </is>
      </c>
      <c r="B36" s="16" t="inlineStr">
        <is>
          <t>SA316T</t>
        </is>
      </c>
      <c r="C36" s="16" t="inlineStr">
        <is>
          <t>Linkbits Máquina Portátil de Karaoke y Altavoz para Karaoke，Altavoz Inalámbrico de 3" con TWS, micrófono incluido, radio FM, tarjeta Micro SD y puerto USB, luces RGB, recargable, potencia de 10W</t>
        </is>
      </c>
      <c r="D36" s="17" t="n">
        <v>228.09</v>
      </c>
      <c r="E36" s="18" t="n">
        <v>0.00232654575112519</v>
      </c>
      <c r="F36" s="16" t="n">
        <v>1</v>
      </c>
      <c r="G36" s="16" t="n">
        <v>1</v>
      </c>
      <c r="H36" s="16" t="n">
        <v>1</v>
      </c>
      <c r="I36" s="17" t="n">
        <v>228.09</v>
      </c>
      <c r="J36" s="17" t="n">
        <v>228.09</v>
      </c>
      <c r="K36" s="17" t="n">
        <v>220</v>
      </c>
      <c r="L36" s="17" t="n">
        <v>25.86</v>
      </c>
    </row>
    <row r="37">
      <c r="A37" s="16" t="inlineStr">
        <is>
          <t>5.1-5.7</t>
        </is>
      </c>
      <c r="B37" s="16" t="inlineStr">
        <is>
          <t>LV52W22</t>
        </is>
      </c>
      <c r="C37" s="16" t="inlineStr">
        <is>
          <t>Ventilador de Techo LED TIANLAI con 5 Aspas, Control Remoto, 3 Colores Luz, 3 Velocidades, Temporizador, Fácil Instalación, E27 para Baño Cocina Dormitorio Salón</t>
        </is>
      </c>
      <c r="D37" s="17" t="n">
        <v>210.24</v>
      </c>
      <c r="E37" s="18" t="n">
        <v>0.002144469916174262</v>
      </c>
      <c r="F37" s="16" t="n">
        <v>2</v>
      </c>
      <c r="G37" s="16" t="n">
        <v>2</v>
      </c>
      <c r="H37" s="16" t="n">
        <v>2</v>
      </c>
      <c r="I37" s="17" t="n">
        <v>105.12</v>
      </c>
      <c r="J37" s="17" t="n">
        <v>105.12</v>
      </c>
      <c r="K37" s="17" t="n">
        <v>210</v>
      </c>
      <c r="L37" s="17" t="n">
        <v>51.72</v>
      </c>
    </row>
    <row r="38">
      <c r="A38" s="16" t="inlineStr">
        <is>
          <t>5.1-5.7</t>
        </is>
      </c>
      <c r="B38" s="16" t="inlineStr">
        <is>
          <t>LV42W08</t>
        </is>
      </c>
      <c r="C38" s="16" t="inlineStr">
        <is>
          <t>TIANLAI Ventilador de techo con luz LED RGB E27, 6 pulgadas, 40W, motor silencioso, fácil instalación, alto brillo 3800 lm, 127V. Ideal para dormitorios, salas y cocinas del hogar.</t>
        </is>
      </c>
      <c r="D38" s="17" t="n">
        <v>202.02</v>
      </c>
      <c r="E38" s="18" t="n">
        <v>0.002060638327787216</v>
      </c>
      <c r="F38" s="16" t="n">
        <v>1</v>
      </c>
      <c r="G38" s="16" t="n">
        <v>1</v>
      </c>
      <c r="H38" s="16" t="n">
        <v>1</v>
      </c>
      <c r="I38" s="17" t="n">
        <v>202.02</v>
      </c>
      <c r="J38" s="17" t="n">
        <v>202.02</v>
      </c>
      <c r="K38" s="17" t="n">
        <v>193.4</v>
      </c>
      <c r="L38" s="17" t="n">
        <v>25.86</v>
      </c>
    </row>
    <row r="39">
      <c r="A39" s="16" t="inlineStr">
        <is>
          <t>5.1-5.7</t>
        </is>
      </c>
      <c r="B39" s="16" t="inlineStr">
        <is>
          <t>S39W48-5PZS</t>
        </is>
      </c>
      <c r="C3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39" s="17" t="n">
        <v>196.28</v>
      </c>
      <c r="E39" s="18" t="n">
        <v>0.002002042661265223</v>
      </c>
      <c r="F39" s="16" t="n">
        <v>1</v>
      </c>
      <c r="G39" s="16" t="n">
        <v>1</v>
      </c>
      <c r="H39" s="16" t="n">
        <v>1</v>
      </c>
      <c r="I39" s="17" t="n">
        <v>196.28</v>
      </c>
      <c r="J39" s="17" t="n">
        <v>196.28</v>
      </c>
      <c r="K39" s="17" t="n">
        <v>190</v>
      </c>
      <c r="L39" s="17" t="n">
        <v>25.86</v>
      </c>
    </row>
    <row r="40">
      <c r="A40" s="16" t="inlineStr">
        <is>
          <t>5.1-5.7</t>
        </is>
      </c>
      <c r="B40" s="16" t="inlineStr">
        <is>
          <t>VA384T-N</t>
        </is>
      </c>
      <c r="C40" s="16" t="inlineStr">
        <is>
          <t>Bocina Portátil Bluetooth de 3 Pulgadas con Radio FM, USB TF TWS, Sonido Estéreo 5W, Bocina Recargable para Hogar Exterior Viaje Fiesta Camping</t>
        </is>
      </c>
      <c r="D40" s="17" t="n">
        <v>194.89</v>
      </c>
      <c r="E40" s="18" t="n">
        <v>0.001987890614140343</v>
      </c>
      <c r="F40" s="16" t="n">
        <v>5</v>
      </c>
      <c r="G40" s="16" t="n">
        <v>3</v>
      </c>
      <c r="H40" s="16" t="n">
        <v>3</v>
      </c>
      <c r="I40" s="17" t="n">
        <v>64.95999999999999</v>
      </c>
      <c r="J40" s="17" t="n">
        <v>38.98</v>
      </c>
      <c r="K40" s="17" t="n">
        <v>248</v>
      </c>
      <c r="L40" s="17" t="n">
        <v>28.77</v>
      </c>
    </row>
    <row r="41">
      <c r="A41" s="16" t="inlineStr">
        <is>
          <t>5.1-5.7</t>
        </is>
      </c>
      <c r="B41" s="16" t="inlineStr">
        <is>
          <t>MB-183N</t>
        </is>
      </c>
      <c r="C41" s="16" t="inlineStr">
        <is>
          <t>Linkbits Altavoz Bluetooth Portátil con Stereo Inalámbrico TWS Impermeable y a Prueba de Polvo IP65 Altavoz de Graves de Rango Completo de 52mm con Doble Unidad Ligero de 215g para Camping Senderismo y Fiestas al Aire Libre</t>
        </is>
      </c>
      <c r="D41" s="17" t="n">
        <v>181.2</v>
      </c>
      <c r="E41" s="18" t="n">
        <v>0.001848213290331429</v>
      </c>
      <c r="F41" s="16" t="n">
        <v>2</v>
      </c>
      <c r="G41" s="16" t="n">
        <v>2</v>
      </c>
      <c r="H41" s="16" t="n">
        <v>2</v>
      </c>
      <c r="I41" s="17" t="n">
        <v>90.59999999999999</v>
      </c>
      <c r="J41" s="17" t="n">
        <v>90.59999999999999</v>
      </c>
      <c r="K41" s="17" t="n">
        <v>180</v>
      </c>
      <c r="L41" s="17" t="n">
        <v>51.72</v>
      </c>
    </row>
    <row r="42">
      <c r="A42" s="16" t="inlineStr">
        <is>
          <t>5.1-5.7</t>
        </is>
      </c>
      <c r="B42" s="16" t="inlineStr">
        <is>
          <t>EM04W36-2PZS</t>
        </is>
      </c>
      <c r="C4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42" s="17" t="n">
        <v>180.74</v>
      </c>
      <c r="E42" s="18" t="n">
        <v>0.001843544731486744</v>
      </c>
      <c r="F42" s="16" t="n">
        <v>1</v>
      </c>
      <c r="G42" s="16" t="n">
        <v>1</v>
      </c>
      <c r="H42" s="16" t="n">
        <v>1</v>
      </c>
      <c r="I42" s="17" t="n">
        <v>180.74</v>
      </c>
      <c r="J42" s="17" t="n">
        <v>180.74</v>
      </c>
      <c r="K42" s="17" t="n">
        <v>175.5</v>
      </c>
      <c r="L42" s="17" t="n">
        <v>25.86</v>
      </c>
    </row>
    <row r="43">
      <c r="A43" s="16" t="inlineStr">
        <is>
          <t>5.1-5.7</t>
        </is>
      </c>
      <c r="B43" s="16" t="inlineStr">
        <is>
          <t>KTS-1943-R</t>
        </is>
      </c>
      <c r="C4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43" s="17" t="n">
        <v>147.11</v>
      </c>
      <c r="E43" s="18" t="n">
        <v>0.001500500516785341</v>
      </c>
      <c r="F43" s="16" t="n">
        <v>2</v>
      </c>
      <c r="G43" s="16" t="n">
        <v>2</v>
      </c>
      <c r="H43" s="16" t="n">
        <v>2</v>
      </c>
      <c r="I43" s="17" t="n">
        <v>73.55</v>
      </c>
      <c r="J43" s="17" t="n">
        <v>73.55</v>
      </c>
      <c r="K43" s="17" t="n">
        <v>149</v>
      </c>
      <c r="L43" s="17" t="n">
        <v>51.72</v>
      </c>
    </row>
    <row r="44">
      <c r="A44" s="16" t="inlineStr">
        <is>
          <t>5.1-5.7</t>
        </is>
      </c>
      <c r="B44" s="16" t="inlineStr">
        <is>
          <t>MB-178-B</t>
        </is>
      </c>
      <c r="C44" s="16" t="inlineStr">
        <is>
          <t>Bocina de Barra Bluetooth LINK BITS con dos altavoces, sonido de alta calidad y multifuncional (Bluetooth, Radio FM, USB, TF, AUX, TWS), ideal para juegos, reuniones, oficina y cine en casa.</t>
        </is>
      </c>
      <c r="D44" s="17" t="n">
        <v>131.85</v>
      </c>
      <c r="E44" s="18" t="n">
        <v>0.001344872878592823</v>
      </c>
      <c r="F44" s="16" t="n">
        <v>1</v>
      </c>
      <c r="G44" s="16" t="n">
        <v>1</v>
      </c>
      <c r="H44" s="16" t="n">
        <v>1</v>
      </c>
      <c r="I44" s="17" t="n">
        <v>131.85</v>
      </c>
      <c r="J44" s="17" t="n">
        <v>131.85</v>
      </c>
      <c r="K44" s="17" t="n">
        <v>129</v>
      </c>
      <c r="L44" s="17" t="n">
        <v>25.86</v>
      </c>
    </row>
    <row r="45">
      <c r="A45" s="16" t="inlineStr">
        <is>
          <t>5.1-5.7</t>
        </is>
      </c>
      <c r="B45" s="16" t="inlineStr">
        <is>
          <t>S09W18IB</t>
        </is>
      </c>
      <c r="C4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45" s="17" t="n">
        <v>117.31</v>
      </c>
      <c r="E45" s="18" t="n">
        <v>0.001196579070003382</v>
      </c>
      <c r="F45" s="16" t="n">
        <v>3</v>
      </c>
      <c r="G45" s="16" t="n">
        <v>1</v>
      </c>
      <c r="H45" s="16" t="n">
        <v>1</v>
      </c>
      <c r="I45" s="17" t="n">
        <v>117.31</v>
      </c>
      <c r="J45" s="17" t="n">
        <v>39.1</v>
      </c>
      <c r="K45" s="17" t="n">
        <v>114</v>
      </c>
      <c r="L45" s="17" t="n">
        <v>25.86</v>
      </c>
    </row>
    <row r="46">
      <c r="A46" s="16" t="inlineStr">
        <is>
          <t>5.1-5.7</t>
        </is>
      </c>
      <c r="B46" s="16" t="inlineStr">
        <is>
          <t>000089-50PZS</t>
        </is>
      </c>
      <c r="C46" s="16" t="inlineStr">
        <is>
          <t>Mascarillas Infantiles KF94 50 pcs, Cuatro Capas de Protección con Tejido de Fusión Filtrante, Patrones Divertidos, Piel Amigable y Transpirable</t>
        </is>
      </c>
      <c r="D46" s="17" t="n">
        <v>115.63</v>
      </c>
      <c r="E46" s="18" t="n">
        <v>0.001179416990728477</v>
      </c>
      <c r="F46" s="16" t="n">
        <v>1</v>
      </c>
      <c r="G46" s="16" t="n">
        <v>1</v>
      </c>
      <c r="H46" s="16" t="n">
        <v>1</v>
      </c>
      <c r="I46" s="17" t="n">
        <v>115.63</v>
      </c>
      <c r="J46" s="17" t="n">
        <v>115.63</v>
      </c>
      <c r="K46" s="17" t="n">
        <v>113</v>
      </c>
      <c r="L46" s="17" t="n">
        <v>25.86</v>
      </c>
    </row>
    <row r="47">
      <c r="A47" s="16" t="inlineStr">
        <is>
          <t>5.1-5.7</t>
        </is>
      </c>
      <c r="B47" s="16" t="inlineStr">
        <is>
          <t>KTS-1943-A</t>
        </is>
      </c>
      <c r="C47"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47" s="17" t="n">
        <v>70.70999999999999</v>
      </c>
      <c r="E47" s="18" t="n">
        <v>0.0007212918315016906</v>
      </c>
      <c r="F47" s="16" t="n">
        <v>1</v>
      </c>
      <c r="G47" s="16" t="n">
        <v>1</v>
      </c>
      <c r="H47" s="16" t="n">
        <v>1</v>
      </c>
      <c r="I47" s="17" t="n">
        <v>70.70999999999999</v>
      </c>
      <c r="J47" s="17" t="n">
        <v>70.70999999999999</v>
      </c>
      <c r="K47" s="17" t="n">
        <v>75</v>
      </c>
      <c r="L47" s="17" t="n">
        <v>25.86</v>
      </c>
    </row>
    <row r="48">
      <c r="A48" s="16" t="inlineStr">
        <is>
          <t>5.1-5.7</t>
        </is>
      </c>
      <c r="B48" s="16" t="inlineStr">
        <is>
          <t>KTS-1943-V</t>
        </is>
      </c>
      <c r="C48"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48" s="17" t="n">
        <v>70.70999999999999</v>
      </c>
      <c r="E48" s="18" t="n">
        <v>0.0007212918315016906</v>
      </c>
      <c r="F48" s="16" t="n">
        <v>1</v>
      </c>
      <c r="G48" s="16" t="n">
        <v>1</v>
      </c>
      <c r="H48" s="16" t="n">
        <v>1</v>
      </c>
      <c r="I48" s="17" t="n">
        <v>70.70999999999999</v>
      </c>
      <c r="J48" s="17" t="n">
        <v>70.70999999999999</v>
      </c>
      <c r="K48" s="17" t="n">
        <v>75</v>
      </c>
      <c r="L48" s="17" t="n">
        <v>25.86</v>
      </c>
    </row>
    <row r="49">
      <c r="A49" s="16" t="inlineStr">
        <is>
          <t>5.1-5.7</t>
        </is>
      </c>
      <c r="B49" s="16" t="inlineStr">
        <is>
          <t>MB-183B</t>
        </is>
      </c>
      <c r="C49" s="16" t="inlineStr">
        <is>
          <t>Linkbits Altavoz Bluetooth Portátil con Stereo Inalámbrico TWS Impermeable y a Prueba de Polvo IP65 Altavoz de Graves de Rango Completo de 52mm con Doble Unidad Ligero de 215g para Camping Senderismo y Fiestas al Aire Libre</t>
        </is>
      </c>
      <c r="D49" s="17" t="n">
        <v>69.37</v>
      </c>
      <c r="E49" s="18" t="n">
        <v>0.0007075590060690036</v>
      </c>
      <c r="F49" s="16" t="n">
        <v>1</v>
      </c>
      <c r="G49" s="16" t="n">
        <v>1</v>
      </c>
      <c r="H49" s="16" t="n">
        <v>1</v>
      </c>
      <c r="I49" s="17" t="n">
        <v>69.37</v>
      </c>
      <c r="J49" s="17" t="n">
        <v>69.37</v>
      </c>
      <c r="K49" s="17" t="n">
        <v>70</v>
      </c>
      <c r="L49" s="17" t="n">
        <v>25.86</v>
      </c>
    </row>
    <row r="50">
      <c r="A50" s="16" t="inlineStr">
        <is>
          <t>5.1-5.7</t>
        </is>
      </c>
      <c r="B50" s="16" t="inlineStr">
        <is>
          <t>KTS-1943-Y</t>
        </is>
      </c>
      <c r="C50"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50" s="17" t="n">
        <v>67.34999999999999</v>
      </c>
      <c r="E50" s="18" t="n">
        <v>0.0006870125531330408</v>
      </c>
      <c r="F50" s="16" t="n">
        <v>1</v>
      </c>
      <c r="G50" s="16" t="n">
        <v>1</v>
      </c>
      <c r="H50" s="16" t="n">
        <v>1</v>
      </c>
      <c r="I50" s="17" t="n">
        <v>67.34999999999999</v>
      </c>
      <c r="J50" s="17" t="n">
        <v>67.34999999999999</v>
      </c>
      <c r="K50" s="17" t="n">
        <v>67.5</v>
      </c>
      <c r="L50" s="17" t="n">
        <v>25.86</v>
      </c>
    </row>
    <row r="51">
      <c r="A51" s="16" t="inlineStr">
        <is>
          <t>5.1-5.7</t>
        </is>
      </c>
      <c r="B51" s="16" t="inlineStr">
        <is>
          <t>VA384T-R</t>
        </is>
      </c>
      <c r="C51" s="16" t="inlineStr">
        <is>
          <t>Bocina Portátil Bluetooth de 3 Pulgadas con Radio FM, USB TF TWS, Sonido Estéreo 5W, Bocina Recargable para Hogar Exterior Viaje Fiesta Camping</t>
        </is>
      </c>
      <c r="D51" s="17" t="n">
        <v>66.84999999999999</v>
      </c>
      <c r="E51" s="18" t="n">
        <v>0.0006818773424047114</v>
      </c>
      <c r="F51" s="16" t="n">
        <v>2</v>
      </c>
      <c r="G51" s="16" t="n">
        <v>2</v>
      </c>
      <c r="H51" s="16" t="n">
        <v>2</v>
      </c>
      <c r="I51" s="17" t="n">
        <v>33.43</v>
      </c>
      <c r="J51" s="17" t="n">
        <v>33.43</v>
      </c>
      <c r="K51" s="17" t="n">
        <v>101</v>
      </c>
      <c r="L51" s="17" t="n">
        <v>25.86</v>
      </c>
    </row>
    <row r="52">
      <c r="A52" s="16" t="inlineStr">
        <is>
          <t>5.1-5.7</t>
        </is>
      </c>
      <c r="B52" s="16" t="inlineStr">
        <is>
          <t>SA313T-R</t>
        </is>
      </c>
      <c r="C52" s="16" t="inlineStr">
        <is>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D52" s="17" t="n">
        <v>44.11</v>
      </c>
      <c r="E52" s="18" t="n">
        <v>0.0004498738359202375</v>
      </c>
      <c r="F52" s="16" t="n">
        <v>1</v>
      </c>
      <c r="G52" s="16" t="n">
        <v>1</v>
      </c>
      <c r="H52" s="16" t="n">
        <v>1</v>
      </c>
      <c r="I52" s="17" t="n">
        <v>44.11</v>
      </c>
      <c r="J52" s="17" t="n">
        <v>44.11</v>
      </c>
      <c r="K52" s="17" t="n">
        <v>48</v>
      </c>
      <c r="L52" s="17" t="n">
        <v>25.86</v>
      </c>
    </row>
    <row r="53">
      <c r="A53" s="16" t="inlineStr">
        <is>
          <t>5.1-5.7</t>
        </is>
      </c>
      <c r="B53" s="16" t="inlineStr">
        <is>
          <t>VA396T</t>
        </is>
      </c>
      <c r="C53"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D53" s="17" t="n">
        <v>36.63</v>
      </c>
      <c r="E53" s="18" t="n">
        <v>0.0003736433182149904</v>
      </c>
      <c r="F53" s="16" t="n">
        <v>1</v>
      </c>
      <c r="G53" s="16" t="n">
        <v>1</v>
      </c>
      <c r="H53" s="16" t="n">
        <v>1</v>
      </c>
      <c r="I53" s="17" t="n">
        <v>36.63</v>
      </c>
      <c r="J53" s="17" t="n">
        <v>36.63</v>
      </c>
      <c r="K53" s="17" t="n">
        <v>41</v>
      </c>
      <c r="L53" s="17" t="n">
        <v>25.86</v>
      </c>
    </row>
    <row r="54">
      <c r="A54" s="16" t="inlineStr">
        <is>
          <t>5.1-5.7</t>
        </is>
      </c>
      <c r="B54" s="16" t="inlineStr">
        <is>
          <t>VA384T-A</t>
        </is>
      </c>
      <c r="C54" s="16" t="inlineStr">
        <is>
          <t>Bocina Portátil Bluetooth de 3 Pulgadas con Radio FM, USB TF TWS, Sonido Estéreo 5W, Bocina Recargable para Hogar Exterior Viaje Fiesta Camping</t>
        </is>
      </c>
      <c r="D54" s="17" t="n">
        <v>30.81</v>
      </c>
      <c r="E54" s="18" t="n">
        <v>0.000314285198615347</v>
      </c>
      <c r="F54" s="16" t="n">
        <v>1</v>
      </c>
      <c r="G54" s="16" t="n">
        <v>1</v>
      </c>
      <c r="H54" s="16" t="n">
        <v>1</v>
      </c>
      <c r="I54" s="17" t="n">
        <v>30.81</v>
      </c>
      <c r="J54" s="17" t="n">
        <v>30.81</v>
      </c>
      <c r="K54" s="17" t="n">
        <v>48</v>
      </c>
      <c r="L54" s="17" t="n">
        <v>13.47</v>
      </c>
    </row>
    <row r="55">
      <c r="A55" s="16" t="inlineStr">
        <is>
          <t>5.8-5.14</t>
        </is>
      </c>
      <c r="B55" s="16" t="inlineStr">
        <is>
          <t>LV25W22</t>
        </is>
      </c>
      <c r="C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D55" s="17" t="n">
        <v>41751.91</v>
      </c>
      <c r="E55" s="18" t="n">
        <v>0.3772923953528152</v>
      </c>
      <c r="F55" s="16" t="n">
        <v>491</v>
      </c>
      <c r="G55" s="16" t="n">
        <v>285</v>
      </c>
      <c r="H55" s="16" t="n">
        <v>286</v>
      </c>
      <c r="I55" s="17" t="n">
        <v>146.5</v>
      </c>
      <c r="J55" s="17" t="n">
        <v>85.03</v>
      </c>
      <c r="K55" s="17" t="n">
        <v>42203.63</v>
      </c>
      <c r="L55" s="17" t="n">
        <v>6102.96</v>
      </c>
    </row>
    <row r="56">
      <c r="A56" s="16" t="inlineStr">
        <is>
          <t>5.8-5.14</t>
        </is>
      </c>
      <c r="B56" s="16" t="inlineStr">
        <is>
          <t>AIR50W06-2P</t>
        </is>
      </c>
      <c r="C56" s="16" t="inlineStr">
        <is>
          <t>Link Bits Ventilador de piso de 16 pulgadas, 2 unidades, 3 velocidades, motor silencioso, flujo de aire fuerte, altura ajustable, oscilación amplia, ventilador eléctrico para el hogar, ideal para sala, recámara y oficina</t>
        </is>
      </c>
      <c r="D56" s="17" t="n">
        <v>7447.88</v>
      </c>
      <c r="E56" s="18" t="n">
        <v>0.06730300391296903</v>
      </c>
      <c r="F56" s="16" t="n">
        <v>17</v>
      </c>
      <c r="G56" s="16" t="n">
        <v>14</v>
      </c>
      <c r="H56" s="16" t="n">
        <v>14</v>
      </c>
      <c r="I56" s="17" t="n">
        <v>531.99</v>
      </c>
      <c r="J56" s="17" t="n">
        <v>438.11</v>
      </c>
      <c r="K56" s="17" t="n">
        <v>7480</v>
      </c>
      <c r="L56" s="17" t="n">
        <v>0</v>
      </c>
    </row>
    <row r="57">
      <c r="A57" s="16" t="inlineStr">
        <is>
          <t>5.8-5.14</t>
        </is>
      </c>
      <c r="B57" s="16" t="inlineStr">
        <is>
          <t>SA8056T</t>
        </is>
      </c>
      <c r="C5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D57" s="17" t="n">
        <v>6489.31</v>
      </c>
      <c r="E57" s="18" t="n">
        <v>0.05864086157871075</v>
      </c>
      <c r="F57" s="16" t="n">
        <v>51</v>
      </c>
      <c r="G57" s="16" t="n">
        <v>28</v>
      </c>
      <c r="H57" s="16" t="n">
        <v>28</v>
      </c>
      <c r="I57" s="17" t="n">
        <v>231.76</v>
      </c>
      <c r="J57" s="17" t="n">
        <v>127.24</v>
      </c>
      <c r="K57" s="17" t="n">
        <v>6696.55</v>
      </c>
      <c r="L57" s="17" t="n">
        <v>329.46</v>
      </c>
    </row>
    <row r="58">
      <c r="A58" s="16" t="inlineStr">
        <is>
          <t>5.8-5.14</t>
        </is>
      </c>
      <c r="B58" s="16" t="inlineStr">
        <is>
          <t>LB02235-rojo</t>
        </is>
      </c>
      <c r="C58" s="16" t="inlineStr">
        <is>
          <t>Audífonos Inalámbricos para la Cabeza, Recargables y Multifuncionales - Conectan a Varios Dispositivos, soportan Radio FM, Tarjeta TF y AUX - 4 Horas de Reproducción Musical - Ideal para Trabajo Cotidiano, Juegos y Estudio</t>
        </is>
      </c>
      <c r="D58" s="17" t="n">
        <v>4327.87</v>
      </c>
      <c r="E58" s="18" t="n">
        <v>0.0391088895317757</v>
      </c>
      <c r="F58" s="16" t="n">
        <v>123</v>
      </c>
      <c r="G58" s="16" t="n">
        <v>76</v>
      </c>
      <c r="H58" s="16" t="n">
        <v>76</v>
      </c>
      <c r="I58" s="17" t="n">
        <v>56.95</v>
      </c>
      <c r="J58" s="17" t="n">
        <v>35.19</v>
      </c>
      <c r="K58" s="17" t="n">
        <v>4673.92</v>
      </c>
      <c r="L58" s="17" t="n">
        <v>1726.47</v>
      </c>
    </row>
    <row r="59">
      <c r="A59" s="16" t="inlineStr">
        <is>
          <t>5.8-5.14</t>
        </is>
      </c>
      <c r="B59" s="16" t="inlineStr">
        <is>
          <t>LV34W04</t>
        </is>
      </c>
      <c r="C5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D59" s="17" t="n">
        <v>3885.74</v>
      </c>
      <c r="E59" s="18" t="n">
        <v>0.03511357422763899</v>
      </c>
      <c r="F59" s="16" t="n">
        <v>17</v>
      </c>
      <c r="G59" s="16" t="n">
        <v>11</v>
      </c>
      <c r="H59" s="16" t="n">
        <v>11</v>
      </c>
      <c r="I59" s="17" t="n">
        <v>353.25</v>
      </c>
      <c r="J59" s="17" t="n">
        <v>228.57</v>
      </c>
      <c r="K59" s="17" t="n">
        <v>3976</v>
      </c>
      <c r="L59" s="17" t="n">
        <v>0</v>
      </c>
    </row>
    <row r="60">
      <c r="A60" s="16" t="inlineStr">
        <is>
          <t>5.8-5.14</t>
        </is>
      </c>
      <c r="B60" s="16" t="inlineStr">
        <is>
          <t>VB347T</t>
        </is>
      </c>
      <c r="C6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60" s="17" t="n">
        <v>3414.67</v>
      </c>
      <c r="E60" s="18" t="n">
        <v>0.03085672820902213</v>
      </c>
      <c r="F60" s="16" t="n">
        <v>45</v>
      </c>
      <c r="G60" s="16" t="n">
        <v>26</v>
      </c>
      <c r="H60" s="16" t="n">
        <v>26</v>
      </c>
      <c r="I60" s="17" t="n">
        <v>131.33</v>
      </c>
      <c r="J60" s="17" t="n">
        <v>75.88</v>
      </c>
      <c r="K60" s="17" t="n">
        <v>3575.45</v>
      </c>
      <c r="L60" s="17" t="n">
        <v>441.29</v>
      </c>
    </row>
    <row r="61">
      <c r="A61" s="16" t="inlineStr">
        <is>
          <t>5.8-5.14</t>
        </is>
      </c>
      <c r="B61" s="16" t="inlineStr">
        <is>
          <t>SA325T</t>
        </is>
      </c>
      <c r="C61" s="16" t="inlineStr">
        <is>
          <t>Subwoofer Portátil Inalámbrico con Luces RGB, Sonido de Alta Potencia y Batería Duradera, TWS TF USB, Perfecto para Campamento Fiestas y Entretenimiento en Casa</t>
        </is>
      </c>
      <c r="D61" s="17" t="n">
        <v>3061.38</v>
      </c>
      <c r="E61" s="18" t="n">
        <v>0.02766424889745125</v>
      </c>
      <c r="F61" s="16" t="n">
        <v>90</v>
      </c>
      <c r="G61" s="16" t="n">
        <v>53</v>
      </c>
      <c r="H61" s="16" t="n">
        <v>53</v>
      </c>
      <c r="I61" s="17" t="n">
        <v>57.76</v>
      </c>
      <c r="J61" s="17" t="n">
        <v>34.02</v>
      </c>
      <c r="K61" s="17" t="n">
        <v>3369.86</v>
      </c>
      <c r="L61" s="17" t="n">
        <v>1127.41</v>
      </c>
    </row>
    <row r="62">
      <c r="A62" s="16" t="inlineStr">
        <is>
          <t>5.8-5.14</t>
        </is>
      </c>
      <c r="B62" s="16" t="inlineStr">
        <is>
          <t>MB-185N</t>
        </is>
      </c>
      <c r="C62" s="16" t="inlineStr">
        <is>
          <t>Bocina Radio FM/Reproductor, Compatible con Tarjeta TF, USB, Bluetooth, Aplicable para celular, computadora, Ipad y consola.</t>
        </is>
      </c>
      <c r="D62" s="17" t="n">
        <v>2847.61</v>
      </c>
      <c r="E62" s="18" t="n">
        <v>0.02573248426199854</v>
      </c>
      <c r="F62" s="16" t="n">
        <v>39</v>
      </c>
      <c r="G62" s="16" t="n">
        <v>38</v>
      </c>
      <c r="H62" s="16" t="n">
        <v>38</v>
      </c>
      <c r="I62" s="17" t="n">
        <v>74.94</v>
      </c>
      <c r="J62" s="17" t="n">
        <v>73.02</v>
      </c>
      <c r="K62" s="17" t="n">
        <v>2885.84</v>
      </c>
      <c r="L62" s="17" t="n">
        <v>982.6799999999999</v>
      </c>
    </row>
    <row r="63">
      <c r="A63" s="16" t="inlineStr">
        <is>
          <t>5.8-5.14</t>
        </is>
      </c>
      <c r="B63" s="16" t="inlineStr">
        <is>
          <t>MCM-001G</t>
        </is>
      </c>
      <c r="C63" s="16" t="inlineStr">
        <is>
          <t>Musicord Altavoz Inalámbrico BT Portátil: ¡Sonido impactante, luces LED multicolores y 4 horas de autonomía! Compatible con TWS, FM, TF y USB – Imprescindible para fiestas y viajes</t>
        </is>
      </c>
      <c r="D63" s="17" t="n">
        <v>2675.43</v>
      </c>
      <c r="E63" s="18" t="n">
        <v>0.0241765741849215</v>
      </c>
      <c r="F63" s="16" t="n">
        <v>59</v>
      </c>
      <c r="G63" s="16" t="n">
        <v>47</v>
      </c>
      <c r="H63" s="16" t="n">
        <v>47</v>
      </c>
      <c r="I63" s="17" t="n">
        <v>56.92</v>
      </c>
      <c r="J63" s="17" t="n">
        <v>45.35</v>
      </c>
      <c r="K63" s="17" t="n">
        <v>3012.43</v>
      </c>
      <c r="L63" s="17" t="n">
        <v>1033.97</v>
      </c>
    </row>
    <row r="64">
      <c r="A64" s="16" t="inlineStr">
        <is>
          <t>5.8-5.14</t>
        </is>
      </c>
      <c r="B64" s="16" t="inlineStr">
        <is>
          <t>BS-22</t>
        </is>
      </c>
      <c r="C64" s="16" t="inlineStr">
        <is>
          <t>link bits Barra de Sonido para TV, 2x2" Altavoces + 2 Membranas de Graves, Sonido Claro ≥80dB, Bluetooth Inalámbrico, Conexiones AUX/USB, Diseño Compacto 76cm, Sonido Envolvente 3D para Cine en Casa, PC, Juegos y Fiestas</t>
        </is>
      </c>
      <c r="D64" s="17" t="n">
        <v>2624.77</v>
      </c>
      <c r="E64" s="18" t="n">
        <v>0.0237187953550186</v>
      </c>
      <c r="F64" s="16" t="n">
        <v>11</v>
      </c>
      <c r="G64" s="16" t="n">
        <v>11</v>
      </c>
      <c r="H64" s="16" t="n">
        <v>11</v>
      </c>
      <c r="I64" s="17" t="n">
        <v>238.62</v>
      </c>
      <c r="J64" s="17" t="n">
        <v>238.62</v>
      </c>
      <c r="K64" s="17" t="n">
        <v>2810</v>
      </c>
      <c r="L64" s="17" t="n">
        <v>0</v>
      </c>
    </row>
    <row r="65">
      <c r="A65" s="16" t="inlineStr">
        <is>
          <t>5.8-5.14</t>
        </is>
      </c>
      <c r="B65" s="16" t="inlineStr">
        <is>
          <t>KTS-1678Y</t>
        </is>
      </c>
      <c r="C65" s="16" t="inlineStr">
        <is>
          <t>Bocina portátil Inalámbrico, de 3 pulgadas, tamaño de bolsillo, 170 g, con asa, compatible con TF, USB y Micro SD, con radio FM y función TWS (True Wireless Stereo), adecuada para relajarse en casa o viajar al aire libre.</t>
        </is>
      </c>
      <c r="D65" s="17" t="n">
        <v>2423.65</v>
      </c>
      <c r="E65" s="18" t="n">
        <v>0.02190142188560516</v>
      </c>
      <c r="F65" s="16" t="n">
        <v>65</v>
      </c>
      <c r="G65" s="16" t="n">
        <v>44</v>
      </c>
      <c r="H65" s="16" t="n">
        <v>44</v>
      </c>
      <c r="I65" s="17" t="n">
        <v>55.08</v>
      </c>
      <c r="J65" s="17" t="n">
        <v>37.29</v>
      </c>
      <c r="K65" s="17" t="n">
        <v>2628.04</v>
      </c>
      <c r="L65" s="17" t="n">
        <v>1004.1</v>
      </c>
    </row>
    <row r="66">
      <c r="A66" s="16" t="inlineStr">
        <is>
          <t>5.8-5.14</t>
        </is>
      </c>
      <c r="B66" s="16" t="inlineStr">
        <is>
          <t>MB-178-N</t>
        </is>
      </c>
      <c r="C66" s="16" t="inlineStr">
        <is>
          <t>Bocina de Barra Bluetooth LINK BITS con dos altavoces, sonido de alta calidad y multifuncional (Bluetooth, Radio FM, USB, TF, AUX, TWS), ideal para juegos, reuniones, oficina y cine en casa.</t>
        </is>
      </c>
      <c r="D66" s="17" t="n">
        <v>2349.02</v>
      </c>
      <c r="E66" s="18" t="n">
        <v>0.02122696696200768</v>
      </c>
      <c r="F66" s="16" t="n">
        <v>19</v>
      </c>
      <c r="G66" s="16" t="n">
        <v>18</v>
      </c>
      <c r="H66" s="16" t="n">
        <v>18</v>
      </c>
      <c r="I66" s="17" t="n">
        <v>130.5</v>
      </c>
      <c r="J66" s="17" t="n">
        <v>123.63</v>
      </c>
      <c r="K66" s="17" t="n">
        <v>2364</v>
      </c>
      <c r="L66" s="17" t="n">
        <v>407.5</v>
      </c>
    </row>
    <row r="67">
      <c r="A67" s="16" t="inlineStr">
        <is>
          <t>5.8-5.14</t>
        </is>
      </c>
      <c r="B67" s="16" t="inlineStr">
        <is>
          <t>LB02235-blanco</t>
        </is>
      </c>
      <c r="C67" s="16" t="inlineStr">
        <is>
          <t>Audífonos Inalámbricos para la Cabeza, Recargables y Multifuncionales - Conectan a Varios Dispositivos, soportan Radio FM, Tarjeta TF y AUX - 4 Horas de Reproducción Musical - Ideal para Trabajo Cotidiano, Juegos y Estudio</t>
        </is>
      </c>
      <c r="D67" s="17" t="n">
        <v>2279.48</v>
      </c>
      <c r="E67" s="18" t="n">
        <v>0.02059854908906254</v>
      </c>
      <c r="F67" s="16" t="n">
        <v>65</v>
      </c>
      <c r="G67" s="16" t="n">
        <v>46</v>
      </c>
      <c r="H67" s="16" t="n">
        <v>46</v>
      </c>
      <c r="I67" s="17" t="n">
        <v>49.55</v>
      </c>
      <c r="J67" s="17" t="n">
        <v>35.07</v>
      </c>
      <c r="K67" s="17" t="n">
        <v>2479.46</v>
      </c>
      <c r="L67" s="17" t="n">
        <v>1060.04</v>
      </c>
    </row>
    <row r="68">
      <c r="A68" s="16" t="inlineStr">
        <is>
          <t>5.8-5.14</t>
        </is>
      </c>
      <c r="B68" s="16" t="inlineStr">
        <is>
          <t>LB02235-azul</t>
        </is>
      </c>
      <c r="C68" s="16" t="inlineStr">
        <is>
          <t>Audífonos Inalámbricos para la Cabeza, Recargables y Multifuncionales - Conectan a Varios Dispositivos, soportan Radio FM, Tarjeta TF y AUX - 4 Horas de Reproducción Musical - Ideal para Trabajo Cotidiano, Juegos y Estudio</t>
        </is>
      </c>
      <c r="D68" s="17" t="n">
        <v>2167.54</v>
      </c>
      <c r="E68" s="18" t="n">
        <v>0.01958702619840953</v>
      </c>
      <c r="F68" s="16" t="n">
        <v>70</v>
      </c>
      <c r="G68" s="16" t="n">
        <v>56</v>
      </c>
      <c r="H68" s="16" t="n">
        <v>56</v>
      </c>
      <c r="I68" s="17" t="n">
        <v>38.71</v>
      </c>
      <c r="J68" s="17" t="n">
        <v>30.96</v>
      </c>
      <c r="K68" s="17" t="n">
        <v>2571.14</v>
      </c>
      <c r="L68" s="17" t="n">
        <v>1175.98</v>
      </c>
    </row>
    <row r="69">
      <c r="A69" s="16" t="inlineStr">
        <is>
          <t>5.8-5.14</t>
        </is>
      </c>
      <c r="B69" s="16" t="inlineStr">
        <is>
          <t>LB02235-negro</t>
        </is>
      </c>
      <c r="C69" s="16" t="inlineStr">
        <is>
          <t>Audífonos Inalámbricos para la Cabeza, Recargables y Multifuncionales - Conectan a Varios Dispositivos, soportan Radio FM, Tarjeta TF y AUX - 4 Horas de Reproducción Musical - Ideal para Trabajo Cotidiano, Juegos y Estudio</t>
        </is>
      </c>
      <c r="D69" s="17" t="n">
        <v>1927.21</v>
      </c>
      <c r="E69" s="18" t="n">
        <v>0.01741530420684492</v>
      </c>
      <c r="F69" s="16" t="n">
        <v>57</v>
      </c>
      <c r="G69" s="16" t="n">
        <v>54</v>
      </c>
      <c r="H69" s="16" t="n">
        <v>55</v>
      </c>
      <c r="I69" s="17" t="n">
        <v>35.69</v>
      </c>
      <c r="J69" s="17" t="n">
        <v>33.81</v>
      </c>
      <c r="K69" s="17" t="n">
        <v>2208</v>
      </c>
      <c r="L69" s="17" t="n">
        <v>1288.41</v>
      </c>
    </row>
    <row r="70">
      <c r="A70" s="16" t="inlineStr">
        <is>
          <t>5.8-5.14</t>
        </is>
      </c>
      <c r="B70" s="16" t="inlineStr">
        <is>
          <t>LV64W25</t>
        </is>
      </c>
      <c r="C70" s="16" t="inlineStr">
        <is>
          <t>Ventilador de Techo LED TIANLAI con 5 Aspas, Control Remoto, 3 Colores Luz, 3 Velocidades, Temporizador, Fácil Instalación, E27 para Baño Cocina Dormitorio Salón</t>
        </is>
      </c>
      <c r="D70" s="17" t="n">
        <v>1920.53</v>
      </c>
      <c r="E70" s="18" t="n">
        <v>0.0173549505827271</v>
      </c>
      <c r="F70" s="16" t="n">
        <v>15</v>
      </c>
      <c r="G70" s="16" t="n">
        <v>10</v>
      </c>
      <c r="H70" s="16" t="n">
        <v>10</v>
      </c>
      <c r="I70" s="17" t="n">
        <v>192.05</v>
      </c>
      <c r="J70" s="17" t="n">
        <v>128.04</v>
      </c>
      <c r="K70" s="17" t="n">
        <v>1980</v>
      </c>
      <c r="L70" s="17" t="n">
        <v>129.3</v>
      </c>
    </row>
    <row r="71">
      <c r="A71" s="16" t="inlineStr">
        <is>
          <t>5.8-5.14</t>
        </is>
      </c>
      <c r="B71" s="16" t="inlineStr">
        <is>
          <t>MCM-001N</t>
        </is>
      </c>
      <c r="C71" s="16" t="inlineStr">
        <is>
          <t>Musicord Altavoz Inalámbrico BT Portátil: ¡Sonido impactante, luces LED multicolores y 4 horas de autonomía! Compatible con TWS, FM, TF y USB – Imprescindible para fiestas y viajes</t>
        </is>
      </c>
      <c r="D71" s="17" t="n">
        <v>1879.19</v>
      </c>
      <c r="E71" s="18" t="n">
        <v>0.01698137548888257</v>
      </c>
      <c r="F71" s="16" t="n">
        <v>32</v>
      </c>
      <c r="G71" s="16" t="n">
        <v>31</v>
      </c>
      <c r="H71" s="16" t="n">
        <v>31</v>
      </c>
      <c r="I71" s="17" t="n">
        <v>60.62</v>
      </c>
      <c r="J71" s="17" t="n">
        <v>58.72</v>
      </c>
      <c r="K71" s="17" t="n">
        <v>1987</v>
      </c>
      <c r="L71" s="17" t="n">
        <v>744.27</v>
      </c>
    </row>
    <row r="72">
      <c r="A72" s="16" t="inlineStr">
        <is>
          <t>5.8-5.14</t>
        </is>
      </c>
      <c r="B72" s="16" t="inlineStr">
        <is>
          <t>FA028</t>
        </is>
      </c>
      <c r="C72" s="16" t="inlineStr">
        <is>
          <t>Extractor de agua para garrafas de agua, compatible con carga USB, extractor de agua automático, práctico, con dos modos de toma de agua: manual y programado, ideal para dormitorios, salones, oficinas, uso al aire libre y otros escenarios.</t>
        </is>
      </c>
      <c r="D72" s="17" t="n">
        <v>1373.87</v>
      </c>
      <c r="E72" s="18" t="n">
        <v>0.01241499897095618</v>
      </c>
      <c r="F72" s="16" t="n">
        <v>51</v>
      </c>
      <c r="G72" s="16" t="n">
        <v>39</v>
      </c>
      <c r="H72" s="16" t="n">
        <v>39</v>
      </c>
      <c r="I72" s="17" t="n">
        <v>35.23</v>
      </c>
      <c r="J72" s="17" t="n">
        <v>26.94</v>
      </c>
      <c r="K72" s="17" t="n">
        <v>1543.49</v>
      </c>
      <c r="L72" s="17" t="n">
        <v>937.22</v>
      </c>
    </row>
    <row r="73">
      <c r="A73" s="16" t="inlineStr">
        <is>
          <t>5.8-5.14</t>
        </is>
      </c>
      <c r="B73" s="16" t="inlineStr">
        <is>
          <t>SA323T</t>
        </is>
      </c>
      <c r="C73" s="16" t="inlineStr">
        <is>
          <t>Linkbits Bocina Portátil Parlantes BT Portátiles con Iluminación de Ambiente | 1 Hora de Duración, FM, TWS, TF/Micro SD | Ideal para Hogar, Fiestas y Viajes</t>
        </is>
      </c>
      <c r="D73" s="17" t="n">
        <v>1370.95</v>
      </c>
      <c r="E73" s="18" t="n">
        <v>0.01238858881024787</v>
      </c>
      <c r="F73" s="16" t="n">
        <v>34</v>
      </c>
      <c r="G73" s="16" t="n">
        <v>27</v>
      </c>
      <c r="H73" s="16" t="n">
        <v>27</v>
      </c>
      <c r="I73" s="17" t="n">
        <v>50.78</v>
      </c>
      <c r="J73" s="17" t="n">
        <v>40.32</v>
      </c>
      <c r="K73" s="17" t="n">
        <v>1550</v>
      </c>
      <c r="L73" s="17" t="n">
        <v>577.08</v>
      </c>
    </row>
    <row r="74">
      <c r="A74" s="16" t="inlineStr">
        <is>
          <t>5.8-5.14</t>
        </is>
      </c>
      <c r="B74" s="16" t="inlineStr">
        <is>
          <t>MCM-001R</t>
        </is>
      </c>
      <c r="C74" s="16" t="inlineStr">
        <is>
          <t>Musicord Altavoz Inalámbrico BT Portátil: ¡Sonido impactante, luces LED multicolores y 4 horas de autonomía! Compatible con TWS, FM, TF y USB – Imprescindible para fiestas y viajes</t>
        </is>
      </c>
      <c r="D74" s="17" t="n">
        <v>1331.37</v>
      </c>
      <c r="E74" s="18" t="n">
        <v>0.01203099301127109</v>
      </c>
      <c r="F74" s="16" t="n">
        <v>21</v>
      </c>
      <c r="G74" s="16" t="n">
        <v>21</v>
      </c>
      <c r="H74" s="16" t="n">
        <v>21</v>
      </c>
      <c r="I74" s="17" t="n">
        <v>63.4</v>
      </c>
      <c r="J74" s="17" t="n">
        <v>63.4</v>
      </c>
      <c r="K74" s="17" t="n">
        <v>1393</v>
      </c>
      <c r="L74" s="17" t="n">
        <v>503.44</v>
      </c>
    </row>
    <row r="75">
      <c r="A75" s="16" t="inlineStr">
        <is>
          <t>5.8-5.14</t>
        </is>
      </c>
      <c r="B75" s="16" t="inlineStr">
        <is>
          <t>MCM-001A</t>
        </is>
      </c>
      <c r="C75" s="16" t="inlineStr">
        <is>
          <t>Musicord Altavoz Inalámbrico BT Portátil: ¡Sonido impactante, luces LED multicolores y 4 horas de autonomía! Compatible con TWS, FM, TF y USB – Imprescindible para fiestas y viajes</t>
        </is>
      </c>
      <c r="D75" s="17" t="n">
        <v>1236.34</v>
      </c>
      <c r="E75" s="18" t="n">
        <v>0.0111722534334709</v>
      </c>
      <c r="F75" s="16" t="n">
        <v>27</v>
      </c>
      <c r="G75" s="16" t="n">
        <v>27</v>
      </c>
      <c r="H75" s="16" t="n">
        <v>27</v>
      </c>
      <c r="I75" s="17" t="n">
        <v>45.79</v>
      </c>
      <c r="J75" s="17" t="n">
        <v>45.79</v>
      </c>
      <c r="K75" s="17" t="n">
        <v>1378.77</v>
      </c>
      <c r="L75" s="17" t="n">
        <v>627.53</v>
      </c>
    </row>
    <row r="76">
      <c r="A76" s="16" t="inlineStr">
        <is>
          <t>5.8-5.14</t>
        </is>
      </c>
      <c r="B76" s="16" t="inlineStr">
        <is>
          <t>MB-184R</t>
        </is>
      </c>
      <c r="C76" s="16" t="inlineStr">
        <is>
          <t>Link bits Portable Bluetooth Speaker - 800W Peak Power, 50W Full-Range Audio with Dual Bass System &amp; Deep Bass Membranes, Powerful &amp; Distortion-Free Sound, IP65 Waterproof Dustproof, TWS Support &amp; 6H Battery for Outdoor/Party</t>
        </is>
      </c>
      <c r="D76" s="17" t="n">
        <v>1215.42</v>
      </c>
      <c r="E76" s="18" t="n">
        <v>0.01098318077418665</v>
      </c>
      <c r="F76" s="16" t="n">
        <v>2</v>
      </c>
      <c r="G76" s="16" t="n">
        <v>2</v>
      </c>
      <c r="H76" s="16" t="n">
        <v>2</v>
      </c>
      <c r="I76" s="17" t="n">
        <v>607.71</v>
      </c>
      <c r="J76" s="17" t="n">
        <v>607.71</v>
      </c>
      <c r="K76" s="17" t="n">
        <v>1208</v>
      </c>
      <c r="L76" s="17" t="n">
        <v>0</v>
      </c>
    </row>
    <row r="77">
      <c r="A77" s="16" t="inlineStr">
        <is>
          <t>5.8-5.14</t>
        </is>
      </c>
      <c r="B77" s="16" t="inlineStr">
        <is>
          <t>MB-185R</t>
        </is>
      </c>
      <c r="C77" s="16" t="inlineStr">
        <is>
          <t>Bocina Radio FM/Reproductor, Compatible con Tarjeta TF, USB, Bluetooth, Aplicable para celular, computadora, Ipad y consola.</t>
        </is>
      </c>
      <c r="D77" s="17" t="n">
        <v>1132.37</v>
      </c>
      <c r="E77" s="18" t="n">
        <v>0.01023266673844322</v>
      </c>
      <c r="F77" s="16" t="n">
        <v>16</v>
      </c>
      <c r="G77" s="16" t="n">
        <v>15</v>
      </c>
      <c r="H77" s="16" t="n">
        <v>15</v>
      </c>
      <c r="I77" s="17" t="n">
        <v>75.48999999999999</v>
      </c>
      <c r="J77" s="17" t="n">
        <v>70.77</v>
      </c>
      <c r="K77" s="17" t="n">
        <v>1179.57</v>
      </c>
      <c r="L77" s="17" t="n">
        <v>349.11</v>
      </c>
    </row>
    <row r="78">
      <c r="A78" s="16" t="inlineStr">
        <is>
          <t>5.8-5.14</t>
        </is>
      </c>
      <c r="B78" s="16" t="inlineStr">
        <is>
          <t>S09W18IB</t>
        </is>
      </c>
      <c r="C7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78" s="17" t="n">
        <v>1086.67</v>
      </c>
      <c r="E78" s="18" t="n">
        <v>0.009819714967911322</v>
      </c>
      <c r="F78" s="16" t="n">
        <v>39</v>
      </c>
      <c r="G78" s="16" t="n">
        <v>9</v>
      </c>
      <c r="H78" s="16" t="n">
        <v>9</v>
      </c>
      <c r="I78" s="17" t="n">
        <v>120.74</v>
      </c>
      <c r="J78" s="17" t="n">
        <v>27.86</v>
      </c>
      <c r="K78" s="17" t="n">
        <v>1111</v>
      </c>
      <c r="L78" s="17" t="n">
        <v>181</v>
      </c>
    </row>
    <row r="79">
      <c r="A79" s="16" t="inlineStr">
        <is>
          <t>5.8-5.14</t>
        </is>
      </c>
      <c r="B79" s="16" t="inlineStr">
        <is>
          <t>KTS-1678V</t>
        </is>
      </c>
      <c r="C79" s="16" t="inlineStr">
        <is>
          <t>Bocina portátil Inalámbrico, de 3 pulgadas, tamaño de bolsillo, 170 g, con asa, compatible con TF, USB y Micro SD, con radio FM y función TWS (True Wireless Stereo), adecuada para relajarse en casa o viajar al aire libre.</t>
        </is>
      </c>
      <c r="D79" s="17" t="n">
        <v>1000.41</v>
      </c>
      <c r="E79" s="18" t="n">
        <v>0.00904019638388024</v>
      </c>
      <c r="F79" s="16" t="n">
        <v>28</v>
      </c>
      <c r="G79" s="16" t="n">
        <v>20</v>
      </c>
      <c r="H79" s="16" t="n">
        <v>20</v>
      </c>
      <c r="I79" s="17" t="n">
        <v>50.02</v>
      </c>
      <c r="J79" s="17" t="n">
        <v>35.73</v>
      </c>
      <c r="K79" s="17" t="n">
        <v>1122.94</v>
      </c>
      <c r="L79" s="17" t="n">
        <v>433.89</v>
      </c>
    </row>
    <row r="80">
      <c r="A80" s="16" t="inlineStr">
        <is>
          <t>5.8-5.14</t>
        </is>
      </c>
      <c r="B80" s="16" t="inlineStr">
        <is>
          <t>S58W60</t>
        </is>
      </c>
      <c r="C80"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D80" s="17" t="n">
        <v>852.72</v>
      </c>
      <c r="E80" s="18" t="n">
        <v>0.007705622538688871</v>
      </c>
      <c r="F80" s="16" t="n">
        <v>18</v>
      </c>
      <c r="G80" s="16" t="n">
        <v>9</v>
      </c>
      <c r="H80" s="16" t="n">
        <v>9</v>
      </c>
      <c r="I80" s="17" t="n">
        <v>94.75</v>
      </c>
      <c r="J80" s="17" t="n">
        <v>47.37</v>
      </c>
      <c r="K80" s="17" t="n">
        <v>978</v>
      </c>
      <c r="L80" s="17" t="n">
        <v>103.44</v>
      </c>
    </row>
    <row r="81">
      <c r="A81" s="16" t="inlineStr">
        <is>
          <t>5.8-5.14</t>
        </is>
      </c>
      <c r="B81" s="16" t="inlineStr">
        <is>
          <t>S09W18IB-8PZS</t>
        </is>
      </c>
      <c r="C8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81" s="17" t="n">
        <v>717.34</v>
      </c>
      <c r="E81" s="18" t="n">
        <v>0.006482249512846125</v>
      </c>
      <c r="F81" s="16" t="n">
        <v>3</v>
      </c>
      <c r="G81" s="16" t="n">
        <v>3</v>
      </c>
      <c r="H81" s="16" t="n">
        <v>3</v>
      </c>
      <c r="I81" s="17" t="n">
        <v>239.11</v>
      </c>
      <c r="J81" s="17" t="n">
        <v>239.11</v>
      </c>
      <c r="K81" s="17" t="n">
        <v>765</v>
      </c>
      <c r="L81" s="17" t="n">
        <v>0</v>
      </c>
    </row>
    <row r="82">
      <c r="A82" s="16" t="inlineStr">
        <is>
          <t>5.8-5.14</t>
        </is>
      </c>
      <c r="B82" s="16" t="inlineStr">
        <is>
          <t>S39W48-5PZS</t>
        </is>
      </c>
      <c r="C8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82" s="17" t="n">
        <v>689.76</v>
      </c>
      <c r="E82" s="18" t="n">
        <v>0.006233062245645645</v>
      </c>
      <c r="F82" s="16" t="n">
        <v>5</v>
      </c>
      <c r="G82" s="16" t="n">
        <v>4</v>
      </c>
      <c r="H82" s="16" t="n">
        <v>4</v>
      </c>
      <c r="I82" s="17" t="n">
        <v>172.44</v>
      </c>
      <c r="J82" s="17" t="n">
        <v>137.95</v>
      </c>
      <c r="K82" s="17" t="n">
        <v>750</v>
      </c>
      <c r="L82" s="17" t="n">
        <v>25.86</v>
      </c>
    </row>
    <row r="83">
      <c r="A83" s="16" t="inlineStr">
        <is>
          <t>5.8-5.14</t>
        </is>
      </c>
      <c r="B83" s="16" t="inlineStr">
        <is>
          <t>MB-185A</t>
        </is>
      </c>
      <c r="C83" s="16" t="inlineStr">
        <is>
          <t>Bocina Radio FM/Reproductor, Compatible con Tarjeta TF, USB, Bluetooth, Aplicable para celular, computadora, Ipad y consola.</t>
        </is>
      </c>
      <c r="D83" s="17" t="n">
        <v>680.72</v>
      </c>
      <c r="E83" s="18" t="n">
        <v>0.00615137247205531</v>
      </c>
      <c r="F83" s="16" t="n">
        <v>10</v>
      </c>
      <c r="G83" s="16" t="n">
        <v>9</v>
      </c>
      <c r="H83" s="16" t="n">
        <v>9</v>
      </c>
      <c r="I83" s="17" t="n">
        <v>75.64</v>
      </c>
      <c r="J83" s="17" t="n">
        <v>68.06999999999999</v>
      </c>
      <c r="K83" s="17" t="n">
        <v>725.67</v>
      </c>
      <c r="L83" s="17" t="n">
        <v>193.95</v>
      </c>
    </row>
    <row r="84">
      <c r="A84" s="16" t="inlineStr">
        <is>
          <t>5.8-5.14</t>
        </is>
      </c>
      <c r="B84" s="16" t="inlineStr">
        <is>
          <t>MB-184N</t>
        </is>
      </c>
      <c r="C84" s="16" t="inlineStr">
        <is>
          <t>Link bits Portable Bluetooth Speaker - 800W Peak Power, 50W Full-Range Audio with Dual Bass System &amp; Deep Bass Membranes, Powerful &amp; Distortion-Free Sound, IP65 Waterproof Dustproof, TWS Support &amp; 6H Battery for Outdoor/Party</t>
        </is>
      </c>
      <c r="D84" s="17" t="n">
        <v>634.88</v>
      </c>
      <c r="E84" s="18" t="n">
        <v>0.005737069288557587</v>
      </c>
      <c r="F84" s="16" t="n">
        <v>1</v>
      </c>
      <c r="G84" s="16" t="n">
        <v>1</v>
      </c>
      <c r="H84" s="16" t="n">
        <v>1</v>
      </c>
      <c r="I84" s="17" t="n">
        <v>634.88</v>
      </c>
      <c r="J84" s="17" t="n">
        <v>634.88</v>
      </c>
      <c r="K84" s="17" t="n">
        <v>630</v>
      </c>
      <c r="L84" s="17" t="n">
        <v>0</v>
      </c>
    </row>
    <row r="85">
      <c r="A85" s="16" t="inlineStr">
        <is>
          <t>5.8-5.14</t>
        </is>
      </c>
      <c r="B85" s="16" t="inlineStr">
        <is>
          <t>SA8058T</t>
        </is>
      </c>
      <c r="C85"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D85" s="17" t="n">
        <v>533.41</v>
      </c>
      <c r="E85" s="18" t="n">
        <v>0.004820196361903402</v>
      </c>
      <c r="F85" s="16" t="n">
        <v>3</v>
      </c>
      <c r="G85" s="16" t="n">
        <v>3</v>
      </c>
      <c r="H85" s="16" t="n">
        <v>3</v>
      </c>
      <c r="I85" s="17" t="n">
        <v>177.8</v>
      </c>
      <c r="J85" s="17" t="n">
        <v>177.8</v>
      </c>
      <c r="K85" s="17" t="n">
        <v>545.2</v>
      </c>
      <c r="L85" s="17" t="n">
        <v>51.72</v>
      </c>
    </row>
    <row r="86">
      <c r="A86" s="16" t="inlineStr">
        <is>
          <t>5.8-5.14</t>
        </is>
      </c>
      <c r="B86" s="16" t="inlineStr">
        <is>
          <t>EM04W36-2PZS</t>
        </is>
      </c>
      <c r="C8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86" s="17" t="n">
        <v>390.34</v>
      </c>
      <c r="E86" s="18" t="n">
        <v>0.003527340558156635</v>
      </c>
      <c r="F86" s="16" t="n">
        <v>3</v>
      </c>
      <c r="G86" s="16" t="n">
        <v>3</v>
      </c>
      <c r="H86" s="16" t="n">
        <v>3</v>
      </c>
      <c r="I86" s="17" t="n">
        <v>130.11</v>
      </c>
      <c r="J86" s="17" t="n">
        <v>130.11</v>
      </c>
      <c r="K86" s="17" t="n">
        <v>405.6</v>
      </c>
      <c r="L86" s="17" t="n">
        <v>51.72</v>
      </c>
    </row>
    <row r="87">
      <c r="A87" s="16" t="inlineStr">
        <is>
          <t>5.8-5.14</t>
        </is>
      </c>
      <c r="B87" s="16" t="inlineStr">
        <is>
          <t>KTS-1943-N</t>
        </is>
      </c>
      <c r="C87"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87" s="17" t="n">
        <v>378.38</v>
      </c>
      <c r="E87" s="18" t="n">
        <v>0.003419255082304963</v>
      </c>
      <c r="F87" s="16" t="n">
        <v>6</v>
      </c>
      <c r="G87" s="16" t="n">
        <v>6</v>
      </c>
      <c r="H87" s="16" t="n">
        <v>6</v>
      </c>
      <c r="I87" s="17" t="n">
        <v>63.06</v>
      </c>
      <c r="J87" s="17" t="n">
        <v>63.06</v>
      </c>
      <c r="K87" s="17" t="n">
        <v>398</v>
      </c>
      <c r="L87" s="17" t="n">
        <v>141.67</v>
      </c>
    </row>
    <row r="88">
      <c r="A88" s="16" t="inlineStr">
        <is>
          <t>5.8-5.14</t>
        </is>
      </c>
      <c r="B88" s="16" t="inlineStr">
        <is>
          <t>EM04W36</t>
        </is>
      </c>
      <c r="C8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88" s="17" t="n">
        <v>351.14</v>
      </c>
      <c r="E88" s="18" t="n">
        <v>0.003173073816596176</v>
      </c>
      <c r="F88" s="16" t="n">
        <v>6</v>
      </c>
      <c r="G88" s="16" t="n">
        <v>5</v>
      </c>
      <c r="H88" s="16" t="n">
        <v>5</v>
      </c>
      <c r="I88" s="17" t="n">
        <v>70.23</v>
      </c>
      <c r="J88" s="17" t="n">
        <v>58.52</v>
      </c>
      <c r="K88" s="17" t="n">
        <v>353.7</v>
      </c>
      <c r="L88" s="17" t="n">
        <v>129.3</v>
      </c>
    </row>
    <row r="89">
      <c r="A89" s="16" t="inlineStr">
        <is>
          <t>5.8-5.14</t>
        </is>
      </c>
      <c r="B89" s="16" t="inlineStr">
        <is>
          <t>KTS-1678R</t>
        </is>
      </c>
      <c r="C89" s="16" t="inlineStr">
        <is>
          <t>Bocina portátil Inalámbrico, de 3 pulgadas, tamaño de bolsillo, 170 g, con asa, compatible con TF, USB y Micro SD, con radio FM y función TWS (True Wireless Stereo), adecuada para relajarse en casa o viajar al aire libre.</t>
        </is>
      </c>
      <c r="D89" s="17" t="n">
        <v>321.13</v>
      </c>
      <c r="E89" s="18" t="n">
        <v>0.002901935464100208</v>
      </c>
      <c r="F89" s="16" t="n">
        <v>8</v>
      </c>
      <c r="G89" s="16" t="n">
        <v>8</v>
      </c>
      <c r="H89" s="16" t="n">
        <v>8</v>
      </c>
      <c r="I89" s="17" t="n">
        <v>40.14</v>
      </c>
      <c r="J89" s="17" t="n">
        <v>40.14</v>
      </c>
      <c r="K89" s="17" t="n">
        <v>340</v>
      </c>
      <c r="L89" s="17" t="n">
        <v>206.88</v>
      </c>
    </row>
    <row r="90">
      <c r="A90" s="16" t="inlineStr">
        <is>
          <t>5.8-5.14</t>
        </is>
      </c>
      <c r="B90" s="16" t="inlineStr">
        <is>
          <t>S39W48</t>
        </is>
      </c>
      <c r="C90"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90" s="17" t="n">
        <v>303.98</v>
      </c>
      <c r="E90" s="18" t="n">
        <v>0.002746891663427915</v>
      </c>
      <c r="F90" s="16" t="n">
        <v>10</v>
      </c>
      <c r="G90" s="16" t="n">
        <v>7</v>
      </c>
      <c r="H90" s="16" t="n">
        <v>7</v>
      </c>
      <c r="I90" s="17" t="n">
        <v>43.43</v>
      </c>
      <c r="J90" s="17" t="n">
        <v>30.4</v>
      </c>
      <c r="K90" s="17" t="n">
        <v>339</v>
      </c>
      <c r="L90" s="17" t="n">
        <v>168.19</v>
      </c>
    </row>
    <row r="91">
      <c r="A91" s="16" t="inlineStr">
        <is>
          <t>5.8-5.14</t>
        </is>
      </c>
      <c r="B91" s="16" t="inlineStr">
        <is>
          <t>KTS-1943-R</t>
        </is>
      </c>
      <c r="C91"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91" s="17" t="n">
        <v>280.9</v>
      </c>
      <c r="E91" s="18" t="n">
        <v>0.00253836019364574</v>
      </c>
      <c r="F91" s="16" t="n">
        <v>4</v>
      </c>
      <c r="G91" s="16" t="n">
        <v>4</v>
      </c>
      <c r="H91" s="16" t="n">
        <v>4</v>
      </c>
      <c r="I91" s="17" t="n">
        <v>70.22</v>
      </c>
      <c r="J91" s="17" t="n">
        <v>70.22</v>
      </c>
      <c r="K91" s="17" t="n">
        <v>300</v>
      </c>
      <c r="L91" s="17" t="n">
        <v>91.06999999999999</v>
      </c>
    </row>
    <row r="92">
      <c r="A92" s="16" t="inlineStr">
        <is>
          <t>5.8-5.14</t>
        </is>
      </c>
      <c r="B92" s="16" t="inlineStr">
        <is>
          <t>MB-178-B</t>
        </is>
      </c>
      <c r="C92" s="16" t="inlineStr">
        <is>
          <t>Bocina de Barra Bluetooth LINK BITS con dos altavoces, sonido de alta calidad y multifuncional (Bluetooth, Radio FM, USB, TF, AUX, TWS), ideal para juegos, reuniones, oficina y cine en casa.</t>
        </is>
      </c>
      <c r="D92" s="17" t="n">
        <v>253.39</v>
      </c>
      <c r="E92" s="18" t="n">
        <v>0.002289744938753766</v>
      </c>
      <c r="F92" s="16" t="n">
        <v>2</v>
      </c>
      <c r="G92" s="16" t="n">
        <v>2</v>
      </c>
      <c r="H92" s="16" t="n">
        <v>2</v>
      </c>
      <c r="I92" s="17" t="n">
        <v>126.69</v>
      </c>
      <c r="J92" s="17" t="n">
        <v>126.69</v>
      </c>
      <c r="K92" s="17" t="n">
        <v>248</v>
      </c>
      <c r="L92" s="17" t="n">
        <v>51.72</v>
      </c>
    </row>
    <row r="93">
      <c r="A93" s="16" t="inlineStr">
        <is>
          <t>5.8-5.14</t>
        </is>
      </c>
      <c r="B93" s="16" t="inlineStr">
        <is>
          <t>VA384T-A</t>
        </is>
      </c>
      <c r="C93" s="16" t="inlineStr">
        <is>
          <t>Bocina Portátil Bluetooth de 3 Pulgadas con Radio FM, USB TF TWS, Sonido Estéreo 5W, Bocina Recargable para Hogar Exterior Viaje Fiesta Camping</t>
        </is>
      </c>
      <c r="D93" s="17" t="n">
        <v>202.32</v>
      </c>
      <c r="E93" s="18" t="n">
        <v>0.001828300440715875</v>
      </c>
      <c r="F93" s="16" t="n">
        <v>6</v>
      </c>
      <c r="G93" s="16" t="n">
        <v>5</v>
      </c>
      <c r="H93" s="16" t="n">
        <v>5</v>
      </c>
      <c r="I93" s="17" t="n">
        <v>40.46</v>
      </c>
      <c r="J93" s="17" t="n">
        <v>33.72</v>
      </c>
      <c r="K93" s="17" t="n">
        <v>285.96</v>
      </c>
      <c r="L93" s="17" t="n">
        <v>54.58</v>
      </c>
    </row>
    <row r="94">
      <c r="A94" s="16" t="inlineStr">
        <is>
          <t>5.8-5.14</t>
        </is>
      </c>
      <c r="B94" s="16" t="inlineStr">
        <is>
          <t>VA384T-N</t>
        </is>
      </c>
      <c r="C94" s="16" t="inlineStr">
        <is>
          <t>Bocina Portátil Bluetooth de 3 Pulgadas con Radio FM, USB TF TWS, Sonido Estéreo 5W, Bocina Recargable para Hogar Exterior Viaje Fiesta Camping</t>
        </is>
      </c>
      <c r="D94" s="17" t="n">
        <v>189.96</v>
      </c>
      <c r="E94" s="18" t="n">
        <v>0.001716593123896608</v>
      </c>
      <c r="F94" s="16" t="n">
        <v>4</v>
      </c>
      <c r="G94" s="16" t="n">
        <v>4</v>
      </c>
      <c r="H94" s="16" t="n">
        <v>4</v>
      </c>
      <c r="I94" s="17" t="n">
        <v>47.49</v>
      </c>
      <c r="J94" s="17" t="n">
        <v>47.49</v>
      </c>
      <c r="K94" s="17" t="n">
        <v>199</v>
      </c>
      <c r="L94" s="17" t="n">
        <v>103.44</v>
      </c>
    </row>
    <row r="95">
      <c r="A95" s="16" t="inlineStr">
        <is>
          <t>5.8-5.14</t>
        </is>
      </c>
      <c r="B95" s="16" t="inlineStr">
        <is>
          <t>VA396T</t>
        </is>
      </c>
      <c r="C95"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D95" s="17" t="n">
        <v>136.27</v>
      </c>
      <c r="E95" s="18" t="n">
        <v>0.001231422766196871</v>
      </c>
      <c r="F95" s="16" t="n">
        <v>4</v>
      </c>
      <c r="G95" s="16" t="n">
        <v>4</v>
      </c>
      <c r="H95" s="16" t="n">
        <v>4</v>
      </c>
      <c r="I95" s="17" t="n">
        <v>34.07</v>
      </c>
      <c r="J95" s="17" t="n">
        <v>34.07</v>
      </c>
      <c r="K95" s="17" t="n">
        <v>160</v>
      </c>
      <c r="L95" s="17" t="n">
        <v>90.84999999999999</v>
      </c>
    </row>
    <row r="96">
      <c r="A96" s="16" t="inlineStr">
        <is>
          <t>5.8-5.14</t>
        </is>
      </c>
      <c r="B96" s="16" t="inlineStr">
        <is>
          <t>MB-183R</t>
        </is>
      </c>
      <c r="C96" s="16" t="inlineStr">
        <is>
          <t>Linkbits Altavoz Bluetooth Portátil con Stereo Inalámbrico TWS Impermeable y a Prueba de Polvo IP65 Altavoz de Graves de Rango Completo de 52mm con Doble Unidad Ligero de 215g para Camping Senderismo y Fiestas al Aire Libre</t>
        </is>
      </c>
      <c r="D96" s="17" t="n">
        <v>126.94</v>
      </c>
      <c r="E96" s="18" t="n">
        <v>0.001147126405712567</v>
      </c>
      <c r="F96" s="16" t="n">
        <v>2</v>
      </c>
      <c r="G96" s="16" t="n">
        <v>2</v>
      </c>
      <c r="H96" s="16" t="n">
        <v>2</v>
      </c>
      <c r="I96" s="17" t="n">
        <v>63.47</v>
      </c>
      <c r="J96" s="17" t="n">
        <v>63.47</v>
      </c>
      <c r="K96" s="17" t="n">
        <v>154.9</v>
      </c>
      <c r="L96" s="17" t="n">
        <v>25.86</v>
      </c>
    </row>
    <row r="97">
      <c r="A97" s="16" t="inlineStr">
        <is>
          <t>5.8-5.14</t>
        </is>
      </c>
      <c r="B97" s="16" t="inlineStr">
        <is>
          <t>000090-50PZS</t>
        </is>
      </c>
      <c r="C97" s="16" t="inlineStr">
        <is>
          <t>Mascarillas Infantiles KF94 50 pcs, Cuatro Capas de Protección con Tejido de Fusión Filtrante, Patrones Divertidos, Piel Amigable y Transpirable</t>
        </is>
      </c>
      <c r="D97" s="17" t="n">
        <v>115.25</v>
      </c>
      <c r="E97" s="18" t="n">
        <v>0.001041497058541016</v>
      </c>
      <c r="F97" s="16" t="n">
        <v>1</v>
      </c>
      <c r="G97" s="16" t="n">
        <v>1</v>
      </c>
      <c r="H97" s="16" t="n">
        <v>1</v>
      </c>
      <c r="I97" s="17" t="n">
        <v>115.25</v>
      </c>
      <c r="J97" s="17" t="n">
        <v>115.25</v>
      </c>
      <c r="K97" s="17" t="n">
        <v>113</v>
      </c>
      <c r="L97" s="17" t="n">
        <v>25.86</v>
      </c>
    </row>
    <row r="98">
      <c r="A98" s="16" t="inlineStr">
        <is>
          <t>5.8-5.14</t>
        </is>
      </c>
      <c r="B98" s="16" t="inlineStr">
        <is>
          <t>T5050RGB07</t>
        </is>
      </c>
      <c r="C98"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D98" s="17" t="n">
        <v>83.59</v>
      </c>
      <c r="E98" s="18" t="n">
        <v>0.0007553616819187499</v>
      </c>
      <c r="F98" s="16" t="n">
        <v>2</v>
      </c>
      <c r="G98" s="16" t="n">
        <v>2</v>
      </c>
      <c r="H98" s="16" t="n">
        <v>2</v>
      </c>
      <c r="I98" s="17" t="n">
        <v>41.79</v>
      </c>
      <c r="J98" s="17" t="n">
        <v>41.79</v>
      </c>
      <c r="K98" s="17" t="n">
        <v>112.8</v>
      </c>
      <c r="L98" s="17" t="n">
        <v>25.86</v>
      </c>
    </row>
    <row r="99">
      <c r="A99" s="16" t="inlineStr">
        <is>
          <t>5.8-5.14</t>
        </is>
      </c>
      <c r="B99" s="16" t="inlineStr">
        <is>
          <t>KTS-1943-A</t>
        </is>
      </c>
      <c r="C99"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D99" s="17" t="n">
        <v>80.54000000000001</v>
      </c>
      <c r="E99" s="18" t="n">
        <v>0.0007278147258169155</v>
      </c>
      <c r="F99" s="16" t="n">
        <v>1</v>
      </c>
      <c r="G99" s="16" t="n">
        <v>1</v>
      </c>
      <c r="H99" s="16" t="n">
        <v>1</v>
      </c>
      <c r="I99" s="17" t="n">
        <v>80.54000000000001</v>
      </c>
      <c r="J99" s="17" t="n">
        <v>80.54000000000001</v>
      </c>
      <c r="K99" s="17" t="n">
        <v>80</v>
      </c>
      <c r="L99" s="17" t="n">
        <v>25.86</v>
      </c>
    </row>
    <row r="100">
      <c r="A100" s="16" t="inlineStr">
        <is>
          <t>5.8-5.14</t>
        </is>
      </c>
      <c r="B100" s="16" t="inlineStr">
        <is>
          <t>KTS-1678N</t>
        </is>
      </c>
      <c r="C100" s="16" t="inlineStr">
        <is>
          <t>Bocina portátil Inalámbrico, de 3 pulgadas, tamaño de bolsillo, 170 g, con asa, compatible con TF, USB y Micro SD, con radio FM y función TWS (True Wireless Stereo), adecuada para relajarse en casa o viajar al aire libre.</t>
        </is>
      </c>
      <c r="D100" s="17" t="n">
        <v>76.40000000000001</v>
      </c>
      <c r="E100" s="18" t="n">
        <v>0.0006903714145861861</v>
      </c>
      <c r="F100" s="16" t="n">
        <v>2</v>
      </c>
      <c r="G100" s="16" t="n">
        <v>2</v>
      </c>
      <c r="H100" s="16" t="n">
        <v>2</v>
      </c>
      <c r="I100" s="17" t="n">
        <v>38.2</v>
      </c>
      <c r="J100" s="17" t="n">
        <v>38.2</v>
      </c>
      <c r="K100" s="17" t="n">
        <v>80.70999999999999</v>
      </c>
      <c r="L100" s="17" t="n">
        <v>51.72</v>
      </c>
    </row>
    <row r="101">
      <c r="A101" s="16" t="inlineStr">
        <is>
          <t>5.8-5.14</t>
        </is>
      </c>
      <c r="B101" s="16" t="inlineStr">
        <is>
          <t>MB-183B</t>
        </is>
      </c>
      <c r="C101" s="16" t="inlineStr">
        <is>
          <t>Linkbits Altavoz Bluetooth Portátil con Stereo Inalámbrico TWS Impermeable y a Prueba de Polvo IP65 Altavoz de Graves de Rango Completo de 52mm con Doble Unidad Ligero de 215g para Camping Senderismo y Fiestas al Aire Libre</t>
        </is>
      </c>
      <c r="D101" s="17" t="n">
        <v>42.01</v>
      </c>
      <c r="E101" s="18" t="n">
        <v>0.0003795952297043473</v>
      </c>
      <c r="F101" s="16" t="n">
        <v>1</v>
      </c>
      <c r="G101" s="16" t="n">
        <v>1</v>
      </c>
      <c r="H101" s="16" t="n">
        <v>1</v>
      </c>
      <c r="I101" s="17" t="n">
        <v>42.01</v>
      </c>
      <c r="J101" s="17" t="n">
        <v>42.01</v>
      </c>
      <c r="K101" s="17" t="n">
        <v>70</v>
      </c>
      <c r="L101" s="17" t="n">
        <v>0</v>
      </c>
    </row>
    <row r="102">
      <c r="A102" s="16" t="inlineStr">
        <is>
          <t>5.15-5.21</t>
        </is>
      </c>
      <c r="B102" s="16" t="inlineStr">
        <is>
          <t>LV25W22</t>
        </is>
      </c>
      <c r="C10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D102" s="17" t="n">
        <v>36964.46</v>
      </c>
      <c r="E102" s="18" t="n">
        <v>0.3927437763529079</v>
      </c>
      <c r="F102" s="16" t="n">
        <v>413</v>
      </c>
      <c r="G102" s="16" t="n">
        <v>269</v>
      </c>
      <c r="H102" s="16" t="n">
        <v>270</v>
      </c>
      <c r="I102" s="17" t="n">
        <v>137.41</v>
      </c>
      <c r="J102" s="17" t="n">
        <v>89.5</v>
      </c>
      <c r="K102" s="17" t="n">
        <v>37496.57</v>
      </c>
      <c r="L102" s="17" t="n">
        <v>5640.84</v>
      </c>
    </row>
    <row r="103">
      <c r="A103" s="16" t="inlineStr">
        <is>
          <t>5.15-5.21</t>
        </is>
      </c>
      <c r="B103" s="16" t="inlineStr">
        <is>
          <t>SA8056T</t>
        </is>
      </c>
      <c r="C10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D103" s="17" t="n">
        <v>4384.01</v>
      </c>
      <c r="E103" s="18" t="n">
        <v>0.04657964737675589</v>
      </c>
      <c r="F103" s="16" t="n">
        <v>34</v>
      </c>
      <c r="G103" s="16" t="n">
        <v>21</v>
      </c>
      <c r="H103" s="16" t="n">
        <v>21</v>
      </c>
      <c r="I103" s="17" t="n">
        <v>208.76</v>
      </c>
      <c r="J103" s="17" t="n">
        <v>128.94</v>
      </c>
      <c r="K103" s="17" t="n">
        <v>4464.1</v>
      </c>
      <c r="L103" s="17" t="n">
        <v>328.46</v>
      </c>
    </row>
    <row r="104">
      <c r="A104" s="16" t="inlineStr">
        <is>
          <t>5.15-5.21</t>
        </is>
      </c>
      <c r="B104" s="16" t="inlineStr">
        <is>
          <t>MB-178-N</t>
        </is>
      </c>
      <c r="C104" s="16" t="inlineStr">
        <is>
          <t>Bocina de Barra Bluetooth LINK BITS con dos altavoces, sonido de alta calidad y multifuncional (Bluetooth, Radio FM, USB, TF, AUX, TWS), ideal para juegos, reuniones, oficina y cine en casa.</t>
        </is>
      </c>
      <c r="D104" s="17" t="n">
        <v>3932.14</v>
      </c>
      <c r="E104" s="18" t="n">
        <v>0.04177865784040931</v>
      </c>
      <c r="F104" s="16" t="n">
        <v>31</v>
      </c>
      <c r="G104" s="16" t="n">
        <v>12</v>
      </c>
      <c r="H104" s="16" t="n">
        <v>12</v>
      </c>
      <c r="I104" s="17" t="n">
        <v>327.68</v>
      </c>
      <c r="J104" s="17" t="n">
        <v>126.84</v>
      </c>
      <c r="K104" s="17" t="n">
        <v>3855</v>
      </c>
      <c r="L104" s="17" t="n">
        <v>225.96</v>
      </c>
    </row>
    <row r="105">
      <c r="A105" s="16" t="inlineStr">
        <is>
          <t>5.15-5.21</t>
        </is>
      </c>
      <c r="B105" s="16" t="inlineStr">
        <is>
          <t>SA325T</t>
        </is>
      </c>
      <c r="C105" s="16" t="inlineStr">
        <is>
          <t>Subwoofer Portátil Inalámbrico con Luces RGB, Sonido de Alta Potencia y Batería Duradera, TWS TF USB, Perfecto para Campamento Fiestas y Entretenimiento en Casa</t>
        </is>
      </c>
      <c r="D105" s="17" t="n">
        <v>3914.83</v>
      </c>
      <c r="E105" s="18" t="n">
        <v>0.04159471845150483</v>
      </c>
      <c r="F105" s="16" t="n">
        <v>116</v>
      </c>
      <c r="G105" s="16" t="n">
        <v>69</v>
      </c>
      <c r="H105" s="16" t="n">
        <v>69</v>
      </c>
      <c r="I105" s="17" t="n">
        <v>56.74</v>
      </c>
      <c r="J105" s="17" t="n">
        <v>33.75</v>
      </c>
      <c r="K105" s="17" t="n">
        <v>4362</v>
      </c>
      <c r="L105" s="17" t="n">
        <v>1419.84</v>
      </c>
    </row>
    <row r="106">
      <c r="A106" s="16" t="inlineStr">
        <is>
          <t>5.15-5.21</t>
        </is>
      </c>
      <c r="B106" s="16" t="inlineStr">
        <is>
          <t>LB02235-negro</t>
        </is>
      </c>
      <c r="C106" s="16" t="inlineStr">
        <is>
          <t>Audífonos Inalámbricos para la Cabeza, Recargables y Multifuncionales - Conectan a Varios Dispositivos, soportan Radio FM, Tarjeta TF y AUX - 4 Horas de Reproducción Musical - Ideal para Trabajo Cotidiano, Juegos y Estudio</t>
        </is>
      </c>
      <c r="D106" s="17" t="n">
        <v>3410.77</v>
      </c>
      <c r="E106" s="18" t="n">
        <v>0.03623910896143722</v>
      </c>
      <c r="F106" s="16" t="n">
        <v>107</v>
      </c>
      <c r="G106" s="16" t="n">
        <v>99</v>
      </c>
      <c r="H106" s="16" t="n">
        <v>99</v>
      </c>
      <c r="I106" s="17" t="n">
        <v>34.45</v>
      </c>
      <c r="J106" s="17" t="n">
        <v>31.88</v>
      </c>
      <c r="K106" s="17" t="n">
        <v>3992.08</v>
      </c>
      <c r="L106" s="17" t="n">
        <v>2247.6</v>
      </c>
    </row>
    <row r="107">
      <c r="A107" s="16" t="inlineStr">
        <is>
          <t>5.15-5.21</t>
        </is>
      </c>
      <c r="B107" s="16" t="inlineStr">
        <is>
          <t>LB02235-blanco</t>
        </is>
      </c>
      <c r="C107" s="16" t="inlineStr">
        <is>
          <t>Audífonos Inalámbricos para la Cabeza, Recargables y Multifuncionales - Conectan a Varios Dispositivos, soportan Radio FM, Tarjeta TF y AUX - 4 Horas de Reproducción Musical - Ideal para Trabajo Cotidiano, Juegos y Estudio</t>
        </is>
      </c>
      <c r="D107" s="17" t="n">
        <v>2885.71</v>
      </c>
      <c r="E107" s="18" t="n">
        <v>0.03066037437650119</v>
      </c>
      <c r="F107" s="16" t="n">
        <v>91</v>
      </c>
      <c r="G107" s="16" t="n">
        <v>57</v>
      </c>
      <c r="H107" s="16" t="n">
        <v>57</v>
      </c>
      <c r="I107" s="17" t="n">
        <v>50.63</v>
      </c>
      <c r="J107" s="17" t="n">
        <v>31.71</v>
      </c>
      <c r="K107" s="17" t="n">
        <v>3361.11</v>
      </c>
      <c r="L107" s="17" t="n">
        <v>1071.42</v>
      </c>
    </row>
    <row r="108">
      <c r="A108" s="16" t="inlineStr">
        <is>
          <t>5.15-5.21</t>
        </is>
      </c>
      <c r="B108" s="16" t="inlineStr">
        <is>
          <t>MCM-001N</t>
        </is>
      </c>
      <c r="C108" s="16" t="inlineStr">
        <is>
          <t>Musicord Altavoz Inalámbrico BT Portátil: ¡Sonido impactante, luces LED multicolores y 4 horas de autonomía! Compatible con TWS, FM, TF y USB – Imprescindible para fiestas y viajes</t>
        </is>
      </c>
      <c r="D108" s="17" t="n">
        <v>2591.02</v>
      </c>
      <c r="E108" s="18" t="n">
        <v>0.02752930992738246</v>
      </c>
      <c r="F108" s="16" t="n">
        <v>46</v>
      </c>
      <c r="G108" s="16" t="n">
        <v>46</v>
      </c>
      <c r="H108" s="16" t="n">
        <v>46</v>
      </c>
      <c r="I108" s="17" t="n">
        <v>56.33</v>
      </c>
      <c r="J108" s="17" t="n">
        <v>56.33</v>
      </c>
      <c r="K108" s="17" t="n">
        <v>2846</v>
      </c>
      <c r="L108" s="17" t="n">
        <v>1075.28</v>
      </c>
    </row>
    <row r="109">
      <c r="A109" s="16" t="inlineStr">
        <is>
          <t>5.15-5.21</t>
        </is>
      </c>
      <c r="B109" s="16" t="inlineStr">
        <is>
          <t>VB347T</t>
        </is>
      </c>
      <c r="C10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109" s="17" t="n">
        <v>2393.02</v>
      </c>
      <c r="E109" s="18" t="n">
        <v>0.02542555728738883</v>
      </c>
      <c r="F109" s="16" t="n">
        <v>33</v>
      </c>
      <c r="G109" s="16" t="n">
        <v>28</v>
      </c>
      <c r="H109" s="16" t="n">
        <v>29</v>
      </c>
      <c r="I109" s="17" t="n">
        <v>85.45999999999999</v>
      </c>
      <c r="J109" s="17" t="n">
        <v>72.52</v>
      </c>
      <c r="K109" s="17" t="n">
        <v>2610.7</v>
      </c>
      <c r="L109" s="17" t="n">
        <v>535.97</v>
      </c>
    </row>
    <row r="110">
      <c r="A110" s="16" t="inlineStr">
        <is>
          <t>5.15-5.21</t>
        </is>
      </c>
      <c r="B110" s="16" t="inlineStr">
        <is>
          <t>LB02235-rojo</t>
        </is>
      </c>
      <c r="C110" s="16" t="inlineStr">
        <is>
          <t>Audífonos Inalámbricos para la Cabeza, Recargables y Multifuncionales - Conectan a Varios Dispositivos, soportan Radio FM, Tarjeta TF y AUX - 4 Horas de Reproducción Musical - Ideal para Trabajo Cotidiano, Juegos y Estudio</t>
        </is>
      </c>
      <c r="D110" s="17" t="n">
        <v>2290.69</v>
      </c>
      <c r="E110" s="18" t="n">
        <v>0.02433836246061685</v>
      </c>
      <c r="F110" s="16" t="n">
        <v>76</v>
      </c>
      <c r="G110" s="16" t="n">
        <v>61</v>
      </c>
      <c r="H110" s="16" t="n">
        <v>61</v>
      </c>
      <c r="I110" s="17" t="n">
        <v>37.55</v>
      </c>
      <c r="J110" s="17" t="n">
        <v>30.14</v>
      </c>
      <c r="K110" s="17" t="n">
        <v>2816.71</v>
      </c>
      <c r="L110" s="17" t="n">
        <v>1173.83</v>
      </c>
    </row>
    <row r="111">
      <c r="A111" s="16" t="inlineStr">
        <is>
          <t>5.15-5.21</t>
        </is>
      </c>
      <c r="B111" s="16" t="inlineStr">
        <is>
          <t>MB-185N</t>
        </is>
      </c>
      <c r="C111" s="16" t="inlineStr">
        <is>
          <t>Bocina Radio FM/Reproductor, Compatible con Tarjeta TF, USB, Bluetooth, Aplicable para celular, computadora, Ipad y consola.</t>
        </is>
      </c>
      <c r="D111" s="17" t="n">
        <v>2216.05</v>
      </c>
      <c r="E111" s="18" t="n">
        <v>0.02354531648874476</v>
      </c>
      <c r="F111" s="16" t="n">
        <v>31</v>
      </c>
      <c r="G111" s="16" t="n">
        <v>30</v>
      </c>
      <c r="H111" s="16" t="n">
        <v>30</v>
      </c>
      <c r="I111" s="17" t="n">
        <v>73.87</v>
      </c>
      <c r="J111" s="17" t="n">
        <v>71.48999999999999</v>
      </c>
      <c r="K111" s="17" t="n">
        <v>2286.03</v>
      </c>
      <c r="L111" s="17" t="n">
        <v>724.08</v>
      </c>
    </row>
    <row r="112">
      <c r="A112" s="16" t="inlineStr">
        <is>
          <t>5.15-5.21</t>
        </is>
      </c>
      <c r="B112" s="16" t="inlineStr">
        <is>
          <t>LB02235-azul</t>
        </is>
      </c>
      <c r="C112" s="16" t="inlineStr">
        <is>
          <t>Audífonos Inalámbricos para la Cabeza, Recargables y Multifuncionales - Conectan a Varios Dispositivos, soportan Radio FM, Tarjeta TF y AUX - 4 Horas de Reproducción Musical - Ideal para Trabajo Cotidiano, Juegos y Estudio</t>
        </is>
      </c>
      <c r="D112" s="17" t="n">
        <v>2152.17</v>
      </c>
      <c r="E112" s="18" t="n">
        <v>0.02286660988279166</v>
      </c>
      <c r="F112" s="16" t="n">
        <v>71</v>
      </c>
      <c r="G112" s="16" t="n">
        <v>55</v>
      </c>
      <c r="H112" s="16" t="n">
        <v>55</v>
      </c>
      <c r="I112" s="17" t="n">
        <v>39.13</v>
      </c>
      <c r="J112" s="17" t="n">
        <v>30.31</v>
      </c>
      <c r="K112" s="17" t="n">
        <v>2567.8</v>
      </c>
      <c r="L112" s="17" t="n">
        <v>1127</v>
      </c>
    </row>
    <row r="113">
      <c r="A113" s="16" t="inlineStr">
        <is>
          <t>5.15-5.21</t>
        </is>
      </c>
      <c r="B113" s="16" t="inlineStr">
        <is>
          <t>S09W18IB-8PZS</t>
        </is>
      </c>
      <c r="C11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113" s="17" t="n">
        <v>2123.43</v>
      </c>
      <c r="E113" s="18" t="n">
        <v>0.02256123316129993</v>
      </c>
      <c r="F113" s="16" t="n">
        <v>9</v>
      </c>
      <c r="G113" s="16" t="n">
        <v>6</v>
      </c>
      <c r="H113" s="16" t="n">
        <v>6</v>
      </c>
      <c r="I113" s="17" t="n">
        <v>353.9</v>
      </c>
      <c r="J113" s="17" t="n">
        <v>235.94</v>
      </c>
      <c r="K113" s="17" t="n">
        <v>2133.42</v>
      </c>
      <c r="L113" s="17" t="n">
        <v>51.72</v>
      </c>
    </row>
    <row r="114">
      <c r="A114" s="16" t="inlineStr">
        <is>
          <t>5.15-5.21</t>
        </is>
      </c>
      <c r="B114" s="16" t="inlineStr">
        <is>
          <t>SA323T</t>
        </is>
      </c>
      <c r="C114" s="16" t="inlineStr">
        <is>
          <t>Linkbits Bocina Portátil Parlantes BT Portátiles con Iluminación de Ambiente | 1 Hora de Duración, FM, TWS, TF/Micro SD | Ideal para Hogar, Fiestas y Viajes</t>
        </is>
      </c>
      <c r="D114" s="17" t="n">
        <v>1928.31</v>
      </c>
      <c r="E114" s="18" t="n">
        <v>0.02048810043020722</v>
      </c>
      <c r="F114" s="16" t="n">
        <v>54</v>
      </c>
      <c r="G114" s="16" t="n">
        <v>46</v>
      </c>
      <c r="H114" s="16" t="n">
        <v>46</v>
      </c>
      <c r="I114" s="17" t="n">
        <v>41.92</v>
      </c>
      <c r="J114" s="17" t="n">
        <v>35.71</v>
      </c>
      <c r="K114" s="17" t="n">
        <v>2235.3</v>
      </c>
      <c r="L114" s="17" t="n">
        <v>993.84</v>
      </c>
    </row>
    <row r="115">
      <c r="A115" s="16" t="inlineStr">
        <is>
          <t>5.15-5.21</t>
        </is>
      </c>
      <c r="B115" s="16" t="inlineStr">
        <is>
          <t>KTS-1678V</t>
        </is>
      </c>
      <c r="C115" s="16" t="inlineStr">
        <is>
          <t>Bocina portátil Inalámbrico, de 3 pulgadas, tamaño de bolsillo, 170 g, con asa, compatible con TF, USB y Micro SD, con radio FM y función TWS (True Wireless Stereo), adecuada para relajarse en casa o viajar al aire libre.</t>
        </is>
      </c>
      <c r="D115" s="17" t="n">
        <v>1905.86</v>
      </c>
      <c r="E115" s="18" t="n">
        <v>0.02024959791275219</v>
      </c>
      <c r="F115" s="16" t="n">
        <v>47</v>
      </c>
      <c r="G115" s="16" t="n">
        <v>20</v>
      </c>
      <c r="H115" s="16" t="n">
        <v>20</v>
      </c>
      <c r="I115" s="17" t="n">
        <v>95.29000000000001</v>
      </c>
      <c r="J115" s="17" t="n">
        <v>40.55</v>
      </c>
      <c r="K115" s="17" t="n">
        <v>1975</v>
      </c>
      <c r="L115" s="17" t="n">
        <v>426.23</v>
      </c>
    </row>
    <row r="116">
      <c r="A116" s="16" t="inlineStr">
        <is>
          <t>5.15-5.21</t>
        </is>
      </c>
      <c r="B116" s="16" t="inlineStr">
        <is>
          <t>KTS-1678Y</t>
        </is>
      </c>
      <c r="C116" s="16" t="inlineStr">
        <is>
          <t>Bocina portátil Inalámbrico, de 3 pulgadas, tamaño de bolsillo, 170 g, con asa, compatible con TF, USB y Micro SD, con radio FM y función TWS (True Wireless Stereo), adecuada para relajarse en casa o viajar al aire libre.</t>
        </is>
      </c>
      <c r="D116" s="17" t="n">
        <v>1764.23</v>
      </c>
      <c r="E116" s="18" t="n">
        <v>0.01874475247977647</v>
      </c>
      <c r="F116" s="16" t="n">
        <v>47</v>
      </c>
      <c r="G116" s="16" t="n">
        <v>32</v>
      </c>
      <c r="H116" s="16" t="n">
        <v>32</v>
      </c>
      <c r="I116" s="17" t="n">
        <v>55.13</v>
      </c>
      <c r="J116" s="17" t="n">
        <v>37.54</v>
      </c>
      <c r="K116" s="17" t="n">
        <v>1948</v>
      </c>
      <c r="L116" s="17" t="n">
        <v>703.76</v>
      </c>
    </row>
    <row r="117">
      <c r="A117" s="16" t="inlineStr">
        <is>
          <t>5.15-5.21</t>
        </is>
      </c>
      <c r="B117" s="16" t="inlineStr">
        <is>
          <t>MCM-001G</t>
        </is>
      </c>
      <c r="C117" s="16" t="inlineStr">
        <is>
          <t>Musicord Altavoz Inalámbrico BT Portátil: ¡Sonido impactante, luces LED multicolores y 4 horas de autonomía! Compatible con TWS, FM, TF y USB – Imprescindible para fiestas y viajes</t>
        </is>
      </c>
      <c r="D117" s="17" t="n">
        <v>1601.42</v>
      </c>
      <c r="E117" s="18" t="n">
        <v>0.01701496349972773</v>
      </c>
      <c r="F117" s="16" t="n">
        <v>34</v>
      </c>
      <c r="G117" s="16" t="n">
        <v>32</v>
      </c>
      <c r="H117" s="16" t="n">
        <v>32</v>
      </c>
      <c r="I117" s="17" t="n">
        <v>50.04</v>
      </c>
      <c r="J117" s="17" t="n">
        <v>47.1</v>
      </c>
      <c r="K117" s="17" t="n">
        <v>1735.82</v>
      </c>
      <c r="L117" s="17" t="n">
        <v>753.49</v>
      </c>
    </row>
    <row r="118">
      <c r="A118" s="16" t="inlineStr">
        <is>
          <t>5.15-5.21</t>
        </is>
      </c>
      <c r="B118" s="16" t="inlineStr">
        <is>
          <t>LV64W25</t>
        </is>
      </c>
      <c r="C118" s="16" t="inlineStr">
        <is>
          <t>Ventilador de Techo LED TIANLAI con 5 Aspas, Control Remoto, 3 Colores Luz, 3 Velocidades, Temporizador, Fácil Instalación, E27 para Baño Cocina Dormitorio Salón</t>
        </is>
      </c>
      <c r="D118" s="17" t="n">
        <v>1546.71</v>
      </c>
      <c r="E118" s="18" t="n">
        <v>0.01643361235172382</v>
      </c>
      <c r="F118" s="16" t="n">
        <v>13</v>
      </c>
      <c r="G118" s="16" t="n">
        <v>5</v>
      </c>
      <c r="H118" s="16" t="n">
        <v>5</v>
      </c>
      <c r="I118" s="17" t="n">
        <v>309.34</v>
      </c>
      <c r="J118" s="17" t="n">
        <v>118.98</v>
      </c>
      <c r="K118" s="17" t="n">
        <v>1570</v>
      </c>
      <c r="L118" s="17" t="n">
        <v>25.86</v>
      </c>
    </row>
    <row r="119">
      <c r="A119" s="16" t="inlineStr">
        <is>
          <t>5.15-5.21</t>
        </is>
      </c>
      <c r="B119" s="16" t="inlineStr">
        <is>
          <t>LV34W04</t>
        </is>
      </c>
      <c r="C11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D119" s="17" t="n">
        <v>1545.66</v>
      </c>
      <c r="E119" s="18" t="n">
        <v>0.01642245779696493</v>
      </c>
      <c r="F119" s="16" t="n">
        <v>7</v>
      </c>
      <c r="G119" s="16" t="n">
        <v>7</v>
      </c>
      <c r="H119" s="16" t="n">
        <v>7</v>
      </c>
      <c r="I119" s="17" t="n">
        <v>220.81</v>
      </c>
      <c r="J119" s="17" t="n">
        <v>220.81</v>
      </c>
      <c r="K119" s="17" t="n">
        <v>1658</v>
      </c>
      <c r="L119" s="17" t="n">
        <v>0</v>
      </c>
    </row>
    <row r="120">
      <c r="A120" s="16" t="inlineStr">
        <is>
          <t>5.15-5.21</t>
        </is>
      </c>
      <c r="B120" s="16" t="inlineStr">
        <is>
          <t>MCM-001R</t>
        </is>
      </c>
      <c r="C120" s="16" t="inlineStr">
        <is>
          <t>Musicord Altavoz Inalámbrico BT Portátil: ¡Sonido impactante, luces LED multicolores y 4 horas de autonomía! Compatible con TWS, FM, TF y USB – Imprescindible para fiestas y viajes</t>
        </is>
      </c>
      <c r="D120" s="17" t="n">
        <v>1471.12</v>
      </c>
      <c r="E120" s="18" t="n">
        <v>0.01563047697165146</v>
      </c>
      <c r="F120" s="16" t="n">
        <v>24</v>
      </c>
      <c r="G120" s="16" t="n">
        <v>24</v>
      </c>
      <c r="H120" s="16" t="n">
        <v>24</v>
      </c>
      <c r="I120" s="17" t="n">
        <v>61.3</v>
      </c>
      <c r="J120" s="17" t="n">
        <v>61.3</v>
      </c>
      <c r="K120" s="17" t="n">
        <v>1595.5</v>
      </c>
      <c r="L120" s="17" t="n">
        <v>529.15</v>
      </c>
    </row>
    <row r="121">
      <c r="A121" s="16" t="inlineStr">
        <is>
          <t>5.15-5.21</t>
        </is>
      </c>
      <c r="B121" s="16" t="inlineStr">
        <is>
          <t>FA028</t>
        </is>
      </c>
      <c r="C121" s="16" t="inlineStr">
        <is>
          <t>Extractor de agua para garrafas de agua, compatible con carga USB, extractor de agua automático, práctico, con dos modos de toma de agua: manual y programado, ideal para dormitorios, salones, oficinas, uso al aire libre y otros escenarios.</t>
        </is>
      </c>
      <c r="D121" s="17" t="n">
        <v>1370.81</v>
      </c>
      <c r="E121" s="18" t="n">
        <v>0.0145647481683182</v>
      </c>
      <c r="F121" s="16" t="n">
        <v>50</v>
      </c>
      <c r="G121" s="16" t="n">
        <v>40</v>
      </c>
      <c r="H121" s="16" t="n">
        <v>40</v>
      </c>
      <c r="I121" s="17" t="n">
        <v>34.27</v>
      </c>
      <c r="J121" s="17" t="n">
        <v>27.42</v>
      </c>
      <c r="K121" s="17" t="n">
        <v>1486</v>
      </c>
      <c r="L121" s="17" t="n">
        <v>1008.54</v>
      </c>
    </row>
    <row r="122">
      <c r="A122" s="16" t="inlineStr">
        <is>
          <t>5.15-5.21</t>
        </is>
      </c>
      <c r="B122" s="16" t="inlineStr">
        <is>
          <t>S09W18IB</t>
        </is>
      </c>
      <c r="C12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122" s="17" t="n">
        <v>1267.62</v>
      </c>
      <c r="E122" s="18" t="n">
        <v>0.01346834792530286</v>
      </c>
      <c r="F122" s="16" t="n">
        <v>57</v>
      </c>
      <c r="G122" s="16" t="n">
        <v>15</v>
      </c>
      <c r="H122" s="16" t="n">
        <v>15</v>
      </c>
      <c r="I122" s="17" t="n">
        <v>84.51000000000001</v>
      </c>
      <c r="J122" s="17" t="n">
        <v>22.24</v>
      </c>
      <c r="K122" s="17" t="n">
        <v>1334.61</v>
      </c>
      <c r="L122" s="17" t="n">
        <v>310.29</v>
      </c>
    </row>
    <row r="123">
      <c r="A123" s="16" t="inlineStr">
        <is>
          <t>5.15-5.21</t>
        </is>
      </c>
      <c r="B123" s="16" t="inlineStr">
        <is>
          <t>MB-185R</t>
        </is>
      </c>
      <c r="C123" s="16" t="inlineStr">
        <is>
          <t>Bocina Radio FM/Reproductor, Compatible con Tarjeta TF, USB, Bluetooth, Aplicable para celular, computadora, Ipad y consola.</t>
        </is>
      </c>
      <c r="D123" s="17" t="n">
        <v>1198.32</v>
      </c>
      <c r="E123" s="18" t="n">
        <v>0.01273201928113107</v>
      </c>
      <c r="F123" s="16" t="n">
        <v>17</v>
      </c>
      <c r="G123" s="16" t="n">
        <v>16</v>
      </c>
      <c r="H123" s="16" t="n">
        <v>16</v>
      </c>
      <c r="I123" s="17" t="n">
        <v>74.89</v>
      </c>
      <c r="J123" s="17" t="n">
        <v>70.48999999999999</v>
      </c>
      <c r="K123" s="17" t="n">
        <v>1246.66</v>
      </c>
      <c r="L123" s="17" t="n">
        <v>374.97</v>
      </c>
    </row>
    <row r="124">
      <c r="A124" s="16" t="inlineStr">
        <is>
          <t>5.15-5.21</t>
        </is>
      </c>
      <c r="B124" s="16" t="inlineStr">
        <is>
          <t>MB-185A</t>
        </is>
      </c>
      <c r="C124" s="16" t="inlineStr">
        <is>
          <t>Bocina Radio FM/Reproductor, Compatible con Tarjeta TF, USB, Bluetooth, Aplicable para celular, computadora, Ipad y consola.</t>
        </is>
      </c>
      <c r="D124" s="17" t="n">
        <v>894.01</v>
      </c>
      <c r="E124" s="18" t="n">
        <v>0.009498818167565551</v>
      </c>
      <c r="F124" s="16" t="n">
        <v>13</v>
      </c>
      <c r="G124" s="16" t="n">
        <v>13</v>
      </c>
      <c r="H124" s="16" t="n">
        <v>13</v>
      </c>
      <c r="I124" s="17" t="n">
        <v>68.77</v>
      </c>
      <c r="J124" s="17" t="n">
        <v>68.77</v>
      </c>
      <c r="K124" s="17" t="n">
        <v>964.74</v>
      </c>
      <c r="L124" s="17" t="n">
        <v>271.53</v>
      </c>
    </row>
    <row r="125">
      <c r="A125" s="16" t="inlineStr">
        <is>
          <t>5.15-5.21</t>
        </is>
      </c>
      <c r="B125" s="16" t="inlineStr">
        <is>
          <t>MCM-001A</t>
        </is>
      </c>
      <c r="C125" s="16" t="inlineStr">
        <is>
          <t>Musicord Altavoz Inalámbrico BT Portátil: ¡Sonido impactante, luces LED multicolores y 4 horas de autonomía! Compatible con TWS, FM, TF y USB – Imprescindible para fiestas y viajes</t>
        </is>
      </c>
      <c r="D125" s="17" t="n">
        <v>818.41</v>
      </c>
      <c r="E125" s="18" t="n">
        <v>0.008695523945188445</v>
      </c>
      <c r="F125" s="16" t="n">
        <v>17</v>
      </c>
      <c r="G125" s="16" t="n">
        <v>16</v>
      </c>
      <c r="H125" s="16" t="n">
        <v>16</v>
      </c>
      <c r="I125" s="17" t="n">
        <v>51.15</v>
      </c>
      <c r="J125" s="17" t="n">
        <v>48.14</v>
      </c>
      <c r="K125" s="17" t="n">
        <v>867.84</v>
      </c>
      <c r="L125" s="17" t="n">
        <v>395.88</v>
      </c>
    </row>
    <row r="126">
      <c r="A126" s="16" t="inlineStr">
        <is>
          <t>5.15-5.21</t>
        </is>
      </c>
      <c r="B126" s="16" t="inlineStr">
        <is>
          <t>SA8058T</t>
        </is>
      </c>
      <c r="C126"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D126" s="17" t="n">
        <v>764.85</v>
      </c>
      <c r="E126" s="18" t="n">
        <v>0.008126445091773526</v>
      </c>
      <c r="F126" s="16" t="n">
        <v>5</v>
      </c>
      <c r="G126" s="16" t="n">
        <v>4</v>
      </c>
      <c r="H126" s="16" t="n">
        <v>4</v>
      </c>
      <c r="I126" s="17" t="n">
        <v>191.21</v>
      </c>
      <c r="J126" s="17" t="n">
        <v>152.97</v>
      </c>
      <c r="K126" s="17" t="n">
        <v>985.2</v>
      </c>
      <c r="L126" s="17" t="n">
        <v>25.86</v>
      </c>
    </row>
    <row r="127">
      <c r="A127" s="16" t="inlineStr">
        <is>
          <t>5.15-5.21</t>
        </is>
      </c>
      <c r="B127" s="16" t="inlineStr">
        <is>
          <t>S58W60</t>
        </is>
      </c>
      <c r="C127"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D127" s="17" t="n">
        <v>732.6900000000001</v>
      </c>
      <c r="E127" s="18" t="n">
        <v>0.007784754044442232</v>
      </c>
      <c r="F127" s="16" t="n">
        <v>15</v>
      </c>
      <c r="G127" s="16" t="n">
        <v>7</v>
      </c>
      <c r="H127" s="16" t="n">
        <v>7</v>
      </c>
      <c r="I127" s="17" t="n">
        <v>104.67</v>
      </c>
      <c r="J127" s="17" t="n">
        <v>48.85</v>
      </c>
      <c r="K127" s="17" t="n">
        <v>749</v>
      </c>
      <c r="L127" s="17" t="n">
        <v>155.16</v>
      </c>
    </row>
    <row r="128">
      <c r="A128" s="16" t="inlineStr">
        <is>
          <t>5.15-5.21</t>
        </is>
      </c>
      <c r="B128" s="16" t="inlineStr">
        <is>
          <t>MB-184R</t>
        </is>
      </c>
      <c r="C128" s="16" t="inlineStr">
        <is>
          <t>Link bits Portable Bluetooth Speaker - 800W Peak Power, 50W Full-Range Audio with Dual Bass System &amp; Deep Bass Membranes, Powerful &amp; Distortion-Free Sound, IP65 Waterproof Dustproof, TWS Support &amp; 6H Battery for Outdoor/Party</t>
        </is>
      </c>
      <c r="D128" s="17" t="n">
        <v>594.37</v>
      </c>
      <c r="E128" s="18" t="n">
        <v>0.006315108384946971</v>
      </c>
      <c r="F128" s="16" t="n">
        <v>1</v>
      </c>
      <c r="G128" s="16" t="n">
        <v>1</v>
      </c>
      <c r="H128" s="16" t="n">
        <v>1</v>
      </c>
      <c r="I128" s="17" t="n">
        <v>594.37</v>
      </c>
      <c r="J128" s="17" t="n">
        <v>594.37</v>
      </c>
      <c r="K128" s="17" t="n">
        <v>588</v>
      </c>
      <c r="L128" s="17" t="n">
        <v>0</v>
      </c>
    </row>
    <row r="129">
      <c r="A129" s="16" t="inlineStr">
        <is>
          <t>5.15-5.21</t>
        </is>
      </c>
      <c r="B129" s="16" t="inlineStr">
        <is>
          <t>MB-184N</t>
        </is>
      </c>
      <c r="C129" s="16" t="inlineStr">
        <is>
          <t>Link bits Portable Bluetooth Speaker - 800W Peak Power, 50W Full-Range Audio with Dual Bass System &amp; Deep Bass Membranes, Powerful &amp; Distortion-Free Sound, IP65 Waterproof Dustproof, TWS Support &amp; 6H Battery for Outdoor/Party</t>
        </is>
      </c>
      <c r="D129" s="17" t="n">
        <v>590.1</v>
      </c>
      <c r="E129" s="18" t="n">
        <v>0.006269767141239944</v>
      </c>
      <c r="F129" s="16" t="n">
        <v>1</v>
      </c>
      <c r="G129" s="16" t="n">
        <v>1</v>
      </c>
      <c r="H129" s="16" t="n">
        <v>1</v>
      </c>
      <c r="I129" s="17" t="n">
        <v>590.1</v>
      </c>
      <c r="J129" s="17" t="n">
        <v>590.1</v>
      </c>
      <c r="K129" s="17" t="n">
        <v>588</v>
      </c>
      <c r="L129" s="17" t="n">
        <v>0</v>
      </c>
    </row>
    <row r="130">
      <c r="A130" s="16" t="inlineStr">
        <is>
          <t>5.15-5.21</t>
        </is>
      </c>
      <c r="B130" s="16" t="inlineStr">
        <is>
          <t>MB-178-B</t>
        </is>
      </c>
      <c r="C130" s="16" t="inlineStr">
        <is>
          <t>Bocina de Barra Bluetooth LINK BITS con dos altavoces, sonido de alta calidad y multifuncional (Bluetooth, Radio FM, USB, TF, AUX, TWS), ideal para juegos, reuniones, oficina y cine en casa.</t>
        </is>
      </c>
      <c r="D130" s="17" t="n">
        <v>583.89</v>
      </c>
      <c r="E130" s="18" t="n">
        <v>0.00620382102250895</v>
      </c>
      <c r="F130" s="16" t="n">
        <v>5</v>
      </c>
      <c r="G130" s="16" t="n">
        <v>5</v>
      </c>
      <c r="H130" s="16" t="n">
        <v>5</v>
      </c>
      <c r="I130" s="17" t="n">
        <v>116.78</v>
      </c>
      <c r="J130" s="17" t="n">
        <v>116.78</v>
      </c>
      <c r="K130" s="17" t="n">
        <v>625</v>
      </c>
      <c r="L130" s="17" t="n">
        <v>77.58</v>
      </c>
    </row>
    <row r="131">
      <c r="A131" s="16" t="inlineStr">
        <is>
          <t>5.15-5.21</t>
        </is>
      </c>
      <c r="B131" s="16" t="inlineStr">
        <is>
          <t>VA384T-A</t>
        </is>
      </c>
      <c r="C131" s="16" t="inlineStr">
        <is>
          <t>Bocina Portátil Bluetooth de 3 Pulgadas con Radio FM, USB TF TWS, Sonido Estéreo 5W, Bocina Recargable para Hogar Exterior Viaje Fiesta Camping</t>
        </is>
      </c>
      <c r="D131" s="17" t="n">
        <v>560.34</v>
      </c>
      <c r="E131" s="18" t="n">
        <v>0.005953506268779024</v>
      </c>
      <c r="F131" s="16" t="n">
        <v>15</v>
      </c>
      <c r="G131" s="16" t="n">
        <v>14</v>
      </c>
      <c r="H131" s="16" t="n">
        <v>14</v>
      </c>
      <c r="I131" s="17" t="n">
        <v>40.02</v>
      </c>
      <c r="J131" s="17" t="n">
        <v>37.36</v>
      </c>
      <c r="K131" s="17" t="n">
        <v>711.89</v>
      </c>
      <c r="L131" s="17" t="n">
        <v>247.1</v>
      </c>
    </row>
    <row r="132">
      <c r="A132" s="16" t="inlineStr">
        <is>
          <t>5.15-5.21</t>
        </is>
      </c>
      <c r="B132" s="16" t="inlineStr">
        <is>
          <t>LV42W08</t>
        </is>
      </c>
      <c r="C132" s="16" t="inlineStr">
        <is>
          <t>TIANLAI Ventilador de techo con luz LED RGB E27, 6 pulgadas, 40W, motor silencioso, fácil instalación, alto brillo 3800 lm, 127V. Ideal para dormitorios, salas y cocinas del hogar.</t>
        </is>
      </c>
      <c r="D132" s="17" t="n">
        <v>557.74</v>
      </c>
      <c r="E132" s="18" t="n">
        <v>0.005925933050907395</v>
      </c>
      <c r="F132" s="16" t="n">
        <v>3</v>
      </c>
      <c r="G132" s="16" t="n">
        <v>2</v>
      </c>
      <c r="H132" s="16" t="n">
        <v>2</v>
      </c>
      <c r="I132" s="17" t="n">
        <v>278.87</v>
      </c>
      <c r="J132" s="17" t="n">
        <v>185.91</v>
      </c>
      <c r="K132" s="17" t="n">
        <v>558.75</v>
      </c>
      <c r="L132" s="17" t="n">
        <v>25.86</v>
      </c>
    </row>
    <row r="133">
      <c r="A133" s="16" t="inlineStr">
        <is>
          <t>5.15-5.21</t>
        </is>
      </c>
      <c r="B133" s="16" t="inlineStr">
        <is>
          <t>S39W48-5PZS</t>
        </is>
      </c>
      <c r="C13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133" s="17" t="n">
        <v>446.66</v>
      </c>
      <c r="E133" s="18" t="n">
        <v>0.00474576182009286</v>
      </c>
      <c r="F133" s="16" t="n">
        <v>3</v>
      </c>
      <c r="G133" s="16" t="n">
        <v>2</v>
      </c>
      <c r="H133" s="16" t="n">
        <v>2</v>
      </c>
      <c r="I133" s="17" t="n">
        <v>223.33</v>
      </c>
      <c r="J133" s="17" t="n">
        <v>148.89</v>
      </c>
      <c r="K133" s="17" t="n">
        <v>450</v>
      </c>
      <c r="L133" s="17" t="n">
        <v>25.86</v>
      </c>
    </row>
    <row r="134">
      <c r="A134" s="16" t="inlineStr">
        <is>
          <t>5.15-5.21</t>
        </is>
      </c>
      <c r="B134" s="16" t="inlineStr">
        <is>
          <t>EM04W36</t>
        </is>
      </c>
      <c r="C13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134" s="17" t="n">
        <v>386.69</v>
      </c>
      <c r="E134" s="18" t="n">
        <v>0.004108569367668037</v>
      </c>
      <c r="F134" s="16" t="n">
        <v>7</v>
      </c>
      <c r="G134" s="16" t="n">
        <v>5</v>
      </c>
      <c r="H134" s="16" t="n">
        <v>5</v>
      </c>
      <c r="I134" s="17" t="n">
        <v>77.34</v>
      </c>
      <c r="J134" s="17" t="n">
        <v>55.24</v>
      </c>
      <c r="K134" s="17" t="n">
        <v>434</v>
      </c>
      <c r="L134" s="17" t="n">
        <v>88.29000000000001</v>
      </c>
    </row>
    <row r="135">
      <c r="A135" s="16" t="inlineStr">
        <is>
          <t>5.15-5.21</t>
        </is>
      </c>
      <c r="B135" s="16" t="inlineStr">
        <is>
          <t>S39W48</t>
        </is>
      </c>
      <c r="C135"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135" s="17" t="n">
        <v>353.76</v>
      </c>
      <c r="E135" s="18" t="n">
        <v>0.003758616926754065</v>
      </c>
      <c r="F135" s="16" t="n">
        <v>12</v>
      </c>
      <c r="G135" s="16" t="n">
        <v>6</v>
      </c>
      <c r="H135" s="16" t="n">
        <v>6</v>
      </c>
      <c r="I135" s="17" t="n">
        <v>58.96</v>
      </c>
      <c r="J135" s="17" t="n">
        <v>29.48</v>
      </c>
      <c r="K135" s="17" t="n">
        <v>360</v>
      </c>
      <c r="L135" s="17" t="n">
        <v>155.16</v>
      </c>
    </row>
    <row r="136">
      <c r="A136" s="16" t="inlineStr">
        <is>
          <t>5.15-5.21</t>
        </is>
      </c>
      <c r="B136" s="16" t="inlineStr">
        <is>
          <t>VA384T-N</t>
        </is>
      </c>
      <c r="C136" s="16" t="inlineStr">
        <is>
          <t>Bocina Portátil Bluetooth de 3 Pulgadas con Radio FM, USB TF TWS, Sonido Estéreo 5W, Bocina Recargable para Hogar Exterior Viaje Fiesta Camping</t>
        </is>
      </c>
      <c r="D136" s="17" t="n">
        <v>314.08</v>
      </c>
      <c r="E136" s="18" t="n">
        <v>0.003337110011887418</v>
      </c>
      <c r="F136" s="16" t="n">
        <v>7</v>
      </c>
      <c r="G136" s="16" t="n">
        <v>6</v>
      </c>
      <c r="H136" s="16" t="n">
        <v>6</v>
      </c>
      <c r="I136" s="17" t="n">
        <v>52.35</v>
      </c>
      <c r="J136" s="17" t="n">
        <v>44.87</v>
      </c>
      <c r="K136" s="17" t="n">
        <v>338</v>
      </c>
      <c r="L136" s="17" t="n">
        <v>143.27</v>
      </c>
    </row>
    <row r="137">
      <c r="A137" s="16" t="inlineStr">
        <is>
          <t>5.15-5.21</t>
        </is>
      </c>
      <c r="B137" s="16" t="inlineStr">
        <is>
          <t>VA384T-R</t>
        </is>
      </c>
      <c r="C137" s="16" t="inlineStr">
        <is>
          <t>Bocina Portátil Bluetooth de 3 Pulgadas con Radio FM, USB TF TWS, Sonido Estéreo 5W, Bocina Recargable para Hogar Exterior Viaje Fiesta Camping</t>
        </is>
      </c>
      <c r="D137" s="17" t="n">
        <v>284.54</v>
      </c>
      <c r="E137" s="18" t="n">
        <v>0.003023224867810637</v>
      </c>
      <c r="F137" s="16" t="n">
        <v>6</v>
      </c>
      <c r="G137" s="16" t="n">
        <v>6</v>
      </c>
      <c r="H137" s="16" t="n">
        <v>6</v>
      </c>
      <c r="I137" s="17" t="n">
        <v>47.42</v>
      </c>
      <c r="J137" s="17" t="n">
        <v>47.42</v>
      </c>
      <c r="K137" s="17" t="n">
        <v>296</v>
      </c>
      <c r="L137" s="17" t="n">
        <v>155.16</v>
      </c>
    </row>
    <row r="138">
      <c r="A138" s="16" t="inlineStr">
        <is>
          <t>5.15-5.21</t>
        </is>
      </c>
      <c r="B138" s="16" t="inlineStr">
        <is>
          <t>EM04W36-2PZS</t>
        </is>
      </c>
      <c r="C13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138" s="17" t="n">
        <v>239.23</v>
      </c>
      <c r="E138" s="18" t="n">
        <v>0.002541797748135464</v>
      </c>
      <c r="F138" s="16" t="n">
        <v>2</v>
      </c>
      <c r="G138" s="16" t="n">
        <v>2</v>
      </c>
      <c r="H138" s="16" t="n">
        <v>2</v>
      </c>
      <c r="I138" s="17" t="n">
        <v>119.62</v>
      </c>
      <c r="J138" s="17" t="n">
        <v>119.62</v>
      </c>
      <c r="K138" s="17" t="n">
        <v>250</v>
      </c>
      <c r="L138" s="17" t="n">
        <v>35.21</v>
      </c>
    </row>
    <row r="139">
      <c r="A139" s="16" t="inlineStr">
        <is>
          <t>5.15-5.21</t>
        </is>
      </c>
      <c r="B139" s="16" t="inlineStr">
        <is>
          <t>KTS-1678R</t>
        </is>
      </c>
      <c r="C139" s="16" t="inlineStr">
        <is>
          <t>Bocina portátil Inalámbrico, de 3 pulgadas, tamaño de bolsillo, 170 g, con asa, compatible con TF, USB y Micro SD, con radio FM y función TWS (True Wireless Stereo), adecuada para relajarse en casa o viajar al aire libre.</t>
        </is>
      </c>
      <c r="D139" s="17" t="n">
        <v>231.99</v>
      </c>
      <c r="E139" s="18" t="n">
        <v>0.002464827229711347</v>
      </c>
      <c r="F139" s="16" t="n">
        <v>6</v>
      </c>
      <c r="G139" s="16" t="n">
        <v>2</v>
      </c>
      <c r="H139" s="16" t="n">
        <v>2</v>
      </c>
      <c r="I139" s="17" t="n">
        <v>115.99</v>
      </c>
      <c r="J139" s="17" t="n">
        <v>38.66</v>
      </c>
      <c r="K139" s="17" t="n">
        <v>252.5</v>
      </c>
      <c r="L139" s="17" t="n">
        <v>25.86</v>
      </c>
    </row>
    <row r="140">
      <c r="A140" s="16" t="inlineStr">
        <is>
          <t>5.15-5.21</t>
        </is>
      </c>
      <c r="B140" s="16" t="inlineStr">
        <is>
          <t>T5050RGB07</t>
        </is>
      </c>
      <c r="C140"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D140" s="17" t="n">
        <v>150.2</v>
      </c>
      <c r="E140" s="18" t="n">
        <v>0.001595814261534465</v>
      </c>
      <c r="F140" s="16" t="n">
        <v>3</v>
      </c>
      <c r="G140" s="16" t="n">
        <v>2</v>
      </c>
      <c r="H140" s="16" t="n">
        <v>2</v>
      </c>
      <c r="I140" s="17" t="n">
        <v>75.09999999999999</v>
      </c>
      <c r="J140" s="17" t="n">
        <v>50.07</v>
      </c>
      <c r="K140" s="17" t="n">
        <v>150</v>
      </c>
      <c r="L140" s="17" t="n">
        <v>51.72</v>
      </c>
    </row>
    <row r="141">
      <c r="A141" s="16" t="inlineStr">
        <is>
          <t>5.15-5.21</t>
        </is>
      </c>
      <c r="B141" s="16" t="inlineStr">
        <is>
          <t>MB-176</t>
        </is>
      </c>
      <c r="C141" s="16" t="inlineStr">
        <is>
          <t>Linkbits Altavoz Bluetooth Portátil - Luces LED RGB 360°, Bajos Potentes de 24W, Estéreo TWS y Asa para Exterior/Fiestas</t>
        </is>
      </c>
      <c r="D141" s="17" t="n">
        <v>127.91</v>
      </c>
      <c r="E141" s="18" t="n">
        <v>0.001359012791102244</v>
      </c>
      <c r="F141" s="16" t="n">
        <v>1</v>
      </c>
      <c r="G141" s="16" t="n">
        <v>1</v>
      </c>
      <c r="H141" s="16" t="n">
        <v>1</v>
      </c>
      <c r="I141" s="17" t="n">
        <v>127.91</v>
      </c>
      <c r="J141" s="17" t="n">
        <v>127.91</v>
      </c>
      <c r="K141" s="17" t="n">
        <v>150</v>
      </c>
      <c r="L141" s="17" t="n">
        <v>0</v>
      </c>
    </row>
    <row r="142">
      <c r="A142" s="16" t="inlineStr">
        <is>
          <t>5.15-5.21</t>
        </is>
      </c>
      <c r="B142" s="16" t="inlineStr">
        <is>
          <t>KTS-1678N</t>
        </is>
      </c>
      <c r="C142" s="16" t="inlineStr">
        <is>
          <t>Bocina portátil Inalámbrico, de 3 pulgadas, tamaño de bolsillo, 170 g, con asa, compatible con TF, USB y Micro SD, con radio FM y función TWS (True Wireless Stereo), adecuada para relajarse en casa o viajar al aire libre.</t>
        </is>
      </c>
      <c r="D142" s="17" t="n">
        <v>115.76</v>
      </c>
      <c r="E142" s="18" t="n">
        <v>0.001229919684422011</v>
      </c>
      <c r="F142" s="16" t="n">
        <v>3</v>
      </c>
      <c r="G142" s="16" t="n">
        <v>3</v>
      </c>
      <c r="H142" s="16" t="n">
        <v>3</v>
      </c>
      <c r="I142" s="17" t="n">
        <v>38.59</v>
      </c>
      <c r="J142" s="17" t="n">
        <v>38.59</v>
      </c>
      <c r="K142" s="17" t="n">
        <v>123</v>
      </c>
      <c r="L142" s="17" t="n">
        <v>77.58</v>
      </c>
    </row>
    <row r="143">
      <c r="A143" s="16" t="inlineStr">
        <is>
          <t>5.15-5.21</t>
        </is>
      </c>
      <c r="B143" s="16" t="inlineStr">
        <is>
          <t>KTS-1943-R</t>
        </is>
      </c>
      <c r="C143" s="16" t="inlineStr">
        <is>
          <t>Altavoz Mini Karaoke Portátil BT con Micrófono Inalámbrico, Función TWS, Radio FM, USB/TF, Batería de Larga Duración, Perfecto para Casa, Exterior y Regalos Especiales</t>
        </is>
      </c>
      <c r="D143" s="17" t="n">
        <v>75.27</v>
      </c>
      <c r="E143" s="18" t="n">
        <v>0.0007996865364520873</v>
      </c>
      <c r="F143" s="16" t="n">
        <v>1</v>
      </c>
      <c r="G143" s="16" t="n">
        <v>1</v>
      </c>
      <c r="H143" s="16" t="n">
        <v>1</v>
      </c>
      <c r="I143" s="17" t="n">
        <v>75.27</v>
      </c>
      <c r="J143" s="17" t="n">
        <v>75.27</v>
      </c>
      <c r="K143" s="17" t="n">
        <v>75</v>
      </c>
      <c r="L143" s="17" t="n">
        <v>25.86</v>
      </c>
    </row>
    <row r="144">
      <c r="A144" s="16" t="inlineStr">
        <is>
          <t>5.15-5.21</t>
        </is>
      </c>
      <c r="B144" s="16" t="inlineStr">
        <is>
          <t>T2835CM16A</t>
        </is>
      </c>
      <c r="C144" s="16" t="inlineStr">
        <is>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is>
      </c>
      <c r="D144" s="17" t="n">
        <v>72.45</v>
      </c>
      <c r="E144" s="18" t="n">
        <v>0.0007697636212094719</v>
      </c>
      <c r="F144" s="16" t="n">
        <v>1</v>
      </c>
      <c r="G144" s="16" t="n">
        <v>1</v>
      </c>
      <c r="H144" s="16" t="n">
        <v>1</v>
      </c>
      <c r="I144" s="17" t="n">
        <v>72.45</v>
      </c>
      <c r="J144" s="17" t="n">
        <v>72.45</v>
      </c>
      <c r="K144" s="17" t="n">
        <v>72</v>
      </c>
      <c r="L144" s="17" t="n">
        <v>25.86</v>
      </c>
    </row>
    <row r="145">
      <c r="A145" s="16" t="inlineStr">
        <is>
          <t>5.15-5.21</t>
        </is>
      </c>
      <c r="B145" s="16" t="inlineStr">
        <is>
          <t>KTS-1943-V</t>
        </is>
      </c>
      <c r="C145" s="16" t="inlineStr">
        <is>
          <t>Altavoz Mini Karaoke Portátil BT con Micrófono Inalámbrico, Función TWS, Radio FM, USB/TF, Batería de Larga Duración, Perfecto para Casa, Exterior y Regalos Especiales</t>
        </is>
      </c>
      <c r="D145" s="17" t="n">
        <v>70.70999999999999</v>
      </c>
      <c r="E145" s="18" t="n">
        <v>0.0007513241014837471</v>
      </c>
      <c r="F145" s="16" t="n">
        <v>1</v>
      </c>
      <c r="G145" s="16" t="n">
        <v>1</v>
      </c>
      <c r="H145" s="16" t="n">
        <v>1</v>
      </c>
      <c r="I145" s="17" t="n">
        <v>70.70999999999999</v>
      </c>
      <c r="J145" s="17" t="n">
        <v>70.70999999999999</v>
      </c>
      <c r="K145" s="17" t="n">
        <v>75</v>
      </c>
      <c r="L145" s="17" t="n">
        <v>25.86</v>
      </c>
    </row>
    <row r="146">
      <c r="A146" s="16" t="inlineStr">
        <is>
          <t>5.15-5.21</t>
        </is>
      </c>
      <c r="B146" s="16" t="inlineStr">
        <is>
          <t>KTS-1943-N</t>
        </is>
      </c>
      <c r="C146" s="16" t="inlineStr">
        <is>
          <t>Altavoz Mini Karaoke Portátil BT con Micrófono Inalámbrico, Función TWS, Radio FM, USB/TF, Batería de Larga Duración, Perfecto para Casa, Exterior y Regalos Especiales</t>
        </is>
      </c>
      <c r="D146" s="17" t="n">
        <v>67.34999999999999</v>
      </c>
      <c r="E146" s="18" t="n">
        <v>0.0007156169888693745</v>
      </c>
      <c r="F146" s="16" t="n">
        <v>1</v>
      </c>
      <c r="G146" s="16" t="n">
        <v>1</v>
      </c>
      <c r="H146" s="16" t="n">
        <v>1</v>
      </c>
      <c r="I146" s="17" t="n">
        <v>67.34999999999999</v>
      </c>
      <c r="J146" s="17" t="n">
        <v>67.34999999999999</v>
      </c>
      <c r="K146" s="17" t="n">
        <v>67.5</v>
      </c>
      <c r="L146" s="17" t="n">
        <v>25.86</v>
      </c>
    </row>
    <row r="147">
      <c r="A147" s="16" t="inlineStr">
        <is>
          <t>5.15-5.21</t>
        </is>
      </c>
      <c r="B147" s="16" t="inlineStr">
        <is>
          <t>KTS-1943-Y</t>
        </is>
      </c>
      <c r="C147" s="16" t="inlineStr">
        <is>
          <t>Altavoz Mini Karaoke Portátil BT con Micrófono Inalámbrico, Función TWS, Radio FM, USB/TF, Batería de Larga Duración, Perfecto para Casa, Exterior y Regalos Especiales</t>
        </is>
      </c>
      <c r="D147" s="17" t="n">
        <v>67.34999999999999</v>
      </c>
      <c r="E147" s="18" t="n">
        <v>0.0007156169888693745</v>
      </c>
      <c r="F147" s="16" t="n">
        <v>1</v>
      </c>
      <c r="G147" s="16" t="n">
        <v>1</v>
      </c>
      <c r="H147" s="16" t="n">
        <v>1</v>
      </c>
      <c r="I147" s="17" t="n">
        <v>67.34999999999999</v>
      </c>
      <c r="J147" s="17" t="n">
        <v>67.34999999999999</v>
      </c>
      <c r="K147" s="17" t="n">
        <v>67.5</v>
      </c>
      <c r="L147" s="17" t="n">
        <v>25.86</v>
      </c>
    </row>
    <row r="148">
      <c r="A148" s="16" t="inlineStr">
        <is>
          <t>5.15-5.21</t>
        </is>
      </c>
      <c r="B148" s="16" t="inlineStr">
        <is>
          <t>MB-183R</t>
        </is>
      </c>
      <c r="C148" s="16" t="inlineStr">
        <is>
          <t>Linkbits Altavoz Bluetooth Portátil con Stereo Inalámbrico TWS Impermeable y a Prueba de Polvo IP65 Altavoz de Graves de Rango Completo de 52mm con Doble Unidad Ligero de 215g para Camping Senderismo y Fiestas al Aire Libre</t>
        </is>
      </c>
      <c r="D148" s="17" t="n">
        <v>58.34</v>
      </c>
      <c r="E148" s="18" t="n">
        <v>0.0006198924535810246</v>
      </c>
      <c r="F148" s="16" t="n">
        <v>1</v>
      </c>
      <c r="G148" s="16" t="n">
        <v>1</v>
      </c>
      <c r="H148" s="16" t="n">
        <v>1</v>
      </c>
      <c r="I148" s="17" t="n">
        <v>58.34</v>
      </c>
      <c r="J148" s="17" t="n">
        <v>58.34</v>
      </c>
      <c r="K148" s="17" t="n">
        <v>84.90000000000001</v>
      </c>
      <c r="L148" s="17" t="n">
        <v>0</v>
      </c>
    </row>
    <row r="149">
      <c r="A149" s="16" t="inlineStr">
        <is>
          <t>5.15-5.21</t>
        </is>
      </c>
      <c r="B149" s="16" t="inlineStr">
        <is>
          <t>VA396T</t>
        </is>
      </c>
      <c r="C149"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D149" s="17" t="n">
        <v>53.89</v>
      </c>
      <c r="E149" s="18" t="n">
        <v>0.0005726243836554672</v>
      </c>
      <c r="F149" s="16" t="n">
        <v>2</v>
      </c>
      <c r="G149" s="16" t="n">
        <v>1</v>
      </c>
      <c r="H149" s="16" t="n">
        <v>1</v>
      </c>
      <c r="I149" s="17" t="n">
        <v>53.89</v>
      </c>
      <c r="J149" s="17" t="n">
        <v>26.95</v>
      </c>
      <c r="K149" s="17" t="n">
        <v>82</v>
      </c>
      <c r="L149" s="17" t="n">
        <v>0</v>
      </c>
    </row>
    <row r="150">
      <c r="A150" s="16" t="inlineStr">
        <is>
          <t>5.15-5.21</t>
        </is>
      </c>
      <c r="B150" s="16" t="inlineStr">
        <is>
          <t>VA384T-G</t>
        </is>
      </c>
      <c r="C150" s="16" t="inlineStr">
        <is>
          <t>Bocina Portátil Bluetooth de 3 Pulgadas con Radio FM, USB TF TWS, Sonido Estéreo 5W, Bocina Recargable para Hogar Exterior Viaje Fiesta Camping</t>
        </is>
      </c>
      <c r="D150" s="17" t="n">
        <v>47.57</v>
      </c>
      <c r="E150" s="18" t="n">
        <v>0.000505393714112118</v>
      </c>
      <c r="F150" s="16" t="n">
        <v>1</v>
      </c>
      <c r="G150" s="16" t="n">
        <v>1</v>
      </c>
      <c r="H150" s="16" t="n">
        <v>1</v>
      </c>
      <c r="I150" s="17" t="n">
        <v>47.57</v>
      </c>
      <c r="J150" s="17" t="n">
        <v>47.57</v>
      </c>
      <c r="K150" s="17" t="n">
        <v>49</v>
      </c>
      <c r="L150" s="17" t="n">
        <v>25.86</v>
      </c>
    </row>
    <row r="151">
      <c r="A151" s="16" t="inlineStr">
        <is>
          <t>5.22-5.28</t>
        </is>
      </c>
      <c r="B151" s="16" t="inlineStr">
        <is>
          <t>LB02235-negro</t>
        </is>
      </c>
      <c r="C151" s="16" t="inlineStr">
        <is>
          <t>Audífonos Inalámbricos para la Cabeza, Recargables y Multifuncionales - Conectan a Varios Dispositivos, soportan Radio FM, Tarjeta TF y AUX - 4 Horas de Reproducción Musical - Ideal para Trabajo Cotidiano, Juegos y Estudio</t>
        </is>
      </c>
      <c r="D151" s="17" t="n">
        <v>5590.49</v>
      </c>
      <c r="E151" s="18" t="n">
        <v>0.07797546264996005</v>
      </c>
      <c r="F151" s="16" t="n">
        <v>178</v>
      </c>
      <c r="G151" s="16" t="n">
        <v>143</v>
      </c>
      <c r="H151" s="16" t="n">
        <v>143</v>
      </c>
      <c r="I151" s="17" t="n">
        <v>39.09</v>
      </c>
      <c r="J151" s="17" t="n">
        <v>31.41</v>
      </c>
      <c r="K151" s="17" t="n">
        <v>6572.24</v>
      </c>
      <c r="L151" s="17" t="n">
        <v>3092.81</v>
      </c>
    </row>
    <row r="152">
      <c r="A152" s="16" t="inlineStr">
        <is>
          <t>5.22-5.28</t>
        </is>
      </c>
      <c r="B152" s="16" t="inlineStr">
        <is>
          <t>VA880T</t>
        </is>
      </c>
      <c r="C15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D152" s="17" t="n">
        <v>4831.96</v>
      </c>
      <c r="E152" s="18" t="n">
        <v>0.06739556834791351</v>
      </c>
      <c r="F152" s="16" t="n">
        <v>42</v>
      </c>
      <c r="G152" s="16" t="n">
        <v>29</v>
      </c>
      <c r="H152" s="16" t="n">
        <v>29</v>
      </c>
      <c r="I152" s="17" t="n">
        <v>166.62</v>
      </c>
      <c r="J152" s="17" t="n">
        <v>115.05</v>
      </c>
      <c r="K152" s="17" t="n">
        <v>4872.52</v>
      </c>
      <c r="L152" s="17" t="n">
        <v>594.78</v>
      </c>
    </row>
    <row r="153">
      <c r="A153" s="16" t="inlineStr">
        <is>
          <t>5.22-5.28</t>
        </is>
      </c>
      <c r="B153" s="16" t="inlineStr">
        <is>
          <t>LV64W25</t>
        </is>
      </c>
      <c r="C153" s="16" t="inlineStr">
        <is>
          <t>Ventilador de Techo LED TIANLAI con 5 Aspas, Control Remoto, 3 Colores Luz, 3 Velocidades, Temporizador, Fácil Instalación, E27 para Baño Cocina Dormitorio Salón</t>
        </is>
      </c>
      <c r="D153" s="17" t="n">
        <v>4046.81</v>
      </c>
      <c r="E153" s="18" t="n">
        <v>0.05644441371355804</v>
      </c>
      <c r="F153" s="16" t="n">
        <v>37</v>
      </c>
      <c r="G153" s="16" t="n">
        <v>14</v>
      </c>
      <c r="H153" s="16" t="n">
        <v>14</v>
      </c>
      <c r="I153" s="17" t="n">
        <v>289.06</v>
      </c>
      <c r="J153" s="17" t="n">
        <v>109.37</v>
      </c>
      <c r="K153" s="17" t="n">
        <v>4052.89</v>
      </c>
      <c r="L153" s="17" t="n">
        <v>155.16</v>
      </c>
    </row>
    <row r="154">
      <c r="A154" s="16" t="inlineStr">
        <is>
          <t>5.22-5.28</t>
        </is>
      </c>
      <c r="B154" s="16" t="inlineStr">
        <is>
          <t>SA8056T</t>
        </is>
      </c>
      <c r="C15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D154" s="17" t="n">
        <v>3813.87</v>
      </c>
      <c r="E154" s="18" t="n">
        <v>0.05319536938581124</v>
      </c>
      <c r="F154" s="16" t="n">
        <v>31</v>
      </c>
      <c r="G154" s="16" t="n">
        <v>27</v>
      </c>
      <c r="H154" s="16" t="n">
        <v>27</v>
      </c>
      <c r="I154" s="17" t="n">
        <v>141.25</v>
      </c>
      <c r="J154" s="17" t="n">
        <v>123.03</v>
      </c>
      <c r="K154" s="17" t="n">
        <v>3843.2</v>
      </c>
      <c r="L154" s="17" t="n">
        <v>594.78</v>
      </c>
    </row>
    <row r="155">
      <c r="A155" s="16" t="inlineStr">
        <is>
          <t>5.22-5.28</t>
        </is>
      </c>
      <c r="B155" s="16" t="inlineStr">
        <is>
          <t>SA325T</t>
        </is>
      </c>
      <c r="C155" s="16" t="inlineStr">
        <is>
          <t>Subwoofer Portátil Inalámbrico con Luces RGB, Sonido de Alta Potencia y Batería Duradera, TWS TF USB, Perfecto para Campamento Fiestas y Entretenimiento en Casa</t>
        </is>
      </c>
      <c r="D155" s="17" t="n">
        <v>3708.39</v>
      </c>
      <c r="E155" s="18" t="n">
        <v>0.05172410506936179</v>
      </c>
      <c r="F155" s="16" t="n">
        <v>110</v>
      </c>
      <c r="G155" s="16" t="n">
        <v>64</v>
      </c>
      <c r="H155" s="16" t="n">
        <v>64</v>
      </c>
      <c r="I155" s="17" t="n">
        <v>57.94</v>
      </c>
      <c r="J155" s="17" t="n">
        <v>33.71</v>
      </c>
      <c r="K155" s="17" t="n">
        <v>4091.52</v>
      </c>
      <c r="L155" s="17" t="n">
        <v>1376.85</v>
      </c>
    </row>
    <row r="156">
      <c r="A156" s="16" t="inlineStr">
        <is>
          <t>5.22-5.28</t>
        </is>
      </c>
      <c r="B156" s="16" t="inlineStr">
        <is>
          <t>LV34W04</t>
        </is>
      </c>
      <c r="C15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D156" s="17" t="n">
        <v>3332.99</v>
      </c>
      <c r="E156" s="18" t="n">
        <v>0.04648806331402631</v>
      </c>
      <c r="F156" s="16" t="n">
        <v>13</v>
      </c>
      <c r="G156" s="16" t="n">
        <v>10</v>
      </c>
      <c r="H156" s="16" t="n">
        <v>10</v>
      </c>
      <c r="I156" s="17" t="n">
        <v>333.3</v>
      </c>
      <c r="J156" s="17" t="n">
        <v>256.38</v>
      </c>
      <c r="K156" s="17" t="n">
        <v>3391</v>
      </c>
      <c r="L156" s="17" t="n">
        <v>51.72</v>
      </c>
    </row>
    <row r="157">
      <c r="A157" s="16" t="inlineStr">
        <is>
          <t>5.22-5.28</t>
        </is>
      </c>
      <c r="B157" s="16" t="inlineStr">
        <is>
          <t>VB347T</t>
        </is>
      </c>
      <c r="C15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157" s="17" t="n">
        <v>3164.71</v>
      </c>
      <c r="E157" s="18" t="n">
        <v>0.04414102801374681</v>
      </c>
      <c r="F157" s="16" t="n">
        <v>43</v>
      </c>
      <c r="G157" s="16" t="n">
        <v>35</v>
      </c>
      <c r="H157" s="16" t="n">
        <v>35</v>
      </c>
      <c r="I157" s="17" t="n">
        <v>90.42</v>
      </c>
      <c r="J157" s="17" t="n">
        <v>73.59999999999999</v>
      </c>
      <c r="K157" s="17" t="n">
        <v>3427.7</v>
      </c>
      <c r="L157" s="17" t="n">
        <v>711.58</v>
      </c>
    </row>
    <row r="158">
      <c r="A158" s="16" t="inlineStr">
        <is>
          <t>5.22-5.28</t>
        </is>
      </c>
      <c r="B158" s="16" t="inlineStr">
        <is>
          <t>LB02235-rojo</t>
        </is>
      </c>
      <c r="C158" s="16" t="inlineStr">
        <is>
          <t>Audífonos Inalámbricos para la Cabeza, Recargables y Multifuncionales - Conectan a Varios Dispositivos, soportan Radio FM, Tarjeta TF y AUX - 4 Horas de Reproducción Musical - Ideal para Trabajo Cotidiano, Juegos y Estudio</t>
        </is>
      </c>
      <c r="D158" s="17" t="n">
        <v>3004.85</v>
      </c>
      <c r="E158" s="18" t="n">
        <v>0.04191129782284192</v>
      </c>
      <c r="F158" s="16" t="n">
        <v>102</v>
      </c>
      <c r="G158" s="16" t="n">
        <v>95</v>
      </c>
      <c r="H158" s="16" t="n">
        <v>95</v>
      </c>
      <c r="I158" s="17" t="n">
        <v>31.63</v>
      </c>
      <c r="J158" s="17" t="n">
        <v>29.46</v>
      </c>
      <c r="K158" s="17" t="n">
        <v>3753.6</v>
      </c>
      <c r="L158" s="17" t="n">
        <v>1935.93</v>
      </c>
    </row>
    <row r="159">
      <c r="A159" s="16" t="inlineStr">
        <is>
          <t>5.22-5.28</t>
        </is>
      </c>
      <c r="B159" s="16" t="inlineStr">
        <is>
          <t>MCM-001A</t>
        </is>
      </c>
      <c r="C159" s="16" t="inlineStr">
        <is>
          <t>Musicord Altavoz Inalámbrico BT Portátil: ¡Sonido impactante, luces LED multicolores y 4 horas de autonomía! Compatible con TWS, FM, TF y USB – Imprescindible para fiestas y viajes</t>
        </is>
      </c>
      <c r="D159" s="17" t="n">
        <v>2699.23</v>
      </c>
      <c r="E159" s="18" t="n">
        <v>0.03764856872029874</v>
      </c>
      <c r="F159" s="16" t="n">
        <v>62</v>
      </c>
      <c r="G159" s="16" t="n">
        <v>45</v>
      </c>
      <c r="H159" s="16" t="n">
        <v>45</v>
      </c>
      <c r="I159" s="17" t="n">
        <v>59.98</v>
      </c>
      <c r="J159" s="17" t="n">
        <v>43.54</v>
      </c>
      <c r="K159" s="17" t="n">
        <v>3166.34</v>
      </c>
      <c r="L159" s="17" t="n">
        <v>751.97</v>
      </c>
    </row>
    <row r="160">
      <c r="A160" s="16" t="inlineStr">
        <is>
          <t>5.22-5.28</t>
        </is>
      </c>
      <c r="B160" s="16" t="inlineStr">
        <is>
          <t>MCM-001G</t>
        </is>
      </c>
      <c r="C160" s="16" t="inlineStr">
        <is>
          <t>Musicord Altavoz Inalámbrico BT Portátil: ¡Sonido impactante, luces LED multicolores y 4 horas de autonomía! Compatible con TWS, FM, TF y USB – Imprescindible para fiestas y viajes</t>
        </is>
      </c>
      <c r="D160" s="17" t="n">
        <v>2627.17</v>
      </c>
      <c r="E160" s="18" t="n">
        <v>0.03664348002039997</v>
      </c>
      <c r="F160" s="16" t="n">
        <v>59</v>
      </c>
      <c r="G160" s="16" t="n">
        <v>47</v>
      </c>
      <c r="H160" s="16" t="n">
        <v>47</v>
      </c>
      <c r="I160" s="17" t="n">
        <v>55.9</v>
      </c>
      <c r="J160" s="17" t="n">
        <v>44.53</v>
      </c>
      <c r="K160" s="17" t="n">
        <v>3011.52</v>
      </c>
      <c r="L160" s="17" t="n">
        <v>903.59</v>
      </c>
    </row>
    <row r="161">
      <c r="A161" s="16" t="inlineStr">
        <is>
          <t>5.22-5.28</t>
        </is>
      </c>
      <c r="B161" s="16" t="inlineStr">
        <is>
          <t>LB02235-blanco</t>
        </is>
      </c>
      <c r="C161" s="16" t="inlineStr">
        <is>
          <t>Audífonos Inalámbricos para la Cabeza, Recargables y Multifuncionales - Conectan a Varios Dispositivos, soportan Radio FM, Tarjeta TF y AUX - 4 Horas de Reproducción Musical - Ideal para Trabajo Cotidiano, Juegos y Estudio</t>
        </is>
      </c>
      <c r="D161" s="17" t="n">
        <v>2534.07</v>
      </c>
      <c r="E161" s="18" t="n">
        <v>0.03534485063567028</v>
      </c>
      <c r="F161" s="16" t="n">
        <v>84</v>
      </c>
      <c r="G161" s="16" t="n">
        <v>65</v>
      </c>
      <c r="H161" s="16" t="n">
        <v>66</v>
      </c>
      <c r="I161" s="17" t="n">
        <v>38.99</v>
      </c>
      <c r="J161" s="17" t="n">
        <v>30.17</v>
      </c>
      <c r="K161" s="17" t="n">
        <v>3098.48</v>
      </c>
      <c r="L161" s="17" t="n">
        <v>1263.73</v>
      </c>
    </row>
    <row r="162">
      <c r="A162" s="16" t="inlineStr">
        <is>
          <t>5.22-5.28</t>
        </is>
      </c>
      <c r="B162" s="16" t="inlineStr">
        <is>
          <t>MB-185N</t>
        </is>
      </c>
      <c r="C162" s="16" t="inlineStr">
        <is>
          <t>Bocina Radio FM/Reproductor, Compatible con Tarjeta TF, USB, Bluetooth, Aplicable para celular, computadora, Ipad y consola.</t>
        </is>
      </c>
      <c r="D162" s="17" t="n">
        <v>2489.52</v>
      </c>
      <c r="E162" s="18" t="n">
        <v>0.03472345819275785</v>
      </c>
      <c r="F162" s="16" t="n">
        <v>34</v>
      </c>
      <c r="G162" s="16" t="n">
        <v>32</v>
      </c>
      <c r="H162" s="16" t="n">
        <v>32</v>
      </c>
      <c r="I162" s="17" t="n">
        <v>77.8</v>
      </c>
      <c r="J162" s="17" t="n">
        <v>73.22</v>
      </c>
      <c r="K162" s="17" t="n">
        <v>2516.72</v>
      </c>
      <c r="L162" s="17" t="n">
        <v>801.66</v>
      </c>
    </row>
    <row r="163">
      <c r="A163" s="16" t="inlineStr">
        <is>
          <t>5.22-5.28</t>
        </is>
      </c>
      <c r="B163" s="16" t="inlineStr">
        <is>
          <t>MB-178-N</t>
        </is>
      </c>
      <c r="C163" s="16" t="inlineStr">
        <is>
          <t>Bocina de Barra Bluetooth LINK BITS con dos altavoces, sonido de alta calidad y multifuncional (Bluetooth, Radio FM, USB, TF, AUX, TWS), ideal para juegos, reuniones, oficina y cine en casa.</t>
        </is>
      </c>
      <c r="D163" s="17" t="n">
        <v>2315.98</v>
      </c>
      <c r="E163" s="18" t="n">
        <v>0.03230302499383537</v>
      </c>
      <c r="F163" s="16" t="n">
        <v>19</v>
      </c>
      <c r="G163" s="16" t="n">
        <v>16</v>
      </c>
      <c r="H163" s="16" t="n">
        <v>16</v>
      </c>
      <c r="I163" s="17" t="n">
        <v>144.75</v>
      </c>
      <c r="J163" s="17" t="n">
        <v>121.89</v>
      </c>
      <c r="K163" s="17" t="n">
        <v>2355</v>
      </c>
      <c r="L163" s="17" t="n">
        <v>310.32</v>
      </c>
    </row>
    <row r="164">
      <c r="A164" s="16" t="inlineStr">
        <is>
          <t>5.22-5.28</t>
        </is>
      </c>
      <c r="B164" s="16" t="inlineStr">
        <is>
          <t>MB-185A</t>
        </is>
      </c>
      <c r="C164" s="16" t="inlineStr">
        <is>
          <t>Bocina Radio FM/Reproductor, Compatible con Tarjeta TF, USB, Bluetooth, Aplicable para celular, computadora, Ipad y consola.</t>
        </is>
      </c>
      <c r="D164" s="17" t="n">
        <v>2112.5</v>
      </c>
      <c r="E164" s="18" t="n">
        <v>0.02946494780680002</v>
      </c>
      <c r="F164" s="16" t="n">
        <v>30</v>
      </c>
      <c r="G164" s="16" t="n">
        <v>27</v>
      </c>
      <c r="H164" s="16" t="n">
        <v>27</v>
      </c>
      <c r="I164" s="17" t="n">
        <v>78.23999999999999</v>
      </c>
      <c r="J164" s="17" t="n">
        <v>70.42</v>
      </c>
      <c r="K164" s="17" t="n">
        <v>2211.55</v>
      </c>
      <c r="L164" s="17" t="n">
        <v>607.28</v>
      </c>
    </row>
    <row r="165">
      <c r="A165" s="16" t="inlineStr">
        <is>
          <t>5.22-5.28</t>
        </is>
      </c>
      <c r="B165" s="16" t="inlineStr">
        <is>
          <t>FA028</t>
        </is>
      </c>
      <c r="C165" s="16" t="inlineStr">
        <is>
          <t>Extractor de agua para garrafas de agua, compatible con carga USB, extractor de agua automático, práctico, con dos modos de toma de agua: manual y programado, ideal para dormitorios, salones, oficinas, uso al aire libre y otros escenarios.</t>
        </is>
      </c>
      <c r="D165" s="17" t="n">
        <v>1852.94</v>
      </c>
      <c r="E165" s="18" t="n">
        <v>0.0258445859604599</v>
      </c>
      <c r="F165" s="16" t="n">
        <v>67</v>
      </c>
      <c r="G165" s="16" t="n">
        <v>54</v>
      </c>
      <c r="H165" s="16" t="n">
        <v>54</v>
      </c>
      <c r="I165" s="17" t="n">
        <v>34.31</v>
      </c>
      <c r="J165" s="17" t="n">
        <v>27.66</v>
      </c>
      <c r="K165" s="17" t="n">
        <v>2030</v>
      </c>
      <c r="L165" s="17" t="n">
        <v>1338.89</v>
      </c>
    </row>
    <row r="166">
      <c r="A166" s="16" t="inlineStr">
        <is>
          <t>5.22-5.28</t>
        </is>
      </c>
      <c r="B166" s="16" t="inlineStr">
        <is>
          <t>LB02235-azul</t>
        </is>
      </c>
      <c r="C166" s="16" t="inlineStr">
        <is>
          <t>Audífonos Inalámbricos para la Cabeza, Recargables y Multifuncionales - Conectan a Varios Dispositivos, soportan Radio FM, Tarjeta TF y AUX - 4 Horas de Reproducción Musical - Ideal para Trabajo Cotidiano, Juegos y Estudio</t>
        </is>
      </c>
      <c r="D166" s="17" t="n">
        <v>1851.3</v>
      </c>
      <c r="E166" s="18" t="n">
        <v>0.02582176375122543</v>
      </c>
      <c r="F166" s="16" t="n">
        <v>67</v>
      </c>
      <c r="G166" s="16" t="n">
        <v>60</v>
      </c>
      <c r="H166" s="16" t="n">
        <v>61</v>
      </c>
      <c r="I166" s="17" t="n">
        <v>30.86</v>
      </c>
      <c r="J166" s="17" t="n">
        <v>27.63</v>
      </c>
      <c r="K166" s="17" t="n">
        <v>2437.71</v>
      </c>
      <c r="L166" s="17" t="n">
        <v>1138.65</v>
      </c>
    </row>
    <row r="167">
      <c r="A167" s="16" t="inlineStr">
        <is>
          <t>5.22-5.28</t>
        </is>
      </c>
      <c r="B167" s="16" t="inlineStr">
        <is>
          <t>HD005</t>
        </is>
      </c>
      <c r="C167" s="16" t="inlineStr">
        <is>
          <t>Link bits HD005 Antena UHF para Exteriores, Antena de TV Digital HD con 10 Metros de Cable, Recepción 470-862MHz, 9-7dB de Ganancia, Antena para Canales Abiertos y HD, Resistente al Agua y Viento, Fácil Instalación</t>
        </is>
      </c>
      <c r="D167" s="17" t="n">
        <v>1747.22</v>
      </c>
      <c r="E167" s="18" t="n">
        <v>0.02436998740467204</v>
      </c>
      <c r="F167" s="16" t="n">
        <v>24</v>
      </c>
      <c r="G167" s="16" t="n">
        <v>18</v>
      </c>
      <c r="H167" s="16" t="n">
        <v>18</v>
      </c>
      <c r="I167" s="17" t="n">
        <v>97.06999999999999</v>
      </c>
      <c r="J167" s="17" t="n">
        <v>72.8</v>
      </c>
      <c r="K167" s="17" t="n">
        <v>1795</v>
      </c>
      <c r="L167" s="17" t="n">
        <v>387.9</v>
      </c>
    </row>
    <row r="168">
      <c r="A168" s="16" t="inlineStr">
        <is>
          <t>5.22-5.28</t>
        </is>
      </c>
      <c r="B168" s="16" t="inlineStr">
        <is>
          <t>MCM-001N</t>
        </is>
      </c>
      <c r="C168" s="16" t="inlineStr">
        <is>
          <t>Musicord Altavoz Inalámbrico BT Portátil: ¡Sonido impactante, luces LED multicolores y 4 horas de autonomía! Compatible con TWS, FM, TF y USB – Imprescindible para fiestas y viajes</t>
        </is>
      </c>
      <c r="D168" s="17" t="n">
        <v>1493.72</v>
      </c>
      <c r="E168" s="18" t="n">
        <v>0.02083423057393129</v>
      </c>
      <c r="F168" s="16" t="n">
        <v>27</v>
      </c>
      <c r="G168" s="16" t="n">
        <v>23</v>
      </c>
      <c r="H168" s="16" t="n">
        <v>23</v>
      </c>
      <c r="I168" s="17" t="n">
        <v>64.94</v>
      </c>
      <c r="J168" s="17" t="n">
        <v>55.32</v>
      </c>
      <c r="K168" s="17" t="n">
        <v>1640.5</v>
      </c>
      <c r="L168" s="17" t="n">
        <v>470.4</v>
      </c>
    </row>
    <row r="169">
      <c r="A169" s="16" t="inlineStr">
        <is>
          <t>5.22-5.28</t>
        </is>
      </c>
      <c r="B169" s="16" t="inlineStr">
        <is>
          <t>MB-185R</t>
        </is>
      </c>
      <c r="C169" s="16" t="inlineStr">
        <is>
          <t>Bocina Radio FM/Reproductor, Compatible con Tarjeta TF, USB, Bluetooth, Aplicable para celular, computadora, Ipad y consola.</t>
        </is>
      </c>
      <c r="D169" s="17" t="n">
        <v>1345.8</v>
      </c>
      <c r="E169" s="18" t="n">
        <v>0.01877101638231459</v>
      </c>
      <c r="F169" s="16" t="n">
        <v>19</v>
      </c>
      <c r="G169" s="16" t="n">
        <v>17</v>
      </c>
      <c r="H169" s="16" t="n">
        <v>17</v>
      </c>
      <c r="I169" s="17" t="n">
        <v>79.16</v>
      </c>
      <c r="J169" s="17" t="n">
        <v>70.83</v>
      </c>
      <c r="K169" s="17" t="n">
        <v>1400.36</v>
      </c>
      <c r="L169" s="17" t="n">
        <v>387.9</v>
      </c>
    </row>
    <row r="170">
      <c r="A170" s="16" t="inlineStr">
        <is>
          <t>5.22-5.28</t>
        </is>
      </c>
      <c r="B170" s="16" t="inlineStr">
        <is>
          <t>MCM-001R</t>
        </is>
      </c>
      <c r="C170" s="16" t="inlineStr">
        <is>
          <t>Musicord Altavoz Inalámbrico BT Portátil: ¡Sonido impactante, luces LED multicolores y 4 horas de autonomía! Compatible con TWS, FM, TF y USB – Imprescindible para fiestas y viajes</t>
        </is>
      </c>
      <c r="D170" s="17" t="n">
        <v>1292.82</v>
      </c>
      <c r="E170" s="18" t="n">
        <v>0.01803212007281953</v>
      </c>
      <c r="F170" s="16" t="n">
        <v>21</v>
      </c>
      <c r="G170" s="16" t="n">
        <v>21</v>
      </c>
      <c r="H170" s="16" t="n">
        <v>21</v>
      </c>
      <c r="I170" s="17" t="n">
        <v>61.56</v>
      </c>
      <c r="J170" s="17" t="n">
        <v>61.56</v>
      </c>
      <c r="K170" s="17" t="n">
        <v>1394.5</v>
      </c>
      <c r="L170" s="17" t="n">
        <v>465.48</v>
      </c>
    </row>
    <row r="171">
      <c r="A171" s="16" t="inlineStr">
        <is>
          <t>5.22-5.28</t>
        </is>
      </c>
      <c r="B171" s="16" t="inlineStr">
        <is>
          <t>SA323T</t>
        </is>
      </c>
      <c r="C171" s="16" t="inlineStr">
        <is>
          <t>Linkbits Bocina Portátil Parlantes BT Portátiles con Iluminación de Ambiente | 1 Hora de Duración, FM, TWS, TF/Micro SD | Ideal para Hogar, Fiestas y Viajes</t>
        </is>
      </c>
      <c r="D171" s="17" t="n">
        <v>1237.06</v>
      </c>
      <c r="E171" s="18" t="n">
        <v>0.01725435591955778</v>
      </c>
      <c r="F171" s="16" t="n">
        <v>30</v>
      </c>
      <c r="G171" s="16" t="n">
        <v>23</v>
      </c>
      <c r="H171" s="16" t="n">
        <v>23</v>
      </c>
      <c r="I171" s="17" t="n">
        <v>53.79</v>
      </c>
      <c r="J171" s="17" t="n">
        <v>41.24</v>
      </c>
      <c r="K171" s="17" t="n">
        <v>1360.9</v>
      </c>
      <c r="L171" s="17" t="n">
        <v>504.68</v>
      </c>
    </row>
    <row r="172">
      <c r="A172" s="16" t="inlineStr">
        <is>
          <t>5.22-5.28</t>
        </is>
      </c>
      <c r="B172" s="16" t="inlineStr">
        <is>
          <t>S09W18IB</t>
        </is>
      </c>
      <c r="C17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172" s="17" t="n">
        <v>1153.54</v>
      </c>
      <c r="E172" s="18" t="n">
        <v>0.01608949153060004</v>
      </c>
      <c r="F172" s="16" t="n">
        <v>39</v>
      </c>
      <c r="G172" s="16" t="n">
        <v>19</v>
      </c>
      <c r="H172" s="16" t="n">
        <v>19</v>
      </c>
      <c r="I172" s="17" t="n">
        <v>60.71</v>
      </c>
      <c r="J172" s="17" t="n">
        <v>29.58</v>
      </c>
      <c r="K172" s="17" t="n">
        <v>1176</v>
      </c>
      <c r="L172" s="17" t="n">
        <v>491.36</v>
      </c>
    </row>
    <row r="173">
      <c r="A173" s="16" t="inlineStr">
        <is>
          <t>5.22-5.28</t>
        </is>
      </c>
      <c r="B173" s="16" t="inlineStr">
        <is>
          <t>S39W48-5PZS</t>
        </is>
      </c>
      <c r="C17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173" s="17" t="n">
        <v>1153.28</v>
      </c>
      <c r="E173" s="18" t="n">
        <v>0.0160857702377513</v>
      </c>
      <c r="F173" s="16" t="n">
        <v>8</v>
      </c>
      <c r="G173" s="16" t="n">
        <v>5</v>
      </c>
      <c r="H173" s="16" t="n">
        <v>5</v>
      </c>
      <c r="I173" s="17" t="n">
        <v>230.66</v>
      </c>
      <c r="J173" s="17" t="n">
        <v>144.16</v>
      </c>
      <c r="K173" s="17" t="n">
        <v>1200</v>
      </c>
      <c r="L173" s="17" t="n">
        <v>25.86</v>
      </c>
    </row>
    <row r="174">
      <c r="A174" s="16" t="inlineStr">
        <is>
          <t>5.22-5.28</t>
        </is>
      </c>
      <c r="B174" s="16" t="inlineStr">
        <is>
          <t>SA8058T</t>
        </is>
      </c>
      <c r="C174"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D174" s="17" t="n">
        <v>1034.56</v>
      </c>
      <c r="E174" s="18" t="n">
        <v>0.01442990162129818</v>
      </c>
      <c r="F174" s="16" t="n">
        <v>5</v>
      </c>
      <c r="G174" s="16" t="n">
        <v>4</v>
      </c>
      <c r="H174" s="16" t="n">
        <v>4</v>
      </c>
      <c r="I174" s="17" t="n">
        <v>258.64</v>
      </c>
      <c r="J174" s="17" t="n">
        <v>206.91</v>
      </c>
      <c r="K174" s="17" t="n">
        <v>1020</v>
      </c>
      <c r="L174" s="17" t="n">
        <v>77.58</v>
      </c>
    </row>
    <row r="175">
      <c r="A175" s="16" t="inlineStr">
        <is>
          <t>5.22-5.28</t>
        </is>
      </c>
      <c r="B175" s="16" t="inlineStr">
        <is>
          <t>EM04W36</t>
        </is>
      </c>
      <c r="C17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175" s="17" t="n">
        <v>916.77</v>
      </c>
      <c r="E175" s="18" t="n">
        <v>0.01278704288454771</v>
      </c>
      <c r="F175" s="16" t="n">
        <v>16</v>
      </c>
      <c r="G175" s="16" t="n">
        <v>10</v>
      </c>
      <c r="H175" s="16" t="n">
        <v>11</v>
      </c>
      <c r="I175" s="17" t="n">
        <v>91.68000000000001</v>
      </c>
      <c r="J175" s="17" t="n">
        <v>57.3</v>
      </c>
      <c r="K175" s="17" t="n">
        <v>988</v>
      </c>
      <c r="L175" s="17" t="n">
        <v>206.88</v>
      </c>
    </row>
    <row r="176">
      <c r="A176" s="16" t="inlineStr">
        <is>
          <t>5.22-5.28</t>
        </is>
      </c>
      <c r="B176" s="16" t="inlineStr">
        <is>
          <t>KTS-1678Y</t>
        </is>
      </c>
      <c r="C176" s="16" t="inlineStr">
        <is>
          <t>Bocina portátil Inalámbrico, de 3 pulgadas, tamaño de bolsillo, 170 g, con asa, compatible con TF, USB y Micro SD, con radio FM y función TWS (True Wireless Stereo), adecuada para relajarse en casa o viajar al aire libre.</t>
        </is>
      </c>
      <c r="D176" s="17" t="n">
        <v>804.3200000000001</v>
      </c>
      <c r="E176" s="18" t="n">
        <v>0.01121856118721226</v>
      </c>
      <c r="F176" s="16" t="n">
        <v>23</v>
      </c>
      <c r="G176" s="16" t="n">
        <v>23</v>
      </c>
      <c r="H176" s="16" t="n">
        <v>23</v>
      </c>
      <c r="I176" s="17" t="n">
        <v>34.97</v>
      </c>
      <c r="J176" s="17" t="n">
        <v>34.97</v>
      </c>
      <c r="K176" s="17" t="n">
        <v>962.5</v>
      </c>
      <c r="L176" s="17" t="n">
        <v>493.72</v>
      </c>
    </row>
    <row r="177">
      <c r="A177" s="16" t="inlineStr">
        <is>
          <t>5.22-5.28</t>
        </is>
      </c>
      <c r="B177" s="16" t="inlineStr">
        <is>
          <t>S58W60</t>
        </is>
      </c>
      <c r="C177"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D177" s="17" t="n">
        <v>786.8</v>
      </c>
      <c r="E177" s="18" t="n">
        <v>0.01097418257473506</v>
      </c>
      <c r="F177" s="16" t="n">
        <v>14</v>
      </c>
      <c r="G177" s="16" t="n">
        <v>5</v>
      </c>
      <c r="H177" s="16" t="n">
        <v>5</v>
      </c>
      <c r="I177" s="17" t="n">
        <v>157.36</v>
      </c>
      <c r="J177" s="17" t="n">
        <v>56.2</v>
      </c>
      <c r="K177" s="17" t="n">
        <v>816</v>
      </c>
      <c r="L177" s="17" t="n">
        <v>77.58</v>
      </c>
    </row>
    <row r="178">
      <c r="A178" s="16" t="inlineStr">
        <is>
          <t>5.22-5.28</t>
        </is>
      </c>
      <c r="B178" s="16" t="inlineStr">
        <is>
          <t>KTS-1678A</t>
        </is>
      </c>
      <c r="C178" s="16" t="inlineStr">
        <is>
          <t>Bocina portátil Inalámbrico, de 3 pulgadas, tamaño de bolsillo, 170 g, con asa, compatible con TF, USB y Micro SD, con radio FM y función TWS (True Wireless Stereo), adecuada para relajarse en casa o viajar al aire libre.</t>
        </is>
      </c>
      <c r="D178" s="17" t="n">
        <v>750.08</v>
      </c>
      <c r="E178" s="18" t="n">
        <v>0.01046196432790573</v>
      </c>
      <c r="F178" s="16" t="n">
        <v>21</v>
      </c>
      <c r="G178" s="16" t="n">
        <v>14</v>
      </c>
      <c r="H178" s="16" t="n">
        <v>14</v>
      </c>
      <c r="I178" s="17" t="n">
        <v>53.58</v>
      </c>
      <c r="J178" s="17" t="n">
        <v>35.72</v>
      </c>
      <c r="K178" s="17" t="n">
        <v>882.5</v>
      </c>
      <c r="L178" s="17" t="n">
        <v>244.99</v>
      </c>
    </row>
    <row r="179">
      <c r="A179" s="16" t="inlineStr">
        <is>
          <t>5.22-5.28</t>
        </is>
      </c>
      <c r="B179" s="16" t="inlineStr">
        <is>
          <t>EM04W36-2PZS</t>
        </is>
      </c>
      <c r="C179"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179" s="17" t="n">
        <v>745.28</v>
      </c>
      <c r="E179" s="18" t="n">
        <v>0.01039501453152653</v>
      </c>
      <c r="F179" s="16" t="n">
        <v>6</v>
      </c>
      <c r="G179" s="16" t="n">
        <v>5</v>
      </c>
      <c r="H179" s="16" t="n">
        <v>5</v>
      </c>
      <c r="I179" s="17" t="n">
        <v>149.06</v>
      </c>
      <c r="J179" s="17" t="n">
        <v>124.21</v>
      </c>
      <c r="K179" s="17" t="n">
        <v>745</v>
      </c>
      <c r="L179" s="17" t="n">
        <v>103.44</v>
      </c>
    </row>
    <row r="180">
      <c r="A180" s="16" t="inlineStr">
        <is>
          <t>5.22-5.28</t>
        </is>
      </c>
      <c r="B180" s="16" t="inlineStr">
        <is>
          <t>S09W18IB-8PZS</t>
        </is>
      </c>
      <c r="C18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180" s="17" t="n">
        <v>736.83</v>
      </c>
      <c r="E180" s="18" t="n">
        <v>0.0102772379840024</v>
      </c>
      <c r="F180" s="16" t="n">
        <v>3</v>
      </c>
      <c r="G180" s="16" t="n">
        <v>3</v>
      </c>
      <c r="H180" s="16" t="n">
        <v>3</v>
      </c>
      <c r="I180" s="17" t="n">
        <v>245.61</v>
      </c>
      <c r="J180" s="17" t="n">
        <v>245.61</v>
      </c>
      <c r="K180" s="17" t="n">
        <v>785</v>
      </c>
      <c r="L180" s="17" t="n">
        <v>0</v>
      </c>
    </row>
    <row r="181">
      <c r="A181" s="16" t="inlineStr">
        <is>
          <t>5.22-5.28</t>
        </is>
      </c>
      <c r="B181" s="16" t="inlineStr">
        <is>
          <t>MB-178-B</t>
        </is>
      </c>
      <c r="C181" s="16" t="inlineStr">
        <is>
          <t>Bocina de Barra Bluetooth LINK BITS con dos altavoces, sonido de alta calidad y multifuncional (Bluetooth, Radio FM, USB, TF, AUX, TWS), ideal para juegos, reuniones, oficina y cine en casa.</t>
        </is>
      </c>
      <c r="D181" s="17" t="n">
        <v>718.23</v>
      </c>
      <c r="E181" s="18" t="n">
        <v>0.01001780403606443</v>
      </c>
      <c r="F181" s="16" t="n">
        <v>6</v>
      </c>
      <c r="G181" s="16" t="n">
        <v>5</v>
      </c>
      <c r="H181" s="16" t="n">
        <v>5</v>
      </c>
      <c r="I181" s="17" t="n">
        <v>143.65</v>
      </c>
      <c r="J181" s="17" t="n">
        <v>119.71</v>
      </c>
      <c r="K181" s="17" t="n">
        <v>749</v>
      </c>
      <c r="L181" s="17" t="n">
        <v>77.58</v>
      </c>
    </row>
    <row r="182">
      <c r="A182" s="16" t="inlineStr">
        <is>
          <t>5.22-5.28</t>
        </is>
      </c>
      <c r="B182" s="16" t="inlineStr">
        <is>
          <t>VA384T-A</t>
        </is>
      </c>
      <c r="C182" s="16" t="inlineStr">
        <is>
          <t>Bocina Portátil Bluetooth de 3 Pulgadas con Radio FM, USB TF TWS, Sonido Estéreo 5W, Bocina Recargable para Hogar Exterior Viaje Fiesta Camping</t>
        </is>
      </c>
      <c r="D182" s="17" t="n">
        <v>704.47</v>
      </c>
      <c r="E182" s="18" t="n">
        <v>0.009825900813467989</v>
      </c>
      <c r="F182" s="16" t="n">
        <v>17</v>
      </c>
      <c r="G182" s="16" t="n">
        <v>15</v>
      </c>
      <c r="H182" s="16" t="n">
        <v>15</v>
      </c>
      <c r="I182" s="17" t="n">
        <v>46.96</v>
      </c>
      <c r="J182" s="17" t="n">
        <v>41.44</v>
      </c>
      <c r="K182" s="17" t="n">
        <v>811.97</v>
      </c>
      <c r="L182" s="17" t="n">
        <v>310.32</v>
      </c>
    </row>
    <row r="183">
      <c r="A183" s="16" t="inlineStr">
        <is>
          <t>5.22-5.28</t>
        </is>
      </c>
      <c r="B183" s="16" t="inlineStr">
        <is>
          <t>MB-184N</t>
        </is>
      </c>
      <c r="C183" s="16" t="inlineStr">
        <is>
          <t>Link bits Portable Bluetooth Speaker - 800W Peak Power, 50W Full-Range Audio with Dual Bass System &amp; Deep Bass Membranes, Powerful &amp; Distortion-Free Sound, IP65 Waterproof Dustproof, TWS Support &amp; 6H Battery for Outdoor/Party</t>
        </is>
      </c>
      <c r="D183" s="17" t="n">
        <v>594.37</v>
      </c>
      <c r="E183" s="18" t="n">
        <v>0.008290177790979627</v>
      </c>
      <c r="F183" s="16" t="n">
        <v>1</v>
      </c>
      <c r="G183" s="16" t="n">
        <v>1</v>
      </c>
      <c r="H183" s="16" t="n">
        <v>1</v>
      </c>
      <c r="I183" s="17" t="n">
        <v>594.37</v>
      </c>
      <c r="J183" s="17" t="n">
        <v>594.37</v>
      </c>
      <c r="K183" s="17" t="n">
        <v>588</v>
      </c>
      <c r="L183" s="17" t="n">
        <v>0</v>
      </c>
    </row>
    <row r="184">
      <c r="A184" s="16" t="inlineStr">
        <is>
          <t>5.22-5.28</t>
        </is>
      </c>
      <c r="B184" s="16" t="inlineStr">
        <is>
          <t>KTS-1678V</t>
        </is>
      </c>
      <c r="C184" s="16" t="inlineStr">
        <is>
          <t>Bocina portátil Inalámbrico, de 3 pulgadas, tamaño de bolsillo, 170 g, con asa, compatible con TF, USB y Micro SD, con radio FM y función TWS (True Wireless Stereo), adecuada para relajarse en casa o viajar al aire libre.</t>
        </is>
      </c>
      <c r="D184" s="17" t="n">
        <v>490.41</v>
      </c>
      <c r="E184" s="18" t="n">
        <v>0.006840131678226409</v>
      </c>
      <c r="F184" s="16" t="n">
        <v>15</v>
      </c>
      <c r="G184" s="16" t="n">
        <v>14</v>
      </c>
      <c r="H184" s="16" t="n">
        <v>14</v>
      </c>
      <c r="I184" s="17" t="n">
        <v>35.03</v>
      </c>
      <c r="J184" s="17" t="n">
        <v>32.69</v>
      </c>
      <c r="K184" s="17" t="n">
        <v>622.5</v>
      </c>
      <c r="L184" s="17" t="n">
        <v>266.14</v>
      </c>
    </row>
    <row r="185">
      <c r="A185" s="16" t="inlineStr">
        <is>
          <t>5.22-5.28</t>
        </is>
      </c>
      <c r="B185" s="16" t="inlineStr">
        <is>
          <t>VA384T-N</t>
        </is>
      </c>
      <c r="C185" s="16" t="inlineStr">
        <is>
          <t>Bocina Portátil Bluetooth de 3 Pulgadas con Radio FM, USB TF TWS, Sonido Estéreo 5W, Bocina Recargable para Hogar Exterior Viaje Fiesta Camping</t>
        </is>
      </c>
      <c r="D185" s="17" t="n">
        <v>461.31</v>
      </c>
      <c r="E185" s="18" t="n">
        <v>0.006434335014497814</v>
      </c>
      <c r="F185" s="16" t="n">
        <v>11</v>
      </c>
      <c r="G185" s="16" t="n">
        <v>10</v>
      </c>
      <c r="H185" s="16" t="n">
        <v>10</v>
      </c>
      <c r="I185" s="17" t="n">
        <v>46.13</v>
      </c>
      <c r="J185" s="17" t="n">
        <v>41.94</v>
      </c>
      <c r="K185" s="17" t="n">
        <v>542</v>
      </c>
      <c r="L185" s="17" t="n">
        <v>195.22</v>
      </c>
    </row>
    <row r="186">
      <c r="A186" s="16" t="inlineStr">
        <is>
          <t>5.22-5.28</t>
        </is>
      </c>
      <c r="B186" s="16" t="inlineStr">
        <is>
          <t>000089-50PZS</t>
        </is>
      </c>
      <c r="C186" s="16" t="inlineStr">
        <is>
          <t>Mascarillas Infantiles KF94 50 pcs, Cuatro Capas de Protección con Tejido de Fusión Filtrante, Patrones Divertidos, Piel Amigable y Transpirable</t>
        </is>
      </c>
      <c r="D186" s="17" t="n">
        <v>447.31</v>
      </c>
      <c r="E186" s="18" t="n">
        <v>0.006239052919365363</v>
      </c>
      <c r="F186" s="16" t="n">
        <v>4</v>
      </c>
      <c r="G186" s="16" t="n">
        <v>2</v>
      </c>
      <c r="H186" s="16" t="n">
        <v>2</v>
      </c>
      <c r="I186" s="17" t="n">
        <v>223.66</v>
      </c>
      <c r="J186" s="17" t="n">
        <v>111.83</v>
      </c>
      <c r="K186" s="17" t="n">
        <v>452</v>
      </c>
      <c r="L186" s="17" t="n">
        <v>25.86</v>
      </c>
    </row>
    <row r="187">
      <c r="A187" s="16" t="inlineStr">
        <is>
          <t>5.22-5.28</t>
        </is>
      </c>
      <c r="B187" s="16" t="inlineStr">
        <is>
          <t>KTS-1678R</t>
        </is>
      </c>
      <c r="C187" s="16" t="inlineStr">
        <is>
          <t>Bocina portátil Inalámbrico, de 3 pulgadas, tamaño de bolsillo, 170 g, con asa, compatible con TF, USB y Micro SD, con radio FM y función TWS (True Wireless Stereo), adecuada para relajarse en casa o viajar al aire libre.</t>
        </is>
      </c>
      <c r="D187" s="17" t="n">
        <v>422.99</v>
      </c>
      <c r="E187" s="18" t="n">
        <v>0.005899800866269133</v>
      </c>
      <c r="F187" s="16" t="n">
        <v>13</v>
      </c>
      <c r="G187" s="16" t="n">
        <v>11</v>
      </c>
      <c r="H187" s="16" t="n">
        <v>11</v>
      </c>
      <c r="I187" s="17" t="n">
        <v>38.45</v>
      </c>
      <c r="J187" s="17" t="n">
        <v>32.54</v>
      </c>
      <c r="K187" s="17" t="n">
        <v>537.5</v>
      </c>
      <c r="L187" s="17" t="n">
        <v>192.81</v>
      </c>
    </row>
    <row r="188">
      <c r="A188" s="16" t="inlineStr">
        <is>
          <t>5.22-5.28</t>
        </is>
      </c>
      <c r="B188" s="16" t="inlineStr">
        <is>
          <t>KTS-1678N</t>
        </is>
      </c>
      <c r="C188" s="16" t="inlineStr">
        <is>
          <t>Bocina portátil Inalámbrico, de 3 pulgadas, tamaño de bolsillo, 170 g, con asa, compatible con TF, USB y Micro SD, con radio FM y función TWS (True Wireless Stereo), adecuada para relajarse en casa o viajar al aire libre.</t>
        </is>
      </c>
      <c r="D188" s="17" t="n">
        <v>407.48</v>
      </c>
      <c r="E188" s="18" t="n">
        <v>0.005683426098308671</v>
      </c>
      <c r="F188" s="16" t="n">
        <v>11</v>
      </c>
      <c r="G188" s="16" t="n">
        <v>9</v>
      </c>
      <c r="H188" s="16" t="n">
        <v>9</v>
      </c>
      <c r="I188" s="17" t="n">
        <v>45.28</v>
      </c>
      <c r="J188" s="17" t="n">
        <v>37.04</v>
      </c>
      <c r="K188" s="17" t="n">
        <v>467.5</v>
      </c>
      <c r="L188" s="17" t="n">
        <v>194.98</v>
      </c>
    </row>
    <row r="189">
      <c r="A189" s="16" t="inlineStr">
        <is>
          <t>5.22-5.28</t>
        </is>
      </c>
      <c r="B189" s="16" t="inlineStr">
        <is>
          <t>MCM-003-V</t>
        </is>
      </c>
      <c r="C189"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D189" s="17" t="n">
        <v>254.83</v>
      </c>
      <c r="E189" s="18" t="n">
        <v>0.003554283094707557</v>
      </c>
      <c r="F189" s="16" t="n">
        <v>8</v>
      </c>
      <c r="G189" s="16" t="n">
        <v>7</v>
      </c>
      <c r="H189" s="16" t="n">
        <v>7</v>
      </c>
      <c r="I189" s="17" t="n">
        <v>36.4</v>
      </c>
      <c r="J189" s="17" t="n">
        <v>31.85</v>
      </c>
      <c r="K189" s="17" t="n">
        <v>340</v>
      </c>
      <c r="L189" s="17" t="n">
        <v>116.28</v>
      </c>
    </row>
    <row r="190">
      <c r="A190" s="16" t="inlineStr">
        <is>
          <t>5.22-5.28</t>
        </is>
      </c>
      <c r="B190" s="16" t="inlineStr">
        <is>
          <t>KTS-1943-N</t>
        </is>
      </c>
      <c r="C190" s="16" t="inlineStr">
        <is>
          <t>Altavoz Mini Karaoke Portátil BT con Micrófono Inalámbrico, Función TWS, Radio FM, USB/TF, Batería de Larga Duración, Perfecto para Casa, Exterior y Regalos Especiales</t>
        </is>
      </c>
      <c r="D190" s="17" t="n">
        <v>238.31</v>
      </c>
      <c r="E190" s="18" t="n">
        <v>0.003323954873351729</v>
      </c>
      <c r="F190" s="16" t="n">
        <v>4</v>
      </c>
      <c r="G190" s="16" t="n">
        <v>4</v>
      </c>
      <c r="H190" s="16" t="n">
        <v>4</v>
      </c>
      <c r="I190" s="17" t="n">
        <v>59.58</v>
      </c>
      <c r="J190" s="17" t="n">
        <v>59.58</v>
      </c>
      <c r="K190" s="17" t="n">
        <v>266.5</v>
      </c>
      <c r="L190" s="17" t="n">
        <v>77.58</v>
      </c>
    </row>
    <row r="191">
      <c r="A191" s="16" t="inlineStr">
        <is>
          <t>5.22-5.28</t>
        </is>
      </c>
      <c r="B191" s="16" t="inlineStr">
        <is>
          <t>KTS-1943-R</t>
        </is>
      </c>
      <c r="C191" s="16" t="inlineStr">
        <is>
          <t>Altavoz Mini Karaoke Portátil BT con Micrófono Inalámbrico, Función TWS, Radio FM, USB/TF, Batería de Larga Duración, Perfecto para Casa, Exterior y Regalos Especiales</t>
        </is>
      </c>
      <c r="D191" s="17" t="n">
        <v>224.8</v>
      </c>
      <c r="E191" s="18" t="n">
        <v>0.00313547236691404</v>
      </c>
      <c r="F191" s="16" t="n">
        <v>3</v>
      </c>
      <c r="G191" s="16" t="n">
        <v>3</v>
      </c>
      <c r="H191" s="16" t="n">
        <v>3</v>
      </c>
      <c r="I191" s="17" t="n">
        <v>74.93000000000001</v>
      </c>
      <c r="J191" s="17" t="n">
        <v>74.93000000000001</v>
      </c>
      <c r="K191" s="17" t="n">
        <v>225</v>
      </c>
      <c r="L191" s="17" t="n">
        <v>77.58</v>
      </c>
    </row>
    <row r="192">
      <c r="A192" s="16" t="inlineStr">
        <is>
          <t>5.22-5.28</t>
        </is>
      </c>
      <c r="B192" s="16" t="inlineStr">
        <is>
          <t>VA384T-R</t>
        </is>
      </c>
      <c r="C192" s="16" t="inlineStr">
        <is>
          <t>Bocina Portátil Bluetooth de 3 Pulgadas con Radio FM, USB TF TWS, Sonido Estéreo 5W, Bocina Recargable para Hogar Exterior Viaje Fiesta Camping</t>
        </is>
      </c>
      <c r="D192" s="17" t="n">
        <v>206.72</v>
      </c>
      <c r="E192" s="18" t="n">
        <v>0.002883297590127224</v>
      </c>
      <c r="F192" s="16" t="n">
        <v>5</v>
      </c>
      <c r="G192" s="16" t="n">
        <v>5</v>
      </c>
      <c r="H192" s="16" t="n">
        <v>5</v>
      </c>
      <c r="I192" s="17" t="n">
        <v>41.34</v>
      </c>
      <c r="J192" s="17" t="n">
        <v>41.34</v>
      </c>
      <c r="K192" s="17" t="n">
        <v>242</v>
      </c>
      <c r="L192" s="17" t="n">
        <v>103.44</v>
      </c>
    </row>
    <row r="193">
      <c r="A193" s="16" t="inlineStr">
        <is>
          <t>5.22-5.28</t>
        </is>
      </c>
      <c r="B193" s="16" t="inlineStr">
        <is>
          <t>000090-50PZS</t>
        </is>
      </c>
      <c r="C193" s="16" t="inlineStr">
        <is>
          <t>Mascarillas Infantiles KF94 50 pcs, Cuatro Capas de Protección con Tejido de Fusión Filtrante, Patrones Divertidos, Piel Amigable y Transpirable</t>
        </is>
      </c>
      <c r="D193" s="17" t="n">
        <v>180.47</v>
      </c>
      <c r="E193" s="18" t="n">
        <v>0.002517241209699384</v>
      </c>
      <c r="F193" s="16" t="n">
        <v>2</v>
      </c>
      <c r="G193" s="16" t="n">
        <v>1</v>
      </c>
      <c r="H193" s="16" t="n">
        <v>1</v>
      </c>
      <c r="I193" s="17" t="n">
        <v>180.47</v>
      </c>
      <c r="J193" s="17" t="n">
        <v>90.23999999999999</v>
      </c>
      <c r="K193" s="17" t="n">
        <v>198</v>
      </c>
      <c r="L193" s="17" t="n">
        <v>0</v>
      </c>
    </row>
    <row r="194">
      <c r="A194" s="16" t="inlineStr">
        <is>
          <t>5.22-5.28</t>
        </is>
      </c>
      <c r="B194" s="16" t="inlineStr">
        <is>
          <t>T5050RGB07</t>
        </is>
      </c>
      <c r="C194"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D194" s="17" t="n">
        <v>165.28</v>
      </c>
      <c r="E194" s="18" t="n">
        <v>0.00230530953707988</v>
      </c>
      <c r="F194" s="16" t="n">
        <v>3</v>
      </c>
      <c r="G194" s="16" t="n">
        <v>2</v>
      </c>
      <c r="H194" s="16" t="n">
        <v>2</v>
      </c>
      <c r="I194" s="17" t="n">
        <v>82.64</v>
      </c>
      <c r="J194" s="17" t="n">
        <v>55.09</v>
      </c>
      <c r="K194" s="17" t="n">
        <v>169.2</v>
      </c>
      <c r="L194" s="17" t="n">
        <v>51.72</v>
      </c>
    </row>
    <row r="195">
      <c r="A195" s="16" t="inlineStr">
        <is>
          <t>5.22-5.28</t>
        </is>
      </c>
      <c r="B195" s="16" t="inlineStr">
        <is>
          <t>MCM-003-N</t>
        </is>
      </c>
      <c r="C19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D195" s="17" t="n">
        <v>162.7</v>
      </c>
      <c r="E195" s="18" t="n">
        <v>0.002269372141692206</v>
      </c>
      <c r="F195" s="16" t="n">
        <v>4</v>
      </c>
      <c r="G195" s="16" t="n">
        <v>2</v>
      </c>
      <c r="H195" s="16" t="n">
        <v>2</v>
      </c>
      <c r="I195" s="17" t="n">
        <v>81.34999999999999</v>
      </c>
      <c r="J195" s="17" t="n">
        <v>40.68</v>
      </c>
      <c r="K195" s="17" t="n">
        <v>190</v>
      </c>
      <c r="L195" s="17" t="n">
        <v>25.86</v>
      </c>
    </row>
    <row r="196">
      <c r="A196" s="16" t="inlineStr">
        <is>
          <t>5.22-5.28</t>
        </is>
      </c>
      <c r="B196" s="16" t="inlineStr">
        <is>
          <t>MB-183R</t>
        </is>
      </c>
      <c r="C196" s="16" t="inlineStr">
        <is>
          <t>Linkbits Altavoz Bluetooth Portátil con Stereo Inalámbrico TWS Impermeable y a Prueba de Polvo IP65 Altavoz de Graves de Rango Completo de 52mm con Doble Unidad Ligero de 215g para Camping Senderismo y Fiestas al Aire Libre</t>
        </is>
      </c>
      <c r="D196" s="17" t="n">
        <v>155.34</v>
      </c>
      <c r="E196" s="18" t="n">
        <v>0.002166637679148319</v>
      </c>
      <c r="F196" s="16" t="n">
        <v>2</v>
      </c>
      <c r="G196" s="16" t="n">
        <v>2</v>
      </c>
      <c r="H196" s="16" t="n">
        <v>2</v>
      </c>
      <c r="I196" s="17" t="n">
        <v>77.67</v>
      </c>
      <c r="J196" s="17" t="n">
        <v>77.67</v>
      </c>
      <c r="K196" s="17" t="n">
        <v>154.9</v>
      </c>
      <c r="L196" s="17" t="n">
        <v>51.72</v>
      </c>
    </row>
    <row r="197">
      <c r="A197" s="16" t="inlineStr">
        <is>
          <t>5.22-5.28</t>
        </is>
      </c>
      <c r="B197" s="16" t="inlineStr">
        <is>
          <t>T2835CM16A</t>
        </is>
      </c>
      <c r="C197" s="16" t="inlineStr">
        <is>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is>
      </c>
      <c r="D197" s="17" t="n">
        <v>149.62</v>
      </c>
      <c r="E197" s="18" t="n">
        <v>0.002086820968777487</v>
      </c>
      <c r="F197" s="16" t="n">
        <v>2</v>
      </c>
      <c r="G197" s="16" t="n">
        <v>1</v>
      </c>
      <c r="H197" s="16" t="n">
        <v>1</v>
      </c>
      <c r="I197" s="17" t="n">
        <v>149.62</v>
      </c>
      <c r="J197" s="17" t="n">
        <v>74.81</v>
      </c>
      <c r="K197" s="17" t="n">
        <v>144</v>
      </c>
      <c r="L197" s="17" t="n">
        <v>25.86</v>
      </c>
    </row>
    <row r="198">
      <c r="A198" s="16" t="inlineStr">
        <is>
          <t>5.22-5.28</t>
        </is>
      </c>
      <c r="B198" s="16" t="inlineStr">
        <is>
          <t>MB-176</t>
        </is>
      </c>
      <c r="C198" s="16" t="inlineStr">
        <is>
          <t>Linkbits Altavoz Bluetooth Portátil - Luces LED RGB 360°, Bajos Potentes de 24W, Estéreo TWS y Asa para Exterior/Fiestas</t>
        </is>
      </c>
      <c r="D198" s="17" t="n">
        <v>149.01</v>
      </c>
      <c r="E198" s="18" t="n">
        <v>0.002078348332566957</v>
      </c>
      <c r="F198" s="16" t="n">
        <v>1</v>
      </c>
      <c r="G198" s="16" t="n">
        <v>1</v>
      </c>
      <c r="H198" s="16" t="n">
        <v>1</v>
      </c>
      <c r="I198" s="17" t="n">
        <v>149.01</v>
      </c>
      <c r="J198" s="17" t="n">
        <v>149.01</v>
      </c>
      <c r="K198" s="17" t="n">
        <v>170</v>
      </c>
      <c r="L198" s="17" t="n">
        <v>0</v>
      </c>
    </row>
    <row r="199">
      <c r="A199" s="16" t="inlineStr">
        <is>
          <t>5.22-5.28</t>
        </is>
      </c>
      <c r="B199" s="16" t="inlineStr">
        <is>
          <t>S39W48</t>
        </is>
      </c>
      <c r="C19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199" s="17" t="n">
        <v>120.62</v>
      </c>
      <c r="E199" s="18" t="n">
        <v>0.001682336800015409</v>
      </c>
      <c r="F199" s="16" t="n">
        <v>6</v>
      </c>
      <c r="G199" s="16" t="n">
        <v>4</v>
      </c>
      <c r="H199" s="16" t="n">
        <v>4</v>
      </c>
      <c r="I199" s="17" t="n">
        <v>30.15</v>
      </c>
      <c r="J199" s="17" t="n">
        <v>20.1</v>
      </c>
      <c r="K199" s="17" t="n">
        <v>180</v>
      </c>
      <c r="L199" s="17" t="n">
        <v>51.72</v>
      </c>
    </row>
    <row r="200">
      <c r="A200" s="16" t="inlineStr">
        <is>
          <t>5.22-5.28</t>
        </is>
      </c>
      <c r="B200" s="16" t="inlineStr">
        <is>
          <t>MB-183N</t>
        </is>
      </c>
      <c r="C200" s="16" t="inlineStr">
        <is>
          <t>Linkbits Altavoz Bluetooth Portátil con Stereo Inalámbrico TWS Impermeable y a Prueba de Polvo IP65 Altavoz de Graves de Rango Completo de 52mm con Doble Unidad Ligero de 215g para Camping Senderismo y Fiestas al Aire Libre</t>
        </is>
      </c>
      <c r="D200" s="17" t="n">
        <v>91.19</v>
      </c>
      <c r="E200" s="18" t="n">
        <v>0.00127188154628876</v>
      </c>
      <c r="F200" s="16" t="n">
        <v>1</v>
      </c>
      <c r="G200" s="16" t="n">
        <v>1</v>
      </c>
      <c r="H200" s="16" t="n">
        <v>1</v>
      </c>
      <c r="I200" s="17" t="n">
        <v>91.19</v>
      </c>
      <c r="J200" s="17" t="n">
        <v>91.19</v>
      </c>
      <c r="K200" s="17" t="n">
        <v>90</v>
      </c>
      <c r="L200" s="17" t="n">
        <v>25.86</v>
      </c>
    </row>
    <row r="201">
      <c r="A201" s="16" t="inlineStr">
        <is>
          <t>5.22-5.28</t>
        </is>
      </c>
      <c r="B201" s="16" t="inlineStr">
        <is>
          <t>VA384T-G</t>
        </is>
      </c>
      <c r="C201" s="16" t="inlineStr">
        <is>
          <t>Bocina Portátil Bluetooth de 3 Pulgadas con Radio FM, USB TF TWS, Sonido Estéreo 5W, Bocina Recargable para Hogar Exterior Viaje Fiesta Camping</t>
        </is>
      </c>
      <c r="D201" s="17" t="n">
        <v>88.8</v>
      </c>
      <c r="E201" s="18" t="n">
        <v>0.001238624234937391</v>
      </c>
      <c r="F201" s="16" t="n">
        <v>2</v>
      </c>
      <c r="G201" s="16" t="n">
        <v>2</v>
      </c>
      <c r="H201" s="16" t="n">
        <v>2</v>
      </c>
      <c r="I201" s="17" t="n">
        <v>44.4</v>
      </c>
      <c r="J201" s="17" t="n">
        <v>44.4</v>
      </c>
      <c r="K201" s="17" t="n">
        <v>92</v>
      </c>
      <c r="L201" s="17" t="n">
        <v>51.72</v>
      </c>
    </row>
    <row r="202">
      <c r="A202" s="16" t="inlineStr">
        <is>
          <t>5.22-5.28</t>
        </is>
      </c>
      <c r="B202" s="16" t="inlineStr">
        <is>
          <t>MCM-003-P</t>
        </is>
      </c>
      <c r="C202"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D202" s="17" t="n">
        <v>46.32</v>
      </c>
      <c r="E202" s="18" t="n">
        <v>0.0006460264810114222</v>
      </c>
      <c r="F202" s="16" t="n">
        <v>1</v>
      </c>
      <c r="G202" s="16" t="n">
        <v>1</v>
      </c>
      <c r="H202" s="16" t="n">
        <v>1</v>
      </c>
      <c r="I202" s="17" t="n">
        <v>46.32</v>
      </c>
      <c r="J202" s="17" t="n">
        <v>46.32</v>
      </c>
      <c r="K202" s="17" t="n">
        <v>48</v>
      </c>
      <c r="L202" s="17" t="n">
        <v>25.86</v>
      </c>
    </row>
    <row r="203">
      <c r="A203" s="16" t="inlineStr">
        <is>
          <t>5.22-5.28</t>
        </is>
      </c>
      <c r="B203" s="16" t="inlineStr">
        <is>
          <t>KTS-1943-Y</t>
        </is>
      </c>
      <c r="C203" s="16" t="inlineStr">
        <is>
          <t>Altavoz Mini Karaoke Portátil BT con Micrófono Inalámbrico, Función TWS, Radio FM, USB/TF, Batería de Larga Duración, Perfecto para Casa, Exterior y Regalos Especiales</t>
        </is>
      </c>
      <c r="D203" s="17" t="n">
        <v>40.07</v>
      </c>
      <c r="E203" s="18" t="n">
        <v>0.0005588982949610121</v>
      </c>
      <c r="F203" s="16" t="n">
        <v>1</v>
      </c>
      <c r="G203" s="16" t="n">
        <v>1</v>
      </c>
      <c r="H203" s="16" t="n">
        <v>1</v>
      </c>
      <c r="I203" s="17" t="n">
        <v>40.07</v>
      </c>
      <c r="J203" s="17" t="n">
        <v>40.07</v>
      </c>
      <c r="K203" s="17" t="n">
        <v>67.5</v>
      </c>
      <c r="L203" s="17" t="n">
        <v>0</v>
      </c>
    </row>
    <row r="204">
      <c r="A204" s="16" t="inlineStr">
        <is>
          <t>5.29-6.4</t>
        </is>
      </c>
      <c r="B204" s="16" t="inlineStr">
        <is>
          <t>LV34W04</t>
        </is>
      </c>
      <c r="C20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D204" s="17" t="n">
        <v>10844.95</v>
      </c>
      <c r="E204" s="18" t="n">
        <v>0.1312762428765675</v>
      </c>
      <c r="F204" s="16" t="n">
        <v>46</v>
      </c>
      <c r="G204" s="16" t="n">
        <v>27</v>
      </c>
      <c r="H204" s="16" t="n">
        <v>27</v>
      </c>
      <c r="I204" s="17" t="n">
        <v>401.66</v>
      </c>
      <c r="J204" s="17" t="n">
        <v>235.76</v>
      </c>
      <c r="K204" s="17" t="n">
        <v>10793.3</v>
      </c>
      <c r="L204" s="17" t="n">
        <v>258.6</v>
      </c>
    </row>
    <row r="205">
      <c r="A205" s="16" t="inlineStr">
        <is>
          <t>5.29-6.4</t>
        </is>
      </c>
      <c r="B205" s="16" t="inlineStr">
        <is>
          <t>VA880T</t>
        </is>
      </c>
      <c r="C20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D205" s="17" t="n">
        <v>8557.57</v>
      </c>
      <c r="E205" s="18" t="n">
        <v>0.1035878885620767</v>
      </c>
      <c r="F205" s="16" t="n">
        <v>76</v>
      </c>
      <c r="G205" s="16" t="n">
        <v>56</v>
      </c>
      <c r="H205" s="16" t="n">
        <v>56</v>
      </c>
      <c r="I205" s="17" t="n">
        <v>152.81</v>
      </c>
      <c r="J205" s="17" t="n">
        <v>112.6</v>
      </c>
      <c r="K205" s="17" t="n">
        <v>8698.34</v>
      </c>
      <c r="L205" s="17" t="n">
        <v>1077.73</v>
      </c>
    </row>
    <row r="206">
      <c r="A206" s="16" t="inlineStr">
        <is>
          <t>5.29-6.4</t>
        </is>
      </c>
      <c r="B206" s="16" t="inlineStr">
        <is>
          <t>LB02235-negro</t>
        </is>
      </c>
      <c r="C206" s="16" t="inlineStr">
        <is>
          <t>Audífonos Inalámbricos para la Cabeza, Recargables y Multifuncionales - Conectan a Varios Dispositivos, soportan Radio FM, Tarjeta TF y AUX - 4 Horas de Reproducción Musical - Ideal para Trabajo Cotidiano, Juegos y Estudio</t>
        </is>
      </c>
      <c r="D206" s="17" t="n">
        <v>7341.51</v>
      </c>
      <c r="E206" s="18" t="n">
        <v>0.08886774278338971</v>
      </c>
      <c r="F206" s="16" t="n">
        <v>232</v>
      </c>
      <c r="G206" s="16" t="n">
        <v>202</v>
      </c>
      <c r="H206" s="16" t="n">
        <v>203</v>
      </c>
      <c r="I206" s="17" t="n">
        <v>36.34</v>
      </c>
      <c r="J206" s="17" t="n">
        <v>31.64</v>
      </c>
      <c r="K206" s="17" t="n">
        <v>8443.41</v>
      </c>
      <c r="L206" s="17" t="n">
        <v>4570.95</v>
      </c>
    </row>
    <row r="207">
      <c r="A207" s="16" t="inlineStr">
        <is>
          <t>5.29-6.4</t>
        </is>
      </c>
      <c r="B207" s="16" t="inlineStr">
        <is>
          <t>LB02235-azul</t>
        </is>
      </c>
      <c r="C207" s="16" t="inlineStr">
        <is>
          <t>Audífonos Inalámbricos para la Cabeza, Recargables y Multifuncionales - Conectan a Varios Dispositivos, soportan Radio FM, Tarjeta TF y AUX - 4 Horas de Reproducción Musical - Ideal para Trabajo Cotidiano, Juegos y Estudio</t>
        </is>
      </c>
      <c r="D207" s="17" t="n">
        <v>5016.77</v>
      </c>
      <c r="E207" s="18" t="n">
        <v>0.06072708808534808</v>
      </c>
      <c r="F207" s="16" t="n">
        <v>202</v>
      </c>
      <c r="G207" s="16" t="n">
        <v>150</v>
      </c>
      <c r="H207" s="16" t="n">
        <v>151</v>
      </c>
      <c r="I207" s="17" t="n">
        <v>33.45</v>
      </c>
      <c r="J207" s="17" t="n">
        <v>24.84</v>
      </c>
      <c r="K207" s="17" t="n">
        <v>6144.7</v>
      </c>
      <c r="L207" s="17" t="n">
        <v>3135.36</v>
      </c>
    </row>
    <row r="208">
      <c r="A208" s="16" t="inlineStr">
        <is>
          <t>5.29-6.4</t>
        </is>
      </c>
      <c r="B208" s="16" t="inlineStr">
        <is>
          <t>SA325T</t>
        </is>
      </c>
      <c r="C208" s="16" t="inlineStr">
        <is>
          <t>Subwoofer Portátil Inalámbrico con Luces RGB, Sonido de Alta Potencia y Batería Duradera, TWS TF USB, Perfecto para Campamento Fiestas y Entretenimiento en Casa</t>
        </is>
      </c>
      <c r="D208" s="17" t="n">
        <v>4695.21</v>
      </c>
      <c r="E208" s="18" t="n">
        <v>0.05683468263981648</v>
      </c>
      <c r="F208" s="16" t="n">
        <v>138</v>
      </c>
      <c r="G208" s="16" t="n">
        <v>94</v>
      </c>
      <c r="H208" s="16" t="n">
        <v>94</v>
      </c>
      <c r="I208" s="17" t="n">
        <v>49.95</v>
      </c>
      <c r="J208" s="17" t="n">
        <v>34.02</v>
      </c>
      <c r="K208" s="17" t="n">
        <v>5190.83</v>
      </c>
      <c r="L208" s="17" t="n">
        <v>2177.81</v>
      </c>
    </row>
    <row r="209">
      <c r="A209" s="16" t="inlineStr">
        <is>
          <t>5.29-6.4</t>
        </is>
      </c>
      <c r="B209" s="16" t="inlineStr">
        <is>
          <t>LB02235-rojo</t>
        </is>
      </c>
      <c r="C209" s="16" t="inlineStr">
        <is>
          <t>Audífonos Inalámbricos para la Cabeza, Recargables y Multifuncionales - Conectan a Varios Dispositivos, soportan Radio FM, Tarjeta TF y AUX - 4 Horas de Reproducción Musical - Ideal para Trabajo Cotidiano, Juegos y Estudio</t>
        </is>
      </c>
      <c r="D209" s="17" t="n">
        <v>4459.13</v>
      </c>
      <c r="E209" s="18" t="n">
        <v>0.05397693703333364</v>
      </c>
      <c r="F209" s="16" t="n">
        <v>145</v>
      </c>
      <c r="G209" s="16" t="n">
        <v>127</v>
      </c>
      <c r="H209" s="16" t="n">
        <v>127</v>
      </c>
      <c r="I209" s="17" t="n">
        <v>35.11</v>
      </c>
      <c r="J209" s="17" t="n">
        <v>30.75</v>
      </c>
      <c r="K209" s="17" t="n">
        <v>5277.65</v>
      </c>
      <c r="L209" s="17" t="n">
        <v>2738.6</v>
      </c>
    </row>
    <row r="210">
      <c r="A210" s="16" t="inlineStr">
        <is>
          <t>5.29-6.4</t>
        </is>
      </c>
      <c r="B210" s="16" t="inlineStr">
        <is>
          <t>MB-185N</t>
        </is>
      </c>
      <c r="C210" s="16" t="inlineStr">
        <is>
          <t>Bocina Radio FM/Reproductor, Compatible con Tarjeta TF, USB, Bluetooth, Aplicable para celular, computadora, Ipad y consola.</t>
        </is>
      </c>
      <c r="D210" s="17" t="n">
        <v>3789.11</v>
      </c>
      <c r="E210" s="18" t="n">
        <v>0.04586653179439387</v>
      </c>
      <c r="F210" s="16" t="n">
        <v>52</v>
      </c>
      <c r="G210" s="16" t="n">
        <v>44</v>
      </c>
      <c r="H210" s="16" t="n">
        <v>44</v>
      </c>
      <c r="I210" s="17" t="n">
        <v>86.12</v>
      </c>
      <c r="J210" s="17" t="n">
        <v>72.87</v>
      </c>
      <c r="K210" s="17" t="n">
        <v>3867.34</v>
      </c>
      <c r="L210" s="17" t="n">
        <v>1044.61</v>
      </c>
    </row>
    <row r="211">
      <c r="A211" s="16" t="inlineStr">
        <is>
          <t>5.29-6.4</t>
        </is>
      </c>
      <c r="B211" s="16" t="inlineStr">
        <is>
          <t>MB-185A</t>
        </is>
      </c>
      <c r="C211" s="16" t="inlineStr">
        <is>
          <t>Bocina Radio FM/Reproductor, Compatible con Tarjeta TF, USB, Bluetooth, Aplicable para celular, computadora, Ipad y consola.</t>
        </is>
      </c>
      <c r="D211" s="17" t="n">
        <v>3751.28</v>
      </c>
      <c r="E211" s="18" t="n">
        <v>0.04540858390516406</v>
      </c>
      <c r="F211" s="16" t="n">
        <v>53</v>
      </c>
      <c r="G211" s="16" t="n">
        <v>43</v>
      </c>
      <c r="H211" s="16" t="n">
        <v>43</v>
      </c>
      <c r="I211" s="17" t="n">
        <v>87.23999999999999</v>
      </c>
      <c r="J211" s="17" t="n">
        <v>70.78</v>
      </c>
      <c r="K211" s="17" t="n">
        <v>3853.79</v>
      </c>
      <c r="L211" s="17" t="n">
        <v>985.45</v>
      </c>
    </row>
    <row r="212">
      <c r="A212" s="16" t="inlineStr">
        <is>
          <t>5.29-6.4</t>
        </is>
      </c>
      <c r="B212" s="16" t="inlineStr">
        <is>
          <t>LB02235-blanco</t>
        </is>
      </c>
      <c r="C212" s="16" t="inlineStr">
        <is>
          <t>Audífonos Inalámbricos para la Cabeza, Recargables y Multifuncionales - Conectan a Varios Dispositivos, soportan Radio FM, Tarjeta TF y AUX - 4 Horas de Reproducción Musical - Ideal para Trabajo Cotidiano, Juegos y Estudio</t>
        </is>
      </c>
      <c r="D212" s="17" t="n">
        <v>3377.45</v>
      </c>
      <c r="E212" s="18" t="n">
        <v>0.04088338001787727</v>
      </c>
      <c r="F212" s="16" t="n">
        <v>114</v>
      </c>
      <c r="G212" s="16" t="n">
        <v>97</v>
      </c>
      <c r="H212" s="16" t="n">
        <v>97</v>
      </c>
      <c r="I212" s="17" t="n">
        <v>34.82</v>
      </c>
      <c r="J212" s="17" t="n">
        <v>29.63</v>
      </c>
      <c r="K212" s="17" t="n">
        <v>4156.63</v>
      </c>
      <c r="L212" s="17" t="n">
        <v>1943.3</v>
      </c>
    </row>
    <row r="213">
      <c r="A213" s="16" t="inlineStr">
        <is>
          <t>5.29-6.4</t>
        </is>
      </c>
      <c r="B213" s="16" t="inlineStr">
        <is>
          <t>HD005</t>
        </is>
      </c>
      <c r="C213" s="16" t="inlineStr">
        <is>
          <t>Link bits HD005 Antena UHF para Exteriores, Antena de TV Digital HD con 10 Metros de Cable, Recepción 470-862MHz, 9-7dB de Ganancia, Antena para Canales Abiertos y HD, Resistente al Agua y Viento, Fácil Instalación</t>
        </is>
      </c>
      <c r="D213" s="17" t="n">
        <v>3235.42</v>
      </c>
      <c r="E213" s="18" t="n">
        <v>0.03916414153630691</v>
      </c>
      <c r="F213" s="16" t="n">
        <v>45</v>
      </c>
      <c r="G213" s="16" t="n">
        <v>38</v>
      </c>
      <c r="H213" s="16" t="n">
        <v>38</v>
      </c>
      <c r="I213" s="17" t="n">
        <v>85.14</v>
      </c>
      <c r="J213" s="17" t="n">
        <v>71.90000000000001</v>
      </c>
      <c r="K213" s="17" t="n">
        <v>3285</v>
      </c>
      <c r="L213" s="17" t="n">
        <v>905.1</v>
      </c>
    </row>
    <row r="214">
      <c r="A214" s="16" t="inlineStr">
        <is>
          <t>5.29-6.4</t>
        </is>
      </c>
      <c r="B214" s="16" t="inlineStr">
        <is>
          <t>MB-178-N</t>
        </is>
      </c>
      <c r="C214" s="16" t="inlineStr">
        <is>
          <t>Bocina de Barra Bluetooth LINK BITS con dos altavoces, sonido de alta calidad y multifuncional (Bluetooth, Radio FM, USB, TF, AUX, TWS), ideal para juegos, reuniones, oficina y cine en casa.</t>
        </is>
      </c>
      <c r="D214" s="17" t="n">
        <v>2832.1</v>
      </c>
      <c r="E214" s="18" t="n">
        <v>0.0342820232792944</v>
      </c>
      <c r="F214" s="16" t="n">
        <v>22</v>
      </c>
      <c r="G214" s="16" t="n">
        <v>22</v>
      </c>
      <c r="H214" s="16" t="n">
        <v>22</v>
      </c>
      <c r="I214" s="17" t="n">
        <v>128.73</v>
      </c>
      <c r="J214" s="17" t="n">
        <v>128.73</v>
      </c>
      <c r="K214" s="17" t="n">
        <v>2820</v>
      </c>
      <c r="L214" s="17" t="n">
        <v>517.2</v>
      </c>
    </row>
    <row r="215">
      <c r="A215" s="16" t="inlineStr">
        <is>
          <t>5.29-6.4</t>
        </is>
      </c>
      <c r="B215" s="16" t="inlineStr">
        <is>
          <t>VB347T</t>
        </is>
      </c>
      <c r="C21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D215" s="17" t="n">
        <v>2751.2</v>
      </c>
      <c r="E215" s="18" t="n">
        <v>0.03330275208907309</v>
      </c>
      <c r="F215" s="16" t="n">
        <v>36</v>
      </c>
      <c r="G215" s="16" t="n">
        <v>31</v>
      </c>
      <c r="H215" s="16" t="n">
        <v>31</v>
      </c>
      <c r="I215" s="17" t="n">
        <v>88.75</v>
      </c>
      <c r="J215" s="17" t="n">
        <v>76.42</v>
      </c>
      <c r="K215" s="17" t="n">
        <v>2850.4</v>
      </c>
      <c r="L215" s="17" t="n">
        <v>675.99</v>
      </c>
    </row>
    <row r="216">
      <c r="A216" s="16" t="inlineStr">
        <is>
          <t>5.29-6.4</t>
        </is>
      </c>
      <c r="B216" s="16" t="inlineStr">
        <is>
          <t>MB-185R</t>
        </is>
      </c>
      <c r="C216" s="16" t="inlineStr">
        <is>
          <t>Bocina Radio FM/Reproductor, Compatible con Tarjeta TF, USB, Bluetooth, Aplicable para celular, computadora, Ipad y consola.</t>
        </is>
      </c>
      <c r="D216" s="17" t="n">
        <v>2124.86</v>
      </c>
      <c r="E216" s="18" t="n">
        <v>0.02572102625272399</v>
      </c>
      <c r="F216" s="16" t="n">
        <v>29</v>
      </c>
      <c r="G216" s="16" t="n">
        <v>19</v>
      </c>
      <c r="H216" s="16" t="n">
        <v>19</v>
      </c>
      <c r="I216" s="17" t="n">
        <v>111.83</v>
      </c>
      <c r="J216" s="17" t="n">
        <v>73.27</v>
      </c>
      <c r="K216" s="17" t="n">
        <v>2170.65</v>
      </c>
      <c r="L216" s="17" t="n">
        <v>411.26</v>
      </c>
    </row>
    <row r="217">
      <c r="A217" s="16" t="inlineStr">
        <is>
          <t>5.29-6.4</t>
        </is>
      </c>
      <c r="B217" s="16" t="inlineStr">
        <is>
          <t>MCM-001N</t>
        </is>
      </c>
      <c r="C217" s="16" t="inlineStr">
        <is>
          <t>Musicord Altavoz Inalámbrico BT Portátil: ¡Sonido impactante, luces LED multicolores y 4 horas de autonomía! Compatible con TWS, FM, TF y USB – Imprescindible para fiestas y viajes</t>
        </is>
      </c>
      <c r="D217" s="17" t="n">
        <v>1839.53</v>
      </c>
      <c r="E217" s="18" t="n">
        <v>0.02226723608186888</v>
      </c>
      <c r="F217" s="16" t="n">
        <v>36</v>
      </c>
      <c r="G217" s="16" t="n">
        <v>35</v>
      </c>
      <c r="H217" s="16" t="n">
        <v>35</v>
      </c>
      <c r="I217" s="17" t="n">
        <v>52.56</v>
      </c>
      <c r="J217" s="17" t="n">
        <v>51.1</v>
      </c>
      <c r="K217" s="17" t="n">
        <v>1951.99</v>
      </c>
      <c r="L217" s="17" t="n">
        <v>851.36</v>
      </c>
    </row>
    <row r="218">
      <c r="A218" s="16" t="inlineStr">
        <is>
          <t>5.29-6.4</t>
        </is>
      </c>
      <c r="B218" s="16" t="inlineStr">
        <is>
          <t>EM04W36-2PZS</t>
        </is>
      </c>
      <c r="C21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218" s="17" t="n">
        <v>1682.58</v>
      </c>
      <c r="E218" s="18" t="n">
        <v>0.0203673409688986</v>
      </c>
      <c r="F218" s="16" t="n">
        <v>12</v>
      </c>
      <c r="G218" s="16" t="n">
        <v>11</v>
      </c>
      <c r="H218" s="16" t="n">
        <v>11</v>
      </c>
      <c r="I218" s="17" t="n">
        <v>152.96</v>
      </c>
      <c r="J218" s="17" t="n">
        <v>140.22</v>
      </c>
      <c r="K218" s="17" t="n">
        <v>1723.8</v>
      </c>
      <c r="L218" s="17" t="n">
        <v>206.88</v>
      </c>
    </row>
    <row r="219">
      <c r="A219" s="16" t="inlineStr">
        <is>
          <t>5.29-6.4</t>
        </is>
      </c>
      <c r="B219" s="16" t="inlineStr">
        <is>
          <t>FA028</t>
        </is>
      </c>
      <c r="C219" s="16" t="inlineStr">
        <is>
          <t>Extractor de agua para garrafas de agua, compatible con carga USB, extractor de agua automático, práctico, con dos modos de toma de agua: manual y programado, ideal para dormitorios, salones, oficinas, uso al aire libre y otros escenarios.</t>
        </is>
      </c>
      <c r="D219" s="17" t="n">
        <v>1573.71</v>
      </c>
      <c r="E219" s="18" t="n">
        <v>0.01904948937551752</v>
      </c>
      <c r="F219" s="16" t="n">
        <v>48</v>
      </c>
      <c r="G219" s="16" t="n">
        <v>28</v>
      </c>
      <c r="H219" s="16" t="n">
        <v>28</v>
      </c>
      <c r="I219" s="17" t="n">
        <v>56.2</v>
      </c>
      <c r="J219" s="17" t="n">
        <v>32.79</v>
      </c>
      <c r="K219" s="17" t="n">
        <v>1651.93</v>
      </c>
      <c r="L219" s="17" t="n">
        <v>672.36</v>
      </c>
    </row>
    <row r="220">
      <c r="A220" s="16" t="inlineStr">
        <is>
          <t>5.29-6.4</t>
        </is>
      </c>
      <c r="B220" s="16" t="inlineStr">
        <is>
          <t>SA8056T</t>
        </is>
      </c>
      <c r="C22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D220" s="17" t="n">
        <v>1476.49</v>
      </c>
      <c r="E220" s="18" t="n">
        <v>0.01787271224400493</v>
      </c>
      <c r="F220" s="16" t="n">
        <v>13</v>
      </c>
      <c r="G220" s="16" t="n">
        <v>11</v>
      </c>
      <c r="H220" s="16" t="n">
        <v>11</v>
      </c>
      <c r="I220" s="17" t="n">
        <v>134.23</v>
      </c>
      <c r="J220" s="17" t="n">
        <v>113.58</v>
      </c>
      <c r="K220" s="17" t="n">
        <v>1606.2</v>
      </c>
      <c r="L220" s="17" t="n">
        <v>103.44</v>
      </c>
    </row>
    <row r="221">
      <c r="A221" s="16" t="inlineStr">
        <is>
          <t>5.29-6.4</t>
        </is>
      </c>
      <c r="B221" s="16" t="inlineStr">
        <is>
          <t>MCM-001R</t>
        </is>
      </c>
      <c r="C221" s="16" t="inlineStr">
        <is>
          <t>Musicord Altavoz Inalámbrico BT Portátil: ¡Sonido impactante, luces LED multicolores y 4 horas de autonomía! Compatible con TWS, FM, TF y USB – Imprescindible para fiestas y viajes</t>
        </is>
      </c>
      <c r="D221" s="17" t="n">
        <v>1361</v>
      </c>
      <c r="E221" s="18" t="n">
        <v>0.01647471279460375</v>
      </c>
      <c r="F221" s="16" t="n">
        <v>26</v>
      </c>
      <c r="G221" s="16" t="n">
        <v>23</v>
      </c>
      <c r="H221" s="16" t="n">
        <v>23</v>
      </c>
      <c r="I221" s="17" t="n">
        <v>59.17</v>
      </c>
      <c r="J221" s="17" t="n">
        <v>52.35</v>
      </c>
      <c r="K221" s="17" t="n">
        <v>1460</v>
      </c>
      <c r="L221" s="17" t="n">
        <v>527.83</v>
      </c>
    </row>
    <row r="222">
      <c r="A222" s="16" t="inlineStr">
        <is>
          <t>5.29-6.4</t>
        </is>
      </c>
      <c r="B222" s="16" t="inlineStr">
        <is>
          <t>MB-178-B</t>
        </is>
      </c>
      <c r="C222" s="16" t="inlineStr">
        <is>
          <t>Bocina de Barra Bluetooth LINK BITS con dos altavoces, sonido de alta calidad y multifuncional (Bluetooth, Radio FM, USB, TF, AUX, TWS), ideal para juegos, reuniones, oficina y cine en casa.</t>
        </is>
      </c>
      <c r="D222" s="17" t="n">
        <v>1068.08</v>
      </c>
      <c r="E222" s="18" t="n">
        <v>0.01292887633088978</v>
      </c>
      <c r="F222" s="16" t="n">
        <v>9</v>
      </c>
      <c r="G222" s="16" t="n">
        <v>8</v>
      </c>
      <c r="H222" s="16" t="n">
        <v>8</v>
      </c>
      <c r="I222" s="17" t="n">
        <v>133.51</v>
      </c>
      <c r="J222" s="17" t="n">
        <v>118.68</v>
      </c>
      <c r="K222" s="17" t="n">
        <v>1127</v>
      </c>
      <c r="L222" s="17" t="n">
        <v>122.63</v>
      </c>
    </row>
    <row r="223">
      <c r="A223" s="16" t="inlineStr">
        <is>
          <t>5.29-6.4</t>
        </is>
      </c>
      <c r="B223" s="16" t="inlineStr">
        <is>
          <t>S09W18IB-8PZS</t>
        </is>
      </c>
      <c r="C22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223" s="17" t="n">
        <v>962.72</v>
      </c>
      <c r="E223" s="18" t="n">
        <v>0.01165358408852491</v>
      </c>
      <c r="F223" s="16" t="n">
        <v>4</v>
      </c>
      <c r="G223" s="16" t="n">
        <v>4</v>
      </c>
      <c r="H223" s="16" t="n">
        <v>4</v>
      </c>
      <c r="I223" s="17" t="n">
        <v>240.68</v>
      </c>
      <c r="J223" s="17" t="n">
        <v>240.68</v>
      </c>
      <c r="K223" s="17" t="n">
        <v>1020</v>
      </c>
      <c r="L223" s="17" t="n">
        <v>0</v>
      </c>
    </row>
    <row r="224">
      <c r="A224" s="16" t="inlineStr">
        <is>
          <t>5.29-6.4</t>
        </is>
      </c>
      <c r="B224" s="16" t="inlineStr">
        <is>
          <t>MCM-001A</t>
        </is>
      </c>
      <c r="C224" s="16" t="inlineStr">
        <is>
          <t>Musicord Altavoz Inalámbrico BT Portátil: ¡Sonido impactante, luces LED multicolores y 4 horas de autonomía! Compatible con TWS, FM, TF y USB – Imprescindible para fiestas y viajes</t>
        </is>
      </c>
      <c r="D224" s="17" t="n">
        <v>927.1900000000001</v>
      </c>
      <c r="E224" s="18" t="n">
        <v>0.01122344037498745</v>
      </c>
      <c r="F224" s="16" t="n">
        <v>16</v>
      </c>
      <c r="G224" s="16" t="n">
        <v>15</v>
      </c>
      <c r="H224" s="16" t="n">
        <v>15</v>
      </c>
      <c r="I224" s="17" t="n">
        <v>61.81</v>
      </c>
      <c r="J224" s="17" t="n">
        <v>57.95</v>
      </c>
      <c r="K224" s="17" t="n">
        <v>981.85</v>
      </c>
      <c r="L224" s="17" t="n">
        <v>349.18</v>
      </c>
    </row>
    <row r="225">
      <c r="A225" s="16" t="inlineStr">
        <is>
          <t>5.29-6.4</t>
        </is>
      </c>
      <c r="B225" s="16" t="inlineStr">
        <is>
          <t>MCM-001G</t>
        </is>
      </c>
      <c r="C225" s="16" t="inlineStr">
        <is>
          <t>Musicord Altavoz Inalámbrico BT Portátil: ¡Sonido impactante, luces LED multicolores y 4 horas de autonomía! Compatible con TWS, FM, TF y USB – Imprescindible para fiestas y viajes</t>
        </is>
      </c>
      <c r="D225" s="17" t="n">
        <v>889.2</v>
      </c>
      <c r="E225" s="18" t="n">
        <v>0.01076364105291316</v>
      </c>
      <c r="F225" s="16" t="n">
        <v>20</v>
      </c>
      <c r="G225" s="16" t="n">
        <v>17</v>
      </c>
      <c r="H225" s="16" t="n">
        <v>17</v>
      </c>
      <c r="I225" s="17" t="n">
        <v>52.31</v>
      </c>
      <c r="J225" s="17" t="n">
        <v>44.46</v>
      </c>
      <c r="K225" s="17" t="n">
        <v>1020.77</v>
      </c>
      <c r="L225" s="17" t="n">
        <v>331.62</v>
      </c>
    </row>
    <row r="226">
      <c r="A226" s="16" t="inlineStr">
        <is>
          <t>5.29-6.4</t>
        </is>
      </c>
      <c r="B226" s="16" t="inlineStr">
        <is>
          <t>SA8058T</t>
        </is>
      </c>
      <c r="C226"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D226" s="17" t="n">
        <v>812.71</v>
      </c>
      <c r="E226" s="18" t="n">
        <v>0.009837760005062141</v>
      </c>
      <c r="F226" s="16" t="n">
        <v>4</v>
      </c>
      <c r="G226" s="16" t="n">
        <v>4</v>
      </c>
      <c r="H226" s="16" t="n">
        <v>4</v>
      </c>
      <c r="I226" s="17" t="n">
        <v>203.18</v>
      </c>
      <c r="J226" s="17" t="n">
        <v>203.18</v>
      </c>
      <c r="K226" s="17" t="n">
        <v>840</v>
      </c>
      <c r="L226" s="17" t="n">
        <v>51.72</v>
      </c>
    </row>
    <row r="227">
      <c r="A227" s="16" t="inlineStr">
        <is>
          <t>5.29-6.4</t>
        </is>
      </c>
      <c r="B227" s="16" t="inlineStr">
        <is>
          <t>EM04W36</t>
        </is>
      </c>
      <c r="C22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D227" s="17" t="n">
        <v>761.21</v>
      </c>
      <c r="E227" s="18" t="n">
        <v>0.009214262910137308</v>
      </c>
      <c r="F227" s="16" t="n">
        <v>11</v>
      </c>
      <c r="G227" s="16" t="n">
        <v>10</v>
      </c>
      <c r="H227" s="16" t="n">
        <v>10</v>
      </c>
      <c r="I227" s="17" t="n">
        <v>76.12</v>
      </c>
      <c r="J227" s="17" t="n">
        <v>69.2</v>
      </c>
      <c r="K227" s="17" t="n">
        <v>823.04</v>
      </c>
      <c r="L227" s="17" t="n">
        <v>206.88</v>
      </c>
    </row>
    <row r="228">
      <c r="A228" s="16" t="inlineStr">
        <is>
          <t>5.29-6.4</t>
        </is>
      </c>
      <c r="B228" s="16" t="inlineStr">
        <is>
          <t>VA384T-N</t>
        </is>
      </c>
      <c r="C228" s="16" t="inlineStr">
        <is>
          <t>Bocina Portátil Bluetooth de 3 Pulgadas con Radio FM, USB TF TWS, Sonido Estéreo 5W, Bocina Recargable para Hogar Exterior Viaje Fiesta Camping</t>
        </is>
      </c>
      <c r="D228" s="17" t="n">
        <v>650.26</v>
      </c>
      <c r="E228" s="18" t="n">
        <v>0.007871291991046926</v>
      </c>
      <c r="F228" s="16" t="n">
        <v>15</v>
      </c>
      <c r="G228" s="16" t="n">
        <v>15</v>
      </c>
      <c r="H228" s="16" t="n">
        <v>15</v>
      </c>
      <c r="I228" s="17" t="n">
        <v>43.35</v>
      </c>
      <c r="J228" s="17" t="n">
        <v>43.35</v>
      </c>
      <c r="K228" s="17" t="n">
        <v>744</v>
      </c>
      <c r="L228" s="17" t="n">
        <v>325.34</v>
      </c>
    </row>
    <row r="229">
      <c r="A229" s="16" t="inlineStr">
        <is>
          <t>5.29-6.4</t>
        </is>
      </c>
      <c r="B229" s="16" t="inlineStr">
        <is>
          <t>LV64W25</t>
        </is>
      </c>
      <c r="C229" s="16" t="inlineStr">
        <is>
          <t>Ventilador de Techo LED TIANLAI con 5 Aspas, Control Remoto, 3 Colores Luz, 3 Velocidades, Temporizador, Fácil Instalación, E27 para Baño Cocina Dormitorio Salón</t>
        </is>
      </c>
      <c r="D229" s="17" t="n">
        <v>638.51</v>
      </c>
      <c r="E229" s="18" t="n">
        <v>0.007729022177799588</v>
      </c>
      <c r="F229" s="16" t="n">
        <v>6</v>
      </c>
      <c r="G229" s="16" t="n">
        <v>5</v>
      </c>
      <c r="H229" s="16" t="n">
        <v>5</v>
      </c>
      <c r="I229" s="17" t="n">
        <v>127.7</v>
      </c>
      <c r="J229" s="17" t="n">
        <v>106.42</v>
      </c>
      <c r="K229" s="17" t="n">
        <v>645.99</v>
      </c>
      <c r="L229" s="17" t="n">
        <v>103.44</v>
      </c>
    </row>
    <row r="230">
      <c r="A230" s="16" t="inlineStr">
        <is>
          <t>5.29-6.4</t>
        </is>
      </c>
      <c r="B230" s="16" t="inlineStr">
        <is>
          <t>MB-184N</t>
        </is>
      </c>
      <c r="C230" s="16" t="inlineStr">
        <is>
          <t>Link bits Portable Bluetooth Speaker - 800W Peak Power, 50W Full-Range Audio with Dual Bass System &amp; Deep Bass Membranes, Powerful &amp; Distortion-Free Sound, IP65 Waterproof Dustproof, TWS Support &amp; 6H Battery for Outdoor/Party</t>
        </is>
      </c>
      <c r="D230" s="17" t="n">
        <v>636.3099999999999</v>
      </c>
      <c r="E230" s="18" t="n">
        <v>0.007702397011973562</v>
      </c>
      <c r="F230" s="16" t="n">
        <v>1</v>
      </c>
      <c r="G230" s="16" t="n">
        <v>1</v>
      </c>
      <c r="H230" s="16" t="n">
        <v>1</v>
      </c>
      <c r="I230" s="17" t="n">
        <v>636.3099999999999</v>
      </c>
      <c r="J230" s="17" t="n">
        <v>636.3099999999999</v>
      </c>
      <c r="K230" s="17" t="n">
        <v>630</v>
      </c>
      <c r="L230" s="17" t="n">
        <v>0</v>
      </c>
    </row>
    <row r="231">
      <c r="A231" s="16" t="inlineStr">
        <is>
          <t>5.29-6.4</t>
        </is>
      </c>
      <c r="B231" s="16" t="inlineStr">
        <is>
          <t>VA384T-R</t>
        </is>
      </c>
      <c r="C231" s="16" t="inlineStr">
        <is>
          <t>Bocina Portátil Bluetooth de 3 Pulgadas con Radio FM, USB TF TWS, Sonido Estéreo 5W, Bocina Recargable para Hogar Exterior Viaje Fiesta Camping</t>
        </is>
      </c>
      <c r="D231" s="17" t="n">
        <v>455.91</v>
      </c>
      <c r="E231" s="18" t="n">
        <v>0.005518687351471576</v>
      </c>
      <c r="F231" s="16" t="n">
        <v>10</v>
      </c>
      <c r="G231" s="16" t="n">
        <v>6</v>
      </c>
      <c r="H231" s="16" t="n">
        <v>6</v>
      </c>
      <c r="I231" s="17" t="n">
        <v>75.98</v>
      </c>
      <c r="J231" s="17" t="n">
        <v>45.59</v>
      </c>
      <c r="K231" s="17" t="n">
        <v>494</v>
      </c>
      <c r="L231" s="17" t="n">
        <v>118.08</v>
      </c>
    </row>
    <row r="232">
      <c r="A232" s="16" t="inlineStr">
        <is>
          <t>5.29-6.4</t>
        </is>
      </c>
      <c r="B232" s="16" t="inlineStr">
        <is>
          <t>VA384T-G</t>
        </is>
      </c>
      <c r="C232" s="16" t="inlineStr">
        <is>
          <t>Bocina Portátil Bluetooth de 3 Pulgadas con Radio FM, USB TF TWS, Sonido Estéreo 5W, Bocina Recargable para Hogar Exterior Viaje Fiesta Camping</t>
        </is>
      </c>
      <c r="D232" s="17" t="n">
        <v>426.33</v>
      </c>
      <c r="E232" s="18" t="n">
        <v>0.005160600024291599</v>
      </c>
      <c r="F232" s="16" t="n">
        <v>9</v>
      </c>
      <c r="G232" s="16" t="n">
        <v>8</v>
      </c>
      <c r="H232" s="16" t="n">
        <v>8</v>
      </c>
      <c r="I232" s="17" t="n">
        <v>53.29</v>
      </c>
      <c r="J232" s="17" t="n">
        <v>47.37</v>
      </c>
      <c r="K232" s="17" t="n">
        <v>435</v>
      </c>
      <c r="L232" s="17" t="n">
        <v>206.88</v>
      </c>
    </row>
    <row r="233">
      <c r="A233" s="16" t="inlineStr">
        <is>
          <t>5.29-6.4</t>
        </is>
      </c>
      <c r="B233" s="16" t="inlineStr">
        <is>
          <t>KTS-1678N</t>
        </is>
      </c>
      <c r="C233" s="16" t="inlineStr">
        <is>
          <t>Bocina portátil Inalámbrico, de 3 pulgadas, tamaño de bolsillo, 170 g, con asa, compatible con TF, USB y Micro SD, con radio FM y función TWS (True Wireless Stereo), adecuada para relajarse en casa o viajar al aire libre.</t>
        </is>
      </c>
      <c r="D233" s="17" t="n">
        <v>390.89</v>
      </c>
      <c r="E233" s="18" t="n">
        <v>0.004731615347660706</v>
      </c>
      <c r="F233" s="16" t="n">
        <v>11</v>
      </c>
      <c r="G233" s="16" t="n">
        <v>10</v>
      </c>
      <c r="H233" s="16" t="n">
        <v>10</v>
      </c>
      <c r="I233" s="17" t="n">
        <v>39.09</v>
      </c>
      <c r="J233" s="17" t="n">
        <v>35.54</v>
      </c>
      <c r="K233" s="17" t="n">
        <v>451.5</v>
      </c>
      <c r="L233" s="17" t="n">
        <v>215.56</v>
      </c>
    </row>
    <row r="234">
      <c r="A234" s="16" t="inlineStr">
        <is>
          <t>5.29-6.4</t>
        </is>
      </c>
      <c r="B234" s="16" t="inlineStr">
        <is>
          <t>VA384T-A</t>
        </is>
      </c>
      <c r="C234" s="16" t="inlineStr">
        <is>
          <t>Bocina Portátil Bluetooth de 3 Pulgadas con Radio FM, USB TF TWS, Sonido Estéreo 5W, Bocina Recargable para Hogar Exterior Viaje Fiesta Camping</t>
        </is>
      </c>
      <c r="D234" s="17" t="n">
        <v>326.55</v>
      </c>
      <c r="E234" s="18" t="n">
        <v>0.003952854516069678</v>
      </c>
      <c r="F234" s="16" t="n">
        <v>8</v>
      </c>
      <c r="G234" s="16" t="n">
        <v>7</v>
      </c>
      <c r="H234" s="16" t="n">
        <v>7</v>
      </c>
      <c r="I234" s="17" t="n">
        <v>46.65</v>
      </c>
      <c r="J234" s="17" t="n">
        <v>40.82</v>
      </c>
      <c r="K234" s="17" t="n">
        <v>378</v>
      </c>
      <c r="L234" s="17" t="n">
        <v>142.5</v>
      </c>
    </row>
    <row r="235">
      <c r="A235" s="16" t="inlineStr">
        <is>
          <t>5.29-6.4</t>
        </is>
      </c>
      <c r="B235" s="16" t="inlineStr">
        <is>
          <t>KTS-1678A</t>
        </is>
      </c>
      <c r="C235" s="16" t="inlineStr">
        <is>
          <t>Bocina portátil Inalámbrico, de 3 pulgadas, tamaño de bolsillo, 170 g, con asa, compatible con TF, USB y Micro SD, con radio FM y función TWS (True Wireless Stereo), adecuada para relajarse en casa o viajar al aire libre.</t>
        </is>
      </c>
      <c r="D235" s="17" t="n">
        <v>303.32</v>
      </c>
      <c r="E235" s="18" t="n">
        <v>0.003671649163370453</v>
      </c>
      <c r="F235" s="16" t="n">
        <v>11</v>
      </c>
      <c r="G235" s="16" t="n">
        <v>10</v>
      </c>
      <c r="H235" s="16" t="n">
        <v>10</v>
      </c>
      <c r="I235" s="17" t="n">
        <v>30.33</v>
      </c>
      <c r="J235" s="17" t="n">
        <v>27.57</v>
      </c>
      <c r="K235" s="17" t="n">
        <v>460</v>
      </c>
      <c r="L235" s="17" t="n">
        <v>176.68</v>
      </c>
    </row>
    <row r="236">
      <c r="A236" s="16" t="inlineStr">
        <is>
          <t>5.29-6.4</t>
        </is>
      </c>
      <c r="B236" s="16" t="inlineStr">
        <is>
          <t>KTS-1678V</t>
        </is>
      </c>
      <c r="C236" s="16" t="inlineStr">
        <is>
          <t>Bocina portátil Inalámbrico, de 3 pulgadas, tamaño de bolsillo, 170 g, con asa, compatible con TF, USB y Micro SD, con radio FM y función TWS (True Wireless Stereo), adecuada para relajarse en casa o viajar al aire libre.</t>
        </is>
      </c>
      <c r="D236" s="17" t="n">
        <v>291.34</v>
      </c>
      <c r="E236" s="18" t="n">
        <v>0.003526588582929285</v>
      </c>
      <c r="F236" s="16" t="n">
        <v>11</v>
      </c>
      <c r="G236" s="16" t="n">
        <v>11</v>
      </c>
      <c r="H236" s="16" t="n">
        <v>11</v>
      </c>
      <c r="I236" s="17" t="n">
        <v>26.49</v>
      </c>
      <c r="J236" s="17" t="n">
        <v>26.49</v>
      </c>
      <c r="K236" s="17" t="n">
        <v>460</v>
      </c>
      <c r="L236" s="17" t="n">
        <v>143.21</v>
      </c>
    </row>
    <row r="237">
      <c r="A237" s="16" t="inlineStr">
        <is>
          <t>5.29-6.4</t>
        </is>
      </c>
      <c r="B237" s="16" t="inlineStr">
        <is>
          <t>KTS-1678Y</t>
        </is>
      </c>
      <c r="C237" s="16" t="inlineStr">
        <is>
          <t>Bocina portátil Inalámbrico, de 3 pulgadas, tamaño de bolsillo, 170 g, con asa, compatible con TF, USB y Micro SD, con radio FM y función TWS (True Wireless Stereo), adecuada para relajarse en casa o viajar al aire libre.</t>
        </is>
      </c>
      <c r="D237" s="17" t="n">
        <v>274.72</v>
      </c>
      <c r="E237" s="18" t="n">
        <v>0.003325428800486601</v>
      </c>
      <c r="F237" s="16" t="n">
        <v>8</v>
      </c>
      <c r="G237" s="16" t="n">
        <v>8</v>
      </c>
      <c r="H237" s="16" t="n">
        <v>8</v>
      </c>
      <c r="I237" s="17" t="n">
        <v>34.34</v>
      </c>
      <c r="J237" s="17" t="n">
        <v>34.34</v>
      </c>
      <c r="K237" s="17" t="n">
        <v>330</v>
      </c>
      <c r="L237" s="17" t="n">
        <v>168.09</v>
      </c>
    </row>
    <row r="238">
      <c r="A238" s="16" t="inlineStr">
        <is>
          <t>5.29-6.4</t>
        </is>
      </c>
      <c r="B238" s="16" t="inlineStr">
        <is>
          <t>LMC02</t>
        </is>
      </c>
      <c r="C238" s="16" t="inlineStr">
        <is>
          <t>Tira de poder 16 en 1 montable en pared con 10 tomas CA, 4 USB, 2 Tipo‑C, interruptor mecánico y protección contra sobrecarga. 125V 15A 1850W, color blanco, ideal para hogar, oficina y estudio. Carga segura y múltiple.</t>
        </is>
      </c>
      <c r="D238" s="17" t="n">
        <v>251.63</v>
      </c>
      <c r="E238" s="18" t="n">
        <v>0.003045882413928841</v>
      </c>
      <c r="F238" s="16" t="n">
        <v>3</v>
      </c>
      <c r="G238" s="16" t="n">
        <v>2</v>
      </c>
      <c r="H238" s="16" t="n">
        <v>2</v>
      </c>
      <c r="I238" s="17" t="n">
        <v>125.81</v>
      </c>
      <c r="J238" s="17" t="n">
        <v>83.88</v>
      </c>
      <c r="K238" s="17" t="n">
        <v>243</v>
      </c>
      <c r="L238" s="17" t="n">
        <v>51.72</v>
      </c>
    </row>
    <row r="239">
      <c r="A239" s="16" t="inlineStr">
        <is>
          <t>5.29-6.4</t>
        </is>
      </c>
      <c r="B239" s="16" t="inlineStr">
        <is>
          <t>S09W18IB</t>
        </is>
      </c>
      <c r="C23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D239" s="17" t="n">
        <v>235.11</v>
      </c>
      <c r="E239" s="18" t="n">
        <v>0.00284597971746785</v>
      </c>
      <c r="F239" s="16" t="n">
        <v>8</v>
      </c>
      <c r="G239" s="16" t="n">
        <v>5</v>
      </c>
      <c r="H239" s="16" t="n">
        <v>5</v>
      </c>
      <c r="I239" s="17" t="n">
        <v>47.02</v>
      </c>
      <c r="J239" s="17" t="n">
        <v>29.39</v>
      </c>
      <c r="K239" s="17" t="n">
        <v>248</v>
      </c>
      <c r="L239" s="17" t="n">
        <v>129.3</v>
      </c>
    </row>
    <row r="240">
      <c r="A240" s="16" t="inlineStr">
        <is>
          <t>5.29-6.4</t>
        </is>
      </c>
      <c r="B240" s="16" t="inlineStr">
        <is>
          <t>KTS-1678R</t>
        </is>
      </c>
      <c r="C240" s="16" t="inlineStr">
        <is>
          <t>Bocina portátil Inalámbrico, de 3 pulgadas, tamaño de bolsillo, 170 g, con asa, compatible con TF, USB y Micro SD, con radio FM y función TWS (True Wireless Stereo), adecuada para relajarse en casa o viajar al aire libre.</t>
        </is>
      </c>
      <c r="D240" s="17" t="n">
        <v>210.76</v>
      </c>
      <c r="E240" s="18" t="n">
        <v>0.002551164305803612</v>
      </c>
      <c r="F240" s="16" t="n">
        <v>7</v>
      </c>
      <c r="G240" s="16" t="n">
        <v>7</v>
      </c>
      <c r="H240" s="16" t="n">
        <v>7</v>
      </c>
      <c r="I240" s="17" t="n">
        <v>30.11</v>
      </c>
      <c r="J240" s="17" t="n">
        <v>30.11</v>
      </c>
      <c r="K240" s="17" t="n">
        <v>292.5</v>
      </c>
      <c r="L240" s="17" t="n">
        <v>109.96</v>
      </c>
    </row>
    <row r="241">
      <c r="A241" s="16" t="inlineStr">
        <is>
          <t>5.29-6.4</t>
        </is>
      </c>
      <c r="B241" s="16" t="inlineStr">
        <is>
          <t>S39W48</t>
        </is>
      </c>
      <c r="C241"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241" s="17" t="n">
        <v>196.65</v>
      </c>
      <c r="E241" s="18" t="n">
        <v>0.00238042878822744</v>
      </c>
      <c r="F241" s="16" t="n">
        <v>9</v>
      </c>
      <c r="G241" s="16" t="n">
        <v>5</v>
      </c>
      <c r="H241" s="16" t="n">
        <v>7</v>
      </c>
      <c r="I241" s="17" t="n">
        <v>39.33</v>
      </c>
      <c r="J241" s="17" t="n">
        <v>21.85</v>
      </c>
      <c r="K241" s="17" t="n">
        <v>270</v>
      </c>
      <c r="L241" s="17" t="n">
        <v>129.3</v>
      </c>
    </row>
    <row r="242">
      <c r="A242" s="16" t="inlineStr">
        <is>
          <t>5.29-6.4</t>
        </is>
      </c>
      <c r="B242" s="16" t="inlineStr">
        <is>
          <t>SA323T</t>
        </is>
      </c>
      <c r="C242" s="16" t="inlineStr">
        <is>
          <t>Linkbits Bocina Portátil Parlantes BT Portátiles con Iluminación de Ambiente | 1 Hora de Duración, FM, TWS, TF/Micro SD | Ideal para Hogar, Fiestas y Viajes</t>
        </is>
      </c>
      <c r="D242" s="17" t="n">
        <v>194.16</v>
      </c>
      <c r="E242" s="18" t="n">
        <v>0.002350244804119105</v>
      </c>
      <c r="F242" s="16" t="n">
        <v>5</v>
      </c>
      <c r="G242" s="16" t="n">
        <v>5</v>
      </c>
      <c r="H242" s="16" t="n">
        <v>5</v>
      </c>
      <c r="I242" s="17" t="n">
        <v>38.83</v>
      </c>
      <c r="J242" s="17" t="n">
        <v>38.83</v>
      </c>
      <c r="K242" s="17" t="n">
        <v>237.7</v>
      </c>
      <c r="L242" s="17" t="n">
        <v>93.34999999999999</v>
      </c>
    </row>
    <row r="243">
      <c r="A243" s="16" t="inlineStr">
        <is>
          <t>5.29-6.4</t>
        </is>
      </c>
      <c r="B243" s="16" t="inlineStr">
        <is>
          <t>S39W48-5PZS</t>
        </is>
      </c>
      <c r="C24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D243" s="17" t="n">
        <v>156.83</v>
      </c>
      <c r="E243" s="18" t="n">
        <v>0.001898340853557182</v>
      </c>
      <c r="F243" s="16" t="n">
        <v>1</v>
      </c>
      <c r="G243" s="16" t="n">
        <v>1</v>
      </c>
      <c r="H243" s="16" t="n">
        <v>1</v>
      </c>
      <c r="I243" s="17" t="n">
        <v>156.83</v>
      </c>
      <c r="J243" s="17" t="n">
        <v>156.83</v>
      </c>
      <c r="K243" s="17" t="n">
        <v>150</v>
      </c>
      <c r="L243" s="17" t="n">
        <v>25.86</v>
      </c>
    </row>
    <row r="244">
      <c r="A244" s="16" t="inlineStr">
        <is>
          <t>5.29-6.4</t>
        </is>
      </c>
      <c r="B244" s="16" t="inlineStr">
        <is>
          <t>SA316T</t>
        </is>
      </c>
      <c r="C244" s="16" t="inlineStr">
        <is>
          <t>Linkbits Máquina Portátil de Karaoke y Altavoz para Karaoke，Altavoz Inalámbrico de 3" con TWS, micrófono incluido, radio FM, tarjeta Micro SD y puerto USB, luces RGB, recargable, potencia de 10W</t>
        </is>
      </c>
      <c r="D244" s="17" t="n">
        <v>135.93</v>
      </c>
      <c r="E244" s="18" t="n">
        <v>0.001645361529669819</v>
      </c>
      <c r="F244" s="16" t="n">
        <v>1</v>
      </c>
      <c r="G244" s="16" t="n">
        <v>1</v>
      </c>
      <c r="H244" s="16" t="n">
        <v>1</v>
      </c>
      <c r="I244" s="17" t="n">
        <v>135.93</v>
      </c>
      <c r="J244" s="17" t="n">
        <v>135.93</v>
      </c>
      <c r="K244" s="17" t="n">
        <v>132</v>
      </c>
      <c r="L244" s="17" t="n">
        <v>25.86</v>
      </c>
    </row>
    <row r="245">
      <c r="A245" s="16" t="inlineStr">
        <is>
          <t>5.29-6.4</t>
        </is>
      </c>
      <c r="B245" s="16" t="inlineStr">
        <is>
          <t>T5050RGB07</t>
        </is>
      </c>
      <c r="C245"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D245" s="17" t="n">
        <v>132.81</v>
      </c>
      <c r="E245" s="18" t="n">
        <v>0.00160765621311348</v>
      </c>
      <c r="F245" s="16" t="n">
        <v>3</v>
      </c>
      <c r="G245" s="16" t="n">
        <v>3</v>
      </c>
      <c r="H245" s="16" t="n">
        <v>3</v>
      </c>
      <c r="I245" s="17" t="n">
        <v>44.27</v>
      </c>
      <c r="J245" s="17" t="n">
        <v>44.27</v>
      </c>
      <c r="K245" s="17" t="n">
        <v>162.8</v>
      </c>
      <c r="L245" s="17" t="n">
        <v>51.72</v>
      </c>
    </row>
    <row r="246">
      <c r="A246" s="16" t="inlineStr">
        <is>
          <t>5.29-6.4</t>
        </is>
      </c>
      <c r="B246" s="16" t="inlineStr">
        <is>
          <t>KTS-1943-N</t>
        </is>
      </c>
      <c r="C246" s="16" t="inlineStr">
        <is>
          <t>Altavoz Mini Karaoke Portátil BT con Micrófono Inalámbrico, Función TWS, Radio FM, USB/TF, Batería de Larga Duración, Perfecto para Casa, Exterior y Regalos Especiales</t>
        </is>
      </c>
      <c r="D246" s="17" t="n">
        <v>131.21</v>
      </c>
      <c r="E246" s="18" t="n">
        <v>0.001588220707555402</v>
      </c>
      <c r="F246" s="16" t="n">
        <v>2</v>
      </c>
      <c r="G246" s="16" t="n">
        <v>2</v>
      </c>
      <c r="H246" s="16" t="n">
        <v>2</v>
      </c>
      <c r="I246" s="17" t="n">
        <v>65.59999999999999</v>
      </c>
      <c r="J246" s="17" t="n">
        <v>65.59999999999999</v>
      </c>
      <c r="K246" s="17" t="n">
        <v>135</v>
      </c>
      <c r="L246" s="17" t="n">
        <v>51.72</v>
      </c>
    </row>
    <row r="247">
      <c r="A247" s="16" t="inlineStr">
        <is>
          <t>5.29-6.4</t>
        </is>
      </c>
      <c r="B247" s="16" t="inlineStr">
        <is>
          <t>MB-183R</t>
        </is>
      </c>
      <c r="C247" s="16" t="inlineStr">
        <is>
          <t>Linkbits Altavoz Bluetooth Portátil con Stereo Inalámbrico TWS Impermeable y a Prueba de Polvo IP65 Altavoz de Graves de Rango Completo de 52mm con Doble Unidad Ligero de 215g para Camping Senderismo y Fiestas al Aire Libre</t>
        </is>
      </c>
      <c r="D247" s="17" t="n">
        <v>85.81</v>
      </c>
      <c r="E247" s="18" t="n">
        <v>0.001038687114023347</v>
      </c>
      <c r="F247" s="16" t="n">
        <v>1</v>
      </c>
      <c r="G247" s="16" t="n">
        <v>1</v>
      </c>
      <c r="H247" s="16" t="n">
        <v>1</v>
      </c>
      <c r="I247" s="17" t="n">
        <v>85.81</v>
      </c>
      <c r="J247" s="17" t="n">
        <v>85.81</v>
      </c>
      <c r="K247" s="17" t="n">
        <v>84.90000000000001</v>
      </c>
      <c r="L247" s="17" t="n">
        <v>25.86</v>
      </c>
    </row>
    <row r="248">
      <c r="A248" s="16" t="inlineStr">
        <is>
          <t>5.29-6.4</t>
        </is>
      </c>
      <c r="B248" s="16" t="inlineStr">
        <is>
          <t>VA377T</t>
        </is>
      </c>
      <c r="C248" s="16" t="inlineStr">
        <is>
          <t>Bocina Inalámbrica 3 Pulgadas Bluetooth FM USB TF TWS Luz LED, Regalo Perfecto, Recargable para Fiesta Viaje y Uso Diario</t>
        </is>
      </c>
      <c r="D248" s="17" t="n">
        <v>75.66</v>
      </c>
      <c r="E248" s="18" t="n">
        <v>0.0009158752002586539</v>
      </c>
      <c r="F248" s="16" t="n">
        <v>2</v>
      </c>
      <c r="G248" s="16" t="n">
        <v>2</v>
      </c>
      <c r="H248" s="16" t="n">
        <v>2</v>
      </c>
      <c r="I248" s="17" t="n">
        <v>37.83</v>
      </c>
      <c r="J248" s="17" t="n">
        <v>37.83</v>
      </c>
      <c r="K248" s="17" t="n">
        <v>80</v>
      </c>
      <c r="L248" s="17" t="n">
        <v>51.72</v>
      </c>
    </row>
    <row r="249">
      <c r="A249" s="16" t="inlineStr">
        <is>
          <t>5.29-6.4</t>
        </is>
      </c>
      <c r="B249" s="16" t="inlineStr">
        <is>
          <t>MB-183N</t>
        </is>
      </c>
      <c r="C249" s="16" t="inlineStr">
        <is>
          <t>Linkbits Altavoz Bluetooth Portátil con Stereo Inalámbrico TWS Impermeable y a Prueba de Polvo IP65 Altavoz de Graves de Rango Completo de 52mm con Doble Unidad Ligero de 215g para Camping Senderismo y Fiestas al Aire Libre</t>
        </is>
      </c>
      <c r="D249" s="17" t="n">
        <v>70.09</v>
      </c>
      <c r="E249" s="18" t="n">
        <v>0.0008484053317486795</v>
      </c>
      <c r="F249" s="16" t="n">
        <v>1</v>
      </c>
      <c r="G249" s="16" t="n">
        <v>1</v>
      </c>
      <c r="H249" s="16" t="n">
        <v>1</v>
      </c>
      <c r="I249" s="17" t="n">
        <v>70.09</v>
      </c>
      <c r="J249" s="17" t="n">
        <v>70.09</v>
      </c>
      <c r="K249" s="17" t="n">
        <v>70</v>
      </c>
      <c r="L249" s="17" t="n">
        <v>25.86</v>
      </c>
    </row>
    <row r="250">
      <c r="A250" s="16" t="inlineStr">
        <is>
          <t>5.29-6.4</t>
        </is>
      </c>
      <c r="B250" s="16" t="inlineStr">
        <is>
          <t>KTS-1943-Y</t>
        </is>
      </c>
      <c r="C250" s="16" t="inlineStr">
        <is>
          <t>Altavoz Mini Karaoke Portátil BT con Micrófono Inalámbrico, Función TWS, Radio FM, USB/TF, Batería de Larga Duración, Perfecto para Casa, Exterior y Regalos Especiales</t>
        </is>
      </c>
      <c r="D250" s="17" t="n">
        <v>67.34999999999999</v>
      </c>
      <c r="E250" s="18" t="n">
        <v>0.0008152937959343007</v>
      </c>
      <c r="F250" s="16" t="n">
        <v>1</v>
      </c>
      <c r="G250" s="16" t="n">
        <v>1</v>
      </c>
      <c r="H250" s="16" t="n">
        <v>1</v>
      </c>
      <c r="I250" s="17" t="n">
        <v>67.34999999999999</v>
      </c>
      <c r="J250" s="17" t="n">
        <v>67.34999999999999</v>
      </c>
      <c r="K250" s="17" t="n">
        <v>67.5</v>
      </c>
      <c r="L250" s="17" t="n">
        <v>25.86</v>
      </c>
    </row>
    <row r="251">
      <c r="A251" s="16" t="inlineStr">
        <is>
          <t>5.29-6.4</t>
        </is>
      </c>
      <c r="B251" s="16" t="inlineStr">
        <is>
          <t>S58W60</t>
        </is>
      </c>
      <c r="C251"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D251" s="17" t="n">
        <v>59.24</v>
      </c>
      <c r="E251" s="18" t="n">
        <v>0.000717069806101375</v>
      </c>
      <c r="F251" s="16" t="n">
        <v>1</v>
      </c>
      <c r="G251" s="16" t="n">
        <v>1</v>
      </c>
      <c r="H251" s="16" t="n">
        <v>1</v>
      </c>
      <c r="I251" s="17" t="n">
        <v>59.24</v>
      </c>
      <c r="J251" s="17" t="n">
        <v>59.24</v>
      </c>
      <c r="K251" s="17" t="n">
        <v>59</v>
      </c>
      <c r="L251" s="17" t="n">
        <v>25.86</v>
      </c>
    </row>
    <row r="252">
      <c r="A252" s="16" t="inlineStr">
        <is>
          <t>5.29-6.4</t>
        </is>
      </c>
      <c r="B252" s="16" t="inlineStr">
        <is>
          <t>MCM-003-V</t>
        </is>
      </c>
      <c r="C252"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D252" s="17" t="n">
        <v>54.8</v>
      </c>
      <c r="E252" s="18" t="n">
        <v>0.0006633697802343949</v>
      </c>
      <c r="F252" s="16" t="n">
        <v>2</v>
      </c>
      <c r="G252" s="16" t="n">
        <v>2</v>
      </c>
      <c r="H252" s="16" t="n">
        <v>2</v>
      </c>
      <c r="I252" s="17" t="n">
        <v>27.4</v>
      </c>
      <c r="J252" s="17" t="n">
        <v>27.4</v>
      </c>
      <c r="K252" s="17" t="n">
        <v>86</v>
      </c>
      <c r="L252" s="17" t="n">
        <v>25.86</v>
      </c>
    </row>
    <row r="253">
      <c r="A253" s="16" t="inlineStr">
        <is>
          <t>5.29-6.4</t>
        </is>
      </c>
      <c r="B253" s="16" t="inlineStr">
        <is>
          <t>MCM-003-N</t>
        </is>
      </c>
      <c r="C253"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D253" s="17" t="n">
        <v>28.57</v>
      </c>
      <c r="E253" s="18" t="n">
        <v>0.0003458075883824002</v>
      </c>
      <c r="F253" s="16" t="n">
        <v>1</v>
      </c>
      <c r="G253" s="16" t="n">
        <v>1</v>
      </c>
      <c r="H253" s="16" t="n">
        <v>1</v>
      </c>
      <c r="I253" s="17" t="n">
        <v>28.57</v>
      </c>
      <c r="J253" s="17" t="n">
        <v>28.57</v>
      </c>
      <c r="K253" s="17" t="n">
        <v>48</v>
      </c>
      <c r="L253" s="17" t="n">
        <v>10.09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467"/>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22" customWidth="1" min="4" max="4"/>
    <col width="13" customWidth="1" min="5" max="5"/>
    <col width="16"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69" customHeight="1">
      <c r="A1" s="5" t="inlineStr">
        <is>
          <t>周期</t>
        </is>
      </c>
      <c r="B1" s="5" t="inlineStr">
        <is>
          <t>订单ID</t>
        </is>
      </c>
      <c r="C1" s="5" t="inlineStr">
        <is>
          <t>订单状态</t>
        </is>
      </c>
      <c r="D1" s="5" t="inlineStr">
        <is>
          <t>订单行ID</t>
        </is>
      </c>
      <c r="E1" s="5" t="inlineStr">
        <is>
          <t>订单行状态</t>
        </is>
      </c>
      <c r="F1" s="5" t="inlineStr">
        <is>
          <t>SKU</t>
        </is>
      </c>
      <c r="G1" s="5" t="inlineStr">
        <is>
          <t>商品名称</t>
        </is>
      </c>
      <c r="H1" s="5" t="inlineStr">
        <is>
          <t>规格</t>
        </is>
      </c>
      <c r="I1" s="5" t="inlineStr">
        <is>
          <t>销量</t>
        </is>
      </c>
      <c r="J1" s="5" t="inlineStr">
        <is>
          <t>Base price total</t>
        </is>
      </c>
      <c r="K1" s="5" t="inlineStr">
        <is>
          <t>Retail after discounts tax excl.</t>
        </is>
      </c>
      <c r="L1" s="5" t="inlineStr">
        <is>
          <t>Shipping tax excl.</t>
        </is>
      </c>
      <c r="M1" s="5" t="inlineStr">
        <is>
          <t>Product refund</t>
        </is>
      </c>
      <c r="N1" s="5" t="inlineStr">
        <is>
          <t>返还VAT（应收）</t>
        </is>
      </c>
      <c r="O1" s="5" t="inlineStr">
        <is>
          <t>ISR预扣（应扣）</t>
        </is>
      </c>
      <c r="P1" s="5" t="inlineStr">
        <is>
          <t>尾程预估（应扣）</t>
        </is>
      </c>
      <c r="Q1" s="5" t="inlineStr">
        <is>
          <t>GMV</t>
        </is>
      </c>
    </row>
    <row r="2">
      <c r="A2" s="16" t="inlineStr">
        <is>
          <t>5.1-5.7</t>
        </is>
      </c>
      <c r="B2" s="16" t="inlineStr">
        <is>
          <t>PO-128-00175790198392441</t>
        </is>
      </c>
      <c r="C2" s="16" t="inlineStr">
        <is>
          <t>Shipped</t>
        </is>
      </c>
      <c r="D2" s="16" t="inlineStr">
        <is>
          <t>128-00175748255352441</t>
        </is>
      </c>
      <c r="E2" s="16" t="inlineStr">
        <is>
          <t>Shipped</t>
        </is>
      </c>
      <c r="F2" s="16" t="inlineStr">
        <is>
          <t>LB02235-negro</t>
        </is>
      </c>
      <c r="G2" s="16" t="inlineStr">
        <is>
          <t>Audífonos Inalámbricos para la Cabeza, Recargables y Multifuncionales - Conectan a Varios Dispositivos, soportan Radio FM, Tarjeta TF y AUX - 4 Horas de Reproducción Musical - Ideal para Trabajo Cotidiano, Juegos y Estudio</t>
        </is>
      </c>
      <c r="H2" s="16" t="inlineStr">
        <is>
          <t>NEGRO</t>
        </is>
      </c>
      <c r="I2" s="16" t="n">
        <v>1</v>
      </c>
      <c r="J2" s="17" t="n">
        <v>37.71</v>
      </c>
      <c r="K2" s="17" t="n">
        <v>50.83</v>
      </c>
      <c r="L2" s="17" t="n">
        <v>25.86</v>
      </c>
      <c r="M2" s="17" t="n">
        <v>0</v>
      </c>
      <c r="N2" s="17">
        <f>K2*0.08+L2*0.08</f>
        <v/>
      </c>
      <c r="O2" s="17">
        <f>-(K2*0.025+L2*0.025)</f>
        <v/>
      </c>
      <c r="P2" s="17">
        <f>32</f>
        <v/>
      </c>
      <c r="Q2" s="17">
        <f>J2+L2+N2+O2-P2-M2</f>
        <v/>
      </c>
    </row>
    <row r="3">
      <c r="A3" s="16" t="inlineStr">
        <is>
          <t>5.1-5.7</t>
        </is>
      </c>
      <c r="B3" s="16" t="inlineStr">
        <is>
          <t>PO-128-00276098816633059</t>
        </is>
      </c>
      <c r="C3" s="16" t="inlineStr">
        <is>
          <t>Shipped</t>
        </is>
      </c>
      <c r="D3" s="16" t="inlineStr">
        <is>
          <t>128-00276119788153059</t>
        </is>
      </c>
      <c r="E3" s="16" t="inlineStr">
        <is>
          <t>Shipped</t>
        </is>
      </c>
      <c r="F3" s="16" t="inlineStr">
        <is>
          <t>MB-185N</t>
        </is>
      </c>
      <c r="G3" s="16" t="inlineStr">
        <is>
          <t>Bocina Radio FM/Reproductor, Compatible con Tarjeta TF, USB, Bluetooth, Aplicable para celular, computadora, Ipad y consola.</t>
        </is>
      </c>
      <c r="H3" s="16" t="inlineStr">
        <is>
          <t>NEGRO/MB-185</t>
        </is>
      </c>
      <c r="I3" s="16" t="n">
        <v>1</v>
      </c>
      <c r="J3" s="17" t="n">
        <v>75.5</v>
      </c>
      <c r="K3" s="17" t="n">
        <v>88.45999999999999</v>
      </c>
      <c r="L3" s="17" t="n">
        <v>25.86</v>
      </c>
      <c r="M3" s="17" t="n">
        <v>0</v>
      </c>
      <c r="N3" s="17">
        <f>K3*0.08+L3*0.08</f>
        <v/>
      </c>
      <c r="O3" s="17">
        <f>-(K3*0.025+L3*0.025)</f>
        <v/>
      </c>
      <c r="P3" s="17">
        <f>32</f>
        <v/>
      </c>
      <c r="Q3" s="17">
        <f>J3+L3+N3+O3-P3-M3</f>
        <v/>
      </c>
    </row>
    <row r="4">
      <c r="A4" s="16" t="inlineStr">
        <is>
          <t>5.1-5.7</t>
        </is>
      </c>
      <c r="B4" s="16" t="inlineStr">
        <is>
          <t>PO-128-19457756447352199</t>
        </is>
      </c>
      <c r="C4" s="16" t="inlineStr">
        <is>
          <t>Shipped</t>
        </is>
      </c>
      <c r="D4" s="16" t="inlineStr">
        <is>
          <t>128-19457790526072199</t>
        </is>
      </c>
      <c r="E4" s="16" t="inlineStr">
        <is>
          <t>Shipped</t>
        </is>
      </c>
      <c r="F4" s="16" t="inlineStr">
        <is>
          <t>LB02235-blanco</t>
        </is>
      </c>
      <c r="G4" s="16" t="inlineStr">
        <is>
          <t>Audífonos Inalámbricos para la Cabeza, Recargables y Multifuncionales - Conectan a Varios Dispositivos, soportan Radio FM, Tarjeta TF y AUX - 4 Horas de Reproducción Musical - Ideal para Trabajo Cotidiano, Juegos y Estudio</t>
        </is>
      </c>
      <c r="H4" s="16" t="inlineStr">
        <is>
          <t>BLANCO</t>
        </is>
      </c>
      <c r="I4" s="16" t="n">
        <v>1</v>
      </c>
      <c r="J4" s="17" t="n">
        <v>37.71</v>
      </c>
      <c r="K4" s="17" t="n">
        <v>50.83</v>
      </c>
      <c r="L4" s="17" t="n">
        <v>25.86</v>
      </c>
      <c r="M4" s="17" t="n">
        <v>0</v>
      </c>
      <c r="N4" s="17">
        <f>K4*0.08+L4*0.08</f>
        <v/>
      </c>
      <c r="O4" s="17">
        <f>-(K4*0.025+L4*0.025)</f>
        <v/>
      </c>
      <c r="P4" s="17">
        <f>32</f>
        <v/>
      </c>
      <c r="Q4" s="17">
        <f>J4+L4+N4+O4-P4-M4</f>
        <v/>
      </c>
    </row>
    <row r="5">
      <c r="A5" s="16" t="inlineStr">
        <is>
          <t>5.1-5.7</t>
        </is>
      </c>
      <c r="B5" s="16" t="inlineStr">
        <is>
          <t>PO-128-08464301312632189</t>
        </is>
      </c>
      <c r="C5" s="16" t="inlineStr">
        <is>
          <t>Shipped</t>
        </is>
      </c>
      <c r="D5" s="16" t="inlineStr">
        <is>
          <t>128-08464406170232189</t>
        </is>
      </c>
      <c r="E5" s="16" t="inlineStr">
        <is>
          <t>Shipped</t>
        </is>
      </c>
      <c r="F5" s="16" t="inlineStr">
        <is>
          <t>LB02235-azul</t>
        </is>
      </c>
      <c r="G5" s="16" t="inlineStr">
        <is>
          <t>Audífonos Inalámbricos para la Cabeza, Recargables y Multifuncionales - Conectan a Varios Dispositivos, soportan Radio FM, Tarjeta TF y AUX - 4 Horas de Reproducción Musical - Ideal para Trabajo Cotidiano, Juegos y Estudio</t>
        </is>
      </c>
      <c r="H5" s="16" t="inlineStr">
        <is>
          <t>AZUL</t>
        </is>
      </c>
      <c r="I5" s="16" t="n">
        <v>1</v>
      </c>
      <c r="J5" s="17" t="n">
        <v>37.71</v>
      </c>
      <c r="K5" s="17" t="n">
        <v>50.83</v>
      </c>
      <c r="L5" s="17" t="n">
        <v>25.86</v>
      </c>
      <c r="M5" s="17" t="n">
        <v>0</v>
      </c>
      <c r="N5" s="17">
        <f>K5*0.08+L5*0.08</f>
        <v/>
      </c>
      <c r="O5" s="17">
        <f>-(K5*0.025+L5*0.025)</f>
        <v/>
      </c>
      <c r="P5" s="17">
        <f>32</f>
        <v/>
      </c>
      <c r="Q5" s="17">
        <f>J5+L5+N5+O5-P5-M5</f>
        <v/>
      </c>
    </row>
    <row r="6">
      <c r="A6" s="16" t="inlineStr">
        <is>
          <t>5.1-5.7</t>
        </is>
      </c>
      <c r="B6" s="16" t="inlineStr">
        <is>
          <t>PO-128-03389697434230882</t>
        </is>
      </c>
      <c r="C6" s="16" t="inlineStr">
        <is>
          <t>Shipped</t>
        </is>
      </c>
      <c r="D6" s="16" t="inlineStr">
        <is>
          <t>128-03389723648630882</t>
        </is>
      </c>
      <c r="E6" s="16" t="inlineStr">
        <is>
          <t>Shipped</t>
        </is>
      </c>
      <c r="F6" s="16" t="inlineStr">
        <is>
          <t>LB02235-blanco</t>
        </is>
      </c>
      <c r="G6" s="16" t="inlineStr">
        <is>
          <t>Audífonos Inalámbricos para la Cabeza, Recargables y Multifuncionales - Conectan a Varios Dispositivos, soportan Radio FM, Tarjeta TF y AUX - 4 Horas de Reproducción Musical - Ideal para Trabajo Cotidiano, Juegos y Estudio</t>
        </is>
      </c>
      <c r="H6" s="16" t="inlineStr">
        <is>
          <t>BLANCO</t>
        </is>
      </c>
      <c r="I6" s="16" t="n">
        <v>1</v>
      </c>
      <c r="J6" s="17" t="n">
        <v>35</v>
      </c>
      <c r="K6" s="17" t="n">
        <v>48.12</v>
      </c>
      <c r="L6" s="17" t="n">
        <v>12.93</v>
      </c>
      <c r="M6" s="17" t="n">
        <v>0</v>
      </c>
      <c r="N6" s="17">
        <f>K6*0.08+L6*0.08</f>
        <v/>
      </c>
      <c r="O6" s="17">
        <f>-(K6*0.025+L6*0.025)</f>
        <v/>
      </c>
      <c r="P6" s="17">
        <f>32</f>
        <v/>
      </c>
      <c r="Q6" s="17">
        <f>J6+L6+N6+O6-P6-M6</f>
        <v/>
      </c>
    </row>
    <row r="7">
      <c r="A7" s="16" t="inlineStr">
        <is>
          <t>5.1-5.7</t>
        </is>
      </c>
      <c r="B7" s="16" t="inlineStr">
        <is>
          <t>PO-128-03389697434230882</t>
        </is>
      </c>
      <c r="C7" s="16" t="inlineStr">
        <is>
          <t>Shipped</t>
        </is>
      </c>
      <c r="D7" s="16" t="inlineStr">
        <is>
          <t>128-03389702677110882</t>
        </is>
      </c>
      <c r="E7" s="16" t="inlineStr">
        <is>
          <t>Shipped</t>
        </is>
      </c>
      <c r="F7" s="16" t="inlineStr">
        <is>
          <t>LB02235-negro</t>
        </is>
      </c>
      <c r="G7" s="16" t="inlineStr">
        <is>
          <t>Audífonos Inalámbricos para la Cabeza, Recargables y Multifuncionales - Conectan a Varios Dispositivos, soportan Radio FM, Tarjeta TF y AUX - 4 Horas de Reproducción Musical - Ideal para Trabajo Cotidiano, Juegos y Estudio</t>
        </is>
      </c>
      <c r="H7" s="16" t="inlineStr">
        <is>
          <t>NEGRO</t>
        </is>
      </c>
      <c r="I7" s="16" t="n">
        <v>1</v>
      </c>
      <c r="J7" s="17" t="n">
        <v>35</v>
      </c>
      <c r="K7" s="17" t="n">
        <v>48.12</v>
      </c>
      <c r="L7" s="17" t="n">
        <v>12.93</v>
      </c>
      <c r="M7" s="17" t="n">
        <v>0</v>
      </c>
      <c r="N7" s="17">
        <f>K7*0.08+L7*0.08</f>
        <v/>
      </c>
      <c r="O7" s="17">
        <f>-(K7*0.025+L7*0.025)</f>
        <v/>
      </c>
      <c r="P7" s="17">
        <f>32</f>
        <v/>
      </c>
      <c r="Q7" s="17">
        <f>J7+L7+N7+O7-P7-M7</f>
        <v/>
      </c>
    </row>
    <row r="8">
      <c r="A8" s="16" t="inlineStr">
        <is>
          <t>5.1-5.7</t>
        </is>
      </c>
      <c r="B8" s="16" t="inlineStr">
        <is>
          <t>PO-128-11448073165431813</t>
        </is>
      </c>
      <c r="C8" s="16" t="inlineStr">
        <is>
          <t>Delivered</t>
        </is>
      </c>
      <c r="D8" s="16" t="inlineStr">
        <is>
          <t>128-11448031222391813</t>
        </is>
      </c>
      <c r="E8" s="16" t="inlineStr">
        <is>
          <t>Delivered</t>
        </is>
      </c>
      <c r="F8" s="16" t="inlineStr">
        <is>
          <t>KTS-1678Y</t>
        </is>
      </c>
      <c r="G8" s="16" t="inlineStr">
        <is>
          <t>Bocina portátil Inalámbrico, de 3 pulgadas, tamaño de bolsillo, 170 g, con asa, compatible con TF, USB y Micro SD, con radio FM y función TWS (True Wireless Stereo), adecuada para relajarse en casa o viajar al aire libre.</t>
        </is>
      </c>
      <c r="H8" s="16" t="inlineStr">
        <is>
          <t>KTS-1678Y</t>
        </is>
      </c>
      <c r="I8" s="16" t="n">
        <v>1</v>
      </c>
      <c r="J8" s="17" t="n">
        <v>42.5</v>
      </c>
      <c r="K8" s="17" t="n">
        <v>5.62</v>
      </c>
      <c r="L8" s="17" t="n">
        <v>25.86</v>
      </c>
      <c r="M8" s="17" t="n">
        <v>0</v>
      </c>
      <c r="N8" s="17">
        <f>K8*0.08+L8*0.08</f>
        <v/>
      </c>
      <c r="O8" s="17">
        <f>-(K8*0.025+L8*0.025)</f>
        <v/>
      </c>
      <c r="P8" s="17">
        <f>32</f>
        <v/>
      </c>
      <c r="Q8" s="17">
        <f>J8+L8+N8+O8-P8-M8</f>
        <v/>
      </c>
    </row>
    <row r="9">
      <c r="A9" s="16" t="inlineStr">
        <is>
          <t>5.1-5.7</t>
        </is>
      </c>
      <c r="B9" s="16" t="inlineStr">
        <is>
          <t>PO-128-11486485796471774</t>
        </is>
      </c>
      <c r="C9" s="16" t="inlineStr">
        <is>
          <t>Delivered</t>
        </is>
      </c>
      <c r="D9" s="16" t="inlineStr">
        <is>
          <t>128-11486443853431774</t>
        </is>
      </c>
      <c r="E9" s="16" t="inlineStr">
        <is>
          <t>Delivered</t>
        </is>
      </c>
      <c r="F9" s="16" t="inlineStr">
        <is>
          <t>LV25W22</t>
        </is>
      </c>
      <c r="G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9" s="16" t="inlineStr">
        <is>
          <t>LV25W32</t>
        </is>
      </c>
      <c r="I9" s="16" t="n">
        <v>3</v>
      </c>
      <c r="J9" s="17" t="n">
        <v>291</v>
      </c>
      <c r="K9" s="17" t="n">
        <v>322.29</v>
      </c>
      <c r="L9" s="17" t="n">
        <v>0</v>
      </c>
      <c r="M9" s="17" t="n">
        <v>75.06</v>
      </c>
      <c r="N9" s="17">
        <f>K9*0.08+L9*0.08</f>
        <v/>
      </c>
      <c r="O9" s="17">
        <f>-(K9*0.025+L9*0.025)</f>
        <v/>
      </c>
      <c r="P9" s="17">
        <f>32</f>
        <v/>
      </c>
      <c r="Q9" s="17">
        <f>J9+L9+N9+O9-P9-M9</f>
        <v/>
      </c>
    </row>
    <row r="10">
      <c r="A10" s="16" t="inlineStr">
        <is>
          <t>5.1-5.7</t>
        </is>
      </c>
      <c r="B10" s="16" t="inlineStr">
        <is>
          <t>PO-128-11104094863993863</t>
        </is>
      </c>
      <c r="C10" s="16" t="inlineStr">
        <is>
          <t>Delivered</t>
        </is>
      </c>
      <c r="D10" s="16" t="inlineStr">
        <is>
          <t>128-11104147292793863</t>
        </is>
      </c>
      <c r="E10" s="16" t="inlineStr">
        <is>
          <t>Delivered</t>
        </is>
      </c>
      <c r="F10" s="16" t="inlineStr">
        <is>
          <t>AIR50W06-2P</t>
        </is>
      </c>
      <c r="G10" s="16" t="inlineStr">
        <is>
          <t>Link Bits Ventilador de piso de 16 pulgadas, 2 unidades, 3 velocidades, motor silencioso, flujo de aire fuerte, altura ajustable, oscilación amplia, ventilador eléctrico para el hogar, ideal para sala, recámara y oficina</t>
        </is>
      </c>
      <c r="H10" s="16" t="inlineStr">
        <is>
          <t>2PZ</t>
        </is>
      </c>
      <c r="I10" s="16" t="n">
        <v>1</v>
      </c>
      <c r="J10" s="17" t="n">
        <v>440</v>
      </c>
      <c r="K10" s="17" t="n">
        <v>451.32</v>
      </c>
      <c r="L10" s="17" t="n">
        <v>0</v>
      </c>
      <c r="M10" s="17" t="n">
        <v>0</v>
      </c>
      <c r="N10" s="17">
        <f>K10*0.08+L10*0.08</f>
        <v/>
      </c>
      <c r="O10" s="17">
        <f>-(K10*0.025+L10*0.025)</f>
        <v/>
      </c>
      <c r="P10" s="17">
        <f>32</f>
        <v/>
      </c>
      <c r="Q10" s="17">
        <f>J10+L10+N10+O10-P10-M10</f>
        <v/>
      </c>
    </row>
    <row r="11">
      <c r="A11" s="16" t="inlineStr">
        <is>
          <t>5.1-5.7</t>
        </is>
      </c>
      <c r="B11" s="16" t="inlineStr">
        <is>
          <t>PO-128-11315498025592795</t>
        </is>
      </c>
      <c r="C11" s="16" t="inlineStr">
        <is>
          <t>Delivered</t>
        </is>
      </c>
      <c r="D11" s="16" t="inlineStr">
        <is>
          <t>128-11315550454392795</t>
        </is>
      </c>
      <c r="E11" s="16" t="inlineStr">
        <is>
          <t>Delivered</t>
        </is>
      </c>
      <c r="F11" s="16" t="inlineStr">
        <is>
          <t>VB347T</t>
        </is>
      </c>
      <c r="G1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1" s="16" t="inlineStr">
        <is>
          <t>1 pieza</t>
        </is>
      </c>
      <c r="I11" s="16" t="n">
        <v>15</v>
      </c>
      <c r="J11" s="17" t="n">
        <v>1198.35</v>
      </c>
      <c r="K11" s="17" t="n">
        <v>1283.89</v>
      </c>
      <c r="L11" s="17" t="n">
        <v>0</v>
      </c>
      <c r="M11" s="17" t="n">
        <v>0</v>
      </c>
      <c r="N11" s="17">
        <f>K11*0.08+L11*0.08</f>
        <v/>
      </c>
      <c r="O11" s="17">
        <f>-(K11*0.025+L11*0.025)</f>
        <v/>
      </c>
      <c r="P11" s="17">
        <f>32</f>
        <v/>
      </c>
      <c r="Q11" s="17">
        <f>J11+L11+N11+O11-P11-M11</f>
        <v/>
      </c>
    </row>
    <row r="12">
      <c r="A12" s="16" t="inlineStr">
        <is>
          <t>5.1-5.7</t>
        </is>
      </c>
      <c r="B12" s="16" t="inlineStr">
        <is>
          <t>PO-128-11447457208951814</t>
        </is>
      </c>
      <c r="C12" s="16" t="inlineStr">
        <is>
          <t>Delivered</t>
        </is>
      </c>
      <c r="D12" s="16" t="inlineStr">
        <is>
          <t>128-11447478180471814</t>
        </is>
      </c>
      <c r="E12" s="16" t="inlineStr">
        <is>
          <t>Delivered</t>
        </is>
      </c>
      <c r="F12" s="16" t="inlineStr">
        <is>
          <t>SA325T</t>
        </is>
      </c>
      <c r="G12" s="16" t="inlineStr">
        <is>
          <t>Subwoofer Portátil Inalámbrico con Luces RGB, Sonido de Alta Potencia y Batería Duradera, TWS TF USB, Perfecto para Campamento Fiestas y Entretenimiento en Casa</t>
        </is>
      </c>
      <c r="H12" s="16" t="inlineStr">
        <is>
          <t>NEGRO</t>
        </is>
      </c>
      <c r="I12" s="16" t="n">
        <v>1</v>
      </c>
      <c r="J12" s="17" t="n">
        <v>38</v>
      </c>
      <c r="K12" s="17" t="n">
        <v>47.06</v>
      </c>
      <c r="L12" s="17" t="n">
        <v>25.86</v>
      </c>
      <c r="M12" s="17" t="n">
        <v>0</v>
      </c>
      <c r="N12" s="17">
        <f>K12*0.08+L12*0.08</f>
        <v/>
      </c>
      <c r="O12" s="17">
        <f>-(K12*0.025+L12*0.025)</f>
        <v/>
      </c>
      <c r="P12" s="17">
        <f>32</f>
        <v/>
      </c>
      <c r="Q12" s="17">
        <f>J12+L12+N12+O12-P12-M12</f>
        <v/>
      </c>
    </row>
    <row r="13">
      <c r="A13" s="16" t="inlineStr">
        <is>
          <t>5.1-5.7</t>
        </is>
      </c>
      <c r="B13" s="16" t="inlineStr">
        <is>
          <t>PO-128-11201212749432386</t>
        </is>
      </c>
      <c r="C13" s="16" t="inlineStr">
        <is>
          <t>Delivered</t>
        </is>
      </c>
      <c r="D13" s="16" t="inlineStr">
        <is>
          <t>128-11201170806392386</t>
        </is>
      </c>
      <c r="E13" s="16" t="inlineStr">
        <is>
          <t>Delivered</t>
        </is>
      </c>
      <c r="F13" s="16" t="inlineStr">
        <is>
          <t>LB02235-azul</t>
        </is>
      </c>
      <c r="G13" s="16" t="inlineStr">
        <is>
          <t>Audífonos Inalámbricos para la Cabeza, Recargables y Multifuncionales - Conectan a Varios Dispositivos, soportan Radio FM, Tarjeta TF y AUX - 4 Horas de Reproducción Musical - Ideal para Trabajo Cotidiano, Juegos y Estudio</t>
        </is>
      </c>
      <c r="H13" s="16" t="inlineStr">
        <is>
          <t>AZUL</t>
        </is>
      </c>
      <c r="I13" s="16" t="n">
        <v>1</v>
      </c>
      <c r="J13" s="17" t="n">
        <v>36.8</v>
      </c>
      <c r="K13" s="17" t="n">
        <v>49.91</v>
      </c>
      <c r="L13" s="17" t="n">
        <v>25.86</v>
      </c>
      <c r="M13" s="17" t="n">
        <v>0</v>
      </c>
      <c r="N13" s="17">
        <f>K13*0.08+L13*0.08</f>
        <v/>
      </c>
      <c r="O13" s="17">
        <f>-(K13*0.025+L13*0.025)</f>
        <v/>
      </c>
      <c r="P13" s="17">
        <f>32</f>
        <v/>
      </c>
      <c r="Q13" s="17">
        <f>J13+L13+N13+O13-P13-M13</f>
        <v/>
      </c>
    </row>
    <row r="14">
      <c r="A14" s="16" t="inlineStr">
        <is>
          <t>5.1-5.7</t>
        </is>
      </c>
      <c r="B14" s="16" t="inlineStr">
        <is>
          <t>PO-128-11576129536630025</t>
        </is>
      </c>
      <c r="C14" s="16" t="inlineStr">
        <is>
          <t>Delivered</t>
        </is>
      </c>
      <c r="D14" s="16" t="inlineStr">
        <is>
          <t>128-11576265851510025</t>
        </is>
      </c>
      <c r="E14" s="16" t="inlineStr">
        <is>
          <t>Delivered</t>
        </is>
      </c>
      <c r="F14" s="16" t="inlineStr">
        <is>
          <t>KTS-1678N</t>
        </is>
      </c>
      <c r="G14" s="16" t="inlineStr">
        <is>
          <t>Bocina portátil Inalámbrico, de 3 pulgadas, tamaño de bolsillo, 170 g, con asa, compatible con TF, USB y Micro SD, con radio FM y función TWS (True Wireless Stereo), adecuada para relajarse en casa o viajar al aire libre.</t>
        </is>
      </c>
      <c r="H14" s="16" t="inlineStr">
        <is>
          <t>KTS-1678N</t>
        </is>
      </c>
      <c r="I14" s="16" t="n">
        <v>1</v>
      </c>
      <c r="J14" s="17" t="n">
        <v>43</v>
      </c>
      <c r="K14" s="17" t="n">
        <v>49.22</v>
      </c>
      <c r="L14" s="17" t="n">
        <v>25.86</v>
      </c>
      <c r="M14" s="17" t="n">
        <v>0</v>
      </c>
      <c r="N14" s="17">
        <f>K14*0.08+L14*0.08</f>
        <v/>
      </c>
      <c r="O14" s="17">
        <f>-(K14*0.025+L14*0.025)</f>
        <v/>
      </c>
      <c r="P14" s="17">
        <f>32</f>
        <v/>
      </c>
      <c r="Q14" s="17">
        <f>J14+L14+N14+O14-P14-M14</f>
        <v/>
      </c>
    </row>
    <row r="15">
      <c r="A15" s="16" t="inlineStr">
        <is>
          <t>5.1-5.7</t>
        </is>
      </c>
      <c r="B15" s="16" t="inlineStr">
        <is>
          <t>PO-128-11086309581433969</t>
        </is>
      </c>
      <c r="C15" s="16" t="inlineStr">
        <is>
          <t>Delivered</t>
        </is>
      </c>
      <c r="D15" s="16" t="inlineStr">
        <is>
          <t>128-11086377738873969</t>
        </is>
      </c>
      <c r="E15" s="16" t="inlineStr">
        <is>
          <t>Delivered</t>
        </is>
      </c>
      <c r="F15" s="16" t="inlineStr">
        <is>
          <t>AIR50W06-2P</t>
        </is>
      </c>
      <c r="G15" s="16" t="inlineStr">
        <is>
          <t>Link Bits Ventilador de piso de 16 pulgadas, 2 unidades, 3 velocidades, motor silencioso, flujo de aire fuerte, altura ajustable, oscilación amplia, ventilador eléctrico para el hogar, ideal para sala, recámara y oficina</t>
        </is>
      </c>
      <c r="H15" s="16" t="inlineStr">
        <is>
          <t>2PZ</t>
        </is>
      </c>
      <c r="I15" s="16" t="n">
        <v>1</v>
      </c>
      <c r="J15" s="17" t="n">
        <v>440</v>
      </c>
      <c r="K15" s="17" t="n">
        <v>423.88</v>
      </c>
      <c r="L15" s="17" t="n">
        <v>0</v>
      </c>
      <c r="M15" s="17" t="n">
        <v>0</v>
      </c>
      <c r="N15" s="17">
        <f>K15*0.08+L15*0.08</f>
        <v/>
      </c>
      <c r="O15" s="17">
        <f>-(K15*0.025+L15*0.025)</f>
        <v/>
      </c>
      <c r="P15" s="17">
        <f>32</f>
        <v/>
      </c>
      <c r="Q15" s="17">
        <f>J15+L15+N15+O15-P15-M15</f>
        <v/>
      </c>
    </row>
    <row r="16">
      <c r="A16" s="16" t="inlineStr">
        <is>
          <t>5.1-5.7</t>
        </is>
      </c>
      <c r="B16" s="16" t="inlineStr">
        <is>
          <t>PO-128-11551496771190362</t>
        </is>
      </c>
      <c r="C16" s="16" t="inlineStr">
        <is>
          <t>Delivered</t>
        </is>
      </c>
      <c r="D16" s="16" t="inlineStr">
        <is>
          <t>128-11551460071030362</t>
        </is>
      </c>
      <c r="E16" s="16" t="inlineStr">
        <is>
          <t>Delivered</t>
        </is>
      </c>
      <c r="F16" s="16" t="inlineStr">
        <is>
          <t>FA028</t>
        </is>
      </c>
      <c r="G16" s="16" t="inlineStr">
        <is>
          <t>Extractor de agua para garrafas de agua, compatible con carga USB, extractor de agua automático, práctico, con dos modos de toma de agua: manual y programado, ideal para dormitorios, salones, oficinas, uso al aire libre y otros escenarios.</t>
        </is>
      </c>
      <c r="H16" s="16" t="inlineStr">
        <is>
          <t>FA028</t>
        </is>
      </c>
      <c r="I16" s="16" t="n">
        <v>1</v>
      </c>
      <c r="J16" s="17" t="n">
        <v>35</v>
      </c>
      <c r="K16" s="17" t="n">
        <v>26.76</v>
      </c>
      <c r="L16" s="17" t="n">
        <v>25.86</v>
      </c>
      <c r="M16" s="17" t="n">
        <v>0</v>
      </c>
      <c r="N16" s="17">
        <f>K16*0.08+L16*0.08</f>
        <v/>
      </c>
      <c r="O16" s="17">
        <f>-(K16*0.025+L16*0.025)</f>
        <v/>
      </c>
      <c r="P16" s="17">
        <f>32</f>
        <v/>
      </c>
      <c r="Q16" s="17">
        <f>J16+L16+N16+O16-P16-M16</f>
        <v/>
      </c>
    </row>
    <row r="17">
      <c r="A17" s="16" t="inlineStr">
        <is>
          <t>5.1-5.7</t>
        </is>
      </c>
      <c r="B17" s="16" t="inlineStr">
        <is>
          <t>PO-128-11210714814072203</t>
        </is>
      </c>
      <c r="C17" s="16" t="inlineStr">
        <is>
          <t>Delivered</t>
        </is>
      </c>
      <c r="D17" s="16" t="inlineStr">
        <is>
          <t>128-11210712847992203</t>
        </is>
      </c>
      <c r="E17" s="16" t="inlineStr">
        <is>
          <t>Delivered</t>
        </is>
      </c>
      <c r="F17" s="16" t="inlineStr">
        <is>
          <t>LB02235-negro</t>
        </is>
      </c>
      <c r="G17" s="16" t="inlineStr">
        <is>
          <t>Audífonos Inalámbricos para la Cabeza, Recargables y Multifuncionales - Conectan a Varios Dispositivos, soportan Radio FM, Tarjeta TF y AUX - 4 Horas de Reproducción Musical - Ideal para Trabajo Cotidiano, Juegos y Estudio</t>
        </is>
      </c>
      <c r="H17" s="16" t="inlineStr">
        <is>
          <t>NEGRO</t>
        </is>
      </c>
      <c r="I17" s="16" t="n">
        <v>1</v>
      </c>
      <c r="J17" s="17" t="n">
        <v>37.71</v>
      </c>
      <c r="K17" s="17" t="n">
        <v>50.83</v>
      </c>
      <c r="L17" s="17" t="n">
        <v>25.86</v>
      </c>
      <c r="M17" s="17" t="n">
        <v>0</v>
      </c>
      <c r="N17" s="17">
        <f>K17*0.08+L17*0.08</f>
        <v/>
      </c>
      <c r="O17" s="17">
        <f>-(K17*0.025+L17*0.025)</f>
        <v/>
      </c>
      <c r="P17" s="17">
        <f>32</f>
        <v/>
      </c>
      <c r="Q17" s="17">
        <f>J17+L17+N17+O17-P17-M17</f>
        <v/>
      </c>
    </row>
    <row r="18">
      <c r="A18" s="16" t="inlineStr">
        <is>
          <t>5.1-5.7</t>
        </is>
      </c>
      <c r="B18" s="16" t="inlineStr">
        <is>
          <t>PO-128-10999980954233458</t>
        </is>
      </c>
      <c r="C18" s="16" t="inlineStr">
        <is>
          <t>Delivered</t>
        </is>
      </c>
      <c r="D18" s="16" t="inlineStr">
        <is>
          <t>128-10999970468473458</t>
        </is>
      </c>
      <c r="E18" s="16" t="inlineStr">
        <is>
          <t>Delivered</t>
        </is>
      </c>
      <c r="F18" s="16" t="inlineStr">
        <is>
          <t>LB02235-azul</t>
        </is>
      </c>
      <c r="G18" s="16" t="inlineStr">
        <is>
          <t>Audífonos Inalámbricos para la Cabeza, Recargables y Multifuncionales - Conectan a Varios Dispositivos, soportan Radio FM, Tarjeta TF y AUX - 4 Horas de Reproducción Musical - Ideal para Trabajo Cotidiano, Juegos y Estudio</t>
        </is>
      </c>
      <c r="H18" s="16" t="inlineStr">
        <is>
          <t>AZUL</t>
        </is>
      </c>
      <c r="I18" s="16" t="n">
        <v>1</v>
      </c>
      <c r="J18" s="17" t="n">
        <v>36.8</v>
      </c>
      <c r="K18" s="17" t="n">
        <v>49.91</v>
      </c>
      <c r="L18" s="17" t="n">
        <v>25.86</v>
      </c>
      <c r="M18" s="17" t="n">
        <v>0</v>
      </c>
      <c r="N18" s="17">
        <f>K18*0.08+L18*0.08</f>
        <v/>
      </c>
      <c r="O18" s="17">
        <f>-(K18*0.025+L18*0.025)</f>
        <v/>
      </c>
      <c r="P18" s="17">
        <f>32</f>
        <v/>
      </c>
      <c r="Q18" s="17">
        <f>J18+L18+N18+O18-P18-M18</f>
        <v/>
      </c>
    </row>
    <row r="19">
      <c r="A19" s="16" t="inlineStr">
        <is>
          <t>5.1-5.7</t>
        </is>
      </c>
      <c r="B19" s="16" t="inlineStr">
        <is>
          <t>PO-128-11433505475191963</t>
        </is>
      </c>
      <c r="C19" s="16" t="inlineStr">
        <is>
          <t>Delivered</t>
        </is>
      </c>
      <c r="D19" s="16" t="inlineStr">
        <is>
          <t>128-11433672264311963</t>
        </is>
      </c>
      <c r="E19" s="16" t="inlineStr">
        <is>
          <t>Delivered</t>
        </is>
      </c>
      <c r="F19" s="16" t="inlineStr">
        <is>
          <t>LV25W22</t>
        </is>
      </c>
      <c r="G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 s="16" t="inlineStr">
        <is>
          <t>LV25W32</t>
        </is>
      </c>
      <c r="I19" s="16" t="n">
        <v>2</v>
      </c>
      <c r="J19" s="17" t="n">
        <v>194</v>
      </c>
      <c r="K19" s="17" t="n">
        <v>214.86</v>
      </c>
      <c r="L19" s="17" t="n">
        <v>25.86</v>
      </c>
      <c r="M19" s="17" t="n">
        <v>0</v>
      </c>
      <c r="N19" s="17">
        <f>K19*0.08+L19*0.08</f>
        <v/>
      </c>
      <c r="O19" s="17">
        <f>-(K19*0.025+L19*0.025)</f>
        <v/>
      </c>
      <c r="P19" s="17">
        <f>32</f>
        <v/>
      </c>
      <c r="Q19" s="17">
        <f>J19+L19+N19+O19-P19-M19</f>
        <v/>
      </c>
    </row>
    <row r="20">
      <c r="A20" s="16" t="inlineStr">
        <is>
          <t>5.1-5.7</t>
        </is>
      </c>
      <c r="B20" s="16" t="inlineStr">
        <is>
          <t>PO-128-11510427751031633</t>
        </is>
      </c>
      <c r="C20" s="16" t="inlineStr">
        <is>
          <t>Delivered</t>
        </is>
      </c>
      <c r="D20" s="16" t="inlineStr">
        <is>
          <t>128-11510469694071633</t>
        </is>
      </c>
      <c r="E20" s="16" t="inlineStr">
        <is>
          <t>Delivered</t>
        </is>
      </c>
      <c r="F20" s="16" t="inlineStr">
        <is>
          <t>LB02235-blanco</t>
        </is>
      </c>
      <c r="G20" s="16" t="inlineStr">
        <is>
          <t>Audífonos Inalámbricos para la Cabeza, Recargables y Multifuncionales - Conectan a Varios Dispositivos, soportan Radio FM, Tarjeta TF y AUX - 4 Horas de Reproducción Musical - Ideal para Trabajo Cotidiano, Juegos y Estudio</t>
        </is>
      </c>
      <c r="H20" s="16" t="inlineStr">
        <is>
          <t>BLANCO</t>
        </is>
      </c>
      <c r="I20" s="16" t="n">
        <v>1</v>
      </c>
      <c r="J20" s="17" t="n">
        <v>37.71</v>
      </c>
      <c r="K20" s="17" t="n">
        <v>50.83</v>
      </c>
      <c r="L20" s="17" t="n">
        <v>25.86</v>
      </c>
      <c r="M20" s="17" t="n">
        <v>0</v>
      </c>
      <c r="N20" s="17">
        <f>K20*0.08+L20*0.08</f>
        <v/>
      </c>
      <c r="O20" s="17">
        <f>-(K20*0.025+L20*0.025)</f>
        <v/>
      </c>
      <c r="P20" s="17">
        <f>32</f>
        <v/>
      </c>
      <c r="Q20" s="17">
        <f>J20+L20+N20+O20-P20-M20</f>
        <v/>
      </c>
    </row>
    <row r="21">
      <c r="A21" s="16" t="inlineStr">
        <is>
          <t>5.1-5.7</t>
        </is>
      </c>
      <c r="B21" s="16" t="inlineStr">
        <is>
          <t>PO-128-11599983268470907</t>
        </is>
      </c>
      <c r="C21" s="16" t="inlineStr">
        <is>
          <t>Delivered</t>
        </is>
      </c>
      <c r="D21" s="16" t="inlineStr">
        <is>
          <t>128-11599967539830907</t>
        </is>
      </c>
      <c r="E21" s="16" t="inlineStr">
        <is>
          <t>Delivered</t>
        </is>
      </c>
      <c r="F21" s="16" t="inlineStr">
        <is>
          <t>SA325T</t>
        </is>
      </c>
      <c r="G21" s="16" t="inlineStr">
        <is>
          <t>Subwoofer Portátil Inalámbrico con Luces RGB, Sonido de Alta Potencia y Batería Duradera, TWS TF USB, Perfecto para Campamento Fiestas y Entretenimiento en Casa</t>
        </is>
      </c>
      <c r="H21" s="16" t="inlineStr">
        <is>
          <t>NEGRO</t>
        </is>
      </c>
      <c r="I21" s="16" t="n">
        <v>1</v>
      </c>
      <c r="J21" s="17" t="n">
        <v>38</v>
      </c>
      <c r="K21" s="17" t="n">
        <v>47.06</v>
      </c>
      <c r="L21" s="17" t="n">
        <v>25.86</v>
      </c>
      <c r="M21" s="17" t="n">
        <v>0</v>
      </c>
      <c r="N21" s="17">
        <f>K21*0.08+L21*0.08</f>
        <v/>
      </c>
      <c r="O21" s="17">
        <f>-(K21*0.025+L21*0.025)</f>
        <v/>
      </c>
      <c r="P21" s="17">
        <f>32</f>
        <v/>
      </c>
      <c r="Q21" s="17">
        <f>J21+L21+N21+O21-P21-M21</f>
        <v/>
      </c>
    </row>
    <row r="22">
      <c r="A22" s="16" t="inlineStr">
        <is>
          <t>5.1-5.7</t>
        </is>
      </c>
      <c r="B22" s="16" t="inlineStr">
        <is>
          <t>PO-128-11585635850870033</t>
        </is>
      </c>
      <c r="C22" s="16" t="inlineStr">
        <is>
          <t>Delivered</t>
        </is>
      </c>
      <c r="D22" s="16" t="inlineStr">
        <is>
          <t>128-11585593907830033</t>
        </is>
      </c>
      <c r="E22" s="16" t="inlineStr">
        <is>
          <t>Delivered</t>
        </is>
      </c>
      <c r="F22" s="16" t="inlineStr">
        <is>
          <t>BS-22</t>
        </is>
      </c>
      <c r="G22" s="16" t="inlineStr">
        <is>
          <t>link bits Barra de Sonido para TV, 2x2" Altavoces + 2 Membranas de Graves, Sonido Claro ≥80dB, Bluetooth Inalámbrico, Conexiones AUX/USB, Diseño Compacto 76cm, Sonido Envolvente 3D para Cine en Casa, PC, Juegos y Fiestas</t>
        </is>
      </c>
      <c r="H22" s="16" t="inlineStr">
        <is>
          <t>BS-22</t>
        </is>
      </c>
      <c r="I22" s="16" t="n">
        <v>1</v>
      </c>
      <c r="J22" s="17" t="n">
        <v>260</v>
      </c>
      <c r="K22" s="17" t="n">
        <v>299.61</v>
      </c>
      <c r="L22" s="17" t="n">
        <v>0</v>
      </c>
      <c r="M22" s="17" t="n">
        <v>0</v>
      </c>
      <c r="N22" s="17">
        <f>K22*0.08+L22*0.08</f>
        <v/>
      </c>
      <c r="O22" s="17">
        <f>-(K22*0.025+L22*0.025)</f>
        <v/>
      </c>
      <c r="P22" s="17">
        <f>32</f>
        <v/>
      </c>
      <c r="Q22" s="17">
        <f>J22+L22+N22+O22-P22-M22</f>
        <v/>
      </c>
    </row>
    <row r="23">
      <c r="A23" s="16" t="inlineStr">
        <is>
          <t>5.1-5.7</t>
        </is>
      </c>
      <c r="B23" s="16" t="inlineStr">
        <is>
          <t>PO-128-11392990536311245</t>
        </is>
      </c>
      <c r="C23" s="16" t="inlineStr">
        <is>
          <t>Delivered</t>
        </is>
      </c>
      <c r="D23" s="16" t="inlineStr">
        <is>
          <t>128-11393028547191245</t>
        </is>
      </c>
      <c r="E23" s="16" t="inlineStr">
        <is>
          <t>Delivered</t>
        </is>
      </c>
      <c r="F23" s="16" t="inlineStr">
        <is>
          <t>LB02235-negro</t>
        </is>
      </c>
      <c r="G23" s="16" t="inlineStr">
        <is>
          <t>Audífonos Inalámbricos para la Cabeza, Recargables y Multifuncionales - Conectan a Varios Dispositivos, soportan Radio FM, Tarjeta TF y AUX - 4 Horas de Reproducción Musical - Ideal para Trabajo Cotidiano, Juegos y Estudio</t>
        </is>
      </c>
      <c r="H23" s="16" t="inlineStr">
        <is>
          <t>NEGRO</t>
        </is>
      </c>
      <c r="I23" s="16" t="n">
        <v>1</v>
      </c>
      <c r="J23" s="17" t="n">
        <v>37.71</v>
      </c>
      <c r="K23" s="17" t="n">
        <v>36.36</v>
      </c>
      <c r="L23" s="17" t="n">
        <v>25.86</v>
      </c>
      <c r="M23" s="17" t="n">
        <v>0</v>
      </c>
      <c r="N23" s="17">
        <f>K23*0.08+L23*0.08</f>
        <v/>
      </c>
      <c r="O23" s="17">
        <f>-(K23*0.025+L23*0.025)</f>
        <v/>
      </c>
      <c r="P23" s="17">
        <f>32</f>
        <v/>
      </c>
      <c r="Q23" s="17">
        <f>J23+L23+N23+O23-P23-M23</f>
        <v/>
      </c>
    </row>
    <row r="24">
      <c r="A24" s="16" t="inlineStr">
        <is>
          <t>5.1-5.7</t>
        </is>
      </c>
      <c r="B24" s="16" t="inlineStr">
        <is>
          <t>PO-128-11092900091514056</t>
        </is>
      </c>
      <c r="C24" s="16" t="inlineStr">
        <is>
          <t>Delivered</t>
        </is>
      </c>
      <c r="D24" s="16" t="inlineStr">
        <is>
          <t>128-11092858148474056</t>
        </is>
      </c>
      <c r="E24" s="16" t="inlineStr">
        <is>
          <t>Delivered</t>
        </is>
      </c>
      <c r="F24" s="16" t="inlineStr">
        <is>
          <t>MB-185N</t>
        </is>
      </c>
      <c r="G24" s="16" t="inlineStr">
        <is>
          <t>Bocina Radio FM/Reproductor, Compatible con Tarjeta TF, USB, Bluetooth, Aplicable para celular, computadora, Ipad y consola.</t>
        </is>
      </c>
      <c r="H24" s="16" t="inlineStr">
        <is>
          <t>NEGRO/MB-185</t>
        </is>
      </c>
      <c r="I24" s="16" t="n">
        <v>1</v>
      </c>
      <c r="J24" s="17" t="n">
        <v>75.5</v>
      </c>
      <c r="K24" s="17" t="n">
        <v>5.7</v>
      </c>
      <c r="L24" s="17" t="n">
        <v>25.86</v>
      </c>
      <c r="M24" s="17" t="n">
        <v>0</v>
      </c>
      <c r="N24" s="17">
        <f>K24*0.08+L24*0.08</f>
        <v/>
      </c>
      <c r="O24" s="17">
        <f>-(K24*0.025+L24*0.025)</f>
        <v/>
      </c>
      <c r="P24" s="17">
        <f>32</f>
        <v/>
      </c>
      <c r="Q24" s="17">
        <f>J24+L24+N24+O24-P24-M24</f>
        <v/>
      </c>
    </row>
    <row r="25">
      <c r="A25" s="16" t="inlineStr">
        <is>
          <t>5.1-5.7</t>
        </is>
      </c>
      <c r="B25" s="16" t="inlineStr">
        <is>
          <t>PO-128-11473401129591724</t>
        </is>
      </c>
      <c r="C25" s="16" t="inlineStr">
        <is>
          <t>Delivered</t>
        </is>
      </c>
      <c r="D25" s="16" t="inlineStr">
        <is>
          <t>128-11473359186551724</t>
        </is>
      </c>
      <c r="E25" s="16" t="inlineStr">
        <is>
          <t>Delivered</t>
        </is>
      </c>
      <c r="F25" s="16" t="inlineStr">
        <is>
          <t>MCM-001N</t>
        </is>
      </c>
      <c r="G25" s="16" t="inlineStr">
        <is>
          <t>Musicord Altavoz Inalámbrico BT Portátil: ¡Sonido impactante, luces LED multicolores y 4 horas de autonomía! Compatible con TWS, FM, TF y USB – Imprescindible para fiestas y viajes</t>
        </is>
      </c>
      <c r="H25" s="16" t="inlineStr">
        <is>
          <t>NEGRO</t>
        </is>
      </c>
      <c r="I25" s="16" t="n">
        <v>1</v>
      </c>
      <c r="J25" s="17" t="n">
        <v>61</v>
      </c>
      <c r="K25" s="17" t="n">
        <v>72.29000000000001</v>
      </c>
      <c r="L25" s="17" t="n">
        <v>25.86</v>
      </c>
      <c r="M25" s="17" t="n">
        <v>0</v>
      </c>
      <c r="N25" s="17">
        <f>K25*0.08+L25*0.08</f>
        <v/>
      </c>
      <c r="O25" s="17">
        <f>-(K25*0.025+L25*0.025)</f>
        <v/>
      </c>
      <c r="P25" s="17">
        <f>32</f>
        <v/>
      </c>
      <c r="Q25" s="17">
        <f>J25+L25+N25+O25-P25-M25</f>
        <v/>
      </c>
    </row>
    <row r="26">
      <c r="A26" s="16" t="inlineStr">
        <is>
          <t>5.1-5.7</t>
        </is>
      </c>
      <c r="B26" s="16" t="inlineStr">
        <is>
          <t>PO-128-11334214892152683</t>
        </is>
      </c>
      <c r="C26" s="16" t="inlineStr">
        <is>
          <t>Delivered</t>
        </is>
      </c>
      <c r="D26" s="16" t="inlineStr">
        <is>
          <t>128-11334196542072683</t>
        </is>
      </c>
      <c r="E26" s="16" t="inlineStr">
        <is>
          <t>Delivered</t>
        </is>
      </c>
      <c r="F26" s="16" t="inlineStr">
        <is>
          <t>FA028</t>
        </is>
      </c>
      <c r="G26" s="16" t="inlineStr">
        <is>
          <t>Extractor de agua para garrafas de agua, compatible con carga USB, extractor de agua automático, práctico, con dos modos de toma de agua: manual y programado, ideal para dormitorios, salones, oficinas, uso al aire libre y otros escenarios.</t>
        </is>
      </c>
      <c r="H26" s="16" t="inlineStr">
        <is>
          <t>FA028</t>
        </is>
      </c>
      <c r="I26" s="16" t="n">
        <v>1</v>
      </c>
      <c r="J26" s="17" t="n">
        <v>35</v>
      </c>
      <c r="K26" s="17" t="n">
        <v>43.89</v>
      </c>
      <c r="L26" s="17" t="n">
        <v>25.86</v>
      </c>
      <c r="M26" s="17" t="n">
        <v>0</v>
      </c>
      <c r="N26" s="17">
        <f>K26*0.08+L26*0.08</f>
        <v/>
      </c>
      <c r="O26" s="17">
        <f>-(K26*0.025+L26*0.025)</f>
        <v/>
      </c>
      <c r="P26" s="17">
        <f>32</f>
        <v/>
      </c>
      <c r="Q26" s="17">
        <f>J26+L26+N26+O26-P26-M26</f>
        <v/>
      </c>
    </row>
    <row r="27">
      <c r="A27" s="16" t="inlineStr">
        <is>
          <t>5.1-5.7</t>
        </is>
      </c>
      <c r="B27" s="16" t="inlineStr">
        <is>
          <t>PO-128-11171794053752435</t>
        </is>
      </c>
      <c r="C27" s="16" t="inlineStr">
        <is>
          <t>Delivered</t>
        </is>
      </c>
      <c r="D27" s="16" t="inlineStr">
        <is>
          <t>128-11171930368632435</t>
        </is>
      </c>
      <c r="E27" s="16" t="inlineStr">
        <is>
          <t>Delivered</t>
        </is>
      </c>
      <c r="F27" s="16" t="inlineStr">
        <is>
          <t>KTS-1678Y</t>
        </is>
      </c>
      <c r="G27" s="16" t="inlineStr">
        <is>
          <t>Bocina portátil Inalámbrico, de 3 pulgadas, tamaño de bolsillo, 170 g, con asa, compatible con TF, USB y Micro SD, con radio FM y función TWS (True Wireless Stereo), adecuada para relajarse en casa o viajar al aire libre.</t>
        </is>
      </c>
      <c r="H27" s="16" t="inlineStr">
        <is>
          <t>KTS-1678Y</t>
        </is>
      </c>
      <c r="I27" s="16" t="n">
        <v>1</v>
      </c>
      <c r="J27" s="17" t="n">
        <v>42.5</v>
      </c>
      <c r="K27" s="17" t="n">
        <v>48.72</v>
      </c>
      <c r="L27" s="17" t="n">
        <v>25.86</v>
      </c>
      <c r="M27" s="17" t="n">
        <v>0</v>
      </c>
      <c r="N27" s="17">
        <f>K27*0.08+L27*0.08</f>
        <v/>
      </c>
      <c r="O27" s="17">
        <f>-(K27*0.025+L27*0.025)</f>
        <v/>
      </c>
      <c r="P27" s="17">
        <f>32</f>
        <v/>
      </c>
      <c r="Q27" s="17">
        <f>J27+L27+N27+O27-P27-M27</f>
        <v/>
      </c>
    </row>
    <row r="28">
      <c r="A28" s="16" t="inlineStr">
        <is>
          <t>5.1-5.7</t>
        </is>
      </c>
      <c r="B28" s="16" t="inlineStr">
        <is>
          <t>PO-128-11511723100790409</t>
        </is>
      </c>
      <c r="C28" s="16" t="inlineStr">
        <is>
          <t>Delivered</t>
        </is>
      </c>
      <c r="D28" s="16" t="inlineStr">
        <is>
          <t>128-11511827958390409</t>
        </is>
      </c>
      <c r="E28" s="16" t="inlineStr">
        <is>
          <t>Delivered</t>
        </is>
      </c>
      <c r="F28" s="16" t="inlineStr">
        <is>
          <t>LV25W22</t>
        </is>
      </c>
      <c r="G2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8" s="16" t="inlineStr">
        <is>
          <t>LV25W32</t>
        </is>
      </c>
      <c r="I28" s="16" t="n">
        <v>1</v>
      </c>
      <c r="J28" s="17" t="n">
        <v>97</v>
      </c>
      <c r="K28" s="17" t="n">
        <v>24.67</v>
      </c>
      <c r="L28" s="17" t="n">
        <v>25.86</v>
      </c>
      <c r="M28" s="17" t="n">
        <v>0</v>
      </c>
      <c r="N28" s="17">
        <f>K28*0.08+L28*0.08</f>
        <v/>
      </c>
      <c r="O28" s="17">
        <f>-(K28*0.025+L28*0.025)</f>
        <v/>
      </c>
      <c r="P28" s="17">
        <f>32</f>
        <v/>
      </c>
      <c r="Q28" s="17">
        <f>J28+L28+N28+O28-P28-M28</f>
        <v/>
      </c>
    </row>
    <row r="29">
      <c r="A29" s="16" t="inlineStr">
        <is>
          <t>5.1-5.7</t>
        </is>
      </c>
      <c r="B29" s="16" t="inlineStr">
        <is>
          <t>PO-128-11005078293113493</t>
        </is>
      </c>
      <c r="C29" s="16" t="inlineStr">
        <is>
          <t>Delivered</t>
        </is>
      </c>
      <c r="D29" s="16" t="inlineStr">
        <is>
          <t>128-11005120236153493</t>
        </is>
      </c>
      <c r="E29" s="16" t="inlineStr">
        <is>
          <t>Delivered</t>
        </is>
      </c>
      <c r="F29" s="16" t="inlineStr">
        <is>
          <t>BS-22</t>
        </is>
      </c>
      <c r="G29" s="16" t="inlineStr">
        <is>
          <t>link bits Barra de Sonido para TV, 2x2" Altavoces + 2 Membranas de Graves, Sonido Claro ≥80dB, Bluetooth Inalámbrico, Conexiones AUX/USB, Diseño Compacto 76cm, Sonido Envolvente 3D para Cine en Casa, PC, Juegos y Fiestas</t>
        </is>
      </c>
      <c r="H29" s="16" t="inlineStr">
        <is>
          <t>BS-22</t>
        </is>
      </c>
      <c r="I29" s="16" t="n">
        <v>1</v>
      </c>
      <c r="J29" s="17" t="n">
        <v>260</v>
      </c>
      <c r="K29" s="17" t="n">
        <v>299.61</v>
      </c>
      <c r="L29" s="17" t="n">
        <v>0</v>
      </c>
      <c r="M29" s="17" t="n">
        <v>0</v>
      </c>
      <c r="N29" s="17">
        <f>K29*0.08+L29*0.08</f>
        <v/>
      </c>
      <c r="O29" s="17">
        <f>-(K29*0.025+L29*0.025)</f>
        <v/>
      </c>
      <c r="P29" s="17">
        <f>32</f>
        <v/>
      </c>
      <c r="Q29" s="17">
        <f>J29+L29+N29+O29-P29-M29</f>
        <v/>
      </c>
    </row>
    <row r="30">
      <c r="A30" s="16" t="inlineStr">
        <is>
          <t>5.1-5.7</t>
        </is>
      </c>
      <c r="B30" s="16" t="inlineStr">
        <is>
          <t>PO-128-11627577324150807</t>
        </is>
      </c>
      <c r="C30" s="16" t="inlineStr">
        <is>
          <t>Delivered</t>
        </is>
      </c>
      <c r="D30" s="16" t="inlineStr">
        <is>
          <t>128-11627535381110807</t>
        </is>
      </c>
      <c r="E30" s="16" t="inlineStr">
        <is>
          <t>Delivered</t>
        </is>
      </c>
      <c r="F30" s="16" t="inlineStr">
        <is>
          <t>BS-22</t>
        </is>
      </c>
      <c r="G30" s="16" t="inlineStr">
        <is>
          <t>link bits Barra de Sonido para TV, 2x2" Altavoces + 2 Membranas de Graves, Sonido Claro ≥80dB, Bluetooth Inalámbrico, Conexiones AUX/USB, Diseño Compacto 76cm, Sonido Envolvente 3D para Cine en Casa, PC, Juegos y Fiestas</t>
        </is>
      </c>
      <c r="H30" s="16" t="inlineStr">
        <is>
          <t>BS-22</t>
        </is>
      </c>
      <c r="I30" s="16" t="n">
        <v>1</v>
      </c>
      <c r="J30" s="17" t="n">
        <v>260</v>
      </c>
      <c r="K30" s="17" t="n">
        <v>6.51</v>
      </c>
      <c r="L30" s="17" t="n">
        <v>0</v>
      </c>
      <c r="M30" s="17" t="n">
        <v>0</v>
      </c>
      <c r="N30" s="17">
        <f>K30*0.08+L30*0.08</f>
        <v/>
      </c>
      <c r="O30" s="17">
        <f>-(K30*0.025+L30*0.025)</f>
        <v/>
      </c>
      <c r="P30" s="17">
        <f>32</f>
        <v/>
      </c>
      <c r="Q30" s="17">
        <f>J30+L30+N30+O30-P30-M30</f>
        <v/>
      </c>
    </row>
    <row r="31">
      <c r="A31" s="16" t="inlineStr">
        <is>
          <t>5.1-5.7</t>
        </is>
      </c>
      <c r="B31" s="16" t="inlineStr">
        <is>
          <t>PO-128-11315158569592797</t>
        </is>
      </c>
      <c r="C31" s="16" t="inlineStr">
        <is>
          <t>Delivered</t>
        </is>
      </c>
      <c r="D31" s="16" t="inlineStr">
        <is>
          <t>128-11315210998392797</t>
        </is>
      </c>
      <c r="E31" s="16" t="inlineStr">
        <is>
          <t>Delivered</t>
        </is>
      </c>
      <c r="F31" s="16" t="inlineStr">
        <is>
          <t>T5050RGB07</t>
        </is>
      </c>
      <c r="G31"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31" s="16" t="inlineStr">
        <is>
          <t>T5050RGB07</t>
        </is>
      </c>
      <c r="I31" s="16" t="n">
        <v>4</v>
      </c>
      <c r="J31" s="17" t="n">
        <v>225.6</v>
      </c>
      <c r="K31" s="17" t="n">
        <v>212.28</v>
      </c>
      <c r="L31" s="17" t="n">
        <v>0</v>
      </c>
      <c r="M31" s="17" t="n">
        <v>0</v>
      </c>
      <c r="N31" s="17">
        <f>K31*0.08+L31*0.08</f>
        <v/>
      </c>
      <c r="O31" s="17">
        <f>-(K31*0.025+L31*0.025)</f>
        <v/>
      </c>
      <c r="P31" s="17">
        <f>32</f>
        <v/>
      </c>
      <c r="Q31" s="17">
        <f>J31+L31+N31+O31-P31-M31</f>
        <v/>
      </c>
    </row>
    <row r="32">
      <c r="A32" s="16" t="inlineStr">
        <is>
          <t>5.1-5.7</t>
        </is>
      </c>
      <c r="B32" s="16" t="inlineStr">
        <is>
          <t>PO-128-11202563973752378</t>
        </is>
      </c>
      <c r="C32" s="16" t="inlineStr">
        <is>
          <t>Delivered</t>
        </is>
      </c>
      <c r="D32" s="16" t="inlineStr">
        <is>
          <t>128-11202487829112378</t>
        </is>
      </c>
      <c r="E32" s="16" t="inlineStr">
        <is>
          <t>Delivered</t>
        </is>
      </c>
      <c r="F32" s="16" t="inlineStr">
        <is>
          <t>LB02235-azul</t>
        </is>
      </c>
      <c r="G32" s="16" t="inlineStr">
        <is>
          <t>Audífonos Inalámbricos para la Cabeza, Recargables y Multifuncionales - Conectan a Varios Dispositivos, soportan Radio FM, Tarjeta TF y AUX - 4 Horas de Reproducción Musical - Ideal para Trabajo Cotidiano, Juegos y Estudio</t>
        </is>
      </c>
      <c r="H32" s="16" t="inlineStr">
        <is>
          <t>AZUL</t>
        </is>
      </c>
      <c r="I32" s="16" t="n">
        <v>1</v>
      </c>
      <c r="J32" s="17" t="n">
        <v>36.8</v>
      </c>
      <c r="K32" s="17" t="n">
        <v>49.91</v>
      </c>
      <c r="L32" s="17" t="n">
        <v>12.81</v>
      </c>
      <c r="M32" s="17" t="n">
        <v>0</v>
      </c>
      <c r="N32" s="17">
        <f>K32*0.08+L32*0.08</f>
        <v/>
      </c>
      <c r="O32" s="17">
        <f>-(K32*0.025+L32*0.025)</f>
        <v/>
      </c>
      <c r="P32" s="17">
        <f>32</f>
        <v/>
      </c>
      <c r="Q32" s="17">
        <f>J32+L32+N32+O32-P32-M32</f>
        <v/>
      </c>
    </row>
    <row r="33">
      <c r="A33" s="16" t="inlineStr">
        <is>
          <t>5.1-5.7</t>
        </is>
      </c>
      <c r="B33" s="16" t="inlineStr">
        <is>
          <t>PO-128-11202563973752378</t>
        </is>
      </c>
      <c r="C33" s="16" t="inlineStr">
        <is>
          <t>Delivered</t>
        </is>
      </c>
      <c r="D33" s="16" t="inlineStr">
        <is>
          <t>128-11202485330552378</t>
        </is>
      </c>
      <c r="E33" s="16" t="inlineStr">
        <is>
          <t>Delivered</t>
        </is>
      </c>
      <c r="F33" s="16" t="inlineStr">
        <is>
          <t>LB02235-rojo</t>
        </is>
      </c>
      <c r="G33" s="16" t="inlineStr">
        <is>
          <t>Audífonos Inalámbricos para la Cabeza, Recargables y Multifuncionales - Conectan a Varios Dispositivos, soportan Radio FM, Tarjeta TF y AUX - 4 Horas de Reproducción Musical - Ideal para Trabajo Cotidiano, Juegos y Estudio</t>
        </is>
      </c>
      <c r="H33" s="16" t="inlineStr">
        <is>
          <t>ROJO</t>
        </is>
      </c>
      <c r="I33" s="16" t="n">
        <v>1</v>
      </c>
      <c r="J33" s="17" t="n">
        <v>37.71</v>
      </c>
      <c r="K33" s="17" t="n">
        <v>50.83</v>
      </c>
      <c r="L33" s="17" t="n">
        <v>13.05</v>
      </c>
      <c r="M33" s="17" t="n">
        <v>0</v>
      </c>
      <c r="N33" s="17">
        <f>K33*0.08+L33*0.08</f>
        <v/>
      </c>
      <c r="O33" s="17">
        <f>-(K33*0.025+L33*0.025)</f>
        <v/>
      </c>
      <c r="P33" s="17">
        <f>32</f>
        <v/>
      </c>
      <c r="Q33" s="17">
        <f>J33+L33+N33+O33-P33-M33</f>
        <v/>
      </c>
    </row>
    <row r="34">
      <c r="A34" s="16" t="inlineStr">
        <is>
          <t>5.1-5.7</t>
        </is>
      </c>
      <c r="B34" s="16" t="inlineStr">
        <is>
          <t>PO-128-11203507190392372</t>
        </is>
      </c>
      <c r="C34" s="16" t="inlineStr">
        <is>
          <t>Delivered</t>
        </is>
      </c>
      <c r="D34" s="16" t="inlineStr">
        <is>
          <t>128-11203517676152372</t>
        </is>
      </c>
      <c r="E34" s="16" t="inlineStr">
        <is>
          <t>Delivered</t>
        </is>
      </c>
      <c r="F34" s="16" t="inlineStr">
        <is>
          <t>MCM-001G</t>
        </is>
      </c>
      <c r="G34" s="16" t="inlineStr">
        <is>
          <t>Musicord Altavoz Inalámbrico BT Portátil: ¡Sonido impactante, luces LED multicolores y 4 horas de autonomía! Compatible con TWS, FM, TF y USB – Imprescindible para fiestas y viajes</t>
        </is>
      </c>
      <c r="H34" s="16" t="inlineStr">
        <is>
          <t>GRIS</t>
        </is>
      </c>
      <c r="I34" s="16" t="n">
        <v>1</v>
      </c>
      <c r="J34" s="17" t="n">
        <v>51.07</v>
      </c>
      <c r="K34" s="17" t="n">
        <v>62.36</v>
      </c>
      <c r="L34" s="17" t="n">
        <v>25.86</v>
      </c>
      <c r="M34" s="17" t="n">
        <v>0</v>
      </c>
      <c r="N34" s="17">
        <f>K34*0.08+L34*0.08</f>
        <v/>
      </c>
      <c r="O34" s="17">
        <f>-(K34*0.025+L34*0.025)</f>
        <v/>
      </c>
      <c r="P34" s="17">
        <f>32</f>
        <v/>
      </c>
      <c r="Q34" s="17">
        <f>J34+L34+N34+O34-P34-M34</f>
        <v/>
      </c>
    </row>
    <row r="35">
      <c r="A35" s="16" t="inlineStr">
        <is>
          <t>5.1-5.7</t>
        </is>
      </c>
      <c r="B35" s="16" t="inlineStr">
        <is>
          <t>PO-128-11587895573110083</t>
        </is>
      </c>
      <c r="C35" s="16" t="inlineStr">
        <is>
          <t>Delivered</t>
        </is>
      </c>
      <c r="D35" s="16" t="inlineStr">
        <is>
          <t>128-11588000430710083</t>
        </is>
      </c>
      <c r="E35" s="16" t="inlineStr">
        <is>
          <t>Delivered</t>
        </is>
      </c>
      <c r="F35" s="16" t="inlineStr">
        <is>
          <t>LB02235-rojo</t>
        </is>
      </c>
      <c r="G35" s="16" t="inlineStr">
        <is>
          <t>Audífonos Inalámbricos para la Cabeza, Recargables y Multifuncionales - Conectan a Varios Dispositivos, soportan Radio FM, Tarjeta TF y AUX - 4 Horas de Reproducción Musical - Ideal para Trabajo Cotidiano, Juegos y Estudio</t>
        </is>
      </c>
      <c r="H35" s="16" t="inlineStr">
        <is>
          <t>ROJO</t>
        </is>
      </c>
      <c r="I35" s="16" t="n">
        <v>1</v>
      </c>
      <c r="J35" s="17" t="n">
        <v>37.71</v>
      </c>
      <c r="K35" s="17" t="n">
        <v>7.73</v>
      </c>
      <c r="L35" s="17" t="n">
        <v>25.86</v>
      </c>
      <c r="M35" s="17" t="n">
        <v>0</v>
      </c>
      <c r="N35" s="17">
        <f>K35*0.08+L35*0.08</f>
        <v/>
      </c>
      <c r="O35" s="17">
        <f>-(K35*0.025+L35*0.025)</f>
        <v/>
      </c>
      <c r="P35" s="17">
        <f>32</f>
        <v/>
      </c>
      <c r="Q35" s="17">
        <f>J35+L35+N35+O35-P35-M35</f>
        <v/>
      </c>
    </row>
    <row r="36">
      <c r="A36" s="16" t="inlineStr">
        <is>
          <t>5.1-5.7</t>
        </is>
      </c>
      <c r="B36" s="16" t="inlineStr">
        <is>
          <t>PO-128-11377429330551400</t>
        </is>
      </c>
      <c r="C36" s="16" t="inlineStr">
        <is>
          <t>Delivered</t>
        </is>
      </c>
      <c r="D36" s="16" t="inlineStr">
        <is>
          <t>128-11377467341431400</t>
        </is>
      </c>
      <c r="E36" s="16" t="inlineStr">
        <is>
          <t>Delivered</t>
        </is>
      </c>
      <c r="F36" s="16" t="inlineStr">
        <is>
          <t>KTS-1678N</t>
        </is>
      </c>
      <c r="G36" s="16" t="inlineStr">
        <is>
          <t>Bocina portátil Inalámbrico, de 3 pulgadas, tamaño de bolsillo, 170 g, con asa, compatible con TF, USB y Micro SD, con radio FM y función TWS (True Wireless Stereo), adecuada para relajarse en casa o viajar al aire libre.</t>
        </is>
      </c>
      <c r="H36" s="16" t="inlineStr">
        <is>
          <t>KTS-1678N</t>
        </is>
      </c>
      <c r="I36" s="16" t="n">
        <v>1</v>
      </c>
      <c r="J36" s="17" t="n">
        <v>43</v>
      </c>
      <c r="K36" s="17" t="n">
        <v>23.62</v>
      </c>
      <c r="L36" s="17" t="n">
        <v>25.86</v>
      </c>
      <c r="M36" s="17" t="n">
        <v>0</v>
      </c>
      <c r="N36" s="17">
        <f>K36*0.08+L36*0.08</f>
        <v/>
      </c>
      <c r="O36" s="17">
        <f>-(K36*0.025+L36*0.025)</f>
        <v/>
      </c>
      <c r="P36" s="17">
        <f>32</f>
        <v/>
      </c>
      <c r="Q36" s="17">
        <f>J36+L36+N36+O36-P36-M36</f>
        <v/>
      </c>
    </row>
    <row r="37">
      <c r="A37" s="16" t="inlineStr">
        <is>
          <t>5.1-5.7</t>
        </is>
      </c>
      <c r="B37" s="16" t="inlineStr">
        <is>
          <t>PO-128-11417277461111098</t>
        </is>
      </c>
      <c r="C37" s="16" t="inlineStr">
        <is>
          <t>Delivered</t>
        </is>
      </c>
      <c r="D37" s="16" t="inlineStr">
        <is>
          <t>128-11417311539831098</t>
        </is>
      </c>
      <c r="E37" s="16" t="inlineStr">
        <is>
          <t>Delivered</t>
        </is>
      </c>
      <c r="F37" s="16" t="inlineStr">
        <is>
          <t>MCM-001G</t>
        </is>
      </c>
      <c r="G37" s="16" t="inlineStr">
        <is>
          <t>Musicord Altavoz Inalámbrico BT Portátil: ¡Sonido impactante, luces LED multicolores y 4 horas de autonomía! Compatible con TWS, FM, TF y USB – Imprescindible para fiestas y viajes</t>
        </is>
      </c>
      <c r="H37" s="16" t="inlineStr">
        <is>
          <t>GRIS</t>
        </is>
      </c>
      <c r="I37" s="16" t="n">
        <v>1</v>
      </c>
      <c r="J37" s="17" t="n">
        <v>51.07</v>
      </c>
      <c r="K37" s="17" t="n">
        <v>62.36</v>
      </c>
      <c r="L37" s="17" t="n">
        <v>25.86</v>
      </c>
      <c r="M37" s="17" t="n">
        <v>0</v>
      </c>
      <c r="N37" s="17">
        <f>K37*0.08+L37*0.08</f>
        <v/>
      </c>
      <c r="O37" s="17">
        <f>-(K37*0.025+L37*0.025)</f>
        <v/>
      </c>
      <c r="P37" s="17">
        <f>32</f>
        <v/>
      </c>
      <c r="Q37" s="17">
        <f>J37+L37+N37+O37-P37-M37</f>
        <v/>
      </c>
    </row>
    <row r="38">
      <c r="A38" s="16" t="inlineStr">
        <is>
          <t>5.1-5.7</t>
        </is>
      </c>
      <c r="B38" s="16" t="inlineStr">
        <is>
          <t>PO-128-11504524626551602</t>
        </is>
      </c>
      <c r="C38" s="16" t="inlineStr">
        <is>
          <t>Delivered</t>
        </is>
      </c>
      <c r="D38" s="16" t="inlineStr">
        <is>
          <t>128-11504508897911602</t>
        </is>
      </c>
      <c r="E38" s="16" t="inlineStr">
        <is>
          <t>Delivered</t>
        </is>
      </c>
      <c r="F38" s="16" t="inlineStr">
        <is>
          <t>VB347T</t>
        </is>
      </c>
      <c r="G3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 s="16" t="inlineStr">
        <is>
          <t>1 pieza</t>
        </is>
      </c>
      <c r="I38" s="16" t="n">
        <v>1</v>
      </c>
      <c r="J38" s="17" t="n">
        <v>79.89</v>
      </c>
      <c r="K38" s="17" t="n">
        <v>94.5</v>
      </c>
      <c r="L38" s="17" t="n">
        <v>25.86</v>
      </c>
      <c r="M38" s="17" t="n">
        <v>0</v>
      </c>
      <c r="N38" s="17">
        <f>K38*0.08+L38*0.08</f>
        <v/>
      </c>
      <c r="O38" s="17">
        <f>-(K38*0.025+L38*0.025)</f>
        <v/>
      </c>
      <c r="P38" s="17">
        <f>32</f>
        <v/>
      </c>
      <c r="Q38" s="17">
        <f>J38+L38+N38+O38-P38-M38</f>
        <v/>
      </c>
    </row>
    <row r="39">
      <c r="A39" s="16" t="inlineStr">
        <is>
          <t>5.1-5.7</t>
        </is>
      </c>
      <c r="B39" s="16" t="inlineStr">
        <is>
          <t>PO-128-11290370232952881</t>
        </is>
      </c>
      <c r="C39" s="16" t="inlineStr">
        <is>
          <t>Delivered</t>
        </is>
      </c>
      <c r="D39" s="16" t="inlineStr">
        <is>
          <t>128-11290328289912881</t>
        </is>
      </c>
      <c r="E39" s="16" t="inlineStr">
        <is>
          <t>Delivered</t>
        </is>
      </c>
      <c r="F39" s="16" t="inlineStr">
        <is>
          <t>MCM-001R</t>
        </is>
      </c>
      <c r="G39" s="16" t="inlineStr">
        <is>
          <t>Musicord Altavoz Inalámbrico BT Portátil: ¡Sonido impactante, luces LED multicolores y 4 horas de autonomía! Compatible con TWS, FM, TF y USB – Imprescindible para fiestas y viajes</t>
        </is>
      </c>
      <c r="H39" s="16" t="inlineStr">
        <is>
          <t>ROJO</t>
        </is>
      </c>
      <c r="I39" s="16" t="n">
        <v>1</v>
      </c>
      <c r="J39" s="17" t="n">
        <v>66.5</v>
      </c>
      <c r="K39" s="17" t="n">
        <v>77.79000000000001</v>
      </c>
      <c r="L39" s="17" t="n">
        <v>25.86</v>
      </c>
      <c r="M39" s="17" t="n">
        <v>0</v>
      </c>
      <c r="N39" s="17">
        <f>K39*0.08+L39*0.08</f>
        <v/>
      </c>
      <c r="O39" s="17">
        <f>-(K39*0.025+L39*0.025)</f>
        <v/>
      </c>
      <c r="P39" s="17">
        <f>32</f>
        <v/>
      </c>
      <c r="Q39" s="17">
        <f>J39+L39+N39+O39-P39-M39</f>
        <v/>
      </c>
    </row>
    <row r="40">
      <c r="A40" s="16" t="inlineStr">
        <is>
          <t>5.1-5.7</t>
        </is>
      </c>
      <c r="B40" s="16" t="inlineStr">
        <is>
          <t>PO-128-11322489109112561</t>
        </is>
      </c>
      <c r="C40" s="16" t="inlineStr">
        <is>
          <t>Delivered</t>
        </is>
      </c>
      <c r="D40" s="16" t="inlineStr">
        <is>
          <t>128-11322531052152561</t>
        </is>
      </c>
      <c r="E40" s="16" t="inlineStr">
        <is>
          <t>Delivered</t>
        </is>
      </c>
      <c r="F40" s="16" t="inlineStr">
        <is>
          <t>MCM-001R</t>
        </is>
      </c>
      <c r="G40" s="16" t="inlineStr">
        <is>
          <t>Musicord Altavoz Inalámbrico BT Portátil: ¡Sonido impactante, luces LED multicolores y 4 horas de autonomía! Compatible con TWS, FM, TF y USB – Imprescindible para fiestas y viajes</t>
        </is>
      </c>
      <c r="H40" s="16" t="inlineStr">
        <is>
          <t>ROJO</t>
        </is>
      </c>
      <c r="I40" s="16" t="n">
        <v>1</v>
      </c>
      <c r="J40" s="17" t="n">
        <v>66.5</v>
      </c>
      <c r="K40" s="17" t="n">
        <v>24.34</v>
      </c>
      <c r="L40" s="17" t="n">
        <v>25.86</v>
      </c>
      <c r="M40" s="17" t="n">
        <v>0</v>
      </c>
      <c r="N40" s="17">
        <f>K40*0.08+L40*0.08</f>
        <v/>
      </c>
      <c r="O40" s="17">
        <f>-(K40*0.025+L40*0.025)</f>
        <v/>
      </c>
      <c r="P40" s="17">
        <f>32</f>
        <v/>
      </c>
      <c r="Q40" s="17">
        <f>J40+L40+N40+O40-P40-M40</f>
        <v/>
      </c>
    </row>
    <row r="41">
      <c r="A41" s="16" t="inlineStr">
        <is>
          <t>5.1-5.7</t>
        </is>
      </c>
      <c r="B41" s="16" t="inlineStr">
        <is>
          <t>PO-128-11411683349111068</t>
        </is>
      </c>
      <c r="C41" s="16" t="inlineStr">
        <is>
          <t>Delivered</t>
        </is>
      </c>
      <c r="D41" s="16" t="inlineStr">
        <is>
          <t>128-11411641406071068</t>
        </is>
      </c>
      <c r="E41" s="16" t="inlineStr">
        <is>
          <t>Delivered</t>
        </is>
      </c>
      <c r="F41" s="16" t="inlineStr">
        <is>
          <t>LB02235-azul</t>
        </is>
      </c>
      <c r="G41" s="16" t="inlineStr">
        <is>
          <t>Audífonos Inalámbricos para la Cabeza, Recargables y Multifuncionales - Conectan a Varios Dispositivos, soportan Radio FM, Tarjeta TF y AUX - 4 Horas de Reproducción Musical - Ideal para Trabajo Cotidiano, Juegos y Estudio</t>
        </is>
      </c>
      <c r="H41" s="16" t="inlineStr">
        <is>
          <t>AZUL</t>
        </is>
      </c>
      <c r="I41" s="16" t="n">
        <v>1</v>
      </c>
      <c r="J41" s="17" t="n">
        <v>36.8</v>
      </c>
      <c r="K41" s="17" t="n">
        <v>49.91</v>
      </c>
      <c r="L41" s="17" t="n">
        <v>25.86</v>
      </c>
      <c r="M41" s="17" t="n">
        <v>0</v>
      </c>
      <c r="N41" s="17">
        <f>K41*0.08+L41*0.08</f>
        <v/>
      </c>
      <c r="O41" s="17">
        <f>-(K41*0.025+L41*0.025)</f>
        <v/>
      </c>
      <c r="P41" s="17">
        <f>32</f>
        <v/>
      </c>
      <c r="Q41" s="17">
        <f>J41+L41+N41+O41-P41-M41</f>
        <v/>
      </c>
    </row>
    <row r="42">
      <c r="A42" s="16" t="inlineStr">
        <is>
          <t>5.1-5.7</t>
        </is>
      </c>
      <c r="B42" s="16" t="inlineStr">
        <is>
          <t>PO-128-11287002778232901</t>
        </is>
      </c>
      <c r="C42" s="16" t="inlineStr">
        <is>
          <t>Delivered</t>
        </is>
      </c>
      <c r="D42" s="16" t="inlineStr">
        <is>
          <t>128-11286960835192901</t>
        </is>
      </c>
      <c r="E42" s="16" t="inlineStr">
        <is>
          <t>Delivered</t>
        </is>
      </c>
      <c r="F42" s="16" t="inlineStr">
        <is>
          <t>MCM-001G</t>
        </is>
      </c>
      <c r="G42" s="16" t="inlineStr">
        <is>
          <t>Musicord Altavoz Inalámbrico BT Portátil: ¡Sonido impactante, luces LED multicolores y 4 horas de autonomía! Compatible con TWS, FM, TF y USB – Imprescindible para fiestas y viajes</t>
        </is>
      </c>
      <c r="H42" s="16" t="inlineStr">
        <is>
          <t>GRIS</t>
        </is>
      </c>
      <c r="I42" s="16" t="n">
        <v>1</v>
      </c>
      <c r="J42" s="17" t="n">
        <v>51.07</v>
      </c>
      <c r="K42" s="17" t="n">
        <v>19.26</v>
      </c>
      <c r="L42" s="17" t="n">
        <v>25.86</v>
      </c>
      <c r="M42" s="17" t="n">
        <v>0</v>
      </c>
      <c r="N42" s="17">
        <f>K42*0.08+L42*0.08</f>
        <v/>
      </c>
      <c r="O42" s="17">
        <f>-(K42*0.025+L42*0.025)</f>
        <v/>
      </c>
      <c r="P42" s="17">
        <f>32</f>
        <v/>
      </c>
      <c r="Q42" s="17">
        <f>J42+L42+N42+O42-P42-M42</f>
        <v/>
      </c>
    </row>
    <row r="43">
      <c r="A43" s="16" t="inlineStr">
        <is>
          <t>5.1-5.7</t>
        </is>
      </c>
      <c r="B43" s="16" t="inlineStr">
        <is>
          <t>PO-128-11676748186230576</t>
        </is>
      </c>
      <c r="C43" s="16" t="inlineStr">
        <is>
          <t>Delivered</t>
        </is>
      </c>
      <c r="D43" s="16" t="inlineStr">
        <is>
          <t>128-11676706243190576</t>
        </is>
      </c>
      <c r="E43" s="16" t="inlineStr">
        <is>
          <t>Delivered</t>
        </is>
      </c>
      <c r="F43" s="16" t="inlineStr">
        <is>
          <t>VB347T</t>
        </is>
      </c>
      <c r="G4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3" s="16" t="inlineStr">
        <is>
          <t>1 pieza</t>
        </is>
      </c>
      <c r="I43" s="16" t="n">
        <v>1</v>
      </c>
      <c r="J43" s="17" t="n">
        <v>79.89</v>
      </c>
      <c r="K43" s="17" t="n">
        <v>80.33</v>
      </c>
      <c r="L43" s="17" t="n">
        <v>25.86</v>
      </c>
      <c r="M43" s="17" t="n">
        <v>0</v>
      </c>
      <c r="N43" s="17">
        <f>K43*0.08+L43*0.08</f>
        <v/>
      </c>
      <c r="O43" s="17">
        <f>-(K43*0.025+L43*0.025)</f>
        <v/>
      </c>
      <c r="P43" s="17">
        <f>32</f>
        <v/>
      </c>
      <c r="Q43" s="17">
        <f>J43+L43+N43+O43-P43-M43</f>
        <v/>
      </c>
    </row>
    <row r="44">
      <c r="A44" s="16" t="inlineStr">
        <is>
          <t>5.1-5.7</t>
        </is>
      </c>
      <c r="B44" s="16" t="inlineStr">
        <is>
          <t>PO-128-11550862807670366</t>
        </is>
      </c>
      <c r="C44" s="16" t="inlineStr">
        <is>
          <t>Delivered</t>
        </is>
      </c>
      <c r="D44" s="16" t="inlineStr">
        <is>
          <t>128-11550944727670366</t>
        </is>
      </c>
      <c r="E44" s="16" t="inlineStr">
        <is>
          <t>Delivered</t>
        </is>
      </c>
      <c r="F44" s="16" t="inlineStr">
        <is>
          <t>SA325T</t>
        </is>
      </c>
      <c r="G44" s="16" t="inlineStr">
        <is>
          <t>Subwoofer Portátil Inalámbrico con Luces RGB, Sonido de Alta Potencia y Batería Duradera, TWS TF USB, Perfecto para Campamento Fiestas y Entretenimiento en Casa</t>
        </is>
      </c>
      <c r="H44" s="16" t="inlineStr">
        <is>
          <t>NEGRO</t>
        </is>
      </c>
      <c r="I44" s="16" t="n">
        <v>1</v>
      </c>
      <c r="J44" s="17" t="n">
        <v>38</v>
      </c>
      <c r="K44" s="17" t="n">
        <v>47.06</v>
      </c>
      <c r="L44" s="17" t="n">
        <v>25.86</v>
      </c>
      <c r="M44" s="17" t="n">
        <v>0</v>
      </c>
      <c r="N44" s="17">
        <f>K44*0.08+L44*0.08</f>
        <v/>
      </c>
      <c r="O44" s="17">
        <f>-(K44*0.025+L44*0.025)</f>
        <v/>
      </c>
      <c r="P44" s="17">
        <f>32</f>
        <v/>
      </c>
      <c r="Q44" s="17">
        <f>J44+L44+N44+O44-P44-M44</f>
        <v/>
      </c>
    </row>
    <row r="45">
      <c r="A45" s="16" t="inlineStr">
        <is>
          <t>5.1-5.7</t>
        </is>
      </c>
      <c r="B45" s="16" t="inlineStr">
        <is>
          <t>PO-128-11122018458233946</t>
        </is>
      </c>
      <c r="C45" s="16" t="inlineStr">
        <is>
          <t>Delivered</t>
        </is>
      </c>
      <c r="D45" s="16" t="inlineStr">
        <is>
          <t>128-11121976515193946</t>
        </is>
      </c>
      <c r="E45" s="16" t="inlineStr">
        <is>
          <t>Delivered</t>
        </is>
      </c>
      <c r="F45" s="16" t="inlineStr">
        <is>
          <t>LV25W22</t>
        </is>
      </c>
      <c r="G4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 s="16" t="inlineStr">
        <is>
          <t>LV25W32</t>
        </is>
      </c>
      <c r="I45" s="16" t="n">
        <v>1</v>
      </c>
      <c r="J45" s="17" t="n">
        <v>97</v>
      </c>
      <c r="K45" s="17" t="n">
        <v>107.43</v>
      </c>
      <c r="L45" s="17" t="n">
        <v>25.86</v>
      </c>
      <c r="M45" s="17" t="n">
        <v>0</v>
      </c>
      <c r="N45" s="17">
        <f>K45*0.08+L45*0.08</f>
        <v/>
      </c>
      <c r="O45" s="17">
        <f>-(K45*0.025+L45*0.025)</f>
        <v/>
      </c>
      <c r="P45" s="17">
        <f>32</f>
        <v/>
      </c>
      <c r="Q45" s="17">
        <f>J45+L45+N45+O45-P45-M45</f>
        <v/>
      </c>
    </row>
    <row r="46">
      <c r="A46" s="16" t="inlineStr">
        <is>
          <t>5.1-5.7</t>
        </is>
      </c>
      <c r="B46" s="16" t="inlineStr">
        <is>
          <t>PO-128-10998434663033469</t>
        </is>
      </c>
      <c r="C46" s="16" t="inlineStr">
        <is>
          <t>Delivered</t>
        </is>
      </c>
      <c r="D46" s="16" t="inlineStr">
        <is>
          <t>128-10998392719993469</t>
        </is>
      </c>
      <c r="E46" s="16" t="inlineStr">
        <is>
          <t>Delivered</t>
        </is>
      </c>
      <c r="F46" s="16" t="inlineStr">
        <is>
          <t>AIR50W06-2P</t>
        </is>
      </c>
      <c r="G46" s="16" t="inlineStr">
        <is>
          <t>Link Bits Ventilador de piso de 16 pulgadas, 2 unidades, 3 velocidades, motor silencioso, flujo de aire fuerte, altura ajustable, oscilación amplia, ventilador eléctrico para el hogar, ideal para sala, recámara y oficina</t>
        </is>
      </c>
      <c r="H46" s="16" t="inlineStr">
        <is>
          <t>2PZ</t>
        </is>
      </c>
      <c r="I46" s="16" t="n">
        <v>1</v>
      </c>
      <c r="J46" s="17" t="n">
        <v>440</v>
      </c>
      <c r="K46" s="17" t="n">
        <v>501.47</v>
      </c>
      <c r="L46" s="17" t="n">
        <v>0</v>
      </c>
      <c r="M46" s="17" t="n">
        <v>0</v>
      </c>
      <c r="N46" s="17">
        <f>K46*0.08+L46*0.08</f>
        <v/>
      </c>
      <c r="O46" s="17">
        <f>-(K46*0.025+L46*0.025)</f>
        <v/>
      </c>
      <c r="P46" s="17">
        <f>32</f>
        <v/>
      </c>
      <c r="Q46" s="17">
        <f>J46+L46+N46+O46-P46-M46</f>
        <v/>
      </c>
    </row>
    <row r="47">
      <c r="A47" s="16" t="inlineStr">
        <is>
          <t>5.1-5.7</t>
        </is>
      </c>
      <c r="B47" s="16" t="inlineStr">
        <is>
          <t>PO-128-11026050519673366</t>
        </is>
      </c>
      <c r="C47" s="16" t="inlineStr">
        <is>
          <t>Delivered</t>
        </is>
      </c>
      <c r="D47" s="16" t="inlineStr">
        <is>
          <t>128-11026006610553366</t>
        </is>
      </c>
      <c r="E47" s="16" t="inlineStr">
        <is>
          <t>Delivered</t>
        </is>
      </c>
      <c r="F47" s="16" t="inlineStr">
        <is>
          <t>LB02235-azul</t>
        </is>
      </c>
      <c r="G47" s="16" t="inlineStr">
        <is>
          <t>Audífonos Inalámbricos para la Cabeza, Recargables y Multifuncionales - Conectan a Varios Dispositivos, soportan Radio FM, Tarjeta TF y AUX - 4 Horas de Reproducción Musical - Ideal para Trabajo Cotidiano, Juegos y Estudio</t>
        </is>
      </c>
      <c r="H47" s="16" t="inlineStr">
        <is>
          <t>AZUL</t>
        </is>
      </c>
      <c r="I47" s="16" t="n">
        <v>1</v>
      </c>
      <c r="J47" s="17" t="n">
        <v>36.8</v>
      </c>
      <c r="K47" s="17" t="n">
        <v>49.91</v>
      </c>
      <c r="L47" s="17" t="n">
        <v>25.86</v>
      </c>
      <c r="M47" s="17" t="n">
        <v>0</v>
      </c>
      <c r="N47" s="17">
        <f>K47*0.08+L47*0.08</f>
        <v/>
      </c>
      <c r="O47" s="17">
        <f>-(K47*0.025+L47*0.025)</f>
        <v/>
      </c>
      <c r="P47" s="17">
        <f>32</f>
        <v/>
      </c>
      <c r="Q47" s="17">
        <f>J47+L47+N47+O47-P47-M47</f>
        <v/>
      </c>
    </row>
    <row r="48">
      <c r="A48" s="16" t="inlineStr">
        <is>
          <t>5.1-5.7</t>
        </is>
      </c>
      <c r="B48" s="16" t="inlineStr">
        <is>
          <t>PO-128-11549213604470376</t>
        </is>
      </c>
      <c r="C48" s="16" t="inlineStr">
        <is>
          <t>Delivered</t>
        </is>
      </c>
      <c r="D48" s="16" t="inlineStr">
        <is>
          <t>128-11549234575990376</t>
        </is>
      </c>
      <c r="E48" s="16" t="inlineStr">
        <is>
          <t>Delivered</t>
        </is>
      </c>
      <c r="F48" s="16" t="inlineStr">
        <is>
          <t>BS-22</t>
        </is>
      </c>
      <c r="G48" s="16" t="inlineStr">
        <is>
          <t>link bits Barra de Sonido para TV, 2x2" Altavoces + 2 Membranas de Graves, Sonido Claro ≥80dB, Bluetooth Inalámbrico, Conexiones AUX/USB, Diseño Compacto 76cm, Sonido Envolvente 3D para Cine en Casa, PC, Juegos y Fiestas</t>
        </is>
      </c>
      <c r="H48" s="16" t="inlineStr">
        <is>
          <t>BS-22</t>
        </is>
      </c>
      <c r="I48" s="16" t="n">
        <v>1</v>
      </c>
      <c r="J48" s="17" t="n">
        <v>260</v>
      </c>
      <c r="K48" s="17" t="n">
        <v>299.61</v>
      </c>
      <c r="L48" s="17" t="n">
        <v>0</v>
      </c>
      <c r="M48" s="17" t="n">
        <v>5</v>
      </c>
      <c r="N48" s="17">
        <f>K48*0.08+L48*0.08</f>
        <v/>
      </c>
      <c r="O48" s="17">
        <f>-(K48*0.025+L48*0.025)</f>
        <v/>
      </c>
      <c r="P48" s="17">
        <f>32</f>
        <v/>
      </c>
      <c r="Q48" s="17">
        <f>J48+L48+N48+O48-P48-M48</f>
        <v/>
      </c>
    </row>
    <row r="49">
      <c r="A49" s="16" t="inlineStr">
        <is>
          <t>5.1-5.7</t>
        </is>
      </c>
      <c r="B49" s="16" t="inlineStr">
        <is>
          <t>PO-128-00266534682232986</t>
        </is>
      </c>
      <c r="C49" s="16" t="inlineStr">
        <is>
          <t>Delivered</t>
        </is>
      </c>
      <c r="D49" s="16" t="inlineStr">
        <is>
          <t>128-00266487496312986</t>
        </is>
      </c>
      <c r="E49" s="16" t="inlineStr">
        <is>
          <t>Delivered</t>
        </is>
      </c>
      <c r="F49" s="16" t="inlineStr">
        <is>
          <t>LB02235-rojo</t>
        </is>
      </c>
      <c r="G49" s="16" t="inlineStr">
        <is>
          <t>Audífonos Inalámbricos para la Cabeza, Recargables y Multifuncionales - Conectan a Varios Dispositivos, soportan Radio FM, Tarjeta TF y AUX - 4 Horas de Reproducción Musical - Ideal para Trabajo Cotidiano, Juegos y Estudio</t>
        </is>
      </c>
      <c r="H49" s="16" t="inlineStr">
        <is>
          <t>ROJO</t>
        </is>
      </c>
      <c r="I49" s="16" t="n">
        <v>1</v>
      </c>
      <c r="J49" s="17" t="n">
        <v>37.71</v>
      </c>
      <c r="K49" s="17" t="n">
        <v>50.83</v>
      </c>
      <c r="L49" s="17" t="n">
        <v>25.86</v>
      </c>
      <c r="M49" s="17" t="n">
        <v>0</v>
      </c>
      <c r="N49" s="17">
        <f>K49*0.08+L49*0.08</f>
        <v/>
      </c>
      <c r="O49" s="17">
        <f>-(K49*0.025+L49*0.025)</f>
        <v/>
      </c>
      <c r="P49" s="17">
        <f>32</f>
        <v/>
      </c>
      <c r="Q49" s="17">
        <f>J49+L49+N49+O49-P49-M49</f>
        <v/>
      </c>
    </row>
    <row r="50">
      <c r="A50" s="16" t="inlineStr">
        <is>
          <t>5.1-5.7</t>
        </is>
      </c>
      <c r="B50" s="16" t="inlineStr">
        <is>
          <t>PO-128-00590010801270034</t>
        </is>
      </c>
      <c r="C50" s="16" t="inlineStr">
        <is>
          <t>Delivered</t>
        </is>
      </c>
      <c r="D50" s="16" t="inlineStr">
        <is>
          <t>128-00590031772790034</t>
        </is>
      </c>
      <c r="E50" s="16" t="inlineStr">
        <is>
          <t>Delivered</t>
        </is>
      </c>
      <c r="F50" s="16" t="inlineStr">
        <is>
          <t>KTS-1678V</t>
        </is>
      </c>
      <c r="G50" s="16" t="inlineStr">
        <is>
          <t>Bocina portátil Inalámbrico, de 3 pulgadas, tamaño de bolsillo, 170 g, con asa, compatible con TF, USB y Micro SD, con radio FM y función TWS (True Wireless Stereo), adecuada para relajarse en casa o viajar al aire libre.</t>
        </is>
      </c>
      <c r="H50" s="16" t="inlineStr">
        <is>
          <t>KTS-1678V</t>
        </is>
      </c>
      <c r="I50" s="16" t="n">
        <v>5</v>
      </c>
      <c r="J50" s="17" t="n">
        <v>212.5</v>
      </c>
      <c r="K50" s="17" t="n">
        <v>253.95</v>
      </c>
      <c r="L50" s="17" t="n">
        <v>0</v>
      </c>
      <c r="M50" s="17" t="n">
        <v>0</v>
      </c>
      <c r="N50" s="17">
        <f>K50*0.08+L50*0.08</f>
        <v/>
      </c>
      <c r="O50" s="17">
        <f>-(K50*0.025+L50*0.025)</f>
        <v/>
      </c>
      <c r="P50" s="17">
        <f>32</f>
        <v/>
      </c>
      <c r="Q50" s="17">
        <f>J50+L50+N50+O50-P50-M50</f>
        <v/>
      </c>
    </row>
    <row r="51">
      <c r="A51" s="16" t="inlineStr">
        <is>
          <t>5.1-5.7</t>
        </is>
      </c>
      <c r="B51" s="16" t="inlineStr">
        <is>
          <t>PO-128-00590010801270034</t>
        </is>
      </c>
      <c r="C51" s="16" t="inlineStr">
        <is>
          <t>Delivered</t>
        </is>
      </c>
      <c r="D51" s="16" t="inlineStr">
        <is>
          <t>128-00590042258550034</t>
        </is>
      </c>
      <c r="E51" s="16" t="inlineStr">
        <is>
          <t>Delivered</t>
        </is>
      </c>
      <c r="F51" s="16" t="inlineStr">
        <is>
          <t>KTS-1678Y</t>
        </is>
      </c>
      <c r="G51" s="16" t="inlineStr">
        <is>
          <t>Bocina portátil Inalámbrico, de 3 pulgadas, tamaño de bolsillo, 170 g, con asa, compatible con TF, USB y Micro SD, con radio FM y función TWS (True Wireless Stereo), adecuada para relajarse en casa o viajar al aire libre.</t>
        </is>
      </c>
      <c r="H51" s="16" t="inlineStr">
        <is>
          <t>KTS-1678Y</t>
        </is>
      </c>
      <c r="I51" s="16" t="n">
        <v>5</v>
      </c>
      <c r="J51" s="17" t="n">
        <v>212.5</v>
      </c>
      <c r="K51" s="17" t="n">
        <v>243.6</v>
      </c>
      <c r="L51" s="17" t="n">
        <v>0</v>
      </c>
      <c r="M51" s="17" t="n">
        <v>0</v>
      </c>
      <c r="N51" s="17">
        <f>K51*0.08+L51*0.08</f>
        <v/>
      </c>
      <c r="O51" s="17">
        <f>-(K51*0.025+L51*0.025)</f>
        <v/>
      </c>
      <c r="P51" s="17">
        <f>32</f>
        <v/>
      </c>
      <c r="Q51" s="17">
        <f>J51+L51+N51+O51-P51-M51</f>
        <v/>
      </c>
    </row>
    <row r="52">
      <c r="A52" s="16" t="inlineStr">
        <is>
          <t>5.1-5.7</t>
        </is>
      </c>
      <c r="B52" s="16" t="inlineStr">
        <is>
          <t>PO-128-00598472809590113</t>
        </is>
      </c>
      <c r="C52" s="16" t="inlineStr">
        <is>
          <t>Delivered</t>
        </is>
      </c>
      <c r="D52" s="16" t="inlineStr">
        <is>
          <t>128-00598577667190113</t>
        </is>
      </c>
      <c r="E52" s="16" t="inlineStr">
        <is>
          <t>Delivered</t>
        </is>
      </c>
      <c r="F52" s="16" t="inlineStr">
        <is>
          <t>KTS-1678V</t>
        </is>
      </c>
      <c r="G52" s="16" t="inlineStr">
        <is>
          <t>Bocina portátil Inalámbrico, de 3 pulgadas, tamaño de bolsillo, 170 g, con asa, compatible con TF, USB y Micro SD, con radio FM y función TWS (True Wireless Stereo), adecuada para relajarse en casa o viajar al aire libre.</t>
        </is>
      </c>
      <c r="H52" s="16" t="inlineStr">
        <is>
          <t>KTS-1678V</t>
        </is>
      </c>
      <c r="I52" s="16" t="n">
        <v>1</v>
      </c>
      <c r="J52" s="17" t="n">
        <v>42.5</v>
      </c>
      <c r="K52" s="17" t="n">
        <v>7.69</v>
      </c>
      <c r="L52" s="17" t="n">
        <v>25.86</v>
      </c>
      <c r="M52" s="17" t="n">
        <v>0</v>
      </c>
      <c r="N52" s="17">
        <f>K52*0.08+L52*0.08</f>
        <v/>
      </c>
      <c r="O52" s="17">
        <f>-(K52*0.025+L52*0.025)</f>
        <v/>
      </c>
      <c r="P52" s="17">
        <f>32</f>
        <v/>
      </c>
      <c r="Q52" s="17">
        <f>J52+L52+N52+O52-P52-M52</f>
        <v/>
      </c>
    </row>
    <row r="53">
      <c r="A53" s="16" t="inlineStr">
        <is>
          <t>5.1-5.7</t>
        </is>
      </c>
      <c r="B53" s="16" t="inlineStr">
        <is>
          <t>PO-128-00448899681912029</t>
        </is>
      </c>
      <c r="C53" s="16" t="inlineStr">
        <is>
          <t>Delivered</t>
        </is>
      </c>
      <c r="D53" s="16" t="inlineStr">
        <is>
          <t>128-00448878710392029</t>
        </is>
      </c>
      <c r="E53" s="16" t="inlineStr">
        <is>
          <t>Delivered</t>
        </is>
      </c>
      <c r="F53" s="16" t="inlineStr">
        <is>
          <t>MCM-001N</t>
        </is>
      </c>
      <c r="G53" s="16" t="inlineStr">
        <is>
          <t>Musicord Altavoz Inalámbrico BT Portátil: ¡Sonido impactante, luces LED multicolores y 4 horas de autonomía! Compatible con TWS, FM, TF y USB – Imprescindible para fiestas y viajes</t>
        </is>
      </c>
      <c r="H53" s="16" t="inlineStr">
        <is>
          <t>NEGRO</t>
        </is>
      </c>
      <c r="I53" s="16" t="n">
        <v>1</v>
      </c>
      <c r="J53" s="17" t="n">
        <v>61</v>
      </c>
      <c r="K53" s="17" t="n">
        <v>72.29000000000001</v>
      </c>
      <c r="L53" s="17" t="n">
        <v>25.86</v>
      </c>
      <c r="M53" s="17" t="n">
        <v>0</v>
      </c>
      <c r="N53" s="17">
        <f>K53*0.08+L53*0.08</f>
        <v/>
      </c>
      <c r="O53" s="17">
        <f>-(K53*0.025+L53*0.025)</f>
        <v/>
      </c>
      <c r="P53" s="17">
        <f>32</f>
        <v/>
      </c>
      <c r="Q53" s="17">
        <f>J53+L53+N53+O53-P53-M53</f>
        <v/>
      </c>
    </row>
    <row r="54">
      <c r="A54" s="16" t="inlineStr">
        <is>
          <t>5.1-5.7</t>
        </is>
      </c>
      <c r="B54" s="16" t="inlineStr">
        <is>
          <t>PO-128-00546702351990292</t>
        </is>
      </c>
      <c r="C54" s="16" t="inlineStr">
        <is>
          <t>Delivered</t>
        </is>
      </c>
      <c r="D54" s="16" t="inlineStr">
        <is>
          <t>128-00546754780790292</t>
        </is>
      </c>
      <c r="E54" s="16" t="inlineStr">
        <is>
          <t>Delivered</t>
        </is>
      </c>
      <c r="F54" s="16" t="inlineStr">
        <is>
          <t>MB-185A</t>
        </is>
      </c>
      <c r="G54" s="16" t="inlineStr">
        <is>
          <t>Bocina Radio FM/Reproductor, Compatible con Tarjeta TF, USB, Bluetooth, Aplicable para celular, computadora, Ipad y consola.</t>
        </is>
      </c>
      <c r="H54" s="16" t="inlineStr">
        <is>
          <t>AZUL/MB-185</t>
        </is>
      </c>
      <c r="I54" s="16" t="n">
        <v>1</v>
      </c>
      <c r="J54" s="17" t="n">
        <v>75.5</v>
      </c>
      <c r="K54" s="17" t="n">
        <v>88.45999999999999</v>
      </c>
      <c r="L54" s="17" t="n">
        <v>25.86</v>
      </c>
      <c r="M54" s="17" t="n">
        <v>0</v>
      </c>
      <c r="N54" s="17">
        <f>K54*0.08+L54*0.08</f>
        <v/>
      </c>
      <c r="O54" s="17">
        <f>-(K54*0.025+L54*0.025)</f>
        <v/>
      </c>
      <c r="P54" s="17">
        <f>32</f>
        <v/>
      </c>
      <c r="Q54" s="17">
        <f>J54+L54+N54+O54-P54-M54</f>
        <v/>
      </c>
    </row>
    <row r="55">
      <c r="A55" s="16" t="inlineStr">
        <is>
          <t>5.1-5.7</t>
        </is>
      </c>
      <c r="B55" s="16" t="inlineStr">
        <is>
          <t>PO-128-00296320118392936</t>
        </is>
      </c>
      <c r="C55" s="16" t="inlineStr">
        <is>
          <t>Delivered</t>
        </is>
      </c>
      <c r="D55" s="16" t="inlineStr">
        <is>
          <t>128-00296309632632936</t>
        </is>
      </c>
      <c r="E55" s="16" t="inlineStr">
        <is>
          <t>Delivered</t>
        </is>
      </c>
      <c r="F55" s="16" t="inlineStr">
        <is>
          <t>LB02235-azul</t>
        </is>
      </c>
      <c r="G55" s="16" t="inlineStr">
        <is>
          <t>Audífonos Inalámbricos para la Cabeza, Recargables y Multifuncionales - Conectan a Varios Dispositivos, soportan Radio FM, Tarjeta TF y AUX - 4 Horas de Reproducción Musical - Ideal para Trabajo Cotidiano, Juegos y Estudio</t>
        </is>
      </c>
      <c r="H55" s="16" t="inlineStr">
        <is>
          <t>AZUL</t>
        </is>
      </c>
      <c r="I55" s="16" t="n">
        <v>1</v>
      </c>
      <c r="J55" s="17" t="n">
        <v>36.8</v>
      </c>
      <c r="K55" s="17" t="n">
        <v>49.91</v>
      </c>
      <c r="L55" s="17" t="n">
        <v>0</v>
      </c>
      <c r="M55" s="17" t="n">
        <v>49.91</v>
      </c>
      <c r="N55" s="17">
        <f>K55*0.08+L55*0.08</f>
        <v/>
      </c>
      <c r="O55" s="17">
        <f>-(K55*0.025+L55*0.025)</f>
        <v/>
      </c>
      <c r="P55" s="17">
        <f>32</f>
        <v/>
      </c>
      <c r="Q55" s="17">
        <f>J55+L55+N55+O55-P55-M55</f>
        <v/>
      </c>
    </row>
    <row r="56">
      <c r="A56" s="16" t="inlineStr">
        <is>
          <t>5.1-5.7</t>
        </is>
      </c>
      <c r="B56" s="16" t="inlineStr">
        <is>
          <t>PO-128-00343153831032659</t>
        </is>
      </c>
      <c r="C56" s="16" t="inlineStr">
        <is>
          <t>Delivered</t>
        </is>
      </c>
      <c r="D56" s="16" t="inlineStr">
        <is>
          <t>128-00343122373752659</t>
        </is>
      </c>
      <c r="E56" s="16" t="inlineStr">
        <is>
          <t>Delivered</t>
        </is>
      </c>
      <c r="F56" s="16" t="inlineStr">
        <is>
          <t>SA325T</t>
        </is>
      </c>
      <c r="G56" s="16" t="inlineStr">
        <is>
          <t>Subwoofer Portátil Inalámbrico con Luces RGB, Sonido de Alta Potencia y Batería Duradera, TWS TF USB, Perfecto para Campamento Fiestas y Entretenimiento en Casa</t>
        </is>
      </c>
      <c r="H56" s="16" t="inlineStr">
        <is>
          <t>NEGRO</t>
        </is>
      </c>
      <c r="I56" s="16" t="n">
        <v>1</v>
      </c>
      <c r="J56" s="17" t="n">
        <v>37.99</v>
      </c>
      <c r="K56" s="17" t="n">
        <v>47.04</v>
      </c>
      <c r="L56" s="17" t="n">
        <v>25.86</v>
      </c>
      <c r="M56" s="17" t="n">
        <v>0</v>
      </c>
      <c r="N56" s="17">
        <f>K56*0.08+L56*0.08</f>
        <v/>
      </c>
      <c r="O56" s="17">
        <f>-(K56*0.025+L56*0.025)</f>
        <v/>
      </c>
      <c r="P56" s="17">
        <f>32</f>
        <v/>
      </c>
      <c r="Q56" s="17">
        <f>J56+L56+N56+O56-P56-M56</f>
        <v/>
      </c>
    </row>
    <row r="57">
      <c r="A57" s="16" t="inlineStr">
        <is>
          <t>5.1-5.7</t>
        </is>
      </c>
      <c r="B57" s="16" t="inlineStr">
        <is>
          <t>PO-128-00591276690550090</t>
        </is>
      </c>
      <c r="C57" s="16" t="inlineStr">
        <is>
          <t>Delivered</t>
        </is>
      </c>
      <c r="D57" s="16" t="inlineStr">
        <is>
          <t>128-00591260961910090</t>
        </is>
      </c>
      <c r="E57" s="16" t="inlineStr">
        <is>
          <t>Delivered</t>
        </is>
      </c>
      <c r="F57" s="16" t="inlineStr">
        <is>
          <t>LB02235-rojo</t>
        </is>
      </c>
      <c r="G57" s="16" t="inlineStr">
        <is>
          <t>Audífonos Inalámbricos para la Cabeza, Recargables y Multifuncionales - Conectan a Varios Dispositivos, soportan Radio FM, Tarjeta TF y AUX - 4 Horas de Reproducción Musical - Ideal para Trabajo Cotidiano, Juegos y Estudio</t>
        </is>
      </c>
      <c r="H57" s="16" t="inlineStr">
        <is>
          <t>ROJO</t>
        </is>
      </c>
      <c r="I57" s="16" t="n">
        <v>1</v>
      </c>
      <c r="J57" s="17" t="n">
        <v>37.71</v>
      </c>
      <c r="K57" s="17" t="n">
        <v>50.83</v>
      </c>
      <c r="L57" s="17" t="n">
        <v>25.86</v>
      </c>
      <c r="M57" s="17" t="n">
        <v>0</v>
      </c>
      <c r="N57" s="17">
        <f>K57*0.08+L57*0.08</f>
        <v/>
      </c>
      <c r="O57" s="17">
        <f>-(K57*0.025+L57*0.025)</f>
        <v/>
      </c>
      <c r="P57" s="17">
        <f>32</f>
        <v/>
      </c>
      <c r="Q57" s="17">
        <f>J57+L57+N57+O57-P57-M57</f>
        <v/>
      </c>
    </row>
    <row r="58">
      <c r="A58" s="16" t="inlineStr">
        <is>
          <t>5.1-5.7</t>
        </is>
      </c>
      <c r="B58" s="16" t="inlineStr">
        <is>
          <t>PO-128-00533348818550501</t>
        </is>
      </c>
      <c r="C58" s="16" t="inlineStr">
        <is>
          <t>Delivered</t>
        </is>
      </c>
      <c r="D58" s="16" t="inlineStr">
        <is>
          <t>128-00533409767030501</t>
        </is>
      </c>
      <c r="E58" s="16" t="inlineStr">
        <is>
          <t>Delivered</t>
        </is>
      </c>
      <c r="F58" s="16" t="inlineStr">
        <is>
          <t>LB02235-rojo</t>
        </is>
      </c>
      <c r="G58" s="16" t="inlineStr">
        <is>
          <t>Audífonos Inalámbricos para la Cabeza, Recargables y Multifuncionales - Conectan a Varios Dispositivos, soportan Radio FM, Tarjeta TF y AUX - 4 Horas de Reproducción Musical - Ideal para Trabajo Cotidiano, Juegos y Estudio</t>
        </is>
      </c>
      <c r="H58" s="16" t="inlineStr">
        <is>
          <t>ROJO</t>
        </is>
      </c>
      <c r="I58" s="16" t="n">
        <v>1</v>
      </c>
      <c r="J58" s="17" t="n">
        <v>37.71</v>
      </c>
      <c r="K58" s="17" t="n">
        <v>40.67</v>
      </c>
      <c r="L58" s="17" t="n">
        <v>25.86</v>
      </c>
      <c r="M58" s="17" t="n">
        <v>0</v>
      </c>
      <c r="N58" s="17">
        <f>K58*0.08+L58*0.08</f>
        <v/>
      </c>
      <c r="O58" s="17">
        <f>-(K58*0.025+L58*0.025)</f>
        <v/>
      </c>
      <c r="P58" s="17">
        <f>32</f>
        <v/>
      </c>
      <c r="Q58" s="17">
        <f>J58+L58+N58+O58-P58-M58</f>
        <v/>
      </c>
    </row>
    <row r="59">
      <c r="A59" s="16" t="inlineStr">
        <is>
          <t>5.1-5.7</t>
        </is>
      </c>
      <c r="B59" s="16" t="inlineStr">
        <is>
          <t>PO-128-00246137974392085</t>
        </is>
      </c>
      <c r="C59" s="16" t="inlineStr">
        <is>
          <t>Delivered</t>
        </is>
      </c>
      <c r="D59" s="16" t="inlineStr">
        <is>
          <t>128-00246169431672085</t>
        </is>
      </c>
      <c r="E59" s="16" t="inlineStr">
        <is>
          <t>Delivered</t>
        </is>
      </c>
      <c r="F59" s="16" t="inlineStr">
        <is>
          <t>SA325T</t>
        </is>
      </c>
      <c r="G59" s="16" t="inlineStr">
        <is>
          <t>Subwoofer Portátil Inalámbrico con Luces RGB, Sonido de Alta Potencia y Batería Duradera, TWS TF USB, Perfecto para Campamento Fiestas y Entretenimiento en Casa</t>
        </is>
      </c>
      <c r="H59" s="16" t="inlineStr">
        <is>
          <t>NEGRO</t>
        </is>
      </c>
      <c r="I59" s="16" t="n">
        <v>6</v>
      </c>
      <c r="J59" s="17" t="n">
        <v>227.94</v>
      </c>
      <c r="K59" s="17" t="n">
        <v>282.24</v>
      </c>
      <c r="L59" s="17" t="n">
        <v>0</v>
      </c>
      <c r="M59" s="17" t="n">
        <v>0</v>
      </c>
      <c r="N59" s="17">
        <f>K59*0.08+L59*0.08</f>
        <v/>
      </c>
      <c r="O59" s="17">
        <f>-(K59*0.025+L59*0.025)</f>
        <v/>
      </c>
      <c r="P59" s="17">
        <f>32</f>
        <v/>
      </c>
      <c r="Q59" s="17">
        <f>J59+L59+N59+O59-P59-M59</f>
        <v/>
      </c>
    </row>
    <row r="60">
      <c r="A60" s="16" t="inlineStr">
        <is>
          <t>5.1-5.7</t>
        </is>
      </c>
      <c r="B60" s="16" t="inlineStr">
        <is>
          <t>PO-128-00513979653751641</t>
        </is>
      </c>
      <c r="C60" s="16" t="inlineStr">
        <is>
          <t>Delivered</t>
        </is>
      </c>
      <c r="D60" s="16" t="inlineStr">
        <is>
          <t>128-00514047811191641</t>
        </is>
      </c>
      <c r="E60" s="16" t="inlineStr">
        <is>
          <t>Delivered</t>
        </is>
      </c>
      <c r="F60" s="16" t="inlineStr">
        <is>
          <t>LB02235-blanco</t>
        </is>
      </c>
      <c r="G60" s="16" t="inlineStr">
        <is>
          <t>Audífonos Inalámbricos para la Cabeza, Recargables y Multifuncionales - Conectan a Varios Dispositivos, soportan Radio FM, Tarjeta TF y AUX - 4 Horas de Reproducción Musical - Ideal para Trabajo Cotidiano, Juegos y Estudio</t>
        </is>
      </c>
      <c r="H60" s="16" t="inlineStr">
        <is>
          <t>BLANCO</t>
        </is>
      </c>
      <c r="I60" s="16" t="n">
        <v>1</v>
      </c>
      <c r="J60" s="17" t="n">
        <v>37.71</v>
      </c>
      <c r="K60" s="17" t="n">
        <v>50.83</v>
      </c>
      <c r="L60" s="17" t="n">
        <v>25.86</v>
      </c>
      <c r="M60" s="17" t="n">
        <v>0</v>
      </c>
      <c r="N60" s="17">
        <f>K60*0.08+L60*0.08</f>
        <v/>
      </c>
      <c r="O60" s="17">
        <f>-(K60*0.025+L60*0.025)</f>
        <v/>
      </c>
      <c r="P60" s="17">
        <f>32</f>
        <v/>
      </c>
      <c r="Q60" s="17">
        <f>J60+L60+N60+O60-P60-M60</f>
        <v/>
      </c>
    </row>
    <row r="61">
      <c r="A61" s="16" t="inlineStr">
        <is>
          <t>5.1-5.7</t>
        </is>
      </c>
      <c r="B61" s="16" t="inlineStr">
        <is>
          <t>PO-128-00448440712312030</t>
        </is>
      </c>
      <c r="C61" s="16" t="inlineStr">
        <is>
          <t>Delivered</t>
        </is>
      </c>
      <c r="D61" s="16" t="inlineStr">
        <is>
          <t>128-00448419740792030</t>
        </is>
      </c>
      <c r="E61" s="16" t="inlineStr">
        <is>
          <t>Delivered</t>
        </is>
      </c>
      <c r="F61" s="16" t="inlineStr">
        <is>
          <t>MCM-001G</t>
        </is>
      </c>
      <c r="G61" s="16" t="inlineStr">
        <is>
          <t>Musicord Altavoz Inalámbrico BT Portátil: ¡Sonido impactante, luces LED multicolores y 4 horas de autonomía! Compatible con TWS, FM, TF y USB – Imprescindible para fiestas y viajes</t>
        </is>
      </c>
      <c r="H61" s="16" t="inlineStr">
        <is>
          <t>GRIS</t>
        </is>
      </c>
      <c r="I61" s="16" t="n">
        <v>1</v>
      </c>
      <c r="J61" s="17" t="n">
        <v>51.07</v>
      </c>
      <c r="K61" s="17" t="n">
        <v>38.2</v>
      </c>
      <c r="L61" s="17" t="n">
        <v>25.86</v>
      </c>
      <c r="M61" s="17" t="n">
        <v>0</v>
      </c>
      <c r="N61" s="17">
        <f>K61*0.08+L61*0.08</f>
        <v/>
      </c>
      <c r="O61" s="17">
        <f>-(K61*0.025+L61*0.025)</f>
        <v/>
      </c>
      <c r="P61" s="17">
        <f>32</f>
        <v/>
      </c>
      <c r="Q61" s="17">
        <f>J61+L61+N61+O61-P61-M61</f>
        <v/>
      </c>
    </row>
    <row r="62">
      <c r="A62" s="16" t="inlineStr">
        <is>
          <t>5.1-5.7</t>
        </is>
      </c>
      <c r="B62" s="16" t="inlineStr">
        <is>
          <t>PO-128-00471194394231894</t>
        </is>
      </c>
      <c r="C62" s="16" t="inlineStr">
        <is>
          <t>Delivered</t>
        </is>
      </c>
      <c r="D62" s="16" t="inlineStr">
        <is>
          <t>128-00471262551671894</t>
        </is>
      </c>
      <c r="E62" s="16" t="inlineStr">
        <is>
          <t>Delivered</t>
        </is>
      </c>
      <c r="F62" s="16" t="inlineStr">
        <is>
          <t>MB-178-B</t>
        </is>
      </c>
      <c r="G62" s="16" t="inlineStr">
        <is>
          <t>Bocina de Barra Bluetooth LINK BITS con dos altavoces, sonido de alta calidad y multifuncional (Bluetooth, Radio FM, USB, TF, AUX, TWS), ideal para juegos, reuniones, oficina y cine en casa.</t>
        </is>
      </c>
      <c r="H62" s="16" t="inlineStr">
        <is>
          <t>BLANCO</t>
        </is>
      </c>
      <c r="I62" s="16" t="n">
        <v>1</v>
      </c>
      <c r="J62" s="17" t="n">
        <v>129</v>
      </c>
      <c r="K62" s="17" t="n">
        <v>137.59</v>
      </c>
      <c r="L62" s="17" t="n">
        <v>25.86</v>
      </c>
      <c r="M62" s="17" t="n">
        <v>0</v>
      </c>
      <c r="N62" s="17">
        <f>K62*0.08+L62*0.08</f>
        <v/>
      </c>
      <c r="O62" s="17">
        <f>-(K62*0.025+L62*0.025)</f>
        <v/>
      </c>
      <c r="P62" s="17">
        <f>32</f>
        <v/>
      </c>
      <c r="Q62" s="17">
        <f>J62+L62+N62+O62-P62-M62</f>
        <v/>
      </c>
    </row>
    <row r="63">
      <c r="A63" s="16" t="inlineStr">
        <is>
          <t>5.1-5.7</t>
        </is>
      </c>
      <c r="B63" s="16" t="inlineStr">
        <is>
          <t>PO-128-00401699740791220</t>
        </is>
      </c>
      <c r="C63" s="16" t="inlineStr">
        <is>
          <t>Delivered</t>
        </is>
      </c>
      <c r="D63" s="16" t="inlineStr">
        <is>
          <t>128-00401741683831220</t>
        </is>
      </c>
      <c r="E63" s="16" t="inlineStr">
        <is>
          <t>Delivered</t>
        </is>
      </c>
      <c r="F63" s="16" t="inlineStr">
        <is>
          <t>KTS-1678N</t>
        </is>
      </c>
      <c r="G63" s="16" t="inlineStr">
        <is>
          <t>Bocina portátil Inalámbrico, de 3 pulgadas, tamaño de bolsillo, 170 g, con asa, compatible con TF, USB y Micro SD, con radio FM y función TWS (True Wireless Stereo), adecuada para relajarse en casa o viajar al aire libre.</t>
        </is>
      </c>
      <c r="H63" s="16" t="inlineStr">
        <is>
          <t>KTS-1678N</t>
        </is>
      </c>
      <c r="I63" s="16" t="n">
        <v>1</v>
      </c>
      <c r="J63" s="17" t="n">
        <v>43</v>
      </c>
      <c r="K63" s="17" t="n">
        <v>6.12</v>
      </c>
      <c r="L63" s="17" t="n">
        <v>25.86</v>
      </c>
      <c r="M63" s="17" t="n">
        <v>0</v>
      </c>
      <c r="N63" s="17">
        <f>K63*0.08+L63*0.08</f>
        <v/>
      </c>
      <c r="O63" s="17">
        <f>-(K63*0.025+L63*0.025)</f>
        <v/>
      </c>
      <c r="P63" s="17">
        <f>32</f>
        <v/>
      </c>
      <c r="Q63" s="17">
        <f>J63+L63+N63+O63-P63-M63</f>
        <v/>
      </c>
    </row>
    <row r="64">
      <c r="A64" s="16" t="inlineStr">
        <is>
          <t>5.1-5.7</t>
        </is>
      </c>
      <c r="B64" s="16" t="inlineStr">
        <is>
          <t>PO-128-00121183358073916</t>
        </is>
      </c>
      <c r="C64" s="16" t="inlineStr">
        <is>
          <t>Delivered</t>
        </is>
      </c>
      <c r="D64" s="16" t="inlineStr">
        <is>
          <t>128-00121188600953916</t>
        </is>
      </c>
      <c r="E64" s="16" t="inlineStr">
        <is>
          <t>Delivered</t>
        </is>
      </c>
      <c r="F64" s="16" t="inlineStr">
        <is>
          <t>SA325T</t>
        </is>
      </c>
      <c r="G64" s="16" t="inlineStr">
        <is>
          <t>Subwoofer Portátil Inalámbrico con Luces RGB, Sonido de Alta Potencia y Batería Duradera, TWS TF USB, Perfecto para Campamento Fiestas y Entretenimiento en Casa</t>
        </is>
      </c>
      <c r="H64" s="16" t="inlineStr">
        <is>
          <t>NEGRO</t>
        </is>
      </c>
      <c r="I64" s="16" t="n">
        <v>1</v>
      </c>
      <c r="J64" s="17" t="n">
        <v>37.99</v>
      </c>
      <c r="K64" s="17" t="n">
        <v>37.63</v>
      </c>
      <c r="L64" s="17" t="n">
        <v>25.86</v>
      </c>
      <c r="M64" s="17" t="n">
        <v>0</v>
      </c>
      <c r="N64" s="17">
        <f>K64*0.08+L64*0.08</f>
        <v/>
      </c>
      <c r="O64" s="17">
        <f>-(K64*0.025+L64*0.025)</f>
        <v/>
      </c>
      <c r="P64" s="17">
        <f>32</f>
        <v/>
      </c>
      <c r="Q64" s="17">
        <f>J64+L64+N64+O64-P64-M64</f>
        <v/>
      </c>
    </row>
    <row r="65">
      <c r="A65" s="16" t="inlineStr">
        <is>
          <t>5.1-5.7</t>
        </is>
      </c>
      <c r="B65" s="16" t="inlineStr">
        <is>
          <t>PO-128-00142985915513786</t>
        </is>
      </c>
      <c r="C65" s="16" t="inlineStr">
        <is>
          <t>Delivered</t>
        </is>
      </c>
      <c r="D65" s="16" t="inlineStr">
        <is>
          <t>128-00143027858553786</t>
        </is>
      </c>
      <c r="E65" s="16" t="inlineStr">
        <is>
          <t>Delivered</t>
        </is>
      </c>
      <c r="F65" s="16" t="inlineStr">
        <is>
          <t>LB02235-negro</t>
        </is>
      </c>
      <c r="G65" s="16" t="inlineStr">
        <is>
          <t>Audífonos Inalámbricos para la Cabeza, Recargables y Multifuncionales - Conectan a Varios Dispositivos, soportan Radio FM, Tarjeta TF y AUX - 4 Horas de Reproducción Musical - Ideal para Trabajo Cotidiano, Juegos y Estudio</t>
        </is>
      </c>
      <c r="H65" s="16" t="inlineStr">
        <is>
          <t>NEGRO</t>
        </is>
      </c>
      <c r="I65" s="16" t="n">
        <v>1</v>
      </c>
      <c r="J65" s="17" t="n">
        <v>37.71</v>
      </c>
      <c r="K65" s="17" t="n">
        <v>50.83</v>
      </c>
      <c r="L65" s="17" t="n">
        <v>25.86</v>
      </c>
      <c r="M65" s="17" t="n">
        <v>0</v>
      </c>
      <c r="N65" s="17">
        <f>K65*0.08+L65*0.08</f>
        <v/>
      </c>
      <c r="O65" s="17">
        <f>-(K65*0.025+L65*0.025)</f>
        <v/>
      </c>
      <c r="P65" s="17">
        <f>32</f>
        <v/>
      </c>
      <c r="Q65" s="17">
        <f>J65+L65+N65+O65-P65-M65</f>
        <v/>
      </c>
    </row>
    <row r="66">
      <c r="A66" s="16" t="inlineStr">
        <is>
          <t>5.1-5.7</t>
        </is>
      </c>
      <c r="B66" s="16" t="inlineStr">
        <is>
          <t>PO-128-00451497569911821</t>
        </is>
      </c>
      <c r="C66" s="16" t="inlineStr">
        <is>
          <t>Delivered</t>
        </is>
      </c>
      <c r="D66" s="16" t="inlineStr">
        <is>
          <t>128-00451602427511821</t>
        </is>
      </c>
      <c r="E66" s="16" t="inlineStr">
        <is>
          <t>Delivered</t>
        </is>
      </c>
      <c r="F66" s="16" t="inlineStr">
        <is>
          <t>BS-22</t>
        </is>
      </c>
      <c r="G66" s="16" t="inlineStr">
        <is>
          <t>link bits Barra de Sonido para TV, 2x2" Altavoces + 2 Membranas de Graves, Sonido Claro ≥80dB, Bluetooth Inalámbrico, Conexiones AUX/USB, Diseño Compacto 76cm, Sonido Envolvente 3D para Cine en Casa, PC, Juegos y Fiestas</t>
        </is>
      </c>
      <c r="H66" s="16" t="inlineStr">
        <is>
          <t>BS-22</t>
        </is>
      </c>
      <c r="I66" s="16" t="n">
        <v>1</v>
      </c>
      <c r="J66" s="17" t="n">
        <v>260</v>
      </c>
      <c r="K66" s="17" t="n">
        <v>239.69</v>
      </c>
      <c r="L66" s="17" t="n">
        <v>0</v>
      </c>
      <c r="M66" s="17" t="n">
        <v>0</v>
      </c>
      <c r="N66" s="17">
        <f>K66*0.08+L66*0.08</f>
        <v/>
      </c>
      <c r="O66" s="17">
        <f>-(K66*0.025+L66*0.025)</f>
        <v/>
      </c>
      <c r="P66" s="17">
        <f>32</f>
        <v/>
      </c>
      <c r="Q66" s="17">
        <f>J66+L66+N66+O66-P66-M66</f>
        <v/>
      </c>
    </row>
    <row r="67">
      <c r="A67" s="16" t="inlineStr">
        <is>
          <t>5.1-5.7</t>
        </is>
      </c>
      <c r="B67" s="16" t="inlineStr">
        <is>
          <t>PO-128-00504206925431571</t>
        </is>
      </c>
      <c r="C67" s="16" t="inlineStr">
        <is>
          <t>Delivered</t>
        </is>
      </c>
      <c r="D67" s="16" t="inlineStr">
        <is>
          <t>128-00504233139831571</t>
        </is>
      </c>
      <c r="E67" s="16" t="inlineStr">
        <is>
          <t>Delivered</t>
        </is>
      </c>
      <c r="F67" s="16" t="inlineStr">
        <is>
          <t>MB-185N</t>
        </is>
      </c>
      <c r="G67" s="16" t="inlineStr">
        <is>
          <t>Bocina Radio FM/Reproductor, Compatible con Tarjeta TF, USB, Bluetooth, Aplicable para celular, computadora, Ipad y consola.</t>
        </is>
      </c>
      <c r="H67" s="16" t="inlineStr">
        <is>
          <t>NEGRO/MB-185</t>
        </is>
      </c>
      <c r="I67" s="16" t="n">
        <v>1</v>
      </c>
      <c r="J67" s="17" t="n">
        <v>75.5</v>
      </c>
      <c r="K67" s="17" t="n">
        <v>70.31999999999999</v>
      </c>
      <c r="L67" s="17" t="n">
        <v>25.86</v>
      </c>
      <c r="M67" s="17" t="n">
        <v>0</v>
      </c>
      <c r="N67" s="17">
        <f>K67*0.08+L67*0.08</f>
        <v/>
      </c>
      <c r="O67" s="17">
        <f>-(K67*0.025+L67*0.025)</f>
        <v/>
      </c>
      <c r="P67" s="17">
        <f>32</f>
        <v/>
      </c>
      <c r="Q67" s="17">
        <f>J67+L67+N67+O67-P67-M67</f>
        <v/>
      </c>
    </row>
    <row r="68">
      <c r="A68" s="16" t="inlineStr">
        <is>
          <t>5.1-5.7</t>
        </is>
      </c>
      <c r="B68" s="16" t="inlineStr">
        <is>
          <t>PO-128-00439787658871955</t>
        </is>
      </c>
      <c r="C68" s="16" t="inlineStr">
        <is>
          <t>Delivered</t>
        </is>
      </c>
      <c r="D68" s="16" t="inlineStr">
        <is>
          <t>128-00439798144631955</t>
        </is>
      </c>
      <c r="E68" s="16" t="inlineStr">
        <is>
          <t>Delivered</t>
        </is>
      </c>
      <c r="F68" s="16" t="inlineStr">
        <is>
          <t>VB347T</t>
        </is>
      </c>
      <c r="G6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8" s="16" t="inlineStr">
        <is>
          <t>1 pieza</t>
        </is>
      </c>
      <c r="I68" s="16" t="n">
        <v>1</v>
      </c>
      <c r="J68" s="17" t="n">
        <v>79.89</v>
      </c>
      <c r="K68" s="17" t="n">
        <v>94.5</v>
      </c>
      <c r="L68" s="17" t="n">
        <v>25.86</v>
      </c>
      <c r="M68" s="17" t="n">
        <v>0</v>
      </c>
      <c r="N68" s="17">
        <f>K68*0.08+L68*0.08</f>
        <v/>
      </c>
      <c r="O68" s="17">
        <f>-(K68*0.025+L68*0.025)</f>
        <v/>
      </c>
      <c r="P68" s="17">
        <f>32</f>
        <v/>
      </c>
      <c r="Q68" s="17">
        <f>J68+L68+N68+O68-P68-M68</f>
        <v/>
      </c>
    </row>
    <row r="69">
      <c r="A69" s="16" t="inlineStr">
        <is>
          <t>5.1-5.7</t>
        </is>
      </c>
      <c r="B69" s="16" t="inlineStr">
        <is>
          <t>PO-128-00531946601590508</t>
        </is>
      </c>
      <c r="C69" s="16" t="inlineStr">
        <is>
          <t>Delivered</t>
        </is>
      </c>
      <c r="D69" s="16" t="inlineStr">
        <is>
          <t>128-00531967573110508</t>
        </is>
      </c>
      <c r="E69" s="16" t="inlineStr">
        <is>
          <t>Delivered</t>
        </is>
      </c>
      <c r="F69" s="16" t="inlineStr">
        <is>
          <t>FA028</t>
        </is>
      </c>
      <c r="G69" s="16" t="inlineStr">
        <is>
          <t>Extractor de agua para garrafas de agua, compatible con carga USB, extractor de agua automático, práctico, con dos modos de toma de agua: manual y programado, ideal para dormitorios, salones, oficinas, uso al aire libre y otros escenarios.</t>
        </is>
      </c>
      <c r="H69" s="16" t="inlineStr">
        <is>
          <t>FA028</t>
        </is>
      </c>
      <c r="I69" s="16" t="n">
        <v>1</v>
      </c>
      <c r="J69" s="17" t="n">
        <v>35</v>
      </c>
      <c r="K69" s="17" t="n">
        <v>44.6</v>
      </c>
      <c r="L69" s="17" t="n">
        <v>25.86</v>
      </c>
      <c r="M69" s="17" t="n">
        <v>0</v>
      </c>
      <c r="N69" s="17">
        <f>K69*0.08+L69*0.08</f>
        <v/>
      </c>
      <c r="O69" s="17">
        <f>-(K69*0.025+L69*0.025)</f>
        <v/>
      </c>
      <c r="P69" s="17">
        <f>32</f>
        <v/>
      </c>
      <c r="Q69" s="17">
        <f>J69+L69+N69+O69-P69-M69</f>
        <v/>
      </c>
    </row>
    <row r="70">
      <c r="A70" s="16" t="inlineStr">
        <is>
          <t>5.1-5.7</t>
        </is>
      </c>
      <c r="B70" s="16" t="inlineStr">
        <is>
          <t>PO-128-00047111655033206</t>
        </is>
      </c>
      <c r="C70" s="16" t="inlineStr">
        <is>
          <t>Delivered</t>
        </is>
      </c>
      <c r="D70" s="16" t="inlineStr">
        <is>
          <t>128-00047074954873206</t>
        </is>
      </c>
      <c r="E70" s="16" t="inlineStr">
        <is>
          <t>Delivered</t>
        </is>
      </c>
      <c r="F70" s="16" t="inlineStr">
        <is>
          <t>LV25W22</t>
        </is>
      </c>
      <c r="G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70" s="16" t="inlineStr">
        <is>
          <t>LV25W32</t>
        </is>
      </c>
      <c r="I70" s="16" t="n">
        <v>1</v>
      </c>
      <c r="J70" s="17" t="n">
        <v>97</v>
      </c>
      <c r="K70" s="17" t="n">
        <v>94.89</v>
      </c>
      <c r="L70" s="17" t="n">
        <v>25.86</v>
      </c>
      <c r="M70" s="17" t="n">
        <v>0</v>
      </c>
      <c r="N70" s="17">
        <f>K70*0.08+L70*0.08</f>
        <v/>
      </c>
      <c r="O70" s="17">
        <f>-(K70*0.025+L70*0.025)</f>
        <v/>
      </c>
      <c r="P70" s="17">
        <f>32</f>
        <v/>
      </c>
      <c r="Q70" s="17">
        <f>J70+L70+N70+O70-P70-M70</f>
        <v/>
      </c>
    </row>
    <row r="71">
      <c r="A71" s="16" t="inlineStr">
        <is>
          <t>5.1-5.7</t>
        </is>
      </c>
      <c r="B71" s="16" t="inlineStr">
        <is>
          <t>PO-128-00183910866552518</t>
        </is>
      </c>
      <c r="C71" s="16" t="inlineStr">
        <is>
          <t>Delivered</t>
        </is>
      </c>
      <c r="D71" s="16" t="inlineStr">
        <is>
          <t>128-00183900380792518</t>
        </is>
      </c>
      <c r="E71" s="16" t="inlineStr">
        <is>
          <t>Delivered</t>
        </is>
      </c>
      <c r="F71" s="16" t="inlineStr">
        <is>
          <t>FA028</t>
        </is>
      </c>
      <c r="G71" s="16" t="inlineStr">
        <is>
          <t>Extractor de agua para garrafas de agua, compatible con carga USB, extractor de agua automático, práctico, con dos modos de toma de agua: manual y programado, ideal para dormitorios, salones, oficinas, uso al aire libre y otros escenarios.</t>
        </is>
      </c>
      <c r="H71" s="16" t="inlineStr">
        <is>
          <t>FA028</t>
        </is>
      </c>
      <c r="I71" s="16" t="n">
        <v>1</v>
      </c>
      <c r="J71" s="17" t="n">
        <v>35</v>
      </c>
      <c r="K71" s="17" t="n">
        <v>44.6</v>
      </c>
      <c r="L71" s="17" t="n">
        <v>25.86</v>
      </c>
      <c r="M71" s="17" t="n">
        <v>0</v>
      </c>
      <c r="N71" s="17">
        <f>K71*0.08+L71*0.08</f>
        <v/>
      </c>
      <c r="O71" s="17">
        <f>-(K71*0.025+L71*0.025)</f>
        <v/>
      </c>
      <c r="P71" s="17">
        <f>32</f>
        <v/>
      </c>
      <c r="Q71" s="17">
        <f>J71+L71+N71+O71-P71-M71</f>
        <v/>
      </c>
    </row>
    <row r="72">
      <c r="A72" s="16" t="inlineStr">
        <is>
          <t>5.1-5.7</t>
        </is>
      </c>
      <c r="B72" s="16" t="inlineStr">
        <is>
          <t>PO-128-00679950564470586</t>
        </is>
      </c>
      <c r="C72" s="16" t="inlineStr">
        <is>
          <t>Delivered</t>
        </is>
      </c>
      <c r="D72" s="16" t="inlineStr">
        <is>
          <t>128-00679908621430586</t>
        </is>
      </c>
      <c r="E72" s="16" t="inlineStr">
        <is>
          <t>Delivered</t>
        </is>
      </c>
      <c r="F72" s="16" t="inlineStr">
        <is>
          <t>LB02235-blanco</t>
        </is>
      </c>
      <c r="G72" s="16" t="inlineStr">
        <is>
          <t>Audífonos Inalámbricos para la Cabeza, Recargables y Multifuncionales - Conectan a Varios Dispositivos, soportan Radio FM, Tarjeta TF y AUX - 4 Horas de Reproducción Musical - Ideal para Trabajo Cotidiano, Juegos y Estudio</t>
        </is>
      </c>
      <c r="H72" s="16" t="inlineStr">
        <is>
          <t>BLANCO</t>
        </is>
      </c>
      <c r="I72" s="16" t="n">
        <v>1</v>
      </c>
      <c r="J72" s="17" t="n">
        <v>37.71</v>
      </c>
      <c r="K72" s="17" t="n">
        <v>50.83</v>
      </c>
      <c r="L72" s="17" t="n">
        <v>25.86</v>
      </c>
      <c r="M72" s="17" t="n">
        <v>0</v>
      </c>
      <c r="N72" s="17">
        <f>K72*0.08+L72*0.08</f>
        <v/>
      </c>
      <c r="O72" s="17">
        <f>-(K72*0.025+L72*0.025)</f>
        <v/>
      </c>
      <c r="P72" s="17">
        <f>32</f>
        <v/>
      </c>
      <c r="Q72" s="17">
        <f>J72+L72+N72+O72-P72-M72</f>
        <v/>
      </c>
    </row>
    <row r="73">
      <c r="A73" s="16" t="inlineStr">
        <is>
          <t>5.1-5.7</t>
        </is>
      </c>
      <c r="B73" s="16" t="inlineStr">
        <is>
          <t>PO-128-00418659518071057</t>
        </is>
      </c>
      <c r="C73" s="16" t="inlineStr">
        <is>
          <t>Delivered</t>
        </is>
      </c>
      <c r="D73" s="16" t="inlineStr">
        <is>
          <t>128-00418638546551057</t>
        </is>
      </c>
      <c r="E73" s="16" t="inlineStr">
        <is>
          <t>Delivered</t>
        </is>
      </c>
      <c r="F73" s="16" t="inlineStr">
        <is>
          <t>BS-22</t>
        </is>
      </c>
      <c r="G73" s="16" t="inlineStr">
        <is>
          <t>link bits Barra de Sonido para TV, 2x2" Altavoces + 2 Membranas de Graves, Sonido Claro ≥80dB, Bluetooth Inalámbrico, Conexiones AUX/USB, Diseño Compacto 76cm, Sonido Envolvente 3D para Cine en Casa, PC, Juegos y Fiestas</t>
        </is>
      </c>
      <c r="H73" s="16" t="inlineStr">
        <is>
          <t>BS-22</t>
        </is>
      </c>
      <c r="I73" s="16" t="n">
        <v>1</v>
      </c>
      <c r="J73" s="17" t="n">
        <v>260</v>
      </c>
      <c r="K73" s="17" t="n">
        <v>299.61</v>
      </c>
      <c r="L73" s="17" t="n">
        <v>0</v>
      </c>
      <c r="M73" s="17" t="n">
        <v>0</v>
      </c>
      <c r="N73" s="17">
        <f>K73*0.08+L73*0.08</f>
        <v/>
      </c>
      <c r="O73" s="17">
        <f>-(K73*0.025+L73*0.025)</f>
        <v/>
      </c>
      <c r="P73" s="17">
        <f>32</f>
        <v/>
      </c>
      <c r="Q73" s="17">
        <f>J73+L73+N73+O73-P73-M73</f>
        <v/>
      </c>
    </row>
    <row r="74">
      <c r="A74" s="16" t="inlineStr">
        <is>
          <t>5.1-5.7</t>
        </is>
      </c>
      <c r="B74" s="16" t="inlineStr">
        <is>
          <t>PO-128-00677144653430602</t>
        </is>
      </c>
      <c r="C74" s="16" t="inlineStr">
        <is>
          <t>Delivered</t>
        </is>
      </c>
      <c r="D74" s="16" t="inlineStr">
        <is>
          <t>128-00677197082230602</t>
        </is>
      </c>
      <c r="E74" s="16" t="inlineStr">
        <is>
          <t>Delivered</t>
        </is>
      </c>
      <c r="F74" s="16" t="inlineStr">
        <is>
          <t>SA323T</t>
        </is>
      </c>
      <c r="G74" s="16" t="inlineStr">
        <is>
          <t>Linkbits Bocina Portátil Parlantes BT Portátiles con Iluminación de Ambiente | 1 Hora de Duración, FM, TWS, TF/Micro SD | Ideal para Hogar, Fiestas y Viajes</t>
        </is>
      </c>
      <c r="H74" s="16" t="inlineStr">
        <is>
          <t>SA323T</t>
        </is>
      </c>
      <c r="I74" s="16" t="n">
        <v>1</v>
      </c>
      <c r="J74" s="17" t="n">
        <v>46</v>
      </c>
      <c r="K74" s="17" t="n">
        <v>46.8</v>
      </c>
      <c r="L74" s="17" t="n">
        <v>25.86</v>
      </c>
      <c r="M74" s="17" t="n">
        <v>0</v>
      </c>
      <c r="N74" s="17">
        <f>K74*0.08+L74*0.08</f>
        <v/>
      </c>
      <c r="O74" s="17">
        <f>-(K74*0.025+L74*0.025)</f>
        <v/>
      </c>
      <c r="P74" s="17">
        <f>32</f>
        <v/>
      </c>
      <c r="Q74" s="17">
        <f>J74+L74+N74+O74-P74-M74</f>
        <v/>
      </c>
    </row>
    <row r="75">
      <c r="A75" s="16" t="inlineStr">
        <is>
          <t>5.1-5.7</t>
        </is>
      </c>
      <c r="B75" s="16" t="inlineStr">
        <is>
          <t>PO-128-00243941740152096</t>
        </is>
      </c>
      <c r="C75" s="16" t="inlineStr">
        <is>
          <t>Delivered</t>
        </is>
      </c>
      <c r="D75" s="16" t="inlineStr">
        <is>
          <t>128-00244002688632096</t>
        </is>
      </c>
      <c r="E75" s="16" t="inlineStr">
        <is>
          <t>Delivered</t>
        </is>
      </c>
      <c r="F75" s="16" t="inlineStr">
        <is>
          <t>KTS-1678Y</t>
        </is>
      </c>
      <c r="G75" s="16" t="inlineStr">
        <is>
          <t>Bocina portátil Inalámbrico, de 3 pulgadas, tamaño de bolsillo, 170 g, con asa, compatible con TF, USB y Micro SD, con radio FM y función TWS (True Wireless Stereo), adecuada para relajarse en casa o viajar al aire libre.</t>
        </is>
      </c>
      <c r="H75" s="16" t="inlineStr">
        <is>
          <t>KTS-1678Y</t>
        </is>
      </c>
      <c r="I75" s="16" t="n">
        <v>1</v>
      </c>
      <c r="J75" s="17" t="n">
        <v>42.5</v>
      </c>
      <c r="K75" s="17" t="n">
        <v>48.72</v>
      </c>
      <c r="L75" s="17" t="n">
        <v>25.86</v>
      </c>
      <c r="M75" s="17" t="n">
        <v>0</v>
      </c>
      <c r="N75" s="17">
        <f>K75*0.08+L75*0.08</f>
        <v/>
      </c>
      <c r="O75" s="17">
        <f>-(K75*0.025+L75*0.025)</f>
        <v/>
      </c>
      <c r="P75" s="17">
        <f>32</f>
        <v/>
      </c>
      <c r="Q75" s="17">
        <f>J75+L75+N75+O75-P75-M75</f>
        <v/>
      </c>
    </row>
    <row r="76">
      <c r="A76" s="16" t="inlineStr">
        <is>
          <t>5.1-5.7</t>
        </is>
      </c>
      <c r="B76" s="16" t="inlineStr">
        <is>
          <t>PO-128-00102567583354093</t>
        </is>
      </c>
      <c r="C76" s="16" t="inlineStr">
        <is>
          <t>Delivered</t>
        </is>
      </c>
      <c r="D76" s="16" t="inlineStr">
        <is>
          <t>128-00102525640314093</t>
        </is>
      </c>
      <c r="E76" s="16" t="inlineStr">
        <is>
          <t>Delivered</t>
        </is>
      </c>
      <c r="F76" s="16" t="inlineStr">
        <is>
          <t>BS-22</t>
        </is>
      </c>
      <c r="G76" s="16" t="inlineStr">
        <is>
          <t>link bits Barra de Sonido para TV, 2x2" Altavoces + 2 Membranas de Graves, Sonido Claro ≥80dB, Bluetooth Inalámbrico, Conexiones AUX/USB, Diseño Compacto 76cm, Sonido Envolvente 3D para Cine en Casa, PC, Juegos y Fiestas</t>
        </is>
      </c>
      <c r="H76" s="16" t="inlineStr">
        <is>
          <t>BS-22</t>
        </is>
      </c>
      <c r="I76" s="16" t="n">
        <v>1</v>
      </c>
      <c r="J76" s="17" t="n">
        <v>260</v>
      </c>
      <c r="K76" s="17" t="n">
        <v>299.61</v>
      </c>
      <c r="L76" s="17" t="n">
        <v>0</v>
      </c>
      <c r="M76" s="17" t="n">
        <v>0</v>
      </c>
      <c r="N76" s="17">
        <f>K76*0.08+L76*0.08</f>
        <v/>
      </c>
      <c r="O76" s="17">
        <f>-(K76*0.025+L76*0.025)</f>
        <v/>
      </c>
      <c r="P76" s="17">
        <f>32</f>
        <v/>
      </c>
      <c r="Q76" s="17">
        <f>J76+L76+N76+O76-P76-M76</f>
        <v/>
      </c>
    </row>
    <row r="77">
      <c r="A77" s="16" t="inlineStr">
        <is>
          <t>5.1-5.7</t>
        </is>
      </c>
      <c r="B77" s="16" t="inlineStr">
        <is>
          <t>PO-128-00016156716153582</t>
        </is>
      </c>
      <c r="C77" s="16" t="inlineStr">
        <is>
          <t>Delivered</t>
        </is>
      </c>
      <c r="D77" s="16" t="inlineStr">
        <is>
          <t>128-00016120015993582</t>
        </is>
      </c>
      <c r="E77" s="16" t="inlineStr">
        <is>
          <t>Delivered</t>
        </is>
      </c>
      <c r="F77" s="16" t="inlineStr">
        <is>
          <t>KTS-1943-N</t>
        </is>
      </c>
      <c r="G77"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77" s="16" t="inlineStr">
        <is>
          <t>NEGRO</t>
        </is>
      </c>
      <c r="I77" s="16" t="n">
        <v>1</v>
      </c>
      <c r="J77" s="17" t="n">
        <v>67.5</v>
      </c>
      <c r="K77" s="17" t="n">
        <v>83.12</v>
      </c>
      <c r="L77" s="17" t="n">
        <v>25.86</v>
      </c>
      <c r="M77" s="17" t="n">
        <v>0</v>
      </c>
      <c r="N77" s="17">
        <f>K77*0.08+L77*0.08</f>
        <v/>
      </c>
      <c r="O77" s="17">
        <f>-(K77*0.025+L77*0.025)</f>
        <v/>
      </c>
      <c r="P77" s="17">
        <f>32</f>
        <v/>
      </c>
      <c r="Q77" s="17">
        <f>J77+L77+N77+O77-P77-M77</f>
        <v/>
      </c>
    </row>
    <row r="78">
      <c r="A78" s="16" t="inlineStr">
        <is>
          <t>5.1-5.7</t>
        </is>
      </c>
      <c r="B78" s="16" t="inlineStr">
        <is>
          <t>PO-128-00646639844470656</t>
        </is>
      </c>
      <c r="C78" s="16" t="inlineStr">
        <is>
          <t>Delivered</t>
        </is>
      </c>
      <c r="D78" s="16" t="inlineStr">
        <is>
          <t>128-00646681787510656</t>
        </is>
      </c>
      <c r="E78" s="16" t="inlineStr">
        <is>
          <t>Delivered</t>
        </is>
      </c>
      <c r="F78" s="16" t="inlineStr">
        <is>
          <t>MCM-001R</t>
        </is>
      </c>
      <c r="G78" s="16" t="inlineStr">
        <is>
          <t>Musicord Altavoz Inalámbrico BT Portátil: ¡Sonido impactante, luces LED multicolores y 4 horas de autonomía! Compatible con TWS, FM, TF y USB – Imprescindible para fiestas y viajes</t>
        </is>
      </c>
      <c r="H78" s="16" t="inlineStr">
        <is>
          <t>ROJO</t>
        </is>
      </c>
      <c r="I78" s="16" t="n">
        <v>1</v>
      </c>
      <c r="J78" s="17" t="n">
        <v>66.5</v>
      </c>
      <c r="K78" s="17" t="n">
        <v>24.34</v>
      </c>
      <c r="L78" s="17" t="n">
        <v>25.86</v>
      </c>
      <c r="M78" s="17" t="n">
        <v>0</v>
      </c>
      <c r="N78" s="17">
        <f>K78*0.08+L78*0.08</f>
        <v/>
      </c>
      <c r="O78" s="17">
        <f>-(K78*0.025+L78*0.025)</f>
        <v/>
      </c>
      <c r="P78" s="17">
        <f>32</f>
        <v/>
      </c>
      <c r="Q78" s="17">
        <f>J78+L78+N78+O78-P78-M78</f>
        <v/>
      </c>
    </row>
    <row r="79">
      <c r="A79" s="16" t="inlineStr">
        <is>
          <t>5.1-5.7</t>
        </is>
      </c>
      <c r="B79" s="16" t="inlineStr">
        <is>
          <t>PO-128-00098847419514051</t>
        </is>
      </c>
      <c r="C79" s="16" t="inlineStr">
        <is>
          <t>Delivered</t>
        </is>
      </c>
      <c r="D79" s="16" t="inlineStr">
        <is>
          <t>128-00098952277114051</t>
        </is>
      </c>
      <c r="E79" s="16" t="inlineStr">
        <is>
          <t>Delivered</t>
        </is>
      </c>
      <c r="F79" s="16" t="inlineStr">
        <is>
          <t>MCM-001N</t>
        </is>
      </c>
      <c r="G79" s="16" t="inlineStr">
        <is>
          <t>Musicord Altavoz Inalámbrico BT Portátil: ¡Sonido impactante, luces LED multicolores y 4 horas de autonomía! Compatible con TWS, FM, TF y USB – Imprescindible para fiestas y viajes</t>
        </is>
      </c>
      <c r="H79" s="16" t="inlineStr">
        <is>
          <t>NEGRO</t>
        </is>
      </c>
      <c r="I79" s="16" t="n">
        <v>1</v>
      </c>
      <c r="J79" s="17" t="n">
        <v>61</v>
      </c>
      <c r="K79" s="17" t="n">
        <v>72.29000000000001</v>
      </c>
      <c r="L79" s="17" t="n">
        <v>25.86</v>
      </c>
      <c r="M79" s="17" t="n">
        <v>0</v>
      </c>
      <c r="N79" s="17">
        <f>K79*0.08+L79*0.08</f>
        <v/>
      </c>
      <c r="O79" s="17">
        <f>-(K79*0.025+L79*0.025)</f>
        <v/>
      </c>
      <c r="P79" s="17">
        <f>32</f>
        <v/>
      </c>
      <c r="Q79" s="17">
        <f>J79+L79+N79+O79-P79-M79</f>
        <v/>
      </c>
    </row>
    <row r="80">
      <c r="A80" s="16" t="inlineStr">
        <is>
          <t>5.1-5.7</t>
        </is>
      </c>
      <c r="B80" s="16" t="inlineStr">
        <is>
          <t>PO-128-00212758080632410</t>
        </is>
      </c>
      <c r="C80" s="16" t="inlineStr">
        <is>
          <t>Delivered</t>
        </is>
      </c>
      <c r="D80" s="16" t="inlineStr">
        <is>
          <t>128-00212862938232410</t>
        </is>
      </c>
      <c r="E80" s="16" t="inlineStr">
        <is>
          <t>Delivered</t>
        </is>
      </c>
      <c r="F80" s="16" t="inlineStr">
        <is>
          <t>SA8056T</t>
        </is>
      </c>
      <c r="G8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80" s="16" t="inlineStr">
        <is>
          <t>SA8056T</t>
        </is>
      </c>
      <c r="I80" s="16" t="n">
        <v>1</v>
      </c>
      <c r="J80" s="17" t="n">
        <v>150.45</v>
      </c>
      <c r="K80" s="17" t="n">
        <v>127.74</v>
      </c>
      <c r="L80" s="17" t="n">
        <v>25.86</v>
      </c>
      <c r="M80" s="17" t="n">
        <v>0</v>
      </c>
      <c r="N80" s="17">
        <f>K80*0.08+L80*0.08</f>
        <v/>
      </c>
      <c r="O80" s="17">
        <f>-(K80*0.025+L80*0.025)</f>
        <v/>
      </c>
      <c r="P80" s="17">
        <f>32</f>
        <v/>
      </c>
      <c r="Q80" s="17">
        <f>J80+L80+N80+O80-P80-M80</f>
        <v/>
      </c>
    </row>
    <row r="81">
      <c r="A81" s="16" t="inlineStr">
        <is>
          <t>5.1-5.7</t>
        </is>
      </c>
      <c r="B81" s="16" t="inlineStr">
        <is>
          <t>PO-128-00609181834870945</t>
        </is>
      </c>
      <c r="C81" s="16" t="inlineStr">
        <is>
          <t>Delivered</t>
        </is>
      </c>
      <c r="D81" s="16" t="inlineStr">
        <is>
          <t>128-00609263754870945</t>
        </is>
      </c>
      <c r="E81" s="16" t="inlineStr">
        <is>
          <t>Delivered</t>
        </is>
      </c>
      <c r="F81" s="16" t="inlineStr">
        <is>
          <t>MCM-001R</t>
        </is>
      </c>
      <c r="G81" s="16" t="inlineStr">
        <is>
          <t>Musicord Altavoz Inalámbrico BT Portátil: ¡Sonido impactante, luces LED multicolores y 4 horas de autonomía! Compatible con TWS, FM, TF y USB – Imprescindible para fiestas y viajes</t>
        </is>
      </c>
      <c r="H81" s="16" t="inlineStr">
        <is>
          <t>ROJO</t>
        </is>
      </c>
      <c r="I81" s="16" t="n">
        <v>1</v>
      </c>
      <c r="J81" s="17" t="n">
        <v>66.5</v>
      </c>
      <c r="K81" s="17" t="n">
        <v>77.79000000000001</v>
      </c>
      <c r="L81" s="17" t="n">
        <v>25.86</v>
      </c>
      <c r="M81" s="17" t="n">
        <v>0</v>
      </c>
      <c r="N81" s="17">
        <f>K81*0.08+L81*0.08</f>
        <v/>
      </c>
      <c r="O81" s="17">
        <f>-(K81*0.025+L81*0.025)</f>
        <v/>
      </c>
      <c r="P81" s="17">
        <f>32</f>
        <v/>
      </c>
      <c r="Q81" s="17">
        <f>J81+L81+N81+O81-P81-M81</f>
        <v/>
      </c>
    </row>
    <row r="82">
      <c r="A82" s="16" t="inlineStr">
        <is>
          <t>5.1-5.7</t>
        </is>
      </c>
      <c r="B82" s="16" t="inlineStr">
        <is>
          <t>PO-128-00577986337910235</t>
        </is>
      </c>
      <c r="C82" s="16" t="inlineStr">
        <is>
          <t>Delivered</t>
        </is>
      </c>
      <c r="D82" s="16" t="inlineStr">
        <is>
          <t>128-00578122652790235</t>
        </is>
      </c>
      <c r="E82" s="16" t="inlineStr">
        <is>
          <t>Delivered</t>
        </is>
      </c>
      <c r="F82" s="16" t="inlineStr">
        <is>
          <t>LV25W22</t>
        </is>
      </c>
      <c r="G8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82" s="16" t="inlineStr">
        <is>
          <t>LV25W32</t>
        </is>
      </c>
      <c r="I82" s="16" t="n">
        <v>1</v>
      </c>
      <c r="J82" s="17" t="n">
        <v>97</v>
      </c>
      <c r="K82" s="17" t="n">
        <v>107.43</v>
      </c>
      <c r="L82" s="17" t="n">
        <v>25.86</v>
      </c>
      <c r="M82" s="17" t="n">
        <v>0</v>
      </c>
      <c r="N82" s="17">
        <f>K82*0.08+L82*0.08</f>
        <v/>
      </c>
      <c r="O82" s="17">
        <f>-(K82*0.025+L82*0.025)</f>
        <v/>
      </c>
      <c r="P82" s="17">
        <f>32</f>
        <v/>
      </c>
      <c r="Q82" s="17">
        <f>J82+L82+N82+O82-P82-M82</f>
        <v/>
      </c>
    </row>
    <row r="83">
      <c r="A83" s="16" t="inlineStr">
        <is>
          <t>5.1-5.7</t>
        </is>
      </c>
      <c r="B83" s="16" t="inlineStr">
        <is>
          <t>PO-128-00223211413112220</t>
        </is>
      </c>
      <c r="C83" s="16" t="inlineStr">
        <is>
          <t>Delivered</t>
        </is>
      </c>
      <c r="D83" s="16" t="inlineStr">
        <is>
          <t>128-00223190441592220</t>
        </is>
      </c>
      <c r="E83" s="16" t="inlineStr">
        <is>
          <t>Delivered</t>
        </is>
      </c>
      <c r="F83" s="16" t="inlineStr">
        <is>
          <t>KTS-1678N</t>
        </is>
      </c>
      <c r="G83" s="16" t="inlineStr">
        <is>
          <t>Bocina portátil Inalámbrico, de 3 pulgadas, tamaño de bolsillo, 170 g, con asa, compatible con TF, USB y Micro SD, con radio FM y función TWS (True Wireless Stereo), adecuada para relajarse en casa o viajar al aire libre.</t>
        </is>
      </c>
      <c r="H83" s="16" t="inlineStr">
        <is>
          <t>KTS-1678N</t>
        </is>
      </c>
      <c r="I83" s="16" t="n">
        <v>1</v>
      </c>
      <c r="J83" s="17" t="n">
        <v>43</v>
      </c>
      <c r="K83" s="17" t="n">
        <v>49.22</v>
      </c>
      <c r="L83" s="17" t="n">
        <v>11.62</v>
      </c>
      <c r="M83" s="17" t="n">
        <v>0</v>
      </c>
      <c r="N83" s="17">
        <f>K83*0.08+L83*0.08</f>
        <v/>
      </c>
      <c r="O83" s="17">
        <f>-(K83*0.025+L83*0.025)</f>
        <v/>
      </c>
      <c r="P83" s="17">
        <f>32</f>
        <v/>
      </c>
      <c r="Q83" s="17">
        <f>J83+L83+N83+O83-P83-M83</f>
        <v/>
      </c>
    </row>
    <row r="84">
      <c r="A84" s="16" t="inlineStr">
        <is>
          <t>5.1-5.7</t>
        </is>
      </c>
      <c r="B84" s="16" t="inlineStr">
        <is>
          <t>PO-128-00223211413112220</t>
        </is>
      </c>
      <c r="C84" s="16" t="inlineStr">
        <is>
          <t>Delivered</t>
        </is>
      </c>
      <c r="D84" s="16" t="inlineStr">
        <is>
          <t>128-00223200927352220</t>
        </is>
      </c>
      <c r="E84" s="16" t="inlineStr">
        <is>
          <t>Delivered</t>
        </is>
      </c>
      <c r="F84" s="16" t="inlineStr">
        <is>
          <t>VA384T-N</t>
        </is>
      </c>
      <c r="G84" s="16" t="inlineStr">
        <is>
          <t>Bocina Portátil Bluetooth de 3 Pulgadas con Radio FM, USB TF TWS, Sonido Estéreo 5W, Bocina Recargable para Hogar Exterior Viaje Fiesta Camping</t>
        </is>
      </c>
      <c r="H84" s="16" t="inlineStr">
        <is>
          <t>NEGRO</t>
        </is>
      </c>
      <c r="I84" s="16" t="n">
        <v>1</v>
      </c>
      <c r="J84" s="17" t="n">
        <v>49.6</v>
      </c>
      <c r="K84" s="17" t="n">
        <v>60.32</v>
      </c>
      <c r="L84" s="17" t="n">
        <v>14.24</v>
      </c>
      <c r="M84" s="17" t="n">
        <v>0</v>
      </c>
      <c r="N84" s="17">
        <f>K84*0.08+L84*0.08</f>
        <v/>
      </c>
      <c r="O84" s="17">
        <f>-(K84*0.025+L84*0.025)</f>
        <v/>
      </c>
      <c r="P84" s="17">
        <f>32</f>
        <v/>
      </c>
      <c r="Q84" s="17">
        <f>J84+L84+N84+O84-P84-M84</f>
        <v/>
      </c>
    </row>
    <row r="85">
      <c r="A85" s="16" t="inlineStr">
        <is>
          <t>5.1-5.7</t>
        </is>
      </c>
      <c r="B85" s="16" t="inlineStr">
        <is>
          <t>PO-128-00207593508472379</t>
        </is>
      </c>
      <c r="C85" s="16" t="inlineStr">
        <is>
          <t>Delivered</t>
        </is>
      </c>
      <c r="D85" s="16" t="inlineStr">
        <is>
          <t>128-00207551565432379</t>
        </is>
      </c>
      <c r="E85" s="16" t="inlineStr">
        <is>
          <t>Delivered</t>
        </is>
      </c>
      <c r="F85" s="16" t="inlineStr">
        <is>
          <t>LB02235-negro</t>
        </is>
      </c>
      <c r="G85" s="16" t="inlineStr">
        <is>
          <t>Audífonos Inalámbricos para la Cabeza, Recargables y Multifuncionales - Conectan a Varios Dispositivos, soportan Radio FM, Tarjeta TF y AUX - 4 Horas de Reproducción Musical - Ideal para Trabajo Cotidiano, Juegos y Estudio</t>
        </is>
      </c>
      <c r="H85" s="16" t="inlineStr">
        <is>
          <t>NEGRO</t>
        </is>
      </c>
      <c r="I85" s="16" t="n">
        <v>1</v>
      </c>
      <c r="J85" s="17" t="n">
        <v>37.71</v>
      </c>
      <c r="K85" s="17" t="n">
        <v>50.83</v>
      </c>
      <c r="L85" s="17" t="n">
        <v>12.93</v>
      </c>
      <c r="M85" s="17" t="n">
        <v>0</v>
      </c>
      <c r="N85" s="17">
        <f>K85*0.08+L85*0.08</f>
        <v/>
      </c>
      <c r="O85" s="17">
        <f>-(K85*0.025+L85*0.025)</f>
        <v/>
      </c>
      <c r="P85" s="17">
        <f>32</f>
        <v/>
      </c>
      <c r="Q85" s="17">
        <f>J85+L85+N85+O85-P85-M85</f>
        <v/>
      </c>
    </row>
    <row r="86">
      <c r="A86" s="16" t="inlineStr">
        <is>
          <t>5.1-5.7</t>
        </is>
      </c>
      <c r="B86" s="16" t="inlineStr">
        <is>
          <t>PO-128-00207593508472379</t>
        </is>
      </c>
      <c r="C86" s="16" t="inlineStr">
        <is>
          <t>Delivered</t>
        </is>
      </c>
      <c r="D86" s="16" t="inlineStr">
        <is>
          <t>128-00207562051192379</t>
        </is>
      </c>
      <c r="E86" s="16" t="inlineStr">
        <is>
          <t>Delivered</t>
        </is>
      </c>
      <c r="F86" s="16" t="inlineStr">
        <is>
          <t>LB02235-rojo</t>
        </is>
      </c>
      <c r="G86" s="16" t="inlineStr">
        <is>
          <t>Audífonos Inalámbricos para la Cabeza, Recargables y Multifuncionales - Conectan a Varios Dispositivos, soportan Radio FM, Tarjeta TF y AUX - 4 Horas de Reproducción Musical - Ideal para Trabajo Cotidiano, Juegos y Estudio</t>
        </is>
      </c>
      <c r="H86" s="16" t="inlineStr">
        <is>
          <t>ROJO</t>
        </is>
      </c>
      <c r="I86" s="16" t="n">
        <v>1</v>
      </c>
      <c r="J86" s="17" t="n">
        <v>37.71</v>
      </c>
      <c r="K86" s="17" t="n">
        <v>50.83</v>
      </c>
      <c r="L86" s="17" t="n">
        <v>12.93</v>
      </c>
      <c r="M86" s="17" t="n">
        <v>0</v>
      </c>
      <c r="N86" s="17">
        <f>K86*0.08+L86*0.08</f>
        <v/>
      </c>
      <c r="O86" s="17">
        <f>-(K86*0.025+L86*0.025)</f>
        <v/>
      </c>
      <c r="P86" s="17">
        <f>32</f>
        <v/>
      </c>
      <c r="Q86" s="17">
        <f>J86+L86+N86+O86-P86-M86</f>
        <v/>
      </c>
    </row>
    <row r="87">
      <c r="A87" s="16" t="inlineStr">
        <is>
          <t>5.1-5.7</t>
        </is>
      </c>
      <c r="B87" s="16" t="inlineStr">
        <is>
          <t>PO-128-00549307295350340</t>
        </is>
      </c>
      <c r="C87" s="16" t="inlineStr">
        <is>
          <t>Delivered</t>
        </is>
      </c>
      <c r="D87" s="16" t="inlineStr">
        <is>
          <t>128-00549328266870340</t>
        </is>
      </c>
      <c r="E87" s="16" t="inlineStr">
        <is>
          <t>Delivered</t>
        </is>
      </c>
      <c r="F87" s="16" t="inlineStr">
        <is>
          <t>MCM-001G</t>
        </is>
      </c>
      <c r="G87" s="16" t="inlineStr">
        <is>
          <t>Musicord Altavoz Inalámbrico BT Portátil: ¡Sonido impactante, luces LED multicolores y 4 horas de autonomía! Compatible con TWS, FM, TF y USB – Imprescindible para fiestas y viajes</t>
        </is>
      </c>
      <c r="H87" s="16" t="inlineStr">
        <is>
          <t>GRIS</t>
        </is>
      </c>
      <c r="I87" s="16" t="n">
        <v>1</v>
      </c>
      <c r="J87" s="17" t="n">
        <v>51.07</v>
      </c>
      <c r="K87" s="17" t="n">
        <v>49.89</v>
      </c>
      <c r="L87" s="17" t="n">
        <v>25.86</v>
      </c>
      <c r="M87" s="17" t="n">
        <v>0</v>
      </c>
      <c r="N87" s="17">
        <f>K87*0.08+L87*0.08</f>
        <v/>
      </c>
      <c r="O87" s="17">
        <f>-(K87*0.025+L87*0.025)</f>
        <v/>
      </c>
      <c r="P87" s="17">
        <f>32</f>
        <v/>
      </c>
      <c r="Q87" s="17">
        <f>J87+L87+N87+O87-P87-M87</f>
        <v/>
      </c>
    </row>
    <row r="88">
      <c r="A88" s="16" t="inlineStr">
        <is>
          <t>5.1-5.7</t>
        </is>
      </c>
      <c r="B88" s="16" t="inlineStr">
        <is>
          <t>PO-128-00540698893430264</t>
        </is>
      </c>
      <c r="C88" s="16" t="inlineStr">
        <is>
          <t>Delivered</t>
        </is>
      </c>
      <c r="D88" s="16" t="inlineStr">
        <is>
          <t>128-00540656950390264</t>
        </is>
      </c>
      <c r="E88" s="16" t="inlineStr">
        <is>
          <t>Delivered</t>
        </is>
      </c>
      <c r="F88" s="16" t="inlineStr">
        <is>
          <t>MB-185A</t>
        </is>
      </c>
      <c r="G88" s="16" t="inlineStr">
        <is>
          <t>Bocina Radio FM/Reproductor, Compatible con Tarjeta TF, USB, Bluetooth, Aplicable para celular, computadora, Ipad y consola.</t>
        </is>
      </c>
      <c r="H88" s="16" t="inlineStr">
        <is>
          <t>AZUL/MB-185</t>
        </is>
      </c>
      <c r="I88" s="16" t="n">
        <v>1</v>
      </c>
      <c r="J88" s="17" t="n">
        <v>75.5</v>
      </c>
      <c r="K88" s="17" t="n">
        <v>88.45999999999999</v>
      </c>
      <c r="L88" s="17" t="n">
        <v>25.86</v>
      </c>
      <c r="M88" s="17" t="n">
        <v>0</v>
      </c>
      <c r="N88" s="17">
        <f>K88*0.08+L88*0.08</f>
        <v/>
      </c>
      <c r="O88" s="17">
        <f>-(K88*0.025+L88*0.025)</f>
        <v/>
      </c>
      <c r="P88" s="17">
        <f>32</f>
        <v/>
      </c>
      <c r="Q88" s="17">
        <f>J88+L88+N88+O88-P88-M88</f>
        <v/>
      </c>
    </row>
    <row r="89">
      <c r="A89" s="16" t="inlineStr">
        <is>
          <t>5.1-5.7</t>
        </is>
      </c>
      <c r="B89" s="16" t="inlineStr">
        <is>
          <t>PO-128-00276518136953054</t>
        </is>
      </c>
      <c r="C89" s="16" t="inlineStr">
        <is>
          <t>Delivered</t>
        </is>
      </c>
      <c r="D89" s="16" t="inlineStr">
        <is>
          <t>128-00276539108473054</t>
        </is>
      </c>
      <c r="E89" s="16" t="inlineStr">
        <is>
          <t>Delivered</t>
        </is>
      </c>
      <c r="F89" s="16" t="inlineStr">
        <is>
          <t>BS-22</t>
        </is>
      </c>
      <c r="G89" s="16" t="inlineStr">
        <is>
          <t>link bits Barra de Sonido para TV, 2x2" Altavoces + 2 Membranas de Graves, Sonido Claro ≥80dB, Bluetooth Inalámbrico, Conexiones AUX/USB, Diseño Compacto 76cm, Sonido Envolvente 3D para Cine en Casa, PC, Juegos y Fiestas</t>
        </is>
      </c>
      <c r="H89" s="16" t="inlineStr">
        <is>
          <t>BS-22</t>
        </is>
      </c>
      <c r="I89" s="16" t="n">
        <v>1</v>
      </c>
      <c r="J89" s="17" t="n">
        <v>260</v>
      </c>
      <c r="K89" s="17" t="n">
        <v>256.83</v>
      </c>
      <c r="L89" s="17" t="n">
        <v>0</v>
      </c>
      <c r="M89" s="17" t="n">
        <v>0</v>
      </c>
      <c r="N89" s="17">
        <f>K89*0.08+L89*0.08</f>
        <v/>
      </c>
      <c r="O89" s="17">
        <f>-(K89*0.025+L89*0.025)</f>
        <v/>
      </c>
      <c r="P89" s="17">
        <f>32</f>
        <v/>
      </c>
      <c r="Q89" s="17">
        <f>J89+L89+N89+O89-P89-M89</f>
        <v/>
      </c>
    </row>
    <row r="90">
      <c r="A90" s="16" t="inlineStr">
        <is>
          <t>5.1-5.7</t>
        </is>
      </c>
      <c r="B90" s="16" t="inlineStr">
        <is>
          <t>PO-128-00170251198073688</t>
        </is>
      </c>
      <c r="C90" s="16" t="inlineStr">
        <is>
          <t>Delivered</t>
        </is>
      </c>
      <c r="D90" s="16" t="inlineStr">
        <is>
          <t>128-00170209255033688</t>
        </is>
      </c>
      <c r="E90" s="16" t="inlineStr">
        <is>
          <t>Delivered</t>
        </is>
      </c>
      <c r="F90" s="16" t="inlineStr">
        <is>
          <t>BS-22</t>
        </is>
      </c>
      <c r="G90" s="16" t="inlineStr">
        <is>
          <t>link bits Barra de Sonido para TV, 2x2" Altavoces + 2 Membranas de Graves, Sonido Claro ≥80dB, Bluetooth Inalámbrico, Conexiones AUX/USB, Diseño Compacto 76cm, Sonido Envolvente 3D para Cine en Casa, PC, Juegos y Fiestas</t>
        </is>
      </c>
      <c r="H90" s="16" t="inlineStr">
        <is>
          <t>BS-22</t>
        </is>
      </c>
      <c r="I90" s="16" t="n">
        <v>1</v>
      </c>
      <c r="J90" s="17" t="n">
        <v>260</v>
      </c>
      <c r="K90" s="17" t="n">
        <v>239.69</v>
      </c>
      <c r="L90" s="17" t="n">
        <v>0</v>
      </c>
      <c r="M90" s="17" t="n">
        <v>0</v>
      </c>
      <c r="N90" s="17">
        <f>K90*0.08+L90*0.08</f>
        <v/>
      </c>
      <c r="O90" s="17">
        <f>-(K90*0.025+L90*0.025)</f>
        <v/>
      </c>
      <c r="P90" s="17">
        <f>32</f>
        <v/>
      </c>
      <c r="Q90" s="17">
        <f>J90+L90+N90+O90-P90-M90</f>
        <v/>
      </c>
    </row>
    <row r="91">
      <c r="A91" s="16" t="inlineStr">
        <is>
          <t>5.1-5.7</t>
        </is>
      </c>
      <c r="B91" s="16" t="inlineStr">
        <is>
          <t>PO-128-00229823020152247</t>
        </is>
      </c>
      <c r="C91" s="16" t="inlineStr">
        <is>
          <t>Delivered</t>
        </is>
      </c>
      <c r="D91" s="16" t="inlineStr">
        <is>
          <t>128-00229781077112247</t>
        </is>
      </c>
      <c r="E91" s="16" t="inlineStr">
        <is>
          <t>Delivered</t>
        </is>
      </c>
      <c r="F91" s="16" t="inlineStr">
        <is>
          <t>KTS-1678V</t>
        </is>
      </c>
      <c r="G91" s="16" t="inlineStr">
        <is>
          <t>Bocina portátil Inalámbrico, de 3 pulgadas, tamaño de bolsillo, 170 g, con asa, compatible con TF, USB y Micro SD, con radio FM y función TWS (True Wireless Stereo), adecuada para relajarse en casa o viajar al aire libre.</t>
        </is>
      </c>
      <c r="H91" s="16" t="inlineStr">
        <is>
          <t>KTS-1678V</t>
        </is>
      </c>
      <c r="I91" s="16" t="n">
        <v>1</v>
      </c>
      <c r="J91" s="17" t="n">
        <v>42.5</v>
      </c>
      <c r="K91" s="17" t="n">
        <v>41.42</v>
      </c>
      <c r="L91" s="17" t="n">
        <v>25.86</v>
      </c>
      <c r="M91" s="17" t="n">
        <v>0</v>
      </c>
      <c r="N91" s="17">
        <f>K91*0.08+L91*0.08</f>
        <v/>
      </c>
      <c r="O91" s="17">
        <f>-(K91*0.025+L91*0.025)</f>
        <v/>
      </c>
      <c r="P91" s="17">
        <f>32</f>
        <v/>
      </c>
      <c r="Q91" s="17">
        <f>J91+L91+N91+O91-P91-M91</f>
        <v/>
      </c>
    </row>
    <row r="92">
      <c r="A92" s="16" t="inlineStr">
        <is>
          <t>5.1-5.7</t>
        </is>
      </c>
      <c r="B92" s="16" t="inlineStr">
        <is>
          <t>PO-128-00508256947831611</t>
        </is>
      </c>
      <c r="C92" s="16" t="inlineStr">
        <is>
          <t>Delivered</t>
        </is>
      </c>
      <c r="D92" s="16" t="inlineStr">
        <is>
          <t>128-00508298890871611</t>
        </is>
      </c>
      <c r="E92" s="16" t="inlineStr">
        <is>
          <t>Delivered</t>
        </is>
      </c>
      <c r="F92" s="16" t="inlineStr">
        <is>
          <t>LV25W22</t>
        </is>
      </c>
      <c r="G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92" s="16" t="inlineStr">
        <is>
          <t>LV25W32</t>
        </is>
      </c>
      <c r="I92" s="16" t="n">
        <v>1</v>
      </c>
      <c r="J92" s="17" t="n">
        <v>97</v>
      </c>
      <c r="K92" s="17" t="n">
        <v>64.33</v>
      </c>
      <c r="L92" s="17" t="n">
        <v>25.86</v>
      </c>
      <c r="M92" s="17" t="n">
        <v>0</v>
      </c>
      <c r="N92" s="17">
        <f>K92*0.08+L92*0.08</f>
        <v/>
      </c>
      <c r="O92" s="17">
        <f>-(K92*0.025+L92*0.025)</f>
        <v/>
      </c>
      <c r="P92" s="17">
        <f>32</f>
        <v/>
      </c>
      <c r="Q92" s="17">
        <f>J92+L92+N92+O92-P92-M92</f>
        <v/>
      </c>
    </row>
    <row r="93">
      <c r="A93" s="16" t="inlineStr">
        <is>
          <t>5.1-5.7</t>
        </is>
      </c>
      <c r="B93" s="16" t="inlineStr">
        <is>
          <t>PO-128-00222624927352224</t>
        </is>
      </c>
      <c r="C93" s="16" t="inlineStr">
        <is>
          <t>Delivered</t>
        </is>
      </c>
      <c r="D93" s="16" t="inlineStr">
        <is>
          <t>128-00222631480952224</t>
        </is>
      </c>
      <c r="E93" s="16" t="inlineStr">
        <is>
          <t>Delivered</t>
        </is>
      </c>
      <c r="F93" s="16" t="inlineStr">
        <is>
          <t>VB347T</t>
        </is>
      </c>
      <c r="G9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3" s="16" t="inlineStr">
        <is>
          <t>1 pieza</t>
        </is>
      </c>
      <c r="I93" s="16" t="n">
        <v>1</v>
      </c>
      <c r="J93" s="17" t="n">
        <v>79.89</v>
      </c>
      <c r="K93" s="17" t="n">
        <v>75.59999999999999</v>
      </c>
      <c r="L93" s="17" t="n">
        <v>25.86</v>
      </c>
      <c r="M93" s="17" t="n">
        <v>0</v>
      </c>
      <c r="N93" s="17">
        <f>K93*0.08+L93*0.08</f>
        <v/>
      </c>
      <c r="O93" s="17">
        <f>-(K93*0.025+L93*0.025)</f>
        <v/>
      </c>
      <c r="P93" s="17">
        <f>32</f>
        <v/>
      </c>
      <c r="Q93" s="17">
        <f>J93+L93+N93+O93-P93-M93</f>
        <v/>
      </c>
    </row>
    <row r="94">
      <c r="A94" s="16" t="inlineStr">
        <is>
          <t>5.1-5.7</t>
        </is>
      </c>
      <c r="B94" s="16" t="inlineStr">
        <is>
          <t>PO-128-00322529869432588</t>
        </is>
      </c>
      <c r="C94" s="16" t="inlineStr">
        <is>
          <t>Delivered</t>
        </is>
      </c>
      <c r="D94" s="16" t="inlineStr">
        <is>
          <t>128-00322571812472588</t>
        </is>
      </c>
      <c r="E94" s="16" t="inlineStr">
        <is>
          <t>Delivered</t>
        </is>
      </c>
      <c r="F94" s="16" t="inlineStr">
        <is>
          <t>KTS-1678N</t>
        </is>
      </c>
      <c r="G94" s="16" t="inlineStr">
        <is>
          <t>Bocina portátil Inalámbrico, de 3 pulgadas, tamaño de bolsillo, 170 g, con asa, compatible con TF, USB y Micro SD, con radio FM y función TWS (True Wireless Stereo), adecuada para relajarse en casa o viajar al aire libre.</t>
        </is>
      </c>
      <c r="H94" s="16" t="inlineStr">
        <is>
          <t>KTS-1678N</t>
        </is>
      </c>
      <c r="I94" s="16" t="n">
        <v>1</v>
      </c>
      <c r="J94" s="17" t="n">
        <v>43</v>
      </c>
      <c r="K94" s="17" t="n">
        <v>49.22</v>
      </c>
      <c r="L94" s="17" t="n">
        <v>25.86</v>
      </c>
      <c r="M94" s="17" t="n">
        <v>0</v>
      </c>
      <c r="N94" s="17">
        <f>K94*0.08+L94*0.08</f>
        <v/>
      </c>
      <c r="O94" s="17">
        <f>-(K94*0.025+L94*0.025)</f>
        <v/>
      </c>
      <c r="P94" s="17">
        <f>32</f>
        <v/>
      </c>
      <c r="Q94" s="17">
        <f>J94+L94+N94+O94-P94-M94</f>
        <v/>
      </c>
    </row>
    <row r="95">
      <c r="A95" s="16" t="inlineStr">
        <is>
          <t>5.1-5.7</t>
        </is>
      </c>
      <c r="B95" s="16" t="inlineStr">
        <is>
          <t>PO-128-00231484677752301</t>
        </is>
      </c>
      <c r="C95" s="16" t="inlineStr">
        <is>
          <t>Delivered</t>
        </is>
      </c>
      <c r="D95" s="16" t="inlineStr">
        <is>
          <t>128-00231524654712301</t>
        </is>
      </c>
      <c r="E95" s="16" t="inlineStr">
        <is>
          <t>Delivered</t>
        </is>
      </c>
      <c r="F95" s="16" t="inlineStr">
        <is>
          <t>BS-22</t>
        </is>
      </c>
      <c r="G95" s="16" t="inlineStr">
        <is>
          <t>link bits Barra de Sonido para TV, 2x2" Altavoces + 2 Membranas de Graves, Sonido Claro ≥80dB, Bluetooth Inalámbrico, Conexiones AUX/USB, Diseño Compacto 76cm, Sonido Envolvente 3D para Cine en Casa, PC, Juegos y Fiestas</t>
        </is>
      </c>
      <c r="H95" s="16" t="inlineStr">
        <is>
          <t>BS-22</t>
        </is>
      </c>
      <c r="I95" s="16" t="n">
        <v>1</v>
      </c>
      <c r="J95" s="17" t="n">
        <v>260</v>
      </c>
      <c r="K95" s="17" t="n">
        <v>299.61</v>
      </c>
      <c r="L95" s="17" t="n">
        <v>0</v>
      </c>
      <c r="M95" s="17" t="n">
        <v>0</v>
      </c>
      <c r="N95" s="17">
        <f>K95*0.08+L95*0.08</f>
        <v/>
      </c>
      <c r="O95" s="17">
        <f>-(K95*0.025+L95*0.025)</f>
        <v/>
      </c>
      <c r="P95" s="17">
        <f>32</f>
        <v/>
      </c>
      <c r="Q95" s="17">
        <f>J95+L95+N95+O95-P95-M95</f>
        <v/>
      </c>
    </row>
    <row r="96">
      <c r="A96" s="16" t="inlineStr">
        <is>
          <t>5.1-5.7</t>
        </is>
      </c>
      <c r="B96" s="16" t="inlineStr">
        <is>
          <t>PO-128-00388634762871170</t>
        </is>
      </c>
      <c r="C96" s="16" t="inlineStr">
        <is>
          <t>Delivered</t>
        </is>
      </c>
      <c r="D96" s="16" t="inlineStr">
        <is>
          <t>128-00388592819831170</t>
        </is>
      </c>
      <c r="E96" s="16" t="inlineStr">
        <is>
          <t>Delivered</t>
        </is>
      </c>
      <c r="F96" s="16" t="inlineStr">
        <is>
          <t>MCM-001G</t>
        </is>
      </c>
      <c r="G96" s="16" t="inlineStr">
        <is>
          <t>Musicord Altavoz Inalámbrico BT Portátil: ¡Sonido impactante, luces LED multicolores y 4 horas de autonomía! Compatible con TWS, FM, TF y USB – Imprescindible para fiestas y viajes</t>
        </is>
      </c>
      <c r="H96" s="16" t="inlineStr">
        <is>
          <t>GRIS</t>
        </is>
      </c>
      <c r="I96" s="16" t="n">
        <v>1</v>
      </c>
      <c r="J96" s="17" t="n">
        <v>51.07</v>
      </c>
      <c r="K96" s="17" t="n">
        <v>62.36</v>
      </c>
      <c r="L96" s="17" t="n">
        <v>25.86</v>
      </c>
      <c r="M96" s="17" t="n">
        <v>0.09</v>
      </c>
      <c r="N96" s="17">
        <f>K96*0.08+L96*0.08</f>
        <v/>
      </c>
      <c r="O96" s="17">
        <f>-(K96*0.025+L96*0.025)</f>
        <v/>
      </c>
      <c r="P96" s="17">
        <f>32</f>
        <v/>
      </c>
      <c r="Q96" s="17">
        <f>J96+L96+N96+O96-P96-M96</f>
        <v/>
      </c>
    </row>
    <row r="97">
      <c r="A97" s="16" t="inlineStr">
        <is>
          <t>5.1-5.7</t>
        </is>
      </c>
      <c r="B97" s="16" t="inlineStr">
        <is>
          <t>PO-128-00065098624633098</t>
        </is>
      </c>
      <c r="C97" s="16" t="inlineStr">
        <is>
          <t>Delivered</t>
        </is>
      </c>
      <c r="D97" s="16" t="inlineStr">
        <is>
          <t>128-00065153674873098</t>
        </is>
      </c>
      <c r="E97" s="16" t="inlineStr">
        <is>
          <t>Delivered</t>
        </is>
      </c>
      <c r="F97" s="16" t="inlineStr">
        <is>
          <t>FA028</t>
        </is>
      </c>
      <c r="G97" s="16" t="inlineStr">
        <is>
          <t>Extractor de agua para garrafas de agua, compatible con carga USB, extractor de agua automático, práctico, con dos modos de toma de agua: manual y programado, ideal para dormitorios, salones, oficinas, uso al aire libre y otros escenarios.</t>
        </is>
      </c>
      <c r="H97" s="16" t="inlineStr">
        <is>
          <t>FA028</t>
        </is>
      </c>
      <c r="I97" s="16" t="n">
        <v>1</v>
      </c>
      <c r="J97" s="17" t="n">
        <v>35</v>
      </c>
      <c r="K97" s="17" t="n">
        <v>44.6</v>
      </c>
      <c r="L97" s="17" t="n">
        <v>25.86</v>
      </c>
      <c r="M97" s="17" t="n">
        <v>0</v>
      </c>
      <c r="N97" s="17">
        <f>K97*0.08+L97*0.08</f>
        <v/>
      </c>
      <c r="O97" s="17">
        <f>-(K97*0.025+L97*0.025)</f>
        <v/>
      </c>
      <c r="P97" s="17">
        <f>32</f>
        <v/>
      </c>
      <c r="Q97" s="17">
        <f>J97+L97+N97+O97-P97-M97</f>
        <v/>
      </c>
    </row>
    <row r="98">
      <c r="A98" s="16" t="inlineStr">
        <is>
          <t>5.1-5.7</t>
        </is>
      </c>
      <c r="B98" s="16" t="inlineStr">
        <is>
          <t>PO-128-00059075149433326</t>
        </is>
      </c>
      <c r="C98" s="16" t="inlineStr">
        <is>
          <t>Delivered</t>
        </is>
      </c>
      <c r="D98" s="16" t="inlineStr">
        <is>
          <t>128-00059211464313326</t>
        </is>
      </c>
      <c r="E98" s="16" t="inlineStr">
        <is>
          <t>Delivered</t>
        </is>
      </c>
      <c r="F98" s="16" t="inlineStr">
        <is>
          <t>LB02235-negro</t>
        </is>
      </c>
      <c r="G98" s="16" t="inlineStr">
        <is>
          <t>Audífonos Inalámbricos para la Cabeza, Recargables y Multifuncionales - Conectan a Varios Dispositivos, soportan Radio FM, Tarjeta TF y AUX - 4 Horas de Reproducción Musical - Ideal para Trabajo Cotidiano, Juegos y Estudio</t>
        </is>
      </c>
      <c r="H98" s="16" t="inlineStr">
        <is>
          <t>NEGRO</t>
        </is>
      </c>
      <c r="I98" s="16" t="n">
        <v>1</v>
      </c>
      <c r="J98" s="17" t="n">
        <v>37.71</v>
      </c>
      <c r="K98" s="17" t="n">
        <v>7.73</v>
      </c>
      <c r="L98" s="17" t="n">
        <v>25.86</v>
      </c>
      <c r="M98" s="17" t="n">
        <v>0</v>
      </c>
      <c r="N98" s="17">
        <f>K98*0.08+L98*0.08</f>
        <v/>
      </c>
      <c r="O98" s="17">
        <f>-(K98*0.025+L98*0.025)</f>
        <v/>
      </c>
      <c r="P98" s="17">
        <f>32</f>
        <v/>
      </c>
      <c r="Q98" s="17">
        <f>J98+L98+N98+O98-P98-M98</f>
        <v/>
      </c>
    </row>
    <row r="99">
      <c r="A99" s="16" t="inlineStr">
        <is>
          <t>5.1-5.7</t>
        </is>
      </c>
      <c r="B99" s="16" t="inlineStr">
        <is>
          <t>PO-128-00193641569912332</t>
        </is>
      </c>
      <c r="C99" s="16" t="inlineStr">
        <is>
          <t>Delivered</t>
        </is>
      </c>
      <c r="D99" s="16" t="inlineStr">
        <is>
          <t>128-00193746427512332</t>
        </is>
      </c>
      <c r="E99" s="16" t="inlineStr">
        <is>
          <t>Delivered</t>
        </is>
      </c>
      <c r="F99" s="16" t="inlineStr">
        <is>
          <t>MCM-001G</t>
        </is>
      </c>
      <c r="G99" s="16" t="inlineStr">
        <is>
          <t>Musicord Altavoz Inalámbrico BT Portátil: ¡Sonido impactante, luces LED multicolores y 4 horas de autonomía! Compatible con TWS, FM, TF y USB – Imprescindible para fiestas y viajes</t>
        </is>
      </c>
      <c r="H99" s="16" t="inlineStr">
        <is>
          <t>GRIS</t>
        </is>
      </c>
      <c r="I99" s="16" t="n">
        <v>1</v>
      </c>
      <c r="J99" s="17" t="n">
        <v>51.07</v>
      </c>
      <c r="K99" s="17" t="n">
        <v>19.26</v>
      </c>
      <c r="L99" s="17" t="n">
        <v>25.86</v>
      </c>
      <c r="M99" s="17" t="n">
        <v>0.03</v>
      </c>
      <c r="N99" s="17">
        <f>K99*0.08+L99*0.08</f>
        <v/>
      </c>
      <c r="O99" s="17">
        <f>-(K99*0.025+L99*0.025)</f>
        <v/>
      </c>
      <c r="P99" s="17">
        <f>32</f>
        <v/>
      </c>
      <c r="Q99" s="17">
        <f>J99+L99+N99+O99-P99-M99</f>
        <v/>
      </c>
    </row>
    <row r="100">
      <c r="A100" s="16" t="inlineStr">
        <is>
          <t>5.1-5.7</t>
        </is>
      </c>
      <c r="B100" s="16" t="inlineStr">
        <is>
          <t>PO-128-00312899075192775</t>
        </is>
      </c>
      <c r="C100" s="16" t="inlineStr">
        <is>
          <t>Delivered</t>
        </is>
      </c>
      <c r="D100" s="16" t="inlineStr">
        <is>
          <t>128-00313017039992775</t>
        </is>
      </c>
      <c r="E100" s="16" t="inlineStr">
        <is>
          <t>Delivered</t>
        </is>
      </c>
      <c r="F100" s="16" t="inlineStr">
        <is>
          <t>SA323T</t>
        </is>
      </c>
      <c r="G100" s="16" t="inlineStr">
        <is>
          <t>Linkbits Bocina Portátil Parlantes BT Portátiles con Iluminación de Ambiente | 1 Hora de Duración, FM, TWS, TF/Micro SD | Ideal para Hogar, Fiestas y Viajes</t>
        </is>
      </c>
      <c r="H100" s="16" t="inlineStr">
        <is>
          <t>SA323T</t>
        </is>
      </c>
      <c r="I100" s="16" t="n">
        <v>2</v>
      </c>
      <c r="J100" s="17" t="n">
        <v>92</v>
      </c>
      <c r="K100" s="17" t="n">
        <v>110.14</v>
      </c>
      <c r="L100" s="17" t="n">
        <v>0</v>
      </c>
      <c r="M100" s="17" t="n">
        <v>0</v>
      </c>
      <c r="N100" s="17">
        <f>K100*0.08+L100*0.08</f>
        <v/>
      </c>
      <c r="O100" s="17">
        <f>-(K100*0.025+L100*0.025)</f>
        <v/>
      </c>
      <c r="P100" s="17">
        <f>32</f>
        <v/>
      </c>
      <c r="Q100" s="17">
        <f>J100+L100+N100+O100-P100-M100</f>
        <v/>
      </c>
    </row>
    <row r="101">
      <c r="A101" s="16" t="inlineStr">
        <is>
          <t>5.1-5.7</t>
        </is>
      </c>
      <c r="B101" s="16" t="inlineStr">
        <is>
          <t>PO-128-00312899075192775</t>
        </is>
      </c>
      <c r="C101" s="16" t="inlineStr">
        <is>
          <t>Delivered</t>
        </is>
      </c>
      <c r="D101" s="16" t="inlineStr">
        <is>
          <t>128-00312996068472775</t>
        </is>
      </c>
      <c r="E101" s="16" t="inlineStr">
        <is>
          <t>Delivered</t>
        </is>
      </c>
      <c r="F101" s="16" t="inlineStr">
        <is>
          <t>LB02235-rojo</t>
        </is>
      </c>
      <c r="G101" s="16" t="inlineStr">
        <is>
          <t>Audífonos Inalámbricos para la Cabeza, Recargables y Multifuncionales - Conectan a Varios Dispositivos, soportan Radio FM, Tarjeta TF y AUX - 4 Horas de Reproducción Musical - Ideal para Trabajo Cotidiano, Juegos y Estudio</t>
        </is>
      </c>
      <c r="H101" s="16" t="inlineStr">
        <is>
          <t>ROJO</t>
        </is>
      </c>
      <c r="I101" s="16" t="n">
        <v>1</v>
      </c>
      <c r="J101" s="17" t="n">
        <v>37.71</v>
      </c>
      <c r="K101" s="17" t="n">
        <v>50.83</v>
      </c>
      <c r="L101" s="17" t="n">
        <v>0</v>
      </c>
      <c r="M101" s="17" t="n">
        <v>0</v>
      </c>
      <c r="N101" s="17">
        <f>K101*0.08+L101*0.08</f>
        <v/>
      </c>
      <c r="O101" s="17">
        <f>-(K101*0.025+L101*0.025)</f>
        <v/>
      </c>
      <c r="P101" s="17">
        <f>32</f>
        <v/>
      </c>
      <c r="Q101" s="17">
        <f>J101+L101+N101+O101-P101-M101</f>
        <v/>
      </c>
    </row>
    <row r="102">
      <c r="A102" s="16" t="inlineStr">
        <is>
          <t>5.1-5.7</t>
        </is>
      </c>
      <c r="B102" s="16" t="inlineStr">
        <is>
          <t>PO-128-00312899075192775</t>
        </is>
      </c>
      <c r="C102" s="16" t="inlineStr">
        <is>
          <t>Delivered</t>
        </is>
      </c>
      <c r="D102" s="16" t="inlineStr">
        <is>
          <t>128-00313038011512775</t>
        </is>
      </c>
      <c r="E102" s="16" t="inlineStr">
        <is>
          <t>Delivered</t>
        </is>
      </c>
      <c r="F102" s="16" t="inlineStr">
        <is>
          <t>KTS-1678R</t>
        </is>
      </c>
      <c r="G102" s="16" t="inlineStr">
        <is>
          <t>Bocina portátil Inalámbrico, de 3 pulgadas, tamaño de bolsillo, 170 g, con asa, compatible con TF, USB y Micro SD, con radio FM y función TWS (True Wireless Stereo), adecuada para relajarse en casa o viajar al aire libre.</t>
        </is>
      </c>
      <c r="H102" s="16" t="inlineStr">
        <is>
          <t>KTS-1678R</t>
        </is>
      </c>
      <c r="I102" s="16" t="n">
        <v>1</v>
      </c>
      <c r="J102" s="17" t="n">
        <v>42.5</v>
      </c>
      <c r="K102" s="17" t="n">
        <v>50.79</v>
      </c>
      <c r="L102" s="17" t="n">
        <v>0</v>
      </c>
      <c r="M102" s="17" t="n">
        <v>0</v>
      </c>
      <c r="N102" s="17">
        <f>K102*0.08+L102*0.08</f>
        <v/>
      </c>
      <c r="O102" s="17">
        <f>-(K102*0.025+L102*0.025)</f>
        <v/>
      </c>
      <c r="P102" s="17">
        <f>32</f>
        <v/>
      </c>
      <c r="Q102" s="17">
        <f>J102+L102+N102+O102-P102-M102</f>
        <v/>
      </c>
    </row>
    <row r="103">
      <c r="A103" s="16" t="inlineStr">
        <is>
          <t>5.1-5.7</t>
        </is>
      </c>
      <c r="B103" s="16" t="inlineStr">
        <is>
          <t>PO-128-00312899075192775</t>
        </is>
      </c>
      <c r="C103" s="16" t="inlineStr">
        <is>
          <t>Delivered</t>
        </is>
      </c>
      <c r="D103" s="16" t="inlineStr">
        <is>
          <t>128-00312975096952775</t>
        </is>
      </c>
      <c r="E103" s="16" t="inlineStr">
        <is>
          <t>Delivered</t>
        </is>
      </c>
      <c r="F103" s="16" t="inlineStr">
        <is>
          <t>LB02235-azul</t>
        </is>
      </c>
      <c r="G103" s="16" t="inlineStr">
        <is>
          <t>Audífonos Inalámbricos para la Cabeza, Recargables y Multifuncionales - Conectan a Varios Dispositivos, soportan Radio FM, Tarjeta TF y AUX - 4 Horas de Reproducción Musical - Ideal para Trabajo Cotidiano, Juegos y Estudio</t>
        </is>
      </c>
      <c r="H103" s="16" t="inlineStr">
        <is>
          <t>AZUL</t>
        </is>
      </c>
      <c r="I103" s="16" t="n">
        <v>1</v>
      </c>
      <c r="J103" s="17" t="n">
        <v>36.8</v>
      </c>
      <c r="K103" s="17" t="n">
        <v>49.91</v>
      </c>
      <c r="L103" s="17" t="n">
        <v>0</v>
      </c>
      <c r="M103" s="17" t="n">
        <v>0</v>
      </c>
      <c r="N103" s="17">
        <f>K103*0.08+L103*0.08</f>
        <v/>
      </c>
      <c r="O103" s="17">
        <f>-(K103*0.025+L103*0.025)</f>
        <v/>
      </c>
      <c r="P103" s="17">
        <f>32</f>
        <v/>
      </c>
      <c r="Q103" s="17">
        <f>J103+L103+N103+O103-P103-M103</f>
        <v/>
      </c>
    </row>
    <row r="104">
      <c r="A104" s="16" t="inlineStr">
        <is>
          <t>5.1-5.7</t>
        </is>
      </c>
      <c r="B104" s="16" t="inlineStr">
        <is>
          <t>PO-128-00312899075192775</t>
        </is>
      </c>
      <c r="C104" s="16" t="inlineStr">
        <is>
          <t>Delivered</t>
        </is>
      </c>
      <c r="D104" s="16" t="inlineStr">
        <is>
          <t>128-00313058983032775</t>
        </is>
      </c>
      <c r="E104" s="16" t="inlineStr">
        <is>
          <t>Delivered</t>
        </is>
      </c>
      <c r="F104" s="16" t="inlineStr">
        <is>
          <t>LB02235-negro</t>
        </is>
      </c>
      <c r="G104" s="16" t="inlineStr">
        <is>
          <t>Audífonos Inalámbricos para la Cabeza, Recargables y Multifuncionales - Conectan a Varios Dispositivos, soportan Radio FM, Tarjeta TF y AUX - 4 Horas de Reproducción Musical - Ideal para Trabajo Cotidiano, Juegos y Estudio</t>
        </is>
      </c>
      <c r="H104" s="16" t="inlineStr">
        <is>
          <t>NEGRO</t>
        </is>
      </c>
      <c r="I104" s="16" t="n">
        <v>1</v>
      </c>
      <c r="J104" s="17" t="n">
        <v>37.71</v>
      </c>
      <c r="K104" s="17" t="n">
        <v>50.83</v>
      </c>
      <c r="L104" s="17" t="n">
        <v>0</v>
      </c>
      <c r="M104" s="17" t="n">
        <v>0</v>
      </c>
      <c r="N104" s="17">
        <f>K104*0.08+L104*0.08</f>
        <v/>
      </c>
      <c r="O104" s="17">
        <f>-(K104*0.025+L104*0.025)</f>
        <v/>
      </c>
      <c r="P104" s="17">
        <f>32</f>
        <v/>
      </c>
      <c r="Q104" s="17">
        <f>J104+L104+N104+O104-P104-M104</f>
        <v/>
      </c>
    </row>
    <row r="105">
      <c r="A105" s="16" t="inlineStr">
        <is>
          <t>5.1-5.7</t>
        </is>
      </c>
      <c r="B105" s="16" t="inlineStr">
        <is>
          <t>PO-128-00312899075192775</t>
        </is>
      </c>
      <c r="C105" s="16" t="inlineStr">
        <is>
          <t>Delivered</t>
        </is>
      </c>
      <c r="D105" s="16" t="inlineStr">
        <is>
          <t>128-00312954125432775</t>
        </is>
      </c>
      <c r="E105" s="16" t="inlineStr">
        <is>
          <t>Delivered</t>
        </is>
      </c>
      <c r="F105" s="16" t="inlineStr">
        <is>
          <t>KTS-1678V</t>
        </is>
      </c>
      <c r="G105" s="16" t="inlineStr">
        <is>
          <t>Bocina portátil Inalámbrico, de 3 pulgadas, tamaño de bolsillo, 170 g, con asa, compatible con TF, USB y Micro SD, con radio FM y función TWS (True Wireless Stereo), adecuada para relajarse en casa o viajar al aire libre.</t>
        </is>
      </c>
      <c r="H105" s="16" t="inlineStr">
        <is>
          <t>KTS-1678V</t>
        </is>
      </c>
      <c r="I105" s="16" t="n">
        <v>1</v>
      </c>
      <c r="J105" s="17" t="n">
        <v>42.5</v>
      </c>
      <c r="K105" s="17" t="n">
        <v>48.72</v>
      </c>
      <c r="L105" s="17" t="n">
        <v>0</v>
      </c>
      <c r="M105" s="17" t="n">
        <v>0</v>
      </c>
      <c r="N105" s="17">
        <f>K105*0.08+L105*0.08</f>
        <v/>
      </c>
      <c r="O105" s="17">
        <f>-(K105*0.025+L105*0.025)</f>
        <v/>
      </c>
      <c r="P105" s="17">
        <f>32</f>
        <v/>
      </c>
      <c r="Q105" s="17">
        <f>J105+L105+N105+O105-P105-M105</f>
        <v/>
      </c>
    </row>
    <row r="106">
      <c r="A106" s="16" t="inlineStr">
        <is>
          <t>5.1-5.7</t>
        </is>
      </c>
      <c r="B106" s="16" t="inlineStr">
        <is>
          <t>PO-128-00037550185593393</t>
        </is>
      </c>
      <c r="C106" s="16" t="inlineStr">
        <is>
          <t>Delivered</t>
        </is>
      </c>
      <c r="D106" s="16" t="inlineStr">
        <is>
          <t>128-00037508242553393</t>
        </is>
      </c>
      <c r="E106" s="16" t="inlineStr">
        <is>
          <t>Delivered</t>
        </is>
      </c>
      <c r="F106" s="16" t="inlineStr">
        <is>
          <t>SA325T</t>
        </is>
      </c>
      <c r="G106" s="16" t="inlineStr">
        <is>
          <t>Subwoofer Portátil Inalámbrico con Luces RGB, Sonido de Alta Potencia y Batería Duradera, TWS TF USB, Perfecto para Campamento Fiestas y Entretenimiento en Casa</t>
        </is>
      </c>
      <c r="H106" s="16" t="inlineStr">
        <is>
          <t>NEGRO</t>
        </is>
      </c>
      <c r="I106" s="16" t="n">
        <v>1</v>
      </c>
      <c r="J106" s="17" t="n">
        <v>37.99</v>
      </c>
      <c r="K106" s="17" t="n">
        <v>47.04</v>
      </c>
      <c r="L106" s="17" t="n">
        <v>25.86</v>
      </c>
      <c r="M106" s="17" t="n">
        <v>0</v>
      </c>
      <c r="N106" s="17">
        <f>K106*0.08+L106*0.08</f>
        <v/>
      </c>
      <c r="O106" s="17">
        <f>-(K106*0.025+L106*0.025)</f>
        <v/>
      </c>
      <c r="P106" s="17">
        <f>32</f>
        <v/>
      </c>
      <c r="Q106" s="17">
        <f>J106+L106+N106+O106-P106-M106</f>
        <v/>
      </c>
    </row>
    <row r="107">
      <c r="A107" s="16" t="inlineStr">
        <is>
          <t>5.1-5.7</t>
        </is>
      </c>
      <c r="B107" s="16" t="inlineStr">
        <is>
          <t>PO-128-00362506829431518</t>
        </is>
      </c>
      <c r="C107" s="16" t="inlineStr">
        <is>
          <t>Delivered</t>
        </is>
      </c>
      <c r="D107" s="16" t="inlineStr">
        <is>
          <t>128-00362443914871518</t>
        </is>
      </c>
      <c r="E107" s="16" t="inlineStr">
        <is>
          <t>Delivered</t>
        </is>
      </c>
      <c r="F107" s="16" t="inlineStr">
        <is>
          <t>MB-185R</t>
        </is>
      </c>
      <c r="G107" s="16" t="inlineStr">
        <is>
          <t>Bocina Radio FM/Reproductor, Compatible con Tarjeta TF, USB, Bluetooth, Aplicable para celular, computadora, Ipad y consola.</t>
        </is>
      </c>
      <c r="H107" s="16" t="inlineStr">
        <is>
          <t>ROJO/MB-185</t>
        </is>
      </c>
      <c r="I107" s="16" t="n">
        <v>1</v>
      </c>
      <c r="J107" s="17" t="n">
        <v>75.59999999999999</v>
      </c>
      <c r="K107" s="17" t="n">
        <v>88.55</v>
      </c>
      <c r="L107" s="17" t="n">
        <v>0</v>
      </c>
      <c r="M107" s="17" t="n">
        <v>0</v>
      </c>
      <c r="N107" s="17">
        <f>K107*0.08+L107*0.08</f>
        <v/>
      </c>
      <c r="O107" s="17">
        <f>-(K107*0.025+L107*0.025)</f>
        <v/>
      </c>
      <c r="P107" s="17">
        <f>32</f>
        <v/>
      </c>
      <c r="Q107" s="17">
        <f>J107+L107+N107+O107-P107-M107</f>
        <v/>
      </c>
    </row>
    <row r="108">
      <c r="A108" s="16" t="inlineStr">
        <is>
          <t>5.1-5.7</t>
        </is>
      </c>
      <c r="B108" s="16" t="inlineStr">
        <is>
          <t>PO-128-00362506829431518</t>
        </is>
      </c>
      <c r="C108" s="16" t="inlineStr">
        <is>
          <t>Delivered</t>
        </is>
      </c>
      <c r="D108" s="16" t="inlineStr">
        <is>
          <t>128-00362485857911518</t>
        </is>
      </c>
      <c r="E108" s="16" t="inlineStr">
        <is>
          <t>Delivered</t>
        </is>
      </c>
      <c r="F108" s="16" t="inlineStr">
        <is>
          <t>MB-185A</t>
        </is>
      </c>
      <c r="G108" s="16" t="inlineStr">
        <is>
          <t>Bocina Radio FM/Reproductor, Compatible con Tarjeta TF, USB, Bluetooth, Aplicable para celular, computadora, Ipad y consola.</t>
        </is>
      </c>
      <c r="H108" s="16" t="inlineStr">
        <is>
          <t>AZUL/MB-185</t>
        </is>
      </c>
      <c r="I108" s="16" t="n">
        <v>1</v>
      </c>
      <c r="J108" s="17" t="n">
        <v>75.5</v>
      </c>
      <c r="K108" s="17" t="n">
        <v>88.45999999999999</v>
      </c>
      <c r="L108" s="17" t="n">
        <v>0</v>
      </c>
      <c r="M108" s="17" t="n">
        <v>0</v>
      </c>
      <c r="N108" s="17">
        <f>K108*0.08+L108*0.08</f>
        <v/>
      </c>
      <c r="O108" s="17">
        <f>-(K108*0.025+L108*0.025)</f>
        <v/>
      </c>
      <c r="P108" s="17">
        <f>32</f>
        <v/>
      </c>
      <c r="Q108" s="17">
        <f>J108+L108+N108+O108-P108-M108</f>
        <v/>
      </c>
    </row>
    <row r="109">
      <c r="A109" s="16" t="inlineStr">
        <is>
          <t>5.1-5.7</t>
        </is>
      </c>
      <c r="B109" s="16" t="inlineStr">
        <is>
          <t>PO-128-00362506829431518</t>
        </is>
      </c>
      <c r="C109" s="16" t="inlineStr">
        <is>
          <t>Delivered</t>
        </is>
      </c>
      <c r="D109" s="16" t="inlineStr">
        <is>
          <t>128-00362527800951518</t>
        </is>
      </c>
      <c r="E109" s="16" t="inlineStr">
        <is>
          <t>Delivered</t>
        </is>
      </c>
      <c r="F109" s="16" t="inlineStr">
        <is>
          <t>MB-185N</t>
        </is>
      </c>
      <c r="G109" s="16" t="inlineStr">
        <is>
          <t>Bocina Radio FM/Reproductor, Compatible con Tarjeta TF, USB, Bluetooth, Aplicable para celular, computadora, Ipad y consola.</t>
        </is>
      </c>
      <c r="H109" s="16" t="inlineStr">
        <is>
          <t>NEGRO/MB-185</t>
        </is>
      </c>
      <c r="I109" s="16" t="n">
        <v>1</v>
      </c>
      <c r="J109" s="17" t="n">
        <v>75.5</v>
      </c>
      <c r="K109" s="17" t="n">
        <v>88.45999999999999</v>
      </c>
      <c r="L109" s="17" t="n">
        <v>0</v>
      </c>
      <c r="M109" s="17" t="n">
        <v>0</v>
      </c>
      <c r="N109" s="17">
        <f>K109*0.08+L109*0.08</f>
        <v/>
      </c>
      <c r="O109" s="17">
        <f>-(K109*0.025+L109*0.025)</f>
        <v/>
      </c>
      <c r="P109" s="17">
        <f>32</f>
        <v/>
      </c>
      <c r="Q109" s="17">
        <f>J109+L109+N109+O109-P109-M109</f>
        <v/>
      </c>
    </row>
    <row r="110">
      <c r="A110" s="16" t="inlineStr">
        <is>
          <t>5.1-5.7</t>
        </is>
      </c>
      <c r="B110" s="16" t="inlineStr">
        <is>
          <t>PO-128-00401544136311223</t>
        </is>
      </c>
      <c r="C110" s="16" t="inlineStr">
        <is>
          <t>Delivered</t>
        </is>
      </c>
      <c r="D110" s="16" t="inlineStr">
        <is>
          <t>128-00401607050871223</t>
        </is>
      </c>
      <c r="E110" s="16" t="inlineStr">
        <is>
          <t>Delivered</t>
        </is>
      </c>
      <c r="F110" s="16" t="inlineStr">
        <is>
          <t>SA325T</t>
        </is>
      </c>
      <c r="G110" s="16" t="inlineStr">
        <is>
          <t>Subwoofer Portátil Inalámbrico con Luces RGB, Sonido de Alta Potencia y Batería Duradera, TWS TF USB, Perfecto para Campamento Fiestas y Entretenimiento en Casa</t>
        </is>
      </c>
      <c r="H110" s="16" t="inlineStr">
        <is>
          <t>NEGRO</t>
        </is>
      </c>
      <c r="I110" s="16" t="n">
        <v>1</v>
      </c>
      <c r="J110" s="17" t="n">
        <v>37.99</v>
      </c>
      <c r="K110" s="17" t="n">
        <v>47.04</v>
      </c>
      <c r="L110" s="17" t="n">
        <v>11.33</v>
      </c>
      <c r="M110" s="17" t="n">
        <v>0</v>
      </c>
      <c r="N110" s="17">
        <f>K110*0.08+L110*0.08</f>
        <v/>
      </c>
      <c r="O110" s="17">
        <f>-(K110*0.025+L110*0.025)</f>
        <v/>
      </c>
      <c r="P110" s="17">
        <f>32</f>
        <v/>
      </c>
      <c r="Q110" s="17">
        <f>J110+L110+N110+O110-P110-M110</f>
        <v/>
      </c>
    </row>
    <row r="111">
      <c r="A111" s="16" t="inlineStr">
        <is>
          <t>5.1-5.7</t>
        </is>
      </c>
      <c r="B111" s="16" t="inlineStr">
        <is>
          <t>PO-128-00401544136311223</t>
        </is>
      </c>
      <c r="C111" s="16" t="inlineStr">
        <is>
          <t>Delivered</t>
        </is>
      </c>
      <c r="D111" s="16" t="inlineStr">
        <is>
          <t>128-00401586079351223</t>
        </is>
      </c>
      <c r="E111" s="16" t="inlineStr">
        <is>
          <t>Delivered</t>
        </is>
      </c>
      <c r="F111" s="16" t="inlineStr">
        <is>
          <t>VA384T-N</t>
        </is>
      </c>
      <c r="G111" s="16" t="inlineStr">
        <is>
          <t>Bocina Portátil Bluetooth de 3 Pulgadas con Radio FM, USB TF TWS, Sonido Estéreo 5W, Bocina Recargable para Hogar Exterior Viaje Fiesta Camping</t>
        </is>
      </c>
      <c r="H111" s="16" t="inlineStr">
        <is>
          <t>NEGRO</t>
        </is>
      </c>
      <c r="I111" s="16" t="n">
        <v>1</v>
      </c>
      <c r="J111" s="17" t="n">
        <v>49.6</v>
      </c>
      <c r="K111" s="17" t="n">
        <v>60.32</v>
      </c>
      <c r="L111" s="17" t="n">
        <v>14.53</v>
      </c>
      <c r="M111" s="17" t="n">
        <v>0</v>
      </c>
      <c r="N111" s="17">
        <f>K111*0.08+L111*0.08</f>
        <v/>
      </c>
      <c r="O111" s="17">
        <f>-(K111*0.025+L111*0.025)</f>
        <v/>
      </c>
      <c r="P111" s="17">
        <f>32</f>
        <v/>
      </c>
      <c r="Q111" s="17">
        <f>J111+L111+N111+O111-P111-M111</f>
        <v/>
      </c>
    </row>
    <row r="112">
      <c r="A112" s="16" t="inlineStr">
        <is>
          <t>5.1-5.7</t>
        </is>
      </c>
      <c r="B112" s="16" t="inlineStr">
        <is>
          <t>PO-128-00263705173113005</t>
        </is>
      </c>
      <c r="C112" s="16" t="inlineStr">
        <is>
          <t>Delivered</t>
        </is>
      </c>
      <c r="D112" s="16" t="inlineStr">
        <is>
          <t>128-00263663230073005</t>
        </is>
      </c>
      <c r="E112" s="16" t="inlineStr">
        <is>
          <t>Delivered</t>
        </is>
      </c>
      <c r="F112" s="16" t="inlineStr">
        <is>
          <t>KTS-1678Y</t>
        </is>
      </c>
      <c r="G112" s="16" t="inlineStr">
        <is>
          <t>Bocina portátil Inalámbrico, de 3 pulgadas, tamaño de bolsillo, 170 g, con asa, compatible con TF, USB y Micro SD, con radio FM y función TWS (True Wireless Stereo), adecuada para relajarse en casa o viajar al aire libre.</t>
        </is>
      </c>
      <c r="H112" s="16" t="inlineStr">
        <is>
          <t>KTS-1678Y</t>
        </is>
      </c>
      <c r="I112" s="16" t="n">
        <v>1</v>
      </c>
      <c r="J112" s="17" t="n">
        <v>42.5</v>
      </c>
      <c r="K112" s="17" t="n">
        <v>5.62</v>
      </c>
      <c r="L112" s="17" t="n">
        <v>25.86</v>
      </c>
      <c r="M112" s="17" t="n">
        <v>0</v>
      </c>
      <c r="N112" s="17">
        <f>K112*0.08+L112*0.08</f>
        <v/>
      </c>
      <c r="O112" s="17">
        <f>-(K112*0.025+L112*0.025)</f>
        <v/>
      </c>
      <c r="P112" s="17">
        <f>32</f>
        <v/>
      </c>
      <c r="Q112" s="17">
        <f>J112+L112+N112+O112-P112-M112</f>
        <v/>
      </c>
    </row>
    <row r="113">
      <c r="A113" s="16" t="inlineStr">
        <is>
          <t>5.1-5.7</t>
        </is>
      </c>
      <c r="B113" s="16" t="inlineStr">
        <is>
          <t>PO-128-00618553060471016</t>
        </is>
      </c>
      <c r="C113" s="16" t="inlineStr">
        <is>
          <t>Delivered</t>
        </is>
      </c>
      <c r="D113" s="16" t="inlineStr">
        <is>
          <t>128-00618511117431016</t>
        </is>
      </c>
      <c r="E113" s="16" t="inlineStr">
        <is>
          <t>Delivered</t>
        </is>
      </c>
      <c r="F113" s="16" t="inlineStr">
        <is>
          <t>SA325T</t>
        </is>
      </c>
      <c r="G113" s="16" t="inlineStr">
        <is>
          <t>Subwoofer Portátil Inalámbrico con Luces RGB, Sonido de Alta Potencia y Batería Duradera, TWS TF USB, Perfecto para Campamento Fiestas y Entretenimiento en Casa</t>
        </is>
      </c>
      <c r="H113" s="16" t="inlineStr">
        <is>
          <t>NEGRO</t>
        </is>
      </c>
      <c r="I113" s="16" t="n">
        <v>1</v>
      </c>
      <c r="J113" s="17" t="n">
        <v>37.99</v>
      </c>
      <c r="K113" s="17" t="n">
        <v>39.99</v>
      </c>
      <c r="L113" s="17" t="n">
        <v>25.86</v>
      </c>
      <c r="M113" s="17" t="n">
        <v>0</v>
      </c>
      <c r="N113" s="17">
        <f>K113*0.08+L113*0.08</f>
        <v/>
      </c>
      <c r="O113" s="17">
        <f>-(K113*0.025+L113*0.025)</f>
        <v/>
      </c>
      <c r="P113" s="17">
        <f>32</f>
        <v/>
      </c>
      <c r="Q113" s="17">
        <f>J113+L113+N113+O113-P113-M113</f>
        <v/>
      </c>
    </row>
    <row r="114">
      <c r="A114" s="16" t="inlineStr">
        <is>
          <t>5.1-5.7</t>
        </is>
      </c>
      <c r="B114" s="16" t="inlineStr">
        <is>
          <t>PO-128-00037482430073393</t>
        </is>
      </c>
      <c r="C114" s="16" t="inlineStr">
        <is>
          <t>Delivered</t>
        </is>
      </c>
      <c r="D114" s="16" t="inlineStr">
        <is>
          <t>128-00037461458553393</t>
        </is>
      </c>
      <c r="E114" s="16" t="inlineStr">
        <is>
          <t>Delivered</t>
        </is>
      </c>
      <c r="F114" s="16" t="inlineStr">
        <is>
          <t>SA325T</t>
        </is>
      </c>
      <c r="G114" s="16" t="inlineStr">
        <is>
          <t>Subwoofer Portátil Inalámbrico con Luces RGB, Sonido de Alta Potencia y Batería Duradera, TWS TF USB, Perfecto para Campamento Fiestas y Entretenimiento en Casa</t>
        </is>
      </c>
      <c r="H114" s="16" t="inlineStr">
        <is>
          <t>NEGRO</t>
        </is>
      </c>
      <c r="I114" s="16" t="n">
        <v>1</v>
      </c>
      <c r="J114" s="17" t="n">
        <v>37.99</v>
      </c>
      <c r="K114" s="17" t="n">
        <v>47.04</v>
      </c>
      <c r="L114" s="17" t="n">
        <v>25.86</v>
      </c>
      <c r="M114" s="17" t="n">
        <v>0</v>
      </c>
      <c r="N114" s="17">
        <f>K114*0.08+L114*0.08</f>
        <v/>
      </c>
      <c r="O114" s="17">
        <f>-(K114*0.025+L114*0.025)</f>
        <v/>
      </c>
      <c r="P114" s="17">
        <f>32</f>
        <v/>
      </c>
      <c r="Q114" s="17">
        <f>J114+L114+N114+O114-P114-M114</f>
        <v/>
      </c>
    </row>
    <row r="115">
      <c r="A115" s="16" t="inlineStr">
        <is>
          <t>5.1-5.7</t>
        </is>
      </c>
      <c r="B115" s="16" t="inlineStr">
        <is>
          <t>PO-128-00006403231353512</t>
        </is>
      </c>
      <c r="C115" s="16" t="inlineStr">
        <is>
          <t>Delivered</t>
        </is>
      </c>
      <c r="D115" s="16" t="inlineStr">
        <is>
          <t>128-00006408474233512</t>
        </is>
      </c>
      <c r="E115" s="16" t="inlineStr">
        <is>
          <t>Delivered</t>
        </is>
      </c>
      <c r="F115" s="16" t="inlineStr">
        <is>
          <t>LV64W25</t>
        </is>
      </c>
      <c r="G115" s="16" t="inlineStr">
        <is>
          <t>Ventilador de Techo LED TIANLAI con 5 Aspas, Control Remoto, 3 Colores Luz, 3 Velocidades, Temporizador, Fácil Instalación, E27 para Baño Cocina Dormitorio Salón</t>
        </is>
      </c>
      <c r="H115" s="16" t="inlineStr">
        <is>
          <t>LV64W25</t>
        </is>
      </c>
      <c r="I115" s="16" t="n">
        <v>1</v>
      </c>
      <c r="J115" s="17" t="n">
        <v>156</v>
      </c>
      <c r="K115" s="17" t="n">
        <v>199.12</v>
      </c>
      <c r="L115" s="17" t="n">
        <v>25.86</v>
      </c>
      <c r="M115" s="17" t="n">
        <v>0</v>
      </c>
      <c r="N115" s="17">
        <f>K115*0.08+L115*0.08</f>
        <v/>
      </c>
      <c r="O115" s="17">
        <f>-(K115*0.025+L115*0.025)</f>
        <v/>
      </c>
      <c r="P115" s="17">
        <f>32</f>
        <v/>
      </c>
      <c r="Q115" s="17">
        <f>J115+L115+N115+O115-P115-M115</f>
        <v/>
      </c>
    </row>
    <row r="116">
      <c r="A116" s="16" t="inlineStr">
        <is>
          <t>5.1-5.7</t>
        </is>
      </c>
      <c r="B116" s="16" t="inlineStr">
        <is>
          <t>PO-128-00032002811513360</t>
        </is>
      </c>
      <c r="C116" s="16" t="inlineStr">
        <is>
          <t>Delivered</t>
        </is>
      </c>
      <c r="D116" s="16" t="inlineStr">
        <is>
          <t>128-00032044263033360</t>
        </is>
      </c>
      <c r="E116" s="16" t="inlineStr">
        <is>
          <t>Delivered</t>
        </is>
      </c>
      <c r="F116" s="16" t="inlineStr">
        <is>
          <t>LB02235-azul</t>
        </is>
      </c>
      <c r="G116" s="16" t="inlineStr">
        <is>
          <t>Audífonos Inalámbricos para la Cabeza, Recargables y Multifuncionales - Conectan a Varios Dispositivos, soportan Radio FM, Tarjeta TF y AUX - 4 Horas de Reproducción Musical - Ideal para Trabajo Cotidiano, Juegos y Estudio</t>
        </is>
      </c>
      <c r="H116" s="16" t="inlineStr">
        <is>
          <t>AZUL</t>
        </is>
      </c>
      <c r="I116" s="16" t="n">
        <v>2</v>
      </c>
      <c r="J116" s="17" t="n">
        <v>73.59999999999999</v>
      </c>
      <c r="K116" s="17" t="n">
        <v>99.81999999999999</v>
      </c>
      <c r="L116" s="17" t="n">
        <v>25.86</v>
      </c>
      <c r="M116" s="17" t="n">
        <v>0</v>
      </c>
      <c r="N116" s="17">
        <f>K116*0.08+L116*0.08</f>
        <v/>
      </c>
      <c r="O116" s="17">
        <f>-(K116*0.025+L116*0.025)</f>
        <v/>
      </c>
      <c r="P116" s="17">
        <f>32</f>
        <v/>
      </c>
      <c r="Q116" s="17">
        <f>J116+L116+N116+O116-P116-M116</f>
        <v/>
      </c>
    </row>
    <row r="117">
      <c r="A117" s="16" t="inlineStr">
        <is>
          <t>5.1-5.7</t>
        </is>
      </c>
      <c r="B117" s="16" t="inlineStr">
        <is>
          <t>PO-128-00150999726713610</t>
        </is>
      </c>
      <c r="C117" s="16" t="inlineStr">
        <is>
          <t>Delivered</t>
        </is>
      </c>
      <c r="D117" s="16" t="inlineStr">
        <is>
          <t>128-00151159634553610</t>
        </is>
      </c>
      <c r="E117" s="16" t="inlineStr">
        <is>
          <t>Delivered</t>
        </is>
      </c>
      <c r="F117" s="16" t="inlineStr">
        <is>
          <t>SA325T</t>
        </is>
      </c>
      <c r="G117" s="16" t="inlineStr">
        <is>
          <t>Subwoofer Portátil Inalámbrico con Luces RGB, Sonido de Alta Potencia y Batería Duradera, TWS TF USB, Perfecto para Campamento Fiestas y Entretenimiento en Casa</t>
        </is>
      </c>
      <c r="H117" s="16" t="inlineStr">
        <is>
          <t>NEGRO</t>
        </is>
      </c>
      <c r="I117" s="16" t="n">
        <v>1</v>
      </c>
      <c r="J117" s="17" t="n">
        <v>37.99</v>
      </c>
      <c r="K117" s="17" t="n">
        <v>3.94</v>
      </c>
      <c r="L117" s="17" t="n">
        <v>25.86</v>
      </c>
      <c r="M117" s="17" t="n">
        <v>0</v>
      </c>
      <c r="N117" s="17">
        <f>K117*0.08+L117*0.08</f>
        <v/>
      </c>
      <c r="O117" s="17">
        <f>-(K117*0.025+L117*0.025)</f>
        <v/>
      </c>
      <c r="P117" s="17">
        <f>32</f>
        <v/>
      </c>
      <c r="Q117" s="17">
        <f>J117+L117+N117+O117-P117-M117</f>
        <v/>
      </c>
    </row>
    <row r="118">
      <c r="A118" s="16" t="inlineStr">
        <is>
          <t>5.1-5.7</t>
        </is>
      </c>
      <c r="B118" s="16" t="inlineStr">
        <is>
          <t>PO-128-00632946606710802</t>
        </is>
      </c>
      <c r="C118" s="16" t="inlineStr">
        <is>
          <t>Delivered</t>
        </is>
      </c>
      <c r="D118" s="16" t="inlineStr">
        <is>
          <t>128-00632967578230802</t>
        </is>
      </c>
      <c r="E118" s="16" t="inlineStr">
        <is>
          <t>Delivered</t>
        </is>
      </c>
      <c r="F118" s="16" t="inlineStr">
        <is>
          <t>FA028</t>
        </is>
      </c>
      <c r="G118" s="16" t="inlineStr">
        <is>
          <t>Extractor de agua para garrafas de agua, compatible con carga USB, extractor de agua automático, práctico, con dos modos de toma de agua: manual y programado, ideal para dormitorios, salones, oficinas, uso al aire libre y otros escenarios.</t>
        </is>
      </c>
      <c r="H118" s="16" t="inlineStr">
        <is>
          <t>FA028</t>
        </is>
      </c>
      <c r="I118" s="16" t="n">
        <v>2</v>
      </c>
      <c r="J118" s="17" t="n">
        <v>70</v>
      </c>
      <c r="K118" s="17" t="n">
        <v>3</v>
      </c>
      <c r="L118" s="17" t="n">
        <v>25.86</v>
      </c>
      <c r="M118" s="17" t="n">
        <v>0</v>
      </c>
      <c r="N118" s="17">
        <f>K118*0.08+L118*0.08</f>
        <v/>
      </c>
      <c r="O118" s="17">
        <f>-(K118*0.025+L118*0.025)</f>
        <v/>
      </c>
      <c r="P118" s="17">
        <f>32</f>
        <v/>
      </c>
      <c r="Q118" s="17">
        <f>J118+L118+N118+O118-P118-M118</f>
        <v/>
      </c>
    </row>
    <row r="119">
      <c r="A119" s="16" t="inlineStr">
        <is>
          <t>5.1-5.7</t>
        </is>
      </c>
      <c r="B119" s="16" t="inlineStr">
        <is>
          <t>PO-128-00655084073590734</t>
        </is>
      </c>
      <c r="C119" s="16" t="inlineStr">
        <is>
          <t>Delivered</t>
        </is>
      </c>
      <c r="D119" s="16" t="inlineStr">
        <is>
          <t>128-00655136502390734</t>
        </is>
      </c>
      <c r="E119" s="16" t="inlineStr">
        <is>
          <t>Delivered</t>
        </is>
      </c>
      <c r="F119" s="16" t="inlineStr">
        <is>
          <t>LB02235-azul</t>
        </is>
      </c>
      <c r="G119" s="16" t="inlineStr">
        <is>
          <t>Audífonos Inalámbricos para la Cabeza, Recargables y Multifuncionales - Conectan a Varios Dispositivos, soportan Radio FM, Tarjeta TF y AUX - 4 Horas de Reproducción Musical - Ideal para Trabajo Cotidiano, Juegos y Estudio</t>
        </is>
      </c>
      <c r="H119" s="16" t="inlineStr">
        <is>
          <t>AZUL</t>
        </is>
      </c>
      <c r="I119" s="16" t="n">
        <v>1</v>
      </c>
      <c r="J119" s="17" t="n">
        <v>36.8</v>
      </c>
      <c r="K119" s="17" t="n">
        <v>6.81</v>
      </c>
      <c r="L119" s="17" t="n">
        <v>25.86</v>
      </c>
      <c r="M119" s="17" t="n">
        <v>0.25</v>
      </c>
      <c r="N119" s="17">
        <f>K119*0.08+L119*0.08</f>
        <v/>
      </c>
      <c r="O119" s="17">
        <f>-(K119*0.025+L119*0.025)</f>
        <v/>
      </c>
      <c r="P119" s="17">
        <f>32</f>
        <v/>
      </c>
      <c r="Q119" s="17">
        <f>J119+L119+N119+O119-P119-M119</f>
        <v/>
      </c>
    </row>
    <row r="120">
      <c r="A120" s="16" t="inlineStr">
        <is>
          <t>5.1-5.7</t>
        </is>
      </c>
      <c r="B120" s="16" t="inlineStr">
        <is>
          <t>PO-128-00655024538230734</t>
        </is>
      </c>
      <c r="C120" s="16" t="inlineStr">
        <is>
          <t>Delivered</t>
        </is>
      </c>
      <c r="D120" s="16" t="inlineStr">
        <is>
          <t>128-00655066481270734</t>
        </is>
      </c>
      <c r="E120" s="16" t="inlineStr">
        <is>
          <t>Delivered</t>
        </is>
      </c>
      <c r="F120" s="16" t="inlineStr">
        <is>
          <t>LB02235-blanco</t>
        </is>
      </c>
      <c r="G120" s="16" t="inlineStr">
        <is>
          <t>Audífonos Inalámbricos para la Cabeza, Recargables y Multifuncionales - Conectan a Varios Dispositivos, soportan Radio FM, Tarjeta TF y AUX - 4 Horas de Reproducción Musical - Ideal para Trabajo Cotidiano, Juegos y Estudio</t>
        </is>
      </c>
      <c r="H120" s="16" t="inlineStr">
        <is>
          <t>BLANCO</t>
        </is>
      </c>
      <c r="I120" s="16" t="n">
        <v>1</v>
      </c>
      <c r="J120" s="17" t="n">
        <v>37.71</v>
      </c>
      <c r="K120" s="17" t="n">
        <v>7.73</v>
      </c>
      <c r="L120" s="17" t="n">
        <v>25.86</v>
      </c>
      <c r="M120" s="17" t="n">
        <v>0.19</v>
      </c>
      <c r="N120" s="17">
        <f>K120*0.08+L120*0.08</f>
        <v/>
      </c>
      <c r="O120" s="17">
        <f>-(K120*0.025+L120*0.025)</f>
        <v/>
      </c>
      <c r="P120" s="17">
        <f>32</f>
        <v/>
      </c>
      <c r="Q120" s="17">
        <f>J120+L120+N120+O120-P120-M120</f>
        <v/>
      </c>
    </row>
    <row r="121">
      <c r="A121" s="16" t="inlineStr">
        <is>
          <t>5.1-5.7</t>
        </is>
      </c>
      <c r="B121" s="16" t="inlineStr">
        <is>
          <t>PO-128-00602111662710922</t>
        </is>
      </c>
      <c r="C121" s="16" t="inlineStr">
        <is>
          <t>Delivered</t>
        </is>
      </c>
      <c r="D121" s="16" t="inlineStr">
        <is>
          <t>128-00602122148470922</t>
        </is>
      </c>
      <c r="E121" s="16" t="inlineStr">
        <is>
          <t>Delivered</t>
        </is>
      </c>
      <c r="F121" s="16" t="inlineStr">
        <is>
          <t>SA323T</t>
        </is>
      </c>
      <c r="G121" s="16" t="inlineStr">
        <is>
          <t>Linkbits Bocina Portátil Parlantes BT Portátiles con Iluminación de Ambiente | 1 Hora de Duración, FM, TWS, TF/Micro SD | Ideal para Hogar, Fiestas y Viajes</t>
        </is>
      </c>
      <c r="H121" s="16" t="inlineStr">
        <is>
          <t>SA323T</t>
        </is>
      </c>
      <c r="I121" s="16" t="n">
        <v>1</v>
      </c>
      <c r="J121" s="17" t="n">
        <v>46</v>
      </c>
      <c r="K121" s="17" t="n">
        <v>44.05</v>
      </c>
      <c r="L121" s="17" t="n">
        <v>25.86</v>
      </c>
      <c r="M121" s="17" t="n">
        <v>0</v>
      </c>
      <c r="N121" s="17">
        <f>K121*0.08+L121*0.08</f>
        <v/>
      </c>
      <c r="O121" s="17">
        <f>-(K121*0.025+L121*0.025)</f>
        <v/>
      </c>
      <c r="P121" s="17">
        <f>32</f>
        <v/>
      </c>
      <c r="Q121" s="17">
        <f>J121+L121+N121+O121-P121-M121</f>
        <v/>
      </c>
    </row>
    <row r="122">
      <c r="A122" s="16" t="inlineStr">
        <is>
          <t>5.1-5.7</t>
        </is>
      </c>
      <c r="B122" s="16" t="inlineStr">
        <is>
          <t>PO-128-00648328837750646</t>
        </is>
      </c>
      <c r="C122" s="16" t="inlineStr">
        <is>
          <t>Delivered</t>
        </is>
      </c>
      <c r="D122" s="16" t="inlineStr">
        <is>
          <t>128-00648339323510646</t>
        </is>
      </c>
      <c r="E122" s="16" t="inlineStr">
        <is>
          <t>Delivered</t>
        </is>
      </c>
      <c r="F122" s="16" t="inlineStr">
        <is>
          <t>MCM-001N</t>
        </is>
      </c>
      <c r="G122" s="16" t="inlineStr">
        <is>
          <t>Musicord Altavoz Inalámbrico BT Portátil: ¡Sonido impactante, luces LED multicolores y 4 horas de autonomía! Compatible con TWS, FM, TF y USB – Imprescindible para fiestas y viajes</t>
        </is>
      </c>
      <c r="H122" s="16" t="inlineStr">
        <is>
          <t>NEGRO</t>
        </is>
      </c>
      <c r="I122" s="16" t="n">
        <v>1</v>
      </c>
      <c r="J122" s="17" t="n">
        <v>61</v>
      </c>
      <c r="K122" s="17" t="n">
        <v>72.29000000000001</v>
      </c>
      <c r="L122" s="17" t="n">
        <v>25.86</v>
      </c>
      <c r="M122" s="17" t="n">
        <v>0</v>
      </c>
      <c r="N122" s="17">
        <f>K122*0.08+L122*0.08</f>
        <v/>
      </c>
      <c r="O122" s="17">
        <f>-(K122*0.025+L122*0.025)</f>
        <v/>
      </c>
      <c r="P122" s="17">
        <f>32</f>
        <v/>
      </c>
      <c r="Q122" s="17">
        <f>J122+L122+N122+O122-P122-M122</f>
        <v/>
      </c>
    </row>
    <row r="123">
      <c r="A123" s="16" t="inlineStr">
        <is>
          <t>5.1-5.7</t>
        </is>
      </c>
      <c r="B123" s="16" t="inlineStr">
        <is>
          <t>PO-128-00374322903671321</t>
        </is>
      </c>
      <c r="C123" s="16" t="inlineStr">
        <is>
          <t>Delivered</t>
        </is>
      </c>
      <c r="D123" s="16" t="inlineStr">
        <is>
          <t>128-00374385818231321</t>
        </is>
      </c>
      <c r="E123" s="16" t="inlineStr">
        <is>
          <t>Delivered</t>
        </is>
      </c>
      <c r="F123" s="16" t="inlineStr">
        <is>
          <t>LB02235-rojo</t>
        </is>
      </c>
      <c r="G123" s="16" t="inlineStr">
        <is>
          <t>Audífonos Inalámbricos para la Cabeza, Recargables y Multifuncionales - Conectan a Varios Dispositivos, soportan Radio FM, Tarjeta TF y AUX - 4 Horas de Reproducción Musical - Ideal para Trabajo Cotidiano, Juegos y Estudio</t>
        </is>
      </c>
      <c r="H123" s="16" t="inlineStr">
        <is>
          <t>ROJO</t>
        </is>
      </c>
      <c r="I123" s="16" t="n">
        <v>1</v>
      </c>
      <c r="J123" s="17" t="n">
        <v>37.71</v>
      </c>
      <c r="K123" s="17" t="n">
        <v>50.83</v>
      </c>
      <c r="L123" s="17" t="n">
        <v>12.93</v>
      </c>
      <c r="M123" s="17" t="n">
        <v>0</v>
      </c>
      <c r="N123" s="17">
        <f>K123*0.08+L123*0.08</f>
        <v/>
      </c>
      <c r="O123" s="17">
        <f>-(K123*0.025+L123*0.025)</f>
        <v/>
      </c>
      <c r="P123" s="17">
        <f>32</f>
        <v/>
      </c>
      <c r="Q123" s="17">
        <f>J123+L123+N123+O123-P123-M123</f>
        <v/>
      </c>
    </row>
    <row r="124">
      <c r="A124" s="16" t="inlineStr">
        <is>
          <t>5.1-5.7</t>
        </is>
      </c>
      <c r="B124" s="16" t="inlineStr">
        <is>
          <t>PO-128-00374322903671321</t>
        </is>
      </c>
      <c r="C124" s="16" t="inlineStr">
        <is>
          <t>Delivered</t>
        </is>
      </c>
      <c r="D124" s="16" t="inlineStr">
        <is>
          <t>128-00374427761271321</t>
        </is>
      </c>
      <c r="E124" s="16" t="inlineStr">
        <is>
          <t>Delivered</t>
        </is>
      </c>
      <c r="F124" s="16" t="inlineStr">
        <is>
          <t>LB02235-negro</t>
        </is>
      </c>
      <c r="G124" s="16" t="inlineStr">
        <is>
          <t>Audífonos Inalámbricos para la Cabeza, Recargables y Multifuncionales - Conectan a Varios Dispositivos, soportan Radio FM, Tarjeta TF y AUX - 4 Horas de Reproducción Musical - Ideal para Trabajo Cotidiano, Juegos y Estudio</t>
        </is>
      </c>
      <c r="H124" s="16" t="inlineStr">
        <is>
          <t>NEGRO</t>
        </is>
      </c>
      <c r="I124" s="16" t="n">
        <v>1</v>
      </c>
      <c r="J124" s="17" t="n">
        <v>37.71</v>
      </c>
      <c r="K124" s="17" t="n">
        <v>50.83</v>
      </c>
      <c r="L124" s="17" t="n">
        <v>12.93</v>
      </c>
      <c r="M124" s="17" t="n">
        <v>0</v>
      </c>
      <c r="N124" s="17">
        <f>K124*0.08+L124*0.08</f>
        <v/>
      </c>
      <c r="O124" s="17">
        <f>-(K124*0.025+L124*0.025)</f>
        <v/>
      </c>
      <c r="P124" s="17">
        <f>32</f>
        <v/>
      </c>
      <c r="Q124" s="17">
        <f>J124+L124+N124+O124-P124-M124</f>
        <v/>
      </c>
    </row>
    <row r="125">
      <c r="A125" s="16" t="inlineStr">
        <is>
          <t>5.1-5.7</t>
        </is>
      </c>
      <c r="B125" s="16" t="inlineStr">
        <is>
          <t>PO-128-00639917681270888</t>
        </is>
      </c>
      <c r="C125" s="16" t="inlineStr">
        <is>
          <t>Delivered</t>
        </is>
      </c>
      <c r="D125" s="16" t="inlineStr">
        <is>
          <t>128-00640022538870888</t>
        </is>
      </c>
      <c r="E125" s="16" t="inlineStr">
        <is>
          <t>Delivered</t>
        </is>
      </c>
      <c r="F125" s="16" t="inlineStr">
        <is>
          <t>MCM-001G</t>
        </is>
      </c>
      <c r="G125" s="16" t="inlineStr">
        <is>
          <t>Musicord Altavoz Inalámbrico BT Portátil: ¡Sonido impactante, luces LED multicolores y 4 horas de autonomía! Compatible con TWS, FM, TF y USB – Imprescindible para fiestas y viajes</t>
        </is>
      </c>
      <c r="H125" s="16" t="inlineStr">
        <is>
          <t>GRIS</t>
        </is>
      </c>
      <c r="I125" s="16" t="n">
        <v>1</v>
      </c>
      <c r="J125" s="17" t="n">
        <v>51.07</v>
      </c>
      <c r="K125" s="17" t="n">
        <v>62.36</v>
      </c>
      <c r="L125" s="17" t="n">
        <v>25.86</v>
      </c>
      <c r="M125" s="17" t="n">
        <v>0</v>
      </c>
      <c r="N125" s="17">
        <f>K125*0.08+L125*0.08</f>
        <v/>
      </c>
      <c r="O125" s="17">
        <f>-(K125*0.025+L125*0.025)</f>
        <v/>
      </c>
      <c r="P125" s="17">
        <f>32</f>
        <v/>
      </c>
      <c r="Q125" s="17">
        <f>J125+L125+N125+O125-P125-M125</f>
        <v/>
      </c>
    </row>
    <row r="126">
      <c r="A126" s="16" t="inlineStr">
        <is>
          <t>5.1-5.7</t>
        </is>
      </c>
      <c r="B126" s="16" t="inlineStr">
        <is>
          <t>PO-128-00134922409593770</t>
        </is>
      </c>
      <c r="C126" s="16" t="inlineStr">
        <is>
          <t>Delivered</t>
        </is>
      </c>
      <c r="D126" s="16" t="inlineStr">
        <is>
          <t>128-00134901438073770</t>
        </is>
      </c>
      <c r="E126" s="16" t="inlineStr">
        <is>
          <t>Delivered</t>
        </is>
      </c>
      <c r="F126" s="16" t="inlineStr">
        <is>
          <t>S58W60</t>
        </is>
      </c>
      <c r="G126"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26" s="16" t="inlineStr">
        <is>
          <t>1 pieza</t>
        </is>
      </c>
      <c r="I126" s="16" t="n">
        <v>1</v>
      </c>
      <c r="J126" s="17" t="n">
        <v>59</v>
      </c>
      <c r="K126" s="17" t="n">
        <v>61.23</v>
      </c>
      <c r="L126" s="17" t="n">
        <v>25.86</v>
      </c>
      <c r="M126" s="17" t="n">
        <v>0</v>
      </c>
      <c r="N126" s="17">
        <f>K126*0.08+L126*0.08</f>
        <v/>
      </c>
      <c r="O126" s="17">
        <f>-(K126*0.025+L126*0.025)</f>
        <v/>
      </c>
      <c r="P126" s="17">
        <f>32</f>
        <v/>
      </c>
      <c r="Q126" s="17">
        <f>J126+L126+N126+O126-P126-M126</f>
        <v/>
      </c>
    </row>
    <row r="127">
      <c r="A127" s="16" t="inlineStr">
        <is>
          <t>5.1-5.7</t>
        </is>
      </c>
      <c r="B127" s="16" t="inlineStr">
        <is>
          <t>PO-128-00603820759670913</t>
        </is>
      </c>
      <c r="C127" s="16" t="inlineStr">
        <is>
          <t>Delivered</t>
        </is>
      </c>
      <c r="D127" s="16" t="inlineStr">
        <is>
          <t>128-00603867945590913</t>
        </is>
      </c>
      <c r="E127" s="16" t="inlineStr">
        <is>
          <t>Delivered</t>
        </is>
      </c>
      <c r="F127" s="16" t="inlineStr">
        <is>
          <t>LB02235-negro</t>
        </is>
      </c>
      <c r="G127" s="16" t="inlineStr">
        <is>
          <t>Audífonos Inalámbricos para la Cabeza, Recargables y Multifuncionales - Conectan a Varios Dispositivos, soportan Radio FM, Tarjeta TF y AUX - 4 Horas de Reproducción Musical - Ideal para Trabajo Cotidiano, Juegos y Estudio</t>
        </is>
      </c>
      <c r="H127" s="16" t="inlineStr">
        <is>
          <t>NEGRO</t>
        </is>
      </c>
      <c r="I127" s="16" t="n">
        <v>1</v>
      </c>
      <c r="J127" s="17" t="n">
        <v>37.71</v>
      </c>
      <c r="K127" s="17" t="n">
        <v>50.83</v>
      </c>
      <c r="L127" s="17" t="n">
        <v>25.86</v>
      </c>
      <c r="M127" s="17" t="n">
        <v>0</v>
      </c>
      <c r="N127" s="17">
        <f>K127*0.08+L127*0.08</f>
        <v/>
      </c>
      <c r="O127" s="17">
        <f>-(K127*0.025+L127*0.025)</f>
        <v/>
      </c>
      <c r="P127" s="17">
        <f>32</f>
        <v/>
      </c>
      <c r="Q127" s="17">
        <f>J127+L127+N127+O127-P127-M127</f>
        <v/>
      </c>
    </row>
    <row r="128">
      <c r="A128" s="16" t="inlineStr">
        <is>
          <t>5.1-5.7</t>
        </is>
      </c>
      <c r="B128" s="16" t="inlineStr">
        <is>
          <t>PO-128-00657993134710719</t>
        </is>
      </c>
      <c r="C128" s="16" t="inlineStr">
        <is>
          <t>Delivered</t>
        </is>
      </c>
      <c r="D128" s="16" t="inlineStr">
        <is>
          <t>128-00657982648950719</t>
        </is>
      </c>
      <c r="E128" s="16" t="inlineStr">
        <is>
          <t>Delivered</t>
        </is>
      </c>
      <c r="F128" s="16" t="inlineStr">
        <is>
          <t>SA323T</t>
        </is>
      </c>
      <c r="G128" s="16" t="inlineStr">
        <is>
          <t>Linkbits Bocina Portátil Parlantes BT Portátiles con Iluminación de Ambiente | 1 Hora de Duración, FM, TWS, TF/Micro SD | Ideal para Hogar, Fiestas y Viajes</t>
        </is>
      </c>
      <c r="H128" s="16" t="inlineStr">
        <is>
          <t>SA323T</t>
        </is>
      </c>
      <c r="I128" s="16" t="n">
        <v>1</v>
      </c>
      <c r="J128" s="17" t="n">
        <v>46</v>
      </c>
      <c r="K128" s="17" t="n">
        <v>46.29</v>
      </c>
      <c r="L128" s="17" t="n">
        <v>25.86</v>
      </c>
      <c r="M128" s="17" t="n">
        <v>0</v>
      </c>
      <c r="N128" s="17">
        <f>K128*0.08+L128*0.08</f>
        <v/>
      </c>
      <c r="O128" s="17">
        <f>-(K128*0.025+L128*0.025)</f>
        <v/>
      </c>
      <c r="P128" s="17">
        <f>32</f>
        <v/>
      </c>
      <c r="Q128" s="17">
        <f>J128+L128+N128+O128-P128-M128</f>
        <v/>
      </c>
    </row>
    <row r="129">
      <c r="A129" s="16" t="inlineStr">
        <is>
          <t>5.1-5.7</t>
        </is>
      </c>
      <c r="B129" s="16" t="inlineStr">
        <is>
          <t>PO-128-00277070357113053</t>
        </is>
      </c>
      <c r="C129" s="16" t="inlineStr">
        <is>
          <t>Delivered</t>
        </is>
      </c>
      <c r="D129" s="16" t="inlineStr">
        <is>
          <t>128-00277112300153053</t>
        </is>
      </c>
      <c r="E129" s="16" t="inlineStr">
        <is>
          <t>Delivered</t>
        </is>
      </c>
      <c r="F129" s="16" t="inlineStr">
        <is>
          <t>LB02235-rojo</t>
        </is>
      </c>
      <c r="G129" s="16" t="inlineStr">
        <is>
          <t>Audífonos Inalámbricos para la Cabeza, Recargables y Multifuncionales - Conectan a Varios Dispositivos, soportan Radio FM, Tarjeta TF y AUX - 4 Horas de Reproducción Musical - Ideal para Trabajo Cotidiano, Juegos y Estudio</t>
        </is>
      </c>
      <c r="H129" s="16" t="inlineStr">
        <is>
          <t>ROJO</t>
        </is>
      </c>
      <c r="I129" s="16" t="n">
        <v>4</v>
      </c>
      <c r="J129" s="17" t="n">
        <v>150.84</v>
      </c>
      <c r="K129" s="17" t="n">
        <v>203.32</v>
      </c>
      <c r="L129" s="17" t="n">
        <v>25.88</v>
      </c>
      <c r="M129" s="17" t="n">
        <v>0</v>
      </c>
      <c r="N129" s="17">
        <f>K129*0.08+L129*0.08</f>
        <v/>
      </c>
      <c r="O129" s="17">
        <f>-(K129*0.025+L129*0.025)</f>
        <v/>
      </c>
      <c r="P129" s="17">
        <f>32</f>
        <v/>
      </c>
      <c r="Q129" s="17">
        <f>J129+L129+N129+O129-P129-M129</f>
        <v/>
      </c>
    </row>
    <row r="130">
      <c r="A130" s="16" t="inlineStr">
        <is>
          <t>5.1-5.7</t>
        </is>
      </c>
      <c r="B130" s="16" t="inlineStr">
        <is>
          <t>PO-128-00524980583030423</t>
        </is>
      </c>
      <c r="C130" s="16" t="inlineStr">
        <is>
          <t>Delivered</t>
        </is>
      </c>
      <c r="D130" s="16" t="inlineStr">
        <is>
          <t>128-00525085440630423</t>
        </is>
      </c>
      <c r="E130" s="16" t="inlineStr">
        <is>
          <t>Delivered</t>
        </is>
      </c>
      <c r="F130" s="16" t="inlineStr">
        <is>
          <t>LB02235-negro</t>
        </is>
      </c>
      <c r="G130" s="16" t="inlineStr">
        <is>
          <t>Audífonos Inalámbricos para la Cabeza, Recargables y Multifuncionales - Conectan a Varios Dispositivos, soportan Radio FM, Tarjeta TF y AUX - 4 Horas de Reproducción Musical - Ideal para Trabajo Cotidiano, Juegos y Estudio</t>
        </is>
      </c>
      <c r="H130" s="16" t="inlineStr">
        <is>
          <t>NEGRO</t>
        </is>
      </c>
      <c r="I130" s="16" t="n">
        <v>1</v>
      </c>
      <c r="J130" s="17" t="n">
        <v>37.71</v>
      </c>
      <c r="K130" s="17" t="n">
        <v>50.83</v>
      </c>
      <c r="L130" s="17" t="n">
        <v>25.86</v>
      </c>
      <c r="M130" s="17" t="n">
        <v>0</v>
      </c>
      <c r="N130" s="17">
        <f>K130*0.08+L130*0.08</f>
        <v/>
      </c>
      <c r="O130" s="17">
        <f>-(K130*0.025+L130*0.025)</f>
        <v/>
      </c>
      <c r="P130" s="17">
        <f>32</f>
        <v/>
      </c>
      <c r="Q130" s="17">
        <f>J130+L130+N130+O130-P130-M130</f>
        <v/>
      </c>
    </row>
    <row r="131">
      <c r="A131" s="16" t="inlineStr">
        <is>
          <t>5.1-5.7</t>
        </is>
      </c>
      <c r="B131" s="16" t="inlineStr">
        <is>
          <t>PO-128-00314633595512765</t>
        </is>
      </c>
      <c r="C131" s="16" t="inlineStr">
        <is>
          <t>Delivered</t>
        </is>
      </c>
      <c r="D131" s="16" t="inlineStr">
        <is>
          <t>128-00314675538552765</t>
        </is>
      </c>
      <c r="E131" s="16" t="inlineStr">
        <is>
          <t>Delivered</t>
        </is>
      </c>
      <c r="F131" s="16" t="inlineStr">
        <is>
          <t>LB02235-blanco</t>
        </is>
      </c>
      <c r="G131" s="16" t="inlineStr">
        <is>
          <t>Audífonos Inalámbricos para la Cabeza, Recargables y Multifuncionales - Conectan a Varios Dispositivos, soportan Radio FM, Tarjeta TF y AUX - 4 Horas de Reproducción Musical - Ideal para Trabajo Cotidiano, Juegos y Estudio</t>
        </is>
      </c>
      <c r="H131" s="16" t="inlineStr">
        <is>
          <t>BLANCO</t>
        </is>
      </c>
      <c r="I131" s="16" t="n">
        <v>1</v>
      </c>
      <c r="J131" s="17" t="n">
        <v>37.71</v>
      </c>
      <c r="K131" s="17" t="n">
        <v>50.83</v>
      </c>
      <c r="L131" s="17" t="n">
        <v>25.86</v>
      </c>
      <c r="M131" s="17" t="n">
        <v>1.21</v>
      </c>
      <c r="N131" s="17">
        <f>K131*0.08+L131*0.08</f>
        <v/>
      </c>
      <c r="O131" s="17">
        <f>-(K131*0.025+L131*0.025)</f>
        <v/>
      </c>
      <c r="P131" s="17">
        <f>32</f>
        <v/>
      </c>
      <c r="Q131" s="17">
        <f>J131+L131+N131+O131-P131-M131</f>
        <v/>
      </c>
    </row>
    <row r="132">
      <c r="A132" s="16" t="inlineStr">
        <is>
          <t>5.1-5.7</t>
        </is>
      </c>
      <c r="B132" s="16" t="inlineStr">
        <is>
          <t>PO-128-00624334449270791</t>
        </is>
      </c>
      <c r="C132" s="16" t="inlineStr">
        <is>
          <t>Delivered</t>
        </is>
      </c>
      <c r="D132" s="16" t="inlineStr">
        <is>
          <t>128-00624292506230791</t>
        </is>
      </c>
      <c r="E132" s="16" t="inlineStr">
        <is>
          <t>Delivered</t>
        </is>
      </c>
      <c r="F132" s="16" t="inlineStr">
        <is>
          <t>LV34W04</t>
        </is>
      </c>
      <c r="G13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32" s="16" t="inlineStr">
        <is>
          <t>LV34W04</t>
        </is>
      </c>
      <c r="I132" s="16" t="n">
        <v>1</v>
      </c>
      <c r="J132" s="17" t="n">
        <v>279</v>
      </c>
      <c r="K132" s="17" t="n">
        <v>315.63</v>
      </c>
      <c r="L132" s="17" t="n">
        <v>0</v>
      </c>
      <c r="M132" s="17" t="n">
        <v>0</v>
      </c>
      <c r="N132" s="17">
        <f>K132*0.08+L132*0.08</f>
        <v/>
      </c>
      <c r="O132" s="17">
        <f>-(K132*0.025+L132*0.025)</f>
        <v/>
      </c>
      <c r="P132" s="17">
        <f>32</f>
        <v/>
      </c>
      <c r="Q132" s="17">
        <f>J132+L132+N132+O132-P132-M132</f>
        <v/>
      </c>
    </row>
    <row r="133">
      <c r="A133" s="16" t="inlineStr">
        <is>
          <t>5.1-5.7</t>
        </is>
      </c>
      <c r="B133" s="16" t="inlineStr">
        <is>
          <t>PO-128-00349378161271468</t>
        </is>
      </c>
      <c r="C133" s="16" t="inlineStr">
        <is>
          <t>Delivered</t>
        </is>
      </c>
      <c r="D133" s="16" t="inlineStr">
        <is>
          <t>128-00349357189751468</t>
        </is>
      </c>
      <c r="E133" s="16" t="inlineStr">
        <is>
          <t>Delivered</t>
        </is>
      </c>
      <c r="F133" s="16" t="inlineStr">
        <is>
          <t>AIR50W06-2P</t>
        </is>
      </c>
      <c r="G133" s="16" t="inlineStr">
        <is>
          <t>Link Bits Ventilador de piso de 16 pulgadas, 2 unidades, 3 velocidades, motor silencioso, flujo de aire fuerte, altura ajustable, oscilación amplia, ventilador eléctrico para el hogar, ideal para sala, recámara y oficina</t>
        </is>
      </c>
      <c r="H133" s="16" t="inlineStr">
        <is>
          <t>2PZ</t>
        </is>
      </c>
      <c r="I133" s="16" t="n">
        <v>1</v>
      </c>
      <c r="J133" s="17" t="n">
        <v>440</v>
      </c>
      <c r="K133" s="17" t="n">
        <v>573.13</v>
      </c>
      <c r="L133" s="17" t="n">
        <v>0</v>
      </c>
      <c r="M133" s="17" t="n">
        <v>0</v>
      </c>
      <c r="N133" s="17">
        <f>K133*0.08+L133*0.08</f>
        <v/>
      </c>
      <c r="O133" s="17">
        <f>-(K133*0.025+L133*0.025)</f>
        <v/>
      </c>
      <c r="P133" s="17">
        <f>32</f>
        <v/>
      </c>
      <c r="Q133" s="17">
        <f>J133+L133+N133+O133-P133-M133</f>
        <v/>
      </c>
    </row>
    <row r="134">
      <c r="A134" s="16" t="inlineStr">
        <is>
          <t>5.1-5.7</t>
        </is>
      </c>
      <c r="B134" s="16" t="inlineStr">
        <is>
          <t>PO-128-00232775885432293</t>
        </is>
      </c>
      <c r="C134" s="16" t="inlineStr">
        <is>
          <t>Delivered</t>
        </is>
      </c>
      <c r="D134" s="16" t="inlineStr">
        <is>
          <t>128-00232765399672293</t>
        </is>
      </c>
      <c r="E134" s="16" t="inlineStr">
        <is>
          <t>Delivered</t>
        </is>
      </c>
      <c r="F134" s="16" t="inlineStr">
        <is>
          <t>MB-185R</t>
        </is>
      </c>
      <c r="G134" s="16" t="inlineStr">
        <is>
          <t>Bocina Radio FM/Reproductor, Compatible con Tarjeta TF, USB, Bluetooth, Aplicable para celular, computadora, Ipad y consola.</t>
        </is>
      </c>
      <c r="H134" s="16" t="inlineStr">
        <is>
          <t>ROJO/MB-185</t>
        </is>
      </c>
      <c r="I134" s="16" t="n">
        <v>1</v>
      </c>
      <c r="J134" s="17" t="n">
        <v>75.59999999999999</v>
      </c>
      <c r="K134" s="17" t="n">
        <v>88.55</v>
      </c>
      <c r="L134" s="17" t="n">
        <v>25.86</v>
      </c>
      <c r="M134" s="17" t="n">
        <v>0</v>
      </c>
      <c r="N134" s="17">
        <f>K134*0.08+L134*0.08</f>
        <v/>
      </c>
      <c r="O134" s="17">
        <f>-(K134*0.025+L134*0.025)</f>
        <v/>
      </c>
      <c r="P134" s="17">
        <f>32</f>
        <v/>
      </c>
      <c r="Q134" s="17">
        <f>J134+L134+N134+O134-P134-M134</f>
        <v/>
      </c>
    </row>
    <row r="135">
      <c r="A135" s="16" t="inlineStr">
        <is>
          <t>5.1-5.7</t>
        </is>
      </c>
      <c r="B135" s="16" t="inlineStr">
        <is>
          <t>PO-128-00107566520953871</t>
        </is>
      </c>
      <c r="C135" s="16" t="inlineStr">
        <is>
          <t>Delivered</t>
        </is>
      </c>
      <c r="D135" s="16" t="inlineStr">
        <is>
          <t>128-00107587492473871</t>
        </is>
      </c>
      <c r="E135" s="16" t="inlineStr">
        <is>
          <t>Delivered</t>
        </is>
      </c>
      <c r="F135" s="16" t="inlineStr">
        <is>
          <t>LV34W04</t>
        </is>
      </c>
      <c r="G13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35" s="16" t="inlineStr">
        <is>
          <t>LV34W04</t>
        </is>
      </c>
      <c r="I135" s="16" t="n">
        <v>1</v>
      </c>
      <c r="J135" s="17" t="n">
        <v>279</v>
      </c>
      <c r="K135" s="17" t="n">
        <v>315.63</v>
      </c>
      <c r="L135" s="17" t="n">
        <v>0</v>
      </c>
      <c r="M135" s="17" t="n">
        <v>36.82</v>
      </c>
      <c r="N135" s="17">
        <f>K135*0.08+L135*0.08</f>
        <v/>
      </c>
      <c r="O135" s="17">
        <f>-(K135*0.025+L135*0.025)</f>
        <v/>
      </c>
      <c r="P135" s="17">
        <f>32</f>
        <v/>
      </c>
      <c r="Q135" s="17">
        <f>J135+L135+N135+O135-P135-M135</f>
        <v/>
      </c>
    </row>
    <row r="136">
      <c r="A136" s="16" t="inlineStr">
        <is>
          <t>5.1-5.7</t>
        </is>
      </c>
      <c r="B136" s="16" t="inlineStr">
        <is>
          <t>PO-128-00546104873590297</t>
        </is>
      </c>
      <c r="C136" s="16" t="inlineStr">
        <is>
          <t>Delivered</t>
        </is>
      </c>
      <c r="D136" s="16" t="inlineStr">
        <is>
          <t>128-00546256917110297</t>
        </is>
      </c>
      <c r="E136" s="16" t="inlineStr">
        <is>
          <t>Delivered</t>
        </is>
      </c>
      <c r="F136" s="16" t="inlineStr">
        <is>
          <t>LV25W22</t>
        </is>
      </c>
      <c r="G13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6" s="16" t="inlineStr">
        <is>
          <t>LV25W32</t>
        </is>
      </c>
      <c r="I136" s="16" t="n">
        <v>1</v>
      </c>
      <c r="J136" s="17" t="n">
        <v>97</v>
      </c>
      <c r="K136" s="17" t="n">
        <v>107.43</v>
      </c>
      <c r="L136" s="17" t="n">
        <v>25.86</v>
      </c>
      <c r="M136" s="17" t="n">
        <v>0.02</v>
      </c>
      <c r="N136" s="17">
        <f>K136*0.08+L136*0.08</f>
        <v/>
      </c>
      <c r="O136" s="17">
        <f>-(K136*0.025+L136*0.025)</f>
        <v/>
      </c>
      <c r="P136" s="17">
        <f>32</f>
        <v/>
      </c>
      <c r="Q136" s="17">
        <f>J136+L136+N136+O136-P136-M136</f>
        <v/>
      </c>
    </row>
    <row r="137">
      <c r="A137" s="16" t="inlineStr">
        <is>
          <t>5.1-5.7</t>
        </is>
      </c>
      <c r="B137" s="16" t="inlineStr">
        <is>
          <t>PO-128-00636144722550849</t>
        </is>
      </c>
      <c r="C137" s="16" t="inlineStr">
        <is>
          <t>Delivered</t>
        </is>
      </c>
      <c r="D137" s="16" t="inlineStr">
        <is>
          <t>128-00636123751030849</t>
        </is>
      </c>
      <c r="E137" s="16" t="inlineStr">
        <is>
          <t>Delivered</t>
        </is>
      </c>
      <c r="F137" s="16" t="inlineStr">
        <is>
          <t>MCM-001G</t>
        </is>
      </c>
      <c r="G137" s="16" t="inlineStr">
        <is>
          <t>Musicord Altavoz Inalámbrico BT Portátil: ¡Sonido impactante, luces LED multicolores y 4 horas de autonomía! Compatible con TWS, FM, TF y USB – Imprescindible para fiestas y viajes</t>
        </is>
      </c>
      <c r="H137" s="16" t="inlineStr">
        <is>
          <t>GRIS</t>
        </is>
      </c>
      <c r="I137" s="16" t="n">
        <v>1</v>
      </c>
      <c r="J137" s="17" t="n">
        <v>51.07</v>
      </c>
      <c r="K137" s="17" t="n">
        <v>62.36</v>
      </c>
      <c r="L137" s="17" t="n">
        <v>25.86</v>
      </c>
      <c r="M137" s="17" t="n">
        <v>0</v>
      </c>
      <c r="N137" s="17">
        <f>K137*0.08+L137*0.08</f>
        <v/>
      </c>
      <c r="O137" s="17">
        <f>-(K137*0.025+L137*0.025)</f>
        <v/>
      </c>
      <c r="P137" s="17">
        <f>32</f>
        <v/>
      </c>
      <c r="Q137" s="17">
        <f>J137+L137+N137+O137-P137-M137</f>
        <v/>
      </c>
    </row>
    <row r="138">
      <c r="A138" s="16" t="inlineStr">
        <is>
          <t>5.1-5.7</t>
        </is>
      </c>
      <c r="B138" s="16" t="inlineStr">
        <is>
          <t>PO-128-00655587605110733</t>
        </is>
      </c>
      <c r="C138" s="16" t="inlineStr">
        <is>
          <t>Delivered</t>
        </is>
      </c>
      <c r="D138" s="16" t="inlineStr">
        <is>
          <t>128-00655640033910733</t>
        </is>
      </c>
      <c r="E138" s="16" t="inlineStr">
        <is>
          <t>Delivered</t>
        </is>
      </c>
      <c r="F138" s="16" t="inlineStr">
        <is>
          <t>LB02235-rojo</t>
        </is>
      </c>
      <c r="G138" s="16" t="inlineStr">
        <is>
          <t>Audífonos Inalámbricos para la Cabeza, Recargables y Multifuncionales - Conectan a Varios Dispositivos, soportan Radio FM, Tarjeta TF y AUX - 4 Horas de Reproducción Musical - Ideal para Trabajo Cotidiano, Juegos y Estudio</t>
        </is>
      </c>
      <c r="H138" s="16" t="inlineStr">
        <is>
          <t>ROJO</t>
        </is>
      </c>
      <c r="I138" s="16" t="n">
        <v>1</v>
      </c>
      <c r="J138" s="17" t="n">
        <v>37.71</v>
      </c>
      <c r="K138" s="17" t="n">
        <v>50.83</v>
      </c>
      <c r="L138" s="17" t="n">
        <v>25.86</v>
      </c>
      <c r="M138" s="17" t="n">
        <v>0</v>
      </c>
      <c r="N138" s="17">
        <f>K138*0.08+L138*0.08</f>
        <v/>
      </c>
      <c r="O138" s="17">
        <f>-(K138*0.025+L138*0.025)</f>
        <v/>
      </c>
      <c r="P138" s="17">
        <f>32</f>
        <v/>
      </c>
      <c r="Q138" s="17">
        <f>J138+L138+N138+O138-P138-M138</f>
        <v/>
      </c>
    </row>
    <row r="139">
      <c r="A139" s="16" t="inlineStr">
        <is>
          <t>5.1-5.7</t>
        </is>
      </c>
      <c r="B139" s="16" t="inlineStr">
        <is>
          <t>PO-128-00431153316471943</t>
        </is>
      </c>
      <c r="C139" s="16" t="inlineStr">
        <is>
          <t>Delivered</t>
        </is>
      </c>
      <c r="D139" s="16" t="inlineStr">
        <is>
          <t>128-00431111373431943</t>
        </is>
      </c>
      <c r="E139" s="16" t="inlineStr">
        <is>
          <t>Delivered</t>
        </is>
      </c>
      <c r="F139" s="16" t="inlineStr">
        <is>
          <t>MCM-001G</t>
        </is>
      </c>
      <c r="G139" s="16" t="inlineStr">
        <is>
          <t>Musicord Altavoz Inalámbrico BT Portátil: ¡Sonido impactante, luces LED multicolores y 4 horas de autonomía! Compatible con TWS, FM, TF y USB – Imprescindible para fiestas y viajes</t>
        </is>
      </c>
      <c r="H139" s="16" t="inlineStr">
        <is>
          <t>GRIS</t>
        </is>
      </c>
      <c r="I139" s="16" t="n">
        <v>1</v>
      </c>
      <c r="J139" s="17" t="n">
        <v>51.07</v>
      </c>
      <c r="K139" s="17" t="n">
        <v>49.89</v>
      </c>
      <c r="L139" s="17" t="n">
        <v>25.86</v>
      </c>
      <c r="M139" s="17" t="n">
        <v>0</v>
      </c>
      <c r="N139" s="17">
        <f>K139*0.08+L139*0.08</f>
        <v/>
      </c>
      <c r="O139" s="17">
        <f>-(K139*0.025+L139*0.025)</f>
        <v/>
      </c>
      <c r="P139" s="17">
        <f>32</f>
        <v/>
      </c>
      <c r="Q139" s="17">
        <f>J139+L139+N139+O139-P139-M139</f>
        <v/>
      </c>
    </row>
    <row r="140">
      <c r="A140" s="16" t="inlineStr">
        <is>
          <t>5.1-5.7</t>
        </is>
      </c>
      <c r="B140" s="16" t="inlineStr">
        <is>
          <t>PO-128-00048409754233262</t>
        </is>
      </c>
      <c r="C140" s="16" t="inlineStr">
        <is>
          <t>Delivered</t>
        </is>
      </c>
      <c r="D140" s="16" t="inlineStr">
        <is>
          <t>128-00048435968633262</t>
        </is>
      </c>
      <c r="E140" s="16" t="inlineStr">
        <is>
          <t>Delivered</t>
        </is>
      </c>
      <c r="F140" s="16" t="inlineStr">
        <is>
          <t>LB02235-blanco</t>
        </is>
      </c>
      <c r="G140" s="16" t="inlineStr">
        <is>
          <t>Audífonos Inalámbricos para la Cabeza, Recargables y Multifuncionales - Conectan a Varios Dispositivos, soportan Radio FM, Tarjeta TF y AUX - 4 Horas de Reproducción Musical - Ideal para Trabajo Cotidiano, Juegos y Estudio</t>
        </is>
      </c>
      <c r="H140" s="16" t="inlineStr">
        <is>
          <t>BLANCO</t>
        </is>
      </c>
      <c r="I140" s="16" t="n">
        <v>1</v>
      </c>
      <c r="J140" s="17" t="n">
        <v>37.71</v>
      </c>
      <c r="K140" s="17" t="n">
        <v>50.83</v>
      </c>
      <c r="L140" s="17" t="n">
        <v>25.86</v>
      </c>
      <c r="M140" s="17" t="n">
        <v>0</v>
      </c>
      <c r="N140" s="17">
        <f>K140*0.08+L140*0.08</f>
        <v/>
      </c>
      <c r="O140" s="17">
        <f>-(K140*0.025+L140*0.025)</f>
        <v/>
      </c>
      <c r="P140" s="17">
        <f>32</f>
        <v/>
      </c>
      <c r="Q140" s="17">
        <f>J140+L140+N140+O140-P140-M140</f>
        <v/>
      </c>
    </row>
    <row r="141">
      <c r="A141" s="16" t="inlineStr">
        <is>
          <t>5.1-5.7</t>
        </is>
      </c>
      <c r="B141" s="16" t="inlineStr">
        <is>
          <t>PO-128-00075730657913165</t>
        </is>
      </c>
      <c r="C141" s="16" t="inlineStr">
        <is>
          <t>Delivered</t>
        </is>
      </c>
      <c r="D141" s="16" t="inlineStr">
        <is>
          <t>128-00075709686393165</t>
        </is>
      </c>
      <c r="E141" s="16" t="inlineStr">
        <is>
          <t>Delivered</t>
        </is>
      </c>
      <c r="F141" s="16" t="inlineStr">
        <is>
          <t>MB-185N</t>
        </is>
      </c>
      <c r="G141" s="16" t="inlineStr">
        <is>
          <t>Bocina Radio FM/Reproductor, Compatible con Tarjeta TF, USB, Bluetooth, Aplicable para celular, computadora, Ipad y consola.</t>
        </is>
      </c>
      <c r="H141" s="16" t="inlineStr">
        <is>
          <t>NEGRO/MB-185</t>
        </is>
      </c>
      <c r="I141" s="16" t="n">
        <v>1</v>
      </c>
      <c r="J141" s="17" t="n">
        <v>75.5</v>
      </c>
      <c r="K141" s="17" t="n">
        <v>88.45999999999999</v>
      </c>
      <c r="L141" s="17" t="n">
        <v>25.86</v>
      </c>
      <c r="M141" s="17" t="n">
        <v>0</v>
      </c>
      <c r="N141" s="17">
        <f>K141*0.08+L141*0.08</f>
        <v/>
      </c>
      <c r="O141" s="17">
        <f>-(K141*0.025+L141*0.025)</f>
        <v/>
      </c>
      <c r="P141" s="17">
        <f>32</f>
        <v/>
      </c>
      <c r="Q141" s="17">
        <f>J141+L141+N141+O141-P141-M141</f>
        <v/>
      </c>
    </row>
    <row r="142">
      <c r="A142" s="16" t="inlineStr">
        <is>
          <t>5.1-5.7</t>
        </is>
      </c>
      <c r="B142" s="16" t="inlineStr">
        <is>
          <t>PO-128-00248409600632134</t>
        </is>
      </c>
      <c r="C142" s="16" t="inlineStr">
        <is>
          <t>Delivered</t>
        </is>
      </c>
      <c r="D142" s="16" t="inlineStr">
        <is>
          <t>128-00248430572152134</t>
        </is>
      </c>
      <c r="E142" s="16" t="inlineStr">
        <is>
          <t>Delivered</t>
        </is>
      </c>
      <c r="F142" s="16" t="inlineStr">
        <is>
          <t>MCM-001R</t>
        </is>
      </c>
      <c r="G142" s="16" t="inlineStr">
        <is>
          <t>Musicord Altavoz Inalámbrico BT Portátil: ¡Sonido impactante, luces LED multicolores y 4 horas de autonomía! Compatible con TWS, FM, TF y USB – Imprescindible para fiestas y viajes</t>
        </is>
      </c>
      <c r="H142" s="16" t="inlineStr">
        <is>
          <t>ROJO</t>
        </is>
      </c>
      <c r="I142" s="16" t="n">
        <v>1</v>
      </c>
      <c r="J142" s="17" t="n">
        <v>66.5</v>
      </c>
      <c r="K142" s="17" t="n">
        <v>62.24</v>
      </c>
      <c r="L142" s="17" t="n">
        <v>25.86</v>
      </c>
      <c r="M142" s="17" t="n">
        <v>0</v>
      </c>
      <c r="N142" s="17">
        <f>K142*0.08+L142*0.08</f>
        <v/>
      </c>
      <c r="O142" s="17">
        <f>-(K142*0.025+L142*0.025)</f>
        <v/>
      </c>
      <c r="P142" s="17">
        <f>32</f>
        <v/>
      </c>
      <c r="Q142" s="17">
        <f>J142+L142+N142+O142-P142-M142</f>
        <v/>
      </c>
    </row>
    <row r="143">
      <c r="A143" s="16" t="inlineStr">
        <is>
          <t>5.1-5.7</t>
        </is>
      </c>
      <c r="B143" s="16" t="inlineStr">
        <is>
          <t>PO-128-00144042127993780</t>
        </is>
      </c>
      <c r="C143" s="16" t="inlineStr">
        <is>
          <t>Delivered</t>
        </is>
      </c>
      <c r="D143" s="16" t="inlineStr">
        <is>
          <t>128-00144110285433780</t>
        </is>
      </c>
      <c r="E143" s="16" t="inlineStr">
        <is>
          <t>Delivered</t>
        </is>
      </c>
      <c r="F143" s="16" t="inlineStr">
        <is>
          <t>KTS-1678V</t>
        </is>
      </c>
      <c r="G143" s="16" t="inlineStr">
        <is>
          <t>Bocina portátil Inalámbrico, de 3 pulgadas, tamaño de bolsillo, 170 g, con asa, compatible con TF, USB y Micro SD, con radio FM y función TWS (True Wireless Stereo), adecuada para relajarse en casa o viajar al aire libre.</t>
        </is>
      </c>
      <c r="H143" s="16" t="inlineStr">
        <is>
          <t>KTS-1678V</t>
        </is>
      </c>
      <c r="I143" s="16" t="n">
        <v>1</v>
      </c>
      <c r="J143" s="17" t="n">
        <v>42.5</v>
      </c>
      <c r="K143" s="17" t="n">
        <v>39.71</v>
      </c>
      <c r="L143" s="17" t="n">
        <v>25.86</v>
      </c>
      <c r="M143" s="17" t="n">
        <v>0</v>
      </c>
      <c r="N143" s="17">
        <f>K143*0.08+L143*0.08</f>
        <v/>
      </c>
      <c r="O143" s="17">
        <f>-(K143*0.025+L143*0.025)</f>
        <v/>
      </c>
      <c r="P143" s="17">
        <f>32</f>
        <v/>
      </c>
      <c r="Q143" s="17">
        <f>J143+L143+N143+O143-P143-M143</f>
        <v/>
      </c>
    </row>
    <row r="144">
      <c r="A144" s="16" t="inlineStr">
        <is>
          <t>5.1-5.7</t>
        </is>
      </c>
      <c r="B144" s="16" t="inlineStr">
        <is>
          <t>PO-128-00066627144313091</t>
        </is>
      </c>
      <c r="C144" s="16" t="inlineStr">
        <is>
          <t>Delivered</t>
        </is>
      </c>
      <c r="D144" s="16" t="inlineStr">
        <is>
          <t>128-00066647132793091</t>
        </is>
      </c>
      <c r="E144" s="16" t="inlineStr">
        <is>
          <t>Delivered</t>
        </is>
      </c>
      <c r="F144" s="16" t="inlineStr">
        <is>
          <t>MCM-001N</t>
        </is>
      </c>
      <c r="G144" s="16" t="inlineStr">
        <is>
          <t>Musicord Altavoz Inalámbrico BT Portátil: ¡Sonido impactante, luces LED multicolores y 4 horas de autonomía! Compatible con TWS, FM, TF y USB – Imprescindible para fiestas y viajes</t>
        </is>
      </c>
      <c r="H144" s="16" t="inlineStr">
        <is>
          <t>NEGRO</t>
        </is>
      </c>
      <c r="I144" s="16" t="n">
        <v>1</v>
      </c>
      <c r="J144" s="17" t="n">
        <v>61</v>
      </c>
      <c r="K144" s="17" t="n">
        <v>66.75</v>
      </c>
      <c r="L144" s="17" t="n">
        <v>25.86</v>
      </c>
      <c r="M144" s="17" t="n">
        <v>0</v>
      </c>
      <c r="N144" s="17">
        <f>K144*0.08+L144*0.08</f>
        <v/>
      </c>
      <c r="O144" s="17">
        <f>-(K144*0.025+L144*0.025)</f>
        <v/>
      </c>
      <c r="P144" s="17">
        <f>32</f>
        <v/>
      </c>
      <c r="Q144" s="17">
        <f>J144+L144+N144+O144-P144-M144</f>
        <v/>
      </c>
    </row>
    <row r="145">
      <c r="A145" s="16" t="inlineStr">
        <is>
          <t>5.1-5.7</t>
        </is>
      </c>
      <c r="B145" s="16" t="inlineStr">
        <is>
          <t>PO-128-00490489651831781</t>
        </is>
      </c>
      <c r="C145" s="16" t="inlineStr">
        <is>
          <t>Delivered</t>
        </is>
      </c>
      <c r="D145" s="16" t="inlineStr">
        <is>
          <t>128-00490557809271781</t>
        </is>
      </c>
      <c r="E145" s="16" t="inlineStr">
        <is>
          <t>Delivered</t>
        </is>
      </c>
      <c r="F145" s="16" t="inlineStr">
        <is>
          <t>MCM-001R</t>
        </is>
      </c>
      <c r="G145" s="16" t="inlineStr">
        <is>
          <t>Musicord Altavoz Inalámbrico BT Portátil: ¡Sonido impactante, luces LED multicolores y 4 horas de autonomía! Compatible con TWS, FM, TF y USB – Imprescindible para fiestas y viajes</t>
        </is>
      </c>
      <c r="H145" s="16" t="inlineStr">
        <is>
          <t>ROJO</t>
        </is>
      </c>
      <c r="I145" s="16" t="n">
        <v>1</v>
      </c>
      <c r="J145" s="17" t="n">
        <v>66.5</v>
      </c>
      <c r="K145" s="17" t="n">
        <v>34.69</v>
      </c>
      <c r="L145" s="17" t="n">
        <v>25.86</v>
      </c>
      <c r="M145" s="17" t="n">
        <v>0</v>
      </c>
      <c r="N145" s="17">
        <f>K145*0.08+L145*0.08</f>
        <v/>
      </c>
      <c r="O145" s="17">
        <f>-(K145*0.025+L145*0.025)</f>
        <v/>
      </c>
      <c r="P145" s="17">
        <f>32</f>
        <v/>
      </c>
      <c r="Q145" s="17">
        <f>J145+L145+N145+O145-P145-M145</f>
        <v/>
      </c>
    </row>
    <row r="146">
      <c r="A146" s="16" t="inlineStr">
        <is>
          <t>5.1-5.7</t>
        </is>
      </c>
      <c r="B146" s="16" t="inlineStr">
        <is>
          <t>PO-128-00630507018870816</t>
        </is>
      </c>
      <c r="C146" s="16" t="inlineStr">
        <is>
          <t>Delivered</t>
        </is>
      </c>
      <c r="D146" s="16" t="inlineStr">
        <is>
          <t>128-00630517504630816</t>
        </is>
      </c>
      <c r="E146" s="16" t="inlineStr">
        <is>
          <t>Delivered</t>
        </is>
      </c>
      <c r="F146" s="16" t="inlineStr">
        <is>
          <t>LV25W22</t>
        </is>
      </c>
      <c r="G1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6" s="16" t="inlineStr">
        <is>
          <t>LV25W32</t>
        </is>
      </c>
      <c r="I146" s="16" t="n">
        <v>2</v>
      </c>
      <c r="J146" s="17" t="n">
        <v>194</v>
      </c>
      <c r="K146" s="17" t="n">
        <v>190.06</v>
      </c>
      <c r="L146" s="17" t="n">
        <v>25.86</v>
      </c>
      <c r="M146" s="17" t="n">
        <v>0</v>
      </c>
      <c r="N146" s="17">
        <f>K146*0.08+L146*0.08</f>
        <v/>
      </c>
      <c r="O146" s="17">
        <f>-(K146*0.025+L146*0.025)</f>
        <v/>
      </c>
      <c r="P146" s="17">
        <f>32</f>
        <v/>
      </c>
      <c r="Q146" s="17">
        <f>J146+L146+N146+O146-P146-M146</f>
        <v/>
      </c>
    </row>
    <row r="147">
      <c r="A147" s="16" t="inlineStr">
        <is>
          <t>5.1-5.7</t>
        </is>
      </c>
      <c r="B147" s="16" t="inlineStr">
        <is>
          <t>PO-128-00505811374711624</t>
        </is>
      </c>
      <c r="C147" s="16" t="inlineStr">
        <is>
          <t>Delivered</t>
        </is>
      </c>
      <c r="D147" s="16" t="inlineStr">
        <is>
          <t>128-00505769431671624</t>
        </is>
      </c>
      <c r="E147" s="16" t="inlineStr">
        <is>
          <t>Delivered</t>
        </is>
      </c>
      <c r="F147" s="16" t="inlineStr">
        <is>
          <t>LB02235-blanco</t>
        </is>
      </c>
      <c r="G147" s="16" t="inlineStr">
        <is>
          <t>Audífonos Inalámbricos para la Cabeza, Recargables y Multifuncionales - Conectan a Varios Dispositivos, soportan Radio FM, Tarjeta TF y AUX - 4 Horas de Reproducción Musical - Ideal para Trabajo Cotidiano, Juegos y Estudio</t>
        </is>
      </c>
      <c r="H147" s="16" t="inlineStr">
        <is>
          <t>BLANCO</t>
        </is>
      </c>
      <c r="I147" s="16" t="n">
        <v>1</v>
      </c>
      <c r="J147" s="17" t="n">
        <v>37.71</v>
      </c>
      <c r="K147" s="17" t="n">
        <v>7.73</v>
      </c>
      <c r="L147" s="17" t="n">
        <v>25.86</v>
      </c>
      <c r="M147" s="17" t="n">
        <v>0</v>
      </c>
      <c r="N147" s="17">
        <f>K147*0.08+L147*0.08</f>
        <v/>
      </c>
      <c r="O147" s="17">
        <f>-(K147*0.025+L147*0.025)</f>
        <v/>
      </c>
      <c r="P147" s="17">
        <f>32</f>
        <v/>
      </c>
      <c r="Q147" s="17">
        <f>J147+L147+N147+O147-P147-M147</f>
        <v/>
      </c>
    </row>
    <row r="148">
      <c r="A148" s="16" t="inlineStr">
        <is>
          <t>5.1-5.7</t>
        </is>
      </c>
      <c r="B148" s="16" t="inlineStr">
        <is>
          <t>PO-128-00101945764474033</t>
        </is>
      </c>
      <c r="C148" s="16" t="inlineStr">
        <is>
          <t>Delivered</t>
        </is>
      </c>
      <c r="D148" s="16" t="inlineStr">
        <is>
          <t>128-00101895957114033</t>
        </is>
      </c>
      <c r="E148" s="16" t="inlineStr">
        <is>
          <t>Delivered</t>
        </is>
      </c>
      <c r="F148" s="16" t="inlineStr">
        <is>
          <t>BS-22</t>
        </is>
      </c>
      <c r="G148" s="16" t="inlineStr">
        <is>
          <t>link bits Barra de Sonido para TV, 2x2" Altavoces + 2 Membranas de Graves, Sonido Claro ≥80dB, Bluetooth Inalámbrico, Conexiones AUX/USB, Diseño Compacto 76cm, Sonido Envolvente 3D para Cine en Casa, PC, Juegos y Fiestas</t>
        </is>
      </c>
      <c r="H148" s="16" t="inlineStr">
        <is>
          <t>BS-22</t>
        </is>
      </c>
      <c r="I148" s="16" t="n">
        <v>1</v>
      </c>
      <c r="J148" s="17" t="n">
        <v>260</v>
      </c>
      <c r="K148" s="17" t="n">
        <v>299.61</v>
      </c>
      <c r="L148" s="17" t="n">
        <v>0</v>
      </c>
      <c r="M148" s="17" t="n">
        <v>0</v>
      </c>
      <c r="N148" s="17">
        <f>K148*0.08+L148*0.08</f>
        <v/>
      </c>
      <c r="O148" s="17">
        <f>-(K148*0.025+L148*0.025)</f>
        <v/>
      </c>
      <c r="P148" s="17">
        <f>32</f>
        <v/>
      </c>
      <c r="Q148" s="17">
        <f>J148+L148+N148+O148-P148-M148</f>
        <v/>
      </c>
    </row>
    <row r="149">
      <c r="A149" s="16" t="inlineStr">
        <is>
          <t>5.1-5.7</t>
        </is>
      </c>
      <c r="B149" s="16" t="inlineStr">
        <is>
          <t>PO-128-00588844165750043</t>
        </is>
      </c>
      <c r="C149" s="16" t="inlineStr">
        <is>
          <t>Delivered</t>
        </is>
      </c>
      <c r="D149" s="16" t="inlineStr">
        <is>
          <t>128-00588802222710043</t>
        </is>
      </c>
      <c r="E149" s="16" t="inlineStr">
        <is>
          <t>Delivered</t>
        </is>
      </c>
      <c r="F149" s="16" t="inlineStr">
        <is>
          <t>SA325T</t>
        </is>
      </c>
      <c r="G149" s="16" t="inlineStr">
        <is>
          <t>Subwoofer Portátil Inalámbrico con Luces RGB, Sonido de Alta Potencia y Batería Duradera, TWS TF USB, Perfecto para Campamento Fiestas y Entretenimiento en Casa</t>
        </is>
      </c>
      <c r="H149" s="16" t="inlineStr">
        <is>
          <t>NEGRO</t>
        </is>
      </c>
      <c r="I149" s="16" t="n">
        <v>1</v>
      </c>
      <c r="J149" s="17" t="n">
        <v>37.99</v>
      </c>
      <c r="K149" s="17" t="n">
        <v>3.94</v>
      </c>
      <c r="L149" s="17" t="n">
        <v>25.86</v>
      </c>
      <c r="M149" s="17" t="n">
        <v>0</v>
      </c>
      <c r="N149" s="17">
        <f>K149*0.08+L149*0.08</f>
        <v/>
      </c>
      <c r="O149" s="17">
        <f>-(K149*0.025+L149*0.025)</f>
        <v/>
      </c>
      <c r="P149" s="17">
        <f>32</f>
        <v/>
      </c>
      <c r="Q149" s="17">
        <f>J149+L149+N149+O149-P149-M149</f>
        <v/>
      </c>
    </row>
    <row r="150">
      <c r="A150" s="16" t="inlineStr">
        <is>
          <t>5.1-5.7</t>
        </is>
      </c>
      <c r="B150" s="16" t="inlineStr">
        <is>
          <t>PO-128-00519548078710390</t>
        </is>
      </c>
      <c r="C150" s="16" t="inlineStr">
        <is>
          <t>Delivered</t>
        </is>
      </c>
      <c r="D150" s="16" t="inlineStr">
        <is>
          <t>128-00519558564470390</t>
        </is>
      </c>
      <c r="E150" s="16" t="inlineStr">
        <is>
          <t>Delivered</t>
        </is>
      </c>
      <c r="F150" s="16" t="inlineStr">
        <is>
          <t>LB02235-rojo</t>
        </is>
      </c>
      <c r="G150" s="16" t="inlineStr">
        <is>
          <t>Audífonos Inalámbricos para la Cabeza, Recargables y Multifuncionales - Conectan a Varios Dispositivos, soportan Radio FM, Tarjeta TF y AUX - 4 Horas de Reproducción Musical - Ideal para Trabajo Cotidiano, Juegos y Estudio</t>
        </is>
      </c>
      <c r="H150" s="16" t="inlineStr">
        <is>
          <t>ROJO</t>
        </is>
      </c>
      <c r="I150" s="16" t="n">
        <v>1</v>
      </c>
      <c r="J150" s="17" t="n">
        <v>37.71</v>
      </c>
      <c r="K150" s="17" t="n">
        <v>50.83</v>
      </c>
      <c r="L150" s="17" t="n">
        <v>25.86</v>
      </c>
      <c r="M150" s="17" t="n">
        <v>0</v>
      </c>
      <c r="N150" s="17">
        <f>K150*0.08+L150*0.08</f>
        <v/>
      </c>
      <c r="O150" s="17">
        <f>-(K150*0.025+L150*0.025)</f>
        <v/>
      </c>
      <c r="P150" s="17">
        <f>32</f>
        <v/>
      </c>
      <c r="Q150" s="17">
        <f>J150+L150+N150+O150-P150-M150</f>
        <v/>
      </c>
    </row>
    <row r="151">
      <c r="A151" s="16" t="inlineStr">
        <is>
          <t>5.1-5.7</t>
        </is>
      </c>
      <c r="B151" s="16" t="inlineStr">
        <is>
          <t>PO-128-00678468495990597</t>
        </is>
      </c>
      <c r="C151" s="16" t="inlineStr">
        <is>
          <t>Delivered</t>
        </is>
      </c>
      <c r="D151" s="16" t="inlineStr">
        <is>
          <t>128-00678458010230597</t>
        </is>
      </c>
      <c r="E151" s="16" t="inlineStr">
        <is>
          <t>Delivered</t>
        </is>
      </c>
      <c r="F151" s="16" t="inlineStr">
        <is>
          <t>LB02235-negro</t>
        </is>
      </c>
      <c r="G151" s="16" t="inlineStr">
        <is>
          <t>Audífonos Inalámbricos para la Cabeza, Recargables y Multifuncionales - Conectan a Varios Dispositivos, soportan Radio FM, Tarjeta TF y AUX - 4 Horas de Reproducción Musical - Ideal para Trabajo Cotidiano, Juegos y Estudio</t>
        </is>
      </c>
      <c r="H151" s="16" t="inlineStr">
        <is>
          <t>NEGRO</t>
        </is>
      </c>
      <c r="I151" s="16" t="n">
        <v>2</v>
      </c>
      <c r="J151" s="17" t="n">
        <v>75.42</v>
      </c>
      <c r="K151" s="17" t="n">
        <v>55.56</v>
      </c>
      <c r="L151" s="17" t="n">
        <v>25.86</v>
      </c>
      <c r="M151" s="17" t="n">
        <v>0</v>
      </c>
      <c r="N151" s="17">
        <f>K151*0.08+L151*0.08</f>
        <v/>
      </c>
      <c r="O151" s="17">
        <f>-(K151*0.025+L151*0.025)</f>
        <v/>
      </c>
      <c r="P151" s="17">
        <f>32</f>
        <v/>
      </c>
      <c r="Q151" s="17">
        <f>J151+L151+N151+O151-P151-M151</f>
        <v/>
      </c>
    </row>
    <row r="152">
      <c r="A152" s="16" t="inlineStr">
        <is>
          <t>5.1-5.7</t>
        </is>
      </c>
      <c r="B152" s="16" t="inlineStr">
        <is>
          <t>PO-128-00137082962553759</t>
        </is>
      </c>
      <c r="C152" s="16" t="inlineStr">
        <is>
          <t>Delivered</t>
        </is>
      </c>
      <c r="D152" s="16" t="inlineStr">
        <is>
          <t>128-00137135391353759</t>
        </is>
      </c>
      <c r="E152" s="16" t="inlineStr">
        <is>
          <t>Delivered</t>
        </is>
      </c>
      <c r="F152" s="16" t="inlineStr">
        <is>
          <t>MCM-001N</t>
        </is>
      </c>
      <c r="G152" s="16" t="inlineStr">
        <is>
          <t>Musicord Altavoz Inalámbrico BT Portátil: ¡Sonido impactante, luces LED multicolores y 4 horas de autonomía! Compatible con TWS, FM, TF y USB – Imprescindible para fiestas y viajes</t>
        </is>
      </c>
      <c r="H152" s="16" t="inlineStr">
        <is>
          <t>NEGRO</t>
        </is>
      </c>
      <c r="I152" s="16" t="n">
        <v>1</v>
      </c>
      <c r="J152" s="17" t="n">
        <v>61</v>
      </c>
      <c r="K152" s="17" t="n">
        <v>72.29000000000001</v>
      </c>
      <c r="L152" s="17" t="n">
        <v>25.86</v>
      </c>
      <c r="M152" s="17" t="n">
        <v>0</v>
      </c>
      <c r="N152" s="17">
        <f>K152*0.08+L152*0.08</f>
        <v/>
      </c>
      <c r="O152" s="17">
        <f>-(K152*0.025+L152*0.025)</f>
        <v/>
      </c>
      <c r="P152" s="17">
        <f>32</f>
        <v/>
      </c>
      <c r="Q152" s="17">
        <f>J152+L152+N152+O152-P152-M152</f>
        <v/>
      </c>
    </row>
    <row r="153">
      <c r="A153" s="16" t="inlineStr">
        <is>
          <t>5.1-5.7</t>
        </is>
      </c>
      <c r="B153" s="16" t="inlineStr">
        <is>
          <t>PO-128-00412979620471027</t>
        </is>
      </c>
      <c r="C153" s="16" t="inlineStr">
        <is>
          <t>Delivered</t>
        </is>
      </c>
      <c r="D153" s="16" t="inlineStr">
        <is>
          <t>128-00413047777911027</t>
        </is>
      </c>
      <c r="E153" s="16" t="inlineStr">
        <is>
          <t>Delivered</t>
        </is>
      </c>
      <c r="F153" s="16" t="inlineStr">
        <is>
          <t>SA325T</t>
        </is>
      </c>
      <c r="G153" s="16" t="inlineStr">
        <is>
          <t>Subwoofer Portátil Inalámbrico con Luces RGB, Sonido de Alta Potencia y Batería Duradera, TWS TF USB, Perfecto para Campamento Fiestas y Entretenimiento en Casa</t>
        </is>
      </c>
      <c r="H153" s="16" t="inlineStr">
        <is>
          <t>NEGRO</t>
        </is>
      </c>
      <c r="I153" s="16" t="n">
        <v>1</v>
      </c>
      <c r="J153" s="17" t="n">
        <v>37.99</v>
      </c>
      <c r="K153" s="17" t="n">
        <v>47.04</v>
      </c>
      <c r="L153" s="17" t="n">
        <v>25.86</v>
      </c>
      <c r="M153" s="17" t="n">
        <v>0</v>
      </c>
      <c r="N153" s="17">
        <f>K153*0.08+L153*0.08</f>
        <v/>
      </c>
      <c r="O153" s="17">
        <f>-(K153*0.025+L153*0.025)</f>
        <v/>
      </c>
      <c r="P153" s="17">
        <f>32</f>
        <v/>
      </c>
      <c r="Q153" s="17">
        <f>J153+L153+N153+O153-P153-M153</f>
        <v/>
      </c>
    </row>
    <row r="154">
      <c r="A154" s="16" t="inlineStr">
        <is>
          <t>5.1-5.7</t>
        </is>
      </c>
      <c r="B154" s="16" t="inlineStr">
        <is>
          <t>PO-128-00462239683191885</t>
        </is>
      </c>
      <c r="C154" s="16" t="inlineStr">
        <is>
          <t>Delivered</t>
        </is>
      </c>
      <c r="D154" s="16" t="inlineStr">
        <is>
          <t>128-00462344540791885</t>
        </is>
      </c>
      <c r="E154" s="16" t="inlineStr">
        <is>
          <t>Delivered</t>
        </is>
      </c>
      <c r="F154" s="16" t="inlineStr">
        <is>
          <t>MB-185R</t>
        </is>
      </c>
      <c r="G154" s="16" t="inlineStr">
        <is>
          <t>Bocina Radio FM/Reproductor, Compatible con Tarjeta TF, USB, Bluetooth, Aplicable para celular, computadora, Ipad y consola.</t>
        </is>
      </c>
      <c r="H154" s="16" t="inlineStr">
        <is>
          <t>ROJO/MB-185</t>
        </is>
      </c>
      <c r="I154" s="16" t="n">
        <v>1</v>
      </c>
      <c r="J154" s="17" t="n">
        <v>75.59999999999999</v>
      </c>
      <c r="K154" s="17" t="n">
        <v>88.55</v>
      </c>
      <c r="L154" s="17" t="n">
        <v>0</v>
      </c>
      <c r="M154" s="17" t="n">
        <v>0</v>
      </c>
      <c r="N154" s="17">
        <f>K154*0.08+L154*0.08</f>
        <v/>
      </c>
      <c r="O154" s="17">
        <f>-(K154*0.025+L154*0.025)</f>
        <v/>
      </c>
      <c r="P154" s="17">
        <f>32</f>
        <v/>
      </c>
      <c r="Q154" s="17">
        <f>J154+L154+N154+O154-P154-M154</f>
        <v/>
      </c>
    </row>
    <row r="155">
      <c r="A155" s="16" t="inlineStr">
        <is>
          <t>5.1-5.7</t>
        </is>
      </c>
      <c r="B155" s="16" t="inlineStr">
        <is>
          <t>PO-128-00462239683191885</t>
        </is>
      </c>
      <c r="C155" s="16" t="inlineStr">
        <is>
          <t>Delivered</t>
        </is>
      </c>
      <c r="D155" s="16" t="inlineStr">
        <is>
          <t>128-00462302597751885</t>
        </is>
      </c>
      <c r="E155" s="16" t="inlineStr">
        <is>
          <t>Delivered</t>
        </is>
      </c>
      <c r="F155" s="16" t="inlineStr">
        <is>
          <t>VB347T</t>
        </is>
      </c>
      <c r="G15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5" s="16" t="inlineStr">
        <is>
          <t>1 pieza</t>
        </is>
      </c>
      <c r="I155" s="16" t="n">
        <v>1</v>
      </c>
      <c r="J155" s="17" t="n">
        <v>79.89</v>
      </c>
      <c r="K155" s="17" t="n">
        <v>94.5</v>
      </c>
      <c r="L155" s="17" t="n">
        <v>0</v>
      </c>
      <c r="M155" s="17" t="n">
        <v>0</v>
      </c>
      <c r="N155" s="17">
        <f>K155*0.08+L155*0.08</f>
        <v/>
      </c>
      <c r="O155" s="17">
        <f>-(K155*0.025+L155*0.025)</f>
        <v/>
      </c>
      <c r="P155" s="17">
        <f>32</f>
        <v/>
      </c>
      <c r="Q155" s="17">
        <f>J155+L155+N155+O155-P155-M155</f>
        <v/>
      </c>
    </row>
    <row r="156">
      <c r="A156" s="16" t="inlineStr">
        <is>
          <t>5.1-5.7</t>
        </is>
      </c>
      <c r="B156" s="16" t="inlineStr">
        <is>
          <t>PO-128-00462239683191885</t>
        </is>
      </c>
      <c r="C156" s="16" t="inlineStr">
        <is>
          <t>Delivered</t>
        </is>
      </c>
      <c r="D156" s="16" t="inlineStr">
        <is>
          <t>128-00462260654711885</t>
        </is>
      </c>
      <c r="E156" s="16" t="inlineStr">
        <is>
          <t>Delivered</t>
        </is>
      </c>
      <c r="F156" s="16" t="inlineStr">
        <is>
          <t>MB-185N</t>
        </is>
      </c>
      <c r="G156" s="16" t="inlineStr">
        <is>
          <t>Bocina Radio FM/Reproductor, Compatible con Tarjeta TF, USB, Bluetooth, Aplicable para celular, computadora, Ipad y consola.</t>
        </is>
      </c>
      <c r="H156" s="16" t="inlineStr">
        <is>
          <t>NEGRO/MB-185</t>
        </is>
      </c>
      <c r="I156" s="16" t="n">
        <v>1</v>
      </c>
      <c r="J156" s="17" t="n">
        <v>75.5</v>
      </c>
      <c r="K156" s="17" t="n">
        <v>88.45999999999999</v>
      </c>
      <c r="L156" s="17" t="n">
        <v>0</v>
      </c>
      <c r="M156" s="17" t="n">
        <v>0</v>
      </c>
      <c r="N156" s="17">
        <f>K156*0.08+L156*0.08</f>
        <v/>
      </c>
      <c r="O156" s="17">
        <f>-(K156*0.025+L156*0.025)</f>
        <v/>
      </c>
      <c r="P156" s="17">
        <f>32</f>
        <v/>
      </c>
      <c r="Q156" s="17">
        <f>J156+L156+N156+O156-P156-M156</f>
        <v/>
      </c>
    </row>
    <row r="157">
      <c r="A157" s="16" t="inlineStr">
        <is>
          <t>5.1-5.7</t>
        </is>
      </c>
      <c r="B157" s="16" t="inlineStr">
        <is>
          <t>PO-128-00646870323830657</t>
        </is>
      </c>
      <c r="C157" s="16" t="inlineStr">
        <is>
          <t>Delivered</t>
        </is>
      </c>
      <c r="D157" s="16" t="inlineStr">
        <is>
          <t>128-00646841487990657</t>
        </is>
      </c>
      <c r="E157" s="16" t="inlineStr">
        <is>
          <t>Delivered</t>
        </is>
      </c>
      <c r="F157" s="16" t="inlineStr">
        <is>
          <t>SA325T</t>
        </is>
      </c>
      <c r="G157" s="16" t="inlineStr">
        <is>
          <t>Subwoofer Portátil Inalámbrico con Luces RGB, Sonido de Alta Potencia y Batería Duradera, TWS TF USB, Perfecto para Campamento Fiestas y Entretenimiento en Casa</t>
        </is>
      </c>
      <c r="H157" s="16" t="inlineStr">
        <is>
          <t>NEGRO</t>
        </is>
      </c>
      <c r="I157" s="16" t="n">
        <v>1</v>
      </c>
      <c r="J157" s="17" t="n">
        <v>37.99</v>
      </c>
      <c r="K157" s="17" t="n">
        <v>47.04</v>
      </c>
      <c r="L157" s="17" t="n">
        <v>25.86</v>
      </c>
      <c r="M157" s="17" t="n">
        <v>0</v>
      </c>
      <c r="N157" s="17">
        <f>K157*0.08+L157*0.08</f>
        <v/>
      </c>
      <c r="O157" s="17">
        <f>-(K157*0.025+L157*0.025)</f>
        <v/>
      </c>
      <c r="P157" s="17">
        <f>32</f>
        <v/>
      </c>
      <c r="Q157" s="17">
        <f>J157+L157+N157+O157-P157-M157</f>
        <v/>
      </c>
    </row>
    <row r="158">
      <c r="A158" s="16" t="inlineStr">
        <is>
          <t>5.1-5.7</t>
        </is>
      </c>
      <c r="B158" s="16" t="inlineStr">
        <is>
          <t>PO-128-00226971679352262</t>
        </is>
      </c>
      <c r="C158" s="16" t="inlineStr">
        <is>
          <t>Delivered</t>
        </is>
      </c>
      <c r="D158" s="16" t="inlineStr">
        <is>
          <t>128-00226929736312262</t>
        </is>
      </c>
      <c r="E158" s="16" t="inlineStr">
        <is>
          <t>Delivered</t>
        </is>
      </c>
      <c r="F158" s="16" t="inlineStr">
        <is>
          <t>MCM-001A</t>
        </is>
      </c>
      <c r="G158" s="16" t="inlineStr">
        <is>
          <t>Musicord Altavoz Inalámbrico BT Portátil: ¡Sonido impactante, luces LED multicolores y 4 horas de autonomía! Compatible con TWS, FM, TF y USB – Imprescindible para fiestas y viajes</t>
        </is>
      </c>
      <c r="H158" s="16" t="inlineStr">
        <is>
          <t>AZUL</t>
        </is>
      </c>
      <c r="I158" s="16" t="n">
        <v>1</v>
      </c>
      <c r="J158" s="17" t="n">
        <v>51.07</v>
      </c>
      <c r="K158" s="17" t="n">
        <v>59.47</v>
      </c>
      <c r="L158" s="17" t="n">
        <v>25.86</v>
      </c>
      <c r="M158" s="17" t="n">
        <v>0</v>
      </c>
      <c r="N158" s="17">
        <f>K158*0.08+L158*0.08</f>
        <v/>
      </c>
      <c r="O158" s="17">
        <f>-(K158*0.025+L158*0.025)</f>
        <v/>
      </c>
      <c r="P158" s="17">
        <f>32</f>
        <v/>
      </c>
      <c r="Q158" s="17">
        <f>J158+L158+N158+O158-P158-M158</f>
        <v/>
      </c>
    </row>
    <row r="159">
      <c r="A159" s="16" t="inlineStr">
        <is>
          <t>5.1-5.7</t>
        </is>
      </c>
      <c r="B159" s="16" t="inlineStr">
        <is>
          <t>PO-128-00182446623352465</t>
        </is>
      </c>
      <c r="C159" s="16" t="inlineStr">
        <is>
          <t>Delivered</t>
        </is>
      </c>
      <c r="D159" s="16" t="inlineStr">
        <is>
          <t>128-00182488566392465</t>
        </is>
      </c>
      <c r="E159" s="16" t="inlineStr">
        <is>
          <t>Delivered</t>
        </is>
      </c>
      <c r="F159" s="16" t="inlineStr">
        <is>
          <t>LV25W22</t>
        </is>
      </c>
      <c r="G1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9" s="16" t="inlineStr">
        <is>
          <t>LV25W32</t>
        </is>
      </c>
      <c r="I159" s="16" t="n">
        <v>1</v>
      </c>
      <c r="J159" s="17" t="n">
        <v>97</v>
      </c>
      <c r="K159" s="17" t="n">
        <v>64.33</v>
      </c>
      <c r="L159" s="17" t="n">
        <v>25.86</v>
      </c>
      <c r="M159" s="17" t="n">
        <v>0</v>
      </c>
      <c r="N159" s="17">
        <f>K159*0.08+L159*0.08</f>
        <v/>
      </c>
      <c r="O159" s="17">
        <f>-(K159*0.025+L159*0.025)</f>
        <v/>
      </c>
      <c r="P159" s="17">
        <f>32</f>
        <v/>
      </c>
      <c r="Q159" s="17">
        <f>J159+L159+N159+O159-P159-M159</f>
        <v/>
      </c>
    </row>
    <row r="160">
      <c r="A160" s="16" t="inlineStr">
        <is>
          <t>5.1-5.7</t>
        </is>
      </c>
      <c r="B160" s="16" t="inlineStr">
        <is>
          <t>PO-128-00115484559993886</t>
        </is>
      </c>
      <c r="C160" s="16" t="inlineStr">
        <is>
          <t>Delivered</t>
        </is>
      </c>
      <c r="D160" s="16" t="inlineStr">
        <is>
          <t>128-00115495045753886</t>
        </is>
      </c>
      <c r="E160" s="16" t="inlineStr">
        <is>
          <t>Delivered</t>
        </is>
      </c>
      <c r="F160" s="16" t="inlineStr">
        <is>
          <t>SA323T</t>
        </is>
      </c>
      <c r="G160" s="16" t="inlineStr">
        <is>
          <t>Linkbits Bocina Portátil Parlantes BT Portátiles con Iluminación de Ambiente | 1 Hora de Duración, FM, TWS, TF/Micro SD | Ideal para Hogar, Fiestas y Viajes</t>
        </is>
      </c>
      <c r="H160" s="16" t="inlineStr">
        <is>
          <t>SA323T</t>
        </is>
      </c>
      <c r="I160" s="16" t="n">
        <v>1</v>
      </c>
      <c r="J160" s="17" t="n">
        <v>46</v>
      </c>
      <c r="K160" s="17" t="n">
        <v>55.07</v>
      </c>
      <c r="L160" s="17" t="n">
        <v>25.86</v>
      </c>
      <c r="M160" s="17" t="n">
        <v>0</v>
      </c>
      <c r="N160" s="17">
        <f>K160*0.08+L160*0.08</f>
        <v/>
      </c>
      <c r="O160" s="17">
        <f>-(K160*0.025+L160*0.025)</f>
        <v/>
      </c>
      <c r="P160" s="17">
        <f>32</f>
        <v/>
      </c>
      <c r="Q160" s="17">
        <f>J160+L160+N160+O160-P160-M160</f>
        <v/>
      </c>
    </row>
    <row r="161">
      <c r="A161" s="16" t="inlineStr">
        <is>
          <t>5.1-5.7</t>
        </is>
      </c>
      <c r="B161" s="16" t="inlineStr">
        <is>
          <t>PO-128-00069850890873134</t>
        </is>
      </c>
      <c r="C161" s="16" t="inlineStr">
        <is>
          <t>Delivered</t>
        </is>
      </c>
      <c r="D161" s="16" t="inlineStr">
        <is>
          <t>128-00069808947833134</t>
        </is>
      </c>
      <c r="E161" s="16" t="inlineStr">
        <is>
          <t>Delivered</t>
        </is>
      </c>
      <c r="F161" s="16" t="inlineStr">
        <is>
          <t>KTS-1943-N</t>
        </is>
      </c>
      <c r="G161"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161" s="16" t="inlineStr">
        <is>
          <t>NEGRO</t>
        </is>
      </c>
      <c r="I161" s="16" t="n">
        <v>1</v>
      </c>
      <c r="J161" s="17" t="n">
        <v>67.5</v>
      </c>
      <c r="K161" s="17" t="n">
        <v>83.12</v>
      </c>
      <c r="L161" s="17" t="n">
        <v>25.86</v>
      </c>
      <c r="M161" s="17" t="n">
        <v>0</v>
      </c>
      <c r="N161" s="17">
        <f>K161*0.08+L161*0.08</f>
        <v/>
      </c>
      <c r="O161" s="17">
        <f>-(K161*0.025+L161*0.025)</f>
        <v/>
      </c>
      <c r="P161" s="17">
        <f>32</f>
        <v/>
      </c>
      <c r="Q161" s="17">
        <f>J161+L161+N161+O161-P161-M161</f>
        <v/>
      </c>
    </row>
    <row r="162">
      <c r="A162" s="16" t="inlineStr">
        <is>
          <t>5.1-5.7</t>
        </is>
      </c>
      <c r="B162" s="16" t="inlineStr">
        <is>
          <t>PO-128-00290790933112907</t>
        </is>
      </c>
      <c r="C162" s="16" t="inlineStr">
        <is>
          <t>Delivered</t>
        </is>
      </c>
      <c r="D162" s="16" t="inlineStr">
        <is>
          <t>128-00290811904632907</t>
        </is>
      </c>
      <c r="E162" s="16" t="inlineStr">
        <is>
          <t>Delivered</t>
        </is>
      </c>
      <c r="F162" s="16" t="inlineStr">
        <is>
          <t>MCM-001N</t>
        </is>
      </c>
      <c r="G162" s="16" t="inlineStr">
        <is>
          <t>Musicord Altavoz Inalámbrico BT Portátil: ¡Sonido impactante, luces LED multicolores y 4 horas de autonomía! Compatible con TWS, FM, TF y USB – Imprescindible para fiestas y viajes</t>
        </is>
      </c>
      <c r="H162" s="16" t="inlineStr">
        <is>
          <t>NEGRO</t>
        </is>
      </c>
      <c r="I162" s="16" t="n">
        <v>1</v>
      </c>
      <c r="J162" s="17" t="n">
        <v>61</v>
      </c>
      <c r="K162" s="17" t="n">
        <v>43.37</v>
      </c>
      <c r="L162" s="17" t="n">
        <v>25.86</v>
      </c>
      <c r="M162" s="17" t="n">
        <v>0</v>
      </c>
      <c r="N162" s="17">
        <f>K162*0.08+L162*0.08</f>
        <v/>
      </c>
      <c r="O162" s="17">
        <f>-(K162*0.025+L162*0.025)</f>
        <v/>
      </c>
      <c r="P162" s="17">
        <f>32</f>
        <v/>
      </c>
      <c r="Q162" s="17">
        <f>J162+L162+N162+O162-P162-M162</f>
        <v/>
      </c>
    </row>
    <row r="163">
      <c r="A163" s="16" t="inlineStr">
        <is>
          <t>5.1-5.7</t>
        </is>
      </c>
      <c r="B163" s="16" t="inlineStr">
        <is>
          <t>PO-128-00501533184631587</t>
        </is>
      </c>
      <c r="C163" s="16" t="inlineStr">
        <is>
          <t>Delivered</t>
        </is>
      </c>
      <c r="D163" s="16" t="inlineStr">
        <is>
          <t>128-00501575127671587</t>
        </is>
      </c>
      <c r="E163" s="16" t="inlineStr">
        <is>
          <t>Delivered</t>
        </is>
      </c>
      <c r="F163" s="16" t="inlineStr">
        <is>
          <t>LB02235-rojo</t>
        </is>
      </c>
      <c r="G163" s="16" t="inlineStr">
        <is>
          <t>Audífonos Inalámbricos para la Cabeza, Recargables y Multifuncionales - Conectan a Varios Dispositivos, soportan Radio FM, Tarjeta TF y AUX - 4 Horas de Reproducción Musical - Ideal para Trabajo Cotidiano, Juegos y Estudio</t>
        </is>
      </c>
      <c r="H163" s="16" t="inlineStr">
        <is>
          <t>ROJO</t>
        </is>
      </c>
      <c r="I163" s="16" t="n">
        <v>1</v>
      </c>
      <c r="J163" s="17" t="n">
        <v>37.71</v>
      </c>
      <c r="K163" s="17" t="n">
        <v>50.83</v>
      </c>
      <c r="L163" s="17" t="n">
        <v>25.86</v>
      </c>
      <c r="M163" s="17" t="n">
        <v>0</v>
      </c>
      <c r="N163" s="17">
        <f>K163*0.08+L163*0.08</f>
        <v/>
      </c>
      <c r="O163" s="17">
        <f>-(K163*0.025+L163*0.025)</f>
        <v/>
      </c>
      <c r="P163" s="17">
        <f>32</f>
        <v/>
      </c>
      <c r="Q163" s="17">
        <f>J163+L163+N163+O163-P163-M163</f>
        <v/>
      </c>
    </row>
    <row r="164">
      <c r="A164" s="16" t="inlineStr">
        <is>
          <t>5.1-5.7</t>
        </is>
      </c>
      <c r="B164" s="16" t="inlineStr">
        <is>
          <t>PO-128-00081451950713195</t>
        </is>
      </c>
      <c r="C164" s="16" t="inlineStr">
        <is>
          <t>Delivered</t>
        </is>
      </c>
      <c r="D164" s="16" t="inlineStr">
        <is>
          <t>128-00081514865273195</t>
        </is>
      </c>
      <c r="E164" s="16" t="inlineStr">
        <is>
          <t>Delivered</t>
        </is>
      </c>
      <c r="F164" s="16" t="inlineStr">
        <is>
          <t>LB02235-rojo</t>
        </is>
      </c>
      <c r="G164" s="16" t="inlineStr">
        <is>
          <t>Audífonos Inalámbricos para la Cabeza, Recargables y Multifuncionales - Conectan a Varios Dispositivos, soportan Radio FM, Tarjeta TF y AUX - 4 Horas de Reproducción Musical - Ideal para Trabajo Cotidiano, Juegos y Estudio</t>
        </is>
      </c>
      <c r="H164" s="16" t="inlineStr">
        <is>
          <t>ROJO</t>
        </is>
      </c>
      <c r="I164" s="16" t="n">
        <v>1</v>
      </c>
      <c r="J164" s="17" t="n">
        <v>37.71</v>
      </c>
      <c r="K164" s="17" t="n">
        <v>33.56</v>
      </c>
      <c r="L164" s="17" t="n">
        <v>12.94</v>
      </c>
      <c r="M164" s="17" t="n">
        <v>0</v>
      </c>
      <c r="N164" s="17">
        <f>K164*0.08+L164*0.08</f>
        <v/>
      </c>
      <c r="O164" s="17">
        <f>-(K164*0.025+L164*0.025)</f>
        <v/>
      </c>
      <c r="P164" s="17">
        <f>32</f>
        <v/>
      </c>
      <c r="Q164" s="17">
        <f>J164+L164+N164+O164-P164-M164</f>
        <v/>
      </c>
    </row>
    <row r="165">
      <c r="A165" s="16" t="inlineStr">
        <is>
          <t>5.1-5.7</t>
        </is>
      </c>
      <c r="B165" s="16" t="inlineStr">
        <is>
          <t>PO-128-00081451950713195</t>
        </is>
      </c>
      <c r="C165" s="16" t="inlineStr">
        <is>
          <t>Delivered</t>
        </is>
      </c>
      <c r="D165" s="16" t="inlineStr">
        <is>
          <t>128-00081493893753195</t>
        </is>
      </c>
      <c r="E165" s="16" t="inlineStr">
        <is>
          <t>Delivered</t>
        </is>
      </c>
      <c r="F165" s="16" t="inlineStr">
        <is>
          <t>LB02235-negro</t>
        </is>
      </c>
      <c r="G165" s="16" t="inlineStr">
        <is>
          <t>Audífonos Inalámbricos para la Cabeza, Recargables y Multifuncionales - Conectan a Varios Dispositivos, soportan Radio FM, Tarjeta TF y AUX - 4 Horas de Reproducción Musical - Ideal para Trabajo Cotidiano, Juegos y Estudio</t>
        </is>
      </c>
      <c r="H165" s="16" t="inlineStr">
        <is>
          <t>NEGRO</t>
        </is>
      </c>
      <c r="I165" s="16" t="n">
        <v>1</v>
      </c>
      <c r="J165" s="17" t="n">
        <v>37.71</v>
      </c>
      <c r="K165" s="17" t="n">
        <v>33.54</v>
      </c>
      <c r="L165" s="17" t="n">
        <v>12.92</v>
      </c>
      <c r="M165" s="17" t="n">
        <v>0.8</v>
      </c>
      <c r="N165" s="17">
        <f>K165*0.08+L165*0.08</f>
        <v/>
      </c>
      <c r="O165" s="17">
        <f>-(K165*0.025+L165*0.025)</f>
        <v/>
      </c>
      <c r="P165" s="17">
        <f>32</f>
        <v/>
      </c>
      <c r="Q165" s="17">
        <f>J165+L165+N165+O165-P165-M165</f>
        <v/>
      </c>
    </row>
    <row r="166">
      <c r="A166" s="16" t="inlineStr">
        <is>
          <t>5.1-5.7</t>
        </is>
      </c>
      <c r="B166" s="16" t="inlineStr">
        <is>
          <t>PO-128-00658711368310712</t>
        </is>
      </c>
      <c r="C166" s="16" t="inlineStr">
        <is>
          <t>Delivered</t>
        </is>
      </c>
      <c r="D166" s="16" t="inlineStr">
        <is>
          <t>128-00658732339830712</t>
        </is>
      </c>
      <c r="E166" s="16" t="inlineStr">
        <is>
          <t>Delivered</t>
        </is>
      </c>
      <c r="F166" s="16" t="inlineStr">
        <is>
          <t>MCM-001N</t>
        </is>
      </c>
      <c r="G166" s="16" t="inlineStr">
        <is>
          <t>Musicord Altavoz Inalámbrico BT Portátil: ¡Sonido impactante, luces LED multicolores y 4 horas de autonomía! Compatible con TWS, FM, TF y USB – Imprescindible para fiestas y viajes</t>
        </is>
      </c>
      <c r="H166" s="16" t="inlineStr">
        <is>
          <t>NEGRO</t>
        </is>
      </c>
      <c r="I166" s="16" t="n">
        <v>1</v>
      </c>
      <c r="J166" s="17" t="n">
        <v>61</v>
      </c>
      <c r="K166" s="17" t="n">
        <v>72.29000000000001</v>
      </c>
      <c r="L166" s="17" t="n">
        <v>25.86</v>
      </c>
      <c r="M166" s="17" t="n">
        <v>0</v>
      </c>
      <c r="N166" s="17">
        <f>K166*0.08+L166*0.08</f>
        <v/>
      </c>
      <c r="O166" s="17">
        <f>-(K166*0.025+L166*0.025)</f>
        <v/>
      </c>
      <c r="P166" s="17">
        <f>32</f>
        <v/>
      </c>
      <c r="Q166" s="17">
        <f>J166+L166+N166+O166-P166-M166</f>
        <v/>
      </c>
    </row>
    <row r="167">
      <c r="A167" s="16" t="inlineStr">
        <is>
          <t>5.1-5.7</t>
        </is>
      </c>
      <c r="B167" s="16" t="inlineStr">
        <is>
          <t>PO-128-00502320333431580</t>
        </is>
      </c>
      <c r="C167" s="16" t="inlineStr">
        <is>
          <t>Delivered</t>
        </is>
      </c>
      <c r="D167" s="16" t="inlineStr">
        <is>
          <t>128-00502372762231580</t>
        </is>
      </c>
      <c r="E167" s="16" t="inlineStr">
        <is>
          <t>Delivered</t>
        </is>
      </c>
      <c r="F167" s="16" t="inlineStr">
        <is>
          <t>MCM-001G</t>
        </is>
      </c>
      <c r="G167" s="16" t="inlineStr">
        <is>
          <t>Musicord Altavoz Inalámbrico BT Portátil: ¡Sonido impactante, luces LED multicolores y 4 horas de autonomía! Compatible con TWS, FM, TF y USB – Imprescindible para fiestas y viajes</t>
        </is>
      </c>
      <c r="H167" s="16" t="inlineStr">
        <is>
          <t>GRIS</t>
        </is>
      </c>
      <c r="I167" s="16" t="n">
        <v>1</v>
      </c>
      <c r="J167" s="17" t="n">
        <v>51.07</v>
      </c>
      <c r="K167" s="17" t="n">
        <v>62.36</v>
      </c>
      <c r="L167" s="17" t="n">
        <v>25.86</v>
      </c>
      <c r="M167" s="17" t="n">
        <v>0</v>
      </c>
      <c r="N167" s="17">
        <f>K167*0.08+L167*0.08</f>
        <v/>
      </c>
      <c r="O167" s="17">
        <f>-(K167*0.025+L167*0.025)</f>
        <v/>
      </c>
      <c r="P167" s="17">
        <f>32</f>
        <v/>
      </c>
      <c r="Q167" s="17">
        <f>J167+L167+N167+O167-P167-M167</f>
        <v/>
      </c>
    </row>
    <row r="168">
      <c r="A168" s="16" t="inlineStr">
        <is>
          <t>5.1-5.7</t>
        </is>
      </c>
      <c r="B168" s="16" t="inlineStr">
        <is>
          <t>PO-128-00513625928311643</t>
        </is>
      </c>
      <c r="C168" s="16" t="inlineStr">
        <is>
          <t>Delivered</t>
        </is>
      </c>
      <c r="D168" s="16" t="inlineStr">
        <is>
          <t>128-00513646899831643</t>
        </is>
      </c>
      <c r="E168" s="16" t="inlineStr">
        <is>
          <t>Delivered</t>
        </is>
      </c>
      <c r="F168" s="16" t="inlineStr">
        <is>
          <t>BS-22</t>
        </is>
      </c>
      <c r="G168" s="16" t="inlineStr">
        <is>
          <t>link bits Barra de Sonido para TV, 2x2" Altavoces + 2 Membranas de Graves, Sonido Claro ≥80dB, Bluetooth Inalámbrico, Conexiones AUX/USB, Diseño Compacto 76cm, Sonido Envolvente 3D para Cine en Casa, PC, Juegos y Fiestas</t>
        </is>
      </c>
      <c r="H168" s="16" t="inlineStr">
        <is>
          <t>BS-22</t>
        </is>
      </c>
      <c r="I168" s="16" t="n">
        <v>1</v>
      </c>
      <c r="J168" s="17" t="n">
        <v>260</v>
      </c>
      <c r="K168" s="17" t="n">
        <v>254.67</v>
      </c>
      <c r="L168" s="17" t="n">
        <v>0</v>
      </c>
      <c r="M168" s="17" t="n">
        <v>0</v>
      </c>
      <c r="N168" s="17">
        <f>K168*0.08+L168*0.08</f>
        <v/>
      </c>
      <c r="O168" s="17">
        <f>-(K168*0.025+L168*0.025)</f>
        <v/>
      </c>
      <c r="P168" s="17">
        <f>32</f>
        <v/>
      </c>
      <c r="Q168" s="17">
        <f>J168+L168+N168+O168-P168-M168</f>
        <v/>
      </c>
    </row>
    <row r="169">
      <c r="A169" s="16" t="inlineStr">
        <is>
          <t>5.1-5.7</t>
        </is>
      </c>
      <c r="B169" s="16" t="inlineStr">
        <is>
          <t>PO-128-00607461591670954</t>
        </is>
      </c>
      <c r="C169" s="16" t="inlineStr">
        <is>
          <t>Delivered</t>
        </is>
      </c>
      <c r="D169" s="16" t="inlineStr">
        <is>
          <t>128-00607419648630954</t>
        </is>
      </c>
      <c r="E169" s="16" t="inlineStr">
        <is>
          <t>Delivered</t>
        </is>
      </c>
      <c r="F169" s="16" t="inlineStr">
        <is>
          <t>SA8056T</t>
        </is>
      </c>
      <c r="G16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69" s="16" t="inlineStr">
        <is>
          <t>SA8056T</t>
        </is>
      </c>
      <c r="I169" s="16" t="n">
        <v>1</v>
      </c>
      <c r="J169" s="17" t="n">
        <v>150.45</v>
      </c>
      <c r="K169" s="17" t="n">
        <v>88.08</v>
      </c>
      <c r="L169" s="17" t="n">
        <v>25.86</v>
      </c>
      <c r="M169" s="17" t="n">
        <v>0</v>
      </c>
      <c r="N169" s="17">
        <f>K169*0.08+L169*0.08</f>
        <v/>
      </c>
      <c r="O169" s="17">
        <f>-(K169*0.025+L169*0.025)</f>
        <v/>
      </c>
      <c r="P169" s="17">
        <f>32</f>
        <v/>
      </c>
      <c r="Q169" s="17">
        <f>J169+L169+N169+O169-P169-M169</f>
        <v/>
      </c>
    </row>
    <row r="170">
      <c r="A170" s="16" t="inlineStr">
        <is>
          <t>5.1-5.7</t>
        </is>
      </c>
      <c r="B170" s="16" t="inlineStr">
        <is>
          <t>PO-128-00223145421432220</t>
        </is>
      </c>
      <c r="C170" s="16" t="inlineStr">
        <is>
          <t>Delivered</t>
        </is>
      </c>
      <c r="D170" s="16" t="inlineStr">
        <is>
          <t>128-00223150664312220</t>
        </is>
      </c>
      <c r="E170" s="16" t="inlineStr">
        <is>
          <t>Delivered</t>
        </is>
      </c>
      <c r="F170" s="16" t="inlineStr">
        <is>
          <t>KTS-1678N</t>
        </is>
      </c>
      <c r="G170" s="16" t="inlineStr">
        <is>
          <t>Bocina portátil Inalámbrico, de 3 pulgadas, tamaño de bolsillo, 170 g, con asa, compatible con TF, USB y Micro SD, con radio FM y función TWS (True Wireless Stereo), adecuada para relajarse en casa o viajar al aire libre.</t>
        </is>
      </c>
      <c r="H170" s="16" t="inlineStr">
        <is>
          <t>KTS-1678N</t>
        </is>
      </c>
      <c r="I170" s="16" t="n">
        <v>1</v>
      </c>
      <c r="J170" s="17" t="n">
        <v>43</v>
      </c>
      <c r="K170" s="17" t="n">
        <v>49.22</v>
      </c>
      <c r="L170" s="17" t="n">
        <v>25.86</v>
      </c>
      <c r="M170" s="17" t="n">
        <v>0</v>
      </c>
      <c r="N170" s="17">
        <f>K170*0.08+L170*0.08</f>
        <v/>
      </c>
      <c r="O170" s="17">
        <f>-(K170*0.025+L170*0.025)</f>
        <v/>
      </c>
      <c r="P170" s="17">
        <f>32</f>
        <v/>
      </c>
      <c r="Q170" s="17">
        <f>J170+L170+N170+O170-P170-M170</f>
        <v/>
      </c>
    </row>
    <row r="171">
      <c r="A171" s="16" t="inlineStr">
        <is>
          <t>5.1-5.7</t>
        </is>
      </c>
      <c r="B171" s="16" t="inlineStr">
        <is>
          <t>PO-128-00568122962550164</t>
        </is>
      </c>
      <c r="C171" s="16" t="inlineStr">
        <is>
          <t>Delivered</t>
        </is>
      </c>
      <c r="D171" s="16" t="inlineStr">
        <is>
          <t>128-00568164905590164</t>
        </is>
      </c>
      <c r="E171" s="16" t="inlineStr">
        <is>
          <t>Delivered</t>
        </is>
      </c>
      <c r="F171" s="16" t="inlineStr">
        <is>
          <t>LV34W04</t>
        </is>
      </c>
      <c r="G17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71" s="16" t="inlineStr">
        <is>
          <t>LV34W04</t>
        </is>
      </c>
      <c r="I171" s="16" t="n">
        <v>1</v>
      </c>
      <c r="J171" s="17" t="n">
        <v>279</v>
      </c>
      <c r="K171" s="17" t="n">
        <v>315.63</v>
      </c>
      <c r="L171" s="17" t="n">
        <v>0</v>
      </c>
      <c r="M171" s="17" t="n">
        <v>0</v>
      </c>
      <c r="N171" s="17">
        <f>K171*0.08+L171*0.08</f>
        <v/>
      </c>
      <c r="O171" s="17">
        <f>-(K171*0.025+L171*0.025)</f>
        <v/>
      </c>
      <c r="P171" s="17">
        <f>32</f>
        <v/>
      </c>
      <c r="Q171" s="17">
        <f>J171+L171+N171+O171-P171-M171</f>
        <v/>
      </c>
    </row>
    <row r="172">
      <c r="A172" s="16" t="inlineStr">
        <is>
          <t>5.1-5.7</t>
        </is>
      </c>
      <c r="B172" s="16" t="inlineStr">
        <is>
          <t>PO-128-00251631268472117</t>
        </is>
      </c>
      <c r="C172" s="16" t="inlineStr">
        <is>
          <t>Delivered</t>
        </is>
      </c>
      <c r="D172" s="16" t="inlineStr">
        <is>
          <t>128-00251578839672117</t>
        </is>
      </c>
      <c r="E172" s="16" t="inlineStr">
        <is>
          <t>Delivered</t>
        </is>
      </c>
      <c r="F172" s="16" t="inlineStr">
        <is>
          <t>BS-22</t>
        </is>
      </c>
      <c r="G172" s="16" t="inlineStr">
        <is>
          <t>link bits Barra de Sonido para TV, 2x2" Altavoces + 2 Membranas de Graves, Sonido Claro ≥80dB, Bluetooth Inalámbrico, Conexiones AUX/USB, Diseño Compacto 76cm, Sonido Envolvente 3D para Cine en Casa, PC, Juegos y Fiestas</t>
        </is>
      </c>
      <c r="H172" s="16" t="inlineStr">
        <is>
          <t>BS-22</t>
        </is>
      </c>
      <c r="I172" s="16" t="n">
        <v>1</v>
      </c>
      <c r="J172" s="17" t="n">
        <v>260</v>
      </c>
      <c r="K172" s="17" t="n">
        <v>299.61</v>
      </c>
      <c r="L172" s="17" t="n">
        <v>0</v>
      </c>
      <c r="M172" s="17" t="n">
        <v>0</v>
      </c>
      <c r="N172" s="17">
        <f>K172*0.08+L172*0.08</f>
        <v/>
      </c>
      <c r="O172" s="17">
        <f>-(K172*0.025+L172*0.025)</f>
        <v/>
      </c>
      <c r="P172" s="17">
        <f>32</f>
        <v/>
      </c>
      <c r="Q172" s="17">
        <f>J172+L172+N172+O172-P172-M172</f>
        <v/>
      </c>
    </row>
    <row r="173">
      <c r="A173" s="16" t="inlineStr">
        <is>
          <t>5.1-5.7</t>
        </is>
      </c>
      <c r="B173" s="16" t="inlineStr">
        <is>
          <t>PO-128-00257549118072145</t>
        </is>
      </c>
      <c r="C173" s="16" t="inlineStr">
        <is>
          <t>Delivered</t>
        </is>
      </c>
      <c r="D173" s="16" t="inlineStr">
        <is>
          <t>128-00257559603832145</t>
        </is>
      </c>
      <c r="E173" s="16" t="inlineStr">
        <is>
          <t>Delivered</t>
        </is>
      </c>
      <c r="F173" s="16" t="inlineStr">
        <is>
          <t>VB347T</t>
        </is>
      </c>
      <c r="G17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3" s="16" t="inlineStr">
        <is>
          <t>1 pieza</t>
        </is>
      </c>
      <c r="I173" s="16" t="n">
        <v>3</v>
      </c>
      <c r="J173" s="17" t="n">
        <v>239.67</v>
      </c>
      <c r="K173" s="17" t="n">
        <v>205.98</v>
      </c>
      <c r="L173" s="17" t="n">
        <v>0</v>
      </c>
      <c r="M173" s="17" t="n">
        <v>0</v>
      </c>
      <c r="N173" s="17">
        <f>K173*0.08+L173*0.08</f>
        <v/>
      </c>
      <c r="O173" s="17">
        <f>-(K173*0.025+L173*0.025)</f>
        <v/>
      </c>
      <c r="P173" s="17">
        <f>32</f>
        <v/>
      </c>
      <c r="Q173" s="17">
        <f>J173+L173+N173+O173-P173-M173</f>
        <v/>
      </c>
    </row>
    <row r="174">
      <c r="A174" s="16" t="inlineStr">
        <is>
          <t>5.1-5.7</t>
        </is>
      </c>
      <c r="B174" s="16" t="inlineStr">
        <is>
          <t>PO-128-00314445281912764</t>
        </is>
      </c>
      <c r="C174" s="16" t="inlineStr">
        <is>
          <t>Delivered</t>
        </is>
      </c>
      <c r="D174" s="16" t="inlineStr">
        <is>
          <t>128-00314434796152764</t>
        </is>
      </c>
      <c r="E174" s="16" t="inlineStr">
        <is>
          <t>Delivered</t>
        </is>
      </c>
      <c r="F174" s="16" t="inlineStr">
        <is>
          <t>LB02235-rojo</t>
        </is>
      </c>
      <c r="G174" s="16" t="inlineStr">
        <is>
          <t>Audífonos Inalámbricos para la Cabeza, Recargables y Multifuncionales - Conectan a Varios Dispositivos, soportan Radio FM, Tarjeta TF y AUX - 4 Horas de Reproducción Musical - Ideal para Trabajo Cotidiano, Juegos y Estudio</t>
        </is>
      </c>
      <c r="H174" s="16" t="inlineStr">
        <is>
          <t>ROJO</t>
        </is>
      </c>
      <c r="I174" s="16" t="n">
        <v>1</v>
      </c>
      <c r="J174" s="17" t="n">
        <v>37.71</v>
      </c>
      <c r="K174" s="17" t="n">
        <v>50.83</v>
      </c>
      <c r="L174" s="17" t="n">
        <v>25.86</v>
      </c>
      <c r="M174" s="17" t="n">
        <v>0</v>
      </c>
      <c r="N174" s="17">
        <f>K174*0.08+L174*0.08</f>
        <v/>
      </c>
      <c r="O174" s="17">
        <f>-(K174*0.025+L174*0.025)</f>
        <v/>
      </c>
      <c r="P174" s="17">
        <f>32</f>
        <v/>
      </c>
      <c r="Q174" s="17">
        <f>J174+L174+N174+O174-P174-M174</f>
        <v/>
      </c>
    </row>
    <row r="175">
      <c r="A175" s="16" t="inlineStr">
        <is>
          <t>5.1-5.7</t>
        </is>
      </c>
      <c r="B175" s="16" t="inlineStr">
        <is>
          <t>PO-128-00185440502392511</t>
        </is>
      </c>
      <c r="C175" s="16" t="inlineStr">
        <is>
          <t>Delivered</t>
        </is>
      </c>
      <c r="D175" s="16" t="inlineStr">
        <is>
          <t>128-00185482445432511</t>
        </is>
      </c>
      <c r="E175" s="16" t="inlineStr">
        <is>
          <t>Delivered</t>
        </is>
      </c>
      <c r="F175" s="16" t="inlineStr">
        <is>
          <t>FA028</t>
        </is>
      </c>
      <c r="G175" s="16" t="inlineStr">
        <is>
          <t>Extractor de agua para garrafas de agua, compatible con carga USB, extractor de agua automático, práctico, con dos modos de toma de agua: manual y programado, ideal para dormitorios, salones, oficinas, uso al aire libre y otros escenarios.</t>
        </is>
      </c>
      <c r="H175" s="16" t="inlineStr">
        <is>
          <t>FA028</t>
        </is>
      </c>
      <c r="I175" s="16" t="n">
        <v>1</v>
      </c>
      <c r="J175" s="17" t="n">
        <v>35</v>
      </c>
      <c r="K175" s="17" t="n">
        <v>1.5</v>
      </c>
      <c r="L175" s="17" t="n">
        <v>25.86</v>
      </c>
      <c r="M175" s="17" t="n">
        <v>0</v>
      </c>
      <c r="N175" s="17">
        <f>K175*0.08+L175*0.08</f>
        <v/>
      </c>
      <c r="O175" s="17">
        <f>-(K175*0.025+L175*0.025)</f>
        <v/>
      </c>
      <c r="P175" s="17">
        <f>32</f>
        <v/>
      </c>
      <c r="Q175" s="17">
        <f>J175+L175+N175+O175-P175-M175</f>
        <v/>
      </c>
    </row>
    <row r="176">
      <c r="A176" s="16" t="inlineStr">
        <is>
          <t>5.1-5.7</t>
        </is>
      </c>
      <c r="B176" s="16" t="inlineStr">
        <is>
          <t>PO-128-00168235479673700</t>
        </is>
      </c>
      <c r="C176" s="16" t="inlineStr">
        <is>
          <t>Delivered</t>
        </is>
      </c>
      <c r="D176" s="16" t="inlineStr">
        <is>
          <t>128-00168193536633700</t>
        </is>
      </c>
      <c r="E176" s="16" t="inlineStr">
        <is>
          <t>Delivered</t>
        </is>
      </c>
      <c r="F176" s="16" t="inlineStr">
        <is>
          <t>KTS-1678N</t>
        </is>
      </c>
      <c r="G176" s="16" t="inlineStr">
        <is>
          <t>Bocina portátil Inalámbrico, de 3 pulgadas, tamaño de bolsillo, 170 g, con asa, compatible con TF, USB y Micro SD, con radio FM y función TWS (True Wireless Stereo), adecuada para relajarse en casa o viajar al aire libre.</t>
        </is>
      </c>
      <c r="H176" s="16" t="inlineStr">
        <is>
          <t>KTS-1678N</t>
        </is>
      </c>
      <c r="I176" s="16" t="n">
        <v>1</v>
      </c>
      <c r="J176" s="17" t="n">
        <v>43</v>
      </c>
      <c r="K176" s="17" t="n">
        <v>49.22</v>
      </c>
      <c r="L176" s="17" t="n">
        <v>25.86</v>
      </c>
      <c r="M176" s="17" t="n">
        <v>0</v>
      </c>
      <c r="N176" s="17">
        <f>K176*0.08+L176*0.08</f>
        <v/>
      </c>
      <c r="O176" s="17">
        <f>-(K176*0.025+L176*0.025)</f>
        <v/>
      </c>
      <c r="P176" s="17">
        <f>32</f>
        <v/>
      </c>
      <c r="Q176" s="17">
        <f>J176+L176+N176+O176-P176-M176</f>
        <v/>
      </c>
    </row>
    <row r="177">
      <c r="A177" s="16" t="inlineStr">
        <is>
          <t>5.1-5.7</t>
        </is>
      </c>
      <c r="B177" s="16" t="inlineStr">
        <is>
          <t>PO-128-00652098212470688</t>
        </is>
      </c>
      <c r="C177" s="16" t="inlineStr">
        <is>
          <t>Delivered</t>
        </is>
      </c>
      <c r="D177" s="16" t="inlineStr">
        <is>
          <t>128-00652056269430688</t>
        </is>
      </c>
      <c r="E177" s="16" t="inlineStr">
        <is>
          <t>Delivered</t>
        </is>
      </c>
      <c r="F177" s="16" t="inlineStr">
        <is>
          <t>KTS-1943-R</t>
        </is>
      </c>
      <c r="G177"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177" s="16" t="inlineStr">
        <is>
          <t>ROJO</t>
        </is>
      </c>
      <c r="I177" s="16" t="n">
        <v>1</v>
      </c>
      <c r="J177" s="17" t="n">
        <v>75</v>
      </c>
      <c r="K177" s="17" t="n">
        <v>90.62</v>
      </c>
      <c r="L177" s="17" t="n">
        <v>25.86</v>
      </c>
      <c r="M177" s="17" t="n">
        <v>0</v>
      </c>
      <c r="N177" s="17">
        <f>K177*0.08+L177*0.08</f>
        <v/>
      </c>
      <c r="O177" s="17">
        <f>-(K177*0.025+L177*0.025)</f>
        <v/>
      </c>
      <c r="P177" s="17">
        <f>32</f>
        <v/>
      </c>
      <c r="Q177" s="17">
        <f>J177+L177+N177+O177-P177-M177</f>
        <v/>
      </c>
    </row>
    <row r="178">
      <c r="A178" s="16" t="inlineStr">
        <is>
          <t>5.1-5.7</t>
        </is>
      </c>
      <c r="B178" s="16" t="inlineStr">
        <is>
          <t>PO-128-00314079806072766</t>
        </is>
      </c>
      <c r="C178" s="16" t="inlineStr">
        <is>
          <t>Delivered</t>
        </is>
      </c>
      <c r="D178" s="16" t="inlineStr">
        <is>
          <t>128-00314231849592766</t>
        </is>
      </c>
      <c r="E178" s="16" t="inlineStr">
        <is>
          <t>Delivered</t>
        </is>
      </c>
      <c r="F178" s="16" t="inlineStr">
        <is>
          <t>SA8056T</t>
        </is>
      </c>
      <c r="G17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78" s="16" t="inlineStr">
        <is>
          <t>SA8056T</t>
        </is>
      </c>
      <c r="I178" s="16" t="n">
        <v>2</v>
      </c>
      <c r="J178" s="17" t="n">
        <v>300.9</v>
      </c>
      <c r="K178" s="17" t="n">
        <v>341.68</v>
      </c>
      <c r="L178" s="17" t="n">
        <v>0</v>
      </c>
      <c r="M178" s="17" t="n">
        <v>0</v>
      </c>
      <c r="N178" s="17">
        <f>K178*0.08+L178*0.08</f>
        <v/>
      </c>
      <c r="O178" s="17">
        <f>-(K178*0.025+L178*0.025)</f>
        <v/>
      </c>
      <c r="P178" s="17">
        <f>32</f>
        <v/>
      </c>
      <c r="Q178" s="17">
        <f>J178+L178+N178+O178-P178-M178</f>
        <v/>
      </c>
    </row>
    <row r="179">
      <c r="A179" s="16" t="inlineStr">
        <is>
          <t>5.1-5.7</t>
        </is>
      </c>
      <c r="B179" s="16" t="inlineStr">
        <is>
          <t>PO-128-00387253494391178</t>
        </is>
      </c>
      <c r="C179" s="16" t="inlineStr">
        <is>
          <t>Delivered</t>
        </is>
      </c>
      <c r="D179" s="16" t="inlineStr">
        <is>
          <t>128-00387358351991178</t>
        </is>
      </c>
      <c r="E179" s="16" t="inlineStr">
        <is>
          <t>Delivered</t>
        </is>
      </c>
      <c r="F179" s="16" t="inlineStr">
        <is>
          <t>MCM-001G</t>
        </is>
      </c>
      <c r="G179" s="16" t="inlineStr">
        <is>
          <t>Musicord Altavoz Inalámbrico BT Portátil: ¡Sonido impactante, luces LED multicolores y 4 horas de autonomía! Compatible con TWS, FM, TF y USB – Imprescindible para fiestas y viajes</t>
        </is>
      </c>
      <c r="H179" s="16" t="inlineStr">
        <is>
          <t>GRIS</t>
        </is>
      </c>
      <c r="I179" s="16" t="n">
        <v>1</v>
      </c>
      <c r="J179" s="17" t="n">
        <v>51.07</v>
      </c>
      <c r="K179" s="17" t="n">
        <v>19.26</v>
      </c>
      <c r="L179" s="17" t="n">
        <v>25.86</v>
      </c>
      <c r="M179" s="17" t="n">
        <v>0</v>
      </c>
      <c r="N179" s="17">
        <f>K179*0.08+L179*0.08</f>
        <v/>
      </c>
      <c r="O179" s="17">
        <f>-(K179*0.025+L179*0.025)</f>
        <v/>
      </c>
      <c r="P179" s="17">
        <f>32</f>
        <v/>
      </c>
      <c r="Q179" s="17">
        <f>J179+L179+N179+O179-P179-M179</f>
        <v/>
      </c>
    </row>
    <row r="180">
      <c r="A180" s="16" t="inlineStr">
        <is>
          <t>5.1-5.7</t>
        </is>
      </c>
      <c r="B180" s="16" t="inlineStr">
        <is>
          <t>PO-128-00309004698232735</t>
        </is>
      </c>
      <c r="C180" s="16" t="inlineStr">
        <is>
          <t>Delivered</t>
        </is>
      </c>
      <c r="D180" s="16" t="inlineStr">
        <is>
          <t>128-00309030912632735</t>
        </is>
      </c>
      <c r="E180" s="16" t="inlineStr">
        <is>
          <t>Delivered</t>
        </is>
      </c>
      <c r="F180" s="16" t="inlineStr">
        <is>
          <t>T5050RGB07</t>
        </is>
      </c>
      <c r="G180"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180" s="16" t="inlineStr">
        <is>
          <t>T5050RGB07</t>
        </is>
      </c>
      <c r="I180" s="16" t="n">
        <v>1</v>
      </c>
      <c r="J180" s="17" t="n">
        <v>56.4</v>
      </c>
      <c r="K180" s="17" t="n">
        <v>73.76000000000001</v>
      </c>
      <c r="L180" s="17" t="n">
        <v>25.86</v>
      </c>
      <c r="M180" s="17" t="n">
        <v>0</v>
      </c>
      <c r="N180" s="17">
        <f>K180*0.08+L180*0.08</f>
        <v/>
      </c>
      <c r="O180" s="17">
        <f>-(K180*0.025+L180*0.025)</f>
        <v/>
      </c>
      <c r="P180" s="17">
        <f>32</f>
        <v/>
      </c>
      <c r="Q180" s="17">
        <f>J180+L180+N180+O180-P180-M180</f>
        <v/>
      </c>
    </row>
    <row r="181">
      <c r="A181" s="16" t="inlineStr">
        <is>
          <t>5.1-5.7</t>
        </is>
      </c>
      <c r="B181" s="16" t="inlineStr">
        <is>
          <t>PO-128-19738773714551546</t>
        </is>
      </c>
      <c r="C181" s="16" t="inlineStr">
        <is>
          <t>Delivered</t>
        </is>
      </c>
      <c r="D181" s="16" t="inlineStr">
        <is>
          <t>128-19738790753911546</t>
        </is>
      </c>
      <c r="E181" s="16" t="inlineStr">
        <is>
          <t>Delivered</t>
        </is>
      </c>
      <c r="F181" s="16" t="inlineStr">
        <is>
          <t>KTS-1678V</t>
        </is>
      </c>
      <c r="G181" s="16" t="inlineStr">
        <is>
          <t>Bocina portátil Inalámbrico, de 3 pulgadas, tamaño de bolsillo, 170 g, con asa, compatible con TF, USB y Micro SD, con radio FM y función TWS (True Wireless Stereo), adecuada para relajarse en casa o viajar al aire libre.</t>
        </is>
      </c>
      <c r="H181" s="16" t="inlineStr">
        <is>
          <t>KTS-1678V</t>
        </is>
      </c>
      <c r="I181" s="16" t="n">
        <v>1</v>
      </c>
      <c r="J181" s="17" t="n">
        <v>42.5</v>
      </c>
      <c r="K181" s="17" t="n">
        <v>46.05</v>
      </c>
      <c r="L181" s="17" t="n">
        <v>25.86</v>
      </c>
      <c r="M181" s="17" t="n">
        <v>0</v>
      </c>
      <c r="N181" s="17">
        <f>K181*0.08+L181*0.08</f>
        <v/>
      </c>
      <c r="O181" s="17">
        <f>-(K181*0.025+L181*0.025)</f>
        <v/>
      </c>
      <c r="P181" s="17">
        <f>32</f>
        <v/>
      </c>
      <c r="Q181" s="17">
        <f>J181+L181+N181+O181-P181-M181</f>
        <v/>
      </c>
    </row>
    <row r="182">
      <c r="A182" s="16" t="inlineStr">
        <is>
          <t>5.1-5.7</t>
        </is>
      </c>
      <c r="B182" s="16" t="inlineStr">
        <is>
          <t>PO-128-19394194581113600</t>
        </is>
      </c>
      <c r="C182" s="16" t="inlineStr">
        <is>
          <t>Delivered</t>
        </is>
      </c>
      <c r="D182" s="16" t="inlineStr">
        <is>
          <t>128-19394173609593600</t>
        </is>
      </c>
      <c r="E182" s="16" t="inlineStr">
        <is>
          <t>Delivered</t>
        </is>
      </c>
      <c r="F182" s="16" t="inlineStr">
        <is>
          <t>MCM-001N</t>
        </is>
      </c>
      <c r="G182" s="16" t="inlineStr">
        <is>
          <t>Musicord Altavoz Inalámbrico BT Portátil: ¡Sonido impactante, luces LED multicolores y 4 horas de autonomía! Compatible con TWS, FM, TF y USB – Imprescindible para fiestas y viajes</t>
        </is>
      </c>
      <c r="H182" s="16" t="inlineStr">
        <is>
          <t>NEGRO</t>
        </is>
      </c>
      <c r="I182" s="16" t="n">
        <v>1</v>
      </c>
      <c r="J182" s="17" t="n">
        <v>61</v>
      </c>
      <c r="K182" s="17" t="n">
        <v>72.29000000000001</v>
      </c>
      <c r="L182" s="17" t="n">
        <v>25.86</v>
      </c>
      <c r="M182" s="17" t="n">
        <v>0</v>
      </c>
      <c r="N182" s="17">
        <f>K182*0.08+L182*0.08</f>
        <v/>
      </c>
      <c r="O182" s="17">
        <f>-(K182*0.025+L182*0.025)</f>
        <v/>
      </c>
      <c r="P182" s="17">
        <f>32</f>
        <v/>
      </c>
      <c r="Q182" s="17">
        <f>J182+L182+N182+O182-P182-M182</f>
        <v/>
      </c>
    </row>
    <row r="183">
      <c r="A183" s="16" t="inlineStr">
        <is>
          <t>5.1-5.7</t>
        </is>
      </c>
      <c r="B183" s="16" t="inlineStr">
        <is>
          <t>PO-128-19774266030710505</t>
        </is>
      </c>
      <c r="C183" s="16" t="inlineStr">
        <is>
          <t>Delivered</t>
        </is>
      </c>
      <c r="D183" s="16" t="inlineStr">
        <is>
          <t>128-19774284380790505</t>
        </is>
      </c>
      <c r="E183" s="16" t="inlineStr">
        <is>
          <t>Delivered</t>
        </is>
      </c>
      <c r="F183" s="16" t="inlineStr">
        <is>
          <t>AIR50W06-2P</t>
        </is>
      </c>
      <c r="G183" s="16" t="inlineStr">
        <is>
          <t>Link Bits Ventilador de piso de 16 pulgadas, 2 unidades, 3 velocidades, motor silencioso, flujo de aire fuerte, altura ajustable, oscilación amplia, ventilador eléctrico para el hogar, ideal para sala, recámara y oficina</t>
        </is>
      </c>
      <c r="H183" s="16" t="inlineStr">
        <is>
          <t>2PZ</t>
        </is>
      </c>
      <c r="I183" s="16" t="n">
        <v>1</v>
      </c>
      <c r="J183" s="17" t="n">
        <v>445</v>
      </c>
      <c r="K183" s="17" t="n">
        <v>578.13</v>
      </c>
      <c r="L183" s="17" t="n">
        <v>0</v>
      </c>
      <c r="M183" s="17" t="n">
        <v>0</v>
      </c>
      <c r="N183" s="17">
        <f>K183*0.08+L183*0.08</f>
        <v/>
      </c>
      <c r="O183" s="17">
        <f>-(K183*0.025+L183*0.025)</f>
        <v/>
      </c>
      <c r="P183" s="17">
        <f>32</f>
        <v/>
      </c>
      <c r="Q183" s="17">
        <f>J183+L183+N183+O183-P183-M183</f>
        <v/>
      </c>
    </row>
    <row r="184">
      <c r="A184" s="16" t="inlineStr">
        <is>
          <t>5.1-5.7</t>
        </is>
      </c>
      <c r="B184" s="16" t="inlineStr">
        <is>
          <t>PO-128-19285232359033226</t>
        </is>
      </c>
      <c r="C184" s="16" t="inlineStr">
        <is>
          <t>Delivered</t>
        </is>
      </c>
      <c r="D184" s="16" t="inlineStr">
        <is>
          <t>128-19285240878713226</t>
        </is>
      </c>
      <c r="E184" s="16" t="inlineStr">
        <is>
          <t>Delivered</t>
        </is>
      </c>
      <c r="F184" s="16" t="inlineStr">
        <is>
          <t>FA028</t>
        </is>
      </c>
      <c r="G184" s="16" t="inlineStr">
        <is>
          <t>Extractor de agua para garrafas de agua, compatible con carga USB, extractor de agua automático, práctico, con dos modos de toma de agua: manual y programado, ideal para dormitorios, salones, oficinas, uso al aire libre y otros escenarios.</t>
        </is>
      </c>
      <c r="H184" s="16" t="inlineStr">
        <is>
          <t>FA028</t>
        </is>
      </c>
      <c r="I184" s="16" t="n">
        <v>1</v>
      </c>
      <c r="J184" s="17" t="n">
        <v>35</v>
      </c>
      <c r="K184" s="17" t="n">
        <v>44.6</v>
      </c>
      <c r="L184" s="17" t="n">
        <v>25.86</v>
      </c>
      <c r="M184" s="17" t="n">
        <v>0</v>
      </c>
      <c r="N184" s="17">
        <f>K184*0.08+L184*0.08</f>
        <v/>
      </c>
      <c r="O184" s="17">
        <f>-(K184*0.025+L184*0.025)</f>
        <v/>
      </c>
      <c r="P184" s="17">
        <f>32</f>
        <v/>
      </c>
      <c r="Q184" s="17">
        <f>J184+L184+N184+O184-P184-M184</f>
        <v/>
      </c>
    </row>
    <row r="185">
      <c r="A185" s="16" t="inlineStr">
        <is>
          <t>5.1-5.7</t>
        </is>
      </c>
      <c r="B185" s="16" t="inlineStr">
        <is>
          <t>PO-128-19411354860153690</t>
        </is>
      </c>
      <c r="C185" s="16" t="inlineStr">
        <is>
          <t>Delivered</t>
        </is>
      </c>
      <c r="D185" s="16" t="inlineStr">
        <is>
          <t>128-19411375831673690</t>
        </is>
      </c>
      <c r="E185" s="16" t="inlineStr">
        <is>
          <t>Delivered</t>
        </is>
      </c>
      <c r="F185" s="16" t="inlineStr">
        <is>
          <t>MCM-001G</t>
        </is>
      </c>
      <c r="G185" s="16" t="inlineStr">
        <is>
          <t>Musicord Altavoz Inalámbrico BT Portátil: ¡Sonido impactante, luces LED multicolores y 4 horas de autonomía! Compatible con TWS, FM, TF y USB – Imprescindible para fiestas y viajes</t>
        </is>
      </c>
      <c r="H185" s="16" t="inlineStr">
        <is>
          <t>GRIS</t>
        </is>
      </c>
      <c r="I185" s="16" t="n">
        <v>1</v>
      </c>
      <c r="J185" s="17" t="n">
        <v>51.07</v>
      </c>
      <c r="K185" s="17" t="n">
        <v>62.36</v>
      </c>
      <c r="L185" s="17" t="n">
        <v>25.86</v>
      </c>
      <c r="M185" s="17" t="n">
        <v>0</v>
      </c>
      <c r="N185" s="17">
        <f>K185*0.08+L185*0.08</f>
        <v/>
      </c>
      <c r="O185" s="17">
        <f>-(K185*0.025+L185*0.025)</f>
        <v/>
      </c>
      <c r="P185" s="17">
        <f>32</f>
        <v/>
      </c>
      <c r="Q185" s="17">
        <f>J185+L185+N185+O185-P185-M185</f>
        <v/>
      </c>
    </row>
    <row r="186">
      <c r="A186" s="16" t="inlineStr">
        <is>
          <t>5.1-5.7</t>
        </is>
      </c>
      <c r="B186" s="16" t="inlineStr">
        <is>
          <t>PO-128-19750496097911604</t>
        </is>
      </c>
      <c r="C186" s="16" t="inlineStr">
        <is>
          <t>Delivered</t>
        </is>
      </c>
      <c r="D186" s="16" t="inlineStr">
        <is>
          <t>128-19750600955511604</t>
        </is>
      </c>
      <c r="E186" s="16" t="inlineStr">
        <is>
          <t>Delivered</t>
        </is>
      </c>
      <c r="F186" s="16" t="inlineStr">
        <is>
          <t>MCM-001N</t>
        </is>
      </c>
      <c r="G186" s="16" t="inlineStr">
        <is>
          <t>Musicord Altavoz Inalámbrico BT Portátil: ¡Sonido impactante, luces LED multicolores y 4 horas de autonomía! Compatible con TWS, FM, TF y USB – Imprescindible para fiestas y viajes</t>
        </is>
      </c>
      <c r="H186" s="16" t="inlineStr">
        <is>
          <t>NEGRO</t>
        </is>
      </c>
      <c r="I186" s="16" t="n">
        <v>1</v>
      </c>
      <c r="J186" s="17" t="n">
        <v>61</v>
      </c>
      <c r="K186" s="17" t="n">
        <v>72.29000000000001</v>
      </c>
      <c r="L186" s="17" t="n">
        <v>25.86</v>
      </c>
      <c r="M186" s="17" t="n">
        <v>0</v>
      </c>
      <c r="N186" s="17">
        <f>K186*0.08+L186*0.08</f>
        <v/>
      </c>
      <c r="O186" s="17">
        <f>-(K186*0.025+L186*0.025)</f>
        <v/>
      </c>
      <c r="P186" s="17">
        <f>32</f>
        <v/>
      </c>
      <c r="Q186" s="17">
        <f>J186+L186+N186+O186-P186-M186</f>
        <v/>
      </c>
    </row>
    <row r="187">
      <c r="A187" s="16" t="inlineStr">
        <is>
          <t>5.1-5.7</t>
        </is>
      </c>
      <c r="B187" s="16" t="inlineStr">
        <is>
          <t>PO-128-19581262746232679</t>
        </is>
      </c>
      <c r="C187" s="16" t="inlineStr">
        <is>
          <t>Delivered</t>
        </is>
      </c>
      <c r="D187" s="16" t="inlineStr">
        <is>
          <t>128-19581241774712679</t>
        </is>
      </c>
      <c r="E187" s="16" t="inlineStr">
        <is>
          <t>Delivered</t>
        </is>
      </c>
      <c r="F187" s="16" t="inlineStr">
        <is>
          <t>LB02235-rojo</t>
        </is>
      </c>
      <c r="G187" s="16" t="inlineStr">
        <is>
          <t>Audífonos Inalámbricos para la Cabeza, Recargables y Multifuncionales - Conectan a Varios Dispositivos, soportan Radio FM, Tarjeta TF y AUX - 4 Horas de Reproducción Musical - Ideal para Trabajo Cotidiano, Juegos y Estudio</t>
        </is>
      </c>
      <c r="H187" s="16" t="inlineStr">
        <is>
          <t>ROJO</t>
        </is>
      </c>
      <c r="I187" s="16" t="n">
        <v>1</v>
      </c>
      <c r="J187" s="17" t="n">
        <v>37.71</v>
      </c>
      <c r="K187" s="17" t="n">
        <v>39.14</v>
      </c>
      <c r="L187" s="17" t="n">
        <v>25.86</v>
      </c>
      <c r="M187" s="17" t="n">
        <v>0</v>
      </c>
      <c r="N187" s="17">
        <f>K187*0.08+L187*0.08</f>
        <v/>
      </c>
      <c r="O187" s="17">
        <f>-(K187*0.025+L187*0.025)</f>
        <v/>
      </c>
      <c r="P187" s="17">
        <f>32</f>
        <v/>
      </c>
      <c r="Q187" s="17">
        <f>J187+L187+N187+O187-P187-M187</f>
        <v/>
      </c>
    </row>
    <row r="188">
      <c r="A188" s="16" t="inlineStr">
        <is>
          <t>5.1-5.7</t>
        </is>
      </c>
      <c r="B188" s="16" t="inlineStr">
        <is>
          <t>PO-128-19382435738233798</t>
        </is>
      </c>
      <c r="C188" s="16" t="inlineStr">
        <is>
          <t>Delivered</t>
        </is>
      </c>
      <c r="D188" s="16" t="inlineStr">
        <is>
          <t>128-19382404280953798</t>
        </is>
      </c>
      <c r="E188" s="16" t="inlineStr">
        <is>
          <t>Delivered</t>
        </is>
      </c>
      <c r="F188" s="16" t="inlineStr">
        <is>
          <t>KTS-1678Y</t>
        </is>
      </c>
      <c r="G188" s="16" t="inlineStr">
        <is>
          <t>Bocina portátil Inalámbrico, de 3 pulgadas, tamaño de bolsillo, 170 g, con asa, compatible con TF, USB y Micro SD, con radio FM y función TWS (True Wireless Stereo), adecuada para relajarse en casa o viajar al aire libre.</t>
        </is>
      </c>
      <c r="H188" s="16" t="inlineStr">
        <is>
          <t>KTS-1678Y</t>
        </is>
      </c>
      <c r="I188" s="16" t="n">
        <v>1</v>
      </c>
      <c r="J188" s="17" t="n">
        <v>42.5</v>
      </c>
      <c r="K188" s="17" t="n">
        <v>48.72</v>
      </c>
      <c r="L188" s="17" t="n">
        <v>12.66</v>
      </c>
      <c r="M188" s="17" t="n">
        <v>0</v>
      </c>
      <c r="N188" s="17">
        <f>K188*0.08+L188*0.08</f>
        <v/>
      </c>
      <c r="O188" s="17">
        <f>-(K188*0.025+L188*0.025)</f>
        <v/>
      </c>
      <c r="P188" s="17">
        <f>32</f>
        <v/>
      </c>
      <c r="Q188" s="17">
        <f>J188+L188+N188+O188-P188-M188</f>
        <v/>
      </c>
    </row>
    <row r="189">
      <c r="A189" s="16" t="inlineStr">
        <is>
          <t>5.1-5.7</t>
        </is>
      </c>
      <c r="B189" s="16" t="inlineStr">
        <is>
          <t>PO-128-19382435738233798</t>
        </is>
      </c>
      <c r="C189" s="16" t="inlineStr">
        <is>
          <t>Delivered</t>
        </is>
      </c>
      <c r="D189" s="16" t="inlineStr">
        <is>
          <t>128-19382446223993798</t>
        </is>
      </c>
      <c r="E189" s="16" t="inlineStr">
        <is>
          <t>Delivered</t>
        </is>
      </c>
      <c r="F189" s="16" t="inlineStr">
        <is>
          <t>LB02235-rojo</t>
        </is>
      </c>
      <c r="G189" s="16" t="inlineStr">
        <is>
          <t>Audífonos Inalámbricos para la Cabeza, Recargables y Multifuncionales - Conectan a Varios Dispositivos, soportan Radio FM, Tarjeta TF y AUX - 4 Horas de Reproducción Musical - Ideal para Trabajo Cotidiano, Juegos y Estudio</t>
        </is>
      </c>
      <c r="H189" s="16" t="inlineStr">
        <is>
          <t>ROJO</t>
        </is>
      </c>
      <c r="I189" s="16" t="n">
        <v>1</v>
      </c>
      <c r="J189" s="17" t="n">
        <v>37.71</v>
      </c>
      <c r="K189" s="17" t="n">
        <v>50.83</v>
      </c>
      <c r="L189" s="17" t="n">
        <v>13.21</v>
      </c>
      <c r="M189" s="17" t="n">
        <v>0</v>
      </c>
      <c r="N189" s="17">
        <f>K189*0.08+L189*0.08</f>
        <v/>
      </c>
      <c r="O189" s="17">
        <f>-(K189*0.025+L189*0.025)</f>
        <v/>
      </c>
      <c r="P189" s="17">
        <f>32</f>
        <v/>
      </c>
      <c r="Q189" s="17">
        <f>J189+L189+N189+O189-P189-M189</f>
        <v/>
      </c>
    </row>
    <row r="190">
      <c r="A190" s="16" t="inlineStr">
        <is>
          <t>5.1-5.7</t>
        </is>
      </c>
      <c r="B190" s="16" t="inlineStr">
        <is>
          <t>PO-128-19477641882232273</t>
        </is>
      </c>
      <c r="C190" s="16" t="inlineStr">
        <is>
          <t>Delivered</t>
        </is>
      </c>
      <c r="D190" s="16" t="inlineStr">
        <is>
          <t>128-19477668096632273</t>
        </is>
      </c>
      <c r="E190" s="16" t="inlineStr">
        <is>
          <t>Delivered</t>
        </is>
      </c>
      <c r="F190" s="16" t="inlineStr">
        <is>
          <t>S39W48</t>
        </is>
      </c>
      <c r="G190"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90" s="16" t="inlineStr">
        <is>
          <t>1 pieza</t>
        </is>
      </c>
      <c r="I190" s="16" t="n">
        <v>2</v>
      </c>
      <c r="J190" s="17" t="n">
        <v>78</v>
      </c>
      <c r="K190" s="17" t="n">
        <v>87.70999999999999</v>
      </c>
      <c r="L190" s="17" t="n">
        <v>25.86</v>
      </c>
      <c r="M190" s="17" t="n">
        <v>0</v>
      </c>
      <c r="N190" s="17">
        <f>K190*0.08+L190*0.08</f>
        <v/>
      </c>
      <c r="O190" s="17">
        <f>-(K190*0.025+L190*0.025)</f>
        <v/>
      </c>
      <c r="P190" s="17">
        <f>32</f>
        <v/>
      </c>
      <c r="Q190" s="17">
        <f>J190+L190+N190+O190-P190-M190</f>
        <v/>
      </c>
    </row>
    <row r="191">
      <c r="A191" s="16" t="inlineStr">
        <is>
          <t>5.1-5.7</t>
        </is>
      </c>
      <c r="B191" s="16" t="inlineStr">
        <is>
          <t>PO-128-19425940552312517</t>
        </is>
      </c>
      <c r="C191" s="16" t="inlineStr">
        <is>
          <t>Delivered</t>
        </is>
      </c>
      <c r="D191" s="16" t="inlineStr">
        <is>
          <t>128-19425961523832517</t>
        </is>
      </c>
      <c r="E191" s="16" t="inlineStr">
        <is>
          <t>Delivered</t>
        </is>
      </c>
      <c r="F191" s="16" t="inlineStr">
        <is>
          <t>LB02235-rojo</t>
        </is>
      </c>
      <c r="G191" s="16" t="inlineStr">
        <is>
          <t>Audífonos Inalámbricos para la Cabeza, Recargables y Multifuncionales - Conectan a Varios Dispositivos, soportan Radio FM, Tarjeta TF y AUX - 4 Horas de Reproducción Musical - Ideal para Trabajo Cotidiano, Juegos y Estudio</t>
        </is>
      </c>
      <c r="H191" s="16" t="inlineStr">
        <is>
          <t>ROJO</t>
        </is>
      </c>
      <c r="I191" s="16" t="n">
        <v>1</v>
      </c>
      <c r="J191" s="17" t="n">
        <v>37.71</v>
      </c>
      <c r="K191" s="17" t="n">
        <v>50.83</v>
      </c>
      <c r="L191" s="17" t="n">
        <v>25.86</v>
      </c>
      <c r="M191" s="17" t="n">
        <v>0</v>
      </c>
      <c r="N191" s="17">
        <f>K191*0.08+L191*0.08</f>
        <v/>
      </c>
      <c r="O191" s="17">
        <f>-(K191*0.025+L191*0.025)</f>
        <v/>
      </c>
      <c r="P191" s="17">
        <f>32</f>
        <v/>
      </c>
      <c r="Q191" s="17">
        <f>J191+L191+N191+O191-P191-M191</f>
        <v/>
      </c>
    </row>
    <row r="192">
      <c r="A192" s="16" t="inlineStr">
        <is>
          <t>5.1-5.7</t>
        </is>
      </c>
      <c r="B192" s="16" t="inlineStr">
        <is>
          <t>PO-128-19290965622393257</t>
        </is>
      </c>
      <c r="C192" s="16" t="inlineStr">
        <is>
          <t>Delivered</t>
        </is>
      </c>
      <c r="D192" s="16" t="inlineStr">
        <is>
          <t>128-19290976108153257</t>
        </is>
      </c>
      <c r="E192" s="16" t="inlineStr">
        <is>
          <t>Delivered</t>
        </is>
      </c>
      <c r="F192" s="16" t="inlineStr">
        <is>
          <t>AIR50W06-2P</t>
        </is>
      </c>
      <c r="G192" s="16" t="inlineStr">
        <is>
          <t>Link Bits Ventilador de piso de 16 pulgadas, 2 unidades, 3 velocidades, motor silencioso, flujo de aire fuerte, altura ajustable, oscilación amplia, ventilador eléctrico para el hogar, ideal para sala, recámara y oficina</t>
        </is>
      </c>
      <c r="H192" s="16" t="inlineStr">
        <is>
          <t>2PZ</t>
        </is>
      </c>
      <c r="I192" s="16" t="n">
        <v>1</v>
      </c>
      <c r="J192" s="17" t="n">
        <v>445</v>
      </c>
      <c r="K192" s="17" t="n">
        <v>578.13</v>
      </c>
      <c r="L192" s="17" t="n">
        <v>0</v>
      </c>
      <c r="M192" s="17" t="n">
        <v>0</v>
      </c>
      <c r="N192" s="17">
        <f>K192*0.08+L192*0.08</f>
        <v/>
      </c>
      <c r="O192" s="17">
        <f>-(K192*0.025+L192*0.025)</f>
        <v/>
      </c>
      <c r="P192" s="17">
        <f>32</f>
        <v/>
      </c>
      <c r="Q192" s="17">
        <f>J192+L192+N192+O192-P192-M192</f>
        <v/>
      </c>
    </row>
    <row r="193">
      <c r="A193" s="16" t="inlineStr">
        <is>
          <t>5.1-5.7</t>
        </is>
      </c>
      <c r="B193" s="16" t="inlineStr">
        <is>
          <t>PO-128-19452860488312418</t>
        </is>
      </c>
      <c r="C193" s="16" t="inlineStr">
        <is>
          <t>Delivered</t>
        </is>
      </c>
      <c r="D193" s="16" t="inlineStr">
        <is>
          <t>128-19452863109752418</t>
        </is>
      </c>
      <c r="E193" s="16" t="inlineStr">
        <is>
          <t>Delivered</t>
        </is>
      </c>
      <c r="F193" s="16" t="inlineStr">
        <is>
          <t>MCM-001R</t>
        </is>
      </c>
      <c r="G193" s="16" t="inlineStr">
        <is>
          <t>Musicord Altavoz Inalámbrico BT Portátil: ¡Sonido impactante, luces LED multicolores y 4 horas de autonomía! Compatible con TWS, FM, TF y USB – Imprescindible para fiestas y viajes</t>
        </is>
      </c>
      <c r="H193" s="16" t="inlineStr">
        <is>
          <t>ROJO</t>
        </is>
      </c>
      <c r="I193" s="16" t="n">
        <v>1</v>
      </c>
      <c r="J193" s="17" t="n">
        <v>66.5</v>
      </c>
      <c r="K193" s="17" t="n">
        <v>70.01000000000001</v>
      </c>
      <c r="L193" s="17" t="n">
        <v>25.86</v>
      </c>
      <c r="M193" s="17" t="n">
        <v>0</v>
      </c>
      <c r="N193" s="17">
        <f>K193*0.08+L193*0.08</f>
        <v/>
      </c>
      <c r="O193" s="17">
        <f>-(K193*0.025+L193*0.025)</f>
        <v/>
      </c>
      <c r="P193" s="17">
        <f>32</f>
        <v/>
      </c>
      <c r="Q193" s="17">
        <f>J193+L193+N193+O193-P193-M193</f>
        <v/>
      </c>
    </row>
    <row r="194">
      <c r="A194" s="16" t="inlineStr">
        <is>
          <t>5.1-5.7</t>
        </is>
      </c>
      <c r="B194" s="16" t="inlineStr">
        <is>
          <t>PO-128-19482845788792048</t>
        </is>
      </c>
      <c r="C194" s="16" t="inlineStr">
        <is>
          <t>Delivered</t>
        </is>
      </c>
      <c r="D194" s="16" t="inlineStr">
        <is>
          <t>128-19482803845752048</t>
        </is>
      </c>
      <c r="E194" s="16" t="inlineStr">
        <is>
          <t>Delivered</t>
        </is>
      </c>
      <c r="F194" s="16" t="inlineStr">
        <is>
          <t>MCM-001R</t>
        </is>
      </c>
      <c r="G194" s="16" t="inlineStr">
        <is>
          <t>Musicord Altavoz Inalámbrico BT Portátil: ¡Sonido impactante, luces LED multicolores y 4 horas de autonomía! Compatible con TWS, FM, TF y USB – Imprescindible para fiestas y viajes</t>
        </is>
      </c>
      <c r="H194" s="16" t="inlineStr">
        <is>
          <t>ROJO</t>
        </is>
      </c>
      <c r="I194" s="16" t="n">
        <v>1</v>
      </c>
      <c r="J194" s="17" t="n">
        <v>66.5</v>
      </c>
      <c r="K194" s="17" t="n">
        <v>34.69</v>
      </c>
      <c r="L194" s="17" t="n">
        <v>25.86</v>
      </c>
      <c r="M194" s="17" t="n">
        <v>0</v>
      </c>
      <c r="N194" s="17">
        <f>K194*0.08+L194*0.08</f>
        <v/>
      </c>
      <c r="O194" s="17">
        <f>-(K194*0.025+L194*0.025)</f>
        <v/>
      </c>
      <c r="P194" s="17">
        <f>32</f>
        <v/>
      </c>
      <c r="Q194" s="17">
        <f>J194+L194+N194+O194-P194-M194</f>
        <v/>
      </c>
    </row>
    <row r="195">
      <c r="A195" s="16" t="inlineStr">
        <is>
          <t>5.1-5.7</t>
        </is>
      </c>
      <c r="B195" s="16" t="inlineStr">
        <is>
          <t>PO-128-19327231826553169</t>
        </is>
      </c>
      <c r="C195" s="16" t="inlineStr">
        <is>
          <t>Delivered</t>
        </is>
      </c>
      <c r="D195" s="16" t="inlineStr">
        <is>
          <t>128-19327273769593169</t>
        </is>
      </c>
      <c r="E195" s="16" t="inlineStr">
        <is>
          <t>Delivered</t>
        </is>
      </c>
      <c r="F195" s="16" t="inlineStr">
        <is>
          <t>MCM-001N</t>
        </is>
      </c>
      <c r="G195" s="16" t="inlineStr">
        <is>
          <t>Musicord Altavoz Inalámbrico BT Portátil: ¡Sonido impactante, luces LED multicolores y 4 horas de autonomía! Compatible con TWS, FM, TF y USB – Imprescindible para fiestas y viajes</t>
        </is>
      </c>
      <c r="H195" s="16" t="inlineStr">
        <is>
          <t>NEGRO</t>
        </is>
      </c>
      <c r="I195" s="16" t="n">
        <v>1</v>
      </c>
      <c r="J195" s="17" t="n">
        <v>61</v>
      </c>
      <c r="K195" s="17" t="n">
        <v>57.83</v>
      </c>
      <c r="L195" s="17" t="n">
        <v>25.86</v>
      </c>
      <c r="M195" s="17" t="n">
        <v>0</v>
      </c>
      <c r="N195" s="17">
        <f>K195*0.08+L195*0.08</f>
        <v/>
      </c>
      <c r="O195" s="17">
        <f>-(K195*0.025+L195*0.025)</f>
        <v/>
      </c>
      <c r="P195" s="17">
        <f>32</f>
        <v/>
      </c>
      <c r="Q195" s="17">
        <f>J195+L195+N195+O195-P195-M195</f>
        <v/>
      </c>
    </row>
    <row r="196">
      <c r="A196" s="16" t="inlineStr">
        <is>
          <t>5.1-5.7</t>
        </is>
      </c>
      <c r="B196" s="16" t="inlineStr">
        <is>
          <t>PO-128-19624695905911394</t>
        </is>
      </c>
      <c r="C196" s="16" t="inlineStr">
        <is>
          <t>Delivered</t>
        </is>
      </c>
      <c r="D196" s="16" t="inlineStr">
        <is>
          <t>128-19624722120311394</t>
        </is>
      </c>
      <c r="E196" s="16" t="inlineStr">
        <is>
          <t>Delivered</t>
        </is>
      </c>
      <c r="F196" s="16" t="inlineStr">
        <is>
          <t>LB02235-negro</t>
        </is>
      </c>
      <c r="G196" s="16" t="inlineStr">
        <is>
          <t>Audífonos Inalámbricos para la Cabeza, Recargables y Multifuncionales - Conectan a Varios Dispositivos, soportan Radio FM, Tarjeta TF y AUX - 4 Horas de Reproducción Musical - Ideal para Trabajo Cotidiano, Juegos y Estudio</t>
        </is>
      </c>
      <c r="H196" s="16" t="inlineStr">
        <is>
          <t>NEGRO</t>
        </is>
      </c>
      <c r="I196" s="16" t="n">
        <v>1</v>
      </c>
      <c r="J196" s="17" t="n">
        <v>37.71</v>
      </c>
      <c r="K196" s="17" t="n">
        <v>50.83</v>
      </c>
      <c r="L196" s="17" t="n">
        <v>25.86</v>
      </c>
      <c r="M196" s="17" t="n">
        <v>0</v>
      </c>
      <c r="N196" s="17">
        <f>K196*0.08+L196*0.08</f>
        <v/>
      </c>
      <c r="O196" s="17">
        <f>-(K196*0.025+L196*0.025)</f>
        <v/>
      </c>
      <c r="P196" s="17">
        <f>32</f>
        <v/>
      </c>
      <c r="Q196" s="17">
        <f>J196+L196+N196+O196-P196-M196</f>
        <v/>
      </c>
    </row>
    <row r="197">
      <c r="A197" s="16" t="inlineStr">
        <is>
          <t>5.1-5.7</t>
        </is>
      </c>
      <c r="B197" s="16" t="inlineStr">
        <is>
          <t>PO-128-19356497823353891</t>
        </is>
      </c>
      <c r="C197" s="16" t="inlineStr">
        <is>
          <t>Delivered</t>
        </is>
      </c>
      <c r="D197" s="16" t="inlineStr">
        <is>
          <t>128-19356529280633891</t>
        </is>
      </c>
      <c r="E197" s="16" t="inlineStr">
        <is>
          <t>Delivered</t>
        </is>
      </c>
      <c r="F197" s="16" t="inlineStr">
        <is>
          <t>LB02235-negro</t>
        </is>
      </c>
      <c r="G197" s="16" t="inlineStr">
        <is>
          <t>Audífonos Inalámbricos para la Cabeza, Recargables y Multifuncionales - Conectan a Varios Dispositivos, soportan Radio FM, Tarjeta TF y AUX - 4 Horas de Reproducción Musical - Ideal para Trabajo Cotidiano, Juegos y Estudio</t>
        </is>
      </c>
      <c r="H197" s="16" t="inlineStr">
        <is>
          <t>NEGRO</t>
        </is>
      </c>
      <c r="I197" s="16" t="n">
        <v>1</v>
      </c>
      <c r="J197" s="17" t="n">
        <v>37.71</v>
      </c>
      <c r="K197" s="17" t="n">
        <v>50.83</v>
      </c>
      <c r="L197" s="17" t="n">
        <v>25.86</v>
      </c>
      <c r="M197" s="17" t="n">
        <v>0</v>
      </c>
      <c r="N197" s="17">
        <f>K197*0.08+L197*0.08</f>
        <v/>
      </c>
      <c r="O197" s="17">
        <f>-(K197*0.025+L197*0.025)</f>
        <v/>
      </c>
      <c r="P197" s="17">
        <f>32</f>
        <v/>
      </c>
      <c r="Q197" s="17">
        <f>J197+L197+N197+O197-P197-M197</f>
        <v/>
      </c>
    </row>
    <row r="198">
      <c r="A198" s="16" t="inlineStr">
        <is>
          <t>5.1-5.7</t>
        </is>
      </c>
      <c r="B198" s="16" t="inlineStr">
        <is>
          <t>PO-128-19919280517750598</t>
        </is>
      </c>
      <c r="C198" s="16" t="inlineStr">
        <is>
          <t>Delivered</t>
        </is>
      </c>
      <c r="D198" s="16" t="inlineStr">
        <is>
          <t>128-19919285760630598</t>
        </is>
      </c>
      <c r="E198" s="16" t="inlineStr">
        <is>
          <t>Delivered</t>
        </is>
      </c>
      <c r="F198" s="16" t="inlineStr">
        <is>
          <t>LB02235-azul</t>
        </is>
      </c>
      <c r="G198" s="16" t="inlineStr">
        <is>
          <t>Audífonos Inalámbricos para la Cabeza, Recargables y Multifuncionales - Conectan a Varios Dispositivos, soportan Radio FM, Tarjeta TF y AUX - 4 Horas de Reproducción Musical - Ideal para Trabajo Cotidiano, Juegos y Estudio</t>
        </is>
      </c>
      <c r="H198" s="16" t="inlineStr">
        <is>
          <t>AZUL</t>
        </is>
      </c>
      <c r="I198" s="16" t="n">
        <v>2</v>
      </c>
      <c r="J198" s="17" t="n">
        <v>73.59999999999999</v>
      </c>
      <c r="K198" s="17" t="n">
        <v>86.70999999999999</v>
      </c>
      <c r="L198" s="17" t="n">
        <v>0</v>
      </c>
      <c r="M198" s="17" t="n">
        <v>0</v>
      </c>
      <c r="N198" s="17">
        <f>K198*0.08+L198*0.08</f>
        <v/>
      </c>
      <c r="O198" s="17">
        <f>-(K198*0.025+L198*0.025)</f>
        <v/>
      </c>
      <c r="P198" s="17">
        <f>32</f>
        <v/>
      </c>
      <c r="Q198" s="17">
        <f>J198+L198+N198+O198-P198-M198</f>
        <v/>
      </c>
    </row>
    <row r="199">
      <c r="A199" s="16" t="inlineStr">
        <is>
          <t>5.1-5.7</t>
        </is>
      </c>
      <c r="B199" s="16" t="inlineStr">
        <is>
          <t>PO-128-19919280517750598</t>
        </is>
      </c>
      <c r="C199" s="16" t="inlineStr">
        <is>
          <t>Delivered</t>
        </is>
      </c>
      <c r="D199" s="16" t="inlineStr">
        <is>
          <t>128-19919275274870598</t>
        </is>
      </c>
      <c r="E199" s="16" t="inlineStr">
        <is>
          <t>Delivered</t>
        </is>
      </c>
      <c r="F199" s="16" t="inlineStr">
        <is>
          <t>LB02235-blanco</t>
        </is>
      </c>
      <c r="G199" s="16" t="inlineStr">
        <is>
          <t>Audífonos Inalámbricos para la Cabeza, Recargables y Multifuncionales - Conectan a Varios Dispositivos, soportan Radio FM, Tarjeta TF y AUX - 4 Horas de Reproducción Musical - Ideal para Trabajo Cotidiano, Juegos y Estudio</t>
        </is>
      </c>
      <c r="H199" s="16" t="inlineStr">
        <is>
          <t>BLANCO</t>
        </is>
      </c>
      <c r="I199" s="16" t="n">
        <v>2</v>
      </c>
      <c r="J199" s="17" t="n">
        <v>75.42</v>
      </c>
      <c r="K199" s="17" t="n">
        <v>88.31</v>
      </c>
      <c r="L199" s="17" t="n">
        <v>0</v>
      </c>
      <c r="M199" s="17" t="n">
        <v>0</v>
      </c>
      <c r="N199" s="17">
        <f>K199*0.08+L199*0.08</f>
        <v/>
      </c>
      <c r="O199" s="17">
        <f>-(K199*0.025+L199*0.025)</f>
        <v/>
      </c>
      <c r="P199" s="17">
        <f>32</f>
        <v/>
      </c>
      <c r="Q199" s="17">
        <f>J199+L199+N199+O199-P199-M199</f>
        <v/>
      </c>
    </row>
    <row r="200">
      <c r="A200" s="16" t="inlineStr">
        <is>
          <t>5.1-5.7</t>
        </is>
      </c>
      <c r="B200" s="16" t="inlineStr">
        <is>
          <t>PO-128-19919280517750598</t>
        </is>
      </c>
      <c r="C200" s="16" t="inlineStr">
        <is>
          <t>Delivered</t>
        </is>
      </c>
      <c r="D200" s="16" t="inlineStr">
        <is>
          <t>128-19919264789110598</t>
        </is>
      </c>
      <c r="E200" s="16" t="inlineStr">
        <is>
          <t>Delivered</t>
        </is>
      </c>
      <c r="F200" s="16" t="inlineStr">
        <is>
          <t>LB02235-rojo</t>
        </is>
      </c>
      <c r="G200" s="16" t="inlineStr">
        <is>
          <t>Audífonos Inalámbricos para la Cabeza, Recargables y Multifuncionales - Conectan a Varios Dispositivos, soportan Radio FM, Tarjeta TF y AUX - 4 Horas de Reproducción Musical - Ideal para Trabajo Cotidiano, Juegos y Estudio</t>
        </is>
      </c>
      <c r="H200" s="16" t="inlineStr">
        <is>
          <t>ROJO</t>
        </is>
      </c>
      <c r="I200" s="16" t="n">
        <v>2</v>
      </c>
      <c r="J200" s="17" t="n">
        <v>75.42</v>
      </c>
      <c r="K200" s="17" t="n">
        <v>88.31</v>
      </c>
      <c r="L200" s="17" t="n">
        <v>0</v>
      </c>
      <c r="M200" s="17" t="n">
        <v>0</v>
      </c>
      <c r="N200" s="17">
        <f>K200*0.08+L200*0.08</f>
        <v/>
      </c>
      <c r="O200" s="17">
        <f>-(K200*0.025+L200*0.025)</f>
        <v/>
      </c>
      <c r="P200" s="17">
        <f>32</f>
        <v/>
      </c>
      <c r="Q200" s="17">
        <f>J200+L200+N200+O200-P200-M200</f>
        <v/>
      </c>
    </row>
    <row r="201">
      <c r="A201" s="16" t="inlineStr">
        <is>
          <t>5.1-5.7</t>
        </is>
      </c>
      <c r="B201" s="16" t="inlineStr">
        <is>
          <t>PO-128-19623365919351402</t>
        </is>
      </c>
      <c r="C201" s="16" t="inlineStr">
        <is>
          <t>Delivered</t>
        </is>
      </c>
      <c r="D201" s="16" t="inlineStr">
        <is>
          <t>128-19623407862391402</t>
        </is>
      </c>
      <c r="E201" s="16" t="inlineStr">
        <is>
          <t>Delivered</t>
        </is>
      </c>
      <c r="F201" s="16" t="inlineStr">
        <is>
          <t>BS-22</t>
        </is>
      </c>
      <c r="G201" s="16" t="inlineStr">
        <is>
          <t>link bits Barra de Sonido para TV, 2x2" Altavoces + 2 Membranas de Graves, Sonido Claro ≥80dB, Bluetooth Inalámbrico, Conexiones AUX/USB, Diseño Compacto 76cm, Sonido Envolvente 3D para Cine en Casa, PC, Juegos y Fiestas</t>
        </is>
      </c>
      <c r="H201" s="16" t="inlineStr">
        <is>
          <t>BS-22</t>
        </is>
      </c>
      <c r="I201" s="16" t="n">
        <v>1</v>
      </c>
      <c r="J201" s="17" t="n">
        <v>260</v>
      </c>
      <c r="K201" s="17" t="n">
        <v>222.02</v>
      </c>
      <c r="L201" s="17" t="n">
        <v>0</v>
      </c>
      <c r="M201" s="17" t="n">
        <v>0</v>
      </c>
      <c r="N201" s="17">
        <f>K201*0.08+L201*0.08</f>
        <v/>
      </c>
      <c r="O201" s="17">
        <f>-(K201*0.025+L201*0.025)</f>
        <v/>
      </c>
      <c r="P201" s="17">
        <f>32</f>
        <v/>
      </c>
      <c r="Q201" s="17">
        <f>J201+L201+N201+O201-P201-M201</f>
        <v/>
      </c>
    </row>
    <row r="202">
      <c r="A202" s="16" t="inlineStr">
        <is>
          <t>5.1-5.7</t>
        </is>
      </c>
      <c r="B202" s="16" t="inlineStr">
        <is>
          <t>PO-128-19263790735993355</t>
        </is>
      </c>
      <c r="C202" s="16" t="inlineStr">
        <is>
          <t>Delivered</t>
        </is>
      </c>
      <c r="D202" s="16" t="inlineStr">
        <is>
          <t>128-19263807775353355</t>
        </is>
      </c>
      <c r="E202" s="16" t="inlineStr">
        <is>
          <t>Delivered</t>
        </is>
      </c>
      <c r="F202" s="16" t="inlineStr">
        <is>
          <t>BS-22</t>
        </is>
      </c>
      <c r="G202" s="16" t="inlineStr">
        <is>
          <t>link bits Barra de Sonido para TV, 2x2" Altavoces + 2 Membranas de Graves, Sonido Claro ≥80dB, Bluetooth Inalámbrico, Conexiones AUX/USB, Diseño Compacto 76cm, Sonido Envolvente 3D para Cine en Casa, PC, Juegos y Fiestas</t>
        </is>
      </c>
      <c r="H202" s="16" t="inlineStr">
        <is>
          <t>BS-22</t>
        </is>
      </c>
      <c r="I202" s="16" t="n">
        <v>1</v>
      </c>
      <c r="J202" s="17" t="n">
        <v>260</v>
      </c>
      <c r="K202" s="17" t="n">
        <v>239.7</v>
      </c>
      <c r="L202" s="17" t="n">
        <v>0</v>
      </c>
      <c r="M202" s="17" t="n">
        <v>0</v>
      </c>
      <c r="N202" s="17">
        <f>K202*0.08+L202*0.08</f>
        <v/>
      </c>
      <c r="O202" s="17">
        <f>-(K202*0.025+L202*0.025)</f>
        <v/>
      </c>
      <c r="P202" s="17">
        <f>32</f>
        <v/>
      </c>
      <c r="Q202" s="17">
        <f>J202+L202+N202+O202-P202-M202</f>
        <v/>
      </c>
    </row>
    <row r="203">
      <c r="A203" s="16" t="inlineStr">
        <is>
          <t>5.1-5.7</t>
        </is>
      </c>
      <c r="B203" s="16" t="inlineStr">
        <is>
          <t>PO-128-19594975263351445</t>
        </is>
      </c>
      <c r="C203" s="16" t="inlineStr">
        <is>
          <t>Delivered</t>
        </is>
      </c>
      <c r="D203" s="16" t="inlineStr">
        <is>
          <t>128-19594988370551445</t>
        </is>
      </c>
      <c r="E203" s="16" t="inlineStr">
        <is>
          <t>Delivered</t>
        </is>
      </c>
      <c r="F203" s="16" t="inlineStr">
        <is>
          <t>SA323T</t>
        </is>
      </c>
      <c r="G203" s="16" t="inlineStr">
        <is>
          <t>Linkbits Bocina Portátil Parlantes BT Portátiles con Iluminación de Ambiente | 1 Hora de Duración, FM, TWS, TF/Micro SD | Ideal para Hogar, Fiestas y Viajes</t>
        </is>
      </c>
      <c r="H203" s="16" t="inlineStr">
        <is>
          <t>SA323T</t>
        </is>
      </c>
      <c r="I203" s="16" t="n">
        <v>1</v>
      </c>
      <c r="J203" s="17" t="n">
        <v>46</v>
      </c>
      <c r="K203" s="17" t="n">
        <v>44.06</v>
      </c>
      <c r="L203" s="17" t="n">
        <v>25.86</v>
      </c>
      <c r="M203" s="17" t="n">
        <v>0</v>
      </c>
      <c r="N203" s="17">
        <f>K203*0.08+L203*0.08</f>
        <v/>
      </c>
      <c r="O203" s="17">
        <f>-(K203*0.025+L203*0.025)</f>
        <v/>
      </c>
      <c r="P203" s="17">
        <f>32</f>
        <v/>
      </c>
      <c r="Q203" s="17">
        <f>J203+L203+N203+O203-P203-M203</f>
        <v/>
      </c>
    </row>
    <row r="204">
      <c r="A204" s="16" t="inlineStr">
        <is>
          <t>5.1-5.7</t>
        </is>
      </c>
      <c r="B204" s="16" t="inlineStr">
        <is>
          <t>PO-128-19445636035192399</t>
        </is>
      </c>
      <c r="C204" s="16" t="inlineStr">
        <is>
          <t>Delivered</t>
        </is>
      </c>
      <c r="D204" s="16" t="inlineStr">
        <is>
          <t>128-19445691085432399</t>
        </is>
      </c>
      <c r="E204" s="16" t="inlineStr">
        <is>
          <t>Delivered</t>
        </is>
      </c>
      <c r="F204" s="16" t="inlineStr">
        <is>
          <t>LB02235-azul</t>
        </is>
      </c>
      <c r="G204" s="16" t="inlineStr">
        <is>
          <t>Audífonos Inalámbricos para la Cabeza, Recargables y Multifuncionales - Conectan a Varios Dispositivos, soportan Radio FM, Tarjeta TF y AUX - 4 Horas de Reproducción Musical - Ideal para Trabajo Cotidiano, Juegos y Estudio</t>
        </is>
      </c>
      <c r="H204" s="16" t="inlineStr">
        <is>
          <t>AZUL</t>
        </is>
      </c>
      <c r="I204" s="16" t="n">
        <v>1</v>
      </c>
      <c r="J204" s="17" t="n">
        <v>36.8</v>
      </c>
      <c r="K204" s="17" t="n">
        <v>49.91</v>
      </c>
      <c r="L204" s="17" t="n">
        <v>25.86</v>
      </c>
      <c r="M204" s="17" t="n">
        <v>0</v>
      </c>
      <c r="N204" s="17">
        <f>K204*0.08+L204*0.08</f>
        <v/>
      </c>
      <c r="O204" s="17">
        <f>-(K204*0.025+L204*0.025)</f>
        <v/>
      </c>
      <c r="P204" s="17">
        <f>32</f>
        <v/>
      </c>
      <c r="Q204" s="17">
        <f>J204+L204+N204+O204-P204-M204</f>
        <v/>
      </c>
    </row>
    <row r="205">
      <c r="A205" s="16" t="inlineStr">
        <is>
          <t>5.1-5.7</t>
        </is>
      </c>
      <c r="B205" s="16" t="inlineStr">
        <is>
          <t>PO-128-19530749553272850</t>
        </is>
      </c>
      <c r="C205" s="16" t="inlineStr">
        <is>
          <t>Delivered</t>
        </is>
      </c>
      <c r="D205" s="16" t="inlineStr">
        <is>
          <t>128-19530791496312850</t>
        </is>
      </c>
      <c r="E205" s="16" t="inlineStr">
        <is>
          <t>Delivered</t>
        </is>
      </c>
      <c r="F205" s="16" t="inlineStr">
        <is>
          <t>KTS-1678Y</t>
        </is>
      </c>
      <c r="G205" s="16" t="inlineStr">
        <is>
          <t>Bocina portátil Inalámbrico, de 3 pulgadas, tamaño de bolsillo, 170 g, con asa, compatible con TF, USB y Micro SD, con radio FM y función TWS (True Wireless Stereo), adecuada para relajarse en casa o viajar al aire libre.</t>
        </is>
      </c>
      <c r="H205" s="16" t="inlineStr">
        <is>
          <t>KTS-1678Y</t>
        </is>
      </c>
      <c r="I205" s="16" t="n">
        <v>1</v>
      </c>
      <c r="J205" s="17" t="n">
        <v>42.5</v>
      </c>
      <c r="K205" s="17" t="n">
        <v>5.62</v>
      </c>
      <c r="L205" s="17" t="n">
        <v>25.86</v>
      </c>
      <c r="M205" s="17" t="n">
        <v>0</v>
      </c>
      <c r="N205" s="17">
        <f>K205*0.08+L205*0.08</f>
        <v/>
      </c>
      <c r="O205" s="17">
        <f>-(K205*0.025+L205*0.025)</f>
        <v/>
      </c>
      <c r="P205" s="17">
        <f>32</f>
        <v/>
      </c>
      <c r="Q205" s="17">
        <f>J205+L205+N205+O205-P205-M205</f>
        <v/>
      </c>
    </row>
    <row r="206">
      <c r="A206" s="16" t="inlineStr">
        <is>
          <t>5.1-5.7</t>
        </is>
      </c>
      <c r="B206" s="16" t="inlineStr">
        <is>
          <t>PO-128-19534333558392895</t>
        </is>
      </c>
      <c r="C206" s="16" t="inlineStr">
        <is>
          <t>Delivered</t>
        </is>
      </c>
      <c r="D206" s="16" t="inlineStr">
        <is>
          <t>128-19534245740152895</t>
        </is>
      </c>
      <c r="E206" s="16" t="inlineStr">
        <is>
          <t>Delivered</t>
        </is>
      </c>
      <c r="F206" s="16" t="inlineStr">
        <is>
          <t>MB-185A</t>
        </is>
      </c>
      <c r="G206" s="16" t="inlineStr">
        <is>
          <t>Bocina Radio FM/Reproductor, Compatible con Tarjeta TF, USB, Bluetooth, Aplicable para celular, computadora, Ipad y consola.</t>
        </is>
      </c>
      <c r="H206" s="16" t="inlineStr">
        <is>
          <t>AZUL/MB-185</t>
        </is>
      </c>
      <c r="I206" s="16" t="n">
        <v>1</v>
      </c>
      <c r="J206" s="17" t="n">
        <v>75.5</v>
      </c>
      <c r="K206" s="17" t="n">
        <v>88.45999999999999</v>
      </c>
      <c r="L206" s="17" t="n">
        <v>25.86</v>
      </c>
      <c r="M206" s="17" t="n">
        <v>0</v>
      </c>
      <c r="N206" s="17">
        <f>K206*0.08+L206*0.08</f>
        <v/>
      </c>
      <c r="O206" s="17">
        <f>-(K206*0.025+L206*0.025)</f>
        <v/>
      </c>
      <c r="P206" s="17">
        <f>32</f>
        <v/>
      </c>
      <c r="Q206" s="17">
        <f>J206+L206+N206+O206-P206-M206</f>
        <v/>
      </c>
    </row>
    <row r="207">
      <c r="A207" s="16" t="inlineStr">
        <is>
          <t>5.1-5.7</t>
        </is>
      </c>
      <c r="B207" s="16" t="inlineStr">
        <is>
          <t>PO-128-19493349965432115</t>
        </is>
      </c>
      <c r="C207" s="16" t="inlineStr">
        <is>
          <t>Delivered</t>
        </is>
      </c>
      <c r="D207" s="16" t="inlineStr">
        <is>
          <t>128-19493308022392115</t>
        </is>
      </c>
      <c r="E207" s="16" t="inlineStr">
        <is>
          <t>Delivered</t>
        </is>
      </c>
      <c r="F207" s="16" t="inlineStr">
        <is>
          <t>LB02235-blanco</t>
        </is>
      </c>
      <c r="G207" s="16" t="inlineStr">
        <is>
          <t>Audífonos Inalámbricos para la Cabeza, Recargables y Multifuncionales - Conectan a Varios Dispositivos, soportan Radio FM, Tarjeta TF y AUX - 4 Horas de Reproducción Musical - Ideal para Trabajo Cotidiano, Juegos y Estudio</t>
        </is>
      </c>
      <c r="H207" s="16" t="inlineStr">
        <is>
          <t>BLANCO</t>
        </is>
      </c>
      <c r="I207" s="16" t="n">
        <v>1</v>
      </c>
      <c r="J207" s="17" t="n">
        <v>37.71</v>
      </c>
      <c r="K207" s="17" t="n">
        <v>50.83</v>
      </c>
      <c r="L207" s="17" t="n">
        <v>25.86</v>
      </c>
      <c r="M207" s="17" t="n">
        <v>0</v>
      </c>
      <c r="N207" s="17">
        <f>K207*0.08+L207*0.08</f>
        <v/>
      </c>
      <c r="O207" s="17">
        <f>-(K207*0.025+L207*0.025)</f>
        <v/>
      </c>
      <c r="P207" s="17">
        <f>32</f>
        <v/>
      </c>
      <c r="Q207" s="17">
        <f>J207+L207+N207+O207-P207-M207</f>
        <v/>
      </c>
    </row>
    <row r="208">
      <c r="A208" s="16" t="inlineStr">
        <is>
          <t>5.1-5.7</t>
        </is>
      </c>
      <c r="B208" s="16" t="inlineStr">
        <is>
          <t>PO-128-19465623496312214</t>
        </is>
      </c>
      <c r="C208" s="16" t="inlineStr">
        <is>
          <t>Delivered</t>
        </is>
      </c>
      <c r="D208" s="16" t="inlineStr">
        <is>
          <t>128-19465728353912214</t>
        </is>
      </c>
      <c r="E208" s="16" t="inlineStr">
        <is>
          <t>Delivered</t>
        </is>
      </c>
      <c r="F208" s="16" t="inlineStr">
        <is>
          <t>MCM-001G</t>
        </is>
      </c>
      <c r="G208" s="16" t="inlineStr">
        <is>
          <t>Musicord Altavoz Inalámbrico BT Portátil: ¡Sonido impactante, luces LED multicolores y 4 horas de autonomía! Compatible con TWS, FM, TF y USB – Imprescindible para fiestas y viajes</t>
        </is>
      </c>
      <c r="H208" s="16" t="inlineStr">
        <is>
          <t>GRIS</t>
        </is>
      </c>
      <c r="I208" s="16" t="n">
        <v>2</v>
      </c>
      <c r="J208" s="17" t="n">
        <v>102.14</v>
      </c>
      <c r="K208" s="17" t="n">
        <v>124.72</v>
      </c>
      <c r="L208" s="17" t="n">
        <v>25.86</v>
      </c>
      <c r="M208" s="17" t="n">
        <v>0</v>
      </c>
      <c r="N208" s="17">
        <f>K208*0.08+L208*0.08</f>
        <v/>
      </c>
      <c r="O208" s="17">
        <f>-(K208*0.025+L208*0.025)</f>
        <v/>
      </c>
      <c r="P208" s="17">
        <f>32</f>
        <v/>
      </c>
      <c r="Q208" s="17">
        <f>J208+L208+N208+O208-P208-M208</f>
        <v/>
      </c>
    </row>
    <row r="209">
      <c r="A209" s="16" t="inlineStr">
        <is>
          <t>5.1-5.7</t>
        </is>
      </c>
      <c r="B209" s="16" t="inlineStr">
        <is>
          <t>PO-128-19701538427511832</t>
        </is>
      </c>
      <c r="C209" s="16" t="inlineStr">
        <is>
          <t>Delivered</t>
        </is>
      </c>
      <c r="D209" s="16" t="inlineStr">
        <is>
          <t>128-19701548913271832</t>
        </is>
      </c>
      <c r="E209" s="16" t="inlineStr">
        <is>
          <t>Delivered</t>
        </is>
      </c>
      <c r="F209" s="16" t="inlineStr">
        <is>
          <t>LB02235-negro</t>
        </is>
      </c>
      <c r="G209" s="16" t="inlineStr">
        <is>
          <t>Audífonos Inalámbricos para la Cabeza, Recargables y Multifuncionales - Conectan a Varios Dispositivos, soportan Radio FM, Tarjeta TF y AUX - 4 Horas de Reproducción Musical - Ideal para Trabajo Cotidiano, Juegos y Estudio</t>
        </is>
      </c>
      <c r="H209" s="16" t="inlineStr">
        <is>
          <t>NEGRO</t>
        </is>
      </c>
      <c r="I209" s="16" t="n">
        <v>1</v>
      </c>
      <c r="J209" s="17" t="n">
        <v>37.71</v>
      </c>
      <c r="K209" s="17" t="n">
        <v>45.75</v>
      </c>
      <c r="L209" s="17" t="n">
        <v>25.86</v>
      </c>
      <c r="M209" s="17" t="n">
        <v>0</v>
      </c>
      <c r="N209" s="17">
        <f>K209*0.08+L209*0.08</f>
        <v/>
      </c>
      <c r="O209" s="17">
        <f>-(K209*0.025+L209*0.025)</f>
        <v/>
      </c>
      <c r="P209" s="17">
        <f>32</f>
        <v/>
      </c>
      <c r="Q209" s="17">
        <f>J209+L209+N209+O209-P209-M209</f>
        <v/>
      </c>
    </row>
    <row r="210">
      <c r="A210" s="16" t="inlineStr">
        <is>
          <t>5.1-5.7</t>
        </is>
      </c>
      <c r="B210" s="16" t="inlineStr">
        <is>
          <t>PO-128-19389355756153823</t>
        </is>
      </c>
      <c r="C210" s="16" t="inlineStr">
        <is>
          <t>Delivered</t>
        </is>
      </c>
      <c r="D210" s="16" t="inlineStr">
        <is>
          <t>128-19389404559993823</t>
        </is>
      </c>
      <c r="E210" s="16" t="inlineStr">
        <is>
          <t>Delivered</t>
        </is>
      </c>
      <c r="F210" s="16" t="inlineStr">
        <is>
          <t>LB02235-negro</t>
        </is>
      </c>
      <c r="G210" s="16" t="inlineStr">
        <is>
          <t>Audífonos Inalámbricos para la Cabeza, Recargables y Multifuncionales - Conectan a Varios Dispositivos, soportan Radio FM, Tarjeta TF y AUX - 4 Horas de Reproducción Musical - Ideal para Trabajo Cotidiano, Juegos y Estudio</t>
        </is>
      </c>
      <c r="H210" s="16" t="inlineStr">
        <is>
          <t>NEGRO</t>
        </is>
      </c>
      <c r="I210" s="16" t="n">
        <v>1</v>
      </c>
      <c r="J210" s="17" t="n">
        <v>37.71</v>
      </c>
      <c r="K210" s="17" t="n">
        <v>50.83</v>
      </c>
      <c r="L210" s="17" t="n">
        <v>25.07</v>
      </c>
      <c r="M210" s="17" t="n">
        <v>0</v>
      </c>
      <c r="N210" s="17">
        <f>K210*0.08+L210*0.08</f>
        <v/>
      </c>
      <c r="O210" s="17">
        <f>-(K210*0.025+L210*0.025)</f>
        <v/>
      </c>
      <c r="P210" s="17">
        <f>32</f>
        <v/>
      </c>
      <c r="Q210" s="17">
        <f>J210+L210+N210+O210-P210-M210</f>
        <v/>
      </c>
    </row>
    <row r="211">
      <c r="A211" s="16" t="inlineStr">
        <is>
          <t>5.1-5.7</t>
        </is>
      </c>
      <c r="B211" s="16" t="inlineStr">
        <is>
          <t>PO-128-19389355756153823</t>
        </is>
      </c>
      <c r="C211" s="16" t="inlineStr">
        <is>
          <t>Delivered</t>
        </is>
      </c>
      <c r="D211" s="16" t="inlineStr">
        <is>
          <t>128-19389408184953823</t>
        </is>
      </c>
      <c r="E211" s="16" t="inlineStr">
        <is>
          <t>Delivered</t>
        </is>
      </c>
      <c r="F211" s="16" t="inlineStr">
        <is>
          <t>SA323T</t>
        </is>
      </c>
      <c r="G211" s="16" t="inlineStr">
        <is>
          <t>Linkbits Bocina Portátil Parlantes BT Portátiles con Iluminación de Ambiente | 1 Hora de Duración, FM, TWS, TF/Micro SD | Ideal para Hogar, Fiestas y Viajes</t>
        </is>
      </c>
      <c r="H211" s="16" t="inlineStr">
        <is>
          <t>SA323T</t>
        </is>
      </c>
      <c r="I211" s="16" t="n">
        <v>1</v>
      </c>
      <c r="J211" s="17" t="n">
        <v>46</v>
      </c>
      <c r="K211" s="17" t="n">
        <v>1.62</v>
      </c>
      <c r="L211" s="17" t="n">
        <v>0.79</v>
      </c>
      <c r="M211" s="17" t="n">
        <v>0</v>
      </c>
      <c r="N211" s="17">
        <f>K211*0.08+L211*0.08</f>
        <v/>
      </c>
      <c r="O211" s="17">
        <f>-(K211*0.025+L211*0.025)</f>
        <v/>
      </c>
      <c r="P211" s="17">
        <f>32</f>
        <v/>
      </c>
      <c r="Q211" s="17">
        <f>J211+L211+N211+O211-P211-M211</f>
        <v/>
      </c>
    </row>
    <row r="212">
      <c r="A212" s="16" t="inlineStr">
        <is>
          <t>5.1-5.7</t>
        </is>
      </c>
      <c r="B212" s="16" t="inlineStr">
        <is>
          <t>PO-128-19327740887673996</t>
        </is>
      </c>
      <c r="C212" s="16" t="inlineStr">
        <is>
          <t>Delivered</t>
        </is>
      </c>
      <c r="D212" s="16" t="inlineStr">
        <is>
          <t>128-19327782830713996</t>
        </is>
      </c>
      <c r="E212" s="16" t="inlineStr">
        <is>
          <t>Delivered</t>
        </is>
      </c>
      <c r="F212" s="16" t="inlineStr">
        <is>
          <t>MCM-001N</t>
        </is>
      </c>
      <c r="G212" s="16" t="inlineStr">
        <is>
          <t>Musicord Altavoz Inalámbrico BT Portátil: ¡Sonido impactante, luces LED multicolores y 4 horas de autonomía! Compatible con TWS, FM, TF y USB – Imprescindible para fiestas y viajes</t>
        </is>
      </c>
      <c r="H212" s="16" t="inlineStr">
        <is>
          <t>NEGRO</t>
        </is>
      </c>
      <c r="I212" s="16" t="n">
        <v>2</v>
      </c>
      <c r="J212" s="17" t="n">
        <v>122</v>
      </c>
      <c r="K212" s="17" t="n">
        <v>122.9</v>
      </c>
      <c r="L212" s="17" t="n">
        <v>25.86</v>
      </c>
      <c r="M212" s="17" t="n">
        <v>0</v>
      </c>
      <c r="N212" s="17">
        <f>K212*0.08+L212*0.08</f>
        <v/>
      </c>
      <c r="O212" s="17">
        <f>-(K212*0.025+L212*0.025)</f>
        <v/>
      </c>
      <c r="P212" s="17">
        <f>32</f>
        <v/>
      </c>
      <c r="Q212" s="17">
        <f>J212+L212+N212+O212-P212-M212</f>
        <v/>
      </c>
    </row>
    <row r="213">
      <c r="A213" s="16" t="inlineStr">
        <is>
          <t>5.1-5.7</t>
        </is>
      </c>
      <c r="B213" s="16" t="inlineStr">
        <is>
          <t>PO-128-19564530115192587</t>
        </is>
      </c>
      <c r="C213" s="16" t="inlineStr">
        <is>
          <t>Delivered</t>
        </is>
      </c>
      <c r="D213" s="16" t="inlineStr">
        <is>
          <t>128-19564551086712587</t>
        </is>
      </c>
      <c r="E213" s="16" t="inlineStr">
        <is>
          <t>Delivered</t>
        </is>
      </c>
      <c r="F213" s="16" t="inlineStr">
        <is>
          <t>SA325T</t>
        </is>
      </c>
      <c r="G213" s="16" t="inlineStr">
        <is>
          <t>Subwoofer Portátil Inalámbrico con Luces RGB, Sonido de Alta Potencia y Batería Duradera, TWS TF USB, Perfecto para Campamento Fiestas y Entretenimiento en Casa</t>
        </is>
      </c>
      <c r="H213" s="16" t="inlineStr">
        <is>
          <t>NEGRO</t>
        </is>
      </c>
      <c r="I213" s="16" t="n">
        <v>1</v>
      </c>
      <c r="J213" s="17" t="n">
        <v>37.99</v>
      </c>
      <c r="K213" s="17" t="n">
        <v>47.04</v>
      </c>
      <c r="L213" s="17" t="n">
        <v>25.86</v>
      </c>
      <c r="M213" s="17" t="n">
        <v>0</v>
      </c>
      <c r="N213" s="17">
        <f>K213*0.08+L213*0.08</f>
        <v/>
      </c>
      <c r="O213" s="17">
        <f>-(K213*0.025+L213*0.025)</f>
        <v/>
      </c>
      <c r="P213" s="17">
        <f>32</f>
        <v/>
      </c>
      <c r="Q213" s="17">
        <f>J213+L213+N213+O213-P213-M213</f>
        <v/>
      </c>
    </row>
    <row r="214">
      <c r="A214" s="16" t="inlineStr">
        <is>
          <t>5.1-5.7</t>
        </is>
      </c>
      <c r="B214" s="16" t="inlineStr">
        <is>
          <t>PO-128-19903597896310756</t>
        </is>
      </c>
      <c r="C214" s="16" t="inlineStr">
        <is>
          <t>Delivered</t>
        </is>
      </c>
      <c r="D214" s="16" t="inlineStr">
        <is>
          <t>128-19903618867830756</t>
        </is>
      </c>
      <c r="E214" s="16" t="inlineStr">
        <is>
          <t>Delivered</t>
        </is>
      </c>
      <c r="F214" s="16" t="inlineStr">
        <is>
          <t>MB-185N</t>
        </is>
      </c>
      <c r="G214" s="16" t="inlineStr">
        <is>
          <t>Bocina Radio FM/Reproductor, Compatible con Tarjeta TF, USB, Bluetooth, Aplicable para celular, computadora, Ipad y consola.</t>
        </is>
      </c>
      <c r="H214" s="16" t="inlineStr">
        <is>
          <t>NEGRO/MB-185</t>
        </is>
      </c>
      <c r="I214" s="16" t="n">
        <v>1</v>
      </c>
      <c r="J214" s="17" t="n">
        <v>75.5</v>
      </c>
      <c r="K214" s="17" t="n">
        <v>88.45999999999999</v>
      </c>
      <c r="L214" s="17" t="n">
        <v>25.86</v>
      </c>
      <c r="M214" s="17" t="n">
        <v>0</v>
      </c>
      <c r="N214" s="17">
        <f>K214*0.08+L214*0.08</f>
        <v/>
      </c>
      <c r="O214" s="17">
        <f>-(K214*0.025+L214*0.025)</f>
        <v/>
      </c>
      <c r="P214" s="17">
        <f>32</f>
        <v/>
      </c>
      <c r="Q214" s="17">
        <f>J214+L214+N214+O214-P214-M214</f>
        <v/>
      </c>
    </row>
    <row r="215">
      <c r="A215" s="16" t="inlineStr">
        <is>
          <t>5.1-5.7</t>
        </is>
      </c>
      <c r="B215" s="16" t="inlineStr">
        <is>
          <t>PO-128-19533948181112897</t>
        </is>
      </c>
      <c r="C215" s="16" t="inlineStr">
        <is>
          <t>Delivered</t>
        </is>
      </c>
      <c r="D215" s="16" t="inlineStr">
        <is>
          <t>128-19533927209592897</t>
        </is>
      </c>
      <c r="E215" s="16" t="inlineStr">
        <is>
          <t>Delivered</t>
        </is>
      </c>
      <c r="F215" s="16" t="inlineStr">
        <is>
          <t>LB02235-negro</t>
        </is>
      </c>
      <c r="G215" s="16" t="inlineStr">
        <is>
          <t>Audífonos Inalámbricos para la Cabeza, Recargables y Multifuncionales - Conectan a Varios Dispositivos, soportan Radio FM, Tarjeta TF y AUX - 4 Horas de Reproducción Musical - Ideal para Trabajo Cotidiano, Juegos y Estudio</t>
        </is>
      </c>
      <c r="H215" s="16" t="inlineStr">
        <is>
          <t>NEGRO</t>
        </is>
      </c>
      <c r="I215" s="16" t="n">
        <v>1</v>
      </c>
      <c r="J215" s="17" t="n">
        <v>37.71</v>
      </c>
      <c r="K215" s="17" t="n">
        <v>50.83</v>
      </c>
      <c r="L215" s="17" t="n">
        <v>25.86</v>
      </c>
      <c r="M215" s="17" t="n">
        <v>0</v>
      </c>
      <c r="N215" s="17">
        <f>K215*0.08+L215*0.08</f>
        <v/>
      </c>
      <c r="O215" s="17">
        <f>-(K215*0.025+L215*0.025)</f>
        <v/>
      </c>
      <c r="P215" s="17">
        <f>32</f>
        <v/>
      </c>
      <c r="Q215" s="17">
        <f>J215+L215+N215+O215-P215-M215</f>
        <v/>
      </c>
    </row>
    <row r="216">
      <c r="A216" s="16" t="inlineStr">
        <is>
          <t>5.1-5.7</t>
        </is>
      </c>
      <c r="B216" s="16" t="inlineStr">
        <is>
          <t>PO-128-19247325348473516</t>
        </is>
      </c>
      <c r="C216" s="16" t="inlineStr">
        <is>
          <t>Delivered</t>
        </is>
      </c>
      <c r="D216" s="16" t="inlineStr">
        <is>
          <t>128-19247304376953516</t>
        </is>
      </c>
      <c r="E216" s="16" t="inlineStr">
        <is>
          <t>Delivered</t>
        </is>
      </c>
      <c r="F216" s="16" t="inlineStr">
        <is>
          <t>AIR50W06-2P</t>
        </is>
      </c>
      <c r="G216" s="16" t="inlineStr">
        <is>
          <t>Link Bits Ventilador de piso de 16 pulgadas, 2 unidades, 3 velocidades, motor silencioso, flujo de aire fuerte, altura ajustable, oscilación amplia, ventilador eléctrico para el hogar, ideal para sala, recámara y oficina</t>
        </is>
      </c>
      <c r="H216" s="16" t="inlineStr">
        <is>
          <t>2PZ</t>
        </is>
      </c>
      <c r="I216" s="16" t="n">
        <v>1</v>
      </c>
      <c r="J216" s="17" t="n">
        <v>445</v>
      </c>
      <c r="K216" s="17" t="n">
        <v>491.42</v>
      </c>
      <c r="L216" s="17" t="n">
        <v>0</v>
      </c>
      <c r="M216" s="17" t="n">
        <v>0</v>
      </c>
      <c r="N216" s="17">
        <f>K216*0.08+L216*0.08</f>
        <v/>
      </c>
      <c r="O216" s="17">
        <f>-(K216*0.025+L216*0.025)</f>
        <v/>
      </c>
      <c r="P216" s="17">
        <f>32</f>
        <v/>
      </c>
      <c r="Q216" s="17">
        <f>J216+L216+N216+O216-P216-M216</f>
        <v/>
      </c>
    </row>
    <row r="217">
      <c r="A217" s="16" t="inlineStr">
        <is>
          <t>5.1-5.7</t>
        </is>
      </c>
      <c r="B217" s="16" t="inlineStr">
        <is>
          <t>PO-128-19691872927352018</t>
        </is>
      </c>
      <c r="C217" s="16" t="inlineStr">
        <is>
          <t>Delivered</t>
        </is>
      </c>
      <c r="D217" s="16" t="inlineStr">
        <is>
          <t>128-19691893898872018</t>
        </is>
      </c>
      <c r="E217" s="16" t="inlineStr">
        <is>
          <t>Delivered</t>
        </is>
      </c>
      <c r="F217" s="16" t="inlineStr">
        <is>
          <t>LB02235-negro</t>
        </is>
      </c>
      <c r="G217" s="16" t="inlineStr">
        <is>
          <t>Audífonos Inalámbricos para la Cabeza, Recargables y Multifuncionales - Conectan a Varios Dispositivos, soportan Radio FM, Tarjeta TF y AUX - 4 Horas de Reproducción Musical - Ideal para Trabajo Cotidiano, Juegos y Estudio</t>
        </is>
      </c>
      <c r="H217" s="16" t="inlineStr">
        <is>
          <t>NEGRO</t>
        </is>
      </c>
      <c r="I217" s="16" t="n">
        <v>1</v>
      </c>
      <c r="J217" s="17" t="n">
        <v>37.71</v>
      </c>
      <c r="K217" s="17" t="n">
        <v>50.83</v>
      </c>
      <c r="L217" s="17" t="n">
        <v>25.86</v>
      </c>
      <c r="M217" s="17" t="n">
        <v>0</v>
      </c>
      <c r="N217" s="17">
        <f>K217*0.08+L217*0.08</f>
        <v/>
      </c>
      <c r="O217" s="17">
        <f>-(K217*0.025+L217*0.025)</f>
        <v/>
      </c>
      <c r="P217" s="17">
        <f>32</f>
        <v/>
      </c>
      <c r="Q217" s="17">
        <f>J217+L217+N217+O217-P217-M217</f>
        <v/>
      </c>
    </row>
    <row r="218">
      <c r="A218" s="16" t="inlineStr">
        <is>
          <t>5.1-5.7</t>
        </is>
      </c>
      <c r="B218" s="16" t="inlineStr">
        <is>
          <t>PO-128-19267827794553331</t>
        </is>
      </c>
      <c r="C218" s="16" t="inlineStr">
        <is>
          <t>Delivered</t>
        </is>
      </c>
      <c r="D218" s="16" t="inlineStr">
        <is>
          <t>128-19267848766073331</t>
        </is>
      </c>
      <c r="E218" s="16" t="inlineStr">
        <is>
          <t>Delivered</t>
        </is>
      </c>
      <c r="F218" s="16" t="inlineStr">
        <is>
          <t>KTS-1678V</t>
        </is>
      </c>
      <c r="G218" s="16" t="inlineStr">
        <is>
          <t>Bocina portátil Inalámbrico, de 3 pulgadas, tamaño de bolsillo, 170 g, con asa, compatible con TF, USB y Micro SD, con radio FM y función TWS (True Wireless Stereo), adecuada para relajarse en casa o viajar al aire libre.</t>
        </is>
      </c>
      <c r="H218" s="16" t="inlineStr">
        <is>
          <t>KTS-1678V</t>
        </is>
      </c>
      <c r="I218" s="16" t="n">
        <v>1</v>
      </c>
      <c r="J218" s="17" t="n">
        <v>42.5</v>
      </c>
      <c r="K218" s="17" t="n">
        <v>48.72</v>
      </c>
      <c r="L218" s="17" t="n">
        <v>25.86</v>
      </c>
      <c r="M218" s="17" t="n">
        <v>0</v>
      </c>
      <c r="N218" s="17">
        <f>K218*0.08+L218*0.08</f>
        <v/>
      </c>
      <c r="O218" s="17">
        <f>-(K218*0.025+L218*0.025)</f>
        <v/>
      </c>
      <c r="P218" s="17">
        <f>32</f>
        <v/>
      </c>
      <c r="Q218" s="17">
        <f>J218+L218+N218+O218-P218-M218</f>
        <v/>
      </c>
    </row>
    <row r="219">
      <c r="A219" s="16" t="inlineStr">
        <is>
          <t>5.1-5.7</t>
        </is>
      </c>
      <c r="B219" s="16" t="inlineStr">
        <is>
          <t>PO-128-19890125880950644</t>
        </is>
      </c>
      <c r="C219" s="16" t="inlineStr">
        <is>
          <t>Delivered</t>
        </is>
      </c>
      <c r="D219" s="16" t="inlineStr">
        <is>
          <t>128-19890167823990644</t>
        </is>
      </c>
      <c r="E219" s="16" t="inlineStr">
        <is>
          <t>Delivered</t>
        </is>
      </c>
      <c r="F219" s="16" t="inlineStr">
        <is>
          <t>LB02235-blanco</t>
        </is>
      </c>
      <c r="G219" s="16" t="inlineStr">
        <is>
          <t>Audífonos Inalámbricos para la Cabeza, Recargables y Multifuncionales - Conectan a Varios Dispositivos, soportan Radio FM, Tarjeta TF y AUX - 4 Horas de Reproducción Musical - Ideal para Trabajo Cotidiano, Juegos y Estudio</t>
        </is>
      </c>
      <c r="H219" s="16" t="inlineStr">
        <is>
          <t>BLANCO</t>
        </is>
      </c>
      <c r="I219" s="16" t="n">
        <v>1</v>
      </c>
      <c r="J219" s="17" t="n">
        <v>37.71</v>
      </c>
      <c r="K219" s="17" t="n">
        <v>50.83</v>
      </c>
      <c r="L219" s="17" t="n">
        <v>25.86</v>
      </c>
      <c r="M219" s="17" t="n">
        <v>0</v>
      </c>
      <c r="N219" s="17">
        <f>K219*0.08+L219*0.08</f>
        <v/>
      </c>
      <c r="O219" s="17">
        <f>-(K219*0.025+L219*0.025)</f>
        <v/>
      </c>
      <c r="P219" s="17">
        <f>32</f>
        <v/>
      </c>
      <c r="Q219" s="17">
        <f>J219+L219+N219+O219-P219-M219</f>
        <v/>
      </c>
    </row>
    <row r="220">
      <c r="A220" s="16" t="inlineStr">
        <is>
          <t>5.1-5.7</t>
        </is>
      </c>
      <c r="B220" s="16" t="inlineStr">
        <is>
          <t>PO-128-19548667863672745</t>
        </is>
      </c>
      <c r="C220" s="16" t="inlineStr">
        <is>
          <t>Delivered</t>
        </is>
      </c>
      <c r="D220" s="16" t="inlineStr">
        <is>
          <t>128-19548772721272745</t>
        </is>
      </c>
      <c r="E220" s="16" t="inlineStr">
        <is>
          <t>Delivered</t>
        </is>
      </c>
      <c r="F220" s="16" t="inlineStr">
        <is>
          <t>LB02235-negro</t>
        </is>
      </c>
      <c r="G220" s="16" t="inlineStr">
        <is>
          <t>Audífonos Inalámbricos para la Cabeza, Recargables y Multifuncionales - Conectan a Varios Dispositivos, soportan Radio FM, Tarjeta TF y AUX - 4 Horas de Reproducción Musical - Ideal para Trabajo Cotidiano, Juegos y Estudio</t>
        </is>
      </c>
      <c r="H220" s="16" t="inlineStr">
        <is>
          <t>NEGRO</t>
        </is>
      </c>
      <c r="I220" s="16" t="n">
        <v>1</v>
      </c>
      <c r="J220" s="17" t="n">
        <v>37.71</v>
      </c>
      <c r="K220" s="17" t="n">
        <v>50.83</v>
      </c>
      <c r="L220" s="17" t="n">
        <v>25.86</v>
      </c>
      <c r="M220" s="17" t="n">
        <v>0</v>
      </c>
      <c r="N220" s="17">
        <f>K220*0.08+L220*0.08</f>
        <v/>
      </c>
      <c r="O220" s="17">
        <f>-(K220*0.025+L220*0.025)</f>
        <v/>
      </c>
      <c r="P220" s="17">
        <f>32</f>
        <v/>
      </c>
      <c r="Q220" s="17">
        <f>J220+L220+N220+O220-P220-M220</f>
        <v/>
      </c>
    </row>
    <row r="221">
      <c r="A221" s="16" t="inlineStr">
        <is>
          <t>5.1-5.7</t>
        </is>
      </c>
      <c r="B221" s="16" t="inlineStr">
        <is>
          <t>PO-128-19868715520630772</t>
        </is>
      </c>
      <c r="C221" s="16" t="inlineStr">
        <is>
          <t>Delivered</t>
        </is>
      </c>
      <c r="D221" s="16" t="inlineStr">
        <is>
          <t>128-19868673577590772</t>
        </is>
      </c>
      <c r="E221" s="16" t="inlineStr">
        <is>
          <t>Delivered</t>
        </is>
      </c>
      <c r="F221" s="16" t="inlineStr">
        <is>
          <t>LB02235-blanco</t>
        </is>
      </c>
      <c r="G221" s="16" t="inlineStr">
        <is>
          <t>Audífonos Inalámbricos para la Cabeza, Recargables y Multifuncionales - Conectan a Varios Dispositivos, soportan Radio FM, Tarjeta TF y AUX - 4 Horas de Reproducción Musical - Ideal para Trabajo Cotidiano, Juegos y Estudio</t>
        </is>
      </c>
      <c r="H221" s="16" t="inlineStr">
        <is>
          <t>BLANCO</t>
        </is>
      </c>
      <c r="I221" s="16" t="n">
        <v>1</v>
      </c>
      <c r="J221" s="17" t="n">
        <v>37.71</v>
      </c>
      <c r="K221" s="17" t="n">
        <v>50.83</v>
      </c>
      <c r="L221" s="17" t="n">
        <v>25.86</v>
      </c>
      <c r="M221" s="17" t="n">
        <v>0</v>
      </c>
      <c r="N221" s="17">
        <f>K221*0.08+L221*0.08</f>
        <v/>
      </c>
      <c r="O221" s="17">
        <f>-(K221*0.025+L221*0.025)</f>
        <v/>
      </c>
      <c r="P221" s="17">
        <f>32</f>
        <v/>
      </c>
      <c r="Q221" s="17">
        <f>J221+L221+N221+O221-P221-M221</f>
        <v/>
      </c>
    </row>
    <row r="222">
      <c r="A222" s="16" t="inlineStr">
        <is>
          <t>5.1-5.7</t>
        </is>
      </c>
      <c r="B222" s="16" t="inlineStr">
        <is>
          <t>PO-128-19283357143673431</t>
        </is>
      </c>
      <c r="C222" s="16" t="inlineStr">
        <is>
          <t>Delivered</t>
        </is>
      </c>
      <c r="D222" s="16" t="inlineStr">
        <is>
          <t>128-19283315200633431</t>
        </is>
      </c>
      <c r="E222" s="16" t="inlineStr">
        <is>
          <t>Delivered</t>
        </is>
      </c>
      <c r="F222" s="16" t="inlineStr">
        <is>
          <t>SA325T</t>
        </is>
      </c>
      <c r="G222" s="16" t="inlineStr">
        <is>
          <t>Subwoofer Portátil Inalámbrico con Luces RGB, Sonido de Alta Potencia y Batería Duradera, TWS TF USB, Perfecto para Campamento Fiestas y Entretenimiento en Casa</t>
        </is>
      </c>
      <c r="H222" s="16" t="inlineStr">
        <is>
          <t>NEGRO</t>
        </is>
      </c>
      <c r="I222" s="16" t="n">
        <v>1</v>
      </c>
      <c r="J222" s="17" t="n">
        <v>37.99</v>
      </c>
      <c r="K222" s="17" t="n">
        <v>47.04</v>
      </c>
      <c r="L222" s="17" t="n">
        <v>25.86</v>
      </c>
      <c r="M222" s="17" t="n">
        <v>0</v>
      </c>
      <c r="N222" s="17">
        <f>K222*0.08+L222*0.08</f>
        <v/>
      </c>
      <c r="O222" s="17">
        <f>-(K222*0.025+L222*0.025)</f>
        <v/>
      </c>
      <c r="P222" s="17">
        <f>32</f>
        <v/>
      </c>
      <c r="Q222" s="17">
        <f>J222+L222+N222+O222-P222-M222</f>
        <v/>
      </c>
    </row>
    <row r="223">
      <c r="A223" s="16" t="inlineStr">
        <is>
          <t>5.1-5.7</t>
        </is>
      </c>
      <c r="B223" s="16" t="inlineStr">
        <is>
          <t>PO-128-19913349719670570</t>
        </is>
      </c>
      <c r="C223" s="16" t="inlineStr">
        <is>
          <t>Delivered</t>
        </is>
      </c>
      <c r="D223" s="16" t="inlineStr">
        <is>
          <t>128-19913307776630570</t>
        </is>
      </c>
      <c r="E223" s="16" t="inlineStr">
        <is>
          <t>Delivered</t>
        </is>
      </c>
      <c r="F223" s="16" t="inlineStr">
        <is>
          <t>BS-22</t>
        </is>
      </c>
      <c r="G223" s="16" t="inlineStr">
        <is>
          <t>link bits Barra de Sonido para TV, 2x2" Altavoces + 2 Membranas de Graves, Sonido Claro ≥80dB, Bluetooth Inalámbrico, Conexiones AUX/USB, Diseño Compacto 76cm, Sonido Envolvente 3D para Cine en Casa, PC, Juegos y Fiestas</t>
        </is>
      </c>
      <c r="H223" s="16" t="inlineStr">
        <is>
          <t>BS-22</t>
        </is>
      </c>
      <c r="I223" s="16" t="n">
        <v>1</v>
      </c>
      <c r="J223" s="17" t="n">
        <v>260</v>
      </c>
      <c r="K223" s="17" t="n">
        <v>299.61</v>
      </c>
      <c r="L223" s="17" t="n">
        <v>0</v>
      </c>
      <c r="M223" s="17" t="n">
        <v>0</v>
      </c>
      <c r="N223" s="17">
        <f>K223*0.08+L223*0.08</f>
        <v/>
      </c>
      <c r="O223" s="17">
        <f>-(K223*0.025+L223*0.025)</f>
        <v/>
      </c>
      <c r="P223" s="17">
        <f>32</f>
        <v/>
      </c>
      <c r="Q223" s="17">
        <f>J223+L223+N223+O223-P223-M223</f>
        <v/>
      </c>
    </row>
    <row r="224">
      <c r="A224" s="16" t="inlineStr">
        <is>
          <t>5.1-5.7</t>
        </is>
      </c>
      <c r="B224" s="16" t="inlineStr">
        <is>
          <t>PO-128-19395477084793592</t>
        </is>
      </c>
      <c r="C224" s="16" t="inlineStr">
        <is>
          <t>Delivered</t>
        </is>
      </c>
      <c r="D224" s="16" t="inlineStr">
        <is>
          <t>128-19395629128313592</t>
        </is>
      </c>
      <c r="E224" s="16" t="inlineStr">
        <is>
          <t>Delivered</t>
        </is>
      </c>
      <c r="F224" s="16" t="inlineStr">
        <is>
          <t>MB-185A</t>
        </is>
      </c>
      <c r="G224" s="16" t="inlineStr">
        <is>
          <t>Bocina Radio FM/Reproductor, Compatible con Tarjeta TF, USB, Bluetooth, Aplicable para celular, computadora, Ipad y consola.</t>
        </is>
      </c>
      <c r="H224" s="16" t="inlineStr">
        <is>
          <t>AZUL/MB-185</t>
        </is>
      </c>
      <c r="I224" s="16" t="n">
        <v>2</v>
      </c>
      <c r="J224" s="17" t="n">
        <v>151</v>
      </c>
      <c r="K224" s="17" t="n">
        <v>176.92</v>
      </c>
      <c r="L224" s="17" t="n">
        <v>25.86</v>
      </c>
      <c r="M224" s="17" t="n">
        <v>0</v>
      </c>
      <c r="N224" s="17">
        <f>K224*0.08+L224*0.08</f>
        <v/>
      </c>
      <c r="O224" s="17">
        <f>-(K224*0.025+L224*0.025)</f>
        <v/>
      </c>
      <c r="P224" s="17">
        <f>32</f>
        <v/>
      </c>
      <c r="Q224" s="17">
        <f>J224+L224+N224+O224-P224-M224</f>
        <v/>
      </c>
    </row>
    <row r="225">
      <c r="A225" s="16" t="inlineStr">
        <is>
          <t>5.1-5.7</t>
        </is>
      </c>
      <c r="B225" s="16" t="inlineStr">
        <is>
          <t>PO-128-19757781253750411</t>
        </is>
      </c>
      <c r="C225" s="16" t="inlineStr">
        <is>
          <t>Delivered</t>
        </is>
      </c>
      <c r="D225" s="16" t="inlineStr">
        <is>
          <t>128-19757849411190411</t>
        </is>
      </c>
      <c r="E225" s="16" t="inlineStr">
        <is>
          <t>Delivered</t>
        </is>
      </c>
      <c r="F225" s="16" t="inlineStr">
        <is>
          <t>MB-185N</t>
        </is>
      </c>
      <c r="G225" s="16" t="inlineStr">
        <is>
          <t>Bocina Radio FM/Reproductor, Compatible con Tarjeta TF, USB, Bluetooth, Aplicable para celular, computadora, Ipad y consola.</t>
        </is>
      </c>
      <c r="H225" s="16" t="inlineStr">
        <is>
          <t>NEGRO/MB-185</t>
        </is>
      </c>
      <c r="I225" s="16" t="n">
        <v>1</v>
      </c>
      <c r="J225" s="17" t="n">
        <v>75.5</v>
      </c>
      <c r="K225" s="17" t="n">
        <v>75.19</v>
      </c>
      <c r="L225" s="17" t="n">
        <v>25.86</v>
      </c>
      <c r="M225" s="17" t="n">
        <v>0</v>
      </c>
      <c r="N225" s="17">
        <f>K225*0.08+L225*0.08</f>
        <v/>
      </c>
      <c r="O225" s="17">
        <f>-(K225*0.025+L225*0.025)</f>
        <v/>
      </c>
      <c r="P225" s="17">
        <f>32</f>
        <v/>
      </c>
      <c r="Q225" s="17">
        <f>J225+L225+N225+O225-P225-M225</f>
        <v/>
      </c>
    </row>
    <row r="226">
      <c r="A226" s="16" t="inlineStr">
        <is>
          <t>5.1-5.7</t>
        </is>
      </c>
      <c r="B226" s="16" t="inlineStr">
        <is>
          <t>PO-128-19480210079352065</t>
        </is>
      </c>
      <c r="C226" s="16" t="inlineStr">
        <is>
          <t>Delivered</t>
        </is>
      </c>
      <c r="D226" s="16" t="inlineStr">
        <is>
          <t>128-19480346394232065</t>
        </is>
      </c>
      <c r="E226" s="16" t="inlineStr">
        <is>
          <t>Delivered</t>
        </is>
      </c>
      <c r="F226" s="16" t="inlineStr">
        <is>
          <t>LB02235-rojo</t>
        </is>
      </c>
      <c r="G226" s="16" t="inlineStr">
        <is>
          <t>Audífonos Inalámbricos para la Cabeza, Recargables y Multifuncionales - Conectan a Varios Dispositivos, soportan Radio FM, Tarjeta TF y AUX - 4 Horas de Reproducción Musical - Ideal para Trabajo Cotidiano, Juegos y Estudio</t>
        </is>
      </c>
      <c r="H226" s="16" t="inlineStr">
        <is>
          <t>ROJO</t>
        </is>
      </c>
      <c r="I226" s="16" t="n">
        <v>1</v>
      </c>
      <c r="J226" s="17" t="n">
        <v>37.71</v>
      </c>
      <c r="K226" s="17" t="n">
        <v>7.73</v>
      </c>
      <c r="L226" s="17" t="n">
        <v>25.86</v>
      </c>
      <c r="M226" s="17" t="n">
        <v>0</v>
      </c>
      <c r="N226" s="17">
        <f>K226*0.08+L226*0.08</f>
        <v/>
      </c>
      <c r="O226" s="17">
        <f>-(K226*0.025+L226*0.025)</f>
        <v/>
      </c>
      <c r="P226" s="17">
        <f>32</f>
        <v/>
      </c>
      <c r="Q226" s="17">
        <f>J226+L226+N226+O226-P226-M226</f>
        <v/>
      </c>
    </row>
    <row r="227">
      <c r="A227" s="16" t="inlineStr">
        <is>
          <t>5.1-5.7</t>
        </is>
      </c>
      <c r="B227" s="16" t="inlineStr">
        <is>
          <t>PO-128-19730447626871788</t>
        </is>
      </c>
      <c r="C227" s="16" t="inlineStr">
        <is>
          <t>Delivered</t>
        </is>
      </c>
      <c r="D227" s="16" t="inlineStr">
        <is>
          <t>128-19730426655351788</t>
        </is>
      </c>
      <c r="E227" s="16" t="inlineStr">
        <is>
          <t>Delivered</t>
        </is>
      </c>
      <c r="F227" s="16" t="inlineStr">
        <is>
          <t>LB02235-blanco</t>
        </is>
      </c>
      <c r="G227" s="16" t="inlineStr">
        <is>
          <t>Audífonos Inalámbricos para la Cabeza, Recargables y Multifuncionales - Conectan a Varios Dispositivos, soportan Radio FM, Tarjeta TF y AUX - 4 Horas de Reproducción Musical - Ideal para Trabajo Cotidiano, Juegos y Estudio</t>
        </is>
      </c>
      <c r="H227" s="16" t="inlineStr">
        <is>
          <t>BLANCO</t>
        </is>
      </c>
      <c r="I227" s="16" t="n">
        <v>2</v>
      </c>
      <c r="J227" s="17" t="n">
        <v>75.42</v>
      </c>
      <c r="K227" s="17" t="n">
        <v>73.45999999999999</v>
      </c>
      <c r="L227" s="17" t="n">
        <v>0</v>
      </c>
      <c r="M227" s="17" t="n">
        <v>1.76</v>
      </c>
      <c r="N227" s="17">
        <f>K227*0.08+L227*0.08</f>
        <v/>
      </c>
      <c r="O227" s="17">
        <f>-(K227*0.025+L227*0.025)</f>
        <v/>
      </c>
      <c r="P227" s="17">
        <f>32</f>
        <v/>
      </c>
      <c r="Q227" s="17">
        <f>J227+L227+N227+O227-P227-M227</f>
        <v/>
      </c>
    </row>
    <row r="228">
      <c r="A228" s="16" t="inlineStr">
        <is>
          <t>5.1-5.7</t>
        </is>
      </c>
      <c r="B228" s="16" t="inlineStr">
        <is>
          <t>PO-128-19730447626871788</t>
        </is>
      </c>
      <c r="C228" s="16" t="inlineStr">
        <is>
          <t>Delivered</t>
        </is>
      </c>
      <c r="D228" s="16" t="inlineStr">
        <is>
          <t>128-19730384712311788</t>
        </is>
      </c>
      <c r="E228" s="16" t="inlineStr">
        <is>
          <t>Delivered</t>
        </is>
      </c>
      <c r="F228" s="16" t="inlineStr">
        <is>
          <t>LB02235-rojo</t>
        </is>
      </c>
      <c r="G228" s="16" t="inlineStr">
        <is>
          <t>Audífonos Inalámbricos para la Cabeza, Recargables y Multifuncionales - Conectan a Varios Dispositivos, soportan Radio FM, Tarjeta TF y AUX - 4 Horas de Reproducción Musical - Ideal para Trabajo Cotidiano, Juegos y Estudio</t>
        </is>
      </c>
      <c r="H228" s="16" t="inlineStr">
        <is>
          <t>ROJO</t>
        </is>
      </c>
      <c r="I228" s="16" t="n">
        <v>3</v>
      </c>
      <c r="J228" s="17" t="n">
        <v>113.13</v>
      </c>
      <c r="K228" s="17" t="n">
        <v>110.21</v>
      </c>
      <c r="L228" s="17" t="n">
        <v>0</v>
      </c>
      <c r="M228" s="17" t="n">
        <v>2.01</v>
      </c>
      <c r="N228" s="17">
        <f>K228*0.08+L228*0.08</f>
        <v/>
      </c>
      <c r="O228" s="17">
        <f>-(K228*0.025+L228*0.025)</f>
        <v/>
      </c>
      <c r="P228" s="17">
        <f>32</f>
        <v/>
      </c>
      <c r="Q228" s="17">
        <f>J228+L228+N228+O228-P228-M228</f>
        <v/>
      </c>
    </row>
    <row r="229">
      <c r="A229" s="16" t="inlineStr">
        <is>
          <t>5.1-5.7</t>
        </is>
      </c>
      <c r="B229" s="16" t="inlineStr">
        <is>
          <t>PO-128-19730447626871788</t>
        </is>
      </c>
      <c r="C229" s="16" t="inlineStr">
        <is>
          <t>Delivered</t>
        </is>
      </c>
      <c r="D229" s="16" t="inlineStr">
        <is>
          <t>128-19730468598391788</t>
        </is>
      </c>
      <c r="E229" s="16" t="inlineStr">
        <is>
          <t>Delivered</t>
        </is>
      </c>
      <c r="F229" s="16" t="inlineStr">
        <is>
          <t>VA384T-N</t>
        </is>
      </c>
      <c r="G229" s="16" t="inlineStr">
        <is>
          <t>Bocina Portátil Bluetooth de 3 Pulgadas con Radio FM, USB TF TWS, Sonido Estéreo 5W, Bocina Recargable para Hogar Exterior Viaje Fiesta Camping</t>
        </is>
      </c>
      <c r="H229" s="16" t="inlineStr">
        <is>
          <t>NEGRO</t>
        </is>
      </c>
      <c r="I229" s="16" t="n">
        <v>3</v>
      </c>
      <c r="J229" s="17" t="n">
        <v>148.8</v>
      </c>
      <c r="K229" s="17" t="n">
        <v>130.78</v>
      </c>
      <c r="L229" s="17" t="n">
        <v>0</v>
      </c>
      <c r="M229" s="17" t="n">
        <v>1.29</v>
      </c>
      <c r="N229" s="17">
        <f>K229*0.08+L229*0.08</f>
        <v/>
      </c>
      <c r="O229" s="17">
        <f>-(K229*0.025+L229*0.025)</f>
        <v/>
      </c>
      <c r="P229" s="17">
        <f>32</f>
        <v/>
      </c>
      <c r="Q229" s="17">
        <f>J229+L229+N229+O229-P229-M229</f>
        <v/>
      </c>
    </row>
    <row r="230">
      <c r="A230" s="16" t="inlineStr">
        <is>
          <t>5.1-5.7</t>
        </is>
      </c>
      <c r="B230" s="16" t="inlineStr">
        <is>
          <t>PO-128-19536145848952882</t>
        </is>
      </c>
      <c r="C230" s="16" t="inlineStr">
        <is>
          <t>Delivered</t>
        </is>
      </c>
      <c r="D230" s="16" t="inlineStr">
        <is>
          <t>128-19536228751992882</t>
        </is>
      </c>
      <c r="E230" s="16" t="inlineStr">
        <is>
          <t>Delivered</t>
        </is>
      </c>
      <c r="F230" s="16" t="inlineStr">
        <is>
          <t>VB347T</t>
        </is>
      </c>
      <c r="G23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0" s="16" t="inlineStr">
        <is>
          <t>1 pieza</t>
        </is>
      </c>
      <c r="I230" s="16" t="n">
        <v>3</v>
      </c>
      <c r="J230" s="17" t="n">
        <v>239.67</v>
      </c>
      <c r="K230" s="17" t="n">
        <v>198.47</v>
      </c>
      <c r="L230" s="17" t="n">
        <v>0</v>
      </c>
      <c r="M230" s="17" t="n">
        <v>0</v>
      </c>
      <c r="N230" s="17">
        <f>K230*0.08+L230*0.08</f>
        <v/>
      </c>
      <c r="O230" s="17">
        <f>-(K230*0.025+L230*0.025)</f>
        <v/>
      </c>
      <c r="P230" s="17">
        <f>32</f>
        <v/>
      </c>
      <c r="Q230" s="17">
        <f>J230+L230+N230+O230-P230-M230</f>
        <v/>
      </c>
    </row>
    <row r="231">
      <c r="A231" s="16" t="inlineStr">
        <is>
          <t>5.1-5.7</t>
        </is>
      </c>
      <c r="B231" s="16" t="inlineStr">
        <is>
          <t>PO-128-19405743616633661</t>
        </is>
      </c>
      <c r="C231" s="16" t="inlineStr">
        <is>
          <t>Delivered</t>
        </is>
      </c>
      <c r="D231" s="16" t="inlineStr">
        <is>
          <t>128-19405764588153661</t>
        </is>
      </c>
      <c r="E231" s="16" t="inlineStr">
        <is>
          <t>Delivered</t>
        </is>
      </c>
      <c r="F231" s="16" t="inlineStr">
        <is>
          <t>MCM-001R</t>
        </is>
      </c>
      <c r="G231" s="16" t="inlineStr">
        <is>
          <t>Musicord Altavoz Inalámbrico BT Portátil: ¡Sonido impactante, luces LED multicolores y 4 horas de autonomía! Compatible con TWS, FM, TF y USB – Imprescindible para fiestas y viajes</t>
        </is>
      </c>
      <c r="H231" s="16" t="inlineStr">
        <is>
          <t>ROJO</t>
        </is>
      </c>
      <c r="I231" s="16" t="n">
        <v>1</v>
      </c>
      <c r="J231" s="17" t="n">
        <v>66.5</v>
      </c>
      <c r="K231" s="17" t="n">
        <v>77.79000000000001</v>
      </c>
      <c r="L231" s="17" t="n">
        <v>25.86</v>
      </c>
      <c r="M231" s="17" t="n">
        <v>0</v>
      </c>
      <c r="N231" s="17">
        <f>K231*0.08+L231*0.08</f>
        <v/>
      </c>
      <c r="O231" s="17">
        <f>-(K231*0.025+L231*0.025)</f>
        <v/>
      </c>
      <c r="P231" s="17">
        <f>32</f>
        <v/>
      </c>
      <c r="Q231" s="17">
        <f>J231+L231+N231+O231-P231-M231</f>
        <v/>
      </c>
    </row>
    <row r="232">
      <c r="A232" s="16" t="inlineStr">
        <is>
          <t>5.1-5.7</t>
        </is>
      </c>
      <c r="B232" s="16" t="inlineStr">
        <is>
          <t>PO-128-19678867589751969</t>
        </is>
      </c>
      <c r="C232" s="16" t="inlineStr">
        <is>
          <t>Delivered</t>
        </is>
      </c>
      <c r="D232" s="16" t="inlineStr">
        <is>
          <t>128-19678888561271969</t>
        </is>
      </c>
      <c r="E232" s="16" t="inlineStr">
        <is>
          <t>Delivered</t>
        </is>
      </c>
      <c r="F232" s="16" t="inlineStr">
        <is>
          <t>VB347T</t>
        </is>
      </c>
      <c r="G23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2" s="16" t="inlineStr">
        <is>
          <t>1 pieza</t>
        </is>
      </c>
      <c r="I232" s="16" t="n">
        <v>1</v>
      </c>
      <c r="J232" s="17" t="n">
        <v>79.89</v>
      </c>
      <c r="K232" s="17" t="n">
        <v>94.5</v>
      </c>
      <c r="L232" s="17" t="n">
        <v>25.86</v>
      </c>
      <c r="M232" s="17" t="n">
        <v>0</v>
      </c>
      <c r="N232" s="17">
        <f>K232*0.08+L232*0.08</f>
        <v/>
      </c>
      <c r="O232" s="17">
        <f>-(K232*0.025+L232*0.025)</f>
        <v/>
      </c>
      <c r="P232" s="17">
        <f>32</f>
        <v/>
      </c>
      <c r="Q232" s="17">
        <f>J232+L232+N232+O232-P232-M232</f>
        <v/>
      </c>
    </row>
    <row r="233">
      <c r="A233" s="16" t="inlineStr">
        <is>
          <t>5.1-5.7</t>
        </is>
      </c>
      <c r="B233" s="16" t="inlineStr">
        <is>
          <t>PO-128-19520496261753041</t>
        </is>
      </c>
      <c r="C233" s="16" t="inlineStr">
        <is>
          <t>Delivered</t>
        </is>
      </c>
      <c r="D233" s="16" t="inlineStr">
        <is>
          <t>128-19520517233273041</t>
        </is>
      </c>
      <c r="E233" s="16" t="inlineStr">
        <is>
          <t>Delivered</t>
        </is>
      </c>
      <c r="F233" s="16" t="inlineStr">
        <is>
          <t>VB347T</t>
        </is>
      </c>
      <c r="G23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3" s="16" t="inlineStr">
        <is>
          <t>1 pieza</t>
        </is>
      </c>
      <c r="I233" s="16" t="n">
        <v>1</v>
      </c>
      <c r="J233" s="17" t="n">
        <v>79.89</v>
      </c>
      <c r="K233" s="17" t="n">
        <v>94.5</v>
      </c>
      <c r="L233" s="17" t="n">
        <v>25.86</v>
      </c>
      <c r="M233" s="17" t="n">
        <v>0</v>
      </c>
      <c r="N233" s="17">
        <f>K233*0.08+L233*0.08</f>
        <v/>
      </c>
      <c r="O233" s="17">
        <f>-(K233*0.025+L233*0.025)</f>
        <v/>
      </c>
      <c r="P233" s="17">
        <f>32</f>
        <v/>
      </c>
      <c r="Q233" s="17">
        <f>J233+L233+N233+O233-P233-M233</f>
        <v/>
      </c>
    </row>
    <row r="234">
      <c r="A234" s="16" t="inlineStr">
        <is>
          <t>5.1-5.7</t>
        </is>
      </c>
      <c r="B234" s="16" t="inlineStr">
        <is>
          <t>PO-128-19604349952631517</t>
        </is>
      </c>
      <c r="C234" s="16" t="inlineStr">
        <is>
          <t>Delivered</t>
        </is>
      </c>
      <c r="D234" s="16" t="inlineStr">
        <is>
          <t>128-19604355195511517</t>
        </is>
      </c>
      <c r="E234" s="16" t="inlineStr">
        <is>
          <t>Delivered</t>
        </is>
      </c>
      <c r="F234" s="16" t="inlineStr">
        <is>
          <t>LB02235-azul</t>
        </is>
      </c>
      <c r="G234" s="16" t="inlineStr">
        <is>
          <t>Audífonos Inalámbricos para la Cabeza, Recargables y Multifuncionales - Conectan a Varios Dispositivos, soportan Radio FM, Tarjeta TF y AUX - 4 Horas de Reproducción Musical - Ideal para Trabajo Cotidiano, Juegos y Estudio</t>
        </is>
      </c>
      <c r="H234" s="16" t="inlineStr">
        <is>
          <t>AZUL</t>
        </is>
      </c>
      <c r="I234" s="16" t="n">
        <v>1</v>
      </c>
      <c r="J234" s="17" t="n">
        <v>36.8</v>
      </c>
      <c r="K234" s="17" t="n">
        <v>45.34</v>
      </c>
      <c r="L234" s="17" t="n">
        <v>25.86</v>
      </c>
      <c r="M234" s="17" t="n">
        <v>0</v>
      </c>
      <c r="N234" s="17">
        <f>K234*0.08+L234*0.08</f>
        <v/>
      </c>
      <c r="O234" s="17">
        <f>-(K234*0.025+L234*0.025)</f>
        <v/>
      </c>
      <c r="P234" s="17">
        <f>32</f>
        <v/>
      </c>
      <c r="Q234" s="17">
        <f>J234+L234+N234+O234-P234-M234</f>
        <v/>
      </c>
    </row>
    <row r="235">
      <c r="A235" s="16" t="inlineStr">
        <is>
          <t>5.1-5.7</t>
        </is>
      </c>
      <c r="B235" s="16" t="inlineStr">
        <is>
          <t>PO-128-19655203415671084</t>
        </is>
      </c>
      <c r="C235" s="16" t="inlineStr">
        <is>
          <t>Delivered</t>
        </is>
      </c>
      <c r="D235" s="16" t="inlineStr">
        <is>
          <t>128-19655224387191084</t>
        </is>
      </c>
      <c r="E235" s="16" t="inlineStr">
        <is>
          <t>Delivered</t>
        </is>
      </c>
      <c r="F235" s="16" t="inlineStr">
        <is>
          <t>SA323T</t>
        </is>
      </c>
      <c r="G235" s="16" t="inlineStr">
        <is>
          <t>Linkbits Bocina Portátil Parlantes BT Portátiles con Iluminación de Ambiente | 1 Hora de Duración, FM, TWS, TF/Micro SD | Ideal para Hogar, Fiestas y Viajes</t>
        </is>
      </c>
      <c r="H235" s="16" t="inlineStr">
        <is>
          <t>SA323T</t>
        </is>
      </c>
      <c r="I235" s="16" t="n">
        <v>1</v>
      </c>
      <c r="J235" s="17" t="n">
        <v>46</v>
      </c>
      <c r="K235" s="17" t="n">
        <v>44.06</v>
      </c>
      <c r="L235" s="17" t="n">
        <v>25.86</v>
      </c>
      <c r="M235" s="17" t="n">
        <v>0</v>
      </c>
      <c r="N235" s="17">
        <f>K235*0.08+L235*0.08</f>
        <v/>
      </c>
      <c r="O235" s="17">
        <f>-(K235*0.025+L235*0.025)</f>
        <v/>
      </c>
      <c r="P235" s="17">
        <f>32</f>
        <v/>
      </c>
      <c r="Q235" s="17">
        <f>J235+L235+N235+O235-P235-M235</f>
        <v/>
      </c>
    </row>
    <row r="236">
      <c r="A236" s="16" t="inlineStr">
        <is>
          <t>5.1-5.7</t>
        </is>
      </c>
      <c r="B236" s="16" t="inlineStr">
        <is>
          <t>PO-128-19840608082550109</t>
        </is>
      </c>
      <c r="C236" s="16" t="inlineStr">
        <is>
          <t>Delivered</t>
        </is>
      </c>
      <c r="D236" s="16" t="inlineStr">
        <is>
          <t>128-19840597596790109</t>
        </is>
      </c>
      <c r="E236" s="16" t="inlineStr">
        <is>
          <t>Delivered</t>
        </is>
      </c>
      <c r="F236" s="16" t="inlineStr">
        <is>
          <t>MB-185N</t>
        </is>
      </c>
      <c r="G236" s="16" t="inlineStr">
        <is>
          <t>Bocina Radio FM/Reproductor, Compatible con Tarjeta TF, USB, Bluetooth, Aplicable para celular, computadora, Ipad y consola.</t>
        </is>
      </c>
      <c r="H236" s="16" t="inlineStr">
        <is>
          <t>NEGRO/MB-185</t>
        </is>
      </c>
      <c r="I236" s="16" t="n">
        <v>1</v>
      </c>
      <c r="J236" s="17" t="n">
        <v>75.5</v>
      </c>
      <c r="K236" s="17" t="n">
        <v>88.45999999999999</v>
      </c>
      <c r="L236" s="17" t="n">
        <v>25.86</v>
      </c>
      <c r="M236" s="17" t="n">
        <v>0</v>
      </c>
      <c r="N236" s="17">
        <f>K236*0.08+L236*0.08</f>
        <v/>
      </c>
      <c r="O236" s="17">
        <f>-(K236*0.025+L236*0.025)</f>
        <v/>
      </c>
      <c r="P236" s="17">
        <f>32</f>
        <v/>
      </c>
      <c r="Q236" s="17">
        <f>J236+L236+N236+O236-P236-M236</f>
        <v/>
      </c>
    </row>
    <row r="237">
      <c r="A237" s="16" t="inlineStr">
        <is>
          <t>5.1-5.7</t>
        </is>
      </c>
      <c r="B237" s="16" t="inlineStr">
        <is>
          <t>PO-128-19444301824632343</t>
        </is>
      </c>
      <c r="C237" s="16" t="inlineStr">
        <is>
          <t>Delivered</t>
        </is>
      </c>
      <c r="D237" s="16" t="inlineStr">
        <is>
          <t>128-19444438139512343</t>
        </is>
      </c>
      <c r="E237" s="16" t="inlineStr">
        <is>
          <t>Delivered</t>
        </is>
      </c>
      <c r="F237" s="16" t="inlineStr">
        <is>
          <t>SA323T</t>
        </is>
      </c>
      <c r="G237" s="16" t="inlineStr">
        <is>
          <t>Linkbits Bocina Portátil Parlantes BT Portátiles con Iluminación de Ambiente | 1 Hora de Duración, FM, TWS, TF/Micro SD | Ideal para Hogar, Fiestas y Viajes</t>
        </is>
      </c>
      <c r="H237" s="16" t="inlineStr">
        <is>
          <t>SA323T</t>
        </is>
      </c>
      <c r="I237" s="16" t="n">
        <v>1</v>
      </c>
      <c r="J237" s="17" t="n">
        <v>46</v>
      </c>
      <c r="K237" s="17" t="n">
        <v>11.97</v>
      </c>
      <c r="L237" s="17" t="n">
        <v>25.86</v>
      </c>
      <c r="M237" s="17" t="n">
        <v>0</v>
      </c>
      <c r="N237" s="17">
        <f>K237*0.08+L237*0.08</f>
        <v/>
      </c>
      <c r="O237" s="17">
        <f>-(K237*0.025+L237*0.025)</f>
        <v/>
      </c>
      <c r="P237" s="17">
        <f>32</f>
        <v/>
      </c>
      <c r="Q237" s="17">
        <f>J237+L237+N237+O237-P237-M237</f>
        <v/>
      </c>
    </row>
    <row r="238">
      <c r="A238" s="16" t="inlineStr">
        <is>
          <t>5.1-5.7</t>
        </is>
      </c>
      <c r="B238" s="16" t="inlineStr">
        <is>
          <t>PO-128-19618656000631366</t>
        </is>
      </c>
      <c r="C238" s="16" t="inlineStr">
        <is>
          <t>Delivered</t>
        </is>
      </c>
      <c r="D238" s="16" t="inlineStr">
        <is>
          <t>128-19618682215031366</t>
        </is>
      </c>
      <c r="E238" s="16" t="inlineStr">
        <is>
          <t>Delivered</t>
        </is>
      </c>
      <c r="F238" s="16" t="inlineStr">
        <is>
          <t>MCM-001A</t>
        </is>
      </c>
      <c r="G238" s="16" t="inlineStr">
        <is>
          <t>Musicord Altavoz Inalámbrico BT Portátil: ¡Sonido impactante, luces LED multicolores y 4 horas de autonomía! Compatible con TWS, FM, TF y USB – Imprescindible para fiestas y viajes</t>
        </is>
      </c>
      <c r="H238" s="16" t="inlineStr">
        <is>
          <t>AZUL</t>
        </is>
      </c>
      <c r="I238" s="16" t="n">
        <v>1</v>
      </c>
      <c r="J238" s="17" t="n">
        <v>51.07</v>
      </c>
      <c r="K238" s="17" t="n">
        <v>59.47</v>
      </c>
      <c r="L238" s="17" t="n">
        <v>25.86</v>
      </c>
      <c r="M238" s="17" t="n">
        <v>0</v>
      </c>
      <c r="N238" s="17">
        <f>K238*0.08+L238*0.08</f>
        <v/>
      </c>
      <c r="O238" s="17">
        <f>-(K238*0.025+L238*0.025)</f>
        <v/>
      </c>
      <c r="P238" s="17">
        <f>32</f>
        <v/>
      </c>
      <c r="Q238" s="17">
        <f>J238+L238+N238+O238-P238-M238</f>
        <v/>
      </c>
    </row>
    <row r="239">
      <c r="A239" s="16" t="inlineStr">
        <is>
          <t>5.1-5.7</t>
        </is>
      </c>
      <c r="B239" s="16" t="inlineStr">
        <is>
          <t>PO-128-19524023624312826</t>
        </is>
      </c>
      <c r="C239" s="16" t="inlineStr">
        <is>
          <t>Delivered</t>
        </is>
      </c>
      <c r="D239" s="16" t="inlineStr">
        <is>
          <t>128-19524128481912826</t>
        </is>
      </c>
      <c r="E239" s="16" t="inlineStr">
        <is>
          <t>Delivered</t>
        </is>
      </c>
      <c r="F239" s="16" t="inlineStr">
        <is>
          <t>MB-185R</t>
        </is>
      </c>
      <c r="G239" s="16" t="inlineStr">
        <is>
          <t>Bocina Radio FM/Reproductor, Compatible con Tarjeta TF, USB, Bluetooth, Aplicable para celular, computadora, Ipad y consola.</t>
        </is>
      </c>
      <c r="H239" s="16" t="inlineStr">
        <is>
          <t>ROJO/MB-185</t>
        </is>
      </c>
      <c r="I239" s="16" t="n">
        <v>1</v>
      </c>
      <c r="J239" s="17" t="n">
        <v>75.59999999999999</v>
      </c>
      <c r="K239" s="17" t="n">
        <v>88.55</v>
      </c>
      <c r="L239" s="17" t="n">
        <v>25.86</v>
      </c>
      <c r="M239" s="17" t="n">
        <v>0</v>
      </c>
      <c r="N239" s="17">
        <f>K239*0.08+L239*0.08</f>
        <v/>
      </c>
      <c r="O239" s="17">
        <f>-(K239*0.025+L239*0.025)</f>
        <v/>
      </c>
      <c r="P239" s="17">
        <f>32</f>
        <v/>
      </c>
      <c r="Q239" s="17">
        <f>J239+L239+N239+O239-P239-M239</f>
        <v/>
      </c>
    </row>
    <row r="240">
      <c r="A240" s="16" t="inlineStr">
        <is>
          <t>5.1-5.7</t>
        </is>
      </c>
      <c r="B240" s="16" t="inlineStr">
        <is>
          <t>PO-128-19490902851192128</t>
        </is>
      </c>
      <c r="C240" s="16" t="inlineStr">
        <is>
          <t>Delivered</t>
        </is>
      </c>
      <c r="D240" s="16" t="inlineStr">
        <is>
          <t>128-19490860908152128</t>
        </is>
      </c>
      <c r="E240" s="16" t="inlineStr">
        <is>
          <t>Delivered</t>
        </is>
      </c>
      <c r="F240" s="16" t="inlineStr">
        <is>
          <t>VB347T</t>
        </is>
      </c>
      <c r="G24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0" s="16" t="inlineStr">
        <is>
          <t>1 pieza</t>
        </is>
      </c>
      <c r="I240" s="16" t="n">
        <v>1</v>
      </c>
      <c r="J240" s="17" t="n">
        <v>79.89</v>
      </c>
      <c r="K240" s="17" t="n">
        <v>94.5</v>
      </c>
      <c r="L240" s="17" t="n">
        <v>25.86</v>
      </c>
      <c r="M240" s="17" t="n">
        <v>0</v>
      </c>
      <c r="N240" s="17">
        <f>K240*0.08+L240*0.08</f>
        <v/>
      </c>
      <c r="O240" s="17">
        <f>-(K240*0.025+L240*0.025)</f>
        <v/>
      </c>
      <c r="P240" s="17">
        <f>32</f>
        <v/>
      </c>
      <c r="Q240" s="17">
        <f>J240+L240+N240+O240-P240-M240</f>
        <v/>
      </c>
    </row>
    <row r="241">
      <c r="A241" s="16" t="inlineStr">
        <is>
          <t>5.1-5.7</t>
        </is>
      </c>
      <c r="B241" s="16" t="inlineStr">
        <is>
          <t>PO-128-19800868024950152</t>
        </is>
      </c>
      <c r="C241" s="16" t="inlineStr">
        <is>
          <t>Delivered</t>
        </is>
      </c>
      <c r="D241" s="16" t="inlineStr">
        <is>
          <t>128-19800909967990152</t>
        </is>
      </c>
      <c r="E241" s="16" t="inlineStr">
        <is>
          <t>Delivered</t>
        </is>
      </c>
      <c r="F241" s="16" t="inlineStr">
        <is>
          <t>MCM-001R</t>
        </is>
      </c>
      <c r="G241" s="16" t="inlineStr">
        <is>
          <t>Musicord Altavoz Inalámbrico BT Portátil: ¡Sonido impactante, luces LED multicolores y 4 horas de autonomía! Compatible con TWS, FM, TF y USB – Imprescindible para fiestas y viajes</t>
        </is>
      </c>
      <c r="H241" s="16" t="inlineStr">
        <is>
          <t>ROJO</t>
        </is>
      </c>
      <c r="I241" s="16" t="n">
        <v>1</v>
      </c>
      <c r="J241" s="17" t="n">
        <v>66.5</v>
      </c>
      <c r="K241" s="17" t="n">
        <v>34.69</v>
      </c>
      <c r="L241" s="17" t="n">
        <v>25.86</v>
      </c>
      <c r="M241" s="17" t="n">
        <v>0</v>
      </c>
      <c r="N241" s="17">
        <f>K241*0.08+L241*0.08</f>
        <v/>
      </c>
      <c r="O241" s="17">
        <f>-(K241*0.025+L241*0.025)</f>
        <v/>
      </c>
      <c r="P241" s="17">
        <f>32</f>
        <v/>
      </c>
      <c r="Q241" s="17">
        <f>J241+L241+N241+O241-P241-M241</f>
        <v/>
      </c>
    </row>
    <row r="242">
      <c r="A242" s="16" t="inlineStr">
        <is>
          <t>5.1-5.7</t>
        </is>
      </c>
      <c r="B242" s="16" t="inlineStr">
        <is>
          <t>PO-128-19286789560953216</t>
        </is>
      </c>
      <c r="C242" s="16" t="inlineStr">
        <is>
          <t>Delivered</t>
        </is>
      </c>
      <c r="D242" s="16" t="inlineStr">
        <is>
          <t>128-19286894418553216</t>
        </is>
      </c>
      <c r="E242" s="16" t="inlineStr">
        <is>
          <t>Delivered</t>
        </is>
      </c>
      <c r="F242" s="16" t="inlineStr">
        <is>
          <t>LB02235-blanco</t>
        </is>
      </c>
      <c r="G242" s="16" t="inlineStr">
        <is>
          <t>Audífonos Inalámbricos para la Cabeza, Recargables y Multifuncionales - Conectan a Varios Dispositivos, soportan Radio FM, Tarjeta TF y AUX - 4 Horas de Reproducción Musical - Ideal para Trabajo Cotidiano, Juegos y Estudio</t>
        </is>
      </c>
      <c r="H242" s="16" t="inlineStr">
        <is>
          <t>BLANCO</t>
        </is>
      </c>
      <c r="I242" s="16" t="n">
        <v>1</v>
      </c>
      <c r="J242" s="17" t="n">
        <v>37.71</v>
      </c>
      <c r="K242" s="17" t="n">
        <v>7.73</v>
      </c>
      <c r="L242" s="17" t="n">
        <v>25.86</v>
      </c>
      <c r="M242" s="17" t="n">
        <v>0</v>
      </c>
      <c r="N242" s="17">
        <f>K242*0.08+L242*0.08</f>
        <v/>
      </c>
      <c r="O242" s="17">
        <f>-(K242*0.025+L242*0.025)</f>
        <v/>
      </c>
      <c r="P242" s="17">
        <f>32</f>
        <v/>
      </c>
      <c r="Q242" s="17">
        <f>J242+L242+N242+O242-P242-M242</f>
        <v/>
      </c>
    </row>
    <row r="243">
      <c r="A243" s="16" t="inlineStr">
        <is>
          <t>5.1-5.7</t>
        </is>
      </c>
      <c r="B243" s="16" t="inlineStr">
        <is>
          <t>PO-128-19757660585590410</t>
        </is>
      </c>
      <c r="C243" s="16" t="inlineStr">
        <is>
          <t>Delivered</t>
        </is>
      </c>
      <c r="D243" s="16" t="inlineStr">
        <is>
          <t>128-19757618642550410</t>
        </is>
      </c>
      <c r="E243" s="16" t="inlineStr">
        <is>
          <t>Delivered</t>
        </is>
      </c>
      <c r="F243" s="16" t="inlineStr">
        <is>
          <t>LB02235-blanco</t>
        </is>
      </c>
      <c r="G243" s="16" t="inlineStr">
        <is>
          <t>Audífonos Inalámbricos para la Cabeza, Recargables y Multifuncionales - Conectan a Varios Dispositivos, soportan Radio FM, Tarjeta TF y AUX - 4 Horas de Reproducción Musical - Ideal para Trabajo Cotidiano, Juegos y Estudio</t>
        </is>
      </c>
      <c r="H243" s="16" t="inlineStr">
        <is>
          <t>BLANCO</t>
        </is>
      </c>
      <c r="I243" s="16" t="n">
        <v>1</v>
      </c>
      <c r="J243" s="17" t="n">
        <v>37.71</v>
      </c>
      <c r="K243" s="17" t="n">
        <v>50.83</v>
      </c>
      <c r="L243" s="17" t="n">
        <v>25.86</v>
      </c>
      <c r="M243" s="17" t="n">
        <v>0</v>
      </c>
      <c r="N243" s="17">
        <f>K243*0.08+L243*0.08</f>
        <v/>
      </c>
      <c r="O243" s="17">
        <f>-(K243*0.025+L243*0.025)</f>
        <v/>
      </c>
      <c r="P243" s="17">
        <f>32</f>
        <v/>
      </c>
      <c r="Q243" s="17">
        <f>J243+L243+N243+O243-P243-M243</f>
        <v/>
      </c>
    </row>
    <row r="244">
      <c r="A244" s="16" t="inlineStr">
        <is>
          <t>5.1-5.7</t>
        </is>
      </c>
      <c r="B244" s="16" t="inlineStr">
        <is>
          <t>PO-128-19693641237111817</t>
        </is>
      </c>
      <c r="C244" s="16" t="inlineStr">
        <is>
          <t>Delivered</t>
        </is>
      </c>
      <c r="D244" s="16" t="inlineStr">
        <is>
          <t>128-19693630751351817</t>
        </is>
      </c>
      <c r="E244" s="16" t="inlineStr">
        <is>
          <t>Delivered</t>
        </is>
      </c>
      <c r="F244" s="16" t="inlineStr">
        <is>
          <t>MCM-001A</t>
        </is>
      </c>
      <c r="G244" s="16" t="inlineStr">
        <is>
          <t>Musicord Altavoz Inalámbrico BT Portátil: ¡Sonido impactante, luces LED multicolores y 4 horas de autonomía! Compatible con TWS, FM, TF y USB – Imprescindible para fiestas y viajes</t>
        </is>
      </c>
      <c r="H244" s="16" t="inlineStr">
        <is>
          <t>AZUL</t>
        </is>
      </c>
      <c r="I244" s="16" t="n">
        <v>5</v>
      </c>
      <c r="J244" s="17" t="n">
        <v>255.35</v>
      </c>
      <c r="K244" s="17" t="n">
        <v>297.35</v>
      </c>
      <c r="L244" s="17" t="n">
        <v>0</v>
      </c>
      <c r="M244" s="17" t="n">
        <v>0</v>
      </c>
      <c r="N244" s="17">
        <f>K244*0.08+L244*0.08</f>
        <v/>
      </c>
      <c r="O244" s="17">
        <f>-(K244*0.025+L244*0.025)</f>
        <v/>
      </c>
      <c r="P244" s="17">
        <f>32</f>
        <v/>
      </c>
      <c r="Q244" s="17">
        <f>J244+L244+N244+O244-P244-M244</f>
        <v/>
      </c>
    </row>
    <row r="245">
      <c r="A245" s="16" t="inlineStr">
        <is>
          <t>5.1-5.7</t>
        </is>
      </c>
      <c r="B245" s="16" t="inlineStr">
        <is>
          <t>PO-128-19498511770232146</t>
        </is>
      </c>
      <c r="C245" s="16" t="inlineStr">
        <is>
          <t>Delivered</t>
        </is>
      </c>
      <c r="D245" s="16" t="inlineStr">
        <is>
          <t>128-19498532741752146</t>
        </is>
      </c>
      <c r="E245" s="16" t="inlineStr">
        <is>
          <t>Delivered</t>
        </is>
      </c>
      <c r="F245" s="16" t="inlineStr">
        <is>
          <t>KTS-1678R</t>
        </is>
      </c>
      <c r="G245" s="16" t="inlineStr">
        <is>
          <t>Bocina portátil Inalámbrico, de 3 pulgadas, tamaño de bolsillo, 170 g, con asa, compatible con TF, USB y Micro SD, con radio FM y función TWS (True Wireless Stereo), adecuada para relajarse en casa o viajar al aire libre.</t>
        </is>
      </c>
      <c r="H245" s="16" t="inlineStr">
        <is>
          <t>KTS-1678R</t>
        </is>
      </c>
      <c r="I245" s="16" t="n">
        <v>1</v>
      </c>
      <c r="J245" s="17" t="n">
        <v>42.5</v>
      </c>
      <c r="K245" s="17" t="n">
        <v>40.63</v>
      </c>
      <c r="L245" s="17" t="n">
        <v>25.86</v>
      </c>
      <c r="M245" s="17" t="n">
        <v>0</v>
      </c>
      <c r="N245" s="17">
        <f>K245*0.08+L245*0.08</f>
        <v/>
      </c>
      <c r="O245" s="17">
        <f>-(K245*0.025+L245*0.025)</f>
        <v/>
      </c>
      <c r="P245" s="17">
        <f>32</f>
        <v/>
      </c>
      <c r="Q245" s="17">
        <f>J245+L245+N245+O245-P245-M245</f>
        <v/>
      </c>
    </row>
    <row r="246">
      <c r="A246" s="16" t="inlineStr">
        <is>
          <t>5.1-5.7</t>
        </is>
      </c>
      <c r="B246" s="16" t="inlineStr">
        <is>
          <t>PO-128-19447912858232384</t>
        </is>
      </c>
      <c r="C246" s="16" t="inlineStr">
        <is>
          <t>Delivered</t>
        </is>
      </c>
      <c r="D246" s="16" t="inlineStr">
        <is>
          <t>128-19447965287032384</t>
        </is>
      </c>
      <c r="E246" s="16" t="inlineStr">
        <is>
          <t>Delivered</t>
        </is>
      </c>
      <c r="F246" s="16" t="inlineStr">
        <is>
          <t>BS-22</t>
        </is>
      </c>
      <c r="G246" s="16" t="inlineStr">
        <is>
          <t>link bits Barra de Sonido para TV, 2x2" Altavoces + 2 Membranas de Graves, Sonido Claro ≥80dB, Bluetooth Inalámbrico, Conexiones AUX/USB, Diseño Compacto 76cm, Sonido Envolvente 3D para Cine en Casa, PC, Juegos y Fiestas</t>
        </is>
      </c>
      <c r="H246" s="16" t="inlineStr">
        <is>
          <t>BS-22</t>
        </is>
      </c>
      <c r="I246" s="16" t="n">
        <v>1</v>
      </c>
      <c r="J246" s="17" t="n">
        <v>260</v>
      </c>
      <c r="K246" s="17" t="n">
        <v>256.51</v>
      </c>
      <c r="L246" s="17" t="n">
        <v>0</v>
      </c>
      <c r="M246" s="17" t="n">
        <v>0</v>
      </c>
      <c r="N246" s="17">
        <f>K246*0.08+L246*0.08</f>
        <v/>
      </c>
      <c r="O246" s="17">
        <f>-(K246*0.025+L246*0.025)</f>
        <v/>
      </c>
      <c r="P246" s="17">
        <f>32</f>
        <v/>
      </c>
      <c r="Q246" s="17">
        <f>J246+L246+N246+O246-P246-M246</f>
        <v/>
      </c>
    </row>
    <row r="247">
      <c r="A247" s="16" t="inlineStr">
        <is>
          <t>5.1-5.7</t>
        </is>
      </c>
      <c r="B247" s="16" t="inlineStr">
        <is>
          <t>PO-128-19891140470390702</t>
        </is>
      </c>
      <c r="C247" s="16" t="inlineStr">
        <is>
          <t>Delivered</t>
        </is>
      </c>
      <c r="D247" s="16" t="inlineStr">
        <is>
          <t>128-19891119498870702</t>
        </is>
      </c>
      <c r="E247" s="16" t="inlineStr">
        <is>
          <t>Delivered</t>
        </is>
      </c>
      <c r="F247" s="16" t="inlineStr">
        <is>
          <t>MCM-001R</t>
        </is>
      </c>
      <c r="G247" s="16" t="inlineStr">
        <is>
          <t>Musicord Altavoz Inalámbrico BT Portátil: ¡Sonido impactante, luces LED multicolores y 4 horas de autonomía! Compatible con TWS, FM, TF y USB – Imprescindible para fiestas y viajes</t>
        </is>
      </c>
      <c r="H247" s="16" t="inlineStr">
        <is>
          <t>ROJO</t>
        </is>
      </c>
      <c r="I247" s="16" t="n">
        <v>1</v>
      </c>
      <c r="J247" s="17" t="n">
        <v>66.5</v>
      </c>
      <c r="K247" s="17" t="n">
        <v>77.79000000000001</v>
      </c>
      <c r="L247" s="17" t="n">
        <v>25.86</v>
      </c>
      <c r="M247" s="17" t="n">
        <v>0</v>
      </c>
      <c r="N247" s="17">
        <f>K247*0.08+L247*0.08</f>
        <v/>
      </c>
      <c r="O247" s="17">
        <f>-(K247*0.025+L247*0.025)</f>
        <v/>
      </c>
      <c r="P247" s="17">
        <f>32</f>
        <v/>
      </c>
      <c r="Q247" s="17">
        <f>J247+L247+N247+O247-P247-M247</f>
        <v/>
      </c>
    </row>
    <row r="248">
      <c r="A248" s="16" t="inlineStr">
        <is>
          <t>5.1-5.7</t>
        </is>
      </c>
      <c r="B248" s="16" t="inlineStr">
        <is>
          <t>PO-128-19638762527351246</t>
        </is>
      </c>
      <c r="C248" s="16" t="inlineStr">
        <is>
          <t>Delivered</t>
        </is>
      </c>
      <c r="D248" s="16" t="inlineStr">
        <is>
          <t>128-19638783498871246</t>
        </is>
      </c>
      <c r="E248" s="16" t="inlineStr">
        <is>
          <t>Delivered</t>
        </is>
      </c>
      <c r="F248" s="16" t="inlineStr">
        <is>
          <t>MCM-001A</t>
        </is>
      </c>
      <c r="G248" s="16" t="inlineStr">
        <is>
          <t>Musicord Altavoz Inalámbrico BT Portátil: ¡Sonido impactante, luces LED multicolores y 4 horas de autonomía! Compatible con TWS, FM, TF y USB – Imprescindible para fiestas y viajes</t>
        </is>
      </c>
      <c r="H248" s="16" t="inlineStr">
        <is>
          <t>AZUL</t>
        </is>
      </c>
      <c r="I248" s="16" t="n">
        <v>1</v>
      </c>
      <c r="J248" s="17" t="n">
        <v>51.07</v>
      </c>
      <c r="K248" s="17" t="n">
        <v>59.47</v>
      </c>
      <c r="L248" s="17" t="n">
        <v>25.86</v>
      </c>
      <c r="M248" s="17" t="n">
        <v>0</v>
      </c>
      <c r="N248" s="17">
        <f>K248*0.08+L248*0.08</f>
        <v/>
      </c>
      <c r="O248" s="17">
        <f>-(K248*0.025+L248*0.025)</f>
        <v/>
      </c>
      <c r="P248" s="17">
        <f>32</f>
        <v/>
      </c>
      <c r="Q248" s="17">
        <f>J248+L248+N248+O248-P248-M248</f>
        <v/>
      </c>
    </row>
    <row r="249">
      <c r="A249" s="16" t="inlineStr">
        <is>
          <t>5.1-5.7</t>
        </is>
      </c>
      <c r="B249" s="16" t="inlineStr">
        <is>
          <t>PO-128-19850819861110942</t>
        </is>
      </c>
      <c r="C249" s="16" t="inlineStr">
        <is>
          <t>Delivered</t>
        </is>
      </c>
      <c r="D249" s="16" t="inlineStr">
        <is>
          <t>128-19850956175990942</t>
        </is>
      </c>
      <c r="E249" s="16" t="inlineStr">
        <is>
          <t>Delivered</t>
        </is>
      </c>
      <c r="F249" s="16" t="inlineStr">
        <is>
          <t>KTS-1678N</t>
        </is>
      </c>
      <c r="G249" s="16" t="inlineStr">
        <is>
          <t>Bocina portátil Inalámbrico, de 3 pulgadas, tamaño de bolsillo, 170 g, con asa, compatible con TF, USB y Micro SD, con radio FM y función TWS (True Wireless Stereo), adecuada para relajarse en casa o viajar al aire libre.</t>
        </is>
      </c>
      <c r="H249" s="16" t="inlineStr">
        <is>
          <t>KTS-1678N</t>
        </is>
      </c>
      <c r="I249" s="16" t="n">
        <v>1</v>
      </c>
      <c r="J249" s="17" t="n">
        <v>43</v>
      </c>
      <c r="K249" s="17" t="n">
        <v>6.12</v>
      </c>
      <c r="L249" s="17" t="n">
        <v>25.86</v>
      </c>
      <c r="M249" s="17" t="n">
        <v>0</v>
      </c>
      <c r="N249" s="17">
        <f>K249*0.08+L249*0.08</f>
        <v/>
      </c>
      <c r="O249" s="17">
        <f>-(K249*0.025+L249*0.025)</f>
        <v/>
      </c>
      <c r="P249" s="17">
        <f>32</f>
        <v/>
      </c>
      <c r="Q249" s="17">
        <f>J249+L249+N249+O249-P249-M249</f>
        <v/>
      </c>
    </row>
    <row r="250">
      <c r="A250" s="16" t="inlineStr">
        <is>
          <t>5.1-5.7</t>
        </is>
      </c>
      <c r="B250" s="16" t="inlineStr">
        <is>
          <t>PO-128-19615980181111318</t>
        </is>
      </c>
      <c r="C250" s="16" t="inlineStr">
        <is>
          <t>Delivered</t>
        </is>
      </c>
      <c r="D250" s="16" t="inlineStr">
        <is>
          <t>128-19615990666871318</t>
        </is>
      </c>
      <c r="E250" s="16" t="inlineStr">
        <is>
          <t>Delivered</t>
        </is>
      </c>
      <c r="F250" s="16" t="inlineStr">
        <is>
          <t>MCM-001A</t>
        </is>
      </c>
      <c r="G250" s="16" t="inlineStr">
        <is>
          <t>Musicord Altavoz Inalámbrico BT Portátil: ¡Sonido impactante, luces LED multicolores y 4 horas de autonomía! Compatible con TWS, FM, TF y USB – Imprescindible para fiestas y viajes</t>
        </is>
      </c>
      <c r="H250" s="16" t="inlineStr">
        <is>
          <t>AZUL</t>
        </is>
      </c>
      <c r="I250" s="16" t="n">
        <v>1</v>
      </c>
      <c r="J250" s="17" t="n">
        <v>51.07</v>
      </c>
      <c r="K250" s="17" t="n">
        <v>59.47</v>
      </c>
      <c r="L250" s="17" t="n">
        <v>25.86</v>
      </c>
      <c r="M250" s="17" t="n">
        <v>0</v>
      </c>
      <c r="N250" s="17">
        <f>K250*0.08+L250*0.08</f>
        <v/>
      </c>
      <c r="O250" s="17">
        <f>-(K250*0.025+L250*0.025)</f>
        <v/>
      </c>
      <c r="P250" s="17">
        <f>32</f>
        <v/>
      </c>
      <c r="Q250" s="17">
        <f>J250+L250+N250+O250-P250-M250</f>
        <v/>
      </c>
    </row>
    <row r="251">
      <c r="A251" s="16" t="inlineStr">
        <is>
          <t>5.1-5.7</t>
        </is>
      </c>
      <c r="B251" s="16" t="inlineStr">
        <is>
          <t>PO-128-19819232261750237</t>
        </is>
      </c>
      <c r="C251" s="16" t="inlineStr">
        <is>
          <t>Delivered</t>
        </is>
      </c>
      <c r="D251" s="16" t="inlineStr">
        <is>
          <t>128-19819190318710237</t>
        </is>
      </c>
      <c r="E251" s="16" t="inlineStr">
        <is>
          <t>Delivered</t>
        </is>
      </c>
      <c r="F251" s="16" t="inlineStr">
        <is>
          <t>MCM-001A</t>
        </is>
      </c>
      <c r="G251" s="16" t="inlineStr">
        <is>
          <t>Musicord Altavoz Inalámbrico BT Portátil: ¡Sonido impactante, luces LED multicolores y 4 horas de autonomía! Compatible con TWS, FM, TF y USB – Imprescindible para fiestas y viajes</t>
        </is>
      </c>
      <c r="H251" s="16" t="inlineStr">
        <is>
          <t>AZUL</t>
        </is>
      </c>
      <c r="I251" s="16" t="n">
        <v>1</v>
      </c>
      <c r="J251" s="17" t="n">
        <v>51.07</v>
      </c>
      <c r="K251" s="17" t="n">
        <v>59.47</v>
      </c>
      <c r="L251" s="17" t="n">
        <v>25.86</v>
      </c>
      <c r="M251" s="17" t="n">
        <v>0</v>
      </c>
      <c r="N251" s="17">
        <f>K251*0.08+L251*0.08</f>
        <v/>
      </c>
      <c r="O251" s="17">
        <f>-(K251*0.025+L251*0.025)</f>
        <v/>
      </c>
      <c r="P251" s="17">
        <f>32</f>
        <v/>
      </c>
      <c r="Q251" s="17">
        <f>J251+L251+N251+O251-P251-M251</f>
        <v/>
      </c>
    </row>
    <row r="252">
      <c r="A252" s="16" t="inlineStr">
        <is>
          <t>5.1-5.7</t>
        </is>
      </c>
      <c r="B252" s="16" t="inlineStr">
        <is>
          <t>PO-128-19772461128310451</t>
        </is>
      </c>
      <c r="C252" s="16" t="inlineStr">
        <is>
          <t>Delivered</t>
        </is>
      </c>
      <c r="D252" s="16" t="inlineStr">
        <is>
          <t>128-19772613171830451</t>
        </is>
      </c>
      <c r="E252" s="16" t="inlineStr">
        <is>
          <t>Delivered</t>
        </is>
      </c>
      <c r="F252" s="16" t="inlineStr">
        <is>
          <t>VB347T</t>
        </is>
      </c>
      <c r="G25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2" s="16" t="inlineStr">
        <is>
          <t>1 pieza</t>
        </is>
      </c>
      <c r="I252" s="16" t="n">
        <v>1</v>
      </c>
      <c r="J252" s="17" t="n">
        <v>79.89</v>
      </c>
      <c r="K252" s="17" t="n">
        <v>94.5</v>
      </c>
      <c r="L252" s="17" t="n">
        <v>25.86</v>
      </c>
      <c r="M252" s="17" t="n">
        <v>0</v>
      </c>
      <c r="N252" s="17">
        <f>K252*0.08+L252*0.08</f>
        <v/>
      </c>
      <c r="O252" s="17">
        <f>-(K252*0.025+L252*0.025)</f>
        <v/>
      </c>
      <c r="P252" s="17">
        <f>32</f>
        <v/>
      </c>
      <c r="Q252" s="17">
        <f>J252+L252+N252+O252-P252-M252</f>
        <v/>
      </c>
    </row>
    <row r="253">
      <c r="A253" s="16" t="inlineStr">
        <is>
          <t>5.1-5.7</t>
        </is>
      </c>
      <c r="B253" s="16" t="inlineStr">
        <is>
          <t>PO-128-19271684014713370</t>
        </is>
      </c>
      <c r="C253" s="16" t="inlineStr">
        <is>
          <t>Delivered</t>
        </is>
      </c>
      <c r="D253" s="16" t="inlineStr">
        <is>
          <t>128-19271704986233370</t>
        </is>
      </c>
      <c r="E253" s="16" t="inlineStr">
        <is>
          <t>Delivered</t>
        </is>
      </c>
      <c r="F253" s="16" t="inlineStr">
        <is>
          <t>AIR50W06-2P</t>
        </is>
      </c>
      <c r="G253" s="16" t="inlineStr">
        <is>
          <t>Link Bits Ventilador de piso de 16 pulgadas, 2 unidades, 3 velocidades, motor silencioso, flujo de aire fuerte, altura ajustable, oscilación amplia, ventilador eléctrico para el hogar, ideal para sala, recámara y oficina</t>
        </is>
      </c>
      <c r="H253" s="16" t="inlineStr">
        <is>
          <t>2PZ</t>
        </is>
      </c>
      <c r="I253" s="16" t="n">
        <v>1</v>
      </c>
      <c r="J253" s="17" t="n">
        <v>445</v>
      </c>
      <c r="K253" s="17" t="n">
        <v>462.52</v>
      </c>
      <c r="L253" s="17" t="n">
        <v>0</v>
      </c>
      <c r="M253" s="17" t="n">
        <v>0</v>
      </c>
      <c r="N253" s="17">
        <f>K253*0.08+L253*0.08</f>
        <v/>
      </c>
      <c r="O253" s="17">
        <f>-(K253*0.025+L253*0.025)</f>
        <v/>
      </c>
      <c r="P253" s="17">
        <f>32</f>
        <v/>
      </c>
      <c r="Q253" s="17">
        <f>J253+L253+N253+O253-P253-M253</f>
        <v/>
      </c>
    </row>
    <row r="254">
      <c r="A254" s="16" t="inlineStr">
        <is>
          <t>5.1-5.7</t>
        </is>
      </c>
      <c r="B254" s="16" t="inlineStr">
        <is>
          <t>PO-128-19445177887352336</t>
        </is>
      </c>
      <c r="C254" s="16" t="inlineStr">
        <is>
          <t>Delivered</t>
        </is>
      </c>
      <c r="D254" s="16" t="inlineStr">
        <is>
          <t>128-19445183130232336</t>
        </is>
      </c>
      <c r="E254" s="16" t="inlineStr">
        <is>
          <t>Delivered</t>
        </is>
      </c>
      <c r="F254" s="16" t="inlineStr">
        <is>
          <t>LB02235-azul</t>
        </is>
      </c>
      <c r="G254" s="16" t="inlineStr">
        <is>
          <t>Audífonos Inalámbricos para la Cabeza, Recargables y Multifuncionales - Conectan a Varios Dispositivos, soportan Radio FM, Tarjeta TF y AUX - 4 Horas de Reproducción Musical - Ideal para Trabajo Cotidiano, Juegos y Estudio</t>
        </is>
      </c>
      <c r="H254" s="16" t="inlineStr">
        <is>
          <t>AZUL</t>
        </is>
      </c>
      <c r="I254" s="16" t="n">
        <v>1</v>
      </c>
      <c r="J254" s="17" t="n">
        <v>36.8</v>
      </c>
      <c r="K254" s="17" t="n">
        <v>49.91</v>
      </c>
      <c r="L254" s="17" t="n">
        <v>25.86</v>
      </c>
      <c r="M254" s="17" t="n">
        <v>0</v>
      </c>
      <c r="N254" s="17">
        <f>K254*0.08+L254*0.08</f>
        <v/>
      </c>
      <c r="O254" s="17">
        <f>-(K254*0.025+L254*0.025)</f>
        <v/>
      </c>
      <c r="P254" s="17">
        <f>32</f>
        <v/>
      </c>
      <c r="Q254" s="17">
        <f>J254+L254+N254+O254-P254-M254</f>
        <v/>
      </c>
    </row>
    <row r="255">
      <c r="A255" s="16" t="inlineStr">
        <is>
          <t>5.1-5.7</t>
        </is>
      </c>
      <c r="B255" s="16" t="inlineStr">
        <is>
          <t>PO-128-19510992527993032</t>
        </is>
      </c>
      <c r="C255" s="16" t="inlineStr">
        <is>
          <t>Delivered</t>
        </is>
      </c>
      <c r="D255" s="16" t="inlineStr">
        <is>
          <t>128-19510940099193032</t>
        </is>
      </c>
      <c r="E255" s="16" t="inlineStr">
        <is>
          <t>Delivered</t>
        </is>
      </c>
      <c r="F255" s="16" t="inlineStr">
        <is>
          <t>MCM-001A</t>
        </is>
      </c>
      <c r="G255" s="16" t="inlineStr">
        <is>
          <t>Musicord Altavoz Inalámbrico BT Portátil: ¡Sonido impactante, luces LED multicolores y 4 horas de autonomía! Compatible con TWS, FM, TF y USB – Imprescindible para fiestas y viajes</t>
        </is>
      </c>
      <c r="H255" s="16" t="inlineStr">
        <is>
          <t>AZUL</t>
        </is>
      </c>
      <c r="I255" s="16" t="n">
        <v>1</v>
      </c>
      <c r="J255" s="17" t="n">
        <v>51.07</v>
      </c>
      <c r="K255" s="17" t="n">
        <v>47.57</v>
      </c>
      <c r="L255" s="17" t="n">
        <v>25.86</v>
      </c>
      <c r="M255" s="17" t="n">
        <v>0</v>
      </c>
      <c r="N255" s="17">
        <f>K255*0.08+L255*0.08</f>
        <v/>
      </c>
      <c r="O255" s="17">
        <f>-(K255*0.025+L255*0.025)</f>
        <v/>
      </c>
      <c r="P255" s="17">
        <f>32</f>
        <v/>
      </c>
      <c r="Q255" s="17">
        <f>J255+L255+N255+O255-P255-M255</f>
        <v/>
      </c>
    </row>
    <row r="256">
      <c r="A256" s="16" t="inlineStr">
        <is>
          <t>5.1-5.7</t>
        </is>
      </c>
      <c r="B256" s="16" t="inlineStr">
        <is>
          <t>PO-128-19636877711991194</t>
        </is>
      </c>
      <c r="C256" s="16" t="inlineStr">
        <is>
          <t>Delivered</t>
        </is>
      </c>
      <c r="D256" s="16" t="inlineStr">
        <is>
          <t>128-19636856740471194</t>
        </is>
      </c>
      <c r="E256" s="16" t="inlineStr">
        <is>
          <t>Delivered</t>
        </is>
      </c>
      <c r="F256" s="16" t="inlineStr">
        <is>
          <t>LB02235-blanco</t>
        </is>
      </c>
      <c r="G256" s="16" t="inlineStr">
        <is>
          <t>Audífonos Inalámbricos para la Cabeza, Recargables y Multifuncionales - Conectan a Varios Dispositivos, soportan Radio FM, Tarjeta TF y AUX - 4 Horas de Reproducción Musical - Ideal para Trabajo Cotidiano, Juegos y Estudio</t>
        </is>
      </c>
      <c r="H256" s="16" t="inlineStr">
        <is>
          <t>BLANCO</t>
        </is>
      </c>
      <c r="I256" s="16" t="n">
        <v>1</v>
      </c>
      <c r="J256" s="17" t="n">
        <v>37.71</v>
      </c>
      <c r="K256" s="17" t="n">
        <v>50.83</v>
      </c>
      <c r="L256" s="17" t="n">
        <v>25.86</v>
      </c>
      <c r="M256" s="17" t="n">
        <v>0</v>
      </c>
      <c r="N256" s="17">
        <f>K256*0.08+L256*0.08</f>
        <v/>
      </c>
      <c r="O256" s="17">
        <f>-(K256*0.025+L256*0.025)</f>
        <v/>
      </c>
      <c r="P256" s="17">
        <f>32</f>
        <v/>
      </c>
      <c r="Q256" s="17">
        <f>J256+L256+N256+O256-P256-M256</f>
        <v/>
      </c>
    </row>
    <row r="257">
      <c r="A257" s="16" t="inlineStr">
        <is>
          <t>5.1-5.7</t>
        </is>
      </c>
      <c r="B257" s="16" t="inlineStr">
        <is>
          <t>PO-128-19793887847030322</t>
        </is>
      </c>
      <c r="C257" s="16" t="inlineStr">
        <is>
          <t>Delivered</t>
        </is>
      </c>
      <c r="D257" s="16" t="inlineStr">
        <is>
          <t>128-19793845903990322</t>
        </is>
      </c>
      <c r="E257" s="16" t="inlineStr">
        <is>
          <t>Delivered</t>
        </is>
      </c>
      <c r="F257" s="16" t="inlineStr">
        <is>
          <t>MB-185A</t>
        </is>
      </c>
      <c r="G257" s="16" t="inlineStr">
        <is>
          <t>Bocina Radio FM/Reproductor, Compatible con Tarjeta TF, USB, Bluetooth, Aplicable para celular, computadora, Ipad y consola.</t>
        </is>
      </c>
      <c r="H257" s="16" t="inlineStr">
        <is>
          <t>AZUL/MB-185</t>
        </is>
      </c>
      <c r="I257" s="16" t="n">
        <v>1</v>
      </c>
      <c r="J257" s="17" t="n">
        <v>75.5</v>
      </c>
      <c r="K257" s="17" t="n">
        <v>5.7</v>
      </c>
      <c r="L257" s="17" t="n">
        <v>25.86</v>
      </c>
      <c r="M257" s="17" t="n">
        <v>0</v>
      </c>
      <c r="N257" s="17">
        <f>K257*0.08+L257*0.08</f>
        <v/>
      </c>
      <c r="O257" s="17">
        <f>-(K257*0.025+L257*0.025)</f>
        <v/>
      </c>
      <c r="P257" s="17">
        <f>32</f>
        <v/>
      </c>
      <c r="Q257" s="17">
        <f>J257+L257+N257+O257-P257-M257</f>
        <v/>
      </c>
    </row>
    <row r="258">
      <c r="A258" s="16" t="inlineStr">
        <is>
          <t>5.1-5.7</t>
        </is>
      </c>
      <c r="B258" s="16" t="inlineStr">
        <is>
          <t>PO-128-19896486974070734</t>
        </is>
      </c>
      <c r="C258" s="16" t="inlineStr">
        <is>
          <t>Delivered</t>
        </is>
      </c>
      <c r="D258" s="16" t="inlineStr">
        <is>
          <t>128-19896528917110734</t>
        </is>
      </c>
      <c r="E258" s="16" t="inlineStr">
        <is>
          <t>Delivered</t>
        </is>
      </c>
      <c r="F258" s="16" t="inlineStr">
        <is>
          <t>VB347T</t>
        </is>
      </c>
      <c r="G25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8" s="16" t="inlineStr">
        <is>
          <t>1 pieza</t>
        </is>
      </c>
      <c r="I258" s="16" t="n">
        <v>1</v>
      </c>
      <c r="J258" s="17" t="n">
        <v>79.89</v>
      </c>
      <c r="K258" s="17" t="n">
        <v>94.5</v>
      </c>
      <c r="L258" s="17" t="n">
        <v>25.86</v>
      </c>
      <c r="M258" s="17" t="n">
        <v>0</v>
      </c>
      <c r="N258" s="17">
        <f>K258*0.08+L258*0.08</f>
        <v/>
      </c>
      <c r="O258" s="17">
        <f>-(K258*0.025+L258*0.025)</f>
        <v/>
      </c>
      <c r="P258" s="17">
        <f>32</f>
        <v/>
      </c>
      <c r="Q258" s="17">
        <f>J258+L258+N258+O258-P258-M258</f>
        <v/>
      </c>
    </row>
    <row r="259">
      <c r="A259" s="16" t="inlineStr">
        <is>
          <t>5.1-5.7</t>
        </is>
      </c>
      <c r="B259" s="16" t="inlineStr">
        <is>
          <t>PO-128-19278104730233396</t>
        </is>
      </c>
      <c r="C259" s="16" t="inlineStr">
        <is>
          <t>Delivered</t>
        </is>
      </c>
      <c r="D259" s="16" t="inlineStr">
        <is>
          <t>128-19278146673273396</t>
        </is>
      </c>
      <c r="E259" s="16" t="inlineStr">
        <is>
          <t>Delivered</t>
        </is>
      </c>
      <c r="F259" s="16" t="inlineStr">
        <is>
          <t>KTS-1678Y</t>
        </is>
      </c>
      <c r="G259" s="16" t="inlineStr">
        <is>
          <t>Bocina portátil Inalámbrico, de 3 pulgadas, tamaño de bolsillo, 170 g, con asa, compatible con TF, USB y Micro SD, con radio FM y función TWS (True Wireless Stereo), adecuada para relajarse en casa o viajar al aire libre.</t>
        </is>
      </c>
      <c r="H259" s="16" t="inlineStr">
        <is>
          <t>KTS-1678Y</t>
        </is>
      </c>
      <c r="I259" s="16" t="n">
        <v>1</v>
      </c>
      <c r="J259" s="17" t="n">
        <v>42.5</v>
      </c>
      <c r="K259" s="17" t="n">
        <v>5.62</v>
      </c>
      <c r="L259" s="17" t="n">
        <v>25.86</v>
      </c>
      <c r="M259" s="17" t="n">
        <v>0</v>
      </c>
      <c r="N259" s="17">
        <f>K259*0.08+L259*0.08</f>
        <v/>
      </c>
      <c r="O259" s="17">
        <f>-(K259*0.025+L259*0.025)</f>
        <v/>
      </c>
      <c r="P259" s="17">
        <f>32</f>
        <v/>
      </c>
      <c r="Q259" s="17">
        <f>J259+L259+N259+O259-P259-M259</f>
        <v/>
      </c>
    </row>
    <row r="260">
      <c r="A260" s="16" t="inlineStr">
        <is>
          <t>5.1-5.7</t>
        </is>
      </c>
      <c r="B260" s="16" t="inlineStr">
        <is>
          <t>PO-128-19603101727351525</t>
        </is>
      </c>
      <c r="C260" s="16" t="inlineStr">
        <is>
          <t>Delivered</t>
        </is>
      </c>
      <c r="D260" s="16" t="inlineStr">
        <is>
          <t>128-19603091241591525</t>
        </is>
      </c>
      <c r="E260" s="16" t="inlineStr">
        <is>
          <t>Delivered</t>
        </is>
      </c>
      <c r="F260" s="16" t="inlineStr">
        <is>
          <t>BS-22</t>
        </is>
      </c>
      <c r="G260" s="16" t="inlineStr">
        <is>
          <t>link bits Barra de Sonido para TV, 2x2" Altavoces + 2 Membranas de Graves, Sonido Claro ≥80dB, Bluetooth Inalámbrico, Conexiones AUX/USB, Diseño Compacto 76cm, Sonido Envolvente 3D para Cine en Casa, PC, Juegos y Fiestas</t>
        </is>
      </c>
      <c r="H260" s="16" t="inlineStr">
        <is>
          <t>BS-22</t>
        </is>
      </c>
      <c r="I260" s="16" t="n">
        <v>1</v>
      </c>
      <c r="J260" s="17" t="n">
        <v>260</v>
      </c>
      <c r="K260" s="17" t="n">
        <v>299.61</v>
      </c>
      <c r="L260" s="17" t="n">
        <v>0</v>
      </c>
      <c r="M260" s="17" t="n">
        <v>0</v>
      </c>
      <c r="N260" s="17">
        <f>K260*0.08+L260*0.08</f>
        <v/>
      </c>
      <c r="O260" s="17">
        <f>-(K260*0.025+L260*0.025)</f>
        <v/>
      </c>
      <c r="P260" s="17">
        <f>32</f>
        <v/>
      </c>
      <c r="Q260" s="17">
        <f>J260+L260+N260+O260-P260-M260</f>
        <v/>
      </c>
    </row>
    <row r="261">
      <c r="A261" s="16" t="inlineStr">
        <is>
          <t>5.1-5.7</t>
        </is>
      </c>
      <c r="B261" s="16" t="inlineStr">
        <is>
          <t>PO-128-19817696389750244</t>
        </is>
      </c>
      <c r="C261" s="16" t="inlineStr">
        <is>
          <t>Delivered</t>
        </is>
      </c>
      <c r="D261" s="16" t="inlineStr">
        <is>
          <t>128-19817717361270244</t>
        </is>
      </c>
      <c r="E261" s="16" t="inlineStr">
        <is>
          <t>Delivered</t>
        </is>
      </c>
      <c r="F261" s="16" t="inlineStr">
        <is>
          <t>MCM-001A</t>
        </is>
      </c>
      <c r="G261" s="16" t="inlineStr">
        <is>
          <t>Musicord Altavoz Inalámbrico BT Portátil: ¡Sonido impactante, luces LED multicolores y 4 horas de autonomía! Compatible con TWS, FM, TF y USB – Imprescindible para fiestas y viajes</t>
        </is>
      </c>
      <c r="H261" s="16" t="inlineStr">
        <is>
          <t>AZUL</t>
        </is>
      </c>
      <c r="I261" s="16" t="n">
        <v>1</v>
      </c>
      <c r="J261" s="17" t="n">
        <v>51.07</v>
      </c>
      <c r="K261" s="17" t="n">
        <v>59.47</v>
      </c>
      <c r="L261" s="17" t="n">
        <v>25.86</v>
      </c>
      <c r="M261" s="17" t="n">
        <v>0</v>
      </c>
      <c r="N261" s="17">
        <f>K261*0.08+L261*0.08</f>
        <v/>
      </c>
      <c r="O261" s="17">
        <f>-(K261*0.025+L261*0.025)</f>
        <v/>
      </c>
      <c r="P261" s="17">
        <f>32</f>
        <v/>
      </c>
      <c r="Q261" s="17">
        <f>J261+L261+N261+O261-P261-M261</f>
        <v/>
      </c>
    </row>
    <row r="262">
      <c r="A262" s="16" t="inlineStr">
        <is>
          <t>5.1-5.7</t>
        </is>
      </c>
      <c r="B262" s="16" t="inlineStr">
        <is>
          <t>PO-128-19895901850230674</t>
        </is>
      </c>
      <c r="C262" s="16" t="inlineStr">
        <is>
          <t>Delivered</t>
        </is>
      </c>
      <c r="D262" s="16" t="inlineStr">
        <is>
          <t>128-19895859907190674</t>
        </is>
      </c>
      <c r="E262" s="16" t="inlineStr">
        <is>
          <t>Delivered</t>
        </is>
      </c>
      <c r="F262" s="16" t="inlineStr">
        <is>
          <t>LB02235-rojo</t>
        </is>
      </c>
      <c r="G262" s="16" t="inlineStr">
        <is>
          <t>Audífonos Inalámbricos para la Cabeza, Recargables y Multifuncionales - Conectan a Varios Dispositivos, soportan Radio FM, Tarjeta TF y AUX - 4 Horas de Reproducción Musical - Ideal para Trabajo Cotidiano, Juegos y Estudio</t>
        </is>
      </c>
      <c r="H262" s="16" t="inlineStr">
        <is>
          <t>ROJO</t>
        </is>
      </c>
      <c r="I262" s="16" t="n">
        <v>1</v>
      </c>
      <c r="J262" s="17" t="n">
        <v>37.71</v>
      </c>
      <c r="K262" s="17" t="n">
        <v>7.73</v>
      </c>
      <c r="L262" s="17" t="n">
        <v>25.86</v>
      </c>
      <c r="M262" s="17" t="n">
        <v>0</v>
      </c>
      <c r="N262" s="17">
        <f>K262*0.08+L262*0.08</f>
        <v/>
      </c>
      <c r="O262" s="17">
        <f>-(K262*0.025+L262*0.025)</f>
        <v/>
      </c>
      <c r="P262" s="17">
        <f>32</f>
        <v/>
      </c>
      <c r="Q262" s="17">
        <f>J262+L262+N262+O262-P262-M262</f>
        <v/>
      </c>
    </row>
    <row r="263">
      <c r="A263" s="16" t="inlineStr">
        <is>
          <t>5.1-5.7</t>
        </is>
      </c>
      <c r="B263" s="16" t="inlineStr">
        <is>
          <t>PO-128-19376600177273771</t>
        </is>
      </c>
      <c r="C263" s="16" t="inlineStr">
        <is>
          <t>Delivered</t>
        </is>
      </c>
      <c r="D263" s="16" t="inlineStr">
        <is>
          <t>128-19376668334713771</t>
        </is>
      </c>
      <c r="E263" s="16" t="inlineStr">
        <is>
          <t>Delivered</t>
        </is>
      </c>
      <c r="F263" s="16" t="inlineStr">
        <is>
          <t>LB02235-blanco</t>
        </is>
      </c>
      <c r="G263" s="16" t="inlineStr">
        <is>
          <t>Audífonos Inalámbricos para la Cabeza, Recargables y Multifuncionales - Conectan a Varios Dispositivos, soportan Radio FM, Tarjeta TF y AUX - 4 Horas de Reproducción Musical - Ideal para Trabajo Cotidiano, Juegos y Estudio</t>
        </is>
      </c>
      <c r="H263" s="16" t="inlineStr">
        <is>
          <t>BLANCO</t>
        </is>
      </c>
      <c r="I263" s="16" t="n">
        <v>1</v>
      </c>
      <c r="J263" s="17" t="n">
        <v>37.71</v>
      </c>
      <c r="K263" s="17" t="n">
        <v>36.6</v>
      </c>
      <c r="L263" s="17" t="n">
        <v>25.86</v>
      </c>
      <c r="M263" s="17" t="n">
        <v>0</v>
      </c>
      <c r="N263" s="17">
        <f>K263*0.08+L263*0.08</f>
        <v/>
      </c>
      <c r="O263" s="17">
        <f>-(K263*0.025+L263*0.025)</f>
        <v/>
      </c>
      <c r="P263" s="17">
        <f>32</f>
        <v/>
      </c>
      <c r="Q263" s="17">
        <f>J263+L263+N263+O263-P263-M263</f>
        <v/>
      </c>
    </row>
    <row r="264">
      <c r="A264" s="16" t="inlineStr">
        <is>
          <t>5.1-5.7</t>
        </is>
      </c>
      <c r="B264" s="16" t="inlineStr">
        <is>
          <t>PO-128-19792318894710333</t>
        </is>
      </c>
      <c r="C264" s="16" t="inlineStr">
        <is>
          <t>Delivered</t>
        </is>
      </c>
      <c r="D264" s="16" t="inlineStr">
        <is>
          <t>128-19792360837750333</t>
        </is>
      </c>
      <c r="E264" s="16" t="inlineStr">
        <is>
          <t>Delivered</t>
        </is>
      </c>
      <c r="F264" s="16" t="inlineStr">
        <is>
          <t>LB02235-negro</t>
        </is>
      </c>
      <c r="G264" s="16" t="inlineStr">
        <is>
          <t>Audífonos Inalámbricos para la Cabeza, Recargables y Multifuncionales - Conectan a Varios Dispositivos, soportan Radio FM, Tarjeta TF y AUX - 4 Horas de Reproducción Musical - Ideal para Trabajo Cotidiano, Juegos y Estudio</t>
        </is>
      </c>
      <c r="H264" s="16" t="inlineStr">
        <is>
          <t>NEGRO</t>
        </is>
      </c>
      <c r="I264" s="16" t="n">
        <v>1</v>
      </c>
      <c r="J264" s="17" t="n">
        <v>37.71</v>
      </c>
      <c r="K264" s="17" t="n">
        <v>7.73</v>
      </c>
      <c r="L264" s="17" t="n">
        <v>25.86</v>
      </c>
      <c r="M264" s="17" t="n">
        <v>0</v>
      </c>
      <c r="N264" s="17">
        <f>K264*0.08+L264*0.08</f>
        <v/>
      </c>
      <c r="O264" s="17">
        <f>-(K264*0.025+L264*0.025)</f>
        <v/>
      </c>
      <c r="P264" s="17">
        <f>32</f>
        <v/>
      </c>
      <c r="Q264" s="17">
        <f>J264+L264+N264+O264-P264-M264</f>
        <v/>
      </c>
    </row>
    <row r="265">
      <c r="A265" s="16" t="inlineStr">
        <is>
          <t>5.1-5.7</t>
        </is>
      </c>
      <c r="B265" s="16" t="inlineStr">
        <is>
          <t>PO-128-19685226537591995</t>
        </is>
      </c>
      <c r="C265" s="16" t="inlineStr">
        <is>
          <t>Delivered</t>
        </is>
      </c>
      <c r="D265" s="16" t="inlineStr">
        <is>
          <t>128-19685362852471995</t>
        </is>
      </c>
      <c r="E265" s="16" t="inlineStr">
        <is>
          <t>Delivered</t>
        </is>
      </c>
      <c r="F265" s="16" t="inlineStr">
        <is>
          <t>LB02235-blanco</t>
        </is>
      </c>
      <c r="G265" s="16" t="inlineStr">
        <is>
          <t>Audífonos Inalámbricos para la Cabeza, Recargables y Multifuncionales - Conectan a Varios Dispositivos, soportan Radio FM, Tarjeta TF y AUX - 4 Horas de Reproducción Musical - Ideal para Trabajo Cotidiano, Juegos y Estudio</t>
        </is>
      </c>
      <c r="H265" s="16" t="inlineStr">
        <is>
          <t>BLANCO</t>
        </is>
      </c>
      <c r="I265" s="16" t="n">
        <v>1</v>
      </c>
      <c r="J265" s="17" t="n">
        <v>37.71</v>
      </c>
      <c r="K265" s="17" t="n">
        <v>50.83</v>
      </c>
      <c r="L265" s="17" t="n">
        <v>12.93</v>
      </c>
      <c r="M265" s="17" t="n">
        <v>0</v>
      </c>
      <c r="N265" s="17">
        <f>K265*0.08+L265*0.08</f>
        <v/>
      </c>
      <c r="O265" s="17">
        <f>-(K265*0.025+L265*0.025)</f>
        <v/>
      </c>
      <c r="P265" s="17">
        <f>32</f>
        <v/>
      </c>
      <c r="Q265" s="17">
        <f>J265+L265+N265+O265-P265-M265</f>
        <v/>
      </c>
    </row>
    <row r="266">
      <c r="A266" s="16" t="inlineStr">
        <is>
          <t>5.1-5.7</t>
        </is>
      </c>
      <c r="B266" s="16" t="inlineStr">
        <is>
          <t>PO-128-19685226537591995</t>
        </is>
      </c>
      <c r="C266" s="16" t="inlineStr">
        <is>
          <t>Delivered</t>
        </is>
      </c>
      <c r="D266" s="16" t="inlineStr">
        <is>
          <t>128-19685320909431995</t>
        </is>
      </c>
      <c r="E266" s="16" t="inlineStr">
        <is>
          <t>Delivered</t>
        </is>
      </c>
      <c r="F266" s="16" t="inlineStr">
        <is>
          <t>LB02235-negro</t>
        </is>
      </c>
      <c r="G266" s="16" t="inlineStr">
        <is>
          <t>Audífonos Inalámbricos para la Cabeza, Recargables y Multifuncionales - Conectan a Varios Dispositivos, soportan Radio FM, Tarjeta TF y AUX - 4 Horas de Reproducción Musical - Ideal para Trabajo Cotidiano, Juegos y Estudio</t>
        </is>
      </c>
      <c r="H266" s="16" t="inlineStr">
        <is>
          <t>NEGRO</t>
        </is>
      </c>
      <c r="I266" s="16" t="n">
        <v>1</v>
      </c>
      <c r="J266" s="17" t="n">
        <v>37.71</v>
      </c>
      <c r="K266" s="17" t="n">
        <v>50.83</v>
      </c>
      <c r="L266" s="17" t="n">
        <v>12.93</v>
      </c>
      <c r="M266" s="17" t="n">
        <v>0</v>
      </c>
      <c r="N266" s="17">
        <f>K266*0.08+L266*0.08</f>
        <v/>
      </c>
      <c r="O266" s="17">
        <f>-(K266*0.025+L266*0.025)</f>
        <v/>
      </c>
      <c r="P266" s="17">
        <f>32</f>
        <v/>
      </c>
      <c r="Q266" s="17">
        <f>J266+L266+N266+O266-P266-M266</f>
        <v/>
      </c>
    </row>
    <row r="267">
      <c r="A267" s="16" t="inlineStr">
        <is>
          <t>5.1-5.7</t>
        </is>
      </c>
      <c r="B267" s="16" t="inlineStr">
        <is>
          <t>PO-128-19690152847992028</t>
        </is>
      </c>
      <c r="C267" s="16" t="inlineStr">
        <is>
          <t>Delivered</t>
        </is>
      </c>
      <c r="D267" s="16" t="inlineStr">
        <is>
          <t>128-19690131876472028</t>
        </is>
      </c>
      <c r="E267" s="16" t="inlineStr">
        <is>
          <t>Delivered</t>
        </is>
      </c>
      <c r="F267" s="16" t="inlineStr">
        <is>
          <t>S58W60</t>
        </is>
      </c>
      <c r="G267"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267" s="16" t="inlineStr">
        <is>
          <t>1 pieza</t>
        </is>
      </c>
      <c r="I267" s="16" t="n">
        <v>10</v>
      </c>
      <c r="J267" s="17" t="n">
        <v>590</v>
      </c>
      <c r="K267" s="17" t="n">
        <v>765.4</v>
      </c>
      <c r="L267" s="17" t="n">
        <v>0</v>
      </c>
      <c r="M267" s="17" t="n">
        <v>0</v>
      </c>
      <c r="N267" s="17">
        <f>K267*0.08+L267*0.08</f>
        <v/>
      </c>
      <c r="O267" s="17">
        <f>-(K267*0.025+L267*0.025)</f>
        <v/>
      </c>
      <c r="P267" s="17">
        <f>32</f>
        <v/>
      </c>
      <c r="Q267" s="17">
        <f>J267+L267+N267+O267-P267-M267</f>
        <v/>
      </c>
    </row>
    <row r="268">
      <c r="A268" s="16" t="inlineStr">
        <is>
          <t>5.1-5.7</t>
        </is>
      </c>
      <c r="B268" s="16" t="inlineStr">
        <is>
          <t>PO-128-19866614334070784</t>
        </is>
      </c>
      <c r="C268" s="16" t="inlineStr">
        <is>
          <t>Delivered</t>
        </is>
      </c>
      <c r="D268" s="16" t="inlineStr">
        <is>
          <t>128-19866635305590784</t>
        </is>
      </c>
      <c r="E268" s="16" t="inlineStr">
        <is>
          <t>Delivered</t>
        </is>
      </c>
      <c r="F268" s="16" t="inlineStr">
        <is>
          <t>LB02235-rojo</t>
        </is>
      </c>
      <c r="G268" s="16" t="inlineStr">
        <is>
          <t>Audífonos Inalámbricos para la Cabeza, Recargables y Multifuncionales - Conectan a Varios Dispositivos, soportan Radio FM, Tarjeta TF y AUX - 4 Horas de Reproducción Musical - Ideal para Trabajo Cotidiano, Juegos y Estudio</t>
        </is>
      </c>
      <c r="H268" s="16" t="inlineStr">
        <is>
          <t>ROJO</t>
        </is>
      </c>
      <c r="I268" s="16" t="n">
        <v>1</v>
      </c>
      <c r="J268" s="17" t="n">
        <v>46</v>
      </c>
      <c r="K268" s="17" t="n">
        <v>59.12</v>
      </c>
      <c r="L268" s="17" t="n">
        <v>25.86</v>
      </c>
      <c r="M268" s="17" t="n">
        <v>0</v>
      </c>
      <c r="N268" s="17">
        <f>K268*0.08+L268*0.08</f>
        <v/>
      </c>
      <c r="O268" s="17">
        <f>-(K268*0.025+L268*0.025)</f>
        <v/>
      </c>
      <c r="P268" s="17">
        <f>32</f>
        <v/>
      </c>
      <c r="Q268" s="17">
        <f>J268+L268+N268+O268-P268-M268</f>
        <v/>
      </c>
    </row>
    <row r="269">
      <c r="A269" s="16" t="inlineStr">
        <is>
          <t>5.1-5.7</t>
        </is>
      </c>
      <c r="B269" s="16" t="inlineStr">
        <is>
          <t>PO-128-19295380992633295</t>
        </is>
      </c>
      <c r="C269" s="16" t="inlineStr">
        <is>
          <t>Delivered</t>
        </is>
      </c>
      <c r="D269" s="16" t="inlineStr">
        <is>
          <t>128-19295360021113295</t>
        </is>
      </c>
      <c r="E269" s="16" t="inlineStr">
        <is>
          <t>Delivered</t>
        </is>
      </c>
      <c r="F269" s="16" t="inlineStr">
        <is>
          <t>MCM-001A</t>
        </is>
      </c>
      <c r="G269" s="16" t="inlineStr">
        <is>
          <t>Musicord Altavoz Inalámbrico BT Portátil: ¡Sonido impactante, luces LED multicolores y 4 horas de autonomía! Compatible con TWS, FM, TF y USB – Imprescindible para fiestas y viajes</t>
        </is>
      </c>
      <c r="H269" s="16" t="inlineStr">
        <is>
          <t>AZUL</t>
        </is>
      </c>
      <c r="I269" s="16" t="n">
        <v>1</v>
      </c>
      <c r="J269" s="17" t="n">
        <v>51.07</v>
      </c>
      <c r="K269" s="17" t="n">
        <v>59.47</v>
      </c>
      <c r="L269" s="17" t="n">
        <v>25.86</v>
      </c>
      <c r="M269" s="17" t="n">
        <v>0</v>
      </c>
      <c r="N269" s="17">
        <f>K269*0.08+L269*0.08</f>
        <v/>
      </c>
      <c r="O269" s="17">
        <f>-(K269*0.025+L269*0.025)</f>
        <v/>
      </c>
      <c r="P269" s="17">
        <f>32</f>
        <v/>
      </c>
      <c r="Q269" s="17">
        <f>J269+L269+N269+O269-P269-M269</f>
        <v/>
      </c>
    </row>
    <row r="270">
      <c r="A270" s="16" t="inlineStr">
        <is>
          <t>5.1-5.7</t>
        </is>
      </c>
      <c r="B270" s="16" t="inlineStr">
        <is>
          <t>PO-128-19578424433272630</t>
        </is>
      </c>
      <c r="C270" s="16" t="inlineStr">
        <is>
          <t>Delivered</t>
        </is>
      </c>
      <c r="D270" s="16" t="inlineStr">
        <is>
          <t>128-19578449664632630</t>
        </is>
      </c>
      <c r="E270" s="16" t="inlineStr">
        <is>
          <t>Delivered</t>
        </is>
      </c>
      <c r="F270" s="16" t="inlineStr">
        <is>
          <t>LB02235-negro</t>
        </is>
      </c>
      <c r="G270" s="16" t="inlineStr">
        <is>
          <t>Audífonos Inalámbricos para la Cabeza, Recargables y Multifuncionales - Conectan a Varios Dispositivos, soportan Radio FM, Tarjeta TF y AUX - 4 Horas de Reproducción Musical - Ideal para Trabajo Cotidiano, Juegos y Estudio</t>
        </is>
      </c>
      <c r="H270" s="16" t="inlineStr">
        <is>
          <t>NEGRO</t>
        </is>
      </c>
      <c r="I270" s="16" t="n">
        <v>1</v>
      </c>
      <c r="J270" s="17" t="n">
        <v>45.31</v>
      </c>
      <c r="K270" s="17" t="n">
        <v>53.3</v>
      </c>
      <c r="L270" s="17" t="n">
        <v>25.86</v>
      </c>
      <c r="M270" s="17" t="n">
        <v>0</v>
      </c>
      <c r="N270" s="17">
        <f>K270*0.08+L270*0.08</f>
        <v/>
      </c>
      <c r="O270" s="17">
        <f>-(K270*0.025+L270*0.025)</f>
        <v/>
      </c>
      <c r="P270" s="17">
        <f>32</f>
        <v/>
      </c>
      <c r="Q270" s="17">
        <f>J270+L270+N270+O270-P270-M270</f>
        <v/>
      </c>
    </row>
    <row r="271">
      <c r="A271" s="16" t="inlineStr">
        <is>
          <t>5.1-5.7</t>
        </is>
      </c>
      <c r="B271" s="16" t="inlineStr">
        <is>
          <t>PO-128-19298191473273276</t>
        </is>
      </c>
      <c r="C271" s="16" t="inlineStr">
        <is>
          <t>Delivered</t>
        </is>
      </c>
      <c r="D271" s="16" t="inlineStr">
        <is>
          <t>128-19298175744633276</t>
        </is>
      </c>
      <c r="E271" s="16" t="inlineStr">
        <is>
          <t>Delivered</t>
        </is>
      </c>
      <c r="F271" s="16" t="inlineStr">
        <is>
          <t>MB-183N</t>
        </is>
      </c>
      <c r="G271" s="16" t="inlineStr">
        <is>
          <t>Linkbits Altavoz Bluetooth Portátil con Stereo Inalámbrico TWS Impermeable y a Prueba de Polvo IP65 Altavoz de Graves de Rango Completo de 52mm con Doble Unidad Ligero de 215g para Camping Senderismo y Fiestas al Aire Libre</t>
        </is>
      </c>
      <c r="H271" s="16" t="inlineStr">
        <is>
          <t>NEGRO/MB-183</t>
        </is>
      </c>
      <c r="I271" s="16" t="n">
        <v>1</v>
      </c>
      <c r="J271" s="17" t="n">
        <v>90</v>
      </c>
      <c r="K271" s="17" t="n">
        <v>85.92</v>
      </c>
      <c r="L271" s="17" t="n">
        <v>25.86</v>
      </c>
      <c r="M271" s="17" t="n">
        <v>0</v>
      </c>
      <c r="N271" s="17">
        <f>K271*0.08+L271*0.08</f>
        <v/>
      </c>
      <c r="O271" s="17">
        <f>-(K271*0.025+L271*0.025)</f>
        <v/>
      </c>
      <c r="P271" s="17">
        <f>32</f>
        <v/>
      </c>
      <c r="Q271" s="17">
        <f>J271+L271+N271+O271-P271-M271</f>
        <v/>
      </c>
    </row>
    <row r="272">
      <c r="A272" s="16" t="inlineStr">
        <is>
          <t>5.1-5.7</t>
        </is>
      </c>
      <c r="B272" s="16" t="inlineStr">
        <is>
          <t>PO-128-19318923530873155</t>
        </is>
      </c>
      <c r="C272" s="16" t="inlineStr">
        <is>
          <t>Delivered</t>
        </is>
      </c>
      <c r="D272" s="16" t="inlineStr">
        <is>
          <t>128-19318881587833155</t>
        </is>
      </c>
      <c r="E272" s="16" t="inlineStr">
        <is>
          <t>Delivered</t>
        </is>
      </c>
      <c r="F272" s="16" t="inlineStr">
        <is>
          <t>LB02235-negro</t>
        </is>
      </c>
      <c r="G272" s="16" t="inlineStr">
        <is>
          <t>Audífonos Inalámbricos para la Cabeza, Recargables y Multifuncionales - Conectan a Varios Dispositivos, soportan Radio FM, Tarjeta TF y AUX - 4 Horas de Reproducción Musical - Ideal para Trabajo Cotidiano, Juegos y Estudio</t>
        </is>
      </c>
      <c r="H272" s="16" t="inlineStr">
        <is>
          <t>NEGRO</t>
        </is>
      </c>
      <c r="I272" s="16" t="n">
        <v>1</v>
      </c>
      <c r="J272" s="17" t="n">
        <v>45.31</v>
      </c>
      <c r="K272" s="17" t="n">
        <v>0</v>
      </c>
      <c r="L272" s="17" t="n">
        <v>0</v>
      </c>
      <c r="M272" s="17" t="n">
        <v>0</v>
      </c>
      <c r="N272" s="17">
        <f>K272*0.08+L272*0.08</f>
        <v/>
      </c>
      <c r="O272" s="17">
        <f>-(K272*0.025+L272*0.025)</f>
        <v/>
      </c>
      <c r="P272" s="17">
        <f>32</f>
        <v/>
      </c>
      <c r="Q272" s="17">
        <f>J272+L272+N272+O272-P272-M272</f>
        <v/>
      </c>
    </row>
    <row r="273">
      <c r="A273" s="16" t="inlineStr">
        <is>
          <t>5.1-5.7</t>
        </is>
      </c>
      <c r="B273" s="16" t="inlineStr">
        <is>
          <t>PO-128-19242992855673479</t>
        </is>
      </c>
      <c r="C273" s="16" t="inlineStr">
        <is>
          <t>Delivered</t>
        </is>
      </c>
      <c r="D273" s="16" t="inlineStr">
        <is>
          <t>128-19243013827193479</t>
        </is>
      </c>
      <c r="E273" s="16" t="inlineStr">
        <is>
          <t>Delivered</t>
        </is>
      </c>
      <c r="F273" s="16" t="inlineStr">
        <is>
          <t>MB-178-N</t>
        </is>
      </c>
      <c r="G273" s="16" t="inlineStr">
        <is>
          <t>Bocina de Barra Bluetooth LINK BITS con dos altavoces, sonido de alta calidad y multifuncional (Bluetooth, Radio FM, USB, TF, AUX, TWS), ideal para juegos, reuniones, oficina y cine en casa.</t>
        </is>
      </c>
      <c r="H273" s="16" t="inlineStr">
        <is>
          <t>NEGRO</t>
        </is>
      </c>
      <c r="I273" s="16" t="n">
        <v>1</v>
      </c>
      <c r="J273" s="17" t="n">
        <v>135</v>
      </c>
      <c r="K273" s="17" t="n">
        <v>137.44</v>
      </c>
      <c r="L273" s="17" t="n">
        <v>25.86</v>
      </c>
      <c r="M273" s="17" t="n">
        <v>0</v>
      </c>
      <c r="N273" s="17">
        <f>K273*0.08+L273*0.08</f>
        <v/>
      </c>
      <c r="O273" s="17">
        <f>-(K273*0.025+L273*0.025)</f>
        <v/>
      </c>
      <c r="P273" s="17">
        <f>32</f>
        <v/>
      </c>
      <c r="Q273" s="17">
        <f>J273+L273+N273+O273-P273-M273</f>
        <v/>
      </c>
    </row>
    <row r="274">
      <c r="A274" s="16" t="inlineStr">
        <is>
          <t>5.1-5.7</t>
        </is>
      </c>
      <c r="B274" s="16" t="inlineStr">
        <is>
          <t>PO-128-19331698422393975</t>
        </is>
      </c>
      <c r="C274" s="16" t="inlineStr">
        <is>
          <t>Delivered</t>
        </is>
      </c>
      <c r="D274" s="16" t="inlineStr">
        <is>
          <t>128-19331656479353975</t>
        </is>
      </c>
      <c r="E274" s="16" t="inlineStr">
        <is>
          <t>Delivered</t>
        </is>
      </c>
      <c r="F274" s="16" t="inlineStr">
        <is>
          <t>LB02235-azul</t>
        </is>
      </c>
      <c r="G274" s="16" t="inlineStr">
        <is>
          <t>Audífonos Inalámbricos para la Cabeza, Recargables y Multifuncionales - Conectan a Varios Dispositivos, soportan Radio FM, Tarjeta TF y AUX - 4 Horas de Reproducción Musical - Ideal para Trabajo Cotidiano, Juegos y Estudio</t>
        </is>
      </c>
      <c r="H274" s="16" t="inlineStr">
        <is>
          <t>AZUL</t>
        </is>
      </c>
      <c r="I274" s="16" t="n">
        <v>1</v>
      </c>
      <c r="J274" s="17" t="n">
        <v>37.71</v>
      </c>
      <c r="K274" s="17" t="n">
        <v>7.73</v>
      </c>
      <c r="L274" s="17" t="n">
        <v>25.86</v>
      </c>
      <c r="M274" s="17" t="n">
        <v>0</v>
      </c>
      <c r="N274" s="17">
        <f>K274*0.08+L274*0.08</f>
        <v/>
      </c>
      <c r="O274" s="17">
        <f>-(K274*0.025+L274*0.025)</f>
        <v/>
      </c>
      <c r="P274" s="17">
        <f>32</f>
        <v/>
      </c>
      <c r="Q274" s="17">
        <f>J274+L274+N274+O274-P274-M274</f>
        <v/>
      </c>
    </row>
    <row r="275">
      <c r="A275" s="16" t="inlineStr">
        <is>
          <t>5.1-5.7</t>
        </is>
      </c>
      <c r="B275" s="16" t="inlineStr">
        <is>
          <t>PO-128-19755689155191639</t>
        </is>
      </c>
      <c r="C275" s="16" t="inlineStr">
        <is>
          <t>Delivered</t>
        </is>
      </c>
      <c r="D275" s="16" t="inlineStr">
        <is>
          <t>128-19755825470071639</t>
        </is>
      </c>
      <c r="E275" s="16" t="inlineStr">
        <is>
          <t>Delivered</t>
        </is>
      </c>
      <c r="F275" s="16" t="inlineStr">
        <is>
          <t>VB347T</t>
        </is>
      </c>
      <c r="G27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5" s="16" t="inlineStr">
        <is>
          <t>1 pieza</t>
        </is>
      </c>
      <c r="I275" s="16" t="n">
        <v>1</v>
      </c>
      <c r="J275" s="17" t="n">
        <v>79.89</v>
      </c>
      <c r="K275" s="17" t="n">
        <v>94.5</v>
      </c>
      <c r="L275" s="17" t="n">
        <v>25.86</v>
      </c>
      <c r="M275" s="17" t="n">
        <v>0</v>
      </c>
      <c r="N275" s="17">
        <f>K275*0.08+L275*0.08</f>
        <v/>
      </c>
      <c r="O275" s="17">
        <f>-(K275*0.025+L275*0.025)</f>
        <v/>
      </c>
      <c r="P275" s="17">
        <f>32</f>
        <v/>
      </c>
      <c r="Q275" s="17">
        <f>J275+L275+N275+O275-P275-M275</f>
        <v/>
      </c>
    </row>
    <row r="276">
      <c r="A276" s="16" t="inlineStr">
        <is>
          <t>5.1-5.7</t>
        </is>
      </c>
      <c r="B276" s="16" t="inlineStr">
        <is>
          <t>PO-128-19735616522871567</t>
        </is>
      </c>
      <c r="C276" s="16" t="inlineStr">
        <is>
          <t>Delivered</t>
        </is>
      </c>
      <c r="D276" s="16" t="inlineStr">
        <is>
          <t>128-19735658465911567</t>
        </is>
      </c>
      <c r="E276" s="16" t="inlineStr">
        <is>
          <t>Delivered</t>
        </is>
      </c>
      <c r="F276" s="16" t="inlineStr">
        <is>
          <t>LB02235-rojo</t>
        </is>
      </c>
      <c r="G276" s="16" t="inlineStr">
        <is>
          <t>Audífonos Inalámbricos para la Cabeza, Recargables y Multifuncionales - Conectan a Varios Dispositivos, soportan Radio FM, Tarjeta TF y AUX - 4 Horas de Reproducción Musical - Ideal para Trabajo Cotidiano, Juegos y Estudio</t>
        </is>
      </c>
      <c r="H276" s="16" t="inlineStr">
        <is>
          <t>ROJO</t>
        </is>
      </c>
      <c r="I276" s="16" t="n">
        <v>1</v>
      </c>
      <c r="J276" s="17" t="n">
        <v>46</v>
      </c>
      <c r="K276" s="17" t="n">
        <v>59.12</v>
      </c>
      <c r="L276" s="17" t="n">
        <v>25.86</v>
      </c>
      <c r="M276" s="17" t="n">
        <v>0</v>
      </c>
      <c r="N276" s="17">
        <f>K276*0.08+L276*0.08</f>
        <v/>
      </c>
      <c r="O276" s="17">
        <f>-(K276*0.025+L276*0.025)</f>
        <v/>
      </c>
      <c r="P276" s="17">
        <f>32</f>
        <v/>
      </c>
      <c r="Q276" s="17">
        <f>J276+L276+N276+O276-P276-M276</f>
        <v/>
      </c>
    </row>
    <row r="277">
      <c r="A277" s="16" t="inlineStr">
        <is>
          <t>5.1-5.7</t>
        </is>
      </c>
      <c r="B277" s="16" t="inlineStr">
        <is>
          <t>PO-128-19345538652794082</t>
        </is>
      </c>
      <c r="C277" s="16" t="inlineStr">
        <is>
          <t>Delivered</t>
        </is>
      </c>
      <c r="D277" s="16" t="inlineStr">
        <is>
          <t>128-19345496709754082</t>
        </is>
      </c>
      <c r="E277" s="16" t="inlineStr">
        <is>
          <t>Delivered</t>
        </is>
      </c>
      <c r="F277" s="16" t="inlineStr">
        <is>
          <t>MCM-001R</t>
        </is>
      </c>
      <c r="G277" s="16" t="inlineStr">
        <is>
          <t>Musicord Altavoz Inalámbrico BT Portátil: ¡Sonido impactante, luces LED multicolores y 4 horas de autonomía! Compatible con TWS, FM, TF y USB – Imprescindible para fiestas y viajes</t>
        </is>
      </c>
      <c r="H277" s="16" t="inlineStr">
        <is>
          <t>ROJO</t>
        </is>
      </c>
      <c r="I277" s="16" t="n">
        <v>1</v>
      </c>
      <c r="J277" s="17" t="n">
        <v>66.5</v>
      </c>
      <c r="K277" s="17" t="n">
        <v>58.95</v>
      </c>
      <c r="L277" s="17" t="n">
        <v>25.86</v>
      </c>
      <c r="M277" s="17" t="n">
        <v>0</v>
      </c>
      <c r="N277" s="17">
        <f>K277*0.08+L277*0.08</f>
        <v/>
      </c>
      <c r="O277" s="17">
        <f>-(K277*0.025+L277*0.025)</f>
        <v/>
      </c>
      <c r="P277" s="17">
        <f>32</f>
        <v/>
      </c>
      <c r="Q277" s="17">
        <f>J277+L277+N277+O277-P277-M277</f>
        <v/>
      </c>
    </row>
    <row r="278">
      <c r="A278" s="16" t="inlineStr">
        <is>
          <t>5.1-5.7</t>
        </is>
      </c>
      <c r="B278" s="16" t="inlineStr">
        <is>
          <t>PO-128-19453587815032414</t>
        </is>
      </c>
      <c r="C278" s="16" t="inlineStr">
        <is>
          <t>Delivered</t>
        </is>
      </c>
      <c r="D278" s="16" t="inlineStr">
        <is>
          <t>128-19453629758072414</t>
        </is>
      </c>
      <c r="E278" s="16" t="inlineStr">
        <is>
          <t>Delivered</t>
        </is>
      </c>
      <c r="F278" s="16" t="inlineStr">
        <is>
          <t>SA325T</t>
        </is>
      </c>
      <c r="G278" s="16" t="inlineStr">
        <is>
          <t>Subwoofer Portátil Inalámbrico con Luces RGB, Sonido de Alta Potencia y Batería Duradera, TWS TF USB, Perfecto para Campamento Fiestas y Entretenimiento en Casa</t>
        </is>
      </c>
      <c r="H278" s="16" t="inlineStr">
        <is>
          <t>NEGRO</t>
        </is>
      </c>
      <c r="I278" s="16" t="n">
        <v>1</v>
      </c>
      <c r="J278" s="17" t="n">
        <v>38</v>
      </c>
      <c r="K278" s="17" t="n">
        <v>3.96</v>
      </c>
      <c r="L278" s="17" t="n">
        <v>25.86</v>
      </c>
      <c r="M278" s="17" t="n">
        <v>0</v>
      </c>
      <c r="N278" s="17">
        <f>K278*0.08+L278*0.08</f>
        <v/>
      </c>
      <c r="O278" s="17">
        <f>-(K278*0.025+L278*0.025)</f>
        <v/>
      </c>
      <c r="P278" s="17">
        <f>32</f>
        <v/>
      </c>
      <c r="Q278" s="17">
        <f>J278+L278+N278+O278-P278-M278</f>
        <v/>
      </c>
    </row>
    <row r="279">
      <c r="A279" s="16" t="inlineStr">
        <is>
          <t>5.1-5.7</t>
        </is>
      </c>
      <c r="B279" s="16" t="inlineStr">
        <is>
          <t>PO-128-19775999263350492</t>
        </is>
      </c>
      <c r="C279" s="16" t="inlineStr">
        <is>
          <t>Delivered</t>
        </is>
      </c>
      <c r="D279" s="16" t="inlineStr">
        <is>
          <t>128-19776020234870492</t>
        </is>
      </c>
      <c r="E279" s="16" t="inlineStr">
        <is>
          <t>Delivered</t>
        </is>
      </c>
      <c r="F279" s="16" t="inlineStr">
        <is>
          <t>MCM-001R</t>
        </is>
      </c>
      <c r="G279" s="16" t="inlineStr">
        <is>
          <t>Musicord Altavoz Inalámbrico BT Portátil: ¡Sonido impactante, luces LED multicolores y 4 horas de autonomía! Compatible con TWS, FM, TF y USB – Imprescindible para fiestas y viajes</t>
        </is>
      </c>
      <c r="H279" s="16" t="inlineStr">
        <is>
          <t>ROJO</t>
        </is>
      </c>
      <c r="I279" s="16" t="n">
        <v>1</v>
      </c>
      <c r="J279" s="17" t="n">
        <v>66.5</v>
      </c>
      <c r="K279" s="17" t="n">
        <v>77.79000000000001</v>
      </c>
      <c r="L279" s="17" t="n">
        <v>25.86</v>
      </c>
      <c r="M279" s="17" t="n">
        <v>0</v>
      </c>
      <c r="N279" s="17">
        <f>K279*0.08+L279*0.08</f>
        <v/>
      </c>
      <c r="O279" s="17">
        <f>-(K279*0.025+L279*0.025)</f>
        <v/>
      </c>
      <c r="P279" s="17">
        <f>32</f>
        <v/>
      </c>
      <c r="Q279" s="17">
        <f>J279+L279+N279+O279-P279-M279</f>
        <v/>
      </c>
    </row>
    <row r="280">
      <c r="A280" s="16" t="inlineStr">
        <is>
          <t>5.1-5.7</t>
        </is>
      </c>
      <c r="B280" s="16" t="inlineStr">
        <is>
          <t>PO-128-19831543143030035</t>
        </is>
      </c>
      <c r="C280" s="16" t="inlineStr">
        <is>
          <t>Delivered</t>
        </is>
      </c>
      <c r="D280" s="16" t="inlineStr">
        <is>
          <t>128-19831532657270035</t>
        </is>
      </c>
      <c r="E280" s="16" t="inlineStr">
        <is>
          <t>Delivered</t>
        </is>
      </c>
      <c r="F280" s="16" t="inlineStr">
        <is>
          <t>MB-185A</t>
        </is>
      </c>
      <c r="G280" s="16" t="inlineStr">
        <is>
          <t>Bocina Radio FM/Reproductor, Compatible con Tarjeta TF, USB, Bluetooth, Aplicable para celular, computadora, Ipad y consola.</t>
        </is>
      </c>
      <c r="H280" s="16" t="inlineStr">
        <is>
          <t>AZUL/MB-185</t>
        </is>
      </c>
      <c r="I280" s="16" t="n">
        <v>1</v>
      </c>
      <c r="J280" s="17" t="n">
        <v>75.5</v>
      </c>
      <c r="K280" s="17" t="n">
        <v>75.19</v>
      </c>
      <c r="L280" s="17" t="n">
        <v>25.86</v>
      </c>
      <c r="M280" s="17" t="n">
        <v>0</v>
      </c>
      <c r="N280" s="17">
        <f>K280*0.08+L280*0.08</f>
        <v/>
      </c>
      <c r="O280" s="17">
        <f>-(K280*0.025+L280*0.025)</f>
        <v/>
      </c>
      <c r="P280" s="17">
        <f>32</f>
        <v/>
      </c>
      <c r="Q280" s="17">
        <f>J280+L280+N280+O280-P280-M280</f>
        <v/>
      </c>
    </row>
    <row r="281">
      <c r="A281" s="16" t="inlineStr">
        <is>
          <t>5.1-5.7</t>
        </is>
      </c>
      <c r="B281" s="16" t="inlineStr">
        <is>
          <t>PO-128-19475542712952285</t>
        </is>
      </c>
      <c r="C281" s="16" t="inlineStr">
        <is>
          <t>Delivered</t>
        </is>
      </c>
      <c r="D281" s="16" t="inlineStr">
        <is>
          <t>128-19475584655992285</t>
        </is>
      </c>
      <c r="E281" s="16" t="inlineStr">
        <is>
          <t>Delivered</t>
        </is>
      </c>
      <c r="F281" s="16" t="inlineStr">
        <is>
          <t>BS-22</t>
        </is>
      </c>
      <c r="G281" s="16" t="inlineStr">
        <is>
          <t>link bits Barra de Sonido para TV, 2x2" Altavoces + 2 Membranas de Graves, Sonido Claro ≥80dB, Bluetooth Inalámbrico, Conexiones AUX/USB, Diseño Compacto 76cm, Sonido Envolvente 3D para Cine en Casa, PC, Juegos y Fiestas</t>
        </is>
      </c>
      <c r="H281" s="16" t="inlineStr">
        <is>
          <t>BS-22</t>
        </is>
      </c>
      <c r="I281" s="16" t="n">
        <v>1</v>
      </c>
      <c r="J281" s="17" t="n">
        <v>260</v>
      </c>
      <c r="K281" s="17" t="n">
        <v>299.61</v>
      </c>
      <c r="L281" s="17" t="n">
        <v>0</v>
      </c>
      <c r="M281" s="17" t="n">
        <v>0</v>
      </c>
      <c r="N281" s="17">
        <f>K281*0.08+L281*0.08</f>
        <v/>
      </c>
      <c r="O281" s="17">
        <f>-(K281*0.025+L281*0.025)</f>
        <v/>
      </c>
      <c r="P281" s="17">
        <f>32</f>
        <v/>
      </c>
      <c r="Q281" s="17">
        <f>J281+L281+N281+O281-P281-M281</f>
        <v/>
      </c>
    </row>
    <row r="282">
      <c r="A282" s="16" t="inlineStr">
        <is>
          <t>5.1-5.7</t>
        </is>
      </c>
      <c r="B282" s="16" t="inlineStr">
        <is>
          <t>PO-128-19625944617591389</t>
        </is>
      </c>
      <c r="C282" s="16" t="inlineStr">
        <is>
          <t>Delivered</t>
        </is>
      </c>
      <c r="D282" s="16" t="inlineStr">
        <is>
          <t>128-19625871217271389</t>
        </is>
      </c>
      <c r="E282" s="16" t="inlineStr">
        <is>
          <t>Delivered</t>
        </is>
      </c>
      <c r="F282" s="16" t="inlineStr">
        <is>
          <t>SA325T</t>
        </is>
      </c>
      <c r="G282" s="16" t="inlineStr">
        <is>
          <t>Subwoofer Portátil Inalámbrico con Luces RGB, Sonido de Alta Potencia y Batería Duradera, TWS TF USB, Perfecto para Campamento Fiestas y Entretenimiento en Casa</t>
        </is>
      </c>
      <c r="H282" s="16" t="inlineStr">
        <is>
          <t>NEGRO</t>
        </is>
      </c>
      <c r="I282" s="16" t="n">
        <v>1</v>
      </c>
      <c r="J282" s="17" t="n">
        <v>38</v>
      </c>
      <c r="K282" s="17" t="n">
        <v>47.06</v>
      </c>
      <c r="L282" s="17" t="n">
        <v>25.86</v>
      </c>
      <c r="M282" s="17" t="n">
        <v>0</v>
      </c>
      <c r="N282" s="17">
        <f>K282*0.08+L282*0.08</f>
        <v/>
      </c>
      <c r="O282" s="17">
        <f>-(K282*0.025+L282*0.025)</f>
        <v/>
      </c>
      <c r="P282" s="17">
        <f>32</f>
        <v/>
      </c>
      <c r="Q282" s="17">
        <f>J282+L282+N282+O282-P282-M282</f>
        <v/>
      </c>
    </row>
    <row r="283">
      <c r="A283" s="16" t="inlineStr">
        <is>
          <t>5.1-5.7</t>
        </is>
      </c>
      <c r="B283" s="16" t="inlineStr">
        <is>
          <t>PO-128-19707276094071862</t>
        </is>
      </c>
      <c r="C283" s="16" t="inlineStr">
        <is>
          <t>Delivered</t>
        </is>
      </c>
      <c r="D283" s="16" t="inlineStr">
        <is>
          <t>128-19707352115831862</t>
        </is>
      </c>
      <c r="E283" s="16" t="inlineStr">
        <is>
          <t>Delivered</t>
        </is>
      </c>
      <c r="F283" s="16" t="inlineStr">
        <is>
          <t>KTS-1678N</t>
        </is>
      </c>
      <c r="G283" s="16" t="inlineStr">
        <is>
          <t>Bocina portátil Inalámbrico, de 3 pulgadas, tamaño de bolsillo, 170 g, con asa, compatible con TF, USB y Micro SD, con radio FM y función TWS (True Wireless Stereo), adecuada para relajarse en casa o viajar al aire libre.</t>
        </is>
      </c>
      <c r="H283" s="16" t="inlineStr">
        <is>
          <t>KTS-1678N</t>
        </is>
      </c>
      <c r="I283" s="16" t="n">
        <v>1</v>
      </c>
      <c r="J283" s="17" t="n">
        <v>43</v>
      </c>
      <c r="K283" s="17" t="n">
        <v>49.22</v>
      </c>
      <c r="L283" s="17" t="n">
        <v>25.86</v>
      </c>
      <c r="M283" s="17" t="n">
        <v>0</v>
      </c>
      <c r="N283" s="17">
        <f>K283*0.08+L283*0.08</f>
        <v/>
      </c>
      <c r="O283" s="17">
        <f>-(K283*0.025+L283*0.025)</f>
        <v/>
      </c>
      <c r="P283" s="17">
        <f>32</f>
        <v/>
      </c>
      <c r="Q283" s="17">
        <f>J283+L283+N283+O283-P283-M283</f>
        <v/>
      </c>
    </row>
    <row r="284">
      <c r="A284" s="16" t="inlineStr">
        <is>
          <t>5.1-5.7</t>
        </is>
      </c>
      <c r="B284" s="16" t="inlineStr">
        <is>
          <t>PO-128-19763819295350439</t>
        </is>
      </c>
      <c r="C284" s="16" t="inlineStr">
        <is>
          <t>Delivered</t>
        </is>
      </c>
      <c r="D284" s="16" t="inlineStr">
        <is>
          <t>128-19763887452790439</t>
        </is>
      </c>
      <c r="E284" s="16" t="inlineStr">
        <is>
          <t>Delivered</t>
        </is>
      </c>
      <c r="F284" s="16" t="inlineStr">
        <is>
          <t>SA323T</t>
        </is>
      </c>
      <c r="G284" s="16" t="inlineStr">
        <is>
          <t>Linkbits Bocina Portátil Parlantes BT Portátiles con Iluminación de Ambiente | 1 Hora de Duración, FM, TWS, TF/Micro SD | Ideal para Hogar, Fiestas y Viajes</t>
        </is>
      </c>
      <c r="H284" s="16" t="inlineStr">
        <is>
          <t>SA323T</t>
        </is>
      </c>
      <c r="I284" s="16" t="n">
        <v>1</v>
      </c>
      <c r="J284" s="17" t="n">
        <v>46.8</v>
      </c>
      <c r="K284" s="17" t="n">
        <v>2.41</v>
      </c>
      <c r="L284" s="17" t="n">
        <v>25.86</v>
      </c>
      <c r="M284" s="17" t="n">
        <v>0</v>
      </c>
      <c r="N284" s="17">
        <f>K284*0.08+L284*0.08</f>
        <v/>
      </c>
      <c r="O284" s="17">
        <f>-(K284*0.025+L284*0.025)</f>
        <v/>
      </c>
      <c r="P284" s="17">
        <f>32</f>
        <v/>
      </c>
      <c r="Q284" s="17">
        <f>J284+L284+N284+O284-P284-M284</f>
        <v/>
      </c>
    </row>
    <row r="285">
      <c r="A285" s="16" t="inlineStr">
        <is>
          <t>5.1-5.7</t>
        </is>
      </c>
      <c r="B285" s="16" t="inlineStr">
        <is>
          <t>PO-128-19464710287992220</t>
        </is>
      </c>
      <c r="C285" s="16" t="inlineStr">
        <is>
          <t>Delivered</t>
        </is>
      </c>
      <c r="D285" s="16" t="inlineStr">
        <is>
          <t>128-19464731259512220</t>
        </is>
      </c>
      <c r="E285" s="16" t="inlineStr">
        <is>
          <t>Delivered</t>
        </is>
      </c>
      <c r="F285" s="16" t="inlineStr">
        <is>
          <t>KTS-1678N</t>
        </is>
      </c>
      <c r="G285" s="16" t="inlineStr">
        <is>
          <t>Bocina portátil Inalámbrico, de 3 pulgadas, tamaño de bolsillo, 170 g, con asa, compatible con TF, USB y Micro SD, con radio FM y función TWS (True Wireless Stereo), adecuada para relajarse en casa o viajar al aire libre.</t>
        </is>
      </c>
      <c r="H285" s="16" t="inlineStr">
        <is>
          <t>KTS-1678N</t>
        </is>
      </c>
      <c r="I285" s="16" t="n">
        <v>1</v>
      </c>
      <c r="J285" s="17" t="n">
        <v>43</v>
      </c>
      <c r="K285" s="17" t="n">
        <v>49.22</v>
      </c>
      <c r="L285" s="17" t="n">
        <v>25.86</v>
      </c>
      <c r="M285" s="17" t="n">
        <v>0</v>
      </c>
      <c r="N285" s="17">
        <f>K285*0.08+L285*0.08</f>
        <v/>
      </c>
      <c r="O285" s="17">
        <f>-(K285*0.025+L285*0.025)</f>
        <v/>
      </c>
      <c r="P285" s="17">
        <f>32</f>
        <v/>
      </c>
      <c r="Q285" s="17">
        <f>J285+L285+N285+O285-P285-M285</f>
        <v/>
      </c>
    </row>
    <row r="286">
      <c r="A286" s="16" t="inlineStr">
        <is>
          <t>5.1-5.7</t>
        </is>
      </c>
      <c r="B286" s="16" t="inlineStr">
        <is>
          <t>PO-128-19780821955190272</t>
        </is>
      </c>
      <c r="C286" s="16" t="inlineStr">
        <is>
          <t>Delivered</t>
        </is>
      </c>
      <c r="D286" s="16" t="inlineStr">
        <is>
          <t>128-19780800983670272</t>
        </is>
      </c>
      <c r="E286" s="16" t="inlineStr">
        <is>
          <t>Delivered</t>
        </is>
      </c>
      <c r="F286" s="16" t="inlineStr">
        <is>
          <t>KTS-1678Y</t>
        </is>
      </c>
      <c r="G286" s="16" t="inlineStr">
        <is>
          <t>Bocina portátil Inalámbrico, de 3 pulgadas, tamaño de bolsillo, 170 g, con asa, compatible con TF, USB y Micro SD, con radio FM y función TWS (True Wireless Stereo), adecuada para relajarse en casa o viajar al aire libre.</t>
        </is>
      </c>
      <c r="H286" s="16" t="inlineStr">
        <is>
          <t>KTS-1678Y</t>
        </is>
      </c>
      <c r="I286" s="16" t="n">
        <v>1</v>
      </c>
      <c r="J286" s="17" t="n">
        <v>42.5</v>
      </c>
      <c r="K286" s="17" t="n">
        <v>48.72</v>
      </c>
      <c r="L286" s="17" t="n">
        <v>25.86</v>
      </c>
      <c r="M286" s="17" t="n">
        <v>0</v>
      </c>
      <c r="N286" s="17">
        <f>K286*0.08+L286*0.08</f>
        <v/>
      </c>
      <c r="O286" s="17">
        <f>-(K286*0.025+L286*0.025)</f>
        <v/>
      </c>
      <c r="P286" s="17">
        <f>32</f>
        <v/>
      </c>
      <c r="Q286" s="17">
        <f>J286+L286+N286+O286-P286-M286</f>
        <v/>
      </c>
    </row>
    <row r="287">
      <c r="A287" s="16" t="inlineStr">
        <is>
          <t>5.1-5.7</t>
        </is>
      </c>
      <c r="B287" s="16" t="inlineStr">
        <is>
          <t>PO-128-19490196521592132</t>
        </is>
      </c>
      <c r="C287" s="16" t="inlineStr">
        <is>
          <t>Delivered</t>
        </is>
      </c>
      <c r="D287" s="16" t="inlineStr">
        <is>
          <t>128-19490186035832132</t>
        </is>
      </c>
      <c r="E287" s="16" t="inlineStr">
        <is>
          <t>Delivered</t>
        </is>
      </c>
      <c r="F287" s="16" t="inlineStr">
        <is>
          <t>LB02235-azul</t>
        </is>
      </c>
      <c r="G287" s="16" t="inlineStr">
        <is>
          <t>Audífonos Inalámbricos para la Cabeza, Recargables y Multifuncionales - Conectan a Varios Dispositivos, soportan Radio FM, Tarjeta TF y AUX - 4 Horas de Reproducción Musical - Ideal para Trabajo Cotidiano, Juegos y Estudio</t>
        </is>
      </c>
      <c r="H287" s="16" t="inlineStr">
        <is>
          <t>AZUL</t>
        </is>
      </c>
      <c r="I287" s="16" t="n">
        <v>1</v>
      </c>
      <c r="J287" s="17" t="n">
        <v>37.71</v>
      </c>
      <c r="K287" s="17" t="n">
        <v>50.83</v>
      </c>
      <c r="L287" s="17" t="n">
        <v>25.86</v>
      </c>
      <c r="M287" s="17" t="n">
        <v>0</v>
      </c>
      <c r="N287" s="17">
        <f>K287*0.08+L287*0.08</f>
        <v/>
      </c>
      <c r="O287" s="17">
        <f>-(K287*0.025+L287*0.025)</f>
        <v/>
      </c>
      <c r="P287" s="17">
        <f>32</f>
        <v/>
      </c>
      <c r="Q287" s="17">
        <f>J287+L287+N287+O287-P287-M287</f>
        <v/>
      </c>
    </row>
    <row r="288">
      <c r="A288" s="16" t="inlineStr">
        <is>
          <t>5.1-5.7</t>
        </is>
      </c>
      <c r="B288" s="16" t="inlineStr">
        <is>
          <t>PO-128-19246060524153461</t>
        </is>
      </c>
      <c r="C288" s="16" t="inlineStr">
        <is>
          <t>Delivered</t>
        </is>
      </c>
      <c r="D288" s="16" t="inlineStr">
        <is>
          <t>128-19246050038393461</t>
        </is>
      </c>
      <c r="E288" s="16" t="inlineStr">
        <is>
          <t>Delivered</t>
        </is>
      </c>
      <c r="F288" s="16" t="inlineStr">
        <is>
          <t>FA028</t>
        </is>
      </c>
      <c r="G288" s="16" t="inlineStr">
        <is>
          <t>Extractor de agua para garrafas de agua, compatible con carga USB, extractor de agua automático, práctico, con dos modos de toma de agua: manual y programado, ideal para dormitorios, salones, oficinas, uso al aire libre y otros escenarios.</t>
        </is>
      </c>
      <c r="H288" s="16" t="inlineStr">
        <is>
          <t>FA028</t>
        </is>
      </c>
      <c r="I288" s="16" t="n">
        <v>1</v>
      </c>
      <c r="J288" s="17" t="n">
        <v>35</v>
      </c>
      <c r="K288" s="17" t="n">
        <v>40.69</v>
      </c>
      <c r="L288" s="17" t="n">
        <v>25.86</v>
      </c>
      <c r="M288" s="17" t="n">
        <v>0</v>
      </c>
      <c r="N288" s="17">
        <f>K288*0.08+L288*0.08</f>
        <v/>
      </c>
      <c r="O288" s="17">
        <f>-(K288*0.025+L288*0.025)</f>
        <v/>
      </c>
      <c r="P288" s="17">
        <f>32</f>
        <v/>
      </c>
      <c r="Q288" s="17">
        <f>J288+L288+N288+O288-P288-M288</f>
        <v/>
      </c>
    </row>
    <row r="289">
      <c r="A289" s="16" t="inlineStr">
        <is>
          <t>5.1-5.7</t>
        </is>
      </c>
      <c r="B289" s="16" t="inlineStr">
        <is>
          <t>PO-128-19860469084791015</t>
        </is>
      </c>
      <c r="C289" s="16" t="inlineStr">
        <is>
          <t>Delivered</t>
        </is>
      </c>
      <c r="D289" s="16" t="inlineStr">
        <is>
          <t>128-19860442870391015</t>
        </is>
      </c>
      <c r="E289" s="16" t="inlineStr">
        <is>
          <t>Delivered</t>
        </is>
      </c>
      <c r="F289" s="16" t="inlineStr">
        <is>
          <t>VB347T</t>
        </is>
      </c>
      <c r="G28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89" s="16" t="inlineStr">
        <is>
          <t>1 pieza</t>
        </is>
      </c>
      <c r="I289" s="16" t="n">
        <v>5</v>
      </c>
      <c r="J289" s="17" t="n">
        <v>399.45</v>
      </c>
      <c r="K289" s="17" t="n">
        <v>472.5</v>
      </c>
      <c r="L289" s="17" t="n">
        <v>0</v>
      </c>
      <c r="M289" s="17" t="n">
        <v>0</v>
      </c>
      <c r="N289" s="17">
        <f>K289*0.08+L289*0.08</f>
        <v/>
      </c>
      <c r="O289" s="17">
        <f>-(K289*0.025+L289*0.025)</f>
        <v/>
      </c>
      <c r="P289" s="17">
        <f>32</f>
        <v/>
      </c>
      <c r="Q289" s="17">
        <f>J289+L289+N289+O289-P289-M289</f>
        <v/>
      </c>
    </row>
    <row r="290">
      <c r="A290" s="16" t="inlineStr">
        <is>
          <t>5.1-5.7</t>
        </is>
      </c>
      <c r="B290" s="16" t="inlineStr">
        <is>
          <t>PO-128-19377634212473765</t>
        </is>
      </c>
      <c r="C290" s="16" t="inlineStr">
        <is>
          <t>Delivered</t>
        </is>
      </c>
      <c r="D290" s="16" t="inlineStr">
        <is>
          <t>128-19377655183993765</t>
        </is>
      </c>
      <c r="E290" s="16" t="inlineStr">
        <is>
          <t>Delivered</t>
        </is>
      </c>
      <c r="F290" s="16" t="inlineStr">
        <is>
          <t>SA325T</t>
        </is>
      </c>
      <c r="G290" s="16" t="inlineStr">
        <is>
          <t>Subwoofer Portátil Inalámbrico con Luces RGB, Sonido de Alta Potencia y Batería Duradera, TWS TF USB, Perfecto para Campamento Fiestas y Entretenimiento en Casa</t>
        </is>
      </c>
      <c r="H290" s="16" t="inlineStr">
        <is>
          <t>NEGRO</t>
        </is>
      </c>
      <c r="I290" s="16" t="n">
        <v>1</v>
      </c>
      <c r="J290" s="17" t="n">
        <v>38</v>
      </c>
      <c r="K290" s="17" t="n">
        <v>47.06</v>
      </c>
      <c r="L290" s="17" t="n">
        <v>25.86</v>
      </c>
      <c r="M290" s="17" t="n">
        <v>0</v>
      </c>
      <c r="N290" s="17">
        <f>K290*0.08+L290*0.08</f>
        <v/>
      </c>
      <c r="O290" s="17">
        <f>-(K290*0.025+L290*0.025)</f>
        <v/>
      </c>
      <c r="P290" s="17">
        <f>32</f>
        <v/>
      </c>
      <c r="Q290" s="17">
        <f>J290+L290+N290+O290-P290-M290</f>
        <v/>
      </c>
    </row>
    <row r="291">
      <c r="A291" s="16" t="inlineStr">
        <is>
          <t>5.1-5.7</t>
        </is>
      </c>
      <c r="B291" s="16" t="inlineStr">
        <is>
          <t>PO-128-19510691687033034</t>
        </is>
      </c>
      <c r="C291" s="16" t="inlineStr">
        <is>
          <t>Delivered</t>
        </is>
      </c>
      <c r="D291" s="16" t="inlineStr">
        <is>
          <t>128-19510649743993034</t>
        </is>
      </c>
      <c r="E291" s="16" t="inlineStr">
        <is>
          <t>Delivered</t>
        </is>
      </c>
      <c r="F291" s="16" t="inlineStr">
        <is>
          <t>LV64W25</t>
        </is>
      </c>
      <c r="G291" s="16" t="inlineStr">
        <is>
          <t>Ventilador de Techo LED TIANLAI con 5 Aspas, Control Remoto, 3 Colores Luz, 3 Velocidades, Temporizador, Fácil Instalación, E27 para Baño Cocina Dormitorio Salón</t>
        </is>
      </c>
      <c r="H291" s="16" t="inlineStr">
        <is>
          <t>LV64W25</t>
        </is>
      </c>
      <c r="I291" s="16" t="n">
        <v>1</v>
      </c>
      <c r="J291" s="17" t="n">
        <v>156</v>
      </c>
      <c r="K291" s="17" t="n">
        <v>0</v>
      </c>
      <c r="L291" s="17" t="n">
        <v>0</v>
      </c>
      <c r="M291" s="17" t="n">
        <v>0</v>
      </c>
      <c r="N291" s="17">
        <f>K291*0.08+L291*0.08</f>
        <v/>
      </c>
      <c r="O291" s="17">
        <f>-(K291*0.025+L291*0.025)</f>
        <v/>
      </c>
      <c r="P291" s="17">
        <f>32</f>
        <v/>
      </c>
      <c r="Q291" s="17">
        <f>J291+L291+N291+O291-P291-M291</f>
        <v/>
      </c>
    </row>
    <row r="292">
      <c r="A292" s="16" t="inlineStr">
        <is>
          <t>5.1-5.7</t>
        </is>
      </c>
      <c r="B292" s="16" t="inlineStr">
        <is>
          <t>PO-128-19832688794230090</t>
        </is>
      </c>
      <c r="C292" s="16" t="inlineStr">
        <is>
          <t>Delivered</t>
        </is>
      </c>
      <c r="D292" s="16" t="inlineStr">
        <is>
          <t>128-19832704522870090</t>
        </is>
      </c>
      <c r="E292" s="16" t="inlineStr">
        <is>
          <t>Delivered</t>
        </is>
      </c>
      <c r="F292" s="16" t="inlineStr">
        <is>
          <t>SA323T</t>
        </is>
      </c>
      <c r="G292" s="16" t="inlineStr">
        <is>
          <t>Linkbits Bocina Portátil Parlantes BT Portátiles con Iluminación de Ambiente | 1 Hora de Duración, FM, TWS, TF/Micro SD | Ideal para Hogar, Fiestas y Viajes</t>
        </is>
      </c>
      <c r="H292" s="16" t="inlineStr">
        <is>
          <t>SA323T</t>
        </is>
      </c>
      <c r="I292" s="16" t="n">
        <v>2</v>
      </c>
      <c r="J292" s="17" t="n">
        <v>93.59999999999999</v>
      </c>
      <c r="K292" s="17" t="n">
        <v>111.72</v>
      </c>
      <c r="L292" s="17" t="n">
        <v>25.86</v>
      </c>
      <c r="M292" s="17" t="n">
        <v>0</v>
      </c>
      <c r="N292" s="17">
        <f>K292*0.08+L292*0.08</f>
        <v/>
      </c>
      <c r="O292" s="17">
        <f>-(K292*0.025+L292*0.025)</f>
        <v/>
      </c>
      <c r="P292" s="17">
        <f>32</f>
        <v/>
      </c>
      <c r="Q292" s="17">
        <f>J292+L292+N292+O292-P292-M292</f>
        <v/>
      </c>
    </row>
    <row r="293">
      <c r="A293" s="16" t="inlineStr">
        <is>
          <t>5.1-5.7</t>
        </is>
      </c>
      <c r="B293" s="16" t="inlineStr">
        <is>
          <t>PO-128-19806905836150180</t>
        </is>
      </c>
      <c r="C293" s="16" t="inlineStr">
        <is>
          <t>Delivered</t>
        </is>
      </c>
      <c r="D293" s="16" t="inlineStr">
        <is>
          <t>128-19806916321910180</t>
        </is>
      </c>
      <c r="E293" s="16" t="inlineStr">
        <is>
          <t>Delivered</t>
        </is>
      </c>
      <c r="F293" s="16" t="inlineStr">
        <is>
          <t>MB-185N</t>
        </is>
      </c>
      <c r="G293" s="16" t="inlineStr">
        <is>
          <t>Bocina Radio FM/Reproductor, Compatible con Tarjeta TF, USB, Bluetooth, Aplicable para celular, computadora, Ipad y consola.</t>
        </is>
      </c>
      <c r="H293" s="16" t="inlineStr">
        <is>
          <t>NEGRO/MB-185</t>
        </is>
      </c>
      <c r="I293" s="16" t="n">
        <v>2</v>
      </c>
      <c r="J293" s="17" t="n">
        <v>151</v>
      </c>
      <c r="K293" s="17" t="n">
        <v>141.54</v>
      </c>
      <c r="L293" s="17" t="n">
        <v>25.86</v>
      </c>
      <c r="M293" s="17" t="n">
        <v>0</v>
      </c>
      <c r="N293" s="17">
        <f>K293*0.08+L293*0.08</f>
        <v/>
      </c>
      <c r="O293" s="17">
        <f>-(K293*0.025+L293*0.025)</f>
        <v/>
      </c>
      <c r="P293" s="17">
        <f>32</f>
        <v/>
      </c>
      <c r="Q293" s="17">
        <f>J293+L293+N293+O293-P293-M293</f>
        <v/>
      </c>
    </row>
    <row r="294">
      <c r="A294" s="16" t="inlineStr">
        <is>
          <t>5.1-5.7</t>
        </is>
      </c>
      <c r="B294" s="16" t="inlineStr">
        <is>
          <t>PO-128-19322782986873194</t>
        </is>
      </c>
      <c r="C294" s="16" t="inlineStr">
        <is>
          <t>Delivered</t>
        </is>
      </c>
      <c r="D294" s="16" t="inlineStr">
        <is>
          <t>128-19322741043833194</t>
        </is>
      </c>
      <c r="E294" s="16" t="inlineStr">
        <is>
          <t>Delivered</t>
        </is>
      </c>
      <c r="F294" s="16" t="inlineStr">
        <is>
          <t>MCM-001G</t>
        </is>
      </c>
      <c r="G294" s="16" t="inlineStr">
        <is>
          <t>Musicord Altavoz Inalámbrico BT Portátil: ¡Sonido impactante, luces LED multicolores y 4 horas de autonomía! Compatible con TWS, FM, TF y USB – Imprescindible para fiestas y viajes</t>
        </is>
      </c>
      <c r="H294" s="16" t="inlineStr">
        <is>
          <t>GRIS</t>
        </is>
      </c>
      <c r="I294" s="16" t="n">
        <v>1</v>
      </c>
      <c r="J294" s="17" t="n">
        <v>51.07</v>
      </c>
      <c r="K294" s="17" t="n">
        <v>62.36</v>
      </c>
      <c r="L294" s="17" t="n">
        <v>25.86</v>
      </c>
      <c r="M294" s="17" t="n">
        <v>0</v>
      </c>
      <c r="N294" s="17">
        <f>K294*0.08+L294*0.08</f>
        <v/>
      </c>
      <c r="O294" s="17">
        <f>-(K294*0.025+L294*0.025)</f>
        <v/>
      </c>
      <c r="P294" s="17">
        <f>32</f>
        <v/>
      </c>
      <c r="Q294" s="17">
        <f>J294+L294+N294+O294-P294-M294</f>
        <v/>
      </c>
    </row>
    <row r="295">
      <c r="A295" s="16" t="inlineStr">
        <is>
          <t>5.1-5.7</t>
        </is>
      </c>
      <c r="B295" s="16" t="inlineStr">
        <is>
          <t>PO-128-19395268383353594</t>
        </is>
      </c>
      <c r="C295" s="16" t="inlineStr">
        <is>
          <t>Delivered</t>
        </is>
      </c>
      <c r="D295" s="16" t="inlineStr">
        <is>
          <t>128-19395226440313594</t>
        </is>
      </c>
      <c r="E295" s="16" t="inlineStr">
        <is>
          <t>Delivered</t>
        </is>
      </c>
      <c r="F295" s="16" t="inlineStr">
        <is>
          <t>BS-22</t>
        </is>
      </c>
      <c r="G295" s="16" t="inlineStr">
        <is>
          <t>link bits Barra de Sonido para TV, 2x2" Altavoces + 2 Membranas de Graves, Sonido Claro ≥80dB, Bluetooth Inalámbrico, Conexiones AUX/USB, Diseño Compacto 76cm, Sonido Envolvente 3D para Cine en Casa, PC, Juegos y Fiestas</t>
        </is>
      </c>
      <c r="H295" s="16" t="inlineStr">
        <is>
          <t>BS-22</t>
        </is>
      </c>
      <c r="I295" s="16" t="n">
        <v>1</v>
      </c>
      <c r="J295" s="17" t="n">
        <v>260</v>
      </c>
      <c r="K295" s="17" t="n">
        <v>256.51</v>
      </c>
      <c r="L295" s="17" t="n">
        <v>0</v>
      </c>
      <c r="M295" s="17" t="n">
        <v>0</v>
      </c>
      <c r="N295" s="17">
        <f>K295*0.08+L295*0.08</f>
        <v/>
      </c>
      <c r="O295" s="17">
        <f>-(K295*0.025+L295*0.025)</f>
        <v/>
      </c>
      <c r="P295" s="17">
        <f>32</f>
        <v/>
      </c>
      <c r="Q295" s="17">
        <f>J295+L295+N295+O295-P295-M295</f>
        <v/>
      </c>
    </row>
    <row r="296">
      <c r="A296" s="16" t="inlineStr">
        <is>
          <t>5.1-5.7</t>
        </is>
      </c>
      <c r="B296" s="16" t="inlineStr">
        <is>
          <t>PO-128-19598456556151489</t>
        </is>
      </c>
      <c r="C296" s="16" t="inlineStr">
        <is>
          <t>Delivered</t>
        </is>
      </c>
      <c r="D296" s="16" t="inlineStr">
        <is>
          <t>128-19598435584631489</t>
        </is>
      </c>
      <c r="E296" s="16" t="inlineStr">
        <is>
          <t>Delivered</t>
        </is>
      </c>
      <c r="F296" s="16" t="inlineStr">
        <is>
          <t>MCM-001R</t>
        </is>
      </c>
      <c r="G296" s="16" t="inlineStr">
        <is>
          <t>Musicord Altavoz Inalámbrico BT Portátil: ¡Sonido impactante, luces LED multicolores y 4 horas de autonomía! Compatible con TWS, FM, TF y USB – Imprescindible para fiestas y viajes</t>
        </is>
      </c>
      <c r="H296" s="16" t="inlineStr">
        <is>
          <t>ROJO</t>
        </is>
      </c>
      <c r="I296" s="16" t="n">
        <v>1</v>
      </c>
      <c r="J296" s="17" t="n">
        <v>66.5</v>
      </c>
      <c r="K296" s="17" t="n">
        <v>77.79000000000001</v>
      </c>
      <c r="L296" s="17" t="n">
        <v>25.86</v>
      </c>
      <c r="M296" s="17" t="n">
        <v>0</v>
      </c>
      <c r="N296" s="17">
        <f>K296*0.08+L296*0.08</f>
        <v/>
      </c>
      <c r="O296" s="17">
        <f>-(K296*0.025+L296*0.025)</f>
        <v/>
      </c>
      <c r="P296" s="17">
        <f>32</f>
        <v/>
      </c>
      <c r="Q296" s="17">
        <f>J296+L296+N296+O296-P296-M296</f>
        <v/>
      </c>
    </row>
    <row r="297">
      <c r="A297" s="16" t="inlineStr">
        <is>
          <t>5.1-5.7</t>
        </is>
      </c>
      <c r="B297" s="16" t="inlineStr">
        <is>
          <t>PO-128-19870492109430827</t>
        </is>
      </c>
      <c r="C297" s="16" t="inlineStr">
        <is>
          <t>Delivered</t>
        </is>
      </c>
      <c r="D297" s="16" t="inlineStr">
        <is>
          <t>128-19870465895030827</t>
        </is>
      </c>
      <c r="E297" s="16" t="inlineStr">
        <is>
          <t>Delivered</t>
        </is>
      </c>
      <c r="F297" s="16" t="inlineStr">
        <is>
          <t>LB02235-azul</t>
        </is>
      </c>
      <c r="G297" s="16" t="inlineStr">
        <is>
          <t>Audífonos Inalámbricos para la Cabeza, Recargables y Multifuncionales - Conectan a Varios Dispositivos, soportan Radio FM, Tarjeta TF y AUX - 4 Horas de Reproducción Musical - Ideal para Trabajo Cotidiano, Juegos y Estudio</t>
        </is>
      </c>
      <c r="H297" s="16" t="inlineStr">
        <is>
          <t>AZUL</t>
        </is>
      </c>
      <c r="I297" s="16" t="n">
        <v>1</v>
      </c>
      <c r="J297" s="17" t="n">
        <v>37.71</v>
      </c>
      <c r="K297" s="17" t="n">
        <v>43.21</v>
      </c>
      <c r="L297" s="17" t="n">
        <v>25.86</v>
      </c>
      <c r="M297" s="17" t="n">
        <v>0</v>
      </c>
      <c r="N297" s="17">
        <f>K297*0.08+L297*0.08</f>
        <v/>
      </c>
      <c r="O297" s="17">
        <f>-(K297*0.025+L297*0.025)</f>
        <v/>
      </c>
      <c r="P297" s="17">
        <f>32</f>
        <v/>
      </c>
      <c r="Q297" s="17">
        <f>J297+L297+N297+O297-P297-M297</f>
        <v/>
      </c>
    </row>
    <row r="298">
      <c r="A298" s="16" t="inlineStr">
        <is>
          <t>5.1-5.7</t>
        </is>
      </c>
      <c r="B298" s="16" t="inlineStr">
        <is>
          <t>PO-128-19882529137270883</t>
        </is>
      </c>
      <c r="C298" s="16" t="inlineStr">
        <is>
          <t>Delivered</t>
        </is>
      </c>
      <c r="D298" s="16" t="inlineStr">
        <is>
          <t>128-19882539623030883</t>
        </is>
      </c>
      <c r="E298" s="16" t="inlineStr">
        <is>
          <t>Delivered</t>
        </is>
      </c>
      <c r="F298" s="16" t="inlineStr">
        <is>
          <t>KTS-1678N</t>
        </is>
      </c>
      <c r="G298" s="16" t="inlineStr">
        <is>
          <t>Bocina portátil Inalámbrico, de 3 pulgadas, tamaño de bolsillo, 170 g, con asa, compatible con TF, USB y Micro SD, con radio FM y función TWS (True Wireless Stereo), adecuada para relajarse en casa o viajar al aire libre.</t>
        </is>
      </c>
      <c r="H298" s="16" t="inlineStr">
        <is>
          <t>KTS-1678N</t>
        </is>
      </c>
      <c r="I298" s="16" t="n">
        <v>1</v>
      </c>
      <c r="J298" s="17" t="n">
        <v>43</v>
      </c>
      <c r="K298" s="17" t="n">
        <v>43.05</v>
      </c>
      <c r="L298" s="17" t="n">
        <v>25.86</v>
      </c>
      <c r="M298" s="17" t="n">
        <v>0</v>
      </c>
      <c r="N298" s="17">
        <f>K298*0.08+L298*0.08</f>
        <v/>
      </c>
      <c r="O298" s="17">
        <f>-(K298*0.025+L298*0.025)</f>
        <v/>
      </c>
      <c r="P298" s="17">
        <f>32</f>
        <v/>
      </c>
      <c r="Q298" s="17">
        <f>J298+L298+N298+O298-P298-M298</f>
        <v/>
      </c>
    </row>
    <row r="299">
      <c r="A299" s="16" t="inlineStr">
        <is>
          <t>5.1-5.7</t>
        </is>
      </c>
      <c r="B299" s="16" t="inlineStr">
        <is>
          <t>PO-128-19822270761590027</t>
        </is>
      </c>
      <c r="C299" s="16" t="inlineStr">
        <is>
          <t>Delivered</t>
        </is>
      </c>
      <c r="D299" s="16" t="inlineStr">
        <is>
          <t>128-19822260275830027</t>
        </is>
      </c>
      <c r="E299" s="16" t="inlineStr">
        <is>
          <t>Delivered</t>
        </is>
      </c>
      <c r="F299" s="16" t="inlineStr">
        <is>
          <t>BS-22</t>
        </is>
      </c>
      <c r="G299" s="16" t="inlineStr">
        <is>
          <t>link bits Barra de Sonido para TV, 2x2" Altavoces + 2 Membranas de Graves, Sonido Claro ≥80dB, Bluetooth Inalámbrico, Conexiones AUX/USB, Diseño Compacto 76cm, Sonido Envolvente 3D para Cine en Casa, PC, Juegos y Fiestas</t>
        </is>
      </c>
      <c r="H299" s="16" t="inlineStr">
        <is>
          <t>BS-22</t>
        </is>
      </c>
      <c r="I299" s="16" t="n">
        <v>1</v>
      </c>
      <c r="J299" s="17" t="n">
        <v>260</v>
      </c>
      <c r="K299" s="17" t="n">
        <v>239.7</v>
      </c>
      <c r="L299" s="17" t="n">
        <v>0</v>
      </c>
      <c r="M299" s="17" t="n">
        <v>0</v>
      </c>
      <c r="N299" s="17">
        <f>K299*0.08+L299*0.08</f>
        <v/>
      </c>
      <c r="O299" s="17">
        <f>-(K299*0.025+L299*0.025)</f>
        <v/>
      </c>
      <c r="P299" s="17">
        <f>32</f>
        <v/>
      </c>
      <c r="Q299" s="17">
        <f>J299+L299+N299+O299-P299-M299</f>
        <v/>
      </c>
    </row>
    <row r="300">
      <c r="A300" s="16" t="inlineStr">
        <is>
          <t>5.1-5.7</t>
        </is>
      </c>
      <c r="B300" s="16" t="inlineStr">
        <is>
          <t>PO-128-19486111724152092</t>
        </is>
      </c>
      <c r="C300" s="16" t="inlineStr">
        <is>
          <t>Delivered</t>
        </is>
      </c>
      <c r="D300" s="16" t="inlineStr">
        <is>
          <t>128-19486145802872092</t>
        </is>
      </c>
      <c r="E300" s="16" t="inlineStr">
        <is>
          <t>Delivered</t>
        </is>
      </c>
      <c r="F300" s="16" t="inlineStr">
        <is>
          <t>LB02235-azul</t>
        </is>
      </c>
      <c r="G300" s="16" t="inlineStr">
        <is>
          <t>Audífonos Inalámbricos para la Cabeza, Recargables y Multifuncionales - Conectan a Varios Dispositivos, soportan Radio FM, Tarjeta TF y AUX - 4 Horas de Reproducción Musical - Ideal para Trabajo Cotidiano, Juegos y Estudio</t>
        </is>
      </c>
      <c r="H300" s="16" t="inlineStr">
        <is>
          <t>AZUL</t>
        </is>
      </c>
      <c r="I300" s="16" t="n">
        <v>1</v>
      </c>
      <c r="J300" s="17" t="n">
        <v>37.71</v>
      </c>
      <c r="K300" s="17" t="n">
        <v>50.83</v>
      </c>
      <c r="L300" s="17" t="n">
        <v>25.86</v>
      </c>
      <c r="M300" s="17" t="n">
        <v>0</v>
      </c>
      <c r="N300" s="17">
        <f>K300*0.08+L300*0.08</f>
        <v/>
      </c>
      <c r="O300" s="17">
        <f>-(K300*0.025+L300*0.025)</f>
        <v/>
      </c>
      <c r="P300" s="17">
        <f>32</f>
        <v/>
      </c>
      <c r="Q300" s="17">
        <f>J300+L300+N300+O300-P300-M300</f>
        <v/>
      </c>
    </row>
    <row r="301">
      <c r="A301" s="16" t="inlineStr">
        <is>
          <t>5.1-5.7</t>
        </is>
      </c>
      <c r="B301" s="16" t="inlineStr">
        <is>
          <t>PO-128-19407822500473649</t>
        </is>
      </c>
      <c r="C301" s="16" t="inlineStr">
        <is>
          <t>Delivered</t>
        </is>
      </c>
      <c r="D301" s="16" t="inlineStr">
        <is>
          <t>128-19407843471993649</t>
        </is>
      </c>
      <c r="E301" s="16" t="inlineStr">
        <is>
          <t>Delivered</t>
        </is>
      </c>
      <c r="F301" s="16" t="inlineStr">
        <is>
          <t>MCM-001A</t>
        </is>
      </c>
      <c r="G301" s="16" t="inlineStr">
        <is>
          <t>Musicord Altavoz Inalámbrico BT Portátil: ¡Sonido impactante, luces LED multicolores y 4 horas de autonomía! Compatible con TWS, FM, TF y USB – Imprescindible para fiestas y viajes</t>
        </is>
      </c>
      <c r="H301" s="16" t="inlineStr">
        <is>
          <t>AZUL</t>
        </is>
      </c>
      <c r="I301" s="16" t="n">
        <v>1</v>
      </c>
      <c r="J301" s="17" t="n">
        <v>51.07</v>
      </c>
      <c r="K301" s="17" t="n">
        <v>59.47</v>
      </c>
      <c r="L301" s="17" t="n">
        <v>25.86</v>
      </c>
      <c r="M301" s="17" t="n">
        <v>0</v>
      </c>
      <c r="N301" s="17">
        <f>K301*0.08+L301*0.08</f>
        <v/>
      </c>
      <c r="O301" s="17">
        <f>-(K301*0.025+L301*0.025)</f>
        <v/>
      </c>
      <c r="P301" s="17">
        <f>32</f>
        <v/>
      </c>
      <c r="Q301" s="17">
        <f>J301+L301+N301+O301-P301-M301</f>
        <v/>
      </c>
    </row>
    <row r="302">
      <c r="A302" s="16" t="inlineStr">
        <is>
          <t>5.1-5.7</t>
        </is>
      </c>
      <c r="B302" s="16" t="inlineStr">
        <is>
          <t>PO-128-08364233810553872</t>
        </is>
      </c>
      <c r="C302" s="16" t="inlineStr">
        <is>
          <t>Delivered</t>
        </is>
      </c>
      <c r="D302" s="16" t="inlineStr">
        <is>
          <t>128-08364181381753872</t>
        </is>
      </c>
      <c r="E302" s="16" t="inlineStr">
        <is>
          <t>Delivered</t>
        </is>
      </c>
      <c r="F302" s="16" t="inlineStr">
        <is>
          <t>SA325T</t>
        </is>
      </c>
      <c r="G302" s="16" t="inlineStr">
        <is>
          <t>Subwoofer Portátil Inalámbrico con Luces RGB, Sonido de Alta Potencia y Batería Duradera, TWS TF USB, Perfecto para Campamento Fiestas y Entretenimiento en Casa</t>
        </is>
      </c>
      <c r="H302" s="16" t="inlineStr">
        <is>
          <t>NEGRO</t>
        </is>
      </c>
      <c r="I302" s="16" t="n">
        <v>1</v>
      </c>
      <c r="J302" s="17" t="n">
        <v>38</v>
      </c>
      <c r="K302" s="17" t="n">
        <v>47.06</v>
      </c>
      <c r="L302" s="17" t="n">
        <v>25.86</v>
      </c>
      <c r="M302" s="17" t="n">
        <v>0</v>
      </c>
      <c r="N302" s="17">
        <f>K302*0.08+L302*0.08</f>
        <v/>
      </c>
      <c r="O302" s="17">
        <f>-(K302*0.025+L302*0.025)</f>
        <v/>
      </c>
      <c r="P302" s="17">
        <f>32</f>
        <v/>
      </c>
      <c r="Q302" s="17">
        <f>J302+L302+N302+O302-P302-M302</f>
        <v/>
      </c>
    </row>
    <row r="303">
      <c r="A303" s="16" t="inlineStr">
        <is>
          <t>5.1-5.7</t>
        </is>
      </c>
      <c r="B303" s="16" t="inlineStr">
        <is>
          <t>PO-128-08682733691511975</t>
        </is>
      </c>
      <c r="C303" s="16" t="inlineStr">
        <is>
          <t>Delivered</t>
        </is>
      </c>
      <c r="D303" s="16" t="inlineStr">
        <is>
          <t>128-08682754417271975</t>
        </is>
      </c>
      <c r="E303" s="16" t="inlineStr">
        <is>
          <t>Delivered</t>
        </is>
      </c>
      <c r="F303" s="16" t="inlineStr">
        <is>
          <t>MCM-001R</t>
        </is>
      </c>
      <c r="G303" s="16" t="inlineStr">
        <is>
          <t>Musicord Altavoz Inalámbrico BT Portátil: ¡Sonido impactante, luces LED multicolores y 4 horas de autonomía! Compatible con TWS, FM, TF y USB – Imprescindible para fiestas y viajes</t>
        </is>
      </c>
      <c r="H303" s="16" t="inlineStr">
        <is>
          <t>ROJO</t>
        </is>
      </c>
      <c r="I303" s="16" t="n">
        <v>1</v>
      </c>
      <c r="J303" s="17" t="n">
        <v>66.5</v>
      </c>
      <c r="K303" s="17" t="n">
        <v>77.79000000000001</v>
      </c>
      <c r="L303" s="17" t="n">
        <v>25.86</v>
      </c>
      <c r="M303" s="17" t="n">
        <v>0</v>
      </c>
      <c r="N303" s="17">
        <f>K303*0.08+L303*0.08</f>
        <v/>
      </c>
      <c r="O303" s="17">
        <f>-(K303*0.025+L303*0.025)</f>
        <v/>
      </c>
      <c r="P303" s="17">
        <f>32</f>
        <v/>
      </c>
      <c r="Q303" s="17">
        <f>J303+L303+N303+O303-P303-M303</f>
        <v/>
      </c>
    </row>
    <row r="304">
      <c r="A304" s="16" t="inlineStr">
        <is>
          <t>5.1-5.7</t>
        </is>
      </c>
      <c r="B304" s="16" t="inlineStr">
        <is>
          <t>PO-128-08680543201911922</t>
        </is>
      </c>
      <c r="C304" s="16" t="inlineStr">
        <is>
          <t>Delivered</t>
        </is>
      </c>
      <c r="D304" s="16" t="inlineStr">
        <is>
          <t>128-08680553687671922</t>
        </is>
      </c>
      <c r="E304" s="16" t="inlineStr">
        <is>
          <t>Delivered</t>
        </is>
      </c>
      <c r="F304" s="16" t="inlineStr">
        <is>
          <t>LB02235-blanco</t>
        </is>
      </c>
      <c r="G304" s="16" t="inlineStr">
        <is>
          <t>Audífonos Inalámbricos para la Cabeza, Recargables y Multifuncionales - Conectan a Varios Dispositivos, soportan Radio FM, Tarjeta TF y AUX - 4 Horas de Reproducción Musical - Ideal para Trabajo Cotidiano, Juegos y Estudio</t>
        </is>
      </c>
      <c r="H304" s="16" t="inlineStr">
        <is>
          <t>BLANCO</t>
        </is>
      </c>
      <c r="I304" s="16" t="n">
        <v>1</v>
      </c>
      <c r="J304" s="17" t="n">
        <v>45.31</v>
      </c>
      <c r="K304" s="17" t="n">
        <v>58.42</v>
      </c>
      <c r="L304" s="17" t="n">
        <v>25.86</v>
      </c>
      <c r="M304" s="17" t="n">
        <v>0</v>
      </c>
      <c r="N304" s="17">
        <f>K304*0.08+L304*0.08</f>
        <v/>
      </c>
      <c r="O304" s="17">
        <f>-(K304*0.025+L304*0.025)</f>
        <v/>
      </c>
      <c r="P304" s="17">
        <f>32</f>
        <v/>
      </c>
      <c r="Q304" s="17">
        <f>J304+L304+N304+O304-P304-M304</f>
        <v/>
      </c>
    </row>
    <row r="305">
      <c r="A305" s="16" t="inlineStr">
        <is>
          <t>5.1-5.7</t>
        </is>
      </c>
      <c r="B305" s="16" t="inlineStr">
        <is>
          <t>PO-128-08752041759351624</t>
        </is>
      </c>
      <c r="C305" s="16" t="inlineStr">
        <is>
          <t>Delivered</t>
        </is>
      </c>
      <c r="D305" s="16" t="inlineStr">
        <is>
          <t>128-08752062730871624</t>
        </is>
      </c>
      <c r="E305" s="16" t="inlineStr">
        <is>
          <t>Delivered</t>
        </is>
      </c>
      <c r="F305" s="16" t="inlineStr">
        <is>
          <t>LB02235-blanco</t>
        </is>
      </c>
      <c r="G305" s="16" t="inlineStr">
        <is>
          <t>Audífonos Inalámbricos para la Cabeza, Recargables y Multifuncionales - Conectan a Varios Dispositivos, soportan Radio FM, Tarjeta TF y AUX - 4 Horas de Reproducción Musical - Ideal para Trabajo Cotidiano, Juegos y Estudio</t>
        </is>
      </c>
      <c r="H305" s="16" t="inlineStr">
        <is>
          <t>BLANCO</t>
        </is>
      </c>
      <c r="I305" s="16" t="n">
        <v>1</v>
      </c>
      <c r="J305" s="17" t="n">
        <v>45.31</v>
      </c>
      <c r="K305" s="17" t="n">
        <v>46.73</v>
      </c>
      <c r="L305" s="17" t="n">
        <v>25.86</v>
      </c>
      <c r="M305" s="17" t="n">
        <v>0</v>
      </c>
      <c r="N305" s="17">
        <f>K305*0.08+L305*0.08</f>
        <v/>
      </c>
      <c r="O305" s="17">
        <f>-(K305*0.025+L305*0.025)</f>
        <v/>
      </c>
      <c r="P305" s="17">
        <f>32</f>
        <v/>
      </c>
      <c r="Q305" s="17">
        <f>J305+L305+N305+O305-P305-M305</f>
        <v/>
      </c>
    </row>
    <row r="306">
      <c r="A306" s="16" t="inlineStr">
        <is>
          <t>5.1-5.7</t>
        </is>
      </c>
      <c r="B306" s="16" t="inlineStr">
        <is>
          <t>PO-128-08556175729272728</t>
        </is>
      </c>
      <c r="C306" s="16" t="inlineStr">
        <is>
          <t>Delivered</t>
        </is>
      </c>
      <c r="D306" s="16" t="inlineStr">
        <is>
          <t>128-08556201943672728</t>
        </is>
      </c>
      <c r="E306" s="16" t="inlineStr">
        <is>
          <t>Delivered</t>
        </is>
      </c>
      <c r="F306" s="16" t="inlineStr">
        <is>
          <t>LV64W25</t>
        </is>
      </c>
      <c r="G306" s="16" t="inlineStr">
        <is>
          <t>Ventilador de Techo LED TIANLAI con 5 Aspas, Control Remoto, 3 Colores Luz, 3 Velocidades, Temporizador, Fácil Instalación, E27 para Baño Cocina Dormitorio Salón</t>
        </is>
      </c>
      <c r="H306" s="16" t="inlineStr">
        <is>
          <t>LV64W25</t>
        </is>
      </c>
      <c r="I306" s="16" t="n">
        <v>1</v>
      </c>
      <c r="J306" s="17" t="n">
        <v>156</v>
      </c>
      <c r="K306" s="17" t="n">
        <v>199.12</v>
      </c>
      <c r="L306" s="17" t="n">
        <v>25.86</v>
      </c>
      <c r="M306" s="17" t="n">
        <v>0</v>
      </c>
      <c r="N306" s="17">
        <f>K306*0.08+L306*0.08</f>
        <v/>
      </c>
      <c r="O306" s="17">
        <f>-(K306*0.025+L306*0.025)</f>
        <v/>
      </c>
      <c r="P306" s="17">
        <f>32</f>
        <v/>
      </c>
      <c r="Q306" s="17">
        <f>J306+L306+N306+O306-P306-M306</f>
        <v/>
      </c>
    </row>
    <row r="307">
      <c r="A307" s="16" t="inlineStr">
        <is>
          <t>5.1-5.7</t>
        </is>
      </c>
      <c r="B307" s="16" t="inlineStr">
        <is>
          <t>PO-128-08413999893113705</t>
        </is>
      </c>
      <c r="C307" s="16" t="inlineStr">
        <is>
          <t>Delivered</t>
        </is>
      </c>
      <c r="D307" s="16" t="inlineStr">
        <is>
          <t>128-08413984164473705</t>
        </is>
      </c>
      <c r="E307" s="16" t="inlineStr">
        <is>
          <t>Delivered</t>
        </is>
      </c>
      <c r="F307" s="16" t="inlineStr">
        <is>
          <t>SA323T</t>
        </is>
      </c>
      <c r="G307" s="16" t="inlineStr">
        <is>
          <t>Linkbits Bocina Portátil Parlantes BT Portátiles con Iluminación de Ambiente | 1 Hora de Duración, FM, TWS, TF/Micro SD | Ideal para Hogar, Fiestas y Viajes</t>
        </is>
      </c>
      <c r="H307" s="16" t="inlineStr">
        <is>
          <t>SA323T</t>
        </is>
      </c>
      <c r="I307" s="16" t="n">
        <v>1</v>
      </c>
      <c r="J307" s="17" t="n">
        <v>46.8</v>
      </c>
      <c r="K307" s="17" t="n">
        <v>41.89</v>
      </c>
      <c r="L307" s="17" t="n">
        <v>14.39</v>
      </c>
      <c r="M307" s="17" t="n">
        <v>0</v>
      </c>
      <c r="N307" s="17">
        <f>K307*0.08+L307*0.08</f>
        <v/>
      </c>
      <c r="O307" s="17">
        <f>-(K307*0.025+L307*0.025)</f>
        <v/>
      </c>
      <c r="P307" s="17">
        <f>32</f>
        <v/>
      </c>
      <c r="Q307" s="17">
        <f>J307+L307+N307+O307-P307-M307</f>
        <v/>
      </c>
    </row>
    <row r="308">
      <c r="A308" s="16" t="inlineStr">
        <is>
          <t>5.1-5.7</t>
        </is>
      </c>
      <c r="B308" s="16" t="inlineStr">
        <is>
          <t>PO-128-08413999893113705</t>
        </is>
      </c>
      <c r="C308" s="16" t="inlineStr">
        <is>
          <t>Delivered</t>
        </is>
      </c>
      <c r="D308" s="16" t="inlineStr">
        <is>
          <t>128-08413989407353705</t>
        </is>
      </c>
      <c r="E308" s="16" t="inlineStr">
        <is>
          <t>Delivered</t>
        </is>
      </c>
      <c r="F308" s="16" t="inlineStr">
        <is>
          <t>FA028</t>
        </is>
      </c>
      <c r="G308" s="16" t="inlineStr">
        <is>
          <t>Extractor de agua para garrafas de agua, compatible con carga USB, extractor de agua automático, práctico, con dos modos de toma de agua: manual y programado, ideal para dormitorios, salones, oficinas, uso al aire libre y otros escenarios.</t>
        </is>
      </c>
      <c r="H308" s="16" t="inlineStr">
        <is>
          <t>FA028</t>
        </is>
      </c>
      <c r="I308" s="16" t="n">
        <v>1</v>
      </c>
      <c r="J308" s="17" t="n">
        <v>35</v>
      </c>
      <c r="K308" s="17" t="n">
        <v>33.44</v>
      </c>
      <c r="L308" s="17" t="n">
        <v>11.47</v>
      </c>
      <c r="M308" s="17" t="n">
        <v>0</v>
      </c>
      <c r="N308" s="17">
        <f>K308*0.08+L308*0.08</f>
        <v/>
      </c>
      <c r="O308" s="17">
        <f>-(K308*0.025+L308*0.025)</f>
        <v/>
      </c>
      <c r="P308" s="17">
        <f>32</f>
        <v/>
      </c>
      <c r="Q308" s="17">
        <f>J308+L308+N308+O308-P308-M308</f>
        <v/>
      </c>
    </row>
    <row r="309">
      <c r="A309" s="16" t="inlineStr">
        <is>
          <t>5.1-5.7</t>
        </is>
      </c>
      <c r="B309" s="16" t="inlineStr">
        <is>
          <t>PO-128-08533569587832862</t>
        </is>
      </c>
      <c r="C309" s="16" t="inlineStr">
        <is>
          <t>Delivered</t>
        </is>
      </c>
      <c r="D309" s="16" t="inlineStr">
        <is>
          <t>128-08533721631352862</t>
        </is>
      </c>
      <c r="E309" s="16" t="inlineStr">
        <is>
          <t>Delivered</t>
        </is>
      </c>
      <c r="F309" s="16" t="inlineStr">
        <is>
          <t>SA323T</t>
        </is>
      </c>
      <c r="G309" s="16" t="inlineStr">
        <is>
          <t>Linkbits Bocina Portátil Parlantes BT Portátiles con Iluminación de Ambiente | 1 Hora de Duración, FM, TWS, TF/Micro SD | Ideal para Hogar, Fiestas y Viajes</t>
        </is>
      </c>
      <c r="H309" s="16" t="inlineStr">
        <is>
          <t>SA323T</t>
        </is>
      </c>
      <c r="I309" s="16" t="n">
        <v>1</v>
      </c>
      <c r="J309" s="17" t="n">
        <v>46.8</v>
      </c>
      <c r="K309" s="17" t="n">
        <v>55.86</v>
      </c>
      <c r="L309" s="17" t="n">
        <v>25.86</v>
      </c>
      <c r="M309" s="17" t="n">
        <v>0</v>
      </c>
      <c r="N309" s="17">
        <f>K309*0.08+L309*0.08</f>
        <v/>
      </c>
      <c r="O309" s="17">
        <f>-(K309*0.025+L309*0.025)</f>
        <v/>
      </c>
      <c r="P309" s="17">
        <f>32</f>
        <v/>
      </c>
      <c r="Q309" s="17">
        <f>J309+L309+N309+O309-P309-M309</f>
        <v/>
      </c>
    </row>
    <row r="310">
      <c r="A310" s="16" t="inlineStr">
        <is>
          <t>5.1-5.7</t>
        </is>
      </c>
      <c r="B310" s="16" t="inlineStr">
        <is>
          <t>PO-128-08784157041270283</t>
        </is>
      </c>
      <c r="C310" s="16" t="inlineStr">
        <is>
          <t>Delivered</t>
        </is>
      </c>
      <c r="D310" s="16" t="inlineStr">
        <is>
          <t>128-08784178012790283</t>
        </is>
      </c>
      <c r="E310" s="16" t="inlineStr">
        <is>
          <t>Delivered</t>
        </is>
      </c>
      <c r="F310" s="16" t="inlineStr">
        <is>
          <t>MCM-001R</t>
        </is>
      </c>
      <c r="G310" s="16" t="inlineStr">
        <is>
          <t>Musicord Altavoz Inalámbrico BT Portátil: ¡Sonido impactante, luces LED multicolores y 4 horas de autonomía! Compatible con TWS, FM, TF y USB – Imprescindible para fiestas y viajes</t>
        </is>
      </c>
      <c r="H310" s="16" t="inlineStr">
        <is>
          <t>ROJO</t>
        </is>
      </c>
      <c r="I310" s="16" t="n">
        <v>1</v>
      </c>
      <c r="J310" s="17" t="n">
        <v>66.5</v>
      </c>
      <c r="K310" s="17" t="n">
        <v>77.79000000000001</v>
      </c>
      <c r="L310" s="17" t="n">
        <v>25.86</v>
      </c>
      <c r="M310" s="17" t="n">
        <v>0</v>
      </c>
      <c r="N310" s="17">
        <f>K310*0.08+L310*0.08</f>
        <v/>
      </c>
      <c r="O310" s="17">
        <f>-(K310*0.025+L310*0.025)</f>
        <v/>
      </c>
      <c r="P310" s="17">
        <f>32</f>
        <v/>
      </c>
      <c r="Q310" s="17">
        <f>J310+L310+N310+O310-P310-M310</f>
        <v/>
      </c>
    </row>
    <row r="311">
      <c r="A311" s="16" t="inlineStr">
        <is>
          <t>5.1-5.7</t>
        </is>
      </c>
      <c r="B311" s="16" t="inlineStr">
        <is>
          <t>PO-128-08351821916794074</t>
        </is>
      </c>
      <c r="C311" s="16" t="inlineStr">
        <is>
          <t>Delivered</t>
        </is>
      </c>
      <c r="D311" s="16" t="inlineStr">
        <is>
          <t>128-08351842888314074</t>
        </is>
      </c>
      <c r="E311" s="16" t="inlineStr">
        <is>
          <t>Delivered</t>
        </is>
      </c>
      <c r="F311" s="16" t="inlineStr">
        <is>
          <t>KTS-1678Y</t>
        </is>
      </c>
      <c r="G311" s="16" t="inlineStr">
        <is>
          <t>Bocina portátil Inalámbrico, de 3 pulgadas, tamaño de bolsillo, 170 g, con asa, compatible con TF, USB y Micro SD, con radio FM y función TWS (True Wireless Stereo), adecuada para relajarse en casa o viajar al aire libre.</t>
        </is>
      </c>
      <c r="H311" s="16" t="inlineStr">
        <is>
          <t>KTS-1678Y</t>
        </is>
      </c>
      <c r="I311" s="16" t="n">
        <v>1</v>
      </c>
      <c r="J311" s="17" t="n">
        <v>42.5</v>
      </c>
      <c r="K311" s="17" t="n">
        <v>41.41</v>
      </c>
      <c r="L311" s="17" t="n">
        <v>25.86</v>
      </c>
      <c r="M311" s="17" t="n">
        <v>0</v>
      </c>
      <c r="N311" s="17">
        <f>K311*0.08+L311*0.08</f>
        <v/>
      </c>
      <c r="O311" s="17">
        <f>-(K311*0.025+L311*0.025)</f>
        <v/>
      </c>
      <c r="P311" s="17">
        <f>32</f>
        <v/>
      </c>
      <c r="Q311" s="17">
        <f>J311+L311+N311+O311-P311-M311</f>
        <v/>
      </c>
    </row>
    <row r="312">
      <c r="A312" s="16" t="inlineStr">
        <is>
          <t>5.1-5.7</t>
        </is>
      </c>
      <c r="B312" s="16" t="inlineStr">
        <is>
          <t>PO-128-08759467684471644</t>
        </is>
      </c>
      <c r="C312" s="16" t="inlineStr">
        <is>
          <t>Delivered</t>
        </is>
      </c>
      <c r="D312" s="16" t="inlineStr">
        <is>
          <t>128-08759462441591644</t>
        </is>
      </c>
      <c r="E312" s="16" t="inlineStr">
        <is>
          <t>Delivered</t>
        </is>
      </c>
      <c r="F312" s="16" t="inlineStr">
        <is>
          <t>KTS-1678Y</t>
        </is>
      </c>
      <c r="G312" s="16" t="inlineStr">
        <is>
          <t>Bocina portátil Inalámbrico, de 3 pulgadas, tamaño de bolsillo, 170 g, con asa, compatible con TF, USB y Micro SD, con radio FM y función TWS (True Wireless Stereo), adecuada para relajarse en casa o viajar al aire libre.</t>
        </is>
      </c>
      <c r="H312" s="16" t="inlineStr">
        <is>
          <t>KTS-1678Y</t>
        </is>
      </c>
      <c r="I312" s="16" t="n">
        <v>1</v>
      </c>
      <c r="J312" s="17" t="n">
        <v>42.5</v>
      </c>
      <c r="K312" s="17" t="n">
        <v>48.72</v>
      </c>
      <c r="L312" s="17" t="n">
        <v>25.86</v>
      </c>
      <c r="M312" s="17" t="n">
        <v>0</v>
      </c>
      <c r="N312" s="17">
        <f>K312*0.08+L312*0.08</f>
        <v/>
      </c>
      <c r="O312" s="17">
        <f>-(K312*0.025+L312*0.025)</f>
        <v/>
      </c>
      <c r="P312" s="17">
        <f>32</f>
        <v/>
      </c>
      <c r="Q312" s="17">
        <f>J312+L312+N312+O312-P312-M312</f>
        <v/>
      </c>
    </row>
    <row r="313">
      <c r="A313" s="16" t="inlineStr">
        <is>
          <t>5.1-5.7</t>
        </is>
      </c>
      <c r="B313" s="16" t="inlineStr">
        <is>
          <t>PO-128-08286512937593441</t>
        </is>
      </c>
      <c r="C313" s="16" t="inlineStr">
        <is>
          <t>Delivered</t>
        </is>
      </c>
      <c r="D313" s="16" t="inlineStr">
        <is>
          <t>128-08286470994553441</t>
        </is>
      </c>
      <c r="E313" s="16" t="inlineStr">
        <is>
          <t>Delivered</t>
        </is>
      </c>
      <c r="F313" s="16" t="inlineStr">
        <is>
          <t>BS-22</t>
        </is>
      </c>
      <c r="G313" s="16" t="inlineStr">
        <is>
          <t>link bits Barra de Sonido para TV, 2x2" Altavoces + 2 Membranas de Graves, Sonido Claro ≥80dB, Bluetooth Inalámbrico, Conexiones AUX/USB, Diseño Compacto 76cm, Sonido Envolvente 3D para Cine en Casa, PC, Juegos y Fiestas</t>
        </is>
      </c>
      <c r="H313" s="16" t="inlineStr">
        <is>
          <t>BS-22</t>
        </is>
      </c>
      <c r="I313" s="16" t="n">
        <v>1</v>
      </c>
      <c r="J313" s="17" t="n">
        <v>260</v>
      </c>
      <c r="K313" s="17" t="n">
        <v>299.61</v>
      </c>
      <c r="L313" s="17" t="n">
        <v>0</v>
      </c>
      <c r="M313" s="17" t="n">
        <v>0</v>
      </c>
      <c r="N313" s="17">
        <f>K313*0.08+L313*0.08</f>
        <v/>
      </c>
      <c r="O313" s="17">
        <f>-(K313*0.025+L313*0.025)</f>
        <v/>
      </c>
      <c r="P313" s="17">
        <f>32</f>
        <v/>
      </c>
      <c r="Q313" s="17">
        <f>J313+L313+N313+O313-P313-M313</f>
        <v/>
      </c>
    </row>
    <row r="314">
      <c r="A314" s="16" t="inlineStr">
        <is>
          <t>5.1-5.7</t>
        </is>
      </c>
      <c r="B314" s="16" t="inlineStr">
        <is>
          <t>PO-128-08717754552951895</t>
        </is>
      </c>
      <c r="C314" s="16" t="inlineStr">
        <is>
          <t>Delivered</t>
        </is>
      </c>
      <c r="D314" s="16" t="inlineStr">
        <is>
          <t>128-08717765038711895</t>
        </is>
      </c>
      <c r="E314" s="16" t="inlineStr">
        <is>
          <t>Delivered</t>
        </is>
      </c>
      <c r="F314" s="16" t="inlineStr">
        <is>
          <t>KTS-1678Y</t>
        </is>
      </c>
      <c r="G314" s="16" t="inlineStr">
        <is>
          <t>Bocina portátil Inalámbrico, de 3 pulgadas, tamaño de bolsillo, 170 g, con asa, compatible con TF, USB y Micro SD, con radio FM y función TWS (True Wireless Stereo), adecuada para relajarse en casa o viajar al aire libre.</t>
        </is>
      </c>
      <c r="H314" s="16" t="inlineStr">
        <is>
          <t>KTS-1678Y</t>
        </is>
      </c>
      <c r="I314" s="16" t="n">
        <v>2</v>
      </c>
      <c r="J314" s="17" t="n">
        <v>85</v>
      </c>
      <c r="K314" s="17" t="n">
        <v>97.44</v>
      </c>
      <c r="L314" s="17" t="n">
        <v>25.86</v>
      </c>
      <c r="M314" s="17" t="n">
        <v>0</v>
      </c>
      <c r="N314" s="17">
        <f>K314*0.08+L314*0.08</f>
        <v/>
      </c>
      <c r="O314" s="17">
        <f>-(K314*0.025+L314*0.025)</f>
        <v/>
      </c>
      <c r="P314" s="17">
        <f>32</f>
        <v/>
      </c>
      <c r="Q314" s="17">
        <f>J314+L314+N314+O314-P314-M314</f>
        <v/>
      </c>
    </row>
    <row r="315">
      <c r="A315" s="16" t="inlineStr">
        <is>
          <t>5.1-5.7</t>
        </is>
      </c>
      <c r="B315" s="16" t="inlineStr">
        <is>
          <t>PO-128-08454103368312376</t>
        </is>
      </c>
      <c r="C315" s="16" t="inlineStr">
        <is>
          <t>Delivered</t>
        </is>
      </c>
      <c r="D315" s="16" t="inlineStr">
        <is>
          <t>128-08454145311352376</t>
        </is>
      </c>
      <c r="E315" s="16" t="inlineStr">
        <is>
          <t>Delivered</t>
        </is>
      </c>
      <c r="F315" s="16" t="inlineStr">
        <is>
          <t>KTS-1678R</t>
        </is>
      </c>
      <c r="G315" s="16" t="inlineStr">
        <is>
          <t>Bocina portátil Inalámbrico, de 3 pulgadas, tamaño de bolsillo, 170 g, con asa, compatible con TF, USB y Micro SD, con radio FM y función TWS (True Wireless Stereo), adecuada para relajarse en casa o viajar al aire libre.</t>
        </is>
      </c>
      <c r="H315" s="16" t="inlineStr">
        <is>
          <t>KTS-1678R</t>
        </is>
      </c>
      <c r="I315" s="16" t="n">
        <v>1</v>
      </c>
      <c r="J315" s="17" t="n">
        <v>42.5</v>
      </c>
      <c r="K315" s="17" t="n">
        <v>7.69</v>
      </c>
      <c r="L315" s="17" t="n">
        <v>25.86</v>
      </c>
      <c r="M315" s="17" t="n">
        <v>0</v>
      </c>
      <c r="N315" s="17">
        <f>K315*0.08+L315*0.08</f>
        <v/>
      </c>
      <c r="O315" s="17">
        <f>-(K315*0.025+L315*0.025)</f>
        <v/>
      </c>
      <c r="P315" s="17">
        <f>32</f>
        <v/>
      </c>
      <c r="Q315" s="17">
        <f>J315+L315+N315+O315-P315-M315</f>
        <v/>
      </c>
    </row>
    <row r="316">
      <c r="A316" s="16" t="inlineStr">
        <is>
          <t>5.1-5.7</t>
        </is>
      </c>
      <c r="B316" s="16" t="inlineStr">
        <is>
          <t>PO-128-08620442993271323</t>
        </is>
      </c>
      <c r="C316" s="16" t="inlineStr">
        <is>
          <t>Delivered</t>
        </is>
      </c>
      <c r="D316" s="16" t="inlineStr">
        <is>
          <t>128-08620401050231323</t>
        </is>
      </c>
      <c r="E316" s="16" t="inlineStr">
        <is>
          <t>Delivered</t>
        </is>
      </c>
      <c r="F316" s="16" t="inlineStr">
        <is>
          <t>LV34W04</t>
        </is>
      </c>
      <c r="G31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16" s="16" t="inlineStr">
        <is>
          <t>LV34W04</t>
        </is>
      </c>
      <c r="I316" s="16" t="n">
        <v>1</v>
      </c>
      <c r="J316" s="17" t="n">
        <v>279</v>
      </c>
      <c r="K316" s="17" t="n">
        <v>315.63</v>
      </c>
      <c r="L316" s="17" t="n">
        <v>0</v>
      </c>
      <c r="M316" s="17" t="n">
        <v>0</v>
      </c>
      <c r="N316" s="17">
        <f>K316*0.08+L316*0.08</f>
        <v/>
      </c>
      <c r="O316" s="17">
        <f>-(K316*0.025+L316*0.025)</f>
        <v/>
      </c>
      <c r="P316" s="17">
        <f>32</f>
        <v/>
      </c>
      <c r="Q316" s="17">
        <f>J316+L316+N316+O316-P316-M316</f>
        <v/>
      </c>
    </row>
    <row r="317">
      <c r="A317" s="16" t="inlineStr">
        <is>
          <t>5.1-5.7</t>
        </is>
      </c>
      <c r="B317" s="16" t="inlineStr">
        <is>
          <t>PO-128-08898406533750688</t>
        </is>
      </c>
      <c r="C317" s="16" t="inlineStr">
        <is>
          <t>Delivered</t>
        </is>
      </c>
      <c r="D317" s="16" t="inlineStr">
        <is>
          <t>128-08898427505270688</t>
        </is>
      </c>
      <c r="E317" s="16" t="inlineStr">
        <is>
          <t>Delivered</t>
        </is>
      </c>
      <c r="F317" s="16" t="inlineStr">
        <is>
          <t>SA325T</t>
        </is>
      </c>
      <c r="G317" s="16" t="inlineStr">
        <is>
          <t>Subwoofer Portátil Inalámbrico con Luces RGB, Sonido de Alta Potencia y Batería Duradera, TWS TF USB, Perfecto para Campamento Fiestas y Entretenimiento en Casa</t>
        </is>
      </c>
      <c r="H317" s="16" t="inlineStr">
        <is>
          <t>NEGRO</t>
        </is>
      </c>
      <c r="I317" s="16" t="n">
        <v>1</v>
      </c>
      <c r="J317" s="17" t="n">
        <v>38</v>
      </c>
      <c r="K317" s="17" t="n">
        <v>3.96</v>
      </c>
      <c r="L317" s="17" t="n">
        <v>25.86</v>
      </c>
      <c r="M317" s="17" t="n">
        <v>0</v>
      </c>
      <c r="N317" s="17">
        <f>K317*0.08+L317*0.08</f>
        <v/>
      </c>
      <c r="O317" s="17">
        <f>-(K317*0.025+L317*0.025)</f>
        <v/>
      </c>
      <c r="P317" s="17">
        <f>32</f>
        <v/>
      </c>
      <c r="Q317" s="17">
        <f>J317+L317+N317+O317-P317-M317</f>
        <v/>
      </c>
    </row>
    <row r="318">
      <c r="A318" s="16" t="inlineStr">
        <is>
          <t>5.1-5.7</t>
        </is>
      </c>
      <c r="B318" s="16" t="inlineStr">
        <is>
          <t>PO-128-08449897790072339</t>
        </is>
      </c>
      <c r="C318" s="16" t="inlineStr">
        <is>
          <t>Delivered</t>
        </is>
      </c>
      <c r="D318" s="16" t="inlineStr">
        <is>
          <t>128-08449929247352339</t>
        </is>
      </c>
      <c r="E318" s="16" t="inlineStr">
        <is>
          <t>Delivered</t>
        </is>
      </c>
      <c r="F318" s="16" t="inlineStr">
        <is>
          <t>LB02235-negro</t>
        </is>
      </c>
      <c r="G318" s="16" t="inlineStr">
        <is>
          <t>Audífonos Inalámbricos para la Cabeza, Recargables y Multifuncionales - Conectan a Varios Dispositivos, soportan Radio FM, Tarjeta TF y AUX - 4 Horas de Reproducción Musical - Ideal para Trabajo Cotidiano, Juegos y Estudio</t>
        </is>
      </c>
      <c r="H318" s="16" t="inlineStr">
        <is>
          <t>NEGRO</t>
        </is>
      </c>
      <c r="I318" s="16" t="n">
        <v>1</v>
      </c>
      <c r="J318" s="17" t="n">
        <v>45.31</v>
      </c>
      <c r="K318" s="17" t="n">
        <v>58.42</v>
      </c>
      <c r="L318" s="17" t="n">
        <v>25.86</v>
      </c>
      <c r="M318" s="17" t="n">
        <v>0</v>
      </c>
      <c r="N318" s="17">
        <f>K318*0.08+L318*0.08</f>
        <v/>
      </c>
      <c r="O318" s="17">
        <f>-(K318*0.025+L318*0.025)</f>
        <v/>
      </c>
      <c r="P318" s="17">
        <f>32</f>
        <v/>
      </c>
      <c r="Q318" s="17">
        <f>J318+L318+N318+O318-P318-M318</f>
        <v/>
      </c>
    </row>
    <row r="319">
      <c r="A319" s="16" t="inlineStr">
        <is>
          <t>5.1-5.7</t>
        </is>
      </c>
      <c r="B319" s="16" t="inlineStr">
        <is>
          <t>PO-128-08521583708793062</t>
        </is>
      </c>
      <c r="C319" s="16" t="inlineStr">
        <is>
          <t>Delivered</t>
        </is>
      </c>
      <c r="D319" s="16" t="inlineStr">
        <is>
          <t>128-08521636137593062</t>
        </is>
      </c>
      <c r="E319" s="16" t="inlineStr">
        <is>
          <t>Delivered</t>
        </is>
      </c>
      <c r="F319" s="16" t="inlineStr">
        <is>
          <t>BS-22</t>
        </is>
      </c>
      <c r="G319" s="16" t="inlineStr">
        <is>
          <t>link bits Barra de Sonido para TV, 2x2" Altavoces + 2 Membranas de Graves, Sonido Claro ≥80dB, Bluetooth Inalámbrico, Conexiones AUX/USB, Diseño Compacto 76cm, Sonido Envolvente 3D para Cine en Casa, PC, Juegos y Fiestas</t>
        </is>
      </c>
      <c r="H319" s="16" t="inlineStr">
        <is>
          <t>BS-22</t>
        </is>
      </c>
      <c r="I319" s="16" t="n">
        <v>1</v>
      </c>
      <c r="J319" s="17" t="n">
        <v>260</v>
      </c>
      <c r="K319" s="17" t="n">
        <v>299.61</v>
      </c>
      <c r="L319" s="17" t="n">
        <v>0</v>
      </c>
      <c r="M319" s="17" t="n">
        <v>0</v>
      </c>
      <c r="N319" s="17">
        <f>K319*0.08+L319*0.08</f>
        <v/>
      </c>
      <c r="O319" s="17">
        <f>-(K319*0.025+L319*0.025)</f>
        <v/>
      </c>
      <c r="P319" s="17">
        <f>32</f>
        <v/>
      </c>
      <c r="Q319" s="17">
        <f>J319+L319+N319+O319-P319-M319</f>
        <v/>
      </c>
    </row>
    <row r="320">
      <c r="A320" s="16" t="inlineStr">
        <is>
          <t>5.1-5.7</t>
        </is>
      </c>
      <c r="B320" s="16" t="inlineStr">
        <is>
          <t>PO-128-08532562729592868</t>
        </is>
      </c>
      <c r="C320" s="16" t="inlineStr">
        <is>
          <t>Delivered</t>
        </is>
      </c>
      <c r="D320" s="16" t="inlineStr">
        <is>
          <t>128-08532714773112868</t>
        </is>
      </c>
      <c r="E320" s="16" t="inlineStr">
        <is>
          <t>Delivered</t>
        </is>
      </c>
      <c r="F320" s="16" t="inlineStr">
        <is>
          <t>LB02235-negro</t>
        </is>
      </c>
      <c r="G320" s="16" t="inlineStr">
        <is>
          <t>Audífonos Inalámbricos para la Cabeza, Recargables y Multifuncionales - Conectan a Varios Dispositivos, soportan Radio FM, Tarjeta TF y AUX - 4 Horas de Reproducción Musical - Ideal para Trabajo Cotidiano, Juegos y Estudio</t>
        </is>
      </c>
      <c r="H320" s="16" t="inlineStr">
        <is>
          <t>NEGRO</t>
        </is>
      </c>
      <c r="I320" s="16" t="n">
        <v>1</v>
      </c>
      <c r="J320" s="17" t="n">
        <v>45.31</v>
      </c>
      <c r="K320" s="17" t="n">
        <v>15.32</v>
      </c>
      <c r="L320" s="17" t="n">
        <v>25.86</v>
      </c>
      <c r="M320" s="17" t="n">
        <v>0</v>
      </c>
      <c r="N320" s="17">
        <f>K320*0.08+L320*0.08</f>
        <v/>
      </c>
      <c r="O320" s="17">
        <f>-(K320*0.025+L320*0.025)</f>
        <v/>
      </c>
      <c r="P320" s="17">
        <f>32</f>
        <v/>
      </c>
      <c r="Q320" s="17">
        <f>J320+L320+N320+O320-P320-M320</f>
        <v/>
      </c>
    </row>
    <row r="321">
      <c r="A321" s="16" t="inlineStr">
        <is>
          <t>5.1-5.7</t>
        </is>
      </c>
      <c r="B321" s="16" t="inlineStr">
        <is>
          <t>PO-128-08707731702391824</t>
        </is>
      </c>
      <c r="C321" s="16" t="inlineStr">
        <is>
          <t>Delivered</t>
        </is>
      </c>
      <c r="D321" s="16" t="inlineStr">
        <is>
          <t>128-08707836559991824</t>
        </is>
      </c>
      <c r="E321" s="16" t="inlineStr">
        <is>
          <t>Delivered</t>
        </is>
      </c>
      <c r="F321" s="16" t="inlineStr">
        <is>
          <t>BS-22</t>
        </is>
      </c>
      <c r="G321" s="16" t="inlineStr">
        <is>
          <t>link bits Barra de Sonido para TV, 2x2" Altavoces + 2 Membranas de Graves, Sonido Claro ≥80dB, Bluetooth Inalámbrico, Conexiones AUX/USB, Diseño Compacto 76cm, Sonido Envolvente 3D para Cine en Casa, PC, Juegos y Fiestas</t>
        </is>
      </c>
      <c r="H321" s="16" t="inlineStr">
        <is>
          <t>BS-22</t>
        </is>
      </c>
      <c r="I321" s="16" t="n">
        <v>1</v>
      </c>
      <c r="J321" s="17" t="n">
        <v>260</v>
      </c>
      <c r="K321" s="17" t="n">
        <v>299.61</v>
      </c>
      <c r="L321" s="17" t="n">
        <v>0</v>
      </c>
      <c r="M321" s="17" t="n">
        <v>0</v>
      </c>
      <c r="N321" s="17">
        <f>K321*0.08+L321*0.08</f>
        <v/>
      </c>
      <c r="O321" s="17">
        <f>-(K321*0.025+L321*0.025)</f>
        <v/>
      </c>
      <c r="P321" s="17">
        <f>32</f>
        <v/>
      </c>
      <c r="Q321" s="17">
        <f>J321+L321+N321+O321-P321-M321</f>
        <v/>
      </c>
    </row>
    <row r="322">
      <c r="A322" s="16" t="inlineStr">
        <is>
          <t>5.1-5.7</t>
        </is>
      </c>
      <c r="B322" s="16" t="inlineStr">
        <is>
          <t>PO-128-08797379543670330</t>
        </is>
      </c>
      <c r="C322" s="16" t="inlineStr">
        <is>
          <t>Delivered</t>
        </is>
      </c>
      <c r="D322" s="16" t="inlineStr">
        <is>
          <t>128-08797358572150330</t>
        </is>
      </c>
      <c r="E322" s="16" t="inlineStr">
        <is>
          <t>Delivered</t>
        </is>
      </c>
      <c r="F322" s="16" t="inlineStr">
        <is>
          <t>MCM-001R</t>
        </is>
      </c>
      <c r="G322" s="16" t="inlineStr">
        <is>
          <t>Musicord Altavoz Inalámbrico BT Portátil: ¡Sonido impactante, luces LED multicolores y 4 horas de autonomía! Compatible con TWS, FM, TF y USB – Imprescindible para fiestas y viajes</t>
        </is>
      </c>
      <c r="H322" s="16" t="inlineStr">
        <is>
          <t>ROJO</t>
        </is>
      </c>
      <c r="I322" s="16" t="n">
        <v>1</v>
      </c>
      <c r="J322" s="17" t="n">
        <v>66.5</v>
      </c>
      <c r="K322" s="17" t="n">
        <v>77.79000000000001</v>
      </c>
      <c r="L322" s="17" t="n">
        <v>25.86</v>
      </c>
      <c r="M322" s="17" t="n">
        <v>0</v>
      </c>
      <c r="N322" s="17">
        <f>K322*0.08+L322*0.08</f>
        <v/>
      </c>
      <c r="O322" s="17">
        <f>-(K322*0.025+L322*0.025)</f>
        <v/>
      </c>
      <c r="P322" s="17">
        <f>32</f>
        <v/>
      </c>
      <c r="Q322" s="17">
        <f>J322+L322+N322+O322-P322-M322</f>
        <v/>
      </c>
    </row>
    <row r="323">
      <c r="A323" s="16" t="inlineStr">
        <is>
          <t>5.1-5.7</t>
        </is>
      </c>
      <c r="B323" s="16" t="inlineStr">
        <is>
          <t>PO-128-08323056353913159</t>
        </is>
      </c>
      <c r="C323" s="16" t="inlineStr">
        <is>
          <t>Delivered</t>
        </is>
      </c>
      <c r="D323" s="16" t="inlineStr">
        <is>
          <t>128-08323019653753159</t>
        </is>
      </c>
      <c r="E323" s="16" t="inlineStr">
        <is>
          <t>Delivered</t>
        </is>
      </c>
      <c r="F323" s="16" t="inlineStr">
        <is>
          <t>S39W48</t>
        </is>
      </c>
      <c r="G32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23" s="16" t="inlineStr">
        <is>
          <t>1 pieza</t>
        </is>
      </c>
      <c r="I323" s="16" t="n">
        <v>2</v>
      </c>
      <c r="J323" s="17" t="n">
        <v>78</v>
      </c>
      <c r="K323" s="17" t="n">
        <v>103.18</v>
      </c>
      <c r="L323" s="17" t="n">
        <v>25.86</v>
      </c>
      <c r="M323" s="17" t="n">
        <v>0</v>
      </c>
      <c r="N323" s="17">
        <f>K323*0.08+L323*0.08</f>
        <v/>
      </c>
      <c r="O323" s="17">
        <f>-(K323*0.025+L323*0.025)</f>
        <v/>
      </c>
      <c r="P323" s="17">
        <f>32</f>
        <v/>
      </c>
      <c r="Q323" s="17">
        <f>J323+L323+N323+O323-P323-M323</f>
        <v/>
      </c>
    </row>
    <row r="324">
      <c r="A324" s="16" t="inlineStr">
        <is>
          <t>5.1-5.7</t>
        </is>
      </c>
      <c r="B324" s="16" t="inlineStr">
        <is>
          <t>PO-128-08570965095032576</t>
        </is>
      </c>
      <c r="C324" s="16" t="inlineStr">
        <is>
          <t>Delivered</t>
        </is>
      </c>
      <c r="D324" s="16" t="inlineStr">
        <is>
          <t>128-08570923151992576</t>
        </is>
      </c>
      <c r="E324" s="16" t="inlineStr">
        <is>
          <t>Delivered</t>
        </is>
      </c>
      <c r="F324" s="16" t="inlineStr">
        <is>
          <t>MB-185N</t>
        </is>
      </c>
      <c r="G324" s="16" t="inlineStr">
        <is>
          <t>Bocina Radio FM/Reproductor, Compatible con Tarjeta TF, USB, Bluetooth, Aplicable para celular, computadora, Ipad y consola.</t>
        </is>
      </c>
      <c r="H324" s="16" t="inlineStr">
        <is>
          <t>NEGRO/MB-185</t>
        </is>
      </c>
      <c r="I324" s="16" t="n">
        <v>1</v>
      </c>
      <c r="J324" s="17" t="n">
        <v>75.5</v>
      </c>
      <c r="K324" s="17" t="n">
        <v>88.45999999999999</v>
      </c>
      <c r="L324" s="17" t="n">
        <v>25.86</v>
      </c>
      <c r="M324" s="17" t="n">
        <v>0</v>
      </c>
      <c r="N324" s="17">
        <f>K324*0.08+L324*0.08</f>
        <v/>
      </c>
      <c r="O324" s="17">
        <f>-(K324*0.025+L324*0.025)</f>
        <v/>
      </c>
      <c r="P324" s="17">
        <f>32</f>
        <v/>
      </c>
      <c r="Q324" s="17">
        <f>J324+L324+N324+O324-P324-M324</f>
        <v/>
      </c>
    </row>
    <row r="325">
      <c r="A325" s="16" t="inlineStr">
        <is>
          <t>5.1-5.7</t>
        </is>
      </c>
      <c r="B325" s="16" t="inlineStr">
        <is>
          <t>PO-128-08448134206072348</t>
        </is>
      </c>
      <c r="C325" s="16" t="inlineStr">
        <is>
          <t>Delivered</t>
        </is>
      </c>
      <c r="D325" s="16" t="inlineStr">
        <is>
          <t>128-08448092263032348</t>
        </is>
      </c>
      <c r="E325" s="16" t="inlineStr">
        <is>
          <t>Delivered</t>
        </is>
      </c>
      <c r="F325" s="16" t="inlineStr">
        <is>
          <t>MCM-001A</t>
        </is>
      </c>
      <c r="G325" s="16" t="inlineStr">
        <is>
          <t>Musicord Altavoz Inalámbrico BT Portátil: ¡Sonido impactante, luces LED multicolores y 4 horas de autonomía! Compatible con TWS, FM, TF y USB – Imprescindible para fiestas y viajes</t>
        </is>
      </c>
      <c r="H325" s="16" t="inlineStr">
        <is>
          <t>AZUL</t>
        </is>
      </c>
      <c r="I325" s="16" t="n">
        <v>1</v>
      </c>
      <c r="J325" s="17" t="n">
        <v>51.07</v>
      </c>
      <c r="K325" s="17" t="n">
        <v>50.56</v>
      </c>
      <c r="L325" s="17" t="n">
        <v>25.86</v>
      </c>
      <c r="M325" s="17" t="n">
        <v>0</v>
      </c>
      <c r="N325" s="17">
        <f>K325*0.08+L325*0.08</f>
        <v/>
      </c>
      <c r="O325" s="17">
        <f>-(K325*0.025+L325*0.025)</f>
        <v/>
      </c>
      <c r="P325" s="17">
        <f>32</f>
        <v/>
      </c>
      <c r="Q325" s="17">
        <f>J325+L325+N325+O325-P325-M325</f>
        <v/>
      </c>
    </row>
    <row r="326">
      <c r="A326" s="16" t="inlineStr">
        <is>
          <t>5.1-5.7</t>
        </is>
      </c>
      <c r="B326" s="16" t="inlineStr">
        <is>
          <t>PO-128-08350344653434085</t>
        </is>
      </c>
      <c r="C326" s="16" t="inlineStr">
        <is>
          <t>Delivered</t>
        </is>
      </c>
      <c r="D326" s="16" t="inlineStr">
        <is>
          <t>128-08350349896314085</t>
        </is>
      </c>
      <c r="E326" s="16" t="inlineStr">
        <is>
          <t>Delivered</t>
        </is>
      </c>
      <c r="F326" s="16" t="inlineStr">
        <is>
          <t>LB02235-rojo</t>
        </is>
      </c>
      <c r="G326" s="16" t="inlineStr">
        <is>
          <t>Audífonos Inalámbricos para la Cabeza, Recargables y Multifuncionales - Conectan a Varios Dispositivos, soportan Radio FM, Tarjeta TF y AUX - 4 Horas de Reproducción Musical - Ideal para Trabajo Cotidiano, Juegos y Estudio</t>
        </is>
      </c>
      <c r="H326" s="16" t="inlineStr">
        <is>
          <t>ROJO</t>
        </is>
      </c>
      <c r="I326" s="16" t="n">
        <v>1</v>
      </c>
      <c r="J326" s="17" t="n">
        <v>46</v>
      </c>
      <c r="K326" s="17" t="n">
        <v>59.12</v>
      </c>
      <c r="L326" s="17" t="n">
        <v>25.86</v>
      </c>
      <c r="M326" s="17" t="n">
        <v>0</v>
      </c>
      <c r="N326" s="17">
        <f>K326*0.08+L326*0.08</f>
        <v/>
      </c>
      <c r="O326" s="17">
        <f>-(K326*0.025+L326*0.025)</f>
        <v/>
      </c>
      <c r="P326" s="17">
        <f>32</f>
        <v/>
      </c>
      <c r="Q326" s="17">
        <f>J326+L326+N326+O326-P326-M326</f>
        <v/>
      </c>
    </row>
    <row r="327">
      <c r="A327" s="16" t="inlineStr">
        <is>
          <t>5.1-5.7</t>
        </is>
      </c>
      <c r="B327" s="16" t="inlineStr">
        <is>
          <t>PO-128-08525007391353043</t>
        </is>
      </c>
      <c r="C327" s="16" t="inlineStr">
        <is>
          <t>Delivered</t>
        </is>
      </c>
      <c r="D327" s="16" t="inlineStr">
        <is>
          <t>128-08525174180473043</t>
        </is>
      </c>
      <c r="E327" s="16" t="inlineStr">
        <is>
          <t>Delivered</t>
        </is>
      </c>
      <c r="F327" s="16" t="inlineStr">
        <is>
          <t>SA323T</t>
        </is>
      </c>
      <c r="G327" s="16" t="inlineStr">
        <is>
          <t>Linkbits Bocina Portátil Parlantes BT Portátiles con Iluminación de Ambiente | 1 Hora de Duración, FM, TWS, TF/Micro SD | Ideal para Hogar, Fiestas y Viajes</t>
        </is>
      </c>
      <c r="H327" s="16" t="inlineStr">
        <is>
          <t>SA323T</t>
        </is>
      </c>
      <c r="I327" s="16" t="n">
        <v>1</v>
      </c>
      <c r="J327" s="17" t="n">
        <v>46.8</v>
      </c>
      <c r="K327" s="17" t="n">
        <v>44.69</v>
      </c>
      <c r="L327" s="17" t="n">
        <v>25.86</v>
      </c>
      <c r="M327" s="17" t="n">
        <v>0</v>
      </c>
      <c r="N327" s="17">
        <f>K327*0.08+L327*0.08</f>
        <v/>
      </c>
      <c r="O327" s="17">
        <f>-(K327*0.025+L327*0.025)</f>
        <v/>
      </c>
      <c r="P327" s="17">
        <f>32</f>
        <v/>
      </c>
      <c r="Q327" s="17">
        <f>J327+L327+N327+O327-P327-M327</f>
        <v/>
      </c>
    </row>
    <row r="328">
      <c r="A328" s="16" t="inlineStr">
        <is>
          <t>5.1-5.7</t>
        </is>
      </c>
      <c r="B328" s="16" t="inlineStr">
        <is>
          <t>PO-128-08799337032310382</t>
        </is>
      </c>
      <c r="C328" s="16" t="inlineStr">
        <is>
          <t>Delivered</t>
        </is>
      </c>
      <c r="D328" s="16" t="inlineStr">
        <is>
          <t>128-08799441889910382</t>
        </is>
      </c>
      <c r="E328" s="16" t="inlineStr">
        <is>
          <t>Delivered</t>
        </is>
      </c>
      <c r="F328" s="16" t="inlineStr">
        <is>
          <t>LB02235-blanco</t>
        </is>
      </c>
      <c r="G328" s="16" t="inlineStr">
        <is>
          <t>Audífonos Inalámbricos para la Cabeza, Recargables y Multifuncionales - Conectan a Varios Dispositivos, soportan Radio FM, Tarjeta TF y AUX - 4 Horas de Reproducción Musical - Ideal para Trabajo Cotidiano, Juegos y Estudio</t>
        </is>
      </c>
      <c r="H328" s="16" t="inlineStr">
        <is>
          <t>BLANCO</t>
        </is>
      </c>
      <c r="I328" s="16" t="n">
        <v>1</v>
      </c>
      <c r="J328" s="17" t="n">
        <v>45.31</v>
      </c>
      <c r="K328" s="17" t="n">
        <v>58.42</v>
      </c>
      <c r="L328" s="17" t="n">
        <v>25.86</v>
      </c>
      <c r="M328" s="17" t="n">
        <v>0</v>
      </c>
      <c r="N328" s="17">
        <f>K328*0.08+L328*0.08</f>
        <v/>
      </c>
      <c r="O328" s="17">
        <f>-(K328*0.025+L328*0.025)</f>
        <v/>
      </c>
      <c r="P328" s="17">
        <f>32</f>
        <v/>
      </c>
      <c r="Q328" s="17">
        <f>J328+L328+N328+O328-P328-M328</f>
        <v/>
      </c>
    </row>
    <row r="329">
      <c r="A329" s="16" t="inlineStr">
        <is>
          <t>5.1-5.7</t>
        </is>
      </c>
      <c r="B329" s="16" t="inlineStr">
        <is>
          <t>PO-128-08341343980154008</t>
        </is>
      </c>
      <c r="C329" s="16" t="inlineStr">
        <is>
          <t>Delivered</t>
        </is>
      </c>
      <c r="D329" s="16" t="inlineStr">
        <is>
          <t>128-08341370194554008</t>
        </is>
      </c>
      <c r="E329" s="16" t="inlineStr">
        <is>
          <t>Delivered</t>
        </is>
      </c>
      <c r="F329" s="16" t="inlineStr">
        <is>
          <t>VB347T</t>
        </is>
      </c>
      <c r="G32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29" s="16" t="inlineStr">
        <is>
          <t>1 pieza</t>
        </is>
      </c>
      <c r="I329" s="16" t="n">
        <v>1</v>
      </c>
      <c r="J329" s="17" t="n">
        <v>79.89</v>
      </c>
      <c r="K329" s="17" t="n">
        <v>94.5</v>
      </c>
      <c r="L329" s="17" t="n">
        <v>25.86</v>
      </c>
      <c r="M329" s="17" t="n">
        <v>0</v>
      </c>
      <c r="N329" s="17">
        <f>K329*0.08+L329*0.08</f>
        <v/>
      </c>
      <c r="O329" s="17">
        <f>-(K329*0.025+L329*0.025)</f>
        <v/>
      </c>
      <c r="P329" s="17">
        <f>32</f>
        <v/>
      </c>
      <c r="Q329" s="17">
        <f>J329+L329+N329+O329-P329-M329</f>
        <v/>
      </c>
    </row>
    <row r="330">
      <c r="A330" s="16" t="inlineStr">
        <is>
          <t>5.1-5.7</t>
        </is>
      </c>
      <c r="B330" s="16" t="inlineStr">
        <is>
          <t>PO-128-08421708882552443</t>
        </is>
      </c>
      <c r="C330" s="16" t="inlineStr">
        <is>
          <t>Delivered</t>
        </is>
      </c>
      <c r="D330" s="16" t="inlineStr">
        <is>
          <t>128-08421735096952443</t>
        </is>
      </c>
      <c r="E330" s="16" t="inlineStr">
        <is>
          <t>Delivered</t>
        </is>
      </c>
      <c r="F330" s="16" t="inlineStr">
        <is>
          <t>MCM-001R</t>
        </is>
      </c>
      <c r="G330" s="16" t="inlineStr">
        <is>
          <t>Musicord Altavoz Inalámbrico BT Portátil: ¡Sonido impactante, luces LED multicolores y 4 horas de autonomía! Compatible con TWS, FM, TF y USB – Imprescindible para fiestas y viajes</t>
        </is>
      </c>
      <c r="H330" s="16" t="inlineStr">
        <is>
          <t>ROJO</t>
        </is>
      </c>
      <c r="I330" s="16" t="n">
        <v>1</v>
      </c>
      <c r="J330" s="17" t="n">
        <v>66.5</v>
      </c>
      <c r="K330" s="17" t="n">
        <v>77.79000000000001</v>
      </c>
      <c r="L330" s="17" t="n">
        <v>0</v>
      </c>
      <c r="M330" s="17" t="n">
        <v>77.79000000000001</v>
      </c>
      <c r="N330" s="17">
        <f>K330*0.08+L330*0.08</f>
        <v/>
      </c>
      <c r="O330" s="17">
        <f>-(K330*0.025+L330*0.025)</f>
        <v/>
      </c>
      <c r="P330" s="17">
        <f>32</f>
        <v/>
      </c>
      <c r="Q330" s="17">
        <f>J330+L330+N330+O330-P330-M330</f>
        <v/>
      </c>
    </row>
    <row r="331">
      <c r="A331" s="16" t="inlineStr">
        <is>
          <t>5.1-5.7</t>
        </is>
      </c>
      <c r="B331" s="16" t="inlineStr">
        <is>
          <t>PO-128-08336535798393975</t>
        </is>
      </c>
      <c r="C331" s="16" t="inlineStr">
        <is>
          <t>Delivered</t>
        </is>
      </c>
      <c r="D331" s="16" t="inlineStr">
        <is>
          <t>128-08336556769913975</t>
        </is>
      </c>
      <c r="E331" s="16" t="inlineStr">
        <is>
          <t>Delivered</t>
        </is>
      </c>
      <c r="F331" s="16" t="inlineStr">
        <is>
          <t>S58W60</t>
        </is>
      </c>
      <c r="G331"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331" s="16" t="inlineStr">
        <is>
          <t>1 pieza</t>
        </is>
      </c>
      <c r="I331" s="16" t="n">
        <v>6</v>
      </c>
      <c r="J331" s="17" t="n">
        <v>354</v>
      </c>
      <c r="K331" s="17" t="n">
        <v>416.14</v>
      </c>
      <c r="L331" s="17" t="n">
        <v>0</v>
      </c>
      <c r="M331" s="17" t="n">
        <v>0</v>
      </c>
      <c r="N331" s="17">
        <f>K331*0.08+L331*0.08</f>
        <v/>
      </c>
      <c r="O331" s="17">
        <f>-(K331*0.025+L331*0.025)</f>
        <v/>
      </c>
      <c r="P331" s="17">
        <f>32</f>
        <v/>
      </c>
      <c r="Q331" s="17">
        <f>J331+L331+N331+O331-P331-M331</f>
        <v/>
      </c>
    </row>
    <row r="332">
      <c r="A332" s="16" t="inlineStr">
        <is>
          <t>5.1-5.7</t>
        </is>
      </c>
      <c r="B332" s="16" t="inlineStr">
        <is>
          <t>PO-128-08544944026232925</t>
        </is>
      </c>
      <c r="C332" s="16" t="inlineStr">
        <is>
          <t>Delivered</t>
        </is>
      </c>
      <c r="D332" s="16" t="inlineStr">
        <is>
          <t>128-08544902083192925</t>
        </is>
      </c>
      <c r="E332" s="16" t="inlineStr">
        <is>
          <t>Delivered</t>
        </is>
      </c>
      <c r="F332" s="16" t="inlineStr">
        <is>
          <t>MCM-001G</t>
        </is>
      </c>
      <c r="G332" s="16" t="inlineStr">
        <is>
          <t>Musicord Altavoz Inalámbrico BT Portátil: ¡Sonido impactante, luces LED multicolores y 4 horas de autonomía! Compatible con TWS, FM, TF y USB – Imprescindible para fiestas y viajes</t>
        </is>
      </c>
      <c r="H332" s="16" t="inlineStr">
        <is>
          <t>GRIS</t>
        </is>
      </c>
      <c r="I332" s="16" t="n">
        <v>1</v>
      </c>
      <c r="J332" s="17" t="n">
        <v>51.07</v>
      </c>
      <c r="K332" s="17" t="n">
        <v>62.36</v>
      </c>
      <c r="L332" s="17" t="n">
        <v>25.86</v>
      </c>
      <c r="M332" s="17" t="n">
        <v>0</v>
      </c>
      <c r="N332" s="17">
        <f>K332*0.08+L332*0.08</f>
        <v/>
      </c>
      <c r="O332" s="17">
        <f>-(K332*0.025+L332*0.025)</f>
        <v/>
      </c>
      <c r="P332" s="17">
        <f>32</f>
        <v/>
      </c>
      <c r="Q332" s="17">
        <f>J332+L332+N332+O332-P332-M332</f>
        <v/>
      </c>
    </row>
    <row r="333">
      <c r="A333" s="16" t="inlineStr">
        <is>
          <t>5.1-5.7</t>
        </is>
      </c>
      <c r="B333" s="16" t="inlineStr">
        <is>
          <t>PO-128-08842377226870126</t>
        </is>
      </c>
      <c r="C333" s="16" t="inlineStr">
        <is>
          <t>Delivered</t>
        </is>
      </c>
      <c r="D333" s="16" t="inlineStr">
        <is>
          <t>128-08842398198390126</t>
        </is>
      </c>
      <c r="E333" s="16" t="inlineStr">
        <is>
          <t>Delivered</t>
        </is>
      </c>
      <c r="F333" s="16" t="inlineStr">
        <is>
          <t>SA325T</t>
        </is>
      </c>
      <c r="G333" s="16" t="inlineStr">
        <is>
          <t>Subwoofer Portátil Inalámbrico con Luces RGB, Sonido de Alta Potencia y Batería Duradera, TWS TF USB, Perfecto para Campamento Fiestas y Entretenimiento en Casa</t>
        </is>
      </c>
      <c r="H333" s="16" t="inlineStr">
        <is>
          <t>NEGRO</t>
        </is>
      </c>
      <c r="I333" s="16" t="n">
        <v>6</v>
      </c>
      <c r="J333" s="17" t="n">
        <v>228</v>
      </c>
      <c r="K333" s="17" t="n">
        <v>225.9</v>
      </c>
      <c r="L333" s="17" t="n">
        <v>0</v>
      </c>
      <c r="M333" s="17" t="n">
        <v>9.6</v>
      </c>
      <c r="N333" s="17">
        <f>K333*0.08+L333*0.08</f>
        <v/>
      </c>
      <c r="O333" s="17">
        <f>-(K333*0.025+L333*0.025)</f>
        <v/>
      </c>
      <c r="P333" s="17">
        <f>32</f>
        <v/>
      </c>
      <c r="Q333" s="17">
        <f>J333+L333+N333+O333-P333-M333</f>
        <v/>
      </c>
    </row>
    <row r="334">
      <c r="A334" s="16" t="inlineStr">
        <is>
          <t>5.1-5.7</t>
        </is>
      </c>
      <c r="B334" s="16" t="inlineStr">
        <is>
          <t>PO-128-08379978762873714</t>
        </is>
      </c>
      <c r="C334" s="16" t="inlineStr">
        <is>
          <t>Delivered</t>
        </is>
      </c>
      <c r="D334" s="16" t="inlineStr">
        <is>
          <t>128-08380031191673714</t>
        </is>
      </c>
      <c r="E334" s="16" t="inlineStr">
        <is>
          <t>Delivered</t>
        </is>
      </c>
      <c r="F334" s="16" t="inlineStr">
        <is>
          <t>MCM-001R</t>
        </is>
      </c>
      <c r="G334" s="16" t="inlineStr">
        <is>
          <t>Musicord Altavoz Inalámbrico BT Portátil: ¡Sonido impactante, luces LED multicolores y 4 horas de autonomía! Compatible con TWS, FM, TF y USB – Imprescindible para fiestas y viajes</t>
        </is>
      </c>
      <c r="H334" s="16" t="inlineStr">
        <is>
          <t>ROJO</t>
        </is>
      </c>
      <c r="I334" s="16" t="n">
        <v>1</v>
      </c>
      <c r="J334" s="17" t="n">
        <v>66.5</v>
      </c>
      <c r="K334" s="17" t="n">
        <v>77.79000000000001</v>
      </c>
      <c r="L334" s="17" t="n">
        <v>25.86</v>
      </c>
      <c r="M334" s="17" t="n">
        <v>0</v>
      </c>
      <c r="N334" s="17">
        <f>K334*0.08+L334*0.08</f>
        <v/>
      </c>
      <c r="O334" s="17">
        <f>-(K334*0.025+L334*0.025)</f>
        <v/>
      </c>
      <c r="P334" s="17">
        <f>32</f>
        <v/>
      </c>
      <c r="Q334" s="17">
        <f>J334+L334+N334+O334-P334-M334</f>
        <v/>
      </c>
    </row>
    <row r="335">
      <c r="A335" s="16" t="inlineStr">
        <is>
          <t>5.1-5.7</t>
        </is>
      </c>
      <c r="B335" s="16" t="inlineStr">
        <is>
          <t>PO-128-08498077880952114</t>
        </is>
      </c>
      <c r="C335" s="16" t="inlineStr">
        <is>
          <t>Delivered</t>
        </is>
      </c>
      <c r="D335" s="16" t="inlineStr">
        <is>
          <t>128-08498119823992114</t>
        </is>
      </c>
      <c r="E335" s="16" t="inlineStr">
        <is>
          <t>Delivered</t>
        </is>
      </c>
      <c r="F335" s="16" t="inlineStr">
        <is>
          <t>MCM-001G</t>
        </is>
      </c>
      <c r="G335" s="16" t="inlineStr">
        <is>
          <t>Musicord Altavoz Inalámbrico BT Portátil: ¡Sonido impactante, luces LED multicolores y 4 horas de autonomía! Compatible con TWS, FM, TF y USB – Imprescindible para fiestas y viajes</t>
        </is>
      </c>
      <c r="H335" s="16" t="inlineStr">
        <is>
          <t>GRIS</t>
        </is>
      </c>
      <c r="I335" s="16" t="n">
        <v>2</v>
      </c>
      <c r="J335" s="17" t="n">
        <v>102.14</v>
      </c>
      <c r="K335" s="17" t="n">
        <v>106.02</v>
      </c>
      <c r="L335" s="17" t="n">
        <v>25.86</v>
      </c>
      <c r="M335" s="17" t="n">
        <v>0</v>
      </c>
      <c r="N335" s="17">
        <f>K335*0.08+L335*0.08</f>
        <v/>
      </c>
      <c r="O335" s="17">
        <f>-(K335*0.025+L335*0.025)</f>
        <v/>
      </c>
      <c r="P335" s="17">
        <f>32</f>
        <v/>
      </c>
      <c r="Q335" s="17">
        <f>J335+L335+N335+O335-P335-M335</f>
        <v/>
      </c>
    </row>
    <row r="336">
      <c r="A336" s="16" t="inlineStr">
        <is>
          <t>5.1-5.7</t>
        </is>
      </c>
      <c r="B336" s="16" t="inlineStr">
        <is>
          <t>PO-128-08281996616313402</t>
        </is>
      </c>
      <c r="C336" s="16" t="inlineStr">
        <is>
          <t>Delivered</t>
        </is>
      </c>
      <c r="D336" s="16" t="inlineStr">
        <is>
          <t>128-08281980887673402</t>
        </is>
      </c>
      <c r="E336" s="16" t="inlineStr">
        <is>
          <t>Delivered</t>
        </is>
      </c>
      <c r="F336" s="16" t="inlineStr">
        <is>
          <t>MCM-001R</t>
        </is>
      </c>
      <c r="G336" s="16" t="inlineStr">
        <is>
          <t>Musicord Altavoz Inalámbrico BT Portátil: ¡Sonido impactante, luces LED multicolores y 4 horas de autonomía! Compatible con TWS, FM, TF y USB – Imprescindible para fiestas y viajes</t>
        </is>
      </c>
      <c r="H336" s="16" t="inlineStr">
        <is>
          <t>ROJO</t>
        </is>
      </c>
      <c r="I336" s="16" t="n">
        <v>1</v>
      </c>
      <c r="J336" s="17" t="n">
        <v>66.5</v>
      </c>
      <c r="K336" s="17" t="n">
        <v>77.79000000000001</v>
      </c>
      <c r="L336" s="17" t="n">
        <v>25.86</v>
      </c>
      <c r="M336" s="17" t="n">
        <v>0</v>
      </c>
      <c r="N336" s="17">
        <f>K336*0.08+L336*0.08</f>
        <v/>
      </c>
      <c r="O336" s="17">
        <f>-(K336*0.025+L336*0.025)</f>
        <v/>
      </c>
      <c r="P336" s="17">
        <f>32</f>
        <v/>
      </c>
      <c r="Q336" s="17">
        <f>J336+L336+N336+O336-P336-M336</f>
        <v/>
      </c>
    </row>
    <row r="337">
      <c r="A337" s="16" t="inlineStr">
        <is>
          <t>5.1-5.7</t>
        </is>
      </c>
      <c r="B337" s="16" t="inlineStr">
        <is>
          <t>PO-128-08789763963510313</t>
        </is>
      </c>
      <c r="C337" s="16" t="inlineStr">
        <is>
          <t>Delivered</t>
        </is>
      </c>
      <c r="D337" s="16" t="inlineStr">
        <is>
          <t>128-08789900278390313</t>
        </is>
      </c>
      <c r="E337" s="16" t="inlineStr">
        <is>
          <t>Delivered</t>
        </is>
      </c>
      <c r="F337" s="16" t="inlineStr">
        <is>
          <t>KTS-1678V</t>
        </is>
      </c>
      <c r="G337" s="16" t="inlineStr">
        <is>
          <t>Bocina portátil Inalámbrico, de 3 pulgadas, tamaño de bolsillo, 170 g, con asa, compatible con TF, USB y Micro SD, con radio FM y función TWS (True Wireless Stereo), adecuada para relajarse en casa o viajar al aire libre.</t>
        </is>
      </c>
      <c r="H337" s="16" t="inlineStr">
        <is>
          <t>KTS-1678V</t>
        </is>
      </c>
      <c r="I337" s="16" t="n">
        <v>10</v>
      </c>
      <c r="J337" s="17" t="n">
        <v>425</v>
      </c>
      <c r="K337" s="17" t="n">
        <v>487.2</v>
      </c>
      <c r="L337" s="17" t="n">
        <v>0</v>
      </c>
      <c r="M337" s="17" t="n">
        <v>0</v>
      </c>
      <c r="N337" s="17">
        <f>K337*0.08+L337*0.08</f>
        <v/>
      </c>
      <c r="O337" s="17">
        <f>-(K337*0.025+L337*0.025)</f>
        <v/>
      </c>
      <c r="P337" s="17">
        <f>32</f>
        <v/>
      </c>
      <c r="Q337" s="17">
        <f>J337+L337+N337+O337-P337-M337</f>
        <v/>
      </c>
    </row>
    <row r="338">
      <c r="A338" s="16" t="inlineStr">
        <is>
          <t>5.1-5.7</t>
        </is>
      </c>
      <c r="B338" s="16" t="inlineStr">
        <is>
          <t>PO-128-08840492800630075</t>
        </is>
      </c>
      <c r="C338" s="16" t="inlineStr">
        <is>
          <t>Delivered</t>
        </is>
      </c>
      <c r="D338" s="16" t="inlineStr">
        <is>
          <t>128-08840534743670075</t>
        </is>
      </c>
      <c r="E338" s="16" t="inlineStr">
        <is>
          <t>Delivered</t>
        </is>
      </c>
      <c r="F338" s="16" t="inlineStr">
        <is>
          <t>SA323T</t>
        </is>
      </c>
      <c r="G338" s="16" t="inlineStr">
        <is>
          <t>Linkbits Bocina Portátil Parlantes BT Portátiles con Iluminación de Ambiente | 1 Hora de Duración, FM, TWS, TF/Micro SD | Ideal para Hogar, Fiestas y Viajes</t>
        </is>
      </c>
      <c r="H338" s="16" t="inlineStr">
        <is>
          <t>SA323T</t>
        </is>
      </c>
      <c r="I338" s="16" t="n">
        <v>1</v>
      </c>
      <c r="J338" s="17" t="n">
        <v>46.8</v>
      </c>
      <c r="K338" s="17" t="n">
        <v>28.88</v>
      </c>
      <c r="L338" s="17" t="n">
        <v>25.86</v>
      </c>
      <c r="M338" s="17" t="n">
        <v>0</v>
      </c>
      <c r="N338" s="17">
        <f>K338*0.08+L338*0.08</f>
        <v/>
      </c>
      <c r="O338" s="17">
        <f>-(K338*0.025+L338*0.025)</f>
        <v/>
      </c>
      <c r="P338" s="17">
        <f>32</f>
        <v/>
      </c>
      <c r="Q338" s="17">
        <f>J338+L338+N338+O338-P338-M338</f>
        <v/>
      </c>
    </row>
    <row r="339">
      <c r="A339" s="16" t="inlineStr">
        <is>
          <t>5.1-5.7</t>
        </is>
      </c>
      <c r="B339" s="16" t="inlineStr">
        <is>
          <t>PO-128-08912372255350543</t>
        </is>
      </c>
      <c r="C339" s="16" t="inlineStr">
        <is>
          <t>Delivered</t>
        </is>
      </c>
      <c r="D339" s="16" t="inlineStr">
        <is>
          <t>128-08912330312310543</t>
        </is>
      </c>
      <c r="E339" s="16" t="inlineStr">
        <is>
          <t>Delivered</t>
        </is>
      </c>
      <c r="F339" s="16" t="inlineStr">
        <is>
          <t>VB347T</t>
        </is>
      </c>
      <c r="G33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39" s="16" t="inlineStr">
        <is>
          <t>1 pieza</t>
        </is>
      </c>
      <c r="I339" s="16" t="n">
        <v>1</v>
      </c>
      <c r="J339" s="17" t="n">
        <v>79.89</v>
      </c>
      <c r="K339" s="17" t="n">
        <v>34.16</v>
      </c>
      <c r="L339" s="17" t="n">
        <v>25.86</v>
      </c>
      <c r="M339" s="17" t="n">
        <v>0</v>
      </c>
      <c r="N339" s="17">
        <f>K339*0.08+L339*0.08</f>
        <v/>
      </c>
      <c r="O339" s="17">
        <f>-(K339*0.025+L339*0.025)</f>
        <v/>
      </c>
      <c r="P339" s="17">
        <f>32</f>
        <v/>
      </c>
      <c r="Q339" s="17">
        <f>J339+L339+N339+O339-P339-M339</f>
        <v/>
      </c>
    </row>
    <row r="340">
      <c r="A340" s="16" t="inlineStr">
        <is>
          <t>5.1-5.7</t>
        </is>
      </c>
      <c r="B340" s="16" t="inlineStr">
        <is>
          <t>PO-128-08911157647990740</t>
        </is>
      </c>
      <c r="C340" s="16" t="inlineStr">
        <is>
          <t>Delivered</t>
        </is>
      </c>
      <c r="D340" s="16" t="inlineStr">
        <is>
          <t>128-08911080315510740</t>
        </is>
      </c>
      <c r="E340" s="16" t="inlineStr">
        <is>
          <t>Delivered</t>
        </is>
      </c>
      <c r="F340" s="16" t="inlineStr">
        <is>
          <t>KTS-1678N</t>
        </is>
      </c>
      <c r="G340" s="16" t="inlineStr">
        <is>
          <t>Bocina portátil Inalámbrico, de 3 pulgadas, tamaño de bolsillo, 170 g, con asa, compatible con TF, USB y Micro SD, con radio FM y función TWS (True Wireless Stereo), adecuada para relajarse en casa o viajar al aire libre.</t>
        </is>
      </c>
      <c r="H340" s="16" t="inlineStr">
        <is>
          <t>KTS-1678N</t>
        </is>
      </c>
      <c r="I340" s="16" t="n">
        <v>1</v>
      </c>
      <c r="J340" s="17" t="n">
        <v>43</v>
      </c>
      <c r="K340" s="17" t="n">
        <v>49.22</v>
      </c>
      <c r="L340" s="17" t="n">
        <v>25.86</v>
      </c>
      <c r="M340" s="17" t="n">
        <v>0</v>
      </c>
      <c r="N340" s="17">
        <f>K340*0.08+L340*0.08</f>
        <v/>
      </c>
      <c r="O340" s="17">
        <f>-(K340*0.025+L340*0.025)</f>
        <v/>
      </c>
      <c r="P340" s="17">
        <f>32</f>
        <v/>
      </c>
      <c r="Q340" s="17">
        <f>J340+L340+N340+O340-P340-M340</f>
        <v/>
      </c>
    </row>
    <row r="341">
      <c r="A341" s="16" t="inlineStr">
        <is>
          <t>5.1-5.7</t>
        </is>
      </c>
      <c r="B341" s="16" t="inlineStr">
        <is>
          <t>PO-128-08685942835831954</t>
        </is>
      </c>
      <c r="C341" s="16" t="inlineStr">
        <is>
          <t>Delivered</t>
        </is>
      </c>
      <c r="D341" s="16" t="inlineStr">
        <is>
          <t>128-08685984778871954</t>
        </is>
      </c>
      <c r="E341" s="16" t="inlineStr">
        <is>
          <t>Delivered</t>
        </is>
      </c>
      <c r="F341" s="16" t="inlineStr">
        <is>
          <t>LB02235-rojo</t>
        </is>
      </c>
      <c r="G341" s="16" t="inlineStr">
        <is>
          <t>Audífonos Inalámbricos para la Cabeza, Recargables y Multifuncionales - Conectan a Varios Dispositivos, soportan Radio FM, Tarjeta TF y AUX - 4 Horas de Reproducción Musical - Ideal para Trabajo Cotidiano, Juegos y Estudio</t>
        </is>
      </c>
      <c r="H341" s="16" t="inlineStr">
        <is>
          <t>ROJO</t>
        </is>
      </c>
      <c r="I341" s="16" t="n">
        <v>1</v>
      </c>
      <c r="J341" s="17" t="n">
        <v>46</v>
      </c>
      <c r="K341" s="17" t="n">
        <v>59.12</v>
      </c>
      <c r="L341" s="17" t="n">
        <v>25.86</v>
      </c>
      <c r="M341" s="17" t="n">
        <v>0</v>
      </c>
      <c r="N341" s="17">
        <f>K341*0.08+L341*0.08</f>
        <v/>
      </c>
      <c r="O341" s="17">
        <f>-(K341*0.025+L341*0.025)</f>
        <v/>
      </c>
      <c r="P341" s="17">
        <f>32</f>
        <v/>
      </c>
      <c r="Q341" s="17">
        <f>J341+L341+N341+O341-P341-M341</f>
        <v/>
      </c>
    </row>
    <row r="342">
      <c r="A342" s="16" t="inlineStr">
        <is>
          <t>5.1-5.7</t>
        </is>
      </c>
      <c r="B342" s="16" t="inlineStr">
        <is>
          <t>PO-128-08655548478071049</t>
        </is>
      </c>
      <c r="C342" s="16" t="inlineStr">
        <is>
          <t>Delivered</t>
        </is>
      </c>
      <c r="D342" s="16" t="inlineStr">
        <is>
          <t>128-08655684792951049</t>
        </is>
      </c>
      <c r="E342" s="16" t="inlineStr">
        <is>
          <t>Delivered</t>
        </is>
      </c>
      <c r="F342" s="16" t="inlineStr">
        <is>
          <t>KTS-1678N</t>
        </is>
      </c>
      <c r="G342" s="16" t="inlineStr">
        <is>
          <t>Bocina portátil Inalámbrico, de 3 pulgadas, tamaño de bolsillo, 170 g, con asa, compatible con TF, USB y Micro SD, con radio FM y función TWS (True Wireless Stereo), adecuada para relajarse en casa o viajar al aire libre.</t>
        </is>
      </c>
      <c r="H342" s="16" t="inlineStr">
        <is>
          <t>KTS-1678N</t>
        </is>
      </c>
      <c r="I342" s="16" t="n">
        <v>1</v>
      </c>
      <c r="J342" s="17" t="n">
        <v>43</v>
      </c>
      <c r="K342" s="17" t="n">
        <v>49.22</v>
      </c>
      <c r="L342" s="17" t="n">
        <v>25.86</v>
      </c>
      <c r="M342" s="17" t="n">
        <v>0</v>
      </c>
      <c r="N342" s="17">
        <f>K342*0.08+L342*0.08</f>
        <v/>
      </c>
      <c r="O342" s="17">
        <f>-(K342*0.025+L342*0.025)</f>
        <v/>
      </c>
      <c r="P342" s="17">
        <f>32</f>
        <v/>
      </c>
      <c r="Q342" s="17">
        <f>J342+L342+N342+O342-P342-M342</f>
        <v/>
      </c>
    </row>
    <row r="343">
      <c r="A343" s="16" t="inlineStr">
        <is>
          <t>5.1-5.7</t>
        </is>
      </c>
      <c r="B343" s="16" t="inlineStr">
        <is>
          <t>PO-128-08462433075832198</t>
        </is>
      </c>
      <c r="C343" s="16" t="inlineStr">
        <is>
          <t>Delivered</t>
        </is>
      </c>
      <c r="D343" s="16" t="inlineStr">
        <is>
          <t>128-08462438318712198</t>
        </is>
      </c>
      <c r="E343" s="16" t="inlineStr">
        <is>
          <t>Delivered</t>
        </is>
      </c>
      <c r="F343" s="16" t="inlineStr">
        <is>
          <t>S39W48-5PZS</t>
        </is>
      </c>
      <c r="G34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43" s="16" t="inlineStr">
        <is>
          <t>5 piezas</t>
        </is>
      </c>
      <c r="I343" s="16" t="n">
        <v>1</v>
      </c>
      <c r="J343" s="17" t="n">
        <v>190</v>
      </c>
      <c r="K343" s="17" t="n">
        <v>199.92</v>
      </c>
      <c r="L343" s="17" t="n">
        <v>25.86</v>
      </c>
      <c r="M343" s="17" t="n">
        <v>0</v>
      </c>
      <c r="N343" s="17">
        <f>K343*0.08+L343*0.08</f>
        <v/>
      </c>
      <c r="O343" s="17">
        <f>-(K343*0.025+L343*0.025)</f>
        <v/>
      </c>
      <c r="P343" s="17">
        <f>32</f>
        <v/>
      </c>
      <c r="Q343" s="17">
        <f>J343+L343+N343+O343-P343-M343</f>
        <v/>
      </c>
    </row>
    <row r="344">
      <c r="A344" s="16" t="inlineStr">
        <is>
          <t>5.1-5.7</t>
        </is>
      </c>
      <c r="B344" s="16" t="inlineStr">
        <is>
          <t>PO-128-08909692519030751</t>
        </is>
      </c>
      <c r="C344" s="16" t="inlineStr">
        <is>
          <t>Delivered</t>
        </is>
      </c>
      <c r="D344" s="16" t="inlineStr">
        <is>
          <t>128-08909650575990751</t>
        </is>
      </c>
      <c r="E344" s="16" t="inlineStr">
        <is>
          <t>Delivered</t>
        </is>
      </c>
      <c r="F344" s="16" t="inlineStr">
        <is>
          <t>SA8056T</t>
        </is>
      </c>
      <c r="G34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44" s="16" t="inlineStr">
        <is>
          <t>SA8056T</t>
        </is>
      </c>
      <c r="I344" s="16" t="n">
        <v>1</v>
      </c>
      <c r="J344" s="17" t="n">
        <v>150.45</v>
      </c>
      <c r="K344" s="17" t="n">
        <v>170.84</v>
      </c>
      <c r="L344" s="17" t="n">
        <v>25.86</v>
      </c>
      <c r="M344" s="17" t="n">
        <v>0</v>
      </c>
      <c r="N344" s="17">
        <f>K344*0.08+L344*0.08</f>
        <v/>
      </c>
      <c r="O344" s="17">
        <f>-(K344*0.025+L344*0.025)</f>
        <v/>
      </c>
      <c r="P344" s="17">
        <f>32</f>
        <v/>
      </c>
      <c r="Q344" s="17">
        <f>J344+L344+N344+O344-P344-M344</f>
        <v/>
      </c>
    </row>
    <row r="345">
      <c r="A345" s="16" t="inlineStr">
        <is>
          <t>5.1-5.7</t>
        </is>
      </c>
      <c r="B345" s="16" t="inlineStr">
        <is>
          <t>PO-128-08345548851834049</t>
        </is>
      </c>
      <c r="C345" s="16" t="inlineStr">
        <is>
          <t>Delivered</t>
        </is>
      </c>
      <c r="D345" s="16" t="inlineStr">
        <is>
          <t>128-08345517394554049</t>
        </is>
      </c>
      <c r="E345" s="16" t="inlineStr">
        <is>
          <t>Delivered</t>
        </is>
      </c>
      <c r="F345" s="16" t="inlineStr">
        <is>
          <t>SA323T</t>
        </is>
      </c>
      <c r="G345" s="16" t="inlineStr">
        <is>
          <t>Linkbits Bocina Portátil Parlantes BT Portátiles con Iluminación de Ambiente | 1 Hora de Duración, FM, TWS, TF/Micro SD | Ideal para Hogar, Fiestas y Viajes</t>
        </is>
      </c>
      <c r="H345" s="16" t="inlineStr">
        <is>
          <t>SA323T</t>
        </is>
      </c>
      <c r="I345" s="16" t="n">
        <v>1</v>
      </c>
      <c r="J345" s="17" t="n">
        <v>46.8</v>
      </c>
      <c r="K345" s="17" t="n">
        <v>55.86</v>
      </c>
      <c r="L345" s="17" t="n">
        <v>25.86</v>
      </c>
      <c r="M345" s="17" t="n">
        <v>0</v>
      </c>
      <c r="N345" s="17">
        <f>K345*0.08+L345*0.08</f>
        <v/>
      </c>
      <c r="O345" s="17">
        <f>-(K345*0.025+L345*0.025)</f>
        <v/>
      </c>
      <c r="P345" s="17">
        <f>32</f>
        <v/>
      </c>
      <c r="Q345" s="17">
        <f>J345+L345+N345+O345-P345-M345</f>
        <v/>
      </c>
    </row>
    <row r="346">
      <c r="A346" s="16" t="inlineStr">
        <is>
          <t>5.1-5.7</t>
        </is>
      </c>
      <c r="B346" s="16" t="inlineStr">
        <is>
          <t>PO-128-08585345075832682</t>
        </is>
      </c>
      <c r="C346" s="16" t="inlineStr">
        <is>
          <t>Delivered</t>
        </is>
      </c>
      <c r="D346" s="16" t="inlineStr">
        <is>
          <t>128-08585358183032682</t>
        </is>
      </c>
      <c r="E346" s="16" t="inlineStr">
        <is>
          <t>Delivered</t>
        </is>
      </c>
      <c r="F346" s="16" t="inlineStr">
        <is>
          <t>LB02235-negro</t>
        </is>
      </c>
      <c r="G346" s="16" t="inlineStr">
        <is>
          <t>Audífonos Inalámbricos para la Cabeza, Recargables y Multifuncionales - Conectan a Varios Dispositivos, soportan Radio FM, Tarjeta TF y AUX - 4 Horas de Reproducción Musical - Ideal para Trabajo Cotidiano, Juegos y Estudio</t>
        </is>
      </c>
      <c r="H346" s="16" t="inlineStr">
        <is>
          <t>NEGRO</t>
        </is>
      </c>
      <c r="I346" s="16" t="n">
        <v>1</v>
      </c>
      <c r="J346" s="17" t="n">
        <v>45.31</v>
      </c>
      <c r="K346" s="17" t="n">
        <v>58.42</v>
      </c>
      <c r="L346" s="17" t="n">
        <v>25.86</v>
      </c>
      <c r="M346" s="17" t="n">
        <v>0</v>
      </c>
      <c r="N346" s="17">
        <f>K346*0.08+L346*0.08</f>
        <v/>
      </c>
      <c r="O346" s="17">
        <f>-(K346*0.025+L346*0.025)</f>
        <v/>
      </c>
      <c r="P346" s="17">
        <f>32</f>
        <v/>
      </c>
      <c r="Q346" s="17">
        <f>J346+L346+N346+O346-P346-M346</f>
        <v/>
      </c>
    </row>
    <row r="347">
      <c r="A347" s="16" t="inlineStr">
        <is>
          <t>5.1-5.7</t>
        </is>
      </c>
      <c r="B347" s="16" t="inlineStr">
        <is>
          <t>PO-128-08759093156471646</t>
        </is>
      </c>
      <c r="C347" s="16" t="inlineStr">
        <is>
          <t>Delivered</t>
        </is>
      </c>
      <c r="D347" s="16" t="inlineStr">
        <is>
          <t>128-08759135099511646</t>
        </is>
      </c>
      <c r="E347" s="16" t="inlineStr">
        <is>
          <t>Delivered</t>
        </is>
      </c>
      <c r="F347" s="16" t="inlineStr">
        <is>
          <t>MCM-001G</t>
        </is>
      </c>
      <c r="G347" s="16" t="inlineStr">
        <is>
          <t>Musicord Altavoz Inalámbrico BT Portátil: ¡Sonido impactante, luces LED multicolores y 4 horas de autonomía! Compatible con TWS, FM, TF y USB – Imprescindible para fiestas y viajes</t>
        </is>
      </c>
      <c r="H347" s="16" t="inlineStr">
        <is>
          <t>GRIS</t>
        </is>
      </c>
      <c r="I347" s="16" t="n">
        <v>1</v>
      </c>
      <c r="J347" s="17" t="n">
        <v>51.07</v>
      </c>
      <c r="K347" s="17" t="n">
        <v>19.26</v>
      </c>
      <c r="L347" s="17" t="n">
        <v>25.86</v>
      </c>
      <c r="M347" s="17" t="n">
        <v>0</v>
      </c>
      <c r="N347" s="17">
        <f>K347*0.08+L347*0.08</f>
        <v/>
      </c>
      <c r="O347" s="17">
        <f>-(K347*0.025+L347*0.025)</f>
        <v/>
      </c>
      <c r="P347" s="17">
        <f>32</f>
        <v/>
      </c>
      <c r="Q347" s="17">
        <f>J347+L347+N347+O347-P347-M347</f>
        <v/>
      </c>
    </row>
    <row r="348">
      <c r="A348" s="16" t="inlineStr">
        <is>
          <t>5.1-5.7</t>
        </is>
      </c>
      <c r="B348" s="16" t="inlineStr">
        <is>
          <t>PO-128-08380318331513712</t>
        </is>
      </c>
      <c r="C348" s="16" t="inlineStr">
        <is>
          <t>Delivered</t>
        </is>
      </c>
      <c r="D348" s="16" t="inlineStr">
        <is>
          <t>128-08380370760313712</t>
        </is>
      </c>
      <c r="E348" s="16" t="inlineStr">
        <is>
          <t>Delivered</t>
        </is>
      </c>
      <c r="F348" s="16" t="inlineStr">
        <is>
          <t>LB02235-negro</t>
        </is>
      </c>
      <c r="G348" s="16" t="inlineStr">
        <is>
          <t>Audífonos Inalámbricos para la Cabeza, Recargables y Multifuncionales - Conectan a Varios Dispositivos, soportan Radio FM, Tarjeta TF y AUX - 4 Horas de Reproducción Musical - Ideal para Trabajo Cotidiano, Juegos y Estudio</t>
        </is>
      </c>
      <c r="H348" s="16" t="inlineStr">
        <is>
          <t>NEGRO</t>
        </is>
      </c>
      <c r="I348" s="16" t="n">
        <v>1</v>
      </c>
      <c r="J348" s="17" t="n">
        <v>45.31</v>
      </c>
      <c r="K348" s="17" t="n">
        <v>58.42</v>
      </c>
      <c r="L348" s="17" t="n">
        <v>25.86</v>
      </c>
      <c r="M348" s="17" t="n">
        <v>0</v>
      </c>
      <c r="N348" s="17">
        <f>K348*0.08+L348*0.08</f>
        <v/>
      </c>
      <c r="O348" s="17">
        <f>-(K348*0.025+L348*0.025)</f>
        <v/>
      </c>
      <c r="P348" s="17">
        <f>32</f>
        <v/>
      </c>
      <c r="Q348" s="17">
        <f>J348+L348+N348+O348-P348-M348</f>
        <v/>
      </c>
    </row>
    <row r="349">
      <c r="A349" s="16" t="inlineStr">
        <is>
          <t>5.1-5.7</t>
        </is>
      </c>
      <c r="B349" s="16" t="inlineStr">
        <is>
          <t>PO-128-08351207537274079</t>
        </is>
      </c>
      <c r="C349" s="16" t="inlineStr">
        <is>
          <t>Delivered</t>
        </is>
      </c>
      <c r="D349" s="16" t="inlineStr">
        <is>
          <t>128-08351343852154079</t>
        </is>
      </c>
      <c r="E349" s="16" t="inlineStr">
        <is>
          <t>Delivered</t>
        </is>
      </c>
      <c r="F349" s="16" t="inlineStr">
        <is>
          <t>LB02235-azul</t>
        </is>
      </c>
      <c r="G349" s="16" t="inlineStr">
        <is>
          <t>Audífonos Inalámbricos para la Cabeza, Recargables y Multifuncionales - Conectan a Varios Dispositivos, soportan Radio FM, Tarjeta TF y AUX - 4 Horas de Reproducción Musical - Ideal para Trabajo Cotidiano, Juegos y Estudio</t>
        </is>
      </c>
      <c r="H349" s="16" t="inlineStr">
        <is>
          <t>AZUL</t>
        </is>
      </c>
      <c r="I349" s="16" t="n">
        <v>1</v>
      </c>
      <c r="J349" s="17" t="n">
        <v>37.71</v>
      </c>
      <c r="K349" s="17" t="n">
        <v>50.83</v>
      </c>
      <c r="L349" s="17" t="n">
        <v>25.86</v>
      </c>
      <c r="M349" s="17" t="n">
        <v>0</v>
      </c>
      <c r="N349" s="17">
        <f>K349*0.08+L349*0.08</f>
        <v/>
      </c>
      <c r="O349" s="17">
        <f>-(K349*0.025+L349*0.025)</f>
        <v/>
      </c>
      <c r="P349" s="17">
        <f>32</f>
        <v/>
      </c>
      <c r="Q349" s="17">
        <f>J349+L349+N349+O349-P349-M349</f>
        <v/>
      </c>
    </row>
    <row r="350">
      <c r="A350" s="16" t="inlineStr">
        <is>
          <t>5.1-5.7</t>
        </is>
      </c>
      <c r="B350" s="16" t="inlineStr">
        <is>
          <t>PO-128-08360102001273896</t>
        </is>
      </c>
      <c r="C350" s="16" t="inlineStr">
        <is>
          <t>Delivered</t>
        </is>
      </c>
      <c r="D350" s="16" t="inlineStr">
        <is>
          <t>128-08360238316153896</t>
        </is>
      </c>
      <c r="E350" s="16" t="inlineStr">
        <is>
          <t>Delivered</t>
        </is>
      </c>
      <c r="F350" s="16" t="inlineStr">
        <is>
          <t>FA028</t>
        </is>
      </c>
      <c r="G350" s="16" t="inlineStr">
        <is>
          <t>Extractor de agua para garrafas de agua, compatible con carga USB, extractor de agua automático, práctico, con dos modos de toma de agua: manual y programado, ideal para dormitorios, salones, oficinas, uso al aire libre y otros escenarios.</t>
        </is>
      </c>
      <c r="H350" s="16" t="inlineStr">
        <is>
          <t>FA028</t>
        </is>
      </c>
      <c r="I350" s="16" t="n">
        <v>1</v>
      </c>
      <c r="J350" s="17" t="n">
        <v>35</v>
      </c>
      <c r="K350" s="17" t="n">
        <v>44.6</v>
      </c>
      <c r="L350" s="17" t="n">
        <v>25.86</v>
      </c>
      <c r="M350" s="17" t="n">
        <v>0</v>
      </c>
      <c r="N350" s="17">
        <f>K350*0.08+L350*0.08</f>
        <v/>
      </c>
      <c r="O350" s="17">
        <f>-(K350*0.025+L350*0.025)</f>
        <v/>
      </c>
      <c r="P350" s="17">
        <f>32</f>
        <v/>
      </c>
      <c r="Q350" s="17">
        <f>J350+L350+N350+O350-P350-M350</f>
        <v/>
      </c>
    </row>
    <row r="351">
      <c r="A351" s="16" t="inlineStr">
        <is>
          <t>5.1-5.7</t>
        </is>
      </c>
      <c r="B351" s="16" t="inlineStr">
        <is>
          <t>PO-128-08832939418230054</t>
        </is>
      </c>
      <c r="C351" s="16" t="inlineStr">
        <is>
          <t>Delivered</t>
        </is>
      </c>
      <c r="D351" s="16" t="inlineStr">
        <is>
          <t>128-08832897475190054</t>
        </is>
      </c>
      <c r="E351" s="16" t="inlineStr">
        <is>
          <t>Delivered</t>
        </is>
      </c>
      <c r="F351" s="16" t="inlineStr">
        <is>
          <t>VB347T</t>
        </is>
      </c>
      <c r="G35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51" s="16" t="inlineStr">
        <is>
          <t>1 pieza</t>
        </is>
      </c>
      <c r="I351" s="16" t="n">
        <v>1</v>
      </c>
      <c r="J351" s="17" t="n">
        <v>79.89</v>
      </c>
      <c r="K351" s="17" t="n">
        <v>82.92</v>
      </c>
      <c r="L351" s="17" t="n">
        <v>25.86</v>
      </c>
      <c r="M351" s="17" t="n">
        <v>0</v>
      </c>
      <c r="N351" s="17">
        <f>K351*0.08+L351*0.08</f>
        <v/>
      </c>
      <c r="O351" s="17">
        <f>-(K351*0.025+L351*0.025)</f>
        <v/>
      </c>
      <c r="P351" s="17">
        <f>32</f>
        <v/>
      </c>
      <c r="Q351" s="17">
        <f>J351+L351+N351+O351-P351-M351</f>
        <v/>
      </c>
    </row>
    <row r="352">
      <c r="A352" s="16" t="inlineStr">
        <is>
          <t>5.1-5.7</t>
        </is>
      </c>
      <c r="B352" s="16" t="inlineStr">
        <is>
          <t>PO-128-08247782892153478</t>
        </is>
      </c>
      <c r="C352" s="16" t="inlineStr">
        <is>
          <t>Delivered</t>
        </is>
      </c>
      <c r="D352" s="16" t="inlineStr">
        <is>
          <t>128-08247793377913478</t>
        </is>
      </c>
      <c r="E352" s="16" t="inlineStr">
        <is>
          <t>Delivered</t>
        </is>
      </c>
      <c r="F352" s="16" t="inlineStr">
        <is>
          <t>MCM-001R</t>
        </is>
      </c>
      <c r="G352" s="16" t="inlineStr">
        <is>
          <t>Musicord Altavoz Inalámbrico BT Portátil: ¡Sonido impactante, luces LED multicolores y 4 horas de autonomía! Compatible con TWS, FM, TF y USB – Imprescindible para fiestas y viajes</t>
        </is>
      </c>
      <c r="H352" s="16" t="inlineStr">
        <is>
          <t>ROJO</t>
        </is>
      </c>
      <c r="I352" s="16" t="n">
        <v>1</v>
      </c>
      <c r="J352" s="17" t="n">
        <v>66.5</v>
      </c>
      <c r="K352" s="17" t="n">
        <v>77.79000000000001</v>
      </c>
      <c r="L352" s="17" t="n">
        <v>25.86</v>
      </c>
      <c r="M352" s="17" t="n">
        <v>0</v>
      </c>
      <c r="N352" s="17">
        <f>K352*0.08+L352*0.08</f>
        <v/>
      </c>
      <c r="O352" s="17">
        <f>-(K352*0.025+L352*0.025)</f>
        <v/>
      </c>
      <c r="P352" s="17">
        <f>32</f>
        <v/>
      </c>
      <c r="Q352" s="17">
        <f>J352+L352+N352+O352-P352-M352</f>
        <v/>
      </c>
    </row>
    <row r="353">
      <c r="A353" s="16" t="inlineStr">
        <is>
          <t>5.1-5.7</t>
        </is>
      </c>
      <c r="B353" s="16" t="inlineStr">
        <is>
          <t>PO-128-08785423094390275</t>
        </is>
      </c>
      <c r="C353" s="16" t="inlineStr">
        <is>
          <t>Delivered</t>
        </is>
      </c>
      <c r="D353" s="16" t="inlineStr">
        <is>
          <t>128-08785444065910275</t>
        </is>
      </c>
      <c r="E353" s="16" t="inlineStr">
        <is>
          <t>Delivered</t>
        </is>
      </c>
      <c r="F353" s="16" t="inlineStr">
        <is>
          <t>MCM-001G</t>
        </is>
      </c>
      <c r="G353" s="16" t="inlineStr">
        <is>
          <t>Musicord Altavoz Inalámbrico BT Portátil: ¡Sonido impactante, luces LED multicolores y 4 horas de autonomía! Compatible con TWS, FM, TF y USB – Imprescindible para fiestas y viajes</t>
        </is>
      </c>
      <c r="H353" s="16" t="inlineStr">
        <is>
          <t>GRIS</t>
        </is>
      </c>
      <c r="I353" s="16" t="n">
        <v>1</v>
      </c>
      <c r="J353" s="17" t="n">
        <v>51.07</v>
      </c>
      <c r="K353" s="17" t="n">
        <v>43.65</v>
      </c>
      <c r="L353" s="17" t="n">
        <v>25.86</v>
      </c>
      <c r="M353" s="17" t="n">
        <v>0</v>
      </c>
      <c r="N353" s="17">
        <f>K353*0.08+L353*0.08</f>
        <v/>
      </c>
      <c r="O353" s="17">
        <f>-(K353*0.025+L353*0.025)</f>
        <v/>
      </c>
      <c r="P353" s="17">
        <f>32</f>
        <v/>
      </c>
      <c r="Q353" s="17">
        <f>J353+L353+N353+O353-P353-M353</f>
        <v/>
      </c>
    </row>
    <row r="354">
      <c r="A354" s="16" t="inlineStr">
        <is>
          <t>5.1-5.7</t>
        </is>
      </c>
      <c r="B354" s="16" t="inlineStr">
        <is>
          <t>PO-128-08277761301113365</t>
        </is>
      </c>
      <c r="C354" s="16" t="inlineStr">
        <is>
          <t>Delivered</t>
        </is>
      </c>
      <c r="D354" s="16" t="inlineStr">
        <is>
          <t>128-08277787515513365</t>
        </is>
      </c>
      <c r="E354" s="16" t="inlineStr">
        <is>
          <t>Delivered</t>
        </is>
      </c>
      <c r="F354" s="16" t="inlineStr">
        <is>
          <t>LB02235-negro</t>
        </is>
      </c>
      <c r="G354" s="16" t="inlineStr">
        <is>
          <t>Audífonos Inalámbricos para la Cabeza, Recargables y Multifuncionales - Conectan a Varios Dispositivos, soportan Radio FM, Tarjeta TF y AUX - 4 Horas de Reproducción Musical - Ideal para Trabajo Cotidiano, Juegos y Estudio</t>
        </is>
      </c>
      <c r="H354" s="16" t="inlineStr">
        <is>
          <t>NEGRO</t>
        </is>
      </c>
      <c r="I354" s="16" t="n">
        <v>1</v>
      </c>
      <c r="J354" s="17" t="n">
        <v>45.31</v>
      </c>
      <c r="K354" s="17" t="n">
        <v>58.42</v>
      </c>
      <c r="L354" s="17" t="n">
        <v>25.86</v>
      </c>
      <c r="M354" s="17" t="n">
        <v>0</v>
      </c>
      <c r="N354" s="17">
        <f>K354*0.08+L354*0.08</f>
        <v/>
      </c>
      <c r="O354" s="17">
        <f>-(K354*0.025+L354*0.025)</f>
        <v/>
      </c>
      <c r="P354" s="17">
        <f>32</f>
        <v/>
      </c>
      <c r="Q354" s="17">
        <f>J354+L354+N354+O354-P354-M354</f>
        <v/>
      </c>
    </row>
    <row r="355">
      <c r="A355" s="16" t="inlineStr">
        <is>
          <t>5.1-5.7</t>
        </is>
      </c>
      <c r="B355" s="16" t="inlineStr">
        <is>
          <t>PO-128-08643483720311185</t>
        </is>
      </c>
      <c r="C355" s="16" t="inlineStr">
        <is>
          <t>Delivered</t>
        </is>
      </c>
      <c r="D355" s="16" t="inlineStr">
        <is>
          <t>128-08643588577911185</t>
        </is>
      </c>
      <c r="E355" s="16" t="inlineStr">
        <is>
          <t>Delivered</t>
        </is>
      </c>
      <c r="F355" s="16" t="inlineStr">
        <is>
          <t>SA323T</t>
        </is>
      </c>
      <c r="G355" s="16" t="inlineStr">
        <is>
          <t>Linkbits Bocina Portátil Parlantes BT Portátiles con Iluminación de Ambiente | 1 Hora de Duración, FM, TWS, TF/Micro SD | Ideal para Hogar, Fiestas y Viajes</t>
        </is>
      </c>
      <c r="H355" s="16" t="inlineStr">
        <is>
          <t>SA323T</t>
        </is>
      </c>
      <c r="I355" s="16" t="n">
        <v>1</v>
      </c>
      <c r="J355" s="17" t="n">
        <v>46.8</v>
      </c>
      <c r="K355" s="17" t="n">
        <v>42.79</v>
      </c>
      <c r="L355" s="17" t="n">
        <v>0</v>
      </c>
      <c r="M355" s="17" t="n">
        <v>1.39</v>
      </c>
      <c r="N355" s="17">
        <f>K355*0.08+L355*0.08</f>
        <v/>
      </c>
      <c r="O355" s="17">
        <f>-(K355*0.025+L355*0.025)</f>
        <v/>
      </c>
      <c r="P355" s="17">
        <f>32</f>
        <v/>
      </c>
      <c r="Q355" s="17">
        <f>J355+L355+N355+O355-P355-M355</f>
        <v/>
      </c>
    </row>
    <row r="356">
      <c r="A356" s="16" t="inlineStr">
        <is>
          <t>5.1-5.7</t>
        </is>
      </c>
      <c r="B356" s="16" t="inlineStr">
        <is>
          <t>PO-128-08643483720311185</t>
        </is>
      </c>
      <c r="C356" s="16" t="inlineStr">
        <is>
          <t>Delivered</t>
        </is>
      </c>
      <c r="D356" s="16" t="inlineStr">
        <is>
          <t>128-08643546634871185</t>
        </is>
      </c>
      <c r="E356" s="16" t="inlineStr">
        <is>
          <t>Delivered</t>
        </is>
      </c>
      <c r="F356" s="16" t="inlineStr">
        <is>
          <t>VA384T-R</t>
        </is>
      </c>
      <c r="G356" s="16" t="inlineStr">
        <is>
          <t>Bocina Portátil Bluetooth de 3 Pulgadas con Radio FM, USB TF TWS, Sonido Estéreo 5W, Bocina Recargable para Hogar Exterior Viaje Fiesta Camping</t>
        </is>
      </c>
      <c r="H356" s="16" t="inlineStr">
        <is>
          <t>ROJO</t>
        </is>
      </c>
      <c r="I356" s="16" t="n">
        <v>1</v>
      </c>
      <c r="J356" s="17" t="n">
        <v>52</v>
      </c>
      <c r="K356" s="17" t="n">
        <v>48.05</v>
      </c>
      <c r="L356" s="17" t="n">
        <v>0</v>
      </c>
      <c r="M356" s="17" t="n">
        <v>3.06</v>
      </c>
      <c r="N356" s="17">
        <f>K356*0.08+L356*0.08</f>
        <v/>
      </c>
      <c r="O356" s="17">
        <f>-(K356*0.025+L356*0.025)</f>
        <v/>
      </c>
      <c r="P356" s="17">
        <f>32</f>
        <v/>
      </c>
      <c r="Q356" s="17">
        <f>J356+L356+N356+O356-P356-M356</f>
        <v/>
      </c>
    </row>
    <row r="357">
      <c r="A357" s="16" t="inlineStr">
        <is>
          <t>5.1-5.7</t>
        </is>
      </c>
      <c r="B357" s="16" t="inlineStr">
        <is>
          <t>PO-128-08643483720311185</t>
        </is>
      </c>
      <c r="C357" s="16" t="inlineStr">
        <is>
          <t>Delivered</t>
        </is>
      </c>
      <c r="D357" s="16" t="inlineStr">
        <is>
          <t>128-08643614792311185</t>
        </is>
      </c>
      <c r="E357" s="16" t="inlineStr">
        <is>
          <t>Delivered</t>
        </is>
      </c>
      <c r="F357" s="16" t="inlineStr">
        <is>
          <t>MB-185A</t>
        </is>
      </c>
      <c r="G357" s="16" t="inlineStr">
        <is>
          <t>Bocina Radio FM/Reproductor, Compatible con Tarjeta TF, USB, Bluetooth, Aplicable para celular, computadora, Ipad y consola.</t>
        </is>
      </c>
      <c r="H357" s="16" t="inlineStr">
        <is>
          <t>AZUL/MB-185</t>
        </is>
      </c>
      <c r="I357" s="16" t="n">
        <v>1</v>
      </c>
      <c r="J357" s="17" t="n">
        <v>75.5</v>
      </c>
      <c r="K357" s="17" t="n">
        <v>67.76000000000001</v>
      </c>
      <c r="L357" s="17" t="n">
        <v>0</v>
      </c>
      <c r="M357" s="17" t="n">
        <v>3.23</v>
      </c>
      <c r="N357" s="17">
        <f>K357*0.08+L357*0.08</f>
        <v/>
      </c>
      <c r="O357" s="17">
        <f>-(K357*0.025+L357*0.025)</f>
        <v/>
      </c>
      <c r="P357" s="17">
        <f>32</f>
        <v/>
      </c>
      <c r="Q357" s="17">
        <f>J357+L357+N357+O357-P357-M357</f>
        <v/>
      </c>
    </row>
    <row r="358">
      <c r="A358" s="16" t="inlineStr">
        <is>
          <t>5.1-5.7</t>
        </is>
      </c>
      <c r="B358" s="16" t="inlineStr">
        <is>
          <t>PO-128-08643483720311185</t>
        </is>
      </c>
      <c r="C358" s="16" t="inlineStr">
        <is>
          <t>Delivered</t>
        </is>
      </c>
      <c r="D358" s="16" t="inlineStr">
        <is>
          <t>128-08643504691831185</t>
        </is>
      </c>
      <c r="E358" s="16" t="inlineStr">
        <is>
          <t>Delivered</t>
        </is>
      </c>
      <c r="F358" s="16" t="inlineStr">
        <is>
          <t>LB02235-azul</t>
        </is>
      </c>
      <c r="G358" s="16" t="inlineStr">
        <is>
          <t>Audífonos Inalámbricos para la Cabeza, Recargables y Multifuncionales - Conectan a Varios Dispositivos, soportan Radio FM, Tarjeta TF y AUX - 4 Horas de Reproducción Musical - Ideal para Trabajo Cotidiano, Juegos y Estudio</t>
        </is>
      </c>
      <c r="H358" s="16" t="inlineStr">
        <is>
          <t>AZUL</t>
        </is>
      </c>
      <c r="I358" s="16" t="n">
        <v>1</v>
      </c>
      <c r="J358" s="17" t="n">
        <v>37.71</v>
      </c>
      <c r="K358" s="17" t="n">
        <v>38.92</v>
      </c>
      <c r="L358" s="17" t="n">
        <v>0</v>
      </c>
      <c r="M358" s="17" t="n">
        <v>2.08</v>
      </c>
      <c r="N358" s="17">
        <f>K358*0.08+L358*0.08</f>
        <v/>
      </c>
      <c r="O358" s="17">
        <f>-(K358*0.025+L358*0.025)</f>
        <v/>
      </c>
      <c r="P358" s="17">
        <f>32</f>
        <v/>
      </c>
      <c r="Q358" s="17">
        <f>J358+L358+N358+O358-P358-M358</f>
        <v/>
      </c>
    </row>
    <row r="359">
      <c r="A359" s="16" t="inlineStr">
        <is>
          <t>5.1-5.7</t>
        </is>
      </c>
      <c r="B359" s="16" t="inlineStr">
        <is>
          <t>PO-128-08712052296311865</t>
        </is>
      </c>
      <c r="C359" s="16" t="inlineStr">
        <is>
          <t>Delivered</t>
        </is>
      </c>
      <c r="D359" s="16" t="inlineStr">
        <is>
          <t>128-08712010353271865</t>
        </is>
      </c>
      <c r="E359" s="16" t="inlineStr">
        <is>
          <t>Delivered</t>
        </is>
      </c>
      <c r="F359" s="16" t="inlineStr">
        <is>
          <t>MCM-001G</t>
        </is>
      </c>
      <c r="G359" s="16" t="inlineStr">
        <is>
          <t>Musicord Altavoz Inalámbrico BT Portátil: ¡Sonido impactante, luces LED multicolores y 4 horas de autonomía! Compatible con TWS, FM, TF y USB – Imprescindible para fiestas y viajes</t>
        </is>
      </c>
      <c r="H359" s="16" t="inlineStr">
        <is>
          <t>GRIS</t>
        </is>
      </c>
      <c r="I359" s="16" t="n">
        <v>1</v>
      </c>
      <c r="J359" s="17" t="n">
        <v>51.07</v>
      </c>
      <c r="K359" s="17" t="n">
        <v>8.91</v>
      </c>
      <c r="L359" s="17" t="n">
        <v>25.86</v>
      </c>
      <c r="M359" s="17" t="n">
        <v>0</v>
      </c>
      <c r="N359" s="17">
        <f>K359*0.08+L359*0.08</f>
        <v/>
      </c>
      <c r="O359" s="17">
        <f>-(K359*0.025+L359*0.025)</f>
        <v/>
      </c>
      <c r="P359" s="17">
        <f>32</f>
        <v/>
      </c>
      <c r="Q359" s="17">
        <f>J359+L359+N359+O359-P359-M359</f>
        <v/>
      </c>
    </row>
    <row r="360">
      <c r="A360" s="16" t="inlineStr">
        <is>
          <t>5.1-5.7</t>
        </is>
      </c>
      <c r="B360" s="16" t="inlineStr">
        <is>
          <t>PO-128-08326690212473136</t>
        </is>
      </c>
      <c r="C360" s="16" t="inlineStr">
        <is>
          <t>Delivered</t>
        </is>
      </c>
      <c r="D360" s="16" t="inlineStr">
        <is>
          <t>128-08326648269433136</t>
        </is>
      </c>
      <c r="E360" s="16" t="inlineStr">
        <is>
          <t>Delivered</t>
        </is>
      </c>
      <c r="F360" s="16" t="inlineStr">
        <is>
          <t>MCM-001G</t>
        </is>
      </c>
      <c r="G360" s="16" t="inlineStr">
        <is>
          <t>Musicord Altavoz Inalámbrico BT Portátil: ¡Sonido impactante, luces LED multicolores y 4 horas de autonomía! Compatible con TWS, FM, TF y USB – Imprescindible para fiestas y viajes</t>
        </is>
      </c>
      <c r="H360" s="16" t="inlineStr">
        <is>
          <t>GRIS</t>
        </is>
      </c>
      <c r="I360" s="16" t="n">
        <v>1</v>
      </c>
      <c r="J360" s="17" t="n">
        <v>51.07</v>
      </c>
      <c r="K360" s="17" t="n">
        <v>62.36</v>
      </c>
      <c r="L360" s="17" t="n">
        <v>25.86</v>
      </c>
      <c r="M360" s="17" t="n">
        <v>0.02</v>
      </c>
      <c r="N360" s="17">
        <f>K360*0.08+L360*0.08</f>
        <v/>
      </c>
      <c r="O360" s="17">
        <f>-(K360*0.025+L360*0.025)</f>
        <v/>
      </c>
      <c r="P360" s="17">
        <f>32</f>
        <v/>
      </c>
      <c r="Q360" s="17">
        <f>J360+L360+N360+O360-P360-M360</f>
        <v/>
      </c>
    </row>
    <row r="361">
      <c r="A361" s="16" t="inlineStr">
        <is>
          <t>5.1-5.7</t>
        </is>
      </c>
      <c r="B361" s="16" t="inlineStr">
        <is>
          <t>PO-128-08589177887352661</t>
        </is>
      </c>
      <c r="C361" s="16" t="inlineStr">
        <is>
          <t>Delivered</t>
        </is>
      </c>
      <c r="D361" s="16" t="inlineStr">
        <is>
          <t>128-08589167401592661</t>
        </is>
      </c>
      <c r="E361" s="16" t="inlineStr">
        <is>
          <t>Delivered</t>
        </is>
      </c>
      <c r="F361" s="16" t="inlineStr">
        <is>
          <t>SA325T</t>
        </is>
      </c>
      <c r="G361" s="16" t="inlineStr">
        <is>
          <t>Subwoofer Portátil Inalámbrico con Luces RGB, Sonido de Alta Potencia y Batería Duradera, TWS TF USB, Perfecto para Campamento Fiestas y Entretenimiento en Casa</t>
        </is>
      </c>
      <c r="H361" s="16" t="inlineStr">
        <is>
          <t>NEGRO</t>
        </is>
      </c>
      <c r="I361" s="16" t="n">
        <v>6</v>
      </c>
      <c r="J361" s="17" t="n">
        <v>228</v>
      </c>
      <c r="K361" s="17" t="n">
        <v>227.48</v>
      </c>
      <c r="L361" s="17" t="n">
        <v>0</v>
      </c>
      <c r="M361" s="17" t="n">
        <v>0</v>
      </c>
      <c r="N361" s="17">
        <f>K361*0.08+L361*0.08</f>
        <v/>
      </c>
      <c r="O361" s="17">
        <f>-(K361*0.025+L361*0.025)</f>
        <v/>
      </c>
      <c r="P361" s="17">
        <f>32</f>
        <v/>
      </c>
      <c r="Q361" s="17">
        <f>J361+L361+N361+O361-P361-M361</f>
        <v/>
      </c>
    </row>
    <row r="362">
      <c r="A362" s="16" t="inlineStr">
        <is>
          <t>5.1-5.7</t>
        </is>
      </c>
      <c r="B362" s="16" t="inlineStr">
        <is>
          <t>PO-128-08424231721592490</t>
        </is>
      </c>
      <c r="C362" s="16" t="inlineStr">
        <is>
          <t>Delivered</t>
        </is>
      </c>
      <c r="D362" s="16" t="inlineStr">
        <is>
          <t>128-08424273664632490</t>
        </is>
      </c>
      <c r="E362" s="16" t="inlineStr">
        <is>
          <t>Delivered</t>
        </is>
      </c>
      <c r="F362" s="16" t="inlineStr">
        <is>
          <t>BS-22</t>
        </is>
      </c>
      <c r="G362" s="16" t="inlineStr">
        <is>
          <t>link bits Barra de Sonido para TV, 2x2" Altavoces + 2 Membranas de Graves, Sonido Claro ≥80dB, Bluetooth Inalámbrico, Conexiones AUX/USB, Diseño Compacto 76cm, Sonido Envolvente 3D para Cine en Casa, PC, Juegos y Fiestas</t>
        </is>
      </c>
      <c r="H362" s="16" t="inlineStr">
        <is>
          <t>BS-22</t>
        </is>
      </c>
      <c r="I362" s="16" t="n">
        <v>1</v>
      </c>
      <c r="J362" s="17" t="n">
        <v>260</v>
      </c>
      <c r="K362" s="17" t="n">
        <v>299.61</v>
      </c>
      <c r="L362" s="17" t="n">
        <v>0</v>
      </c>
      <c r="M362" s="17" t="n">
        <v>0</v>
      </c>
      <c r="N362" s="17">
        <f>K362*0.08+L362*0.08</f>
        <v/>
      </c>
      <c r="O362" s="17">
        <f>-(K362*0.025+L362*0.025)</f>
        <v/>
      </c>
      <c r="P362" s="17">
        <f>32</f>
        <v/>
      </c>
      <c r="Q362" s="17">
        <f>J362+L362+N362+O362-P362-M362</f>
        <v/>
      </c>
    </row>
    <row r="363">
      <c r="A363" s="16" t="inlineStr">
        <is>
          <t>5.1-5.7</t>
        </is>
      </c>
      <c r="B363" s="16" t="inlineStr">
        <is>
          <t>PO-128-08526130903672845</t>
        </is>
      </c>
      <c r="C363" s="16" t="inlineStr">
        <is>
          <t>Delivered</t>
        </is>
      </c>
      <c r="D363" s="16" t="inlineStr">
        <is>
          <t>128-08526151875192845</t>
        </is>
      </c>
      <c r="E363" s="16" t="inlineStr">
        <is>
          <t>Delivered</t>
        </is>
      </c>
      <c r="F363" s="16" t="inlineStr">
        <is>
          <t>LB02235-azul</t>
        </is>
      </c>
      <c r="G363" s="16" t="inlineStr">
        <is>
          <t>Audífonos Inalámbricos para la Cabeza, Recargables y Multifuncionales - Conectan a Varios Dispositivos, soportan Radio FM, Tarjeta TF y AUX - 4 Horas de Reproducción Musical - Ideal para Trabajo Cotidiano, Juegos y Estudio</t>
        </is>
      </c>
      <c r="H363" s="16" t="inlineStr">
        <is>
          <t>AZUL</t>
        </is>
      </c>
      <c r="I363" s="16" t="n">
        <v>1</v>
      </c>
      <c r="J363" s="17" t="n">
        <v>37.71</v>
      </c>
      <c r="K363" s="17" t="n">
        <v>43.21</v>
      </c>
      <c r="L363" s="17" t="n">
        <v>25.86</v>
      </c>
      <c r="M363" s="17" t="n">
        <v>0</v>
      </c>
      <c r="N363" s="17">
        <f>K363*0.08+L363*0.08</f>
        <v/>
      </c>
      <c r="O363" s="17">
        <f>-(K363*0.025+L363*0.025)</f>
        <v/>
      </c>
      <c r="P363" s="17">
        <f>32</f>
        <v/>
      </c>
      <c r="Q363" s="17">
        <f>J363+L363+N363+O363-P363-M363</f>
        <v/>
      </c>
    </row>
    <row r="364">
      <c r="A364" s="16" t="inlineStr">
        <is>
          <t>5.1-5.7</t>
        </is>
      </c>
      <c r="B364" s="16" t="inlineStr">
        <is>
          <t>PO-128-08733913211511732</t>
        </is>
      </c>
      <c r="C364" s="16" t="inlineStr">
        <is>
          <t>Delivered</t>
        </is>
      </c>
      <c r="D364" s="16" t="inlineStr">
        <is>
          <t>128-08734018069111732</t>
        </is>
      </c>
      <c r="E364" s="16" t="inlineStr">
        <is>
          <t>Delivered</t>
        </is>
      </c>
      <c r="F364" s="16" t="inlineStr">
        <is>
          <t>MCM-001G</t>
        </is>
      </c>
      <c r="G364" s="16" t="inlineStr">
        <is>
          <t>Musicord Altavoz Inalámbrico BT Portátil: ¡Sonido impactante, luces LED multicolores y 4 horas de autonomía! Compatible con TWS, FM, TF y USB – Imprescindible para fiestas y viajes</t>
        </is>
      </c>
      <c r="H364" s="16" t="inlineStr">
        <is>
          <t>GRIS</t>
        </is>
      </c>
      <c r="I364" s="16" t="n">
        <v>1</v>
      </c>
      <c r="J364" s="17" t="n">
        <v>51.07</v>
      </c>
      <c r="K364" s="17" t="n">
        <v>19.26</v>
      </c>
      <c r="L364" s="17" t="n">
        <v>25.86</v>
      </c>
      <c r="M364" s="17" t="n">
        <v>0</v>
      </c>
      <c r="N364" s="17">
        <f>K364*0.08+L364*0.08</f>
        <v/>
      </c>
      <c r="O364" s="17">
        <f>-(K364*0.025+L364*0.025)</f>
        <v/>
      </c>
      <c r="P364" s="17">
        <f>32</f>
        <v/>
      </c>
      <c r="Q364" s="17">
        <f>J364+L364+N364+O364-P364-M364</f>
        <v/>
      </c>
    </row>
    <row r="365">
      <c r="A365" s="16" t="inlineStr">
        <is>
          <t>5.1-5.7</t>
        </is>
      </c>
      <c r="B365" s="16" t="inlineStr">
        <is>
          <t>PO-128-08877284239990814</t>
        </is>
      </c>
      <c r="C365" s="16" t="inlineStr">
        <is>
          <t>Delivered</t>
        </is>
      </c>
      <c r="D365" s="16" t="inlineStr">
        <is>
          <t>128-08877231811190814</t>
        </is>
      </c>
      <c r="E365" s="16" t="inlineStr">
        <is>
          <t>Delivered</t>
        </is>
      </c>
      <c r="F365" s="16" t="inlineStr">
        <is>
          <t>VB347T</t>
        </is>
      </c>
      <c r="G36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5" s="16" t="inlineStr">
        <is>
          <t>1 pieza</t>
        </is>
      </c>
      <c r="I365" s="16" t="n">
        <v>1</v>
      </c>
      <c r="J365" s="17" t="n">
        <v>79.89</v>
      </c>
      <c r="K365" s="17" t="n">
        <v>94.5</v>
      </c>
      <c r="L365" s="17" t="n">
        <v>25.86</v>
      </c>
      <c r="M365" s="17" t="n">
        <v>0</v>
      </c>
      <c r="N365" s="17">
        <f>K365*0.08+L365*0.08</f>
        <v/>
      </c>
      <c r="O365" s="17">
        <f>-(K365*0.025+L365*0.025)</f>
        <v/>
      </c>
      <c r="P365" s="17">
        <f>32</f>
        <v/>
      </c>
      <c r="Q365" s="17">
        <f>J365+L365+N365+O365-P365-M365</f>
        <v/>
      </c>
    </row>
    <row r="366">
      <c r="A366" s="16" t="inlineStr">
        <is>
          <t>5.1-5.7</t>
        </is>
      </c>
      <c r="B366" s="16" t="inlineStr">
        <is>
          <t>PO-128-08462576794232198</t>
        </is>
      </c>
      <c r="C366" s="16" t="inlineStr">
        <is>
          <t>Delivered</t>
        </is>
      </c>
      <c r="D366" s="16" t="inlineStr">
        <is>
          <t>128-08462593833592198</t>
        </is>
      </c>
      <c r="E366" s="16" t="inlineStr">
        <is>
          <t>Delivered</t>
        </is>
      </c>
      <c r="F366" s="16" t="inlineStr">
        <is>
          <t>LB02235-azul</t>
        </is>
      </c>
      <c r="G366" s="16" t="inlineStr">
        <is>
          <t>Audífonos Inalámbricos para la Cabeza, Recargables y Multifuncionales - Conectan a Varios Dispositivos, soportan Radio FM, Tarjeta TF y AUX - 4 Horas de Reproducción Musical - Ideal para Trabajo Cotidiano, Juegos y Estudio</t>
        </is>
      </c>
      <c r="H366" s="16" t="inlineStr">
        <is>
          <t>AZUL</t>
        </is>
      </c>
      <c r="I366" s="16" t="n">
        <v>1</v>
      </c>
      <c r="J366" s="17" t="n">
        <v>37.71</v>
      </c>
      <c r="K366" s="17" t="n">
        <v>50.83</v>
      </c>
      <c r="L366" s="17" t="n">
        <v>25.86</v>
      </c>
      <c r="M366" s="17" t="n">
        <v>0</v>
      </c>
      <c r="N366" s="17">
        <f>K366*0.08+L366*0.08</f>
        <v/>
      </c>
      <c r="O366" s="17">
        <f>-(K366*0.025+L366*0.025)</f>
        <v/>
      </c>
      <c r="P366" s="17">
        <f>32</f>
        <v/>
      </c>
      <c r="Q366" s="17">
        <f>J366+L366+N366+O366-P366-M366</f>
        <v/>
      </c>
    </row>
    <row r="367">
      <c r="A367" s="16" t="inlineStr">
        <is>
          <t>5.1-5.7</t>
        </is>
      </c>
      <c r="B367" s="16" t="inlineStr">
        <is>
          <t>PO-128-08339653151354018</t>
        </is>
      </c>
      <c r="C367" s="16" t="inlineStr">
        <is>
          <t>Delivered</t>
        </is>
      </c>
      <c r="D367" s="16" t="inlineStr">
        <is>
          <t>128-08339632179834018</t>
        </is>
      </c>
      <c r="E367" s="16" t="inlineStr">
        <is>
          <t>Delivered</t>
        </is>
      </c>
      <c r="F367" s="16" t="inlineStr">
        <is>
          <t>MCM-001G</t>
        </is>
      </c>
      <c r="G367" s="16" t="inlineStr">
        <is>
          <t>Musicord Altavoz Inalámbrico BT Portátil: ¡Sonido impactante, luces LED multicolores y 4 horas de autonomía! Compatible con TWS, FM, TF y USB – Imprescindible para fiestas y viajes</t>
        </is>
      </c>
      <c r="H367" s="16" t="inlineStr">
        <is>
          <t>GRIS</t>
        </is>
      </c>
      <c r="I367" s="16" t="n">
        <v>1</v>
      </c>
      <c r="J367" s="17" t="n">
        <v>51.07</v>
      </c>
      <c r="K367" s="17" t="n">
        <v>62.36</v>
      </c>
      <c r="L367" s="17" t="n">
        <v>25.86</v>
      </c>
      <c r="M367" s="17" t="n">
        <v>0</v>
      </c>
      <c r="N367" s="17">
        <f>K367*0.08+L367*0.08</f>
        <v/>
      </c>
      <c r="O367" s="17">
        <f>-(K367*0.025+L367*0.025)</f>
        <v/>
      </c>
      <c r="P367" s="17">
        <f>32</f>
        <v/>
      </c>
      <c r="Q367" s="17">
        <f>J367+L367+N367+O367-P367-M367</f>
        <v/>
      </c>
    </row>
    <row r="368">
      <c r="A368" s="16" t="inlineStr">
        <is>
          <t>5.1-5.7</t>
        </is>
      </c>
      <c r="B368" s="16" t="inlineStr">
        <is>
          <t>PO-128-08907559998070763</t>
        </is>
      </c>
      <c r="C368" s="16" t="inlineStr">
        <is>
          <t>Delivered</t>
        </is>
      </c>
      <c r="D368" s="16" t="inlineStr">
        <is>
          <t>128-08907549512310763</t>
        </is>
      </c>
      <c r="E368" s="16" t="inlineStr">
        <is>
          <t>Delivered</t>
        </is>
      </c>
      <c r="F368" s="16" t="inlineStr">
        <is>
          <t>BS-22</t>
        </is>
      </c>
      <c r="G368" s="16" t="inlineStr">
        <is>
          <t>link bits Barra de Sonido para TV, 2x2" Altavoces + 2 Membranas de Graves, Sonido Claro ≥80dB, Bluetooth Inalámbrico, Conexiones AUX/USB, Diseño Compacto 76cm, Sonido Envolvente 3D para Cine en Casa, PC, Juegos y Fiestas</t>
        </is>
      </c>
      <c r="H368" s="16" t="inlineStr">
        <is>
          <t>BS-22</t>
        </is>
      </c>
      <c r="I368" s="16" t="n">
        <v>1</v>
      </c>
      <c r="J368" s="17" t="n">
        <v>260</v>
      </c>
      <c r="K368" s="17" t="n">
        <v>299.61</v>
      </c>
      <c r="L368" s="17" t="n">
        <v>0</v>
      </c>
      <c r="M368" s="17" t="n">
        <v>0</v>
      </c>
      <c r="N368" s="17">
        <f>K368*0.08+L368*0.08</f>
        <v/>
      </c>
      <c r="O368" s="17">
        <f>-(K368*0.025+L368*0.025)</f>
        <v/>
      </c>
      <c r="P368" s="17">
        <f>32</f>
        <v/>
      </c>
      <c r="Q368" s="17">
        <f>J368+L368+N368+O368-P368-M368</f>
        <v/>
      </c>
    </row>
    <row r="369">
      <c r="A369" s="16" t="inlineStr">
        <is>
          <t>5.1-5.7</t>
        </is>
      </c>
      <c r="B369" s="16" t="inlineStr">
        <is>
          <t>PO-128-08923316183670605</t>
        </is>
      </c>
      <c r="C369" s="16" t="inlineStr">
        <is>
          <t>Delivered</t>
        </is>
      </c>
      <c r="D369" s="16" t="inlineStr">
        <is>
          <t>128-08923452498550605</t>
        </is>
      </c>
      <c r="E369" s="16" t="inlineStr">
        <is>
          <t>Delivered</t>
        </is>
      </c>
      <c r="F369" s="16" t="inlineStr">
        <is>
          <t>MCM-001G</t>
        </is>
      </c>
      <c r="G369" s="16" t="inlineStr">
        <is>
          <t>Musicord Altavoz Inalámbrico BT Portátil: ¡Sonido impactante, luces LED multicolores y 4 horas de autonomía! Compatible con TWS, FM, TF y USB – Imprescindible para fiestas y viajes</t>
        </is>
      </c>
      <c r="H369" s="16" t="inlineStr">
        <is>
          <t>GRIS</t>
        </is>
      </c>
      <c r="I369" s="16" t="n">
        <v>1</v>
      </c>
      <c r="J369" s="17" t="n">
        <v>51.07</v>
      </c>
      <c r="K369" s="17" t="n">
        <v>62.36</v>
      </c>
      <c r="L369" s="17" t="n">
        <v>25.86</v>
      </c>
      <c r="M369" s="17" t="n">
        <v>0</v>
      </c>
      <c r="N369" s="17">
        <f>K369*0.08+L369*0.08</f>
        <v/>
      </c>
      <c r="O369" s="17">
        <f>-(K369*0.025+L369*0.025)</f>
        <v/>
      </c>
      <c r="P369" s="17">
        <f>32</f>
        <v/>
      </c>
      <c r="Q369" s="17">
        <f>J369+L369+N369+O369-P369-M369</f>
        <v/>
      </c>
    </row>
    <row r="370">
      <c r="A370" s="16" t="inlineStr">
        <is>
          <t>5.1-5.7</t>
        </is>
      </c>
      <c r="B370" s="16" t="inlineStr">
        <is>
          <t>PO-128-08417688607353683</t>
        </is>
      </c>
      <c r="C370" s="16" t="inlineStr">
        <is>
          <t>Delivered</t>
        </is>
      </c>
      <c r="D370" s="16" t="inlineStr">
        <is>
          <t>128-08417657150073683</t>
        </is>
      </c>
      <c r="E370" s="16" t="inlineStr">
        <is>
          <t>Delivered</t>
        </is>
      </c>
      <c r="F370" s="16" t="inlineStr">
        <is>
          <t>LB02235-azul</t>
        </is>
      </c>
      <c r="G370" s="16" t="inlineStr">
        <is>
          <t>Audífonos Inalámbricos para la Cabeza, Recargables y Multifuncionales - Conectan a Varios Dispositivos, soportan Radio FM, Tarjeta TF y AUX - 4 Horas de Reproducción Musical - Ideal para Trabajo Cotidiano, Juegos y Estudio</t>
        </is>
      </c>
      <c r="H370" s="16" t="inlineStr">
        <is>
          <t>AZUL</t>
        </is>
      </c>
      <c r="I370" s="16" t="n">
        <v>2</v>
      </c>
      <c r="J370" s="17" t="n">
        <v>75.45999999999999</v>
      </c>
      <c r="K370" s="17" t="n">
        <v>81.34999999999999</v>
      </c>
      <c r="L370" s="17" t="n">
        <v>25.86</v>
      </c>
      <c r="M370" s="17" t="n">
        <v>0</v>
      </c>
      <c r="N370" s="17">
        <f>K370*0.08+L370*0.08</f>
        <v/>
      </c>
      <c r="O370" s="17">
        <f>-(K370*0.025+L370*0.025)</f>
        <v/>
      </c>
      <c r="P370" s="17">
        <f>32</f>
        <v/>
      </c>
      <c r="Q370" s="17">
        <f>J370+L370+N370+O370-P370-M370</f>
        <v/>
      </c>
    </row>
    <row r="371">
      <c r="A371" s="16" t="inlineStr">
        <is>
          <t>5.1-5.7</t>
        </is>
      </c>
      <c r="B371" s="16" t="inlineStr">
        <is>
          <t>PO-128-08418296699512462</t>
        </is>
      </c>
      <c r="C371" s="16" t="inlineStr">
        <is>
          <t>Delivered</t>
        </is>
      </c>
      <c r="D371" s="16" t="inlineStr">
        <is>
          <t>128-08418286213752462</t>
        </is>
      </c>
      <c r="E371" s="16" t="inlineStr">
        <is>
          <t>Delivered</t>
        </is>
      </c>
      <c r="F371" s="16" t="inlineStr">
        <is>
          <t>MCM-001G</t>
        </is>
      </c>
      <c r="G371" s="16" t="inlineStr">
        <is>
          <t>Musicord Altavoz Inalámbrico BT Portátil: ¡Sonido impactante, luces LED multicolores y 4 horas de autonomía! Compatible con TWS, FM, TF y USB – Imprescindible para fiestas y viajes</t>
        </is>
      </c>
      <c r="H371" s="16" t="inlineStr">
        <is>
          <t>GRIS</t>
        </is>
      </c>
      <c r="I371" s="16" t="n">
        <v>1</v>
      </c>
      <c r="J371" s="17" t="n">
        <v>51.07</v>
      </c>
      <c r="K371" s="17" t="n">
        <v>62.36</v>
      </c>
      <c r="L371" s="17" t="n">
        <v>25.86</v>
      </c>
      <c r="M371" s="17" t="n">
        <v>0</v>
      </c>
      <c r="N371" s="17">
        <f>K371*0.08+L371*0.08</f>
        <v/>
      </c>
      <c r="O371" s="17">
        <f>-(K371*0.025+L371*0.025)</f>
        <v/>
      </c>
      <c r="P371" s="17">
        <f>32</f>
        <v/>
      </c>
      <c r="Q371" s="17">
        <f>J371+L371+N371+O371-P371-M371</f>
        <v/>
      </c>
    </row>
    <row r="372">
      <c r="A372" s="16" t="inlineStr">
        <is>
          <t>5.1-5.7</t>
        </is>
      </c>
      <c r="B372" s="16" t="inlineStr">
        <is>
          <t>PO-128-08364631951993935</t>
        </is>
      </c>
      <c r="C372" s="16" t="inlineStr">
        <is>
          <t>Delivered</t>
        </is>
      </c>
      <c r="D372" s="16" t="inlineStr">
        <is>
          <t>128-08364684380793935</t>
        </is>
      </c>
      <c r="E372" s="16" t="inlineStr">
        <is>
          <t>Delivered</t>
        </is>
      </c>
      <c r="F372" s="16" t="inlineStr">
        <is>
          <t>LB02235-negro</t>
        </is>
      </c>
      <c r="G372" s="16" t="inlineStr">
        <is>
          <t>Audífonos Inalámbricos para la Cabeza, Recargables y Multifuncionales - Conectan a Varios Dispositivos, soportan Radio FM, Tarjeta TF y AUX - 4 Horas de Reproducción Musical - Ideal para Trabajo Cotidiano, Juegos y Estudio</t>
        </is>
      </c>
      <c r="H372" s="16" t="inlineStr">
        <is>
          <t>NEGRO</t>
        </is>
      </c>
      <c r="I372" s="16" t="n">
        <v>1</v>
      </c>
      <c r="J372" s="17" t="n">
        <v>45.31</v>
      </c>
      <c r="K372" s="17" t="n">
        <v>58.42</v>
      </c>
      <c r="L372" s="17" t="n">
        <v>25.86</v>
      </c>
      <c r="M372" s="17" t="n">
        <v>0</v>
      </c>
      <c r="N372" s="17">
        <f>K372*0.08+L372*0.08</f>
        <v/>
      </c>
      <c r="O372" s="17">
        <f>-(K372*0.025+L372*0.025)</f>
        <v/>
      </c>
      <c r="P372" s="17">
        <f>32</f>
        <v/>
      </c>
      <c r="Q372" s="17">
        <f>J372+L372+N372+O372-P372-M372</f>
        <v/>
      </c>
    </row>
    <row r="373">
      <c r="A373" s="16" t="inlineStr">
        <is>
          <t>5.1-5.7</t>
        </is>
      </c>
      <c r="B373" s="16" t="inlineStr">
        <is>
          <t>PO-128-08837604946550090</t>
        </is>
      </c>
      <c r="C373" s="16" t="inlineStr">
        <is>
          <t>Delivered</t>
        </is>
      </c>
      <c r="D373" s="16" t="inlineStr">
        <is>
          <t>128-08837583975030090</t>
        </is>
      </c>
      <c r="E373" s="16" t="inlineStr">
        <is>
          <t>Delivered</t>
        </is>
      </c>
      <c r="F373" s="16" t="inlineStr">
        <is>
          <t>MCM-001G</t>
        </is>
      </c>
      <c r="G373" s="16" t="inlineStr">
        <is>
          <t>Musicord Altavoz Inalámbrico BT Portátil: ¡Sonido impactante, luces LED multicolores y 4 horas de autonomía! Compatible con TWS, FM, TF y USB – Imprescindible para fiestas y viajes</t>
        </is>
      </c>
      <c r="H373" s="16" t="inlineStr">
        <is>
          <t>GRIS</t>
        </is>
      </c>
      <c r="I373" s="16" t="n">
        <v>1</v>
      </c>
      <c r="J373" s="17" t="n">
        <v>51.07</v>
      </c>
      <c r="K373" s="17" t="n">
        <v>62.36</v>
      </c>
      <c r="L373" s="17" t="n">
        <v>25.86</v>
      </c>
      <c r="M373" s="17" t="n">
        <v>0</v>
      </c>
      <c r="N373" s="17">
        <f>K373*0.08+L373*0.08</f>
        <v/>
      </c>
      <c r="O373" s="17">
        <f>-(K373*0.025+L373*0.025)</f>
        <v/>
      </c>
      <c r="P373" s="17">
        <f>32</f>
        <v/>
      </c>
      <c r="Q373" s="17">
        <f>J373+L373+N373+O373-P373-M373</f>
        <v/>
      </c>
    </row>
    <row r="374">
      <c r="A374" s="16" t="inlineStr">
        <is>
          <t>5.1-5.7</t>
        </is>
      </c>
      <c r="B374" s="16" t="inlineStr">
        <is>
          <t>PO-128-08686931077752012</t>
        </is>
      </c>
      <c r="C374" s="16" t="inlineStr">
        <is>
          <t>Delivered</t>
        </is>
      </c>
      <c r="D374" s="16" t="inlineStr">
        <is>
          <t>128-08686952049272012</t>
        </is>
      </c>
      <c r="E374" s="16" t="inlineStr">
        <is>
          <t>Delivered</t>
        </is>
      </c>
      <c r="F374" s="16" t="inlineStr">
        <is>
          <t>VB347T</t>
        </is>
      </c>
      <c r="G37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4" s="16" t="inlineStr">
        <is>
          <t>1 pieza</t>
        </is>
      </c>
      <c r="I374" s="16" t="n">
        <v>1</v>
      </c>
      <c r="J374" s="17" t="n">
        <v>79.89</v>
      </c>
      <c r="K374" s="17" t="n">
        <v>94.5</v>
      </c>
      <c r="L374" s="17" t="n">
        <v>25.86</v>
      </c>
      <c r="M374" s="17" t="n">
        <v>0</v>
      </c>
      <c r="N374" s="17">
        <f>K374*0.08+L374*0.08</f>
        <v/>
      </c>
      <c r="O374" s="17">
        <f>-(K374*0.025+L374*0.025)</f>
        <v/>
      </c>
      <c r="P374" s="17">
        <f>32</f>
        <v/>
      </c>
      <c r="Q374" s="17">
        <f>J374+L374+N374+O374-P374-M374</f>
        <v/>
      </c>
    </row>
    <row r="375">
      <c r="A375" s="16" t="inlineStr">
        <is>
          <t>5.1-5.7</t>
        </is>
      </c>
      <c r="B375" s="16" t="inlineStr">
        <is>
          <t>PO-128-08438932286072533</t>
        </is>
      </c>
      <c r="C375" s="16" t="inlineStr">
        <is>
          <t>Delivered</t>
        </is>
      </c>
      <c r="D375" s="16" t="inlineStr">
        <is>
          <t>128-08438911314552533</t>
        </is>
      </c>
      <c r="E375" s="16" t="inlineStr">
        <is>
          <t>Delivered</t>
        </is>
      </c>
      <c r="F375" s="16" t="inlineStr">
        <is>
          <t>SA323T</t>
        </is>
      </c>
      <c r="G375" s="16" t="inlineStr">
        <is>
          <t>Linkbits Bocina Portátil Parlantes BT Portátiles con Iluminación de Ambiente | 1 Hora de Duración, FM, TWS, TF/Micro SD | Ideal para Hogar, Fiestas y Viajes</t>
        </is>
      </c>
      <c r="H375" s="16" t="inlineStr">
        <is>
          <t>SA323T</t>
        </is>
      </c>
      <c r="I375" s="16" t="n">
        <v>1</v>
      </c>
      <c r="J375" s="17" t="n">
        <v>46.8</v>
      </c>
      <c r="K375" s="17" t="n">
        <v>26.22</v>
      </c>
      <c r="L375" s="17" t="n">
        <v>25.86</v>
      </c>
      <c r="M375" s="17" t="n">
        <v>0</v>
      </c>
      <c r="N375" s="17">
        <f>K375*0.08+L375*0.08</f>
        <v/>
      </c>
      <c r="O375" s="17">
        <f>-(K375*0.025+L375*0.025)</f>
        <v/>
      </c>
      <c r="P375" s="17">
        <f>32</f>
        <v/>
      </c>
      <c r="Q375" s="17">
        <f>J375+L375+N375+O375-P375-M375</f>
        <v/>
      </c>
    </row>
    <row r="376">
      <c r="A376" s="16" t="inlineStr">
        <is>
          <t>5.1-5.7</t>
        </is>
      </c>
      <c r="B376" s="16" t="inlineStr">
        <is>
          <t>PO-128-08253596559993509</t>
        </is>
      </c>
      <c r="C376" s="16" t="inlineStr">
        <is>
          <t>Delivered</t>
        </is>
      </c>
      <c r="D376" s="16" t="inlineStr">
        <is>
          <t>128-08253588695673509</t>
        </is>
      </c>
      <c r="E376" s="16" t="inlineStr">
        <is>
          <t>Delivered</t>
        </is>
      </c>
      <c r="F376" s="16" t="inlineStr">
        <is>
          <t>S58W60</t>
        </is>
      </c>
      <c r="G376"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376" s="16" t="inlineStr">
        <is>
          <t>1 pieza</t>
        </is>
      </c>
      <c r="I376" s="16" t="n">
        <v>3</v>
      </c>
      <c r="J376" s="17" t="n">
        <v>177</v>
      </c>
      <c r="K376" s="17" t="n">
        <v>199</v>
      </c>
      <c r="L376" s="17" t="n">
        <v>25.86</v>
      </c>
      <c r="M376" s="17" t="n">
        <v>0</v>
      </c>
      <c r="N376" s="17">
        <f>K376*0.08+L376*0.08</f>
        <v/>
      </c>
      <c r="O376" s="17">
        <f>-(K376*0.025+L376*0.025)</f>
        <v/>
      </c>
      <c r="P376" s="17">
        <f>32</f>
        <v/>
      </c>
      <c r="Q376" s="17">
        <f>J376+L376+N376+O376-P376-M376</f>
        <v/>
      </c>
    </row>
    <row r="377">
      <c r="A377" s="16" t="inlineStr">
        <is>
          <t>5.1-5.7</t>
        </is>
      </c>
      <c r="B377" s="16" t="inlineStr">
        <is>
          <t>PO-128-08537735127672902</t>
        </is>
      </c>
      <c r="C377" s="16" t="inlineStr">
        <is>
          <t>Delivered</t>
        </is>
      </c>
      <c r="D377" s="16" t="inlineStr">
        <is>
          <t>128-08537693184632902</t>
        </is>
      </c>
      <c r="E377" s="16" t="inlineStr">
        <is>
          <t>Delivered</t>
        </is>
      </c>
      <c r="F377" s="16" t="inlineStr">
        <is>
          <t>LB02235-blanco</t>
        </is>
      </c>
      <c r="G377" s="16" t="inlineStr">
        <is>
          <t>Audífonos Inalámbricos para la Cabeza, Recargables y Multifuncionales - Conectan a Varios Dispositivos, soportan Radio FM, Tarjeta TF y AUX - 4 Horas de Reproducción Musical - Ideal para Trabajo Cotidiano, Juegos y Estudio</t>
        </is>
      </c>
      <c r="H377" s="16" t="inlineStr">
        <is>
          <t>BLANCO</t>
        </is>
      </c>
      <c r="I377" s="16" t="n">
        <v>1</v>
      </c>
      <c r="J377" s="17" t="n">
        <v>45.31</v>
      </c>
      <c r="K377" s="17" t="n">
        <v>58.42</v>
      </c>
      <c r="L377" s="17" t="n">
        <v>25.86</v>
      </c>
      <c r="M377" s="17" t="n">
        <v>0</v>
      </c>
      <c r="N377" s="17">
        <f>K377*0.08+L377*0.08</f>
        <v/>
      </c>
      <c r="O377" s="17">
        <f>-(K377*0.025+L377*0.025)</f>
        <v/>
      </c>
      <c r="P377" s="17">
        <f>32</f>
        <v/>
      </c>
      <c r="Q377" s="17">
        <f>J377+L377+N377+O377-P377-M377</f>
        <v/>
      </c>
    </row>
    <row r="378">
      <c r="A378" s="16" t="inlineStr">
        <is>
          <t>5.1-5.7</t>
        </is>
      </c>
      <c r="B378" s="16" t="inlineStr">
        <is>
          <t>PO-128-08258638951033543</t>
        </is>
      </c>
      <c r="C378" s="16" t="inlineStr">
        <is>
          <t>Delivered</t>
        </is>
      </c>
      <c r="D378" s="16" t="inlineStr">
        <is>
          <t>128-08258607493753543</t>
        </is>
      </c>
      <c r="E378" s="16" t="inlineStr">
        <is>
          <t>Delivered</t>
        </is>
      </c>
      <c r="F378" s="16" t="inlineStr">
        <is>
          <t>MCM-001R</t>
        </is>
      </c>
      <c r="G378" s="16" t="inlineStr">
        <is>
          <t>Musicord Altavoz Inalámbrico BT Portátil: ¡Sonido impactante, luces LED multicolores y 4 horas de autonomía! Compatible con TWS, FM, TF y USB – Imprescindible para fiestas y viajes</t>
        </is>
      </c>
      <c r="H378" s="16" t="inlineStr">
        <is>
          <t>ROJO</t>
        </is>
      </c>
      <c r="I378" s="16" t="n">
        <v>1</v>
      </c>
      <c r="J378" s="17" t="n">
        <v>66.5</v>
      </c>
      <c r="K378" s="17" t="n">
        <v>66.13</v>
      </c>
      <c r="L378" s="17" t="n">
        <v>25.86</v>
      </c>
      <c r="M378" s="17" t="n">
        <v>0</v>
      </c>
      <c r="N378" s="17">
        <f>K378*0.08+L378*0.08</f>
        <v/>
      </c>
      <c r="O378" s="17">
        <f>-(K378*0.025+L378*0.025)</f>
        <v/>
      </c>
      <c r="P378" s="17">
        <f>32</f>
        <v/>
      </c>
      <c r="Q378" s="17">
        <f>J378+L378+N378+O378-P378-M378</f>
        <v/>
      </c>
    </row>
    <row r="379">
      <c r="A379" s="16" t="inlineStr">
        <is>
          <t>5.1-5.7</t>
        </is>
      </c>
      <c r="B379" s="16" t="inlineStr">
        <is>
          <t>PO-128-08334274304633986</t>
        </is>
      </c>
      <c r="C379" s="16" t="inlineStr">
        <is>
          <t>Delivered</t>
        </is>
      </c>
      <c r="D379" s="16" t="inlineStr">
        <is>
          <t>128-08334295276153986</t>
        </is>
      </c>
      <c r="E379" s="16" t="inlineStr">
        <is>
          <t>Delivered</t>
        </is>
      </c>
      <c r="F379" s="16" t="inlineStr">
        <is>
          <t>LV52W22</t>
        </is>
      </c>
      <c r="G379" s="16" t="inlineStr">
        <is>
          <t>Ventilador de Techo LED TIANLAI con 5 Aspas, Control Remoto, 3 Colores Luz, 3 Velocidades, Temporizador, Fácil Instalación, E27 para Baño Cocina Dormitorio Salón</t>
        </is>
      </c>
      <c r="H379" s="16" t="inlineStr">
        <is>
          <t>LV22W35B</t>
        </is>
      </c>
      <c r="I379" s="16" t="n">
        <v>1</v>
      </c>
      <c r="J379" s="17" t="n">
        <v>105</v>
      </c>
      <c r="K379" s="17" t="n">
        <v>103.19</v>
      </c>
      <c r="L379" s="17" t="n">
        <v>25.86</v>
      </c>
      <c r="M379" s="17" t="n">
        <v>0</v>
      </c>
      <c r="N379" s="17">
        <f>K379*0.08+L379*0.08</f>
        <v/>
      </c>
      <c r="O379" s="17">
        <f>-(K379*0.025+L379*0.025)</f>
        <v/>
      </c>
      <c r="P379" s="17">
        <f>32</f>
        <v/>
      </c>
      <c r="Q379" s="17">
        <f>J379+L379+N379+O379-P379-M379</f>
        <v/>
      </c>
    </row>
    <row r="380">
      <c r="A380" s="16" t="inlineStr">
        <is>
          <t>5.1-5.7</t>
        </is>
      </c>
      <c r="B380" s="16" t="inlineStr">
        <is>
          <t>PO-128-08599980493431445</t>
        </is>
      </c>
      <c r="C380" s="16" t="inlineStr">
        <is>
          <t>Delivered</t>
        </is>
      </c>
      <c r="D380" s="16" t="inlineStr">
        <is>
          <t>128-08599938550391445</t>
        </is>
      </c>
      <c r="E380" s="16" t="inlineStr">
        <is>
          <t>Delivered</t>
        </is>
      </c>
      <c r="F380" s="16" t="inlineStr">
        <is>
          <t>AIR50W06-2P</t>
        </is>
      </c>
      <c r="G380" s="16" t="inlineStr">
        <is>
          <t>Link Bits Ventilador de piso de 16 pulgadas, 2 unidades, 3 velocidades, motor silencioso, flujo de aire fuerte, altura ajustable, oscilación amplia, ventilador eléctrico para el hogar, ideal para sala, recámara y oficina</t>
        </is>
      </c>
      <c r="H380" s="16" t="inlineStr">
        <is>
          <t>2PZ</t>
        </is>
      </c>
      <c r="I380" s="16" t="n">
        <v>1</v>
      </c>
      <c r="J380" s="17" t="n">
        <v>445</v>
      </c>
      <c r="K380" s="17" t="n">
        <v>462.51</v>
      </c>
      <c r="L380" s="17" t="n">
        <v>0</v>
      </c>
      <c r="M380" s="17" t="n">
        <v>0</v>
      </c>
      <c r="N380" s="17">
        <f>K380*0.08+L380*0.08</f>
        <v/>
      </c>
      <c r="O380" s="17">
        <f>-(K380*0.025+L380*0.025)</f>
        <v/>
      </c>
      <c r="P380" s="17">
        <f>32</f>
        <v/>
      </c>
      <c r="Q380" s="17">
        <f>J380+L380+N380+O380-P380-M380</f>
        <v/>
      </c>
    </row>
    <row r="381">
      <c r="A381" s="16" t="inlineStr">
        <is>
          <t>5.1-5.7</t>
        </is>
      </c>
      <c r="B381" s="16" t="inlineStr">
        <is>
          <t>PO-128-08414953011833699</t>
        </is>
      </c>
      <c r="C381" s="16" t="inlineStr">
        <is>
          <t>Delivered</t>
        </is>
      </c>
      <c r="D381" s="16" t="inlineStr">
        <is>
          <t>128-08415008062073699</t>
        </is>
      </c>
      <c r="E381" s="16" t="inlineStr">
        <is>
          <t>Delivered</t>
        </is>
      </c>
      <c r="F381" s="16" t="inlineStr">
        <is>
          <t>KTS-1943-N</t>
        </is>
      </c>
      <c r="G381"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381" s="16" t="inlineStr">
        <is>
          <t>NEGRO</t>
        </is>
      </c>
      <c r="I381" s="16" t="n">
        <v>1</v>
      </c>
      <c r="J381" s="17" t="n">
        <v>67.5</v>
      </c>
      <c r="K381" s="17" t="n">
        <v>83.12</v>
      </c>
      <c r="L381" s="17" t="n">
        <v>25.86</v>
      </c>
      <c r="M381" s="17" t="n">
        <v>0</v>
      </c>
      <c r="N381" s="17">
        <f>K381*0.08+L381*0.08</f>
        <v/>
      </c>
      <c r="O381" s="17">
        <f>-(K381*0.025+L381*0.025)</f>
        <v/>
      </c>
      <c r="P381" s="17">
        <f>32</f>
        <v/>
      </c>
      <c r="Q381" s="17">
        <f>J381+L381+N381+O381-P381-M381</f>
        <v/>
      </c>
    </row>
    <row r="382">
      <c r="A382" s="16" t="inlineStr">
        <is>
          <t>5.1-5.7</t>
        </is>
      </c>
      <c r="B382" s="16" t="inlineStr">
        <is>
          <t>PO-128-08604358922871483</t>
        </is>
      </c>
      <c r="C382" s="16" t="inlineStr">
        <is>
          <t>Delivered</t>
        </is>
      </c>
      <c r="D382" s="16" t="inlineStr">
        <is>
          <t>128-08604348437111483</t>
        </is>
      </c>
      <c r="E382" s="16" t="inlineStr">
        <is>
          <t>Delivered</t>
        </is>
      </c>
      <c r="F382" s="16" t="inlineStr">
        <is>
          <t>MCM-001G</t>
        </is>
      </c>
      <c r="G382" s="16" t="inlineStr">
        <is>
          <t>Musicord Altavoz Inalámbrico BT Portátil: ¡Sonido impactante, luces LED multicolores y 4 horas de autonomía! Compatible con TWS, FM, TF y USB – Imprescindible para fiestas y viajes</t>
        </is>
      </c>
      <c r="H382" s="16" t="inlineStr">
        <is>
          <t>GRIS</t>
        </is>
      </c>
      <c r="I382" s="16" t="n">
        <v>1</v>
      </c>
      <c r="J382" s="17" t="n">
        <v>51.07</v>
      </c>
      <c r="K382" s="17" t="n">
        <v>62.36</v>
      </c>
      <c r="L382" s="17" t="n">
        <v>25.86</v>
      </c>
      <c r="M382" s="17" t="n">
        <v>0</v>
      </c>
      <c r="N382" s="17">
        <f>K382*0.08+L382*0.08</f>
        <v/>
      </c>
      <c r="O382" s="17">
        <f>-(K382*0.025+L382*0.025)</f>
        <v/>
      </c>
      <c r="P382" s="17">
        <f>32</f>
        <v/>
      </c>
      <c r="Q382" s="17">
        <f>J382+L382+N382+O382-P382-M382</f>
        <v/>
      </c>
    </row>
    <row r="383">
      <c r="A383" s="16" t="inlineStr">
        <is>
          <t>5.1-5.7</t>
        </is>
      </c>
      <c r="B383" s="16" t="inlineStr">
        <is>
          <t>PO-128-08299877141113233</t>
        </is>
      </c>
      <c r="C383" s="16" t="inlineStr">
        <is>
          <t>Delivered</t>
        </is>
      </c>
      <c r="D383" s="16" t="inlineStr">
        <is>
          <t>128-08299929569913233</t>
        </is>
      </c>
      <c r="E383" s="16" t="inlineStr">
        <is>
          <t>Delivered</t>
        </is>
      </c>
      <c r="F383" s="16" t="inlineStr">
        <is>
          <t>VB347T</t>
        </is>
      </c>
      <c r="G38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3" s="16" t="inlineStr">
        <is>
          <t>1 pieza</t>
        </is>
      </c>
      <c r="I383" s="16" t="n">
        <v>3</v>
      </c>
      <c r="J383" s="17" t="n">
        <v>239.67</v>
      </c>
      <c r="K383" s="17" t="n">
        <v>267.16</v>
      </c>
      <c r="L383" s="17" t="n">
        <v>0</v>
      </c>
      <c r="M383" s="17" t="n">
        <v>0</v>
      </c>
      <c r="N383" s="17">
        <f>K383*0.08+L383*0.08</f>
        <v/>
      </c>
      <c r="O383" s="17">
        <f>-(K383*0.025+L383*0.025)</f>
        <v/>
      </c>
      <c r="P383" s="17">
        <f>32</f>
        <v/>
      </c>
      <c r="Q383" s="17">
        <f>J383+L383+N383+O383-P383-M383</f>
        <v/>
      </c>
    </row>
    <row r="384">
      <c r="A384" s="16" t="inlineStr">
        <is>
          <t>5.1-5.7</t>
        </is>
      </c>
      <c r="B384" s="16" t="inlineStr">
        <is>
          <t>PO-128-08436647752312544</t>
        </is>
      </c>
      <c r="C384" s="16" t="inlineStr">
        <is>
          <t>Delivered</t>
        </is>
      </c>
      <c r="D384" s="16" t="inlineStr">
        <is>
          <t>128-08436689695352544</t>
        </is>
      </c>
      <c r="E384" s="16" t="inlineStr">
        <is>
          <t>Delivered</t>
        </is>
      </c>
      <c r="F384" s="16" t="inlineStr">
        <is>
          <t>LV52W22</t>
        </is>
      </c>
      <c r="G384" s="16" t="inlineStr">
        <is>
          <t>Ventilador de Techo LED TIANLAI con 5 Aspas, Control Remoto, 3 Colores Luz, 3 Velocidades, Temporizador, Fácil Instalación, E27 para Baño Cocina Dormitorio Salón</t>
        </is>
      </c>
      <c r="H384" s="16" t="inlineStr">
        <is>
          <t>LV22W35B</t>
        </is>
      </c>
      <c r="I384" s="16" t="n">
        <v>1</v>
      </c>
      <c r="J384" s="17" t="n">
        <v>105</v>
      </c>
      <c r="K384" s="17" t="n">
        <v>72.75</v>
      </c>
      <c r="L384" s="17" t="n">
        <v>25.86</v>
      </c>
      <c r="M384" s="17" t="n">
        <v>0</v>
      </c>
      <c r="N384" s="17">
        <f>K384*0.08+L384*0.08</f>
        <v/>
      </c>
      <c r="O384" s="17">
        <f>-(K384*0.025+L384*0.025)</f>
        <v/>
      </c>
      <c r="P384" s="17">
        <f>32</f>
        <v/>
      </c>
      <c r="Q384" s="17">
        <f>J384+L384+N384+O384-P384-M384</f>
        <v/>
      </c>
    </row>
    <row r="385">
      <c r="A385" s="16" t="inlineStr">
        <is>
          <t>5.1-5.7</t>
        </is>
      </c>
      <c r="B385" s="16" t="inlineStr">
        <is>
          <t>PO-128-08261944504953523</t>
        </is>
      </c>
      <c r="C385" s="16" t="inlineStr">
        <is>
          <t>Delivered</t>
        </is>
      </c>
      <c r="D385" s="16" t="inlineStr">
        <is>
          <t>128-08262020526713523</t>
        </is>
      </c>
      <c r="E385" s="16" t="inlineStr">
        <is>
          <t>Delivered</t>
        </is>
      </c>
      <c r="F385" s="16" t="inlineStr">
        <is>
          <t>MCM-001A</t>
        </is>
      </c>
      <c r="G385" s="16" t="inlineStr">
        <is>
          <t>Musicord Altavoz Inalámbrico BT Portátil: ¡Sonido impactante, luces LED multicolores y 4 horas de autonomía! Compatible con TWS, FM, TF y USB – Imprescindible para fiestas y viajes</t>
        </is>
      </c>
      <c r="H385" s="16" t="inlineStr">
        <is>
          <t>AZUL</t>
        </is>
      </c>
      <c r="I385" s="16" t="n">
        <v>1</v>
      </c>
      <c r="J385" s="17" t="n">
        <v>51.07</v>
      </c>
      <c r="K385" s="17" t="n">
        <v>59.47</v>
      </c>
      <c r="L385" s="17" t="n">
        <v>25.86</v>
      </c>
      <c r="M385" s="17" t="n">
        <v>0</v>
      </c>
      <c r="N385" s="17">
        <f>K385*0.08+L385*0.08</f>
        <v/>
      </c>
      <c r="O385" s="17">
        <f>-(K385*0.025+L385*0.025)</f>
        <v/>
      </c>
      <c r="P385" s="17">
        <f>32</f>
        <v/>
      </c>
      <c r="Q385" s="17">
        <f>J385+L385+N385+O385-P385-M385</f>
        <v/>
      </c>
    </row>
    <row r="386">
      <c r="A386" s="16" t="inlineStr">
        <is>
          <t>5.1-5.7</t>
        </is>
      </c>
      <c r="B386" s="16" t="inlineStr">
        <is>
          <t>PO-128-08902067999350730</t>
        </is>
      </c>
      <c r="C386" s="16" t="inlineStr">
        <is>
          <t>Delivered</t>
        </is>
      </c>
      <c r="D386" s="16" t="inlineStr">
        <is>
          <t>128-08902047027830730</t>
        </is>
      </c>
      <c r="E386" s="16" t="inlineStr">
        <is>
          <t>Delivered</t>
        </is>
      </c>
      <c r="F386" s="16" t="inlineStr">
        <is>
          <t>SA8056T</t>
        </is>
      </c>
      <c r="G38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86" s="16" t="inlineStr">
        <is>
          <t>SA8056T</t>
        </is>
      </c>
      <c r="I386" s="16" t="n">
        <v>2</v>
      </c>
      <c r="J386" s="17" t="n">
        <v>300.9</v>
      </c>
      <c r="K386" s="17" t="n">
        <v>293.02</v>
      </c>
      <c r="L386" s="17" t="n">
        <v>0</v>
      </c>
      <c r="M386" s="17" t="n">
        <v>0</v>
      </c>
      <c r="N386" s="17">
        <f>K386*0.08+L386*0.08</f>
        <v/>
      </c>
      <c r="O386" s="17">
        <f>-(K386*0.025+L386*0.025)</f>
        <v/>
      </c>
      <c r="P386" s="17">
        <f>32</f>
        <v/>
      </c>
      <c r="Q386" s="17">
        <f>J386+L386+N386+O386-P386-M386</f>
        <v/>
      </c>
    </row>
    <row r="387">
      <c r="A387" s="16" t="inlineStr">
        <is>
          <t>5.1-5.7</t>
        </is>
      </c>
      <c r="B387" s="16" t="inlineStr">
        <is>
          <t>PO-128-08699802266231808</t>
        </is>
      </c>
      <c r="C387" s="16" t="inlineStr">
        <is>
          <t>Delivered</t>
        </is>
      </c>
      <c r="D387" s="16" t="inlineStr">
        <is>
          <t>128-08699812751991808</t>
        </is>
      </c>
      <c r="E387" s="16" t="inlineStr">
        <is>
          <t>Delivered</t>
        </is>
      </c>
      <c r="F387" s="16" t="inlineStr">
        <is>
          <t>SA325T</t>
        </is>
      </c>
      <c r="G387" s="16" t="inlineStr">
        <is>
          <t>Subwoofer Portátil Inalámbrico con Luces RGB, Sonido de Alta Potencia y Batería Duradera, TWS TF USB, Perfecto para Campamento Fiestas y Entretenimiento en Casa</t>
        </is>
      </c>
      <c r="H387" s="16" t="inlineStr">
        <is>
          <t>NEGRO</t>
        </is>
      </c>
      <c r="I387" s="16" t="n">
        <v>2</v>
      </c>
      <c r="J387" s="17" t="n">
        <v>76</v>
      </c>
      <c r="K387" s="17" t="n">
        <v>75.3</v>
      </c>
      <c r="L387" s="17" t="n">
        <v>25.86</v>
      </c>
      <c r="M387" s="17" t="n">
        <v>0</v>
      </c>
      <c r="N387" s="17">
        <f>K387*0.08+L387*0.08</f>
        <v/>
      </c>
      <c r="O387" s="17">
        <f>-(K387*0.025+L387*0.025)</f>
        <v/>
      </c>
      <c r="P387" s="17">
        <f>32</f>
        <v/>
      </c>
      <c r="Q387" s="17">
        <f>J387+L387+N387+O387-P387-M387</f>
        <v/>
      </c>
    </row>
    <row r="388">
      <c r="A388" s="16" t="inlineStr">
        <is>
          <t>5.1-5.7</t>
        </is>
      </c>
      <c r="B388" s="16" t="inlineStr">
        <is>
          <t>PO-128-08839614188150078</t>
        </is>
      </c>
      <c r="C388" s="16" t="inlineStr">
        <is>
          <t>Delivered</t>
        </is>
      </c>
      <c r="D388" s="16" t="inlineStr">
        <is>
          <t>128-08839677102710078</t>
        </is>
      </c>
      <c r="E388" s="16" t="inlineStr">
        <is>
          <t>Delivered</t>
        </is>
      </c>
      <c r="F388" s="16" t="inlineStr">
        <is>
          <t>MB-185A</t>
        </is>
      </c>
      <c r="G388" s="16" t="inlineStr">
        <is>
          <t>Bocina Radio FM/Reproductor, Compatible con Tarjeta TF, USB, Bluetooth, Aplicable para celular, computadora, Ipad y consola.</t>
        </is>
      </c>
      <c r="H388" s="16" t="inlineStr">
        <is>
          <t>AZUL/MB-185</t>
        </is>
      </c>
      <c r="I388" s="16" t="n">
        <v>1</v>
      </c>
      <c r="J388" s="17" t="n">
        <v>75.5</v>
      </c>
      <c r="K388" s="17" t="n">
        <v>88.45999999999999</v>
      </c>
      <c r="L388" s="17" t="n">
        <v>12.92</v>
      </c>
      <c r="M388" s="17" t="n">
        <v>0</v>
      </c>
      <c r="N388" s="17">
        <f>K388*0.08+L388*0.08</f>
        <v/>
      </c>
      <c r="O388" s="17">
        <f>-(K388*0.025+L388*0.025)</f>
        <v/>
      </c>
      <c r="P388" s="17">
        <f>32</f>
        <v/>
      </c>
      <c r="Q388" s="17">
        <f>J388+L388+N388+O388-P388-M388</f>
        <v/>
      </c>
    </row>
    <row r="389">
      <c r="A389" s="16" t="inlineStr">
        <is>
          <t>5.1-5.7</t>
        </is>
      </c>
      <c r="B389" s="16" t="inlineStr">
        <is>
          <t>PO-128-08839614188150078</t>
        </is>
      </c>
      <c r="C389" s="16" t="inlineStr">
        <is>
          <t>Delivered</t>
        </is>
      </c>
      <c r="D389" s="16" t="inlineStr">
        <is>
          <t>128-08839719045750078</t>
        </is>
      </c>
      <c r="E389" s="16" t="inlineStr">
        <is>
          <t>Delivered</t>
        </is>
      </c>
      <c r="F389" s="16" t="inlineStr">
        <is>
          <t>MB-185R</t>
        </is>
      </c>
      <c r="G389" s="16" t="inlineStr">
        <is>
          <t>Bocina Radio FM/Reproductor, Compatible con Tarjeta TF, USB, Bluetooth, Aplicable para celular, computadora, Ipad y consola.</t>
        </is>
      </c>
      <c r="H389" s="16" t="inlineStr">
        <is>
          <t>ROJO/MB-185</t>
        </is>
      </c>
      <c r="I389" s="16" t="n">
        <v>1</v>
      </c>
      <c r="J389" s="17" t="n">
        <v>75.59999999999999</v>
      </c>
      <c r="K389" s="17" t="n">
        <v>88.55</v>
      </c>
      <c r="L389" s="17" t="n">
        <v>12.94</v>
      </c>
      <c r="M389" s="17" t="n">
        <v>0</v>
      </c>
      <c r="N389" s="17">
        <f>K389*0.08+L389*0.08</f>
        <v/>
      </c>
      <c r="O389" s="17">
        <f>-(K389*0.025+L389*0.025)</f>
        <v/>
      </c>
      <c r="P389" s="17">
        <f>32</f>
        <v/>
      </c>
      <c r="Q389" s="17">
        <f>J389+L389+N389+O389-P389-M389</f>
        <v/>
      </c>
    </row>
    <row r="390">
      <c r="A390" s="16" t="inlineStr">
        <is>
          <t>5.1-5.7</t>
        </is>
      </c>
      <c r="B390" s="16" t="inlineStr">
        <is>
          <t>PO-128-08378332928633724</t>
        </is>
      </c>
      <c r="C390" s="16" t="inlineStr">
        <is>
          <t>Delivered</t>
        </is>
      </c>
      <c r="D390" s="16" t="inlineStr">
        <is>
          <t>128-08378290985593724</t>
        </is>
      </c>
      <c r="E390" s="16" t="inlineStr">
        <is>
          <t>Delivered</t>
        </is>
      </c>
      <c r="F390" s="16" t="inlineStr">
        <is>
          <t>MCM-001R</t>
        </is>
      </c>
      <c r="G390" s="16" t="inlineStr">
        <is>
          <t>Musicord Altavoz Inalámbrico BT Portátil: ¡Sonido impactante, luces LED multicolores y 4 horas de autonomía! Compatible con TWS, FM, TF y USB – Imprescindible para fiestas y viajes</t>
        </is>
      </c>
      <c r="H390" s="16" t="inlineStr">
        <is>
          <t>ROJO</t>
        </is>
      </c>
      <c r="I390" s="16" t="n">
        <v>1</v>
      </c>
      <c r="J390" s="17" t="n">
        <v>66.5</v>
      </c>
      <c r="K390" s="17" t="n">
        <v>77.79000000000001</v>
      </c>
      <c r="L390" s="17" t="n">
        <v>25.86</v>
      </c>
      <c r="M390" s="17" t="n">
        <v>0</v>
      </c>
      <c r="N390" s="17">
        <f>K390*0.08+L390*0.08</f>
        <v/>
      </c>
      <c r="O390" s="17">
        <f>-(K390*0.025+L390*0.025)</f>
        <v/>
      </c>
      <c r="P390" s="17">
        <f>32</f>
        <v/>
      </c>
      <c r="Q390" s="17">
        <f>J390+L390+N390+O390-P390-M390</f>
        <v/>
      </c>
    </row>
    <row r="391">
      <c r="A391" s="16" t="inlineStr">
        <is>
          <t>5.1-5.7</t>
        </is>
      </c>
      <c r="B391" s="16" t="inlineStr">
        <is>
          <t>PO-128-08417076839033687</t>
        </is>
      </c>
      <c r="C391" s="16" t="inlineStr">
        <is>
          <t>Delivered</t>
        </is>
      </c>
      <c r="D391" s="16" t="inlineStr">
        <is>
          <t>128-08417097810553687</t>
        </is>
      </c>
      <c r="E391" s="16" t="inlineStr">
        <is>
          <t>Delivered</t>
        </is>
      </c>
      <c r="F391" s="16" t="inlineStr">
        <is>
          <t>S09W18IB</t>
        </is>
      </c>
      <c r="G39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91" s="16" t="inlineStr">
        <is>
          <t>1 pieza</t>
        </is>
      </c>
      <c r="I391" s="16" t="n">
        <v>3</v>
      </c>
      <c r="J391" s="17" t="n">
        <v>114</v>
      </c>
      <c r="K391" s="17" t="n">
        <v>145.98</v>
      </c>
      <c r="L391" s="17" t="n">
        <v>25.86</v>
      </c>
      <c r="M391" s="17" t="n">
        <v>0</v>
      </c>
      <c r="N391" s="17">
        <f>K391*0.08+L391*0.08</f>
        <v/>
      </c>
      <c r="O391" s="17">
        <f>-(K391*0.025+L391*0.025)</f>
        <v/>
      </c>
      <c r="P391" s="17">
        <f>32</f>
        <v/>
      </c>
      <c r="Q391" s="17">
        <f>J391+L391+N391+O391-P391-M391</f>
        <v/>
      </c>
    </row>
    <row r="392">
      <c r="A392" s="16" t="inlineStr">
        <is>
          <t>5.1-5.7</t>
        </is>
      </c>
      <c r="B392" s="16" t="inlineStr">
        <is>
          <t>PO-128-08390469100153781</t>
        </is>
      </c>
      <c r="C392" s="16" t="inlineStr">
        <is>
          <t>Delivered</t>
        </is>
      </c>
      <c r="D392" s="16" t="inlineStr">
        <is>
          <t>128-08390461235833781</t>
        </is>
      </c>
      <c r="E392" s="16" t="inlineStr">
        <is>
          <t>Delivered</t>
        </is>
      </c>
      <c r="F392" s="16" t="inlineStr">
        <is>
          <t>MB-185R</t>
        </is>
      </c>
      <c r="G392" s="16" t="inlineStr">
        <is>
          <t>Bocina Radio FM/Reproductor, Compatible con Tarjeta TF, USB, Bluetooth, Aplicable para celular, computadora, Ipad y consola.</t>
        </is>
      </c>
      <c r="H392" s="16" t="inlineStr">
        <is>
          <t>ROJO/MB-185</t>
        </is>
      </c>
      <c r="I392" s="16" t="n">
        <v>1</v>
      </c>
      <c r="J392" s="17" t="n">
        <v>75.59999999999999</v>
      </c>
      <c r="K392" s="17" t="n">
        <v>62.11</v>
      </c>
      <c r="L392" s="17" t="n">
        <v>25.86</v>
      </c>
      <c r="M392" s="17" t="n">
        <v>0</v>
      </c>
      <c r="N392" s="17">
        <f>K392*0.08+L392*0.08</f>
        <v/>
      </c>
      <c r="O392" s="17">
        <f>-(K392*0.025+L392*0.025)</f>
        <v/>
      </c>
      <c r="P392" s="17">
        <f>32</f>
        <v/>
      </c>
      <c r="Q392" s="17">
        <f>J392+L392+N392+O392-P392-M392</f>
        <v/>
      </c>
    </row>
    <row r="393">
      <c r="A393" s="16" t="inlineStr">
        <is>
          <t>5.1-5.7</t>
        </is>
      </c>
      <c r="B393" s="16" t="inlineStr">
        <is>
          <t>PO-128-08916299797110519</t>
        </is>
      </c>
      <c r="C393" s="16" t="inlineStr">
        <is>
          <t>Delivered</t>
        </is>
      </c>
      <c r="D393" s="16" t="inlineStr">
        <is>
          <t>128-08916341740150519</t>
        </is>
      </c>
      <c r="E393" s="16" t="inlineStr">
        <is>
          <t>Delivered</t>
        </is>
      </c>
      <c r="F393" s="16" t="inlineStr">
        <is>
          <t>AIR50W06-2P</t>
        </is>
      </c>
      <c r="G393" s="16" t="inlineStr">
        <is>
          <t>Link Bits Ventilador de piso de 16 pulgadas, 2 unidades, 3 velocidades, motor silencioso, flujo de aire fuerte, altura ajustable, oscilación amplia, ventilador eléctrico para el hogar, ideal para sala, recámara y oficina</t>
        </is>
      </c>
      <c r="H393" s="16" t="inlineStr">
        <is>
          <t>2PZ</t>
        </is>
      </c>
      <c r="I393" s="16" t="n">
        <v>1</v>
      </c>
      <c r="J393" s="17" t="n">
        <v>445</v>
      </c>
      <c r="K393" s="17" t="n">
        <v>578.13</v>
      </c>
      <c r="L393" s="17" t="n">
        <v>0</v>
      </c>
      <c r="M393" s="17" t="n">
        <v>0</v>
      </c>
      <c r="N393" s="17">
        <f>K393*0.08+L393*0.08</f>
        <v/>
      </c>
      <c r="O393" s="17">
        <f>-(K393*0.025+L393*0.025)</f>
        <v/>
      </c>
      <c r="P393" s="17">
        <f>32</f>
        <v/>
      </c>
      <c r="Q393" s="17">
        <f>J393+L393+N393+O393-P393-M393</f>
        <v/>
      </c>
    </row>
    <row r="394">
      <c r="A394" s="16" t="inlineStr">
        <is>
          <t>5.1-5.7</t>
        </is>
      </c>
      <c r="B394" s="16" t="inlineStr">
        <is>
          <t>PO-128-08556755610232724</t>
        </is>
      </c>
      <c r="C394" s="16" t="inlineStr">
        <is>
          <t>Delivered</t>
        </is>
      </c>
      <c r="D394" s="16" t="inlineStr">
        <is>
          <t>128-08556734638712724</t>
        </is>
      </c>
      <c r="E394" s="16" t="inlineStr">
        <is>
          <t>Delivered</t>
        </is>
      </c>
      <c r="F394" s="16" t="inlineStr">
        <is>
          <t>SA323T</t>
        </is>
      </c>
      <c r="G394" s="16" t="inlineStr">
        <is>
          <t>Linkbits Bocina Portátil Parlantes BT Portátiles con Iluminación de Ambiente | 1 Hora de Duración, FM, TWS, TF/Micro SD | Ideal para Hogar, Fiestas y Viajes</t>
        </is>
      </c>
      <c r="H394" s="16" t="inlineStr">
        <is>
          <t>SA323T</t>
        </is>
      </c>
      <c r="I394" s="16" t="n">
        <v>1</v>
      </c>
      <c r="J394" s="17" t="n">
        <v>46.8</v>
      </c>
      <c r="K394" s="17" t="n">
        <v>47.77</v>
      </c>
      <c r="L394" s="17" t="n">
        <v>25.86</v>
      </c>
      <c r="M394" s="17" t="n">
        <v>0</v>
      </c>
      <c r="N394" s="17">
        <f>K394*0.08+L394*0.08</f>
        <v/>
      </c>
      <c r="O394" s="17">
        <f>-(K394*0.025+L394*0.025)</f>
        <v/>
      </c>
      <c r="P394" s="17">
        <f>32</f>
        <v/>
      </c>
      <c r="Q394" s="17">
        <f>J394+L394+N394+O394-P394-M394</f>
        <v/>
      </c>
    </row>
    <row r="395">
      <c r="A395" s="16" t="inlineStr">
        <is>
          <t>5.1-5.7</t>
        </is>
      </c>
      <c r="B395" s="16" t="inlineStr">
        <is>
          <t>PO-128-08703632855671851</t>
        </is>
      </c>
      <c r="C395" s="16" t="inlineStr">
        <is>
          <t>Delivered</t>
        </is>
      </c>
      <c r="D395" s="16" t="inlineStr">
        <is>
          <t>128-08703653827191851</t>
        </is>
      </c>
      <c r="E395" s="16" t="inlineStr">
        <is>
          <t>Delivered</t>
        </is>
      </c>
      <c r="F395" s="16" t="inlineStr">
        <is>
          <t>AIR50W06-2P</t>
        </is>
      </c>
      <c r="G395" s="16" t="inlineStr">
        <is>
          <t>Link Bits Ventilador de piso de 16 pulgadas, 2 unidades, 3 velocidades, motor silencioso, flujo de aire fuerte, altura ajustable, oscilación amplia, ventilador eléctrico para el hogar, ideal para sala, recámara y oficina</t>
        </is>
      </c>
      <c r="H395" s="16" t="inlineStr">
        <is>
          <t>2PZ</t>
        </is>
      </c>
      <c r="I395" s="16" t="n">
        <v>1</v>
      </c>
      <c r="J395" s="17" t="n">
        <v>445</v>
      </c>
      <c r="K395" s="17" t="n">
        <v>578.13</v>
      </c>
      <c r="L395" s="17" t="n">
        <v>0</v>
      </c>
      <c r="M395" s="17" t="n">
        <v>578.13</v>
      </c>
      <c r="N395" s="17">
        <f>K395*0.08+L395*0.08</f>
        <v/>
      </c>
      <c r="O395" s="17">
        <f>-(K395*0.025+L395*0.025)</f>
        <v/>
      </c>
      <c r="P395" s="17">
        <f>32</f>
        <v/>
      </c>
      <c r="Q395" s="17">
        <f>J395+L395+N395+O395-P395-M395</f>
        <v/>
      </c>
    </row>
    <row r="396">
      <c r="A396" s="16" t="inlineStr">
        <is>
          <t>5.1-5.7</t>
        </is>
      </c>
      <c r="B396" s="16" t="inlineStr">
        <is>
          <t>PO-128-08911833508470736</t>
        </is>
      </c>
      <c r="C396" s="16" t="inlineStr">
        <is>
          <t>Delivered</t>
        </is>
      </c>
      <c r="D396" s="16" t="inlineStr">
        <is>
          <t>128-08911817779830736</t>
        </is>
      </c>
      <c r="E396" s="16" t="inlineStr">
        <is>
          <t>Delivered</t>
        </is>
      </c>
      <c r="F396" s="16" t="inlineStr">
        <is>
          <t>LB02235-azul</t>
        </is>
      </c>
      <c r="G396" s="16" t="inlineStr">
        <is>
          <t>Audífonos Inalámbricos para la Cabeza, Recargables y Multifuncionales - Conectan a Varios Dispositivos, soportan Radio FM, Tarjeta TF y AUX - 4 Horas de Reproducción Musical - Ideal para Trabajo Cotidiano, Juegos y Estudio</t>
        </is>
      </c>
      <c r="H396" s="16" t="inlineStr">
        <is>
          <t>AZUL</t>
        </is>
      </c>
      <c r="I396" s="16" t="n">
        <v>1</v>
      </c>
      <c r="J396" s="17" t="n">
        <v>37.73</v>
      </c>
      <c r="K396" s="17" t="n">
        <v>50.84</v>
      </c>
      <c r="L396" s="17" t="n">
        <v>25.86</v>
      </c>
      <c r="M396" s="17" t="n">
        <v>0</v>
      </c>
      <c r="N396" s="17">
        <f>K396*0.08+L396*0.08</f>
        <v/>
      </c>
      <c r="O396" s="17">
        <f>-(K396*0.025+L396*0.025)</f>
        <v/>
      </c>
      <c r="P396" s="17">
        <f>32</f>
        <v/>
      </c>
      <c r="Q396" s="17">
        <f>J396+L396+N396+O396-P396-M396</f>
        <v/>
      </c>
    </row>
    <row r="397">
      <c r="A397" s="16" t="inlineStr">
        <is>
          <t>5.1-5.7</t>
        </is>
      </c>
      <c r="B397" s="16" t="inlineStr">
        <is>
          <t>PO-128-08796465326710337</t>
        </is>
      </c>
      <c r="C397" s="16" t="inlineStr">
        <is>
          <t>Delivered</t>
        </is>
      </c>
      <c r="D397" s="16" t="inlineStr">
        <is>
          <t>128-08796488919670337</t>
        </is>
      </c>
      <c r="E397" s="16" t="inlineStr">
        <is>
          <t>Delivered</t>
        </is>
      </c>
      <c r="F397" s="16" t="inlineStr">
        <is>
          <t>MCM-001R</t>
        </is>
      </c>
      <c r="G397" s="16" t="inlineStr">
        <is>
          <t>Musicord Altavoz Inalámbrico BT Portátil: ¡Sonido impactante, luces LED multicolores y 4 horas de autonomía! Compatible con TWS, FM, TF y USB – Imprescindible para fiestas y viajes</t>
        </is>
      </c>
      <c r="H397" s="16" t="inlineStr">
        <is>
          <t>ROJO</t>
        </is>
      </c>
      <c r="I397" s="16" t="n">
        <v>1</v>
      </c>
      <c r="J397" s="17" t="n">
        <v>66.5</v>
      </c>
      <c r="K397" s="17" t="n">
        <v>66.13</v>
      </c>
      <c r="L397" s="17" t="n">
        <v>16.12</v>
      </c>
      <c r="M397" s="17" t="n">
        <v>0</v>
      </c>
      <c r="N397" s="17">
        <f>K397*0.08+L397*0.08</f>
        <v/>
      </c>
      <c r="O397" s="17">
        <f>-(K397*0.025+L397*0.025)</f>
        <v/>
      </c>
      <c r="P397" s="17">
        <f>32</f>
        <v/>
      </c>
      <c r="Q397" s="17">
        <f>J397+L397+N397+O397-P397-M397</f>
        <v/>
      </c>
    </row>
    <row r="398">
      <c r="A398" s="16" t="inlineStr">
        <is>
          <t>5.1-5.7</t>
        </is>
      </c>
      <c r="B398" s="16" t="inlineStr">
        <is>
          <t>PO-128-08796465326710337</t>
        </is>
      </c>
      <c r="C398" s="16" t="inlineStr">
        <is>
          <t>Delivered</t>
        </is>
      </c>
      <c r="D398" s="16" t="inlineStr">
        <is>
          <t>128-08796499405430337</t>
        </is>
      </c>
      <c r="E398" s="16" t="inlineStr">
        <is>
          <t>Delivered</t>
        </is>
      </c>
      <c r="F398" s="16" t="inlineStr">
        <is>
          <t>SA325T</t>
        </is>
      </c>
      <c r="G398" s="16" t="inlineStr">
        <is>
          <t>Subwoofer Portátil Inalámbrico con Luces RGB, Sonido de Alta Potencia y Batería Duradera, TWS TF USB, Perfecto para Campamento Fiestas y Entretenimiento en Casa</t>
        </is>
      </c>
      <c r="H398" s="16" t="inlineStr">
        <is>
          <t>NEGRO</t>
        </is>
      </c>
      <c r="I398" s="16" t="n">
        <v>1</v>
      </c>
      <c r="J398" s="17" t="n">
        <v>38</v>
      </c>
      <c r="K398" s="17" t="n">
        <v>40</v>
      </c>
      <c r="L398" s="17" t="n">
        <v>9.74</v>
      </c>
      <c r="M398" s="17" t="n">
        <v>0</v>
      </c>
      <c r="N398" s="17">
        <f>K398*0.08+L398*0.08</f>
        <v/>
      </c>
      <c r="O398" s="17">
        <f>-(K398*0.025+L398*0.025)</f>
        <v/>
      </c>
      <c r="P398" s="17">
        <f>32</f>
        <v/>
      </c>
      <c r="Q398" s="17">
        <f>J398+L398+N398+O398-P398-M398</f>
        <v/>
      </c>
    </row>
    <row r="399">
      <c r="A399" s="16" t="inlineStr">
        <is>
          <t>5.1-5.7</t>
        </is>
      </c>
      <c r="B399" s="16" t="inlineStr">
        <is>
          <t>PO-128-08345673380474046</t>
        </is>
      </c>
      <c r="C399" s="16" t="inlineStr">
        <is>
          <t>Delivered</t>
        </is>
      </c>
      <c r="D399" s="16" t="inlineStr">
        <is>
          <t>128-08345809695354046</t>
        </is>
      </c>
      <c r="E399" s="16" t="inlineStr">
        <is>
          <t>Delivered</t>
        </is>
      </c>
      <c r="F399" s="16" t="inlineStr">
        <is>
          <t>MCM-001A</t>
        </is>
      </c>
      <c r="G399" s="16" t="inlineStr">
        <is>
          <t>Musicord Altavoz Inalámbrico BT Portátil: ¡Sonido impactante, luces LED multicolores y 4 horas de autonomía! Compatible con TWS, FM, TF y USB – Imprescindible para fiestas y viajes</t>
        </is>
      </c>
      <c r="H399" s="16" t="inlineStr">
        <is>
          <t>AZUL</t>
        </is>
      </c>
      <c r="I399" s="16" t="n">
        <v>1</v>
      </c>
      <c r="J399" s="17" t="n">
        <v>51.07</v>
      </c>
      <c r="K399" s="17" t="n">
        <v>6.02</v>
      </c>
      <c r="L399" s="17" t="n">
        <v>25.86</v>
      </c>
      <c r="M399" s="17" t="n">
        <v>0</v>
      </c>
      <c r="N399" s="17">
        <f>K399*0.08+L399*0.08</f>
        <v/>
      </c>
      <c r="O399" s="17">
        <f>-(K399*0.025+L399*0.025)</f>
        <v/>
      </c>
      <c r="P399" s="17">
        <f>32</f>
        <v/>
      </c>
      <c r="Q399" s="17">
        <f>J399+L399+N399+O399-P399-M399</f>
        <v/>
      </c>
    </row>
    <row r="400">
      <c r="A400" s="16" t="inlineStr">
        <is>
          <t>5.1-5.7</t>
        </is>
      </c>
      <c r="B400" s="16" t="inlineStr">
        <is>
          <t>PO-128-08638588355191215</t>
        </is>
      </c>
      <c r="C400" s="16" t="inlineStr">
        <is>
          <t>Delivered</t>
        </is>
      </c>
      <c r="D400" s="16" t="inlineStr">
        <is>
          <t>128-08638546412151215</t>
        </is>
      </c>
      <c r="E400" s="16" t="inlineStr">
        <is>
          <t>Delivered</t>
        </is>
      </c>
      <c r="F400" s="16" t="inlineStr">
        <is>
          <t>KTS-1678R</t>
        </is>
      </c>
      <c r="G400" s="16" t="inlineStr">
        <is>
          <t>Bocina portátil Inalámbrico, de 3 pulgadas, tamaño de bolsillo, 170 g, con asa, compatible con TF, USB y Micro SD, con radio FM y función TWS (True Wireless Stereo), adecuada para relajarse en casa o viajar al aire libre.</t>
        </is>
      </c>
      <c r="H400" s="16" t="inlineStr">
        <is>
          <t>KTS-1678R</t>
        </is>
      </c>
      <c r="I400" s="16" t="n">
        <v>1</v>
      </c>
      <c r="J400" s="17" t="n">
        <v>42.5</v>
      </c>
      <c r="K400" s="17" t="n">
        <v>7.69</v>
      </c>
      <c r="L400" s="17" t="n">
        <v>25.86</v>
      </c>
      <c r="M400" s="17" t="n">
        <v>0</v>
      </c>
      <c r="N400" s="17">
        <f>K400*0.08+L400*0.08</f>
        <v/>
      </c>
      <c r="O400" s="17">
        <f>-(K400*0.025+L400*0.025)</f>
        <v/>
      </c>
      <c r="P400" s="17">
        <f>32</f>
        <v/>
      </c>
      <c r="Q400" s="17">
        <f>J400+L400+N400+O400-P400-M400</f>
        <v/>
      </c>
    </row>
    <row r="401">
      <c r="A401" s="16" t="inlineStr">
        <is>
          <t>5.1-5.7</t>
        </is>
      </c>
      <c r="B401" s="16" t="inlineStr">
        <is>
          <t>PO-128-08755586939511605</t>
        </is>
      </c>
      <c r="C401" s="16" t="inlineStr">
        <is>
          <t>Delivered</t>
        </is>
      </c>
      <c r="D401" s="16" t="inlineStr">
        <is>
          <t>128-08755555482231605</t>
        </is>
      </c>
      <c r="E401" s="16" t="inlineStr">
        <is>
          <t>Delivered</t>
        </is>
      </c>
      <c r="F401" s="16" t="inlineStr">
        <is>
          <t>LB02235-negro</t>
        </is>
      </c>
      <c r="G401" s="16" t="inlineStr">
        <is>
          <t>Audífonos Inalámbricos para la Cabeza, Recargables y Multifuncionales - Conectan a Varios Dispositivos, soportan Radio FM, Tarjeta TF y AUX - 4 Horas de Reproducción Musical - Ideal para Trabajo Cotidiano, Juegos y Estudio</t>
        </is>
      </c>
      <c r="H401" s="16" t="inlineStr">
        <is>
          <t>NEGRO</t>
        </is>
      </c>
      <c r="I401" s="16" t="n">
        <v>1</v>
      </c>
      <c r="J401" s="17" t="n">
        <v>45.31</v>
      </c>
      <c r="K401" s="17" t="n">
        <v>58.42</v>
      </c>
      <c r="L401" s="17" t="n">
        <v>25.86</v>
      </c>
      <c r="M401" s="17" t="n">
        <v>0</v>
      </c>
      <c r="N401" s="17">
        <f>K401*0.08+L401*0.08</f>
        <v/>
      </c>
      <c r="O401" s="17">
        <f>-(K401*0.025+L401*0.025)</f>
        <v/>
      </c>
      <c r="P401" s="17">
        <f>32</f>
        <v/>
      </c>
      <c r="Q401" s="17">
        <f>J401+L401+N401+O401-P401-M401</f>
        <v/>
      </c>
    </row>
    <row r="402">
      <c r="A402" s="16" t="inlineStr">
        <is>
          <t>5.1-5.7</t>
        </is>
      </c>
      <c r="B402" s="16" t="inlineStr">
        <is>
          <t>PO-128-08663764910711062</t>
        </is>
      </c>
      <c r="C402" s="16" t="inlineStr">
        <is>
          <t>Delivered</t>
        </is>
      </c>
      <c r="D402" s="16" t="inlineStr">
        <is>
          <t>128-08663880254071062</t>
        </is>
      </c>
      <c r="E402" s="16" t="inlineStr">
        <is>
          <t>Delivered</t>
        </is>
      </c>
      <c r="F402" s="16" t="inlineStr">
        <is>
          <t>LB02235-rojo</t>
        </is>
      </c>
      <c r="G402" s="16" t="inlineStr">
        <is>
          <t>Audífonos Inalámbricos para la Cabeza, Recargables y Multifuncionales - Conectan a Varios Dispositivos, soportan Radio FM, Tarjeta TF y AUX - 4 Horas de Reproducción Musical - Ideal para Trabajo Cotidiano, Juegos y Estudio</t>
        </is>
      </c>
      <c r="H402" s="16" t="inlineStr">
        <is>
          <t>ROJO</t>
        </is>
      </c>
      <c r="I402" s="16" t="n">
        <v>2</v>
      </c>
      <c r="J402" s="17" t="n">
        <v>92</v>
      </c>
      <c r="K402" s="17" t="n">
        <v>100.51</v>
      </c>
      <c r="L402" s="17" t="n">
        <v>0</v>
      </c>
      <c r="M402" s="17" t="n">
        <v>0</v>
      </c>
      <c r="N402" s="17">
        <f>K402*0.08+L402*0.08</f>
        <v/>
      </c>
      <c r="O402" s="17">
        <f>-(K402*0.025+L402*0.025)</f>
        <v/>
      </c>
      <c r="P402" s="17">
        <f>32</f>
        <v/>
      </c>
      <c r="Q402" s="17">
        <f>J402+L402+N402+O402-P402-M402</f>
        <v/>
      </c>
    </row>
    <row r="403">
      <c r="A403" s="16" t="inlineStr">
        <is>
          <t>5.1-5.7</t>
        </is>
      </c>
      <c r="B403" s="16" t="inlineStr">
        <is>
          <t>PO-128-08663764910711062</t>
        </is>
      </c>
      <c r="C403" s="16" t="inlineStr">
        <is>
          <t>Delivered</t>
        </is>
      </c>
      <c r="D403" s="16" t="inlineStr">
        <is>
          <t>128-08663859282551062</t>
        </is>
      </c>
      <c r="E403" s="16" t="inlineStr">
        <is>
          <t>Delivered</t>
        </is>
      </c>
      <c r="F403" s="16" t="inlineStr">
        <is>
          <t>LB02235-blanco</t>
        </is>
      </c>
      <c r="G403" s="16" t="inlineStr">
        <is>
          <t>Audífonos Inalámbricos para la Cabeza, Recargables y Multifuncionales - Conectan a Varios Dispositivos, soportan Radio FM, Tarjeta TF y AUX - 4 Horas de Reproducción Musical - Ideal para Trabajo Cotidiano, Juegos y Estudio</t>
        </is>
      </c>
      <c r="H403" s="16" t="inlineStr">
        <is>
          <t>BLANCO</t>
        </is>
      </c>
      <c r="I403" s="16" t="n">
        <v>2</v>
      </c>
      <c r="J403" s="17" t="n">
        <v>90.62</v>
      </c>
      <c r="K403" s="17" t="n">
        <v>99.31</v>
      </c>
      <c r="L403" s="17" t="n">
        <v>0</v>
      </c>
      <c r="M403" s="17" t="n">
        <v>0</v>
      </c>
      <c r="N403" s="17">
        <f>K403*0.08+L403*0.08</f>
        <v/>
      </c>
      <c r="O403" s="17">
        <f>-(K403*0.025+L403*0.025)</f>
        <v/>
      </c>
      <c r="P403" s="17">
        <f>32</f>
        <v/>
      </c>
      <c r="Q403" s="17">
        <f>J403+L403+N403+O403-P403-M403</f>
        <v/>
      </c>
    </row>
    <row r="404">
      <c r="A404" s="16" t="inlineStr">
        <is>
          <t>5.1-5.7</t>
        </is>
      </c>
      <c r="B404" s="16" t="inlineStr">
        <is>
          <t>PO-128-08663764910711062</t>
        </is>
      </c>
      <c r="C404" s="16" t="inlineStr">
        <is>
          <t>Delivered</t>
        </is>
      </c>
      <c r="D404" s="16" t="inlineStr">
        <is>
          <t>128-08663817339511062</t>
        </is>
      </c>
      <c r="E404" s="16" t="inlineStr">
        <is>
          <t>Delivered</t>
        </is>
      </c>
      <c r="F404" s="16" t="inlineStr">
        <is>
          <t>LB02235-negro</t>
        </is>
      </c>
      <c r="G404" s="16" t="inlineStr">
        <is>
          <t>Audífonos Inalámbricos para la Cabeza, Recargables y Multifuncionales - Conectan a Varios Dispositivos, soportan Radio FM, Tarjeta TF y AUX - 4 Horas de Reproducción Musical - Ideal para Trabajo Cotidiano, Juegos y Estudio</t>
        </is>
      </c>
      <c r="H404" s="16" t="inlineStr">
        <is>
          <t>NEGRO</t>
        </is>
      </c>
      <c r="I404" s="16" t="n">
        <v>2</v>
      </c>
      <c r="J404" s="17" t="n">
        <v>90.62</v>
      </c>
      <c r="K404" s="17" t="n">
        <v>99.31</v>
      </c>
      <c r="L404" s="17" t="n">
        <v>0</v>
      </c>
      <c r="M404" s="17" t="n">
        <v>0</v>
      </c>
      <c r="N404" s="17">
        <f>K404*0.08+L404*0.08</f>
        <v/>
      </c>
      <c r="O404" s="17">
        <f>-(K404*0.025+L404*0.025)</f>
        <v/>
      </c>
      <c r="P404" s="17">
        <f>32</f>
        <v/>
      </c>
      <c r="Q404" s="17">
        <f>J404+L404+N404+O404-P404-M404</f>
        <v/>
      </c>
    </row>
    <row r="405">
      <c r="A405" s="16" t="inlineStr">
        <is>
          <t>5.1-5.7</t>
        </is>
      </c>
      <c r="B405" s="16" t="inlineStr">
        <is>
          <t>PO-128-08663764910711062</t>
        </is>
      </c>
      <c r="C405" s="16" t="inlineStr">
        <is>
          <t>Delivered</t>
        </is>
      </c>
      <c r="D405" s="16" t="inlineStr">
        <is>
          <t>128-08663901225591062</t>
        </is>
      </c>
      <c r="E405" s="16" t="inlineStr">
        <is>
          <t>Delivered</t>
        </is>
      </c>
      <c r="F405" s="16" t="inlineStr">
        <is>
          <t>LB02235-azul</t>
        </is>
      </c>
      <c r="G405" s="16" t="inlineStr">
        <is>
          <t>Audífonos Inalámbricos para la Cabeza, Recargables y Multifuncionales - Conectan a Varios Dispositivos, soportan Radio FM, Tarjeta TF y AUX - 4 Horas de Reproducción Musical - Ideal para Trabajo Cotidiano, Juegos y Estudio</t>
        </is>
      </c>
      <c r="H405" s="16" t="inlineStr">
        <is>
          <t>AZUL</t>
        </is>
      </c>
      <c r="I405" s="16" t="n">
        <v>2</v>
      </c>
      <c r="J405" s="17" t="n">
        <v>75.45999999999999</v>
      </c>
      <c r="K405" s="17" t="n">
        <v>86.42</v>
      </c>
      <c r="L405" s="17" t="n">
        <v>0</v>
      </c>
      <c r="M405" s="17" t="n">
        <v>0</v>
      </c>
      <c r="N405" s="17">
        <f>K405*0.08+L405*0.08</f>
        <v/>
      </c>
      <c r="O405" s="17">
        <f>-(K405*0.025+L405*0.025)</f>
        <v/>
      </c>
      <c r="P405" s="17">
        <f>32</f>
        <v/>
      </c>
      <c r="Q405" s="17">
        <f>J405+L405+N405+O405-P405-M405</f>
        <v/>
      </c>
    </row>
    <row r="406">
      <c r="A406" s="16" t="inlineStr">
        <is>
          <t>5.1-5.7</t>
        </is>
      </c>
      <c r="B406" s="16" t="inlineStr">
        <is>
          <t>PO-128-08845293845110108</t>
        </is>
      </c>
      <c r="C406" s="16" t="inlineStr">
        <is>
          <t>Delivered</t>
        </is>
      </c>
      <c r="D406" s="16" t="inlineStr">
        <is>
          <t>128-08845320059510108</t>
        </is>
      </c>
      <c r="E406" s="16" t="inlineStr">
        <is>
          <t>Delivered</t>
        </is>
      </c>
      <c r="F406" s="16" t="inlineStr">
        <is>
          <t>SA323T</t>
        </is>
      </c>
      <c r="G406" s="16" t="inlineStr">
        <is>
          <t>Linkbits Bocina Portátil Parlantes BT Portátiles con Iluminación de Ambiente | 1 Hora de Duración, FM, TWS, TF/Micro SD | Ideal para Hogar, Fiestas y Viajes</t>
        </is>
      </c>
      <c r="H406" s="16" t="inlineStr">
        <is>
          <t>SA323T</t>
        </is>
      </c>
      <c r="I406" s="16" t="n">
        <v>1</v>
      </c>
      <c r="J406" s="17" t="n">
        <v>46.8</v>
      </c>
      <c r="K406" s="17" t="n">
        <v>47.48</v>
      </c>
      <c r="L406" s="17" t="n">
        <v>25.86</v>
      </c>
      <c r="M406" s="17" t="n">
        <v>0</v>
      </c>
      <c r="N406" s="17">
        <f>K406*0.08+L406*0.08</f>
        <v/>
      </c>
      <c r="O406" s="17">
        <f>-(K406*0.025+L406*0.025)</f>
        <v/>
      </c>
      <c r="P406" s="17">
        <f>32</f>
        <v/>
      </c>
      <c r="Q406" s="17">
        <f>J406+L406+N406+O406-P406-M406</f>
        <v/>
      </c>
    </row>
    <row r="407">
      <c r="A407" s="16" t="inlineStr">
        <is>
          <t>5.1-5.7</t>
        </is>
      </c>
      <c r="B407" s="16" t="inlineStr">
        <is>
          <t>PO-128-08379731804793717</t>
        </is>
      </c>
      <c r="C407" s="16" t="inlineStr">
        <is>
          <t>Delivered</t>
        </is>
      </c>
      <c r="D407" s="16" t="inlineStr">
        <is>
          <t>128-08379868119673717</t>
        </is>
      </c>
      <c r="E407" s="16" t="inlineStr">
        <is>
          <t>Delivered</t>
        </is>
      </c>
      <c r="F407" s="16" t="inlineStr">
        <is>
          <t>MCM-001G</t>
        </is>
      </c>
      <c r="G407" s="16" t="inlineStr">
        <is>
          <t>Musicord Altavoz Inalámbrico BT Portátil: ¡Sonido impactante, luces LED multicolores y 4 horas de autonomía! Compatible con TWS, FM, TF y USB – Imprescindible para fiestas y viajes</t>
        </is>
      </c>
      <c r="H407" s="16" t="inlineStr">
        <is>
          <t>GRIS</t>
        </is>
      </c>
      <c r="I407" s="16" t="n">
        <v>1</v>
      </c>
      <c r="J407" s="17" t="n">
        <v>51.07</v>
      </c>
      <c r="K407" s="17" t="n">
        <v>62.36</v>
      </c>
      <c r="L407" s="17" t="n">
        <v>25.86</v>
      </c>
      <c r="M407" s="17" t="n">
        <v>0</v>
      </c>
      <c r="N407" s="17">
        <f>K407*0.08+L407*0.08</f>
        <v/>
      </c>
      <c r="O407" s="17">
        <f>-(K407*0.025+L407*0.025)</f>
        <v/>
      </c>
      <c r="P407" s="17">
        <f>32</f>
        <v/>
      </c>
      <c r="Q407" s="17">
        <f>J407+L407+N407+O407-P407-M407</f>
        <v/>
      </c>
    </row>
    <row r="408">
      <c r="A408" s="16" t="inlineStr">
        <is>
          <t>5.1-5.7</t>
        </is>
      </c>
      <c r="B408" s="16" t="inlineStr">
        <is>
          <t>PO-128-08484264346232068</t>
        </is>
      </c>
      <c r="C408" s="16" t="inlineStr">
        <is>
          <t>Delivered</t>
        </is>
      </c>
      <c r="D408" s="16" t="inlineStr">
        <is>
          <t>128-08484369203832068</t>
        </is>
      </c>
      <c r="E408" s="16" t="inlineStr">
        <is>
          <t>Delivered</t>
        </is>
      </c>
      <c r="F408" s="16" t="inlineStr">
        <is>
          <t>LB02235-rojo</t>
        </is>
      </c>
      <c r="G408" s="16" t="inlineStr">
        <is>
          <t>Audífonos Inalámbricos para la Cabeza, Recargables y Multifuncionales - Conectan a Varios Dispositivos, soportan Radio FM, Tarjeta TF y AUX - 4 Horas de Reproducción Musical - Ideal para Trabajo Cotidiano, Juegos y Estudio</t>
        </is>
      </c>
      <c r="H408" s="16" t="inlineStr">
        <is>
          <t>ROJO</t>
        </is>
      </c>
      <c r="I408" s="16" t="n">
        <v>1</v>
      </c>
      <c r="J408" s="17" t="n">
        <v>46</v>
      </c>
      <c r="K408" s="17" t="n">
        <v>59.12</v>
      </c>
      <c r="L408" s="17" t="n">
        <v>25.86</v>
      </c>
      <c r="M408" s="17" t="n">
        <v>0</v>
      </c>
      <c r="N408" s="17">
        <f>K408*0.08+L408*0.08</f>
        <v/>
      </c>
      <c r="O408" s="17">
        <f>-(K408*0.025+L408*0.025)</f>
        <v/>
      </c>
      <c r="P408" s="17">
        <f>32</f>
        <v/>
      </c>
      <c r="Q408" s="17">
        <f>J408+L408+N408+O408-P408-M408</f>
        <v/>
      </c>
    </row>
    <row r="409">
      <c r="A409" s="16" t="inlineStr">
        <is>
          <t>5.1-5.7</t>
        </is>
      </c>
      <c r="B409" s="16" t="inlineStr">
        <is>
          <t>PO-128-08737537034871777</t>
        </is>
      </c>
      <c r="C409" s="16" t="inlineStr">
        <is>
          <t>Delivered</t>
        </is>
      </c>
      <c r="D409" s="16" t="inlineStr">
        <is>
          <t>128-08737495091831777</t>
        </is>
      </c>
      <c r="E409" s="16" t="inlineStr">
        <is>
          <t>Delivered</t>
        </is>
      </c>
      <c r="F409" s="16" t="inlineStr">
        <is>
          <t>SA323T</t>
        </is>
      </c>
      <c r="G409" s="16" t="inlineStr">
        <is>
          <t>Linkbits Bocina Portátil Parlantes BT Portátiles con Iluminación de Ambiente | 1 Hora de Duración, FM, TWS, TF/Micro SD | Ideal para Hogar, Fiestas y Viajes</t>
        </is>
      </c>
      <c r="H409" s="16" t="inlineStr">
        <is>
          <t>SA323T</t>
        </is>
      </c>
      <c r="I409" s="16" t="n">
        <v>1</v>
      </c>
      <c r="J409" s="17" t="n">
        <v>46.8</v>
      </c>
      <c r="K409" s="17" t="n">
        <v>55.86</v>
      </c>
      <c r="L409" s="17" t="n">
        <v>25.86</v>
      </c>
      <c r="M409" s="17" t="n">
        <v>0</v>
      </c>
      <c r="N409" s="17">
        <f>K409*0.08+L409*0.08</f>
        <v/>
      </c>
      <c r="O409" s="17">
        <f>-(K409*0.025+L409*0.025)</f>
        <v/>
      </c>
      <c r="P409" s="17">
        <f>32</f>
        <v/>
      </c>
      <c r="Q409" s="17">
        <f>J409+L409+N409+O409-P409-M409</f>
        <v/>
      </c>
    </row>
    <row r="410">
      <c r="A410" s="16" t="inlineStr">
        <is>
          <t>5.1-5.7</t>
        </is>
      </c>
      <c r="B410" s="16" t="inlineStr">
        <is>
          <t>PO-128-08858989875830989</t>
        </is>
      </c>
      <c r="C410" s="16" t="inlineStr">
        <is>
          <t>Delivered</t>
        </is>
      </c>
      <c r="D410" s="16" t="inlineStr">
        <is>
          <t>128-08859010847350989</t>
        </is>
      </c>
      <c r="E410" s="16" t="inlineStr">
        <is>
          <t>Delivered</t>
        </is>
      </c>
      <c r="F410" s="16" t="inlineStr">
        <is>
          <t>LB02235-negro</t>
        </is>
      </c>
      <c r="G410" s="16" t="inlineStr">
        <is>
          <t>Audífonos Inalámbricos para la Cabeza, Recargables y Multifuncionales - Conectan a Varios Dispositivos, soportan Radio FM, Tarjeta TF y AUX - 4 Horas de Reproducción Musical - Ideal para Trabajo Cotidiano, Juegos y Estudio</t>
        </is>
      </c>
      <c r="H410" s="16" t="inlineStr">
        <is>
          <t>NEGRO</t>
        </is>
      </c>
      <c r="I410" s="16" t="n">
        <v>1</v>
      </c>
      <c r="J410" s="17" t="n">
        <v>45.31</v>
      </c>
      <c r="K410" s="17" t="n">
        <v>58.42</v>
      </c>
      <c r="L410" s="17" t="n">
        <v>25.86</v>
      </c>
      <c r="M410" s="17" t="n">
        <v>0</v>
      </c>
      <c r="N410" s="17">
        <f>K410*0.08+L410*0.08</f>
        <v/>
      </c>
      <c r="O410" s="17">
        <f>-(K410*0.025+L410*0.025)</f>
        <v/>
      </c>
      <c r="P410" s="17">
        <f>32</f>
        <v/>
      </c>
      <c r="Q410" s="17">
        <f>J410+L410+N410+O410-P410-M410</f>
        <v/>
      </c>
    </row>
    <row r="411">
      <c r="A411" s="16" t="inlineStr">
        <is>
          <t>5.1-5.7</t>
        </is>
      </c>
      <c r="B411" s="16" t="inlineStr">
        <is>
          <t>PO-128-14107195351671515</t>
        </is>
      </c>
      <c r="C411" s="16" t="inlineStr">
        <is>
          <t>Delivered</t>
        </is>
      </c>
      <c r="D411" s="16" t="inlineStr">
        <is>
          <t>128-14107200594551515</t>
        </is>
      </c>
      <c r="E411" s="16" t="inlineStr">
        <is>
          <t>Delivered</t>
        </is>
      </c>
      <c r="F411" s="16" t="inlineStr">
        <is>
          <t>000089-50PZS</t>
        </is>
      </c>
      <c r="G411" s="16" t="inlineStr">
        <is>
          <t>Mascarillas Infantiles KF94 50 pcs, Cuatro Capas de Protección con Tejido de Fusión Filtrante, Patrones Divertidos, Piel Amigable y Transpirable</t>
        </is>
      </c>
      <c r="H411" s="16" t="inlineStr">
        <is>
          <t>50PZS/NINA ESTAMPADO</t>
        </is>
      </c>
      <c r="I411" s="16" t="n">
        <v>1</v>
      </c>
      <c r="J411" s="17" t="n">
        <v>113</v>
      </c>
      <c r="K411" s="17" t="n">
        <v>133.57</v>
      </c>
      <c r="L411" s="17" t="n">
        <v>25.86</v>
      </c>
      <c r="M411" s="17" t="n">
        <v>0</v>
      </c>
      <c r="N411" s="17">
        <f>K411*0.08+L411*0.08</f>
        <v/>
      </c>
      <c r="O411" s="17">
        <f>-(K411*0.025+L411*0.025)</f>
        <v/>
      </c>
      <c r="P411" s="17">
        <f>32</f>
        <v/>
      </c>
      <c r="Q411" s="17">
        <f>J411+L411+N411+O411-P411-M411</f>
        <v/>
      </c>
    </row>
    <row r="412">
      <c r="A412" s="16" t="inlineStr">
        <is>
          <t>5.1-5.7</t>
        </is>
      </c>
      <c r="B412" s="16" t="inlineStr">
        <is>
          <t>PO-128-14053601106552731</t>
        </is>
      </c>
      <c r="C412" s="16" t="inlineStr">
        <is>
          <t>Delivered</t>
        </is>
      </c>
      <c r="D412" s="16" t="inlineStr">
        <is>
          <t>128-14053559163512731</t>
        </is>
      </c>
      <c r="E412" s="16" t="inlineStr">
        <is>
          <t>Delivered</t>
        </is>
      </c>
      <c r="F412" s="16" t="inlineStr">
        <is>
          <t>LB02235-azul</t>
        </is>
      </c>
      <c r="G412" s="16" t="inlineStr">
        <is>
          <t>Audífonos Inalámbricos para la Cabeza, Recargables y Multifuncionales - Conectan a Varios Dispositivos, soportan Radio FM, Tarjeta TF y AUX - 4 Horas de Reproducción Musical - Ideal para Trabajo Cotidiano, Juegos y Estudio</t>
        </is>
      </c>
      <c r="H412" s="16" t="inlineStr">
        <is>
          <t>AZUL</t>
        </is>
      </c>
      <c r="I412" s="16" t="n">
        <v>1</v>
      </c>
      <c r="J412" s="17" t="n">
        <v>37.73</v>
      </c>
      <c r="K412" s="17" t="n">
        <v>50.84</v>
      </c>
      <c r="L412" s="17" t="n">
        <v>25.86</v>
      </c>
      <c r="M412" s="17" t="n">
        <v>0</v>
      </c>
      <c r="N412" s="17">
        <f>K412*0.08+L412*0.08</f>
        <v/>
      </c>
      <c r="O412" s="17">
        <f>-(K412*0.025+L412*0.025)</f>
        <v/>
      </c>
      <c r="P412" s="17">
        <f>32</f>
        <v/>
      </c>
      <c r="Q412" s="17">
        <f>J412+L412+N412+O412-P412-M412</f>
        <v/>
      </c>
    </row>
    <row r="413">
      <c r="A413" s="16" t="inlineStr">
        <is>
          <t>5.1-5.7</t>
        </is>
      </c>
      <c r="B413" s="16" t="inlineStr">
        <is>
          <t>PO-128-13781829868153452</t>
        </is>
      </c>
      <c r="C413" s="16" t="inlineStr">
        <is>
          <t>Delivered</t>
        </is>
      </c>
      <c r="D413" s="16" t="inlineStr">
        <is>
          <t>128-13781861325433452</t>
        </is>
      </c>
      <c r="E413" s="16" t="inlineStr">
        <is>
          <t>Delivered</t>
        </is>
      </c>
      <c r="F413" s="16" t="inlineStr">
        <is>
          <t>MCM-001R</t>
        </is>
      </c>
      <c r="G413" s="16" t="inlineStr">
        <is>
          <t>Musicord Altavoz Inalámbrico BT Portátil: ¡Sonido impactante, luces LED multicolores y 4 horas de autonomía! Compatible con TWS, FM, TF y USB – Imprescindible para fiestas y viajes</t>
        </is>
      </c>
      <c r="H413" s="16" t="inlineStr">
        <is>
          <t>ROJO</t>
        </is>
      </c>
      <c r="I413" s="16" t="n">
        <v>1</v>
      </c>
      <c r="J413" s="17" t="n">
        <v>66.5</v>
      </c>
      <c r="K413" s="17" t="n">
        <v>77.79000000000001</v>
      </c>
      <c r="L413" s="17" t="n">
        <v>25.86</v>
      </c>
      <c r="M413" s="17" t="n">
        <v>0</v>
      </c>
      <c r="N413" s="17">
        <f>K413*0.08+L413*0.08</f>
        <v/>
      </c>
      <c r="O413" s="17">
        <f>-(K413*0.025+L413*0.025)</f>
        <v/>
      </c>
      <c r="P413" s="17">
        <f>32</f>
        <v/>
      </c>
      <c r="Q413" s="17">
        <f>J413+L413+N413+O413-P413-M413</f>
        <v/>
      </c>
    </row>
    <row r="414">
      <c r="A414" s="16" t="inlineStr">
        <is>
          <t>5.1-5.7</t>
        </is>
      </c>
      <c r="B414" s="16" t="inlineStr">
        <is>
          <t>PO-128-13949756887672389</t>
        </is>
      </c>
      <c r="C414" s="16" t="inlineStr">
        <is>
          <t>Delivered</t>
        </is>
      </c>
      <c r="D414" s="16" t="inlineStr">
        <is>
          <t>128-13949832909432389</t>
        </is>
      </c>
      <c r="E414" s="16" t="inlineStr">
        <is>
          <t>Delivered</t>
        </is>
      </c>
      <c r="F414" s="16" t="inlineStr">
        <is>
          <t>MB-185A</t>
        </is>
      </c>
      <c r="G414" s="16" t="inlineStr">
        <is>
          <t>Bocina Radio FM/Reproductor, Compatible con Tarjeta TF, USB, Bluetooth, Aplicable para celular, computadora, Ipad y consola.</t>
        </is>
      </c>
      <c r="H414" s="16" t="inlineStr">
        <is>
          <t>AZUL/MB-185</t>
        </is>
      </c>
      <c r="I414" s="16" t="n">
        <v>1</v>
      </c>
      <c r="J414" s="17" t="n">
        <v>75.5</v>
      </c>
      <c r="K414" s="17" t="n">
        <v>88.45999999999999</v>
      </c>
      <c r="L414" s="17" t="n">
        <v>25.86</v>
      </c>
      <c r="M414" s="17" t="n">
        <v>0</v>
      </c>
      <c r="N414" s="17">
        <f>K414*0.08+L414*0.08</f>
        <v/>
      </c>
      <c r="O414" s="17">
        <f>-(K414*0.025+L414*0.025)</f>
        <v/>
      </c>
      <c r="P414" s="17">
        <f>32</f>
        <v/>
      </c>
      <c r="Q414" s="17">
        <f>J414+L414+N414+O414-P414-M414</f>
        <v/>
      </c>
    </row>
    <row r="415">
      <c r="A415" s="16" t="inlineStr">
        <is>
          <t>5.1-5.7</t>
        </is>
      </c>
      <c r="B415" s="16" t="inlineStr">
        <is>
          <t>PO-128-14088222741111434</t>
        </is>
      </c>
      <c r="C415" s="16" t="inlineStr">
        <is>
          <t>Delivered</t>
        </is>
      </c>
      <c r="D415" s="16" t="inlineStr">
        <is>
          <t>128-14088191283831434</t>
        </is>
      </c>
      <c r="E415" s="16" t="inlineStr">
        <is>
          <t>Delivered</t>
        </is>
      </c>
      <c r="F415" s="16" t="inlineStr">
        <is>
          <t>MCM-001G</t>
        </is>
      </c>
      <c r="G415" s="16" t="inlineStr">
        <is>
          <t>Musicord Altavoz Inalámbrico BT Portátil: ¡Sonido impactante, luces LED multicolores y 4 horas de autonomía! Compatible con TWS, FM, TF y USB – Imprescindible para fiestas y viajes</t>
        </is>
      </c>
      <c r="H415" s="16" t="inlineStr">
        <is>
          <t>GRIS</t>
        </is>
      </c>
      <c r="I415" s="16" t="n">
        <v>1</v>
      </c>
      <c r="J415" s="17" t="n">
        <v>51.07</v>
      </c>
      <c r="K415" s="17" t="n">
        <v>62.36</v>
      </c>
      <c r="L415" s="17" t="n">
        <v>25.86</v>
      </c>
      <c r="M415" s="17" t="n">
        <v>0</v>
      </c>
      <c r="N415" s="17">
        <f>K415*0.08+L415*0.08</f>
        <v/>
      </c>
      <c r="O415" s="17">
        <f>-(K415*0.025+L415*0.025)</f>
        <v/>
      </c>
      <c r="P415" s="17">
        <f>32</f>
        <v/>
      </c>
      <c r="Q415" s="17">
        <f>J415+L415+N415+O415-P415-M415</f>
        <v/>
      </c>
    </row>
    <row r="416">
      <c r="A416" s="16" t="inlineStr">
        <is>
          <t>5.1-5.7</t>
        </is>
      </c>
      <c r="B416" s="16" t="inlineStr">
        <is>
          <t>PO-128-14156707154551026</t>
        </is>
      </c>
      <c r="C416" s="16" t="inlineStr">
        <is>
          <t>Delivered</t>
        </is>
      </c>
      <c r="D416" s="16" t="inlineStr">
        <is>
          <t>128-14156775311991026</t>
        </is>
      </c>
      <c r="E416" s="16" t="inlineStr">
        <is>
          <t>Delivered</t>
        </is>
      </c>
      <c r="F416" s="16" t="inlineStr">
        <is>
          <t>LB02235-negro</t>
        </is>
      </c>
      <c r="G416" s="16" t="inlineStr">
        <is>
          <t>Audífonos Inalámbricos para la Cabeza, Recargables y Multifuncionales - Conectan a Varios Dispositivos, soportan Radio FM, Tarjeta TF y AUX - 4 Horas de Reproducción Musical - Ideal para Trabajo Cotidiano, Juegos y Estudio</t>
        </is>
      </c>
      <c r="H416" s="16" t="inlineStr">
        <is>
          <t>NEGRO</t>
        </is>
      </c>
      <c r="I416" s="16" t="n">
        <v>1</v>
      </c>
      <c r="J416" s="17" t="n">
        <v>45.31</v>
      </c>
      <c r="K416" s="17" t="n">
        <v>58.42</v>
      </c>
      <c r="L416" s="17" t="n">
        <v>25.86</v>
      </c>
      <c r="M416" s="17" t="n">
        <v>0</v>
      </c>
      <c r="N416" s="17">
        <f>K416*0.08+L416*0.08</f>
        <v/>
      </c>
      <c r="O416" s="17">
        <f>-(K416*0.025+L416*0.025)</f>
        <v/>
      </c>
      <c r="P416" s="17">
        <f>32</f>
        <v/>
      </c>
      <c r="Q416" s="17">
        <f>J416+L416+N416+O416-P416-M416</f>
        <v/>
      </c>
    </row>
    <row r="417">
      <c r="A417" s="16" t="inlineStr">
        <is>
          <t>5.1-5.7</t>
        </is>
      </c>
      <c r="B417" s="16" t="inlineStr">
        <is>
          <t>PO-128-13794078823033253</t>
        </is>
      </c>
      <c r="C417" s="16" t="inlineStr">
        <is>
          <t>Delivered</t>
        </is>
      </c>
      <c r="D417" s="16" t="inlineStr">
        <is>
          <t>128-13794089308793253</t>
        </is>
      </c>
      <c r="E417" s="16" t="inlineStr">
        <is>
          <t>Delivered</t>
        </is>
      </c>
      <c r="F417" s="16" t="inlineStr">
        <is>
          <t>MCM-001G</t>
        </is>
      </c>
      <c r="G417" s="16" t="inlineStr">
        <is>
          <t>Musicord Altavoz Inalámbrico BT Portátil: ¡Sonido impactante, luces LED multicolores y 4 horas de autonomía! Compatible con TWS, FM, TF y USB – Imprescindible para fiestas y viajes</t>
        </is>
      </c>
      <c r="H417" s="16" t="inlineStr">
        <is>
          <t>GRIS</t>
        </is>
      </c>
      <c r="I417" s="16" t="n">
        <v>1</v>
      </c>
      <c r="J417" s="17" t="n">
        <v>51.07</v>
      </c>
      <c r="K417" s="17" t="n">
        <v>49.7</v>
      </c>
      <c r="L417" s="17" t="n">
        <v>25.86</v>
      </c>
      <c r="M417" s="17" t="n">
        <v>0.08</v>
      </c>
      <c r="N417" s="17">
        <f>K417*0.08+L417*0.08</f>
        <v/>
      </c>
      <c r="O417" s="17">
        <f>-(K417*0.025+L417*0.025)</f>
        <v/>
      </c>
      <c r="P417" s="17">
        <f>32</f>
        <v/>
      </c>
      <c r="Q417" s="17">
        <f>J417+L417+N417+O417-P417-M417</f>
        <v/>
      </c>
    </row>
    <row r="418">
      <c r="A418" s="16" t="inlineStr">
        <is>
          <t>5.1-5.7</t>
        </is>
      </c>
      <c r="B418" s="16" t="inlineStr">
        <is>
          <t>PO-128-14315918439030207</t>
        </is>
      </c>
      <c r="C418" s="16" t="inlineStr">
        <is>
          <t>Delivered</t>
        </is>
      </c>
      <c r="D418" s="16" t="inlineStr">
        <is>
          <t>128-14315994460790207</t>
        </is>
      </c>
      <c r="E418" s="16" t="inlineStr">
        <is>
          <t>Delivered</t>
        </is>
      </c>
      <c r="F418" s="16" t="inlineStr">
        <is>
          <t>SA323T</t>
        </is>
      </c>
      <c r="G418" s="16" t="inlineStr">
        <is>
          <t>Linkbits Bocina Portátil Parlantes BT Portátiles con Iluminación de Ambiente | 1 Hora de Duración, FM, TWS, TF/Micro SD | Ideal para Hogar, Fiestas y Viajes</t>
        </is>
      </c>
      <c r="H418" s="16" t="inlineStr">
        <is>
          <t>SA323T</t>
        </is>
      </c>
      <c r="I418" s="16" t="n">
        <v>1</v>
      </c>
      <c r="J418" s="17" t="n">
        <v>46.8</v>
      </c>
      <c r="K418" s="17" t="n">
        <v>55.86</v>
      </c>
      <c r="L418" s="17" t="n">
        <v>25.86</v>
      </c>
      <c r="M418" s="17" t="n">
        <v>0</v>
      </c>
      <c r="N418" s="17">
        <f>K418*0.08+L418*0.08</f>
        <v/>
      </c>
      <c r="O418" s="17">
        <f>-(K418*0.025+L418*0.025)</f>
        <v/>
      </c>
      <c r="P418" s="17">
        <f>32</f>
        <v/>
      </c>
      <c r="Q418" s="17">
        <f>J418+L418+N418+O418-P418-M418</f>
        <v/>
      </c>
    </row>
    <row r="419">
      <c r="A419" s="16" t="inlineStr">
        <is>
          <t>5.1-5.7</t>
        </is>
      </c>
      <c r="B419" s="16" t="inlineStr">
        <is>
          <t>PO-128-14191799368312035</t>
        </is>
      </c>
      <c r="C419" s="16" t="inlineStr">
        <is>
          <t>Delivered</t>
        </is>
      </c>
      <c r="D419" s="16" t="inlineStr">
        <is>
          <t>128-14191746939512035</t>
        </is>
      </c>
      <c r="E419" s="16" t="inlineStr">
        <is>
          <t>Delivered</t>
        </is>
      </c>
      <c r="F419" s="16" t="inlineStr">
        <is>
          <t>LV34W04</t>
        </is>
      </c>
      <c r="G41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19" s="16" t="inlineStr">
        <is>
          <t>LV34W04</t>
        </is>
      </c>
      <c r="I419" s="16" t="n">
        <v>2</v>
      </c>
      <c r="J419" s="17" t="n">
        <v>558</v>
      </c>
      <c r="K419" s="17" t="n">
        <v>536.58</v>
      </c>
      <c r="L419" s="17" t="n">
        <v>0</v>
      </c>
      <c r="M419" s="17" t="n">
        <v>0</v>
      </c>
      <c r="N419" s="17">
        <f>K419*0.08+L419*0.08</f>
        <v/>
      </c>
      <c r="O419" s="17">
        <f>-(K419*0.025+L419*0.025)</f>
        <v/>
      </c>
      <c r="P419" s="17">
        <f>32</f>
        <v/>
      </c>
      <c r="Q419" s="17">
        <f>J419+L419+N419+O419-P419-M419</f>
        <v/>
      </c>
    </row>
    <row r="420">
      <c r="A420" s="16" t="inlineStr">
        <is>
          <t>5.1-5.7</t>
        </is>
      </c>
      <c r="B420" s="16" t="inlineStr">
        <is>
          <t>PO-128-13989759396472087</t>
        </is>
      </c>
      <c r="C420" s="16" t="inlineStr">
        <is>
          <t>Delivered</t>
        </is>
      </c>
      <c r="D420" s="16" t="inlineStr">
        <is>
          <t>128-13989801339512087</t>
        </is>
      </c>
      <c r="E420" s="16" t="inlineStr">
        <is>
          <t>Delivered</t>
        </is>
      </c>
      <c r="F420" s="16" t="inlineStr">
        <is>
          <t>KTS-1678V</t>
        </is>
      </c>
      <c r="G420" s="16" t="inlineStr">
        <is>
          <t>Bocina portátil Inalámbrico, de 3 pulgadas, tamaño de bolsillo, 170 g, con asa, compatible con TF, USB y Micro SD, con radio FM y función TWS (True Wireless Stereo), adecuada para relajarse en casa o viajar al aire libre.</t>
        </is>
      </c>
      <c r="H420" s="16" t="inlineStr">
        <is>
          <t>KTS-1678V</t>
        </is>
      </c>
      <c r="I420" s="16" t="n">
        <v>1</v>
      </c>
      <c r="J420" s="17" t="n">
        <v>42.5</v>
      </c>
      <c r="K420" s="17" t="n">
        <v>34.11</v>
      </c>
      <c r="L420" s="17" t="n">
        <v>25.86</v>
      </c>
      <c r="M420" s="17" t="n">
        <v>0</v>
      </c>
      <c r="N420" s="17">
        <f>K420*0.08+L420*0.08</f>
        <v/>
      </c>
      <c r="O420" s="17">
        <f>-(K420*0.025+L420*0.025)</f>
        <v/>
      </c>
      <c r="P420" s="17">
        <f>32</f>
        <v/>
      </c>
      <c r="Q420" s="17">
        <f>J420+L420+N420+O420-P420-M420</f>
        <v/>
      </c>
    </row>
    <row r="421">
      <c r="A421" s="16" t="inlineStr">
        <is>
          <t>5.1-5.7</t>
        </is>
      </c>
      <c r="B421" s="16" t="inlineStr">
        <is>
          <t>PO-128-13929137388152510</t>
        </is>
      </c>
      <c r="C421" s="16" t="inlineStr">
        <is>
          <t>Delivered</t>
        </is>
      </c>
      <c r="D421" s="16" t="inlineStr">
        <is>
          <t>128-13929136405112510</t>
        </is>
      </c>
      <c r="E421" s="16" t="inlineStr">
        <is>
          <t>Delivered</t>
        </is>
      </c>
      <c r="F421" s="16" t="inlineStr">
        <is>
          <t>LB02235-rojo</t>
        </is>
      </c>
      <c r="G421" s="16" t="inlineStr">
        <is>
          <t>Audífonos Inalámbricos para la Cabeza, Recargables y Multifuncionales - Conectan a Varios Dispositivos, soportan Radio FM, Tarjeta TF y AUX - 4 Horas de Reproducción Musical - Ideal para Trabajo Cotidiano, Juegos y Estudio</t>
        </is>
      </c>
      <c r="H421" s="16" t="inlineStr">
        <is>
          <t>ROJO</t>
        </is>
      </c>
      <c r="I421" s="16" t="n">
        <v>1</v>
      </c>
      <c r="J421" s="17" t="n">
        <v>46</v>
      </c>
      <c r="K421" s="17" t="n">
        <v>59.12</v>
      </c>
      <c r="L421" s="17" t="n">
        <v>25.86</v>
      </c>
      <c r="M421" s="17" t="n">
        <v>0</v>
      </c>
      <c r="N421" s="17">
        <f>K421*0.08+L421*0.08</f>
        <v/>
      </c>
      <c r="O421" s="17">
        <f>-(K421*0.025+L421*0.025)</f>
        <v/>
      </c>
      <c r="P421" s="17">
        <f>32</f>
        <v/>
      </c>
      <c r="Q421" s="17">
        <f>J421+L421+N421+O421-P421-M421</f>
        <v/>
      </c>
    </row>
    <row r="422">
      <c r="A422" s="16" t="inlineStr">
        <is>
          <t>5.1-5.7</t>
        </is>
      </c>
      <c r="B422" s="16" t="inlineStr">
        <is>
          <t>PO-128-13799596943993282</t>
        </is>
      </c>
      <c r="C422" s="16" t="inlineStr">
        <is>
          <t>Delivered</t>
        </is>
      </c>
      <c r="D422" s="16" t="inlineStr">
        <is>
          <t>128-13799762750073282</t>
        </is>
      </c>
      <c r="E422" s="16" t="inlineStr">
        <is>
          <t>Delivered</t>
        </is>
      </c>
      <c r="F422" s="16" t="inlineStr">
        <is>
          <t>VB347T</t>
        </is>
      </c>
      <c r="G42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2" s="16" t="inlineStr">
        <is>
          <t>1 pieza</t>
        </is>
      </c>
      <c r="I422" s="16" t="n">
        <v>1</v>
      </c>
      <c r="J422" s="17" t="n">
        <v>79.89</v>
      </c>
      <c r="K422" s="17" t="n">
        <v>94.5</v>
      </c>
      <c r="L422" s="17" t="n">
        <v>25.86</v>
      </c>
      <c r="M422" s="17" t="n">
        <v>0</v>
      </c>
      <c r="N422" s="17">
        <f>K422*0.08+L422*0.08</f>
        <v/>
      </c>
      <c r="O422" s="17">
        <f>-(K422*0.025+L422*0.025)</f>
        <v/>
      </c>
      <c r="P422" s="17">
        <f>32</f>
        <v/>
      </c>
      <c r="Q422" s="17">
        <f>J422+L422+N422+O422-P422-M422</f>
        <v/>
      </c>
    </row>
    <row r="423">
      <c r="A423" s="16" t="inlineStr">
        <is>
          <t>5.1-5.7</t>
        </is>
      </c>
      <c r="B423" s="16" t="inlineStr">
        <is>
          <t>PO-128-14046248202872708</t>
        </is>
      </c>
      <c r="C423" s="16" t="inlineStr">
        <is>
          <t>Delivered</t>
        </is>
      </c>
      <c r="D423" s="16" t="inlineStr">
        <is>
          <t>128-14046253445752708</t>
        </is>
      </c>
      <c r="E423" s="16" t="inlineStr">
        <is>
          <t>Delivered</t>
        </is>
      </c>
      <c r="F423" s="16" t="inlineStr">
        <is>
          <t>MCM-001G</t>
        </is>
      </c>
      <c r="G423" s="16" t="inlineStr">
        <is>
          <t>Musicord Altavoz Inalámbrico BT Portátil: ¡Sonido impactante, luces LED multicolores y 4 horas de autonomía! Compatible con TWS, FM, TF y USB – Imprescindible para fiestas y viajes</t>
        </is>
      </c>
      <c r="H423" s="16" t="inlineStr">
        <is>
          <t>GRIS</t>
        </is>
      </c>
      <c r="I423" s="16" t="n">
        <v>1</v>
      </c>
      <c r="J423" s="17" t="n">
        <v>51.07</v>
      </c>
      <c r="K423" s="17" t="n">
        <v>49.89</v>
      </c>
      <c r="L423" s="17" t="n">
        <v>25.86</v>
      </c>
      <c r="M423" s="17" t="n">
        <v>0.02</v>
      </c>
      <c r="N423" s="17">
        <f>K423*0.08+L423*0.08</f>
        <v/>
      </c>
      <c r="O423" s="17">
        <f>-(K423*0.025+L423*0.025)</f>
        <v/>
      </c>
      <c r="P423" s="17">
        <f>32</f>
        <v/>
      </c>
      <c r="Q423" s="17">
        <f>J423+L423+N423+O423-P423-M423</f>
        <v/>
      </c>
    </row>
    <row r="424">
      <c r="A424" s="16" t="inlineStr">
        <is>
          <t>5.1-5.7</t>
        </is>
      </c>
      <c r="B424" s="16" t="inlineStr">
        <is>
          <t>PO-128-14305961001590136</t>
        </is>
      </c>
      <c r="C424" s="16" t="inlineStr">
        <is>
          <t>Delivered</t>
        </is>
      </c>
      <c r="D424" s="16" t="inlineStr">
        <is>
          <t>128-14305966244470136</t>
        </is>
      </c>
      <c r="E424" s="16" t="inlineStr">
        <is>
          <t>Delivered</t>
        </is>
      </c>
      <c r="F424" s="16" t="inlineStr">
        <is>
          <t>BS-22</t>
        </is>
      </c>
      <c r="G424" s="16" t="inlineStr">
        <is>
          <t>link bits Barra de Sonido para TV, 2x2" Altavoces + 2 Membranas de Graves, Sonido Claro ≥80dB, Bluetooth Inalámbrico, Conexiones AUX/USB, Diseño Compacto 76cm, Sonido Envolvente 3D para Cine en Casa, PC, Juegos y Fiestas</t>
        </is>
      </c>
      <c r="H424" s="16" t="inlineStr">
        <is>
          <t>BS-22</t>
        </is>
      </c>
      <c r="I424" s="16" t="n">
        <v>1</v>
      </c>
      <c r="J424" s="17" t="n">
        <v>260</v>
      </c>
      <c r="K424" s="17" t="n">
        <v>299.61</v>
      </c>
      <c r="L424" s="17" t="n">
        <v>0</v>
      </c>
      <c r="M424" s="17" t="n">
        <v>0</v>
      </c>
      <c r="N424" s="17">
        <f>K424*0.08+L424*0.08</f>
        <v/>
      </c>
      <c r="O424" s="17">
        <f>-(K424*0.025+L424*0.025)</f>
        <v/>
      </c>
      <c r="P424" s="17">
        <f>32</f>
        <v/>
      </c>
      <c r="Q424" s="17">
        <f>J424+L424+N424+O424-P424-M424</f>
        <v/>
      </c>
    </row>
    <row r="425">
      <c r="A425" s="16" t="inlineStr">
        <is>
          <t>5.1-5.7</t>
        </is>
      </c>
      <c r="B425" s="16" t="inlineStr">
        <is>
          <t>PO-128-13948467159672397</t>
        </is>
      </c>
      <c r="C425" s="16" t="inlineStr">
        <is>
          <t>Delivered</t>
        </is>
      </c>
      <c r="D425" s="16" t="inlineStr">
        <is>
          <t>128-13948519588472397</t>
        </is>
      </c>
      <c r="E425" s="16" t="inlineStr">
        <is>
          <t>Delivered</t>
        </is>
      </c>
      <c r="F425" s="16" t="inlineStr">
        <is>
          <t>BS-22</t>
        </is>
      </c>
      <c r="G425" s="16" t="inlineStr">
        <is>
          <t>link bits Barra de Sonido para TV, 2x2" Altavoces + 2 Membranas de Graves, Sonido Claro ≥80dB, Bluetooth Inalámbrico, Conexiones AUX/USB, Diseño Compacto 76cm, Sonido Envolvente 3D para Cine en Casa, PC, Juegos y Fiestas</t>
        </is>
      </c>
      <c r="H425" s="16" t="inlineStr">
        <is>
          <t>BS-22</t>
        </is>
      </c>
      <c r="I425" s="16" t="n">
        <v>1</v>
      </c>
      <c r="J425" s="17" t="n">
        <v>260</v>
      </c>
      <c r="K425" s="17" t="n">
        <v>299.61</v>
      </c>
      <c r="L425" s="17" t="n">
        <v>0</v>
      </c>
      <c r="M425" s="17" t="n">
        <v>0</v>
      </c>
      <c r="N425" s="17">
        <f>K425*0.08+L425*0.08</f>
        <v/>
      </c>
      <c r="O425" s="17">
        <f>-(K425*0.025+L425*0.025)</f>
        <v/>
      </c>
      <c r="P425" s="17">
        <f>32</f>
        <v/>
      </c>
      <c r="Q425" s="17">
        <f>J425+L425+N425+O425-P425-M425</f>
        <v/>
      </c>
    </row>
    <row r="426">
      <c r="A426" s="16" t="inlineStr">
        <is>
          <t>5.1-5.7</t>
        </is>
      </c>
      <c r="B426" s="16" t="inlineStr">
        <is>
          <t>PO-128-14222289377911725</t>
        </is>
      </c>
      <c r="C426" s="16" t="inlineStr">
        <is>
          <t>Delivered</t>
        </is>
      </c>
      <c r="D426" s="16" t="inlineStr">
        <is>
          <t>128-14222331320951725</t>
        </is>
      </c>
      <c r="E426" s="16" t="inlineStr">
        <is>
          <t>Delivered</t>
        </is>
      </c>
      <c r="F426" s="16" t="inlineStr">
        <is>
          <t>MB-185R</t>
        </is>
      </c>
      <c r="G426" s="16" t="inlineStr">
        <is>
          <t>Bocina Radio FM/Reproductor, Compatible con Tarjeta TF, USB, Bluetooth, Aplicable para celular, computadora, Ipad y consola.</t>
        </is>
      </c>
      <c r="H426" s="16" t="inlineStr">
        <is>
          <t>ROJO/MB-185</t>
        </is>
      </c>
      <c r="I426" s="16" t="n">
        <v>1</v>
      </c>
      <c r="J426" s="17" t="n">
        <v>75.59999999999999</v>
      </c>
      <c r="K426" s="17" t="n">
        <v>88.55</v>
      </c>
      <c r="L426" s="17" t="n">
        <v>25.86</v>
      </c>
      <c r="M426" s="17" t="n">
        <v>0</v>
      </c>
      <c r="N426" s="17">
        <f>K426*0.08+L426*0.08</f>
        <v/>
      </c>
      <c r="O426" s="17">
        <f>-(K426*0.025+L426*0.025)</f>
        <v/>
      </c>
      <c r="P426" s="17">
        <f>32</f>
        <v/>
      </c>
      <c r="Q426" s="17">
        <f>J426+L426+N426+O426-P426-M426</f>
        <v/>
      </c>
    </row>
    <row r="427">
      <c r="A427" s="16" t="inlineStr">
        <is>
          <t>5.1-5.7</t>
        </is>
      </c>
      <c r="B427" s="16" t="inlineStr">
        <is>
          <t>PO-128-13978054144632285</t>
        </is>
      </c>
      <c r="C427" s="16" t="inlineStr">
        <is>
          <t>Delivered</t>
        </is>
      </c>
      <c r="D427" s="16" t="inlineStr">
        <is>
          <t>128-13978033173112285</t>
        </is>
      </c>
      <c r="E427" s="16" t="inlineStr">
        <is>
          <t>Delivered</t>
        </is>
      </c>
      <c r="F427" s="16" t="inlineStr">
        <is>
          <t>LB02235-negro</t>
        </is>
      </c>
      <c r="G427" s="16" t="inlineStr">
        <is>
          <t>Audífonos Inalámbricos para la Cabeza, Recargables y Multifuncionales - Conectan a Varios Dispositivos, soportan Radio FM, Tarjeta TF y AUX - 4 Horas de Reproducción Musical - Ideal para Trabajo Cotidiano, Juegos y Estudio</t>
        </is>
      </c>
      <c r="H427" s="16" t="inlineStr">
        <is>
          <t>NEGRO</t>
        </is>
      </c>
      <c r="I427" s="16" t="n">
        <v>1</v>
      </c>
      <c r="J427" s="17" t="n">
        <v>45.31</v>
      </c>
      <c r="K427" s="17" t="n">
        <v>58.42</v>
      </c>
      <c r="L427" s="17" t="n">
        <v>25.86</v>
      </c>
      <c r="M427" s="17" t="n">
        <v>0</v>
      </c>
      <c r="N427" s="17">
        <f>K427*0.08+L427*0.08</f>
        <v/>
      </c>
      <c r="O427" s="17">
        <f>-(K427*0.025+L427*0.025)</f>
        <v/>
      </c>
      <c r="P427" s="17">
        <f>32</f>
        <v/>
      </c>
      <c r="Q427" s="17">
        <f>J427+L427+N427+O427-P427-M427</f>
        <v/>
      </c>
    </row>
    <row r="428">
      <c r="A428" s="16" t="inlineStr">
        <is>
          <t>5.1-5.7</t>
        </is>
      </c>
      <c r="B428" s="16" t="inlineStr">
        <is>
          <t>PO-128-14168774308471146</t>
        </is>
      </c>
      <c r="C428" s="16" t="inlineStr">
        <is>
          <t>Delivered</t>
        </is>
      </c>
      <c r="D428" s="16" t="inlineStr">
        <is>
          <t>128-14168816251511146</t>
        </is>
      </c>
      <c r="E428" s="16" t="inlineStr">
        <is>
          <t>Delivered</t>
        </is>
      </c>
      <c r="F428" s="16" t="inlineStr">
        <is>
          <t>LB02235-azul</t>
        </is>
      </c>
      <c r="G428" s="16" t="inlineStr">
        <is>
          <t>Audífonos Inalámbricos para la Cabeza, Recargables y Multifuncionales - Conectan a Varios Dispositivos, soportan Radio FM, Tarjeta TF y AUX - 4 Horas de Reproducción Musical - Ideal para Trabajo Cotidiano, Juegos y Estudio</t>
        </is>
      </c>
      <c r="H428" s="16" t="inlineStr">
        <is>
          <t>AZUL</t>
        </is>
      </c>
      <c r="I428" s="16" t="n">
        <v>1</v>
      </c>
      <c r="J428" s="17" t="n">
        <v>37.73</v>
      </c>
      <c r="K428" s="17" t="n">
        <v>24.98</v>
      </c>
      <c r="L428" s="17" t="n">
        <v>25.86</v>
      </c>
      <c r="M428" s="17" t="n">
        <v>0</v>
      </c>
      <c r="N428" s="17">
        <f>K428*0.08+L428*0.08</f>
        <v/>
      </c>
      <c r="O428" s="17">
        <f>-(K428*0.025+L428*0.025)</f>
        <v/>
      </c>
      <c r="P428" s="17">
        <f>32</f>
        <v/>
      </c>
      <c r="Q428" s="17">
        <f>J428+L428+N428+O428-P428-M428</f>
        <v/>
      </c>
    </row>
    <row r="429">
      <c r="A429" s="16" t="inlineStr">
        <is>
          <t>5.1-5.7</t>
        </is>
      </c>
      <c r="B429" s="16" t="inlineStr">
        <is>
          <t>PO-128-13817663493753113</t>
        </is>
      </c>
      <c r="C429" s="16" t="inlineStr">
        <is>
          <t>Delivered</t>
        </is>
      </c>
      <c r="D429" s="16" t="inlineStr">
        <is>
          <t>128-13817684465273113</t>
        </is>
      </c>
      <c r="E429" s="16" t="inlineStr">
        <is>
          <t>Delivered</t>
        </is>
      </c>
      <c r="F429" s="16" t="inlineStr">
        <is>
          <t>AIR50W06-2P</t>
        </is>
      </c>
      <c r="G429" s="16" t="inlineStr">
        <is>
          <t>Link Bits Ventilador de piso de 16 pulgadas, 2 unidades, 3 velocidades, motor silencioso, flujo de aire fuerte, altura ajustable, oscilación amplia, ventilador eléctrico para el hogar, ideal para sala, recámara y oficina</t>
        </is>
      </c>
      <c r="H429" s="16" t="inlineStr">
        <is>
          <t>2PZ</t>
        </is>
      </c>
      <c r="I429" s="16" t="n">
        <v>1</v>
      </c>
      <c r="J429" s="17" t="n">
        <v>445</v>
      </c>
      <c r="K429" s="17" t="n">
        <v>433.6</v>
      </c>
      <c r="L429" s="17" t="n">
        <v>0</v>
      </c>
      <c r="M429" s="17" t="n">
        <v>273.02</v>
      </c>
      <c r="N429" s="17">
        <f>K429*0.08+L429*0.08</f>
        <v/>
      </c>
      <c r="O429" s="17">
        <f>-(K429*0.025+L429*0.025)</f>
        <v/>
      </c>
      <c r="P429" s="17">
        <f>32</f>
        <v/>
      </c>
      <c r="Q429" s="17">
        <f>J429+L429+N429+O429-P429-M429</f>
        <v/>
      </c>
    </row>
    <row r="430">
      <c r="A430" s="16" t="inlineStr">
        <is>
          <t>5.1-5.7</t>
        </is>
      </c>
      <c r="B430" s="16" t="inlineStr">
        <is>
          <t>PO-128-14159329024631074</t>
        </is>
      </c>
      <c r="C430" s="16" t="inlineStr">
        <is>
          <t>Delivered</t>
        </is>
      </c>
      <c r="D430" s="16" t="inlineStr">
        <is>
          <t>128-14159334267511074</t>
        </is>
      </c>
      <c r="E430" s="16" t="inlineStr">
        <is>
          <t>Delivered</t>
        </is>
      </c>
      <c r="F430" s="16" t="inlineStr">
        <is>
          <t>KTS-1678R</t>
        </is>
      </c>
      <c r="G430" s="16" t="inlineStr">
        <is>
          <t>Bocina portátil Inalámbrico, de 3 pulgadas, tamaño de bolsillo, 170 g, con asa, compatible con TF, USB y Micro SD, con radio FM y función TWS (True Wireless Stereo), adecuada para relajarse en casa o viajar al aire libre.</t>
        </is>
      </c>
      <c r="H430" s="16" t="inlineStr">
        <is>
          <t>KTS-1678R</t>
        </is>
      </c>
      <c r="I430" s="16" t="n">
        <v>1</v>
      </c>
      <c r="J430" s="17" t="n">
        <v>42.5</v>
      </c>
      <c r="K430" s="17" t="n">
        <v>41.59</v>
      </c>
      <c r="L430" s="17" t="n">
        <v>25.86</v>
      </c>
      <c r="M430" s="17" t="n">
        <v>0</v>
      </c>
      <c r="N430" s="17">
        <f>K430*0.08+L430*0.08</f>
        <v/>
      </c>
      <c r="O430" s="17">
        <f>-(K430*0.025+L430*0.025)</f>
        <v/>
      </c>
      <c r="P430" s="17">
        <f>32</f>
        <v/>
      </c>
      <c r="Q430" s="17">
        <f>J430+L430+N430+O430-P430-M430</f>
        <v/>
      </c>
    </row>
    <row r="431">
      <c r="A431" s="16" t="inlineStr">
        <is>
          <t>5.1-5.7</t>
        </is>
      </c>
      <c r="B431" s="16" t="inlineStr">
        <is>
          <t>PO-128-14406168023670757</t>
        </is>
      </c>
      <c r="C431" s="16" t="inlineStr">
        <is>
          <t>Delivered</t>
        </is>
      </c>
      <c r="D431" s="16" t="inlineStr">
        <is>
          <t>128-14406147052150757</t>
        </is>
      </c>
      <c r="E431" s="16" t="inlineStr">
        <is>
          <t>Delivered</t>
        </is>
      </c>
      <c r="F431" s="16" t="inlineStr">
        <is>
          <t>SA8056T</t>
        </is>
      </c>
      <c r="G43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31" s="16" t="inlineStr">
        <is>
          <t>SA8056T</t>
        </is>
      </c>
      <c r="I431" s="16" t="n">
        <v>1</v>
      </c>
      <c r="J431" s="17" t="n">
        <v>150.45</v>
      </c>
      <c r="K431" s="17" t="n">
        <v>170.84</v>
      </c>
      <c r="L431" s="17" t="n">
        <v>25.86</v>
      </c>
      <c r="M431" s="17" t="n">
        <v>0</v>
      </c>
      <c r="N431" s="17">
        <f>K431*0.08+L431*0.08</f>
        <v/>
      </c>
      <c r="O431" s="17">
        <f>-(K431*0.025+L431*0.025)</f>
        <v/>
      </c>
      <c r="P431" s="17">
        <f>32</f>
        <v/>
      </c>
      <c r="Q431" s="17">
        <f>J431+L431+N431+O431-P431-M431</f>
        <v/>
      </c>
    </row>
    <row r="432">
      <c r="A432" s="16" t="inlineStr">
        <is>
          <t>5.1-5.7</t>
        </is>
      </c>
      <c r="B432" s="16" t="inlineStr">
        <is>
          <t>PO-128-14296997540470382</t>
        </is>
      </c>
      <c r="C432" s="16" t="inlineStr">
        <is>
          <t>Delivered</t>
        </is>
      </c>
      <c r="D432" s="16" t="inlineStr">
        <is>
          <t>128-14297018511990382</t>
        </is>
      </c>
      <c r="E432" s="16" t="inlineStr">
        <is>
          <t>Delivered</t>
        </is>
      </c>
      <c r="F432" s="16" t="inlineStr">
        <is>
          <t>SA325T</t>
        </is>
      </c>
      <c r="G432" s="16" t="inlineStr">
        <is>
          <t>Subwoofer Portátil Inalámbrico con Luces RGB, Sonido de Alta Potencia y Batería Duradera, TWS TF USB, Perfecto para Campamento Fiestas y Entretenimiento en Casa</t>
        </is>
      </c>
      <c r="H432" s="16" t="inlineStr">
        <is>
          <t>NEGRO</t>
        </is>
      </c>
      <c r="I432" s="16" t="n">
        <v>1</v>
      </c>
      <c r="J432" s="17" t="n">
        <v>38</v>
      </c>
      <c r="K432" s="17" t="n">
        <v>3.96</v>
      </c>
      <c r="L432" s="17" t="n">
        <v>25.86</v>
      </c>
      <c r="M432" s="17" t="n">
        <v>0</v>
      </c>
      <c r="N432" s="17">
        <f>K432*0.08+L432*0.08</f>
        <v/>
      </c>
      <c r="O432" s="17">
        <f>-(K432*0.025+L432*0.025)</f>
        <v/>
      </c>
      <c r="P432" s="17">
        <f>32</f>
        <v/>
      </c>
      <c r="Q432" s="17">
        <f>J432+L432+N432+O432-P432-M432</f>
        <v/>
      </c>
    </row>
    <row r="433">
      <c r="A433" s="16" t="inlineStr">
        <is>
          <t>5.1-5.7</t>
        </is>
      </c>
      <c r="B433" s="16" t="inlineStr">
        <is>
          <t>PO-128-13810676531833088</t>
        </is>
      </c>
      <c r="C433" s="16" t="inlineStr">
        <is>
          <t>Delivered</t>
        </is>
      </c>
      <c r="D433" s="16" t="inlineStr">
        <is>
          <t>128-13810702746233088</t>
        </is>
      </c>
      <c r="E433" s="16" t="inlineStr">
        <is>
          <t>Delivered</t>
        </is>
      </c>
      <c r="F433" s="16" t="inlineStr">
        <is>
          <t>MB-185R</t>
        </is>
      </c>
      <c r="G433" s="16" t="inlineStr">
        <is>
          <t>Bocina Radio FM/Reproductor, Compatible con Tarjeta TF, USB, Bluetooth, Aplicable para celular, computadora, Ipad y consola.</t>
        </is>
      </c>
      <c r="H433" s="16" t="inlineStr">
        <is>
          <t>ROJO/MB-185</t>
        </is>
      </c>
      <c r="I433" s="16" t="n">
        <v>1</v>
      </c>
      <c r="J433" s="17" t="n">
        <v>75.59999999999999</v>
      </c>
      <c r="K433" s="17" t="n">
        <v>76.20999999999999</v>
      </c>
      <c r="L433" s="17" t="n">
        <v>25.86</v>
      </c>
      <c r="M433" s="17" t="n">
        <v>0</v>
      </c>
      <c r="N433" s="17">
        <f>K433*0.08+L433*0.08</f>
        <v/>
      </c>
      <c r="O433" s="17">
        <f>-(K433*0.025+L433*0.025)</f>
        <v/>
      </c>
      <c r="P433" s="17">
        <f>32</f>
        <v/>
      </c>
      <c r="Q433" s="17">
        <f>J433+L433+N433+O433-P433-M433</f>
        <v/>
      </c>
    </row>
    <row r="434">
      <c r="A434" s="16" t="inlineStr">
        <is>
          <t>5.1-5.7</t>
        </is>
      </c>
      <c r="B434" s="16" t="inlineStr">
        <is>
          <t>PO-128-13748494177913461</t>
        </is>
      </c>
      <c r="C434" s="16" t="inlineStr">
        <is>
          <t>Delivered</t>
        </is>
      </c>
      <c r="D434" s="16" t="inlineStr">
        <is>
          <t>128-13748446991993461</t>
        </is>
      </c>
      <c r="E434" s="16" t="inlineStr">
        <is>
          <t>Delivered</t>
        </is>
      </c>
      <c r="F434" s="16" t="inlineStr">
        <is>
          <t>LB02235-azul</t>
        </is>
      </c>
      <c r="G434" s="16" t="inlineStr">
        <is>
          <t>Audífonos Inalámbricos para la Cabeza, Recargables y Multifuncionales - Conectan a Varios Dispositivos, soportan Radio FM, Tarjeta TF y AUX - 4 Horas de Reproducción Musical - Ideal para Trabajo Cotidiano, Juegos y Estudio</t>
        </is>
      </c>
      <c r="H434" s="16" t="inlineStr">
        <is>
          <t>AZUL</t>
        </is>
      </c>
      <c r="I434" s="16" t="n">
        <v>1</v>
      </c>
      <c r="J434" s="17" t="n">
        <v>37.73</v>
      </c>
      <c r="K434" s="17" t="n">
        <v>50.84</v>
      </c>
      <c r="L434" s="17" t="n">
        <v>25.86</v>
      </c>
      <c r="M434" s="17" t="n">
        <v>0</v>
      </c>
      <c r="N434" s="17">
        <f>K434*0.08+L434*0.08</f>
        <v/>
      </c>
      <c r="O434" s="17">
        <f>-(K434*0.025+L434*0.025)</f>
        <v/>
      </c>
      <c r="P434" s="17">
        <f>32</f>
        <v/>
      </c>
      <c r="Q434" s="17">
        <f>J434+L434+N434+O434-P434-M434</f>
        <v/>
      </c>
    </row>
    <row r="435">
      <c r="A435" s="16" t="inlineStr">
        <is>
          <t>5.1-5.7</t>
        </is>
      </c>
      <c r="B435" s="16" t="inlineStr">
        <is>
          <t>PO-128-14057231652472773</t>
        </is>
      </c>
      <c r="C435" s="16" t="inlineStr">
        <is>
          <t>Delivered</t>
        </is>
      </c>
      <c r="D435" s="16" t="inlineStr">
        <is>
          <t>128-14057252623992773</t>
        </is>
      </c>
      <c r="E435" s="16" t="inlineStr">
        <is>
          <t>Delivered</t>
        </is>
      </c>
      <c r="F435" s="16" t="inlineStr">
        <is>
          <t>LB02235-blanco</t>
        </is>
      </c>
      <c r="G435" s="16" t="inlineStr">
        <is>
          <t>Audífonos Inalámbricos para la Cabeza, Recargables y Multifuncionales - Conectan a Varios Dispositivos, soportan Radio FM, Tarjeta TF y AUX - 4 Horas de Reproducción Musical - Ideal para Trabajo Cotidiano, Juegos y Estudio</t>
        </is>
      </c>
      <c r="H435" s="16" t="inlineStr">
        <is>
          <t>BLANCO</t>
        </is>
      </c>
      <c r="I435" s="16" t="n">
        <v>1</v>
      </c>
      <c r="J435" s="17" t="n">
        <v>45.31</v>
      </c>
      <c r="K435" s="17" t="n">
        <v>58.42</v>
      </c>
      <c r="L435" s="17" t="n">
        <v>12.93</v>
      </c>
      <c r="M435" s="17" t="n">
        <v>0</v>
      </c>
      <c r="N435" s="17">
        <f>K435*0.08+L435*0.08</f>
        <v/>
      </c>
      <c r="O435" s="17">
        <f>-(K435*0.025+L435*0.025)</f>
        <v/>
      </c>
      <c r="P435" s="17">
        <f>32</f>
        <v/>
      </c>
      <c r="Q435" s="17">
        <f>J435+L435+N435+O435-P435-M435</f>
        <v/>
      </c>
    </row>
    <row r="436">
      <c r="A436" s="16" t="inlineStr">
        <is>
          <t>5.1-5.7</t>
        </is>
      </c>
      <c r="B436" s="16" t="inlineStr">
        <is>
          <t>PO-128-14057231652472773</t>
        </is>
      </c>
      <c r="C436" s="16" t="inlineStr">
        <is>
          <t>Delivered</t>
        </is>
      </c>
      <c r="D436" s="16" t="inlineStr">
        <is>
          <t>128-14057210680952773</t>
        </is>
      </c>
      <c r="E436" s="16" t="inlineStr">
        <is>
          <t>Delivered</t>
        </is>
      </c>
      <c r="F436" s="16" t="inlineStr">
        <is>
          <t>LB02235-negro</t>
        </is>
      </c>
      <c r="G436" s="16" t="inlineStr">
        <is>
          <t>Audífonos Inalámbricos para la Cabeza, Recargables y Multifuncionales - Conectan a Varios Dispositivos, soportan Radio FM, Tarjeta TF y AUX - 4 Horas de Reproducción Musical - Ideal para Trabajo Cotidiano, Juegos y Estudio</t>
        </is>
      </c>
      <c r="H436" s="16" t="inlineStr">
        <is>
          <t>NEGRO</t>
        </is>
      </c>
      <c r="I436" s="16" t="n">
        <v>1</v>
      </c>
      <c r="J436" s="17" t="n">
        <v>45.31</v>
      </c>
      <c r="K436" s="17" t="n">
        <v>58.42</v>
      </c>
      <c r="L436" s="17" t="n">
        <v>12.93</v>
      </c>
      <c r="M436" s="17" t="n">
        <v>0</v>
      </c>
      <c r="N436" s="17">
        <f>K436*0.08+L436*0.08</f>
        <v/>
      </c>
      <c r="O436" s="17">
        <f>-(K436*0.025+L436*0.025)</f>
        <v/>
      </c>
      <c r="P436" s="17">
        <f>32</f>
        <v/>
      </c>
      <c r="Q436" s="17">
        <f>J436+L436+N436+O436-P436-M436</f>
        <v/>
      </c>
    </row>
    <row r="437">
      <c r="A437" s="16" t="inlineStr">
        <is>
          <t>5.1-5.7</t>
        </is>
      </c>
      <c r="B437" s="16" t="inlineStr">
        <is>
          <t>PO-128-13775838218873360</t>
        </is>
      </c>
      <c r="C437" s="16" t="inlineStr">
        <is>
          <t>Delivered</t>
        </is>
      </c>
      <c r="D437" s="16" t="inlineStr">
        <is>
          <t>128-13775788411513360</t>
        </is>
      </c>
      <c r="E437" s="16" t="inlineStr">
        <is>
          <t>Delivered</t>
        </is>
      </c>
      <c r="F437" s="16" t="inlineStr">
        <is>
          <t>EM04W36</t>
        </is>
      </c>
      <c r="G43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37" s="16" t="inlineStr">
        <is>
          <t>1 pieza</t>
        </is>
      </c>
      <c r="I437" s="16" t="n">
        <v>1</v>
      </c>
      <c r="J437" s="17" t="n">
        <v>89.5</v>
      </c>
      <c r="K437" s="17" t="n">
        <v>108.97</v>
      </c>
      <c r="L437" s="17" t="n">
        <v>25.86</v>
      </c>
      <c r="M437" s="17" t="n">
        <v>0</v>
      </c>
      <c r="N437" s="17">
        <f>K437*0.08+L437*0.08</f>
        <v/>
      </c>
      <c r="O437" s="17">
        <f>-(K437*0.025+L437*0.025)</f>
        <v/>
      </c>
      <c r="P437" s="17">
        <f>32</f>
        <v/>
      </c>
      <c r="Q437" s="17">
        <f>J437+L437+N437+O437-P437-M437</f>
        <v/>
      </c>
    </row>
    <row r="438">
      <c r="A438" s="16" t="inlineStr">
        <is>
          <t>5.1-5.7</t>
        </is>
      </c>
      <c r="B438" s="16" t="inlineStr">
        <is>
          <t>PO-128-14306764053110132</t>
        </is>
      </c>
      <c r="C438" s="16" t="inlineStr">
        <is>
          <t>Delivered</t>
        </is>
      </c>
      <c r="D438" s="16" t="inlineStr">
        <is>
          <t>128-14306722110070132</t>
        </is>
      </c>
      <c r="E438" s="16" t="inlineStr">
        <is>
          <t>Delivered</t>
        </is>
      </c>
      <c r="F438" s="16" t="inlineStr">
        <is>
          <t>LB02235-negro</t>
        </is>
      </c>
      <c r="G438" s="16" t="inlineStr">
        <is>
          <t>Audífonos Inalámbricos para la Cabeza, Recargables y Multifuncionales - Conectan a Varios Dispositivos, soportan Radio FM, Tarjeta TF y AUX - 4 Horas de Reproducción Musical - Ideal para Trabajo Cotidiano, Juegos y Estudio</t>
        </is>
      </c>
      <c r="H438" s="16" t="inlineStr">
        <is>
          <t>NEGRO</t>
        </is>
      </c>
      <c r="I438" s="16" t="n">
        <v>1</v>
      </c>
      <c r="J438" s="17" t="n">
        <v>45.31</v>
      </c>
      <c r="K438" s="17" t="n">
        <v>58.42</v>
      </c>
      <c r="L438" s="17" t="n">
        <v>25.86</v>
      </c>
      <c r="M438" s="17" t="n">
        <v>0</v>
      </c>
      <c r="N438" s="17">
        <f>K438*0.08+L438*0.08</f>
        <v/>
      </c>
      <c r="O438" s="17">
        <f>-(K438*0.025+L438*0.025)</f>
        <v/>
      </c>
      <c r="P438" s="17">
        <f>32</f>
        <v/>
      </c>
      <c r="Q438" s="17">
        <f>J438+L438+N438+O438-P438-M438</f>
        <v/>
      </c>
    </row>
    <row r="439">
      <c r="A439" s="16" t="inlineStr">
        <is>
          <t>5.1-5.7</t>
        </is>
      </c>
      <c r="B439" s="16" t="inlineStr">
        <is>
          <t>PO-128-14279908362870484</t>
        </is>
      </c>
      <c r="C439" s="16" t="inlineStr">
        <is>
          <t>Delivered</t>
        </is>
      </c>
      <c r="D439" s="16" t="inlineStr">
        <is>
          <t>128-14279866419830484</t>
        </is>
      </c>
      <c r="E439" s="16" t="inlineStr">
        <is>
          <t>Delivered</t>
        </is>
      </c>
      <c r="F439" s="16" t="inlineStr">
        <is>
          <t>LB02235-azul</t>
        </is>
      </c>
      <c r="G439" s="16" t="inlineStr">
        <is>
          <t>Audífonos Inalámbricos para la Cabeza, Recargables y Multifuncionales - Conectan a Varios Dispositivos, soportan Radio FM, Tarjeta TF y AUX - 4 Horas de Reproducción Musical - Ideal para Trabajo Cotidiano, Juegos y Estudio</t>
        </is>
      </c>
      <c r="H439" s="16" t="inlineStr">
        <is>
          <t>AZUL</t>
        </is>
      </c>
      <c r="I439" s="16" t="n">
        <v>1</v>
      </c>
      <c r="J439" s="17" t="n">
        <v>37.73</v>
      </c>
      <c r="K439" s="17" t="n">
        <v>43.22</v>
      </c>
      <c r="L439" s="17" t="n">
        <v>25.86</v>
      </c>
      <c r="M439" s="17" t="n">
        <v>0</v>
      </c>
      <c r="N439" s="17">
        <f>K439*0.08+L439*0.08</f>
        <v/>
      </c>
      <c r="O439" s="17">
        <f>-(K439*0.025+L439*0.025)</f>
        <v/>
      </c>
      <c r="P439" s="17">
        <f>32</f>
        <v/>
      </c>
      <c r="Q439" s="17">
        <f>J439+L439+N439+O439-P439-M439</f>
        <v/>
      </c>
    </row>
    <row r="440">
      <c r="A440" s="16" t="inlineStr">
        <is>
          <t>5.1-5.7</t>
        </is>
      </c>
      <c r="B440" s="16" t="inlineStr">
        <is>
          <t>PO-128-14076688364152593</t>
        </is>
      </c>
      <c r="C440" s="16" t="inlineStr">
        <is>
          <t>Delivered</t>
        </is>
      </c>
      <c r="D440" s="16" t="inlineStr">
        <is>
          <t>128-14076698849912593</t>
        </is>
      </c>
      <c r="E440" s="16" t="inlineStr">
        <is>
          <t>Delivered</t>
        </is>
      </c>
      <c r="F440" s="16" t="inlineStr">
        <is>
          <t>MB-183N</t>
        </is>
      </c>
      <c r="G440" s="16" t="inlineStr">
        <is>
          <t>Linkbits Altavoz Bluetooth Portátil con Stereo Inalámbrico TWS Impermeable y a Prueba de Polvo IP65 Altavoz de Graves de Rango Completo de 52mm con Doble Unidad Ligero de 215g para Camping Senderismo y Fiestas al Aire Libre</t>
        </is>
      </c>
      <c r="H440" s="16" t="inlineStr">
        <is>
          <t>NEGRO/MB-183</t>
        </is>
      </c>
      <c r="I440" s="16" t="n">
        <v>1</v>
      </c>
      <c r="J440" s="17" t="n">
        <v>90</v>
      </c>
      <c r="K440" s="17" t="n">
        <v>107.39</v>
      </c>
      <c r="L440" s="17" t="n">
        <v>25.86</v>
      </c>
      <c r="M440" s="17" t="n">
        <v>0</v>
      </c>
      <c r="N440" s="17">
        <f>K440*0.08+L440*0.08</f>
        <v/>
      </c>
      <c r="O440" s="17">
        <f>-(K440*0.025+L440*0.025)</f>
        <v/>
      </c>
      <c r="P440" s="17">
        <f>32</f>
        <v/>
      </c>
      <c r="Q440" s="17">
        <f>J440+L440+N440+O440-P440-M440</f>
        <v/>
      </c>
    </row>
    <row r="441">
      <c r="A441" s="16" t="inlineStr">
        <is>
          <t>5.1-5.7</t>
        </is>
      </c>
      <c r="B441" s="16" t="inlineStr">
        <is>
          <t>PO-128-14223386143351719</t>
        </is>
      </c>
      <c r="C441" s="16" t="inlineStr">
        <is>
          <t>Delivered</t>
        </is>
      </c>
      <c r="D441" s="16" t="inlineStr">
        <is>
          <t>128-14223344200311719</t>
        </is>
      </c>
      <c r="E441" s="16" t="inlineStr">
        <is>
          <t>Delivered</t>
        </is>
      </c>
      <c r="F441" s="16" t="inlineStr">
        <is>
          <t>LB02235-azul</t>
        </is>
      </c>
      <c r="G441" s="16" t="inlineStr">
        <is>
          <t>Audífonos Inalámbricos para la Cabeza, Recargables y Multifuncionales - Conectan a Varios Dispositivos, soportan Radio FM, Tarjeta TF y AUX - 4 Horas de Reproducción Musical - Ideal para Trabajo Cotidiano, Juegos y Estudio</t>
        </is>
      </c>
      <c r="H441" s="16" t="inlineStr">
        <is>
          <t>AZUL</t>
        </is>
      </c>
      <c r="I441" s="16" t="n">
        <v>1</v>
      </c>
      <c r="J441" s="17" t="n">
        <v>37.73</v>
      </c>
      <c r="K441" s="17" t="n">
        <v>7.74</v>
      </c>
      <c r="L441" s="17" t="n">
        <v>25.86</v>
      </c>
      <c r="M441" s="17" t="n">
        <v>0</v>
      </c>
      <c r="N441" s="17">
        <f>K441*0.08+L441*0.08</f>
        <v/>
      </c>
      <c r="O441" s="17">
        <f>-(K441*0.025+L441*0.025)</f>
        <v/>
      </c>
      <c r="P441" s="17">
        <f>32</f>
        <v/>
      </c>
      <c r="Q441" s="17">
        <f>J441+L441+N441+O441-P441-M441</f>
        <v/>
      </c>
    </row>
    <row r="442">
      <c r="A442" s="16" t="inlineStr">
        <is>
          <t>5.1-5.7</t>
        </is>
      </c>
      <c r="B442" s="16" t="inlineStr">
        <is>
          <t>PO-128-13872332073593939</t>
        </is>
      </c>
      <c r="C442" s="16" t="inlineStr">
        <is>
          <t>Delivered</t>
        </is>
      </c>
      <c r="D442" s="16" t="inlineStr">
        <is>
          <t>128-13872316344953939</t>
        </is>
      </c>
      <c r="E442" s="16" t="inlineStr">
        <is>
          <t>Delivered</t>
        </is>
      </c>
      <c r="F442" s="16" t="inlineStr">
        <is>
          <t>BS-22</t>
        </is>
      </c>
      <c r="G442" s="16" t="inlineStr">
        <is>
          <t>link bits Barra de Sonido para TV, 2x2" Altavoces + 2 Membranas de Graves, Sonido Claro ≥80dB, Bluetooth Inalámbrico, Conexiones AUX/USB, Diseño Compacto 76cm, Sonido Envolvente 3D para Cine en Casa, PC, Juegos y Fiestas</t>
        </is>
      </c>
      <c r="H442" s="16" t="inlineStr">
        <is>
          <t>BS-22</t>
        </is>
      </c>
      <c r="I442" s="16" t="n">
        <v>1</v>
      </c>
      <c r="J442" s="17" t="n">
        <v>260</v>
      </c>
      <c r="K442" s="17" t="n">
        <v>299.61</v>
      </c>
      <c r="L442" s="17" t="n">
        <v>0</v>
      </c>
      <c r="M442" s="17" t="n">
        <v>0</v>
      </c>
      <c r="N442" s="17">
        <f>K442*0.08+L442*0.08</f>
        <v/>
      </c>
      <c r="O442" s="17">
        <f>-(K442*0.025+L442*0.025)</f>
        <v/>
      </c>
      <c r="P442" s="17">
        <f>32</f>
        <v/>
      </c>
      <c r="Q442" s="17">
        <f>J442+L442+N442+O442-P442-M442</f>
        <v/>
      </c>
    </row>
    <row r="443">
      <c r="A443" s="16" t="inlineStr">
        <is>
          <t>5.1-5.7</t>
        </is>
      </c>
      <c r="B443" s="16" t="inlineStr">
        <is>
          <t>PO-128-14305257313910143</t>
        </is>
      </c>
      <c r="C443" s="16" t="inlineStr">
        <is>
          <t>Delivered</t>
        </is>
      </c>
      <c r="D443" s="16" t="inlineStr">
        <is>
          <t>128-14305215370870143</t>
        </is>
      </c>
      <c r="E443" s="16" t="inlineStr">
        <is>
          <t>Delivered</t>
        </is>
      </c>
      <c r="F443" s="16" t="inlineStr">
        <is>
          <t>SA323T</t>
        </is>
      </c>
      <c r="G443" s="16" t="inlineStr">
        <is>
          <t>Linkbits Bocina Portátil Parlantes BT Portátiles con Iluminación de Ambiente | 1 Hora de Duración, FM, TWS, TF/Micro SD | Ideal para Hogar, Fiestas y Viajes</t>
        </is>
      </c>
      <c r="H443" s="16" t="inlineStr">
        <is>
          <t>SA323T</t>
        </is>
      </c>
      <c r="I443" s="16" t="n">
        <v>2</v>
      </c>
      <c r="J443" s="17" t="n">
        <v>93.59999999999999</v>
      </c>
      <c r="K443" s="17" t="n">
        <v>111.72</v>
      </c>
      <c r="L443" s="17" t="n">
        <v>25.86</v>
      </c>
      <c r="M443" s="17" t="n">
        <v>3.64</v>
      </c>
      <c r="N443" s="17">
        <f>K443*0.08+L443*0.08</f>
        <v/>
      </c>
      <c r="O443" s="17">
        <f>-(K443*0.025+L443*0.025)</f>
        <v/>
      </c>
      <c r="P443" s="17">
        <f>32</f>
        <v/>
      </c>
      <c r="Q443" s="17">
        <f>J443+L443+N443+O443-P443-M443</f>
        <v/>
      </c>
    </row>
    <row r="444">
      <c r="A444" s="16" t="inlineStr">
        <is>
          <t>5.1-5.7</t>
        </is>
      </c>
      <c r="B444" s="16" t="inlineStr">
        <is>
          <t>PO-128-14223624151671717</t>
        </is>
      </c>
      <c r="C444" s="16" t="inlineStr">
        <is>
          <t>Delivered</t>
        </is>
      </c>
      <c r="D444" s="16" t="inlineStr">
        <is>
          <t>128-14223666094711717</t>
        </is>
      </c>
      <c r="E444" s="16" t="inlineStr">
        <is>
          <t>Delivered</t>
        </is>
      </c>
      <c r="F444" s="16" t="inlineStr">
        <is>
          <t>SA323T</t>
        </is>
      </c>
      <c r="G444" s="16" t="inlineStr">
        <is>
          <t>Linkbits Bocina Portátil Parlantes BT Portátiles con Iluminación de Ambiente | 1 Hora de Duración, FM, TWS, TF/Micro SD | Ideal para Hogar, Fiestas y Viajes</t>
        </is>
      </c>
      <c r="H444" s="16" t="inlineStr">
        <is>
          <t>SA323T</t>
        </is>
      </c>
      <c r="I444" s="16" t="n">
        <v>1</v>
      </c>
      <c r="J444" s="17" t="n">
        <v>46.8</v>
      </c>
      <c r="K444" s="17" t="n">
        <v>55.86</v>
      </c>
      <c r="L444" s="17" t="n">
        <v>25.86</v>
      </c>
      <c r="M444" s="17" t="n">
        <v>0</v>
      </c>
      <c r="N444" s="17">
        <f>K444*0.08+L444*0.08</f>
        <v/>
      </c>
      <c r="O444" s="17">
        <f>-(K444*0.025+L444*0.025)</f>
        <v/>
      </c>
      <c r="P444" s="17">
        <f>32</f>
        <v/>
      </c>
      <c r="Q444" s="17">
        <f>J444+L444+N444+O444-P444-M444</f>
        <v/>
      </c>
    </row>
    <row r="445">
      <c r="A445" s="16" t="inlineStr">
        <is>
          <t>5.1-5.7</t>
        </is>
      </c>
      <c r="B445" s="16" t="inlineStr">
        <is>
          <t>PO-128-14118927626871317</t>
        </is>
      </c>
      <c r="C445" s="16" t="inlineStr">
        <is>
          <t>Delivered</t>
        </is>
      </c>
      <c r="D445" s="16" t="inlineStr">
        <is>
          <t>128-14118969569911317</t>
        </is>
      </c>
      <c r="E445" s="16" t="inlineStr">
        <is>
          <t>Delivered</t>
        </is>
      </c>
      <c r="F445" s="16" t="inlineStr">
        <is>
          <t>SA325T</t>
        </is>
      </c>
      <c r="G445" s="16" t="inlineStr">
        <is>
          <t>Subwoofer Portátil Inalámbrico con Luces RGB, Sonido de Alta Potencia y Batería Duradera, TWS TF USB, Perfecto para Campamento Fiestas y Entretenimiento en Casa</t>
        </is>
      </c>
      <c r="H445" s="16" t="inlineStr">
        <is>
          <t>NEGRO</t>
        </is>
      </c>
      <c r="I445" s="16" t="n">
        <v>1</v>
      </c>
      <c r="J445" s="17" t="n">
        <v>38</v>
      </c>
      <c r="K445" s="17" t="n">
        <v>42.36</v>
      </c>
      <c r="L445" s="17" t="n">
        <v>25.86</v>
      </c>
      <c r="M445" s="17" t="n">
        <v>0</v>
      </c>
      <c r="N445" s="17">
        <f>K445*0.08+L445*0.08</f>
        <v/>
      </c>
      <c r="O445" s="17">
        <f>-(K445*0.025+L445*0.025)</f>
        <v/>
      </c>
      <c r="P445" s="17">
        <f>32</f>
        <v/>
      </c>
      <c r="Q445" s="17">
        <f>J445+L445+N445+O445-P445-M445</f>
        <v/>
      </c>
    </row>
    <row r="446">
      <c r="A446" s="16" t="inlineStr">
        <is>
          <t>5.1-5.7</t>
        </is>
      </c>
      <c r="B446" s="16" t="inlineStr">
        <is>
          <t>PO-128-13997800745592167</t>
        </is>
      </c>
      <c r="C446" s="16" t="inlineStr">
        <is>
          <t>Delivered</t>
        </is>
      </c>
      <c r="D446" s="16" t="inlineStr">
        <is>
          <t>128-13997842688632167</t>
        </is>
      </c>
      <c r="E446" s="16" t="inlineStr">
        <is>
          <t>Delivered</t>
        </is>
      </c>
      <c r="F446" s="16" t="inlineStr">
        <is>
          <t>SA323T</t>
        </is>
      </c>
      <c r="G446" s="16" t="inlineStr">
        <is>
          <t>Linkbits Bocina Portátil Parlantes BT Portátiles con Iluminación de Ambiente | 1 Hora de Duración, FM, TWS, TF/Micro SD | Ideal para Hogar, Fiestas y Viajes</t>
        </is>
      </c>
      <c r="H446" s="16" t="inlineStr">
        <is>
          <t>SA323T</t>
        </is>
      </c>
      <c r="I446" s="16" t="n">
        <v>1</v>
      </c>
      <c r="J446" s="17" t="n">
        <v>46.8</v>
      </c>
      <c r="K446" s="17" t="n">
        <v>55.86</v>
      </c>
      <c r="L446" s="17" t="n">
        <v>25.86</v>
      </c>
      <c r="M446" s="17" t="n">
        <v>0</v>
      </c>
      <c r="N446" s="17">
        <f>K446*0.08+L446*0.08</f>
        <v/>
      </c>
      <c r="O446" s="17">
        <f>-(K446*0.025+L446*0.025)</f>
        <v/>
      </c>
      <c r="P446" s="17">
        <f>32</f>
        <v/>
      </c>
      <c r="Q446" s="17">
        <f>J446+L446+N446+O446-P446-M446</f>
        <v/>
      </c>
    </row>
    <row r="447">
      <c r="A447" s="16" t="inlineStr">
        <is>
          <t>5.1-5.7</t>
        </is>
      </c>
      <c r="B447" s="16" t="inlineStr">
        <is>
          <t>PO-128-13836562872954022</t>
        </is>
      </c>
      <c r="C447" s="16" t="inlineStr">
        <is>
          <t>Delivered</t>
        </is>
      </c>
      <c r="D447" s="16" t="inlineStr">
        <is>
          <t>128-13836604815994022</t>
        </is>
      </c>
      <c r="E447" s="16" t="inlineStr">
        <is>
          <t>Delivered</t>
        </is>
      </c>
      <c r="F447" s="16" t="inlineStr">
        <is>
          <t>MCM-001G</t>
        </is>
      </c>
      <c r="G447" s="16" t="inlineStr">
        <is>
          <t>Musicord Altavoz Inalámbrico BT Portátil: ¡Sonido impactante, luces LED multicolores y 4 horas de autonomía! Compatible con TWS, FM, TF y USB – Imprescindible para fiestas y viajes</t>
        </is>
      </c>
      <c r="H447" s="16" t="inlineStr">
        <is>
          <t>GRIS</t>
        </is>
      </c>
      <c r="I447" s="16" t="n">
        <v>1</v>
      </c>
      <c r="J447" s="17" t="n">
        <v>51.07</v>
      </c>
      <c r="K447" s="17" t="n">
        <v>62.36</v>
      </c>
      <c r="L447" s="17" t="n">
        <v>25.86</v>
      </c>
      <c r="M447" s="17" t="n">
        <v>0</v>
      </c>
      <c r="N447" s="17">
        <f>K447*0.08+L447*0.08</f>
        <v/>
      </c>
      <c r="O447" s="17">
        <f>-(K447*0.025+L447*0.025)</f>
        <v/>
      </c>
      <c r="P447" s="17">
        <f>32</f>
        <v/>
      </c>
      <c r="Q447" s="17">
        <f>J447+L447+N447+O447-P447-M447</f>
        <v/>
      </c>
    </row>
    <row r="448">
      <c r="A448" s="16" t="inlineStr">
        <is>
          <t>5.1-5.7</t>
        </is>
      </c>
      <c r="B448" s="16" t="inlineStr">
        <is>
          <t>PO-128-14013707643513030</t>
        </is>
      </c>
      <c r="C448" s="16" t="inlineStr">
        <is>
          <t>Delivered</t>
        </is>
      </c>
      <c r="D448" s="16" t="inlineStr">
        <is>
          <t>128-14013697157753030</t>
        </is>
      </c>
      <c r="E448" s="16" t="inlineStr">
        <is>
          <t>Delivered</t>
        </is>
      </c>
      <c r="F448" s="16" t="inlineStr">
        <is>
          <t>LB02235-rojo</t>
        </is>
      </c>
      <c r="G448" s="16" t="inlineStr">
        <is>
          <t>Audífonos Inalámbricos para la Cabeza, Recargables y Multifuncionales - Conectan a Varios Dispositivos, soportan Radio FM, Tarjeta TF y AUX - 4 Horas de Reproducción Musical - Ideal para Trabajo Cotidiano, Juegos y Estudio</t>
        </is>
      </c>
      <c r="H448" s="16" t="inlineStr">
        <is>
          <t>ROJO</t>
        </is>
      </c>
      <c r="I448" s="16" t="n">
        <v>1</v>
      </c>
      <c r="J448" s="17" t="n">
        <v>46</v>
      </c>
      <c r="K448" s="17" t="n">
        <v>59.12</v>
      </c>
      <c r="L448" s="17" t="n">
        <v>25.86</v>
      </c>
      <c r="M448" s="17" t="n">
        <v>0</v>
      </c>
      <c r="N448" s="17">
        <f>K448*0.08+L448*0.08</f>
        <v/>
      </c>
      <c r="O448" s="17">
        <f>-(K448*0.025+L448*0.025)</f>
        <v/>
      </c>
      <c r="P448" s="17">
        <f>32</f>
        <v/>
      </c>
      <c r="Q448" s="17">
        <f>J448+L448+N448+O448-P448-M448</f>
        <v/>
      </c>
    </row>
    <row r="449">
      <c r="A449" s="16" t="inlineStr">
        <is>
          <t>5.1-5.7</t>
        </is>
      </c>
      <c r="B449" s="16" t="inlineStr">
        <is>
          <t>PO-128-13992610294392132</t>
        </is>
      </c>
      <c r="C449" s="16" t="inlineStr">
        <is>
          <t>Delivered</t>
        </is>
      </c>
      <c r="D449" s="16" t="inlineStr">
        <is>
          <t>128-13992652237432132</t>
        </is>
      </c>
      <c r="E449" s="16" t="inlineStr">
        <is>
          <t>Delivered</t>
        </is>
      </c>
      <c r="F449" s="16" t="inlineStr">
        <is>
          <t>MCM-001A</t>
        </is>
      </c>
      <c r="G449" s="16" t="inlineStr">
        <is>
          <t>Musicord Altavoz Inalámbrico BT Portátil: ¡Sonido impactante, luces LED multicolores y 4 horas de autonomía! Compatible con TWS, FM, TF y USB – Imprescindible para fiestas y viajes</t>
        </is>
      </c>
      <c r="H449" s="16" t="inlineStr">
        <is>
          <t>AZUL</t>
        </is>
      </c>
      <c r="I449" s="16" t="n">
        <v>1</v>
      </c>
      <c r="J449" s="17" t="n">
        <v>51.07</v>
      </c>
      <c r="K449" s="17" t="n">
        <v>59.47</v>
      </c>
      <c r="L449" s="17" t="n">
        <v>25.86</v>
      </c>
      <c r="M449" s="17" t="n">
        <v>0</v>
      </c>
      <c r="N449" s="17">
        <f>K449*0.08+L449*0.08</f>
        <v/>
      </c>
      <c r="O449" s="17">
        <f>-(K449*0.025+L449*0.025)</f>
        <v/>
      </c>
      <c r="P449" s="17">
        <f>32</f>
        <v/>
      </c>
      <c r="Q449" s="17">
        <f>J449+L449+N449+O449-P449-M449</f>
        <v/>
      </c>
    </row>
    <row r="450">
      <c r="A450" s="16" t="inlineStr">
        <is>
          <t>5.1-5.7</t>
        </is>
      </c>
      <c r="B450" s="16" t="inlineStr">
        <is>
          <t>PO-128-13974076088952245</t>
        </is>
      </c>
      <c r="C450" s="16" t="inlineStr">
        <is>
          <t>Delivered</t>
        </is>
      </c>
      <c r="D450" s="16" t="inlineStr">
        <is>
          <t>128-13974034145912245</t>
        </is>
      </c>
      <c r="E450" s="16" t="inlineStr">
        <is>
          <t>Delivered</t>
        </is>
      </c>
      <c r="F450" s="16" t="inlineStr">
        <is>
          <t>FA028</t>
        </is>
      </c>
      <c r="G450" s="16" t="inlineStr">
        <is>
          <t>Extractor de agua para garrafas de agua, compatible con carga USB, extractor de agua automático, práctico, con dos modos de toma de agua: manual y programado, ideal para dormitorios, salones, oficinas, uso al aire libre y otros escenarios.</t>
        </is>
      </c>
      <c r="H450" s="16" t="inlineStr">
        <is>
          <t>FA028</t>
        </is>
      </c>
      <c r="I450" s="16" t="n">
        <v>1</v>
      </c>
      <c r="J450" s="17" t="n">
        <v>35</v>
      </c>
      <c r="K450" s="17" t="n">
        <v>1.5</v>
      </c>
      <c r="L450" s="17" t="n">
        <v>25.86</v>
      </c>
      <c r="M450" s="17" t="n">
        <v>0</v>
      </c>
      <c r="N450" s="17">
        <f>K450*0.08+L450*0.08</f>
        <v/>
      </c>
      <c r="O450" s="17">
        <f>-(K450*0.025+L450*0.025)</f>
        <v/>
      </c>
      <c r="P450" s="17">
        <f>32</f>
        <v/>
      </c>
      <c r="Q450" s="17">
        <f>J450+L450+N450+O450-P450-M450</f>
        <v/>
      </c>
    </row>
    <row r="451">
      <c r="A451" s="16" t="inlineStr">
        <is>
          <t>5.1-5.7</t>
        </is>
      </c>
      <c r="B451" s="16" t="inlineStr">
        <is>
          <t>PO-128-14141913447031242</t>
        </is>
      </c>
      <c r="C451" s="16" t="inlineStr">
        <is>
          <t>Delivered</t>
        </is>
      </c>
      <c r="D451" s="16" t="inlineStr">
        <is>
          <t>128-14141871503991242</t>
        </is>
      </c>
      <c r="E451" s="16" t="inlineStr">
        <is>
          <t>Delivered</t>
        </is>
      </c>
      <c r="F451" s="16" t="inlineStr">
        <is>
          <t>KTS-1678N</t>
        </is>
      </c>
      <c r="G451" s="16" t="inlineStr">
        <is>
          <t>Bocina portátil Inalámbrico, de 3 pulgadas, tamaño de bolsillo, 170 g, con asa, compatible con TF, USB y Micro SD, con radio FM y función TWS (True Wireless Stereo), adecuada para relajarse en casa o viajar al aire libre.</t>
        </is>
      </c>
      <c r="H451" s="16" t="inlineStr">
        <is>
          <t>KTS-1678N</t>
        </is>
      </c>
      <c r="I451" s="16" t="n">
        <v>1</v>
      </c>
      <c r="J451" s="17" t="n">
        <v>43</v>
      </c>
      <c r="K451" s="17" t="n">
        <v>39.38</v>
      </c>
      <c r="L451" s="17" t="n">
        <v>12.11</v>
      </c>
      <c r="M451" s="17" t="n">
        <v>0</v>
      </c>
      <c r="N451" s="17">
        <f>K451*0.08+L451*0.08</f>
        <v/>
      </c>
      <c r="O451" s="17">
        <f>-(K451*0.025+L451*0.025)</f>
        <v/>
      </c>
      <c r="P451" s="17">
        <f>32</f>
        <v/>
      </c>
      <c r="Q451" s="17">
        <f>J451+L451+N451+O451-P451-M451</f>
        <v/>
      </c>
    </row>
    <row r="452">
      <c r="A452" s="16" t="inlineStr">
        <is>
          <t>5.1-5.7</t>
        </is>
      </c>
      <c r="B452" s="16" t="inlineStr">
        <is>
          <t>PO-128-14141913447031242</t>
        </is>
      </c>
      <c r="C452" s="16" t="inlineStr">
        <is>
          <t>Delivered</t>
        </is>
      </c>
      <c r="D452" s="16" t="inlineStr">
        <is>
          <t>128-14141881989751242</t>
        </is>
      </c>
      <c r="E452" s="16" t="inlineStr">
        <is>
          <t>Delivered</t>
        </is>
      </c>
      <c r="F452" s="16" t="inlineStr">
        <is>
          <t>SA323T</t>
        </is>
      </c>
      <c r="G452" s="16" t="inlineStr">
        <is>
          <t>Linkbits Bocina Portátil Parlantes BT Portátiles con Iluminación de Ambiente | 1 Hora de Duración, FM, TWS, TF/Micro SD | Ideal para Hogar, Fiestas y Viajes</t>
        </is>
      </c>
      <c r="H452" s="16" t="inlineStr">
        <is>
          <t>SA323T</t>
        </is>
      </c>
      <c r="I452" s="16" t="n">
        <v>1</v>
      </c>
      <c r="J452" s="17" t="n">
        <v>46.8</v>
      </c>
      <c r="K452" s="17" t="n">
        <v>44.7</v>
      </c>
      <c r="L452" s="17" t="n">
        <v>13.75</v>
      </c>
      <c r="M452" s="17" t="n">
        <v>0</v>
      </c>
      <c r="N452" s="17">
        <f>K452*0.08+L452*0.08</f>
        <v/>
      </c>
      <c r="O452" s="17">
        <f>-(K452*0.025+L452*0.025)</f>
        <v/>
      </c>
      <c r="P452" s="17">
        <f>32</f>
        <v/>
      </c>
      <c r="Q452" s="17">
        <f>J452+L452+N452+O452-P452-M452</f>
        <v/>
      </c>
    </row>
    <row r="453">
      <c r="A453" s="16" t="inlineStr">
        <is>
          <t>5.1-5.7</t>
        </is>
      </c>
      <c r="B453" s="16" t="inlineStr">
        <is>
          <t>PO-128-13844826573434039</t>
        </is>
      </c>
      <c r="C453" s="16" t="inlineStr">
        <is>
          <t>Delivered</t>
        </is>
      </c>
      <c r="D453" s="16" t="inlineStr">
        <is>
          <t>128-13844879002234039</t>
        </is>
      </c>
      <c r="E453" s="16" t="inlineStr">
        <is>
          <t>Delivered</t>
        </is>
      </c>
      <c r="F453" s="16" t="inlineStr">
        <is>
          <t>EM04W36</t>
        </is>
      </c>
      <c r="G453"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53" s="16" t="inlineStr">
        <is>
          <t>1 pieza</t>
        </is>
      </c>
      <c r="I453" s="16" t="n">
        <v>1</v>
      </c>
      <c r="J453" s="17" t="n">
        <v>89.5</v>
      </c>
      <c r="K453" s="17" t="n">
        <v>108.97</v>
      </c>
      <c r="L453" s="17" t="n">
        <v>25.86</v>
      </c>
      <c r="M453" s="17" t="n">
        <v>0</v>
      </c>
      <c r="N453" s="17">
        <f>K453*0.08+L453*0.08</f>
        <v/>
      </c>
      <c r="O453" s="17">
        <f>-(K453*0.025+L453*0.025)</f>
        <v/>
      </c>
      <c r="P453" s="17">
        <f>32</f>
        <v/>
      </c>
      <c r="Q453" s="17">
        <f>J453+L453+N453+O453-P453-M453</f>
        <v/>
      </c>
    </row>
    <row r="454">
      <c r="A454" s="16" t="inlineStr">
        <is>
          <t>5.1-5.7</t>
        </is>
      </c>
      <c r="B454" s="16" t="inlineStr">
        <is>
          <t>PO-128-13959881636472201</t>
        </is>
      </c>
      <c r="C454" s="16" t="inlineStr">
        <is>
          <t>Delivered</t>
        </is>
      </c>
      <c r="D454" s="16" t="inlineStr">
        <is>
          <t>128-13959923579512201</t>
        </is>
      </c>
      <c r="E454" s="16" t="inlineStr">
        <is>
          <t>Delivered</t>
        </is>
      </c>
      <c r="F454" s="16" t="inlineStr">
        <is>
          <t>MB-185R</t>
        </is>
      </c>
      <c r="G454" s="16" t="inlineStr">
        <is>
          <t>Bocina Radio FM/Reproductor, Compatible con Tarjeta TF, USB, Bluetooth, Aplicable para celular, computadora, Ipad y consola.</t>
        </is>
      </c>
      <c r="H454" s="16" t="inlineStr">
        <is>
          <t>ROJO/MB-185</t>
        </is>
      </c>
      <c r="I454" s="16" t="n">
        <v>1</v>
      </c>
      <c r="J454" s="17" t="n">
        <v>75.59999999999999</v>
      </c>
      <c r="K454" s="17" t="n">
        <v>88.55</v>
      </c>
      <c r="L454" s="17" t="n">
        <v>25.86</v>
      </c>
      <c r="M454" s="17" t="n">
        <v>0</v>
      </c>
      <c r="N454" s="17">
        <f>K454*0.08+L454*0.08</f>
        <v/>
      </c>
      <c r="O454" s="17">
        <f>-(K454*0.025+L454*0.025)</f>
        <v/>
      </c>
      <c r="P454" s="17">
        <f>32</f>
        <v/>
      </c>
      <c r="Q454" s="17">
        <f>J454+L454+N454+O454-P454-M454</f>
        <v/>
      </c>
    </row>
    <row r="455">
      <c r="A455" s="16" t="inlineStr">
        <is>
          <t>5.1-5.7</t>
        </is>
      </c>
      <c r="B455" s="16" t="inlineStr">
        <is>
          <t>PO-128-14164241214071111</t>
        </is>
      </c>
      <c r="C455" s="16" t="inlineStr">
        <is>
          <t>Delivered</t>
        </is>
      </c>
      <c r="D455" s="16" t="inlineStr">
        <is>
          <t>128-14164283157111111</t>
        </is>
      </c>
      <c r="E455" s="16" t="inlineStr">
        <is>
          <t>Delivered</t>
        </is>
      </c>
      <c r="F455" s="16" t="inlineStr">
        <is>
          <t>SA325T</t>
        </is>
      </c>
      <c r="G455" s="16" t="inlineStr">
        <is>
          <t>Subwoofer Portátil Inalámbrico con Luces RGB, Sonido de Alta Potencia y Batería Duradera, TWS TF USB, Perfecto para Campamento Fiestas y Entretenimiento en Casa</t>
        </is>
      </c>
      <c r="H455" s="16" t="inlineStr">
        <is>
          <t>NEGRO</t>
        </is>
      </c>
      <c r="I455" s="16" t="n">
        <v>5</v>
      </c>
      <c r="J455" s="17" t="n">
        <v>190</v>
      </c>
      <c r="K455" s="17" t="n">
        <v>235.3</v>
      </c>
      <c r="L455" s="17" t="n">
        <v>25.85</v>
      </c>
      <c r="M455" s="17" t="n">
        <v>0</v>
      </c>
      <c r="N455" s="17">
        <f>K455*0.08+L455*0.08</f>
        <v/>
      </c>
      <c r="O455" s="17">
        <f>-(K455*0.025+L455*0.025)</f>
        <v/>
      </c>
      <c r="P455" s="17">
        <f>32</f>
        <v/>
      </c>
      <c r="Q455" s="17">
        <f>J455+L455+N455+O455-P455-M455</f>
        <v/>
      </c>
    </row>
    <row r="456">
      <c r="A456" s="16" t="inlineStr">
        <is>
          <t>5.1-5.7</t>
        </is>
      </c>
      <c r="B456" s="16" t="inlineStr">
        <is>
          <t>PO-128-14095699651191454</t>
        </is>
      </c>
      <c r="C456" s="16" t="inlineStr">
        <is>
          <t>Delivered</t>
        </is>
      </c>
      <c r="D456" s="16" t="inlineStr">
        <is>
          <t>128-14095657708151454</t>
        </is>
      </c>
      <c r="E456" s="16" t="inlineStr">
        <is>
          <t>Delivered</t>
        </is>
      </c>
      <c r="F456" s="16" t="inlineStr">
        <is>
          <t>VB347T</t>
        </is>
      </c>
      <c r="G45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6" s="16" t="inlineStr">
        <is>
          <t>1 pieza</t>
        </is>
      </c>
      <c r="I456" s="16" t="n">
        <v>1</v>
      </c>
      <c r="J456" s="17" t="n">
        <v>79.89</v>
      </c>
      <c r="K456" s="17" t="n">
        <v>94.5</v>
      </c>
      <c r="L456" s="17" t="n">
        <v>25.86</v>
      </c>
      <c r="M456" s="17" t="n">
        <v>0</v>
      </c>
      <c r="N456" s="17">
        <f>K456*0.08+L456*0.08</f>
        <v/>
      </c>
      <c r="O456" s="17">
        <f>-(K456*0.025+L456*0.025)</f>
        <v/>
      </c>
      <c r="P456" s="17">
        <f>32</f>
        <v/>
      </c>
      <c r="Q456" s="17">
        <f>J456+L456+N456+O456-P456-M456</f>
        <v/>
      </c>
    </row>
    <row r="457">
      <c r="A457" s="16" t="inlineStr">
        <is>
          <t>5.1-5.7</t>
        </is>
      </c>
      <c r="B457" s="16" t="inlineStr">
        <is>
          <t>PO-128-14247918264951570</t>
        </is>
      </c>
      <c r="C457" s="16" t="inlineStr">
        <is>
          <t>Delivered</t>
        </is>
      </c>
      <c r="D457" s="16" t="inlineStr">
        <is>
          <t>128-14247939236471570</t>
        </is>
      </c>
      <c r="E457" s="16" t="inlineStr">
        <is>
          <t>Delivered</t>
        </is>
      </c>
      <c r="F457" s="16" t="inlineStr">
        <is>
          <t>BS-22</t>
        </is>
      </c>
      <c r="G457" s="16" t="inlineStr">
        <is>
          <t>link bits Barra de Sonido para TV, 2x2" Altavoces + 2 Membranas de Graves, Sonido Claro ≥80dB, Bluetooth Inalámbrico, Conexiones AUX/USB, Diseño Compacto 76cm, Sonido Envolvente 3D para Cine en Casa, PC, Juegos y Fiestas</t>
        </is>
      </c>
      <c r="H457" s="16" t="inlineStr">
        <is>
          <t>BS-22</t>
        </is>
      </c>
      <c r="I457" s="16" t="n">
        <v>1</v>
      </c>
      <c r="J457" s="17" t="n">
        <v>260</v>
      </c>
      <c r="K457" s="17" t="n">
        <v>299.61</v>
      </c>
      <c r="L457" s="17" t="n">
        <v>0</v>
      </c>
      <c r="M457" s="17" t="n">
        <v>0</v>
      </c>
      <c r="N457" s="17">
        <f>K457*0.08+L457*0.08</f>
        <v/>
      </c>
      <c r="O457" s="17">
        <f>-(K457*0.025+L457*0.025)</f>
        <v/>
      </c>
      <c r="P457" s="17">
        <f>32</f>
        <v/>
      </c>
      <c r="Q457" s="17">
        <f>J457+L457+N457+O457-P457-M457</f>
        <v/>
      </c>
    </row>
    <row r="458">
      <c r="A458" s="16" t="inlineStr">
        <is>
          <t>5.1-5.7</t>
        </is>
      </c>
      <c r="B458" s="16" t="inlineStr">
        <is>
          <t>PO-128-14006239785592949</t>
        </is>
      </c>
      <c r="C458" s="16" t="inlineStr">
        <is>
          <t>Delivered</t>
        </is>
      </c>
      <c r="D458" s="16" t="inlineStr">
        <is>
          <t>128-14006260757112949</t>
        </is>
      </c>
      <c r="E458" s="16" t="inlineStr">
        <is>
          <t>Delivered</t>
        </is>
      </c>
      <c r="F458" s="16" t="inlineStr">
        <is>
          <t>KTS-1678N</t>
        </is>
      </c>
      <c r="G458" s="16" t="inlineStr">
        <is>
          <t>Bocina portátil Inalámbrico, de 3 pulgadas, tamaño de bolsillo, 170 g, con asa, compatible con TF, USB y Micro SD, con radio FM y función TWS (True Wireless Stereo), adecuada para relajarse en casa o viajar al aire libre.</t>
        </is>
      </c>
      <c r="H458" s="16" t="inlineStr">
        <is>
          <t>KTS-1678N</t>
        </is>
      </c>
      <c r="I458" s="16" t="n">
        <v>1</v>
      </c>
      <c r="J458" s="17" t="n">
        <v>43</v>
      </c>
      <c r="K458" s="17" t="n">
        <v>49.22</v>
      </c>
      <c r="L458" s="17" t="n">
        <v>6.44</v>
      </c>
      <c r="M458" s="17" t="n">
        <v>0</v>
      </c>
      <c r="N458" s="17">
        <f>K458*0.08+L458*0.08</f>
        <v/>
      </c>
      <c r="O458" s="17">
        <f>-(K458*0.025+L458*0.025)</f>
        <v/>
      </c>
      <c r="P458" s="17">
        <f>32</f>
        <v/>
      </c>
      <c r="Q458" s="17">
        <f>J458+L458+N458+O458-P458-M458</f>
        <v/>
      </c>
    </row>
    <row r="459">
      <c r="A459" s="16" t="inlineStr">
        <is>
          <t>5.1-5.7</t>
        </is>
      </c>
      <c r="B459" s="16" t="inlineStr">
        <is>
          <t>PO-128-14006239785592949</t>
        </is>
      </c>
      <c r="C459" s="16" t="inlineStr">
        <is>
          <t>Delivered</t>
        </is>
      </c>
      <c r="D459" s="16" t="inlineStr">
        <is>
          <t>128-14006218814072949</t>
        </is>
      </c>
      <c r="E459" s="16" t="inlineStr">
        <is>
          <t>Delivered</t>
        </is>
      </c>
      <c r="F459" s="16" t="inlineStr">
        <is>
          <t>KTS-1678R</t>
        </is>
      </c>
      <c r="G459" s="16" t="inlineStr">
        <is>
          <t>Bocina portátil Inalámbrico, de 3 pulgadas, tamaño de bolsillo, 170 g, con asa, compatible con TF, USB y Micro SD, con radio FM y función TWS (True Wireless Stereo), adecuada para relajarse en casa o viajar al aire libre.</t>
        </is>
      </c>
      <c r="H459" s="16" t="inlineStr">
        <is>
          <t>KTS-1678R</t>
        </is>
      </c>
      <c r="I459" s="16" t="n">
        <v>1</v>
      </c>
      <c r="J459" s="17" t="n">
        <v>42.5</v>
      </c>
      <c r="K459" s="17" t="n">
        <v>50.79</v>
      </c>
      <c r="L459" s="17" t="n">
        <v>6.66</v>
      </c>
      <c r="M459" s="17" t="n">
        <v>0</v>
      </c>
      <c r="N459" s="17">
        <f>K459*0.08+L459*0.08</f>
        <v/>
      </c>
      <c r="O459" s="17">
        <f>-(K459*0.025+L459*0.025)</f>
        <v/>
      </c>
      <c r="P459" s="17">
        <f>32</f>
        <v/>
      </c>
      <c r="Q459" s="17">
        <f>J459+L459+N459+O459-P459-M459</f>
        <v/>
      </c>
    </row>
    <row r="460">
      <c r="A460" s="16" t="inlineStr">
        <is>
          <t>5.1-5.7</t>
        </is>
      </c>
      <c r="B460" s="16" t="inlineStr">
        <is>
          <t>PO-128-14006239785592949</t>
        </is>
      </c>
      <c r="C460" s="16" t="inlineStr">
        <is>
          <t>Delivered</t>
        </is>
      </c>
      <c r="D460" s="16" t="inlineStr">
        <is>
          <t>128-14006187356792949</t>
        </is>
      </c>
      <c r="E460" s="16" t="inlineStr">
        <is>
          <t>Delivered</t>
        </is>
      </c>
      <c r="F460" s="16" t="inlineStr">
        <is>
          <t>KTS-1678Y</t>
        </is>
      </c>
      <c r="G460" s="16" t="inlineStr">
        <is>
          <t>Bocina portátil Inalámbrico, de 3 pulgadas, tamaño de bolsillo, 170 g, con asa, compatible con TF, USB y Micro SD, con radio FM y función TWS (True Wireless Stereo), adecuada para relajarse en casa o viajar al aire libre.</t>
        </is>
      </c>
      <c r="H460" s="16" t="inlineStr">
        <is>
          <t>KTS-1678Y</t>
        </is>
      </c>
      <c r="I460" s="16" t="n">
        <v>1</v>
      </c>
      <c r="J460" s="17" t="n">
        <v>42.5</v>
      </c>
      <c r="K460" s="17" t="n">
        <v>48.72</v>
      </c>
      <c r="L460" s="17" t="n">
        <v>6.38</v>
      </c>
      <c r="M460" s="17" t="n">
        <v>0</v>
      </c>
      <c r="N460" s="17">
        <f>K460*0.08+L460*0.08</f>
        <v/>
      </c>
      <c r="O460" s="17">
        <f>-(K460*0.025+L460*0.025)</f>
        <v/>
      </c>
      <c r="P460" s="17">
        <f>32</f>
        <v/>
      </c>
      <c r="Q460" s="17">
        <f>J460+L460+N460+O460-P460-M460</f>
        <v/>
      </c>
    </row>
    <row r="461">
      <c r="A461" s="16" t="inlineStr">
        <is>
          <t>5.1-5.7</t>
        </is>
      </c>
      <c r="B461" s="16" t="inlineStr">
        <is>
          <t>PO-128-14006239785592949</t>
        </is>
      </c>
      <c r="C461" s="16" t="inlineStr">
        <is>
          <t>Delivered</t>
        </is>
      </c>
      <c r="D461" s="16" t="inlineStr">
        <is>
          <t>128-14006271242872949</t>
        </is>
      </c>
      <c r="E461" s="16" t="inlineStr">
        <is>
          <t>Delivered</t>
        </is>
      </c>
      <c r="F461" s="16" t="inlineStr">
        <is>
          <t>KTS-1678V</t>
        </is>
      </c>
      <c r="G461" s="16" t="inlineStr">
        <is>
          <t>Bocina portátil Inalámbrico, de 3 pulgadas, tamaño de bolsillo, 170 g, con asa, compatible con TF, USB y Micro SD, con radio FM y función TWS (True Wireless Stereo), adecuada para relajarse en casa o viajar al aire libre.</t>
        </is>
      </c>
      <c r="H461" s="16" t="inlineStr">
        <is>
          <t>KTS-1678V</t>
        </is>
      </c>
      <c r="I461" s="16" t="n">
        <v>1</v>
      </c>
      <c r="J461" s="17" t="n">
        <v>42.5</v>
      </c>
      <c r="K461" s="17" t="n">
        <v>48.72</v>
      </c>
      <c r="L461" s="17" t="n">
        <v>6.38</v>
      </c>
      <c r="M461" s="17" t="n">
        <v>0</v>
      </c>
      <c r="N461" s="17">
        <f>K461*0.08+L461*0.08</f>
        <v/>
      </c>
      <c r="O461" s="17">
        <f>-(K461*0.025+L461*0.025)</f>
        <v/>
      </c>
      <c r="P461" s="17">
        <f>32</f>
        <v/>
      </c>
      <c r="Q461" s="17">
        <f>J461+L461+N461+O461-P461-M461</f>
        <v/>
      </c>
    </row>
    <row r="462">
      <c r="A462" s="16" t="inlineStr">
        <is>
          <t>5.1-5.7</t>
        </is>
      </c>
      <c r="B462" s="16" t="inlineStr">
        <is>
          <t>PO-128-13764121319033558</t>
        </is>
      </c>
      <c r="C462" s="16" t="inlineStr">
        <is>
          <t>Delivered</t>
        </is>
      </c>
      <c r="D462" s="16" t="inlineStr">
        <is>
          <t>128-13764087240313558</t>
        </is>
      </c>
      <c r="E462" s="16" t="inlineStr">
        <is>
          <t>Delivered</t>
        </is>
      </c>
      <c r="F462" s="16" t="inlineStr">
        <is>
          <t>SA325T</t>
        </is>
      </c>
      <c r="G462" s="16" t="inlineStr">
        <is>
          <t>Subwoofer Portátil Inalámbrico con Luces RGB, Sonido de Alta Potencia y Batería Duradera, TWS TF USB, Perfecto para Campamento Fiestas y Entretenimiento en Casa</t>
        </is>
      </c>
      <c r="H462" s="16" t="inlineStr">
        <is>
          <t>NEGRO</t>
        </is>
      </c>
      <c r="I462" s="16" t="n">
        <v>1</v>
      </c>
      <c r="J462" s="17" t="n">
        <v>38</v>
      </c>
      <c r="K462" s="17" t="n">
        <v>47.06</v>
      </c>
      <c r="L462" s="17" t="n">
        <v>25.86</v>
      </c>
      <c r="M462" s="17" t="n">
        <v>0</v>
      </c>
      <c r="N462" s="17">
        <f>K462*0.08+L462*0.08</f>
        <v/>
      </c>
      <c r="O462" s="17">
        <f>-(K462*0.025+L462*0.025)</f>
        <v/>
      </c>
      <c r="P462" s="17">
        <f>32</f>
        <v/>
      </c>
      <c r="Q462" s="17">
        <f>J462+L462+N462+O462-P462-M462</f>
        <v/>
      </c>
    </row>
    <row r="463">
      <c r="A463" s="16" t="inlineStr">
        <is>
          <t>5.1-5.7</t>
        </is>
      </c>
      <c r="B463" s="16" t="inlineStr">
        <is>
          <t>PO-128-14401674814070718</t>
        </is>
      </c>
      <c r="C463" s="16" t="inlineStr">
        <is>
          <t>Delivered</t>
        </is>
      </c>
      <c r="D463" s="16" t="inlineStr">
        <is>
          <t>128-14401695785590718</t>
        </is>
      </c>
      <c r="E463" s="16" t="inlineStr">
        <is>
          <t>Delivered</t>
        </is>
      </c>
      <c r="F463" s="16" t="inlineStr">
        <is>
          <t>SA323T</t>
        </is>
      </c>
      <c r="G463" s="16" t="inlineStr">
        <is>
          <t>Linkbits Bocina Portátil Parlantes BT Portátiles con Iluminación de Ambiente | 1 Hora de Duración, FM, TWS, TF/Micro SD | Ideal para Hogar, Fiestas y Viajes</t>
        </is>
      </c>
      <c r="H463" s="16" t="inlineStr">
        <is>
          <t>SA323T</t>
        </is>
      </c>
      <c r="I463" s="16" t="n">
        <v>2</v>
      </c>
      <c r="J463" s="17" t="n">
        <v>93.59999999999999</v>
      </c>
      <c r="K463" s="17" t="n">
        <v>111.72</v>
      </c>
      <c r="L463" s="17" t="n">
        <v>25.86</v>
      </c>
      <c r="M463" s="17" t="n">
        <v>1.58</v>
      </c>
      <c r="N463" s="17">
        <f>K463*0.08+L463*0.08</f>
        <v/>
      </c>
      <c r="O463" s="17">
        <f>-(K463*0.025+L463*0.025)</f>
        <v/>
      </c>
      <c r="P463" s="17">
        <f>32</f>
        <v/>
      </c>
      <c r="Q463" s="17">
        <f>J463+L463+N463+O463-P463-M463</f>
        <v/>
      </c>
    </row>
    <row r="464">
      <c r="A464" s="16" t="inlineStr">
        <is>
          <t>5.1-5.7</t>
        </is>
      </c>
      <c r="B464" s="16" t="inlineStr">
        <is>
          <t>PO-128-14122987853431357</t>
        </is>
      </c>
      <c r="C464" s="16" t="inlineStr">
        <is>
          <t>Delivered</t>
        </is>
      </c>
      <c r="D464" s="16" t="inlineStr">
        <is>
          <t>128-14123059287671357</t>
        </is>
      </c>
      <c r="E464" s="16" t="inlineStr">
        <is>
          <t>Delivered</t>
        </is>
      </c>
      <c r="F464" s="16" t="inlineStr">
        <is>
          <t>KTS-1678V</t>
        </is>
      </c>
      <c r="G464" s="16" t="inlineStr">
        <is>
          <t>Bocina portátil Inalámbrico, de 3 pulgadas, tamaño de bolsillo, 170 g, con asa, compatible con TF, USB y Micro SD, con radio FM y función TWS (True Wireless Stereo), adecuada para relajarse en casa o viajar al aire libre.</t>
        </is>
      </c>
      <c r="H464" s="16" t="inlineStr">
        <is>
          <t>KTS-1678V</t>
        </is>
      </c>
      <c r="I464" s="16" t="n">
        <v>1</v>
      </c>
      <c r="J464" s="17" t="n">
        <v>42.5</v>
      </c>
      <c r="K464" s="17" t="n">
        <v>48.72</v>
      </c>
      <c r="L464" s="17" t="n">
        <v>25.86</v>
      </c>
      <c r="M464" s="17" t="n">
        <v>0</v>
      </c>
      <c r="N464" s="17">
        <f>K464*0.08+L464*0.08</f>
        <v/>
      </c>
      <c r="O464" s="17">
        <f>-(K464*0.025+L464*0.025)</f>
        <v/>
      </c>
      <c r="P464" s="17">
        <f>32</f>
        <v/>
      </c>
      <c r="Q464" s="17">
        <f>J464+L464+N464+O464-P464-M464</f>
        <v/>
      </c>
    </row>
    <row r="465">
      <c r="A465" s="16" t="inlineStr">
        <is>
          <t>5.1-5.7</t>
        </is>
      </c>
      <c r="B465" s="16" t="inlineStr">
        <is>
          <t>PO-128-14312832922230161</t>
        </is>
      </c>
      <c r="C465" s="16" t="inlineStr">
        <is>
          <t>Delivered</t>
        </is>
      </c>
      <c r="D465" s="16" t="inlineStr">
        <is>
          <t>128-14312937779830161</t>
        </is>
      </c>
      <c r="E465" s="16" t="inlineStr">
        <is>
          <t>Delivered</t>
        </is>
      </c>
      <c r="F465" s="16" t="inlineStr">
        <is>
          <t>AIR50W06-2P</t>
        </is>
      </c>
      <c r="G465" s="16" t="inlineStr">
        <is>
          <t>Link Bits Ventilador de piso de 16 pulgadas, 2 unidades, 3 velocidades, motor silencioso, flujo de aire fuerte, altura ajustable, oscilación amplia, ventilador eléctrico para el hogar, ideal para sala, recámara y oficina</t>
        </is>
      </c>
      <c r="H465" s="16" t="inlineStr">
        <is>
          <t>2PZ</t>
        </is>
      </c>
      <c r="I465" s="16" t="n">
        <v>1</v>
      </c>
      <c r="J465" s="17" t="n">
        <v>445</v>
      </c>
      <c r="K465" s="17" t="n">
        <v>491.92</v>
      </c>
      <c r="L465" s="17" t="n">
        <v>0</v>
      </c>
      <c r="M465" s="17" t="n">
        <v>0</v>
      </c>
      <c r="N465" s="17">
        <f>K465*0.08+L465*0.08</f>
        <v/>
      </c>
      <c r="O465" s="17">
        <f>-(K465*0.025+L465*0.025)</f>
        <v/>
      </c>
      <c r="P465" s="17">
        <f>32</f>
        <v/>
      </c>
      <c r="Q465" s="17">
        <f>J465+L465+N465+O465-P465-M465</f>
        <v/>
      </c>
    </row>
    <row r="466">
      <c r="A466" s="16" t="inlineStr">
        <is>
          <t>5.1-5.7</t>
        </is>
      </c>
      <c r="B466" s="16" t="inlineStr">
        <is>
          <t>PO-128-14031156255352862</t>
        </is>
      </c>
      <c r="C466" s="16" t="inlineStr">
        <is>
          <t>Delivered</t>
        </is>
      </c>
      <c r="D466" s="16" t="inlineStr">
        <is>
          <t>128-14031145769592862</t>
        </is>
      </c>
      <c r="E466" s="16" t="inlineStr">
        <is>
          <t>Delivered</t>
        </is>
      </c>
      <c r="F466" s="16" t="inlineStr">
        <is>
          <t>SA323T</t>
        </is>
      </c>
      <c r="G466" s="16" t="inlineStr">
        <is>
          <t>Linkbits Bocina Portátil Parlantes BT Portátiles con Iluminación de Ambiente | 1 Hora de Duración, FM, TWS, TF/Micro SD | Ideal para Hogar, Fiestas y Viajes</t>
        </is>
      </c>
      <c r="H466" s="16" t="inlineStr">
        <is>
          <t>SA323T</t>
        </is>
      </c>
      <c r="I466" s="16" t="n">
        <v>1</v>
      </c>
      <c r="J466" s="17" t="n">
        <v>46.8</v>
      </c>
      <c r="K466" s="17" t="n">
        <v>55.86</v>
      </c>
      <c r="L466" s="17" t="n">
        <v>25.86</v>
      </c>
      <c r="M466" s="17" t="n">
        <v>0</v>
      </c>
      <c r="N466" s="17">
        <f>K466*0.08+L466*0.08</f>
        <v/>
      </c>
      <c r="O466" s="17">
        <f>-(K466*0.025+L466*0.025)</f>
        <v/>
      </c>
      <c r="P466" s="17">
        <f>32</f>
        <v/>
      </c>
      <c r="Q466" s="17">
        <f>J466+L466+N466+O466-P466-M466</f>
        <v/>
      </c>
    </row>
    <row r="467">
      <c r="A467" s="16" t="inlineStr">
        <is>
          <t>5.1-5.7</t>
        </is>
      </c>
      <c r="B467" s="16" t="inlineStr">
        <is>
          <t>PO-128-13932351191672557</t>
        </is>
      </c>
      <c r="C467" s="16" t="inlineStr">
        <is>
          <t>Delivered</t>
        </is>
      </c>
      <c r="D467" s="16" t="inlineStr">
        <is>
          <t>128-13932393134712557</t>
        </is>
      </c>
      <c r="E467" s="16" t="inlineStr">
        <is>
          <t>Delivered</t>
        </is>
      </c>
      <c r="F467" s="16" t="inlineStr">
        <is>
          <t>KTS-1678Y</t>
        </is>
      </c>
      <c r="G467" s="16" t="inlineStr">
        <is>
          <t>Bocina portátil Inalámbrico, de 3 pulgadas, tamaño de bolsillo, 170 g, con asa, compatible con TF, USB y Micro SD, con radio FM y función TWS (True Wireless Stereo), adecuada para relajarse en casa o viajar al aire libre.</t>
        </is>
      </c>
      <c r="H467" s="16" t="inlineStr">
        <is>
          <t>KTS-1678Y</t>
        </is>
      </c>
      <c r="I467" s="16" t="n">
        <v>1</v>
      </c>
      <c r="J467" s="17" t="n">
        <v>42.5</v>
      </c>
      <c r="K467" s="17" t="n">
        <v>5.62</v>
      </c>
      <c r="L467" s="17" t="n">
        <v>25.86</v>
      </c>
      <c r="M467" s="17" t="n">
        <v>0</v>
      </c>
      <c r="N467" s="17">
        <f>K467*0.08+L467*0.08</f>
        <v/>
      </c>
      <c r="O467" s="17">
        <f>-(K467*0.025+L467*0.025)</f>
        <v/>
      </c>
      <c r="P467" s="17">
        <f>32</f>
        <v/>
      </c>
      <c r="Q467" s="17">
        <f>J467+L467+N467+O467-P467-M467</f>
        <v/>
      </c>
    </row>
    <row r="468">
      <c r="A468" s="16" t="inlineStr">
        <is>
          <t>5.1-5.7</t>
        </is>
      </c>
      <c r="B468" s="16" t="inlineStr">
        <is>
          <t>PO-128-13873867633273736</t>
        </is>
      </c>
      <c r="C468" s="16" t="inlineStr">
        <is>
          <t>Delivered</t>
        </is>
      </c>
      <c r="D468" s="16" t="inlineStr">
        <is>
          <t>128-13873857147513736</t>
        </is>
      </c>
      <c r="E468" s="16" t="inlineStr">
        <is>
          <t>Delivered</t>
        </is>
      </c>
      <c r="F468" s="16" t="inlineStr">
        <is>
          <t>SA325T</t>
        </is>
      </c>
      <c r="G468" s="16" t="inlineStr">
        <is>
          <t>Subwoofer Portátil Inalámbrico con Luces RGB, Sonido de Alta Potencia y Batería Duradera, TWS TF USB, Perfecto para Campamento Fiestas y Entretenimiento en Casa</t>
        </is>
      </c>
      <c r="H468" s="16" t="inlineStr">
        <is>
          <t>NEGRO</t>
        </is>
      </c>
      <c r="I468" s="16" t="n">
        <v>1</v>
      </c>
      <c r="J468" s="17" t="n">
        <v>38</v>
      </c>
      <c r="K468" s="17" t="n">
        <v>47.06</v>
      </c>
      <c r="L468" s="17" t="n">
        <v>25.86</v>
      </c>
      <c r="M468" s="17" t="n">
        <v>0</v>
      </c>
      <c r="N468" s="17">
        <f>K468*0.08+L468*0.08</f>
        <v/>
      </c>
      <c r="O468" s="17">
        <f>-(K468*0.025+L468*0.025)</f>
        <v/>
      </c>
      <c r="P468" s="17">
        <f>32</f>
        <v/>
      </c>
      <c r="Q468" s="17">
        <f>J468+L468+N468+O468-P468-M468</f>
        <v/>
      </c>
    </row>
    <row r="469">
      <c r="A469" s="16" t="inlineStr">
        <is>
          <t>5.1-5.7</t>
        </is>
      </c>
      <c r="B469" s="16" t="inlineStr">
        <is>
          <t>PO-128-14010618194552987</t>
        </is>
      </c>
      <c r="C469" s="16" t="inlineStr">
        <is>
          <t>Delivered</t>
        </is>
      </c>
      <c r="D469" s="16" t="inlineStr">
        <is>
          <t>128-14010576251512987</t>
        </is>
      </c>
      <c r="E469" s="16" t="inlineStr">
        <is>
          <t>Delivered</t>
        </is>
      </c>
      <c r="F469" s="16" t="inlineStr">
        <is>
          <t>MCM-001A</t>
        </is>
      </c>
      <c r="G469" s="16" t="inlineStr">
        <is>
          <t>Musicord Altavoz Inalámbrico BT Portátil: ¡Sonido impactante, luces LED multicolores y 4 horas de autonomía! Compatible con TWS, FM, TF y USB – Imprescindible para fiestas y viajes</t>
        </is>
      </c>
      <c r="H469" s="16" t="inlineStr">
        <is>
          <t>AZUL</t>
        </is>
      </c>
      <c r="I469" s="16" t="n">
        <v>1</v>
      </c>
      <c r="J469" s="17" t="n">
        <v>51.07</v>
      </c>
      <c r="K469" s="17" t="n">
        <v>47.58</v>
      </c>
      <c r="L469" s="17" t="n">
        <v>25.86</v>
      </c>
      <c r="M469" s="17" t="n">
        <v>0</v>
      </c>
      <c r="N469" s="17">
        <f>K469*0.08+L469*0.08</f>
        <v/>
      </c>
      <c r="O469" s="17">
        <f>-(K469*0.025+L469*0.025)</f>
        <v/>
      </c>
      <c r="P469" s="17">
        <f>32</f>
        <v/>
      </c>
      <c r="Q469" s="17">
        <f>J469+L469+N469+O469-P469-M469</f>
        <v/>
      </c>
    </row>
    <row r="470">
      <c r="A470" s="16" t="inlineStr">
        <is>
          <t>5.1-5.7</t>
        </is>
      </c>
      <c r="B470" s="16" t="inlineStr">
        <is>
          <t>PO-128-14046699090552706</t>
        </is>
      </c>
      <c r="C470" s="16" t="inlineStr">
        <is>
          <t>Delivered</t>
        </is>
      </c>
      <c r="D470" s="16" t="inlineStr">
        <is>
          <t>128-14046657147512706</t>
        </is>
      </c>
      <c r="E470" s="16" t="inlineStr">
        <is>
          <t>Delivered</t>
        </is>
      </c>
      <c r="F470" s="16" t="inlineStr">
        <is>
          <t>FA028</t>
        </is>
      </c>
      <c r="G470" s="16" t="inlineStr">
        <is>
          <t>Extractor de agua para garrafas de agua, compatible con carga USB, extractor de agua automático, práctico, con dos modos de toma de agua: manual y programado, ideal para dormitorios, salones, oficinas, uso al aire libre y otros escenarios.</t>
        </is>
      </c>
      <c r="H470" s="16" t="inlineStr">
        <is>
          <t>FA028</t>
        </is>
      </c>
      <c r="I470" s="16" t="n">
        <v>2</v>
      </c>
      <c r="J470" s="17" t="n">
        <v>70</v>
      </c>
      <c r="K470" s="17" t="n">
        <v>6.44</v>
      </c>
      <c r="L470" s="17" t="n">
        <v>25.86</v>
      </c>
      <c r="M470" s="17" t="n">
        <v>0</v>
      </c>
      <c r="N470" s="17">
        <f>K470*0.08+L470*0.08</f>
        <v/>
      </c>
      <c r="O470" s="17">
        <f>-(K470*0.025+L470*0.025)</f>
        <v/>
      </c>
      <c r="P470" s="17">
        <f>32</f>
        <v/>
      </c>
      <c r="Q470" s="17">
        <f>J470+L470+N470+O470-P470-M470</f>
        <v/>
      </c>
    </row>
    <row r="471">
      <c r="A471" s="16" t="inlineStr">
        <is>
          <t>5.1-5.7</t>
        </is>
      </c>
      <c r="B471" s="16" t="inlineStr">
        <is>
          <t>PO-128-14162897039991119</t>
        </is>
      </c>
      <c r="C471" s="16" t="inlineStr">
        <is>
          <t>Delivered</t>
        </is>
      </c>
      <c r="D471" s="16" t="inlineStr">
        <is>
          <t>128-14162844611191119</t>
        </is>
      </c>
      <c r="E471" s="16" t="inlineStr">
        <is>
          <t>Delivered</t>
        </is>
      </c>
      <c r="F471" s="16" t="inlineStr">
        <is>
          <t>SA325T</t>
        </is>
      </c>
      <c r="G471" s="16" t="inlineStr">
        <is>
          <t>Subwoofer Portátil Inalámbrico con Luces RGB, Sonido de Alta Potencia y Batería Duradera, TWS TF USB, Perfecto para Campamento Fiestas y Entretenimiento en Casa</t>
        </is>
      </c>
      <c r="H471" s="16" t="inlineStr">
        <is>
          <t>NEGRO</t>
        </is>
      </c>
      <c r="I471" s="16" t="n">
        <v>1</v>
      </c>
      <c r="J471" s="17" t="n">
        <v>38</v>
      </c>
      <c r="K471" s="17" t="n">
        <v>47.06</v>
      </c>
      <c r="L471" s="17" t="n">
        <v>25.86</v>
      </c>
      <c r="M471" s="17" t="n">
        <v>0</v>
      </c>
      <c r="N471" s="17">
        <f>K471*0.08+L471*0.08</f>
        <v/>
      </c>
      <c r="O471" s="17">
        <f>-(K471*0.025+L471*0.025)</f>
        <v/>
      </c>
      <c r="P471" s="17">
        <f>32</f>
        <v/>
      </c>
      <c r="Q471" s="17">
        <f>J471+L471+N471+O471-P471-M471</f>
        <v/>
      </c>
    </row>
    <row r="472">
      <c r="A472" s="16" t="inlineStr">
        <is>
          <t>5.1-5.7</t>
        </is>
      </c>
      <c r="B472" s="16" t="inlineStr">
        <is>
          <t>PO-128-13877603144313714</t>
        </is>
      </c>
      <c r="C472" s="16" t="inlineStr">
        <is>
          <t>Delivered</t>
        </is>
      </c>
      <c r="D472" s="16" t="inlineStr">
        <is>
          <t>128-13877561201273714</t>
        </is>
      </c>
      <c r="E472" s="16" t="inlineStr">
        <is>
          <t>Delivered</t>
        </is>
      </c>
      <c r="F472" s="16" t="inlineStr">
        <is>
          <t>SA325T</t>
        </is>
      </c>
      <c r="G472" s="16" t="inlineStr">
        <is>
          <t>Subwoofer Portátil Inalámbrico con Luces RGB, Sonido de Alta Potencia y Batería Duradera, TWS TF USB, Perfecto para Campamento Fiestas y Entretenimiento en Casa</t>
        </is>
      </c>
      <c r="H472" s="16" t="inlineStr">
        <is>
          <t>NEGRO</t>
        </is>
      </c>
      <c r="I472" s="16" t="n">
        <v>1</v>
      </c>
      <c r="J472" s="17" t="n">
        <v>38</v>
      </c>
      <c r="K472" s="17" t="n">
        <v>47.06</v>
      </c>
      <c r="L472" s="17" t="n">
        <v>25.86</v>
      </c>
      <c r="M472" s="17" t="n">
        <v>0</v>
      </c>
      <c r="N472" s="17">
        <f>K472*0.08+L472*0.08</f>
        <v/>
      </c>
      <c r="O472" s="17">
        <f>-(K472*0.025+L472*0.025)</f>
        <v/>
      </c>
      <c r="P472" s="17">
        <f>32</f>
        <v/>
      </c>
      <c r="Q472" s="17">
        <f>J472+L472+N472+O472-P472-M472</f>
        <v/>
      </c>
    </row>
    <row r="473">
      <c r="A473" s="16" t="inlineStr">
        <is>
          <t>5.1-5.7</t>
        </is>
      </c>
      <c r="B473" s="16" t="inlineStr">
        <is>
          <t>PO-128-13806363505273306</t>
        </is>
      </c>
      <c r="C473" s="16" t="inlineStr">
        <is>
          <t>Delivered</t>
        </is>
      </c>
      <c r="D473" s="16" t="inlineStr">
        <is>
          <t>128-13806405448313306</t>
        </is>
      </c>
      <c r="E473" s="16" t="inlineStr">
        <is>
          <t>Delivered</t>
        </is>
      </c>
      <c r="F473" s="16" t="inlineStr">
        <is>
          <t>KTS-1943-Y</t>
        </is>
      </c>
      <c r="G47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73" s="16" t="inlineStr">
        <is>
          <t>AMARILLO</t>
        </is>
      </c>
      <c r="I473" s="16" t="n">
        <v>1</v>
      </c>
      <c r="J473" s="17" t="n">
        <v>67.5</v>
      </c>
      <c r="K473" s="17" t="n">
        <v>83.12</v>
      </c>
      <c r="L473" s="17" t="n">
        <v>25.86</v>
      </c>
      <c r="M473" s="17" t="n">
        <v>0</v>
      </c>
      <c r="N473" s="17">
        <f>K473*0.08+L473*0.08</f>
        <v/>
      </c>
      <c r="O473" s="17">
        <f>-(K473*0.025+L473*0.025)</f>
        <v/>
      </c>
      <c r="P473" s="17">
        <f>32</f>
        <v/>
      </c>
      <c r="Q473" s="17">
        <f>J473+L473+N473+O473-P473-M473</f>
        <v/>
      </c>
    </row>
    <row r="474">
      <c r="A474" s="16" t="inlineStr">
        <is>
          <t>5.1-5.7</t>
        </is>
      </c>
      <c r="B474" s="16" t="inlineStr">
        <is>
          <t>PO-128-13943736556152361</t>
        </is>
      </c>
      <c r="C474" s="16" t="inlineStr">
        <is>
          <t>Delivered</t>
        </is>
      </c>
      <c r="D474" s="16" t="inlineStr">
        <is>
          <t>128-13943841413752361</t>
        </is>
      </c>
      <c r="E474" s="16" t="inlineStr">
        <is>
          <t>Delivered</t>
        </is>
      </c>
      <c r="F474" s="16" t="inlineStr">
        <is>
          <t>KTS-1916</t>
        </is>
      </c>
      <c r="G474" s="16" t="inlineStr">
        <is>
          <t>Bocina Portátil, Parlantes BT Portátiles, de 4 Pulgadas, Altavoz Inalámbrico, con Iluminación LED, Sonido Estéreo, Compatible con USB/ Tarjeta TF/ Micrófono, Soporta Radio FM, Posee Función de Voz Mágica y Diseño con Asa, Ideal para Viajar, Trabajar y Entretenerte</t>
        </is>
      </c>
      <c r="H474" s="16" t="inlineStr">
        <is>
          <t>KTS-1916</t>
        </is>
      </c>
      <c r="I474" s="16" t="n">
        <v>2</v>
      </c>
      <c r="J474" s="17" t="n">
        <v>363.64</v>
      </c>
      <c r="K474" s="17" t="n">
        <v>362.4</v>
      </c>
      <c r="L474" s="17" t="n">
        <v>0</v>
      </c>
      <c r="M474" s="17" t="n">
        <v>0</v>
      </c>
      <c r="N474" s="17">
        <f>K474*0.08+L474*0.08</f>
        <v/>
      </c>
      <c r="O474" s="17">
        <f>-(K474*0.025+L474*0.025)</f>
        <v/>
      </c>
      <c r="P474" s="17">
        <f>32</f>
        <v/>
      </c>
      <c r="Q474" s="17">
        <f>J474+L474+N474+O474-P474-M474</f>
        <v/>
      </c>
    </row>
    <row r="475">
      <c r="A475" s="16" t="inlineStr">
        <is>
          <t>5.1-5.7</t>
        </is>
      </c>
      <c r="B475" s="16" t="inlineStr">
        <is>
          <t>PO-128-14207462892151877</t>
        </is>
      </c>
      <c r="C475" s="16" t="inlineStr">
        <is>
          <t>Delivered</t>
        </is>
      </c>
      <c r="D475" s="16" t="inlineStr">
        <is>
          <t>128-14207599207031877</t>
        </is>
      </c>
      <c r="E475" s="16" t="inlineStr">
        <is>
          <t>Delivered</t>
        </is>
      </c>
      <c r="F475" s="16" t="inlineStr">
        <is>
          <t>BS-22</t>
        </is>
      </c>
      <c r="G475" s="16" t="inlineStr">
        <is>
          <t>link bits Barra de Sonido para TV, 2x2" Altavoces + 2 Membranas de Graves, Sonido Claro ≥80dB, Bluetooth Inalámbrico, Conexiones AUX/USB, Diseño Compacto 76cm, Sonido Envolvente 3D para Cine en Casa, PC, Juegos y Fiestas</t>
        </is>
      </c>
      <c r="H475" s="16" t="inlineStr">
        <is>
          <t>BS-22</t>
        </is>
      </c>
      <c r="I475" s="16" t="n">
        <v>1</v>
      </c>
      <c r="J475" s="17" t="n">
        <v>260</v>
      </c>
      <c r="K475" s="17" t="n">
        <v>239.69</v>
      </c>
      <c r="L475" s="17" t="n">
        <v>0</v>
      </c>
      <c r="M475" s="17" t="n">
        <v>0</v>
      </c>
      <c r="N475" s="17">
        <f>K475*0.08+L475*0.08</f>
        <v/>
      </c>
      <c r="O475" s="17">
        <f>-(K475*0.025+L475*0.025)</f>
        <v/>
      </c>
      <c r="P475" s="17">
        <f>32</f>
        <v/>
      </c>
      <c r="Q475" s="17">
        <f>J475+L475+N475+O475-P475-M475</f>
        <v/>
      </c>
    </row>
    <row r="476">
      <c r="A476" s="16" t="inlineStr">
        <is>
          <t>5.1-5.7</t>
        </is>
      </c>
      <c r="B476" s="16" t="inlineStr">
        <is>
          <t>PO-128-14049802250872689</t>
        </is>
      </c>
      <c r="C476" s="16" t="inlineStr">
        <is>
          <t>Delivered</t>
        </is>
      </c>
      <c r="D476" s="16" t="inlineStr">
        <is>
          <t>128-14049812736632689</t>
        </is>
      </c>
      <c r="E476" s="16" t="inlineStr">
        <is>
          <t>Delivered</t>
        </is>
      </c>
      <c r="F476" s="16" t="inlineStr">
        <is>
          <t>MCM-001G</t>
        </is>
      </c>
      <c r="G476" s="16" t="inlineStr">
        <is>
          <t>Musicord Altavoz Inalámbrico BT Portátil: ¡Sonido impactante, luces LED multicolores y 4 horas de autonomía! Compatible con TWS, FM, TF y USB – Imprescindible para fiestas y viajes</t>
        </is>
      </c>
      <c r="H476" s="16" t="inlineStr">
        <is>
          <t>GRIS</t>
        </is>
      </c>
      <c r="I476" s="16" t="n">
        <v>1</v>
      </c>
      <c r="J476" s="17" t="n">
        <v>51.07</v>
      </c>
      <c r="K476" s="17" t="n">
        <v>62.36</v>
      </c>
      <c r="L476" s="17" t="n">
        <v>25.86</v>
      </c>
      <c r="M476" s="17" t="n">
        <v>0</v>
      </c>
      <c r="N476" s="17">
        <f>K476*0.08+L476*0.08</f>
        <v/>
      </c>
      <c r="O476" s="17">
        <f>-(K476*0.025+L476*0.025)</f>
        <v/>
      </c>
      <c r="P476" s="17">
        <f>32</f>
        <v/>
      </c>
      <c r="Q476" s="17">
        <f>J476+L476+N476+O476-P476-M476</f>
        <v/>
      </c>
    </row>
    <row r="477">
      <c r="A477" s="16" t="inlineStr">
        <is>
          <t>5.1-5.7</t>
        </is>
      </c>
      <c r="B477" s="16" t="inlineStr">
        <is>
          <t>PO-128-14362329621111016</t>
        </is>
      </c>
      <c r="C477" s="16" t="inlineStr">
        <is>
          <t>Delivered</t>
        </is>
      </c>
      <c r="D477" s="16" t="inlineStr">
        <is>
          <t>128-14362434478711016</t>
        </is>
      </c>
      <c r="E477" s="16" t="inlineStr">
        <is>
          <t>Delivered</t>
        </is>
      </c>
      <c r="F477" s="16" t="inlineStr">
        <is>
          <t>SA325T</t>
        </is>
      </c>
      <c r="G477" s="16" t="inlineStr">
        <is>
          <t>Subwoofer Portátil Inalámbrico con Luces RGB, Sonido de Alta Potencia y Batería Duradera, TWS TF USB, Perfecto para Campamento Fiestas y Entretenimiento en Casa</t>
        </is>
      </c>
      <c r="H477" s="16" t="inlineStr">
        <is>
          <t>NEGRO</t>
        </is>
      </c>
      <c r="I477" s="16" t="n">
        <v>1</v>
      </c>
      <c r="J477" s="17" t="n">
        <v>38</v>
      </c>
      <c r="K477" s="17" t="n">
        <v>40.01</v>
      </c>
      <c r="L477" s="17" t="n">
        <v>25.86</v>
      </c>
      <c r="M477" s="17" t="n">
        <v>0</v>
      </c>
      <c r="N477" s="17">
        <f>K477*0.08+L477*0.08</f>
        <v/>
      </c>
      <c r="O477" s="17">
        <f>-(K477*0.025+L477*0.025)</f>
        <v/>
      </c>
      <c r="P477" s="17">
        <f>32</f>
        <v/>
      </c>
      <c r="Q477" s="17">
        <f>J477+L477+N477+O477-P477-M477</f>
        <v/>
      </c>
    </row>
    <row r="478">
      <c r="A478" s="16" t="inlineStr">
        <is>
          <t>5.1-5.7</t>
        </is>
      </c>
      <c r="B478" s="16" t="inlineStr">
        <is>
          <t>PO-128-14082697308792685</t>
        </is>
      </c>
      <c r="C478" s="16" t="inlineStr">
        <is>
          <t>Delivered</t>
        </is>
      </c>
      <c r="D478" s="16" t="inlineStr">
        <is>
          <t>128-14082739251832685</t>
        </is>
      </c>
      <c r="E478" s="16" t="inlineStr">
        <is>
          <t>Delivered</t>
        </is>
      </c>
      <c r="F478" s="16" t="inlineStr">
        <is>
          <t>MCM-001G</t>
        </is>
      </c>
      <c r="G478" s="16" t="inlineStr">
        <is>
          <t>Musicord Altavoz Inalámbrico BT Portátil: ¡Sonido impactante, luces LED multicolores y 4 horas de autonomía! Compatible con TWS, FM, TF y USB – Imprescindible para fiestas y viajes</t>
        </is>
      </c>
      <c r="H478" s="16" t="inlineStr">
        <is>
          <t>GRIS</t>
        </is>
      </c>
      <c r="I478" s="16" t="n">
        <v>1</v>
      </c>
      <c r="J478" s="17" t="n">
        <v>51.07</v>
      </c>
      <c r="K478" s="17" t="n">
        <v>62.36</v>
      </c>
      <c r="L478" s="17" t="n">
        <v>25.86</v>
      </c>
      <c r="M478" s="17" t="n">
        <v>0</v>
      </c>
      <c r="N478" s="17">
        <f>K478*0.08+L478*0.08</f>
        <v/>
      </c>
      <c r="O478" s="17">
        <f>-(K478*0.025+L478*0.025)</f>
        <v/>
      </c>
      <c r="P478" s="17">
        <f>32</f>
        <v/>
      </c>
      <c r="Q478" s="17">
        <f>J478+L478+N478+O478-P478-M478</f>
        <v/>
      </c>
    </row>
    <row r="479">
      <c r="A479" s="16" t="inlineStr">
        <is>
          <t>5.1-5.7</t>
        </is>
      </c>
      <c r="B479" s="16" t="inlineStr">
        <is>
          <t>PO-128-14034422569592909</t>
        </is>
      </c>
      <c r="C479" s="16" t="inlineStr">
        <is>
          <t>Delivered</t>
        </is>
      </c>
      <c r="D479" s="16" t="inlineStr">
        <is>
          <t>128-14034443541112909</t>
        </is>
      </c>
      <c r="E479" s="16" t="inlineStr">
        <is>
          <t>Delivered</t>
        </is>
      </c>
      <c r="F479" s="16" t="inlineStr">
        <is>
          <t>MCM-001A</t>
        </is>
      </c>
      <c r="G479" s="16" t="inlineStr">
        <is>
          <t>Musicord Altavoz Inalámbrico BT Portátil: ¡Sonido impactante, luces LED multicolores y 4 horas de autonomía! Compatible con TWS, FM, TF y USB – Imprescindible para fiestas y viajes</t>
        </is>
      </c>
      <c r="H479" s="16" t="inlineStr">
        <is>
          <t>AZUL</t>
        </is>
      </c>
      <c r="I479" s="16" t="n">
        <v>1</v>
      </c>
      <c r="J479" s="17" t="n">
        <v>51.07</v>
      </c>
      <c r="K479" s="17" t="n">
        <v>6.02</v>
      </c>
      <c r="L479" s="17" t="n">
        <v>25.86</v>
      </c>
      <c r="M479" s="17" t="n">
        <v>0</v>
      </c>
      <c r="N479" s="17">
        <f>K479*0.08+L479*0.08</f>
        <v/>
      </c>
      <c r="O479" s="17">
        <f>-(K479*0.025+L479*0.025)</f>
        <v/>
      </c>
      <c r="P479" s="17">
        <f>32</f>
        <v/>
      </c>
      <c r="Q479" s="17">
        <f>J479+L479+N479+O479-P479-M479</f>
        <v/>
      </c>
    </row>
    <row r="480">
      <c r="A480" s="16" t="inlineStr">
        <is>
          <t>5.1-5.7</t>
        </is>
      </c>
      <c r="B480" s="16" t="inlineStr">
        <is>
          <t>PO-128-14089628785271426</t>
        </is>
      </c>
      <c r="C480" s="16" t="inlineStr">
        <is>
          <t>Delivered</t>
        </is>
      </c>
      <c r="D480" s="16" t="inlineStr">
        <is>
          <t>128-14089649756791426</t>
        </is>
      </c>
      <c r="E480" s="16" t="inlineStr">
        <is>
          <t>Delivered</t>
        </is>
      </c>
      <c r="F480" s="16" t="inlineStr">
        <is>
          <t>LB02235-azul</t>
        </is>
      </c>
      <c r="G480" s="16" t="inlineStr">
        <is>
          <t>Audífonos Inalámbricos para la Cabeza, Recargables y Multifuncionales - Conectan a Varios Dispositivos, soportan Radio FM, Tarjeta TF y AUX - 4 Horas de Reproducción Musical - Ideal para Trabajo Cotidiano, Juegos y Estudio</t>
        </is>
      </c>
      <c r="H480" s="16" t="inlineStr">
        <is>
          <t>AZUL</t>
        </is>
      </c>
      <c r="I480" s="16" t="n">
        <v>1</v>
      </c>
      <c r="J480" s="17" t="n">
        <v>37.73</v>
      </c>
      <c r="K480" s="17" t="n">
        <v>50.84</v>
      </c>
      <c r="L480" s="17" t="n">
        <v>25.86</v>
      </c>
      <c r="M480" s="17" t="n">
        <v>0</v>
      </c>
      <c r="N480" s="17">
        <f>K480*0.08+L480*0.08</f>
        <v/>
      </c>
      <c r="O480" s="17">
        <f>-(K480*0.025+L480*0.025)</f>
        <v/>
      </c>
      <c r="P480" s="17">
        <f>32</f>
        <v/>
      </c>
      <c r="Q480" s="17">
        <f>J480+L480+N480+O480-P480-M480</f>
        <v/>
      </c>
    </row>
    <row r="481">
      <c r="A481" s="16" t="inlineStr">
        <is>
          <t>5.1-5.7</t>
        </is>
      </c>
      <c r="B481" s="16" t="inlineStr">
        <is>
          <t>PO-128-14367256991350797</t>
        </is>
      </c>
      <c r="C481" s="16" t="inlineStr">
        <is>
          <t>Delivered</t>
        </is>
      </c>
      <c r="D481" s="16" t="inlineStr">
        <is>
          <t>128-14367238641270797</t>
        </is>
      </c>
      <c r="E481" s="16" t="inlineStr">
        <is>
          <t>Delivered</t>
        </is>
      </c>
      <c r="F481" s="16" t="inlineStr">
        <is>
          <t>FA028</t>
        </is>
      </c>
      <c r="G481" s="16" t="inlineStr">
        <is>
          <t>Extractor de agua para garrafas de agua, compatible con carga USB, extractor de agua automático, práctico, con dos modos de toma de agua: manual y programado, ideal para dormitorios, salones, oficinas, uso al aire libre y otros escenarios.</t>
        </is>
      </c>
      <c r="H481" s="16" t="inlineStr">
        <is>
          <t>FA028</t>
        </is>
      </c>
      <c r="I481" s="16" t="n">
        <v>1</v>
      </c>
      <c r="J481" s="17" t="n">
        <v>35</v>
      </c>
      <c r="K481" s="17" t="n">
        <v>44.6</v>
      </c>
      <c r="L481" s="17" t="n">
        <v>25.86</v>
      </c>
      <c r="M481" s="17" t="n">
        <v>0</v>
      </c>
      <c r="N481" s="17">
        <f>K481*0.08+L481*0.08</f>
        <v/>
      </c>
      <c r="O481" s="17">
        <f>-(K481*0.025+L481*0.025)</f>
        <v/>
      </c>
      <c r="P481" s="17">
        <f>32</f>
        <v/>
      </c>
      <c r="Q481" s="17">
        <f>J481+L481+N481+O481-P481-M481</f>
        <v/>
      </c>
    </row>
    <row r="482">
      <c r="A482" s="16" t="inlineStr">
        <is>
          <t>5.1-5.7</t>
        </is>
      </c>
      <c r="B482" s="16" t="inlineStr">
        <is>
          <t>PO-128-13929802711672506</t>
        </is>
      </c>
      <c r="C482" s="16" t="inlineStr">
        <is>
          <t>Delivered</t>
        </is>
      </c>
      <c r="D482" s="16" t="inlineStr">
        <is>
          <t>128-13929939026552506</t>
        </is>
      </c>
      <c r="E482" s="16" t="inlineStr">
        <is>
          <t>Delivered</t>
        </is>
      </c>
      <c r="F482" s="16" t="inlineStr">
        <is>
          <t>MCM-001A</t>
        </is>
      </c>
      <c r="G482" s="16" t="inlineStr">
        <is>
          <t>Musicord Altavoz Inalámbrico BT Portátil: ¡Sonido impactante, luces LED multicolores y 4 horas de autonomía! Compatible con TWS, FM, TF y USB – Imprescindible para fiestas y viajes</t>
        </is>
      </c>
      <c r="H482" s="16" t="inlineStr">
        <is>
          <t>AZUL</t>
        </is>
      </c>
      <c r="I482" s="16" t="n">
        <v>1</v>
      </c>
      <c r="J482" s="17" t="n">
        <v>51.07</v>
      </c>
      <c r="K482" s="17" t="n">
        <v>59.47</v>
      </c>
      <c r="L482" s="17" t="n">
        <v>0</v>
      </c>
      <c r="M482" s="17" t="n">
        <v>59.47</v>
      </c>
      <c r="N482" s="17">
        <f>K482*0.08+L482*0.08</f>
        <v/>
      </c>
      <c r="O482" s="17">
        <f>-(K482*0.025+L482*0.025)</f>
        <v/>
      </c>
      <c r="P482" s="17">
        <f>32</f>
        <v/>
      </c>
      <c r="Q482" s="17">
        <f>J482+L482+N482+O482-P482-M482</f>
        <v/>
      </c>
    </row>
    <row r="483">
      <c r="A483" s="16" t="inlineStr">
        <is>
          <t>5.1-5.7</t>
        </is>
      </c>
      <c r="B483" s="16" t="inlineStr">
        <is>
          <t>PO-128-14031813386872858</t>
        </is>
      </c>
      <c r="C483" s="16" t="inlineStr">
        <is>
          <t>Delivered</t>
        </is>
      </c>
      <c r="D483" s="16" t="inlineStr">
        <is>
          <t>128-14031918244472858</t>
        </is>
      </c>
      <c r="E483" s="16" t="inlineStr">
        <is>
          <t>Delivered</t>
        </is>
      </c>
      <c r="F483" s="16" t="inlineStr">
        <is>
          <t>MCM-001G</t>
        </is>
      </c>
      <c r="G483" s="16" t="inlineStr">
        <is>
          <t>Musicord Altavoz Inalámbrico BT Portátil: ¡Sonido impactante, luces LED multicolores y 4 horas de autonomía! Compatible con TWS, FM, TF y USB – Imprescindible para fiestas y viajes</t>
        </is>
      </c>
      <c r="H483" s="16" t="inlineStr">
        <is>
          <t>GRIS</t>
        </is>
      </c>
      <c r="I483" s="16" t="n">
        <v>1</v>
      </c>
      <c r="J483" s="17" t="n">
        <v>51.07</v>
      </c>
      <c r="K483" s="17" t="n">
        <v>62.36</v>
      </c>
      <c r="L483" s="17" t="n">
        <v>25.86</v>
      </c>
      <c r="M483" s="17" t="n">
        <v>0</v>
      </c>
      <c r="N483" s="17">
        <f>K483*0.08+L483*0.08</f>
        <v/>
      </c>
      <c r="O483" s="17">
        <f>-(K483*0.025+L483*0.025)</f>
        <v/>
      </c>
      <c r="P483" s="17">
        <f>32</f>
        <v/>
      </c>
      <c r="Q483" s="17">
        <f>J483+L483+N483+O483-P483-M483</f>
        <v/>
      </c>
    </row>
    <row r="484">
      <c r="A484" s="16" t="inlineStr">
        <is>
          <t>5.1-5.7</t>
        </is>
      </c>
      <c r="B484" s="16" t="inlineStr">
        <is>
          <t>PO-128-14363258983031013</t>
        </is>
      </c>
      <c r="C484" s="16" t="inlineStr">
        <is>
          <t>Delivered</t>
        </is>
      </c>
      <c r="D484" s="16" t="inlineStr">
        <is>
          <t>128-14363279954551013</t>
        </is>
      </c>
      <c r="E484" s="16" t="inlineStr">
        <is>
          <t>Delivered</t>
        </is>
      </c>
      <c r="F484" s="16" t="inlineStr">
        <is>
          <t>AIR50W06-2P</t>
        </is>
      </c>
      <c r="G484" s="16" t="inlineStr">
        <is>
          <t>Link Bits Ventilador de piso de 16 pulgadas, 2 unidades, 3 velocidades, motor silencioso, flujo de aire fuerte, altura ajustable, oscilación amplia, ventilador eléctrico para el hogar, ideal para sala, recámara y oficina</t>
        </is>
      </c>
      <c r="H484" s="16" t="inlineStr">
        <is>
          <t>2PZ</t>
        </is>
      </c>
      <c r="I484" s="16" t="n">
        <v>1</v>
      </c>
      <c r="J484" s="17" t="n">
        <v>439</v>
      </c>
      <c r="K484" s="17" t="n">
        <v>572.13</v>
      </c>
      <c r="L484" s="17" t="n">
        <v>0</v>
      </c>
      <c r="M484" s="17" t="n">
        <v>0</v>
      </c>
      <c r="N484" s="17">
        <f>K484*0.08+L484*0.08</f>
        <v/>
      </c>
      <c r="O484" s="17">
        <f>-(K484*0.025+L484*0.025)</f>
        <v/>
      </c>
      <c r="P484" s="17">
        <f>32</f>
        <v/>
      </c>
      <c r="Q484" s="17">
        <f>J484+L484+N484+O484-P484-M484</f>
        <v/>
      </c>
    </row>
    <row r="485">
      <c r="A485" s="16" t="inlineStr">
        <is>
          <t>5.1-5.7</t>
        </is>
      </c>
      <c r="B485" s="16" t="inlineStr">
        <is>
          <t>PO-128-13918512978552446</t>
        </is>
      </c>
      <c r="C485" s="16" t="inlineStr">
        <is>
          <t>Delivered</t>
        </is>
      </c>
      <c r="D485" s="16" t="inlineStr">
        <is>
          <t>128-13918471035512446</t>
        </is>
      </c>
      <c r="E485" s="16" t="inlineStr">
        <is>
          <t>Delivered</t>
        </is>
      </c>
      <c r="F485" s="16" t="inlineStr">
        <is>
          <t>BS-22</t>
        </is>
      </c>
      <c r="G485" s="16" t="inlineStr">
        <is>
          <t>link bits Barra de Sonido para TV, 2x2" Altavoces + 2 Membranas de Graves, Sonido Claro ≥80dB, Bluetooth Inalámbrico, Conexiones AUX/USB, Diseño Compacto 76cm, Sonido Envolvente 3D para Cine en Casa, PC, Juegos y Fiestas</t>
        </is>
      </c>
      <c r="H485" s="16" t="inlineStr">
        <is>
          <t>BS-22</t>
        </is>
      </c>
      <c r="I485" s="16" t="n">
        <v>2</v>
      </c>
      <c r="J485" s="17" t="n">
        <v>520</v>
      </c>
      <c r="K485" s="17" t="n">
        <v>599.22</v>
      </c>
      <c r="L485" s="17" t="n">
        <v>0</v>
      </c>
      <c r="M485" s="17" t="n">
        <v>0</v>
      </c>
      <c r="N485" s="17">
        <f>K485*0.08+L485*0.08</f>
        <v/>
      </c>
      <c r="O485" s="17">
        <f>-(K485*0.025+L485*0.025)</f>
        <v/>
      </c>
      <c r="P485" s="17">
        <f>32</f>
        <v/>
      </c>
      <c r="Q485" s="17">
        <f>J485+L485+N485+O485-P485-M485</f>
        <v/>
      </c>
    </row>
    <row r="486">
      <c r="A486" s="16" t="inlineStr">
        <is>
          <t>5.1-5.7</t>
        </is>
      </c>
      <c r="B486" s="16" t="inlineStr">
        <is>
          <t>PO-128-14351374664310954</t>
        </is>
      </c>
      <c r="C486" s="16" t="inlineStr">
        <is>
          <t>Delivered</t>
        </is>
      </c>
      <c r="D486" s="16" t="inlineStr">
        <is>
          <t>128-14351332721270954</t>
        </is>
      </c>
      <c r="E486" s="16" t="inlineStr">
        <is>
          <t>Delivered</t>
        </is>
      </c>
      <c r="F486" s="16" t="inlineStr">
        <is>
          <t>AIR50W06-2P</t>
        </is>
      </c>
      <c r="G486" s="16" t="inlineStr">
        <is>
          <t>Link Bits Ventilador de piso de 16 pulgadas, 2 unidades, 3 velocidades, motor silencioso, flujo de aire fuerte, altura ajustable, oscilación amplia, ventilador eléctrico para el hogar, ideal para sala, recámara y oficina</t>
        </is>
      </c>
      <c r="H486" s="16" t="inlineStr">
        <is>
          <t>2PZ</t>
        </is>
      </c>
      <c r="I486" s="16" t="n">
        <v>1</v>
      </c>
      <c r="J486" s="17" t="n">
        <v>439</v>
      </c>
      <c r="K486" s="17" t="n">
        <v>457.71</v>
      </c>
      <c r="L486" s="17" t="n">
        <v>0</v>
      </c>
      <c r="M486" s="17" t="n">
        <v>0</v>
      </c>
      <c r="N486" s="17">
        <f>K486*0.08+L486*0.08</f>
        <v/>
      </c>
      <c r="O486" s="17">
        <f>-(K486*0.025+L486*0.025)</f>
        <v/>
      </c>
      <c r="P486" s="17">
        <f>32</f>
        <v/>
      </c>
      <c r="Q486" s="17">
        <f>J486+L486+N486+O486-P486-M486</f>
        <v/>
      </c>
    </row>
    <row r="487">
      <c r="A487" s="16" t="inlineStr">
        <is>
          <t>5.1-5.7</t>
        </is>
      </c>
      <c r="B487" s="16" t="inlineStr">
        <is>
          <t>PO-128-14154108846711043</t>
        </is>
      </c>
      <c r="C487" s="16" t="inlineStr">
        <is>
          <t>Delivered</t>
        </is>
      </c>
      <c r="D487" s="16" t="inlineStr">
        <is>
          <t>128-14154119332471043</t>
        </is>
      </c>
      <c r="E487" s="16" t="inlineStr">
        <is>
          <t>Delivered</t>
        </is>
      </c>
      <c r="F487" s="16" t="inlineStr">
        <is>
          <t>MB-185A</t>
        </is>
      </c>
      <c r="G487" s="16" t="inlineStr">
        <is>
          <t>Bocina Radio FM/Reproductor, Compatible con Tarjeta TF, USB, Bluetooth, Aplicable para celular, computadora, Ipad y consola.</t>
        </is>
      </c>
      <c r="H487" s="16" t="inlineStr">
        <is>
          <t>AZUL/MB-185</t>
        </is>
      </c>
      <c r="I487" s="16" t="n">
        <v>1</v>
      </c>
      <c r="J487" s="17" t="n">
        <v>75.5</v>
      </c>
      <c r="K487" s="17" t="n">
        <v>75.19</v>
      </c>
      <c r="L487" s="17" t="n">
        <v>25.86</v>
      </c>
      <c r="M487" s="17" t="n">
        <v>0</v>
      </c>
      <c r="N487" s="17">
        <f>K487*0.08+L487*0.08</f>
        <v/>
      </c>
      <c r="O487" s="17">
        <f>-(K487*0.025+L487*0.025)</f>
        <v/>
      </c>
      <c r="P487" s="17">
        <f>32</f>
        <v/>
      </c>
      <c r="Q487" s="17">
        <f>J487+L487+N487+O487-P487-M487</f>
        <v/>
      </c>
    </row>
    <row r="488">
      <c r="A488" s="16" t="inlineStr">
        <is>
          <t>5.1-5.7</t>
        </is>
      </c>
      <c r="B488" s="16" t="inlineStr">
        <is>
          <t>PO-128-14332359404150045</t>
        </is>
      </c>
      <c r="C488" s="16" t="inlineStr">
        <is>
          <t>Delivered</t>
        </is>
      </c>
      <c r="D488" s="16" t="inlineStr">
        <is>
          <t>128-14332351539830045</t>
        </is>
      </c>
      <c r="E488" s="16" t="inlineStr">
        <is>
          <t>Delivered</t>
        </is>
      </c>
      <c r="F488" s="16" t="inlineStr">
        <is>
          <t>AIR50W06-2P</t>
        </is>
      </c>
      <c r="G488" s="16" t="inlineStr">
        <is>
          <t>Link Bits Ventilador de piso de 16 pulgadas, 2 unidades, 3 velocidades, motor silencioso, flujo de aire fuerte, altura ajustable, oscilación amplia, ventilador eléctrico para el hogar, ideal para sala, recámara y oficina</t>
        </is>
      </c>
      <c r="H488" s="16" t="inlineStr">
        <is>
          <t>2PZ</t>
        </is>
      </c>
      <c r="I488" s="16" t="n">
        <v>1</v>
      </c>
      <c r="J488" s="17" t="n">
        <v>439</v>
      </c>
      <c r="K488" s="17" t="n">
        <v>514.92</v>
      </c>
      <c r="L488" s="17" t="n">
        <v>0</v>
      </c>
      <c r="M488" s="17" t="n">
        <v>0</v>
      </c>
      <c r="N488" s="17">
        <f>K488*0.08+L488*0.08</f>
        <v/>
      </c>
      <c r="O488" s="17">
        <f>-(K488*0.025+L488*0.025)</f>
        <v/>
      </c>
      <c r="P488" s="17">
        <f>32</f>
        <v/>
      </c>
      <c r="Q488" s="17">
        <f>J488+L488+N488+O488-P488-M488</f>
        <v/>
      </c>
    </row>
    <row r="489">
      <c r="A489" s="16" t="inlineStr">
        <is>
          <t>5.1-5.7</t>
        </is>
      </c>
      <c r="B489" s="16" t="inlineStr">
        <is>
          <t>PO-128-14188153907831993</t>
        </is>
      </c>
      <c r="C489" s="16" t="inlineStr">
        <is>
          <t>Delivered</t>
        </is>
      </c>
      <c r="D489" s="16" t="inlineStr">
        <is>
          <t>128-14188111964791993</t>
        </is>
      </c>
      <c r="E489" s="16" t="inlineStr">
        <is>
          <t>Delivered</t>
        </is>
      </c>
      <c r="F489" s="16" t="inlineStr">
        <is>
          <t>SA323T</t>
        </is>
      </c>
      <c r="G489" s="16" t="inlineStr">
        <is>
          <t>Linkbits Bocina Portátil Parlantes BT Portátiles con Iluminación de Ambiente | 1 Hora de Duración, FM, TWS, TF/Micro SD | Ideal para Hogar, Fiestas y Viajes</t>
        </is>
      </c>
      <c r="H489" s="16" t="inlineStr">
        <is>
          <t>SA323T</t>
        </is>
      </c>
      <c r="I489" s="16" t="n">
        <v>1</v>
      </c>
      <c r="J489" s="17" t="n">
        <v>46.8</v>
      </c>
      <c r="K489" s="17" t="n">
        <v>55.86</v>
      </c>
      <c r="L489" s="17" t="n">
        <v>25.86</v>
      </c>
      <c r="M489" s="17" t="n">
        <v>0</v>
      </c>
      <c r="N489" s="17">
        <f>K489*0.08+L489*0.08</f>
        <v/>
      </c>
      <c r="O489" s="17">
        <f>-(K489*0.025+L489*0.025)</f>
        <v/>
      </c>
      <c r="P489" s="17">
        <f>32</f>
        <v/>
      </c>
      <c r="Q489" s="17">
        <f>J489+L489+N489+O489-P489-M489</f>
        <v/>
      </c>
    </row>
    <row r="490">
      <c r="A490" s="16" t="inlineStr">
        <is>
          <t>5.1-5.7</t>
        </is>
      </c>
      <c r="B490" s="16" t="inlineStr">
        <is>
          <t>PO-128-14088921498231430</t>
        </is>
      </c>
      <c r="C490" s="16" t="inlineStr">
        <is>
          <t>Delivered</t>
        </is>
      </c>
      <c r="D490" s="16" t="inlineStr">
        <is>
          <t>128-14088955576951430</t>
        </is>
      </c>
      <c r="E490" s="16" t="inlineStr">
        <is>
          <t>Delivered</t>
        </is>
      </c>
      <c r="F490" s="16" t="inlineStr">
        <is>
          <t>KTS-1678N</t>
        </is>
      </c>
      <c r="G490" s="16" t="inlineStr">
        <is>
          <t>Bocina portátil Inalámbrico, de 3 pulgadas, tamaño de bolsillo, 170 g, con asa, compatible con TF, USB y Micro SD, con radio FM y función TWS (True Wireless Stereo), adecuada para relajarse en casa o viajar al aire libre.</t>
        </is>
      </c>
      <c r="H490" s="16" t="inlineStr">
        <is>
          <t>KTS-1678N</t>
        </is>
      </c>
      <c r="I490" s="16" t="n">
        <v>1</v>
      </c>
      <c r="J490" s="17" t="n">
        <v>40</v>
      </c>
      <c r="K490" s="17" t="n">
        <v>46.22</v>
      </c>
      <c r="L490" s="17" t="n">
        <v>25.86</v>
      </c>
      <c r="M490" s="17" t="n">
        <v>0</v>
      </c>
      <c r="N490" s="17">
        <f>K490*0.08+L490*0.08</f>
        <v/>
      </c>
      <c r="O490" s="17">
        <f>-(K490*0.025+L490*0.025)</f>
        <v/>
      </c>
      <c r="P490" s="17">
        <f>32</f>
        <v/>
      </c>
      <c r="Q490" s="17">
        <f>J490+L490+N490+O490-P490-M490</f>
        <v/>
      </c>
    </row>
    <row r="491">
      <c r="A491" s="16" t="inlineStr">
        <is>
          <t>5.1-5.7</t>
        </is>
      </c>
      <c r="B491" s="16" t="inlineStr">
        <is>
          <t>PO-128-14095030579831458</t>
        </is>
      </c>
      <c r="C491" s="16" t="inlineStr">
        <is>
          <t>Delivered</t>
        </is>
      </c>
      <c r="D491" s="16" t="inlineStr">
        <is>
          <t>128-14095035822711458</t>
        </is>
      </c>
      <c r="E491" s="16" t="inlineStr">
        <is>
          <t>Delivered</t>
        </is>
      </c>
      <c r="F491" s="16" t="inlineStr">
        <is>
          <t>FA028</t>
        </is>
      </c>
      <c r="G491" s="16" t="inlineStr">
        <is>
          <t>Extractor de agua para garrafas de agua, compatible con carga USB, extractor de agua automático, práctico, con dos modos de toma de agua: manual y programado, ideal para dormitorios, salones, oficinas, uso al aire libre y otros escenarios.</t>
        </is>
      </c>
      <c r="H491" s="16" t="inlineStr">
        <is>
          <t>FA028</t>
        </is>
      </c>
      <c r="I491" s="16" t="n">
        <v>1</v>
      </c>
      <c r="J491" s="17" t="n">
        <v>30.99</v>
      </c>
      <c r="K491" s="17" t="n">
        <v>23.75</v>
      </c>
      <c r="L491" s="17" t="n">
        <v>25.86</v>
      </c>
      <c r="M491" s="17" t="n">
        <v>0</v>
      </c>
      <c r="N491" s="17">
        <f>K491*0.08+L491*0.08</f>
        <v/>
      </c>
      <c r="O491" s="17">
        <f>-(K491*0.025+L491*0.025)</f>
        <v/>
      </c>
      <c r="P491" s="17">
        <f>32</f>
        <v/>
      </c>
      <c r="Q491" s="17">
        <f>J491+L491+N491+O491-P491-M491</f>
        <v/>
      </c>
    </row>
    <row r="492">
      <c r="A492" s="16" t="inlineStr">
        <is>
          <t>5.1-5.7</t>
        </is>
      </c>
      <c r="B492" s="16" t="inlineStr">
        <is>
          <t>PO-128-13870468199033948</t>
        </is>
      </c>
      <c r="C492" s="16" t="inlineStr">
        <is>
          <t>Delivered</t>
        </is>
      </c>
      <c r="D492" s="16" t="inlineStr">
        <is>
          <t>128-13870426255993948</t>
        </is>
      </c>
      <c r="E492" s="16" t="inlineStr">
        <is>
          <t>Delivered</t>
        </is>
      </c>
      <c r="F492" s="16" t="inlineStr">
        <is>
          <t>MB-185N</t>
        </is>
      </c>
      <c r="G492" s="16" t="inlineStr">
        <is>
          <t>Bocina Radio FM/Reproductor, Compatible con Tarjeta TF, USB, Bluetooth, Aplicable para celular, computadora, Ipad y consola.</t>
        </is>
      </c>
      <c r="H492" s="16" t="inlineStr">
        <is>
          <t>NEGRO/MB-185</t>
        </is>
      </c>
      <c r="I492" s="16" t="n">
        <v>1</v>
      </c>
      <c r="J492" s="17" t="n">
        <v>71.31</v>
      </c>
      <c r="K492" s="17" t="n">
        <v>84.26000000000001</v>
      </c>
      <c r="L492" s="17" t="n">
        <v>25.86</v>
      </c>
      <c r="M492" s="17" t="n">
        <v>0</v>
      </c>
      <c r="N492" s="17">
        <f>K492*0.08+L492*0.08</f>
        <v/>
      </c>
      <c r="O492" s="17">
        <f>-(K492*0.025+L492*0.025)</f>
        <v/>
      </c>
      <c r="P492" s="17">
        <f>32</f>
        <v/>
      </c>
      <c r="Q492" s="17">
        <f>J492+L492+N492+O492-P492-M492</f>
        <v/>
      </c>
    </row>
    <row r="493">
      <c r="A493" s="16" t="inlineStr">
        <is>
          <t>5.1-5.7</t>
        </is>
      </c>
      <c r="B493" s="16" t="inlineStr">
        <is>
          <t>PO-128-14165354619511102</t>
        </is>
      </c>
      <c r="C493" s="16" t="inlineStr">
        <is>
          <t>Delivered</t>
        </is>
      </c>
      <c r="D493" s="16" t="inlineStr">
        <is>
          <t>128-14165346755191102</t>
        </is>
      </c>
      <c r="E493" s="16" t="inlineStr">
        <is>
          <t>Delivered</t>
        </is>
      </c>
      <c r="F493" s="16" t="inlineStr">
        <is>
          <t>LV34W04</t>
        </is>
      </c>
      <c r="G493"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93" s="16" t="inlineStr">
        <is>
          <t>LV34W04</t>
        </is>
      </c>
      <c r="I493" s="16" t="n">
        <v>1</v>
      </c>
      <c r="J493" s="17" t="n">
        <v>197.4</v>
      </c>
      <c r="K493" s="17" t="n">
        <v>201.78</v>
      </c>
      <c r="L493" s="17" t="n">
        <v>25.86</v>
      </c>
      <c r="M493" s="17" t="n">
        <v>0</v>
      </c>
      <c r="N493" s="17">
        <f>K493*0.08+L493*0.08</f>
        <v/>
      </c>
      <c r="O493" s="17">
        <f>-(K493*0.025+L493*0.025)</f>
        <v/>
      </c>
      <c r="P493" s="17">
        <f>32</f>
        <v/>
      </c>
      <c r="Q493" s="17">
        <f>J493+L493+N493+O493-P493-M493</f>
        <v/>
      </c>
    </row>
    <row r="494">
      <c r="A494" s="16" t="inlineStr">
        <is>
          <t>5.1-5.7</t>
        </is>
      </c>
      <c r="B494" s="16" t="inlineStr">
        <is>
          <t>PO-128-13977830615672284</t>
        </is>
      </c>
      <c r="C494" s="16" t="inlineStr">
        <is>
          <t>Delivered</t>
        </is>
      </c>
      <c r="D494" s="16" t="inlineStr">
        <is>
          <t>128-13977796536952284</t>
        </is>
      </c>
      <c r="E494" s="16" t="inlineStr">
        <is>
          <t>Delivered</t>
        </is>
      </c>
      <c r="F494" s="16" t="inlineStr">
        <is>
          <t>KTS-1678Y</t>
        </is>
      </c>
      <c r="G494" s="16" t="inlineStr">
        <is>
          <t>Bocina portátil Inalámbrico, de 3 pulgadas, tamaño de bolsillo, 170 g, con asa, compatible con TF, USB y Micro SD, con radio FM y función TWS (True Wireless Stereo), adecuada para relajarse en casa o viajar al aire libre.</t>
        </is>
      </c>
      <c r="H494" s="16" t="inlineStr">
        <is>
          <t>KTS-1678Y</t>
        </is>
      </c>
      <c r="I494" s="16" t="n">
        <v>1</v>
      </c>
      <c r="J494" s="17" t="n">
        <v>40</v>
      </c>
      <c r="K494" s="17" t="n">
        <v>46.22</v>
      </c>
      <c r="L494" s="17" t="n">
        <v>6.39</v>
      </c>
      <c r="M494" s="17" t="n">
        <v>0</v>
      </c>
      <c r="N494" s="17">
        <f>K494*0.08+L494*0.08</f>
        <v/>
      </c>
      <c r="O494" s="17">
        <f>-(K494*0.025+L494*0.025)</f>
        <v/>
      </c>
      <c r="P494" s="17">
        <f>32</f>
        <v/>
      </c>
      <c r="Q494" s="17">
        <f>J494+L494+N494+O494-P494-M494</f>
        <v/>
      </c>
    </row>
    <row r="495">
      <c r="A495" s="16" t="inlineStr">
        <is>
          <t>5.1-5.7</t>
        </is>
      </c>
      <c r="B495" s="16" t="inlineStr">
        <is>
          <t>PO-128-13977830615672284</t>
        </is>
      </c>
      <c r="C495" s="16" t="inlineStr">
        <is>
          <t>Delivered</t>
        </is>
      </c>
      <c r="D495" s="16" t="inlineStr">
        <is>
          <t>128-13977788672632284</t>
        </is>
      </c>
      <c r="E495" s="16" t="inlineStr">
        <is>
          <t>Delivered</t>
        </is>
      </c>
      <c r="F495" s="16" t="inlineStr">
        <is>
          <t>KTS-1678N</t>
        </is>
      </c>
      <c r="G495" s="16" t="inlineStr">
        <is>
          <t>Bocina portátil Inalámbrico, de 3 pulgadas, tamaño de bolsillo, 170 g, con asa, compatible con TF, USB y Micro SD, con radio FM y función TWS (True Wireless Stereo), adecuada para relajarse en casa o viajar al aire libre.</t>
        </is>
      </c>
      <c r="H495" s="16" t="inlineStr">
        <is>
          <t>KTS-1678N</t>
        </is>
      </c>
      <c r="I495" s="16" t="n">
        <v>1</v>
      </c>
      <c r="J495" s="17" t="n">
        <v>40</v>
      </c>
      <c r="K495" s="17" t="n">
        <v>46.22</v>
      </c>
      <c r="L495" s="17" t="n">
        <v>6.39</v>
      </c>
      <c r="M495" s="17" t="n">
        <v>0</v>
      </c>
      <c r="N495" s="17">
        <f>K495*0.08+L495*0.08</f>
        <v/>
      </c>
      <c r="O495" s="17">
        <f>-(K495*0.025+L495*0.025)</f>
        <v/>
      </c>
      <c r="P495" s="17">
        <f>32</f>
        <v/>
      </c>
      <c r="Q495" s="17">
        <f>J495+L495+N495+O495-P495-M495</f>
        <v/>
      </c>
    </row>
    <row r="496">
      <c r="A496" s="16" t="inlineStr">
        <is>
          <t>5.1-5.7</t>
        </is>
      </c>
      <c r="B496" s="16" t="inlineStr">
        <is>
          <t>PO-128-13977830615672284</t>
        </is>
      </c>
      <c r="C496" s="16" t="inlineStr">
        <is>
          <t>Delivered</t>
        </is>
      </c>
      <c r="D496" s="16" t="inlineStr">
        <is>
          <t>128-13977793915512284</t>
        </is>
      </c>
      <c r="E496" s="16" t="inlineStr">
        <is>
          <t>Delivered</t>
        </is>
      </c>
      <c r="F496" s="16" t="inlineStr">
        <is>
          <t>KTS-1678R</t>
        </is>
      </c>
      <c r="G496" s="16" t="inlineStr">
        <is>
          <t>Bocina portátil Inalámbrico, de 3 pulgadas, tamaño de bolsillo, 170 g, con asa, compatible con TF, USB y Micro SD, con radio FM y función TWS (True Wireless Stereo), adecuada para relajarse en casa o viajar al aire libre.</t>
        </is>
      </c>
      <c r="H496" s="16" t="inlineStr">
        <is>
          <t>KTS-1678R</t>
        </is>
      </c>
      <c r="I496" s="16" t="n">
        <v>1</v>
      </c>
      <c r="J496" s="17" t="n">
        <v>40</v>
      </c>
      <c r="K496" s="17" t="n">
        <v>48.29</v>
      </c>
      <c r="L496" s="17" t="n">
        <v>6.7</v>
      </c>
      <c r="M496" s="17" t="n">
        <v>0</v>
      </c>
      <c r="N496" s="17">
        <f>K496*0.08+L496*0.08</f>
        <v/>
      </c>
      <c r="O496" s="17">
        <f>-(K496*0.025+L496*0.025)</f>
        <v/>
      </c>
      <c r="P496" s="17">
        <f>32</f>
        <v/>
      </c>
      <c r="Q496" s="17">
        <f>J496+L496+N496+O496-P496-M496</f>
        <v/>
      </c>
    </row>
    <row r="497">
      <c r="A497" s="16" t="inlineStr">
        <is>
          <t>5.1-5.7</t>
        </is>
      </c>
      <c r="B497" s="16" t="inlineStr">
        <is>
          <t>PO-128-13977830615672284</t>
        </is>
      </c>
      <c r="C497" s="16" t="inlineStr">
        <is>
          <t>Delivered</t>
        </is>
      </c>
      <c r="D497" s="16" t="inlineStr">
        <is>
          <t>128-13977786051192284</t>
        </is>
      </c>
      <c r="E497" s="16" t="inlineStr">
        <is>
          <t>Delivered</t>
        </is>
      </c>
      <c r="F497" s="16" t="inlineStr">
        <is>
          <t>KTS-1678V</t>
        </is>
      </c>
      <c r="G497" s="16" t="inlineStr">
        <is>
          <t>Bocina portátil Inalámbrico, de 3 pulgadas, tamaño de bolsillo, 170 g, con asa, compatible con TF, USB y Micro SD, con radio FM y función TWS (True Wireless Stereo), adecuada para relajarse en casa o viajar al aire libre.</t>
        </is>
      </c>
      <c r="H497" s="16" t="inlineStr">
        <is>
          <t>KTS-1678V</t>
        </is>
      </c>
      <c r="I497" s="16" t="n">
        <v>1</v>
      </c>
      <c r="J497" s="17" t="n">
        <v>40</v>
      </c>
      <c r="K497" s="17" t="n">
        <v>46.22</v>
      </c>
      <c r="L497" s="17" t="n">
        <v>6.39</v>
      </c>
      <c r="M497" s="17" t="n">
        <v>0</v>
      </c>
      <c r="N497" s="17">
        <f>K497*0.08+L497*0.08</f>
        <v/>
      </c>
      <c r="O497" s="17">
        <f>-(K497*0.025+L497*0.025)</f>
        <v/>
      </c>
      <c r="P497" s="17">
        <f>32</f>
        <v/>
      </c>
      <c r="Q497" s="17">
        <f>J497+L497+N497+O497-P497-M497</f>
        <v/>
      </c>
    </row>
    <row r="498">
      <c r="A498" s="16" t="inlineStr">
        <is>
          <t>5.1-5.7</t>
        </is>
      </c>
      <c r="B498" s="16" t="inlineStr">
        <is>
          <t>PO-128-13882332836473751</t>
        </is>
      </c>
      <c r="C498" s="16" t="inlineStr">
        <is>
          <t>Delivered</t>
        </is>
      </c>
      <c r="D498" s="16" t="inlineStr">
        <is>
          <t>128-13882353807993751</t>
        </is>
      </c>
      <c r="E498" s="16" t="inlineStr">
        <is>
          <t>Delivered</t>
        </is>
      </c>
      <c r="F498" s="16" t="inlineStr">
        <is>
          <t>SA8056T</t>
        </is>
      </c>
      <c r="G49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98" s="16" t="inlineStr">
        <is>
          <t>SA8056T</t>
        </is>
      </c>
      <c r="I498" s="16" t="n">
        <v>1</v>
      </c>
      <c r="J498" s="17" t="n">
        <v>149</v>
      </c>
      <c r="K498" s="17" t="n">
        <v>169.4</v>
      </c>
      <c r="L498" s="17" t="n">
        <v>25.86</v>
      </c>
      <c r="M498" s="17" t="n">
        <v>0</v>
      </c>
      <c r="N498" s="17">
        <f>K498*0.08+L498*0.08</f>
        <v/>
      </c>
      <c r="O498" s="17">
        <f>-(K498*0.025+L498*0.025)</f>
        <v/>
      </c>
      <c r="P498" s="17">
        <f>32</f>
        <v/>
      </c>
      <c r="Q498" s="17">
        <f>J498+L498+N498+O498-P498-M498</f>
        <v/>
      </c>
    </row>
    <row r="499">
      <c r="A499" s="16" t="inlineStr">
        <is>
          <t>5.1-5.7</t>
        </is>
      </c>
      <c r="B499" s="16" t="inlineStr">
        <is>
          <t>PO-128-14389769247350663</t>
        </is>
      </c>
      <c r="C499" s="16" t="inlineStr">
        <is>
          <t>Delivered</t>
        </is>
      </c>
      <c r="D499" s="16" t="inlineStr">
        <is>
          <t>128-14389790218870663</t>
        </is>
      </c>
      <c r="E499" s="16" t="inlineStr">
        <is>
          <t>Delivered</t>
        </is>
      </c>
      <c r="F499" s="16" t="inlineStr">
        <is>
          <t>MB-185N</t>
        </is>
      </c>
      <c r="G499" s="16" t="inlineStr">
        <is>
          <t>Bocina Radio FM/Reproductor, Compatible con Tarjeta TF, USB, Bluetooth, Aplicable para celular, computadora, Ipad y consola.</t>
        </is>
      </c>
      <c r="H499" s="16" t="inlineStr">
        <is>
          <t>NEGRO/MB-185</t>
        </is>
      </c>
      <c r="I499" s="16" t="n">
        <v>1</v>
      </c>
      <c r="J499" s="17" t="n">
        <v>71.31</v>
      </c>
      <c r="K499" s="17" t="n">
        <v>1.5</v>
      </c>
      <c r="L499" s="17" t="n">
        <v>25.86</v>
      </c>
      <c r="M499" s="17" t="n">
        <v>0</v>
      </c>
      <c r="N499" s="17">
        <f>K499*0.08+L499*0.08</f>
        <v/>
      </c>
      <c r="O499" s="17">
        <f>-(K499*0.025+L499*0.025)</f>
        <v/>
      </c>
      <c r="P499" s="17">
        <f>32</f>
        <v/>
      </c>
      <c r="Q499" s="17">
        <f>J499+L499+N499+O499-P499-M499</f>
        <v/>
      </c>
    </row>
    <row r="500">
      <c r="A500" s="16" t="inlineStr">
        <is>
          <t>5.1-5.7</t>
        </is>
      </c>
      <c r="B500" s="16" t="inlineStr">
        <is>
          <t>PO-128-13842989609594048</t>
        </is>
      </c>
      <c r="C500" s="16" t="inlineStr">
        <is>
          <t>Delivered</t>
        </is>
      </c>
      <c r="D500" s="16" t="inlineStr">
        <is>
          <t>128-13842918830714048</t>
        </is>
      </c>
      <c r="E500" s="16" t="inlineStr">
        <is>
          <t>Delivered</t>
        </is>
      </c>
      <c r="F500" s="16" t="inlineStr">
        <is>
          <t>LB02235-azul</t>
        </is>
      </c>
      <c r="G500" s="16" t="inlineStr">
        <is>
          <t>Audífonos Inalámbricos para la Cabeza, Recargables y Multifuncionales - Conectan a Varios Dispositivos, soportan Radio FM, Tarjeta TF y AUX - 4 Horas de Reproducción Musical - Ideal para Trabajo Cotidiano, Juegos y Estudio</t>
        </is>
      </c>
      <c r="H500" s="16" t="inlineStr">
        <is>
          <t>AZUL</t>
        </is>
      </c>
      <c r="I500" s="16" t="n">
        <v>1</v>
      </c>
      <c r="J500" s="17" t="n">
        <v>35</v>
      </c>
      <c r="K500" s="17" t="n">
        <v>42.29</v>
      </c>
      <c r="L500" s="17" t="n">
        <v>25.86</v>
      </c>
      <c r="M500" s="17" t="n">
        <v>0</v>
      </c>
      <c r="N500" s="17">
        <f>K500*0.08+L500*0.08</f>
        <v/>
      </c>
      <c r="O500" s="17">
        <f>-(K500*0.025+L500*0.025)</f>
        <v/>
      </c>
      <c r="P500" s="17">
        <f>32</f>
        <v/>
      </c>
      <c r="Q500" s="17">
        <f>J500+L500+N500+O500-P500-M500</f>
        <v/>
      </c>
    </row>
    <row r="501">
      <c r="A501" s="16" t="inlineStr">
        <is>
          <t>5.1-5.7</t>
        </is>
      </c>
      <c r="B501" s="16" t="inlineStr">
        <is>
          <t>PO-128-13773607291513375</t>
        </is>
      </c>
      <c r="C501" s="16" t="inlineStr">
        <is>
          <t>Delivered</t>
        </is>
      </c>
      <c r="D501" s="16" t="inlineStr">
        <is>
          <t>128-13773617777273375</t>
        </is>
      </c>
      <c r="E501" s="16" t="inlineStr">
        <is>
          <t>Delivered</t>
        </is>
      </c>
      <c r="F501" s="16" t="inlineStr">
        <is>
          <t>LV34W04</t>
        </is>
      </c>
      <c r="G50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01" s="16" t="inlineStr">
        <is>
          <t>LV34W04</t>
        </is>
      </c>
      <c r="I501" s="16" t="n">
        <v>2</v>
      </c>
      <c r="J501" s="17" t="n">
        <v>394.8</v>
      </c>
      <c r="K501" s="17" t="n">
        <v>438.76</v>
      </c>
      <c r="L501" s="17" t="n">
        <v>0</v>
      </c>
      <c r="M501" s="17" t="n">
        <v>0</v>
      </c>
      <c r="N501" s="17">
        <f>K501*0.08+L501*0.08</f>
        <v/>
      </c>
      <c r="O501" s="17">
        <f>-(K501*0.025+L501*0.025)</f>
        <v/>
      </c>
      <c r="P501" s="17">
        <f>32</f>
        <v/>
      </c>
      <c r="Q501" s="17">
        <f>J501+L501+N501+O501-P501-M501</f>
        <v/>
      </c>
    </row>
    <row r="502">
      <c r="A502" s="16" t="inlineStr">
        <is>
          <t>5.1-5.7</t>
        </is>
      </c>
      <c r="B502" s="16" t="inlineStr">
        <is>
          <t>PO-128-14406883574390753</t>
        </is>
      </c>
      <c r="C502" s="16" t="inlineStr">
        <is>
          <t>Delivered</t>
        </is>
      </c>
      <c r="D502" s="16" t="inlineStr">
        <is>
          <t>128-14406904545910753</t>
        </is>
      </c>
      <c r="E502" s="16" t="inlineStr">
        <is>
          <t>Delivered</t>
        </is>
      </c>
      <c r="F502" s="16" t="inlineStr">
        <is>
          <t>SA323T</t>
        </is>
      </c>
      <c r="G502" s="16" t="inlineStr">
        <is>
          <t>Linkbits Bocina Portátil Parlantes BT Portátiles con Iluminación de Ambiente | 1 Hora de Duración, FM, TWS, TF/Micro SD | Ideal para Hogar, Fiestas y Viajes</t>
        </is>
      </c>
      <c r="H502" s="16" t="inlineStr">
        <is>
          <t>SA323T</t>
        </is>
      </c>
      <c r="I502" s="16" t="n">
        <v>1</v>
      </c>
      <c r="J502" s="17" t="n">
        <v>44.8</v>
      </c>
      <c r="K502" s="17" t="n">
        <v>53.86</v>
      </c>
      <c r="L502" s="17" t="n">
        <v>25.86</v>
      </c>
      <c r="M502" s="17" t="n">
        <v>0</v>
      </c>
      <c r="N502" s="17">
        <f>K502*0.08+L502*0.08</f>
        <v/>
      </c>
      <c r="O502" s="17">
        <f>-(K502*0.025+L502*0.025)</f>
        <v/>
      </c>
      <c r="P502" s="17">
        <f>32</f>
        <v/>
      </c>
      <c r="Q502" s="17">
        <f>J502+L502+N502+O502-P502-M502</f>
        <v/>
      </c>
    </row>
    <row r="503">
      <c r="A503" s="16" t="inlineStr">
        <is>
          <t>5.1-5.7</t>
        </is>
      </c>
      <c r="B503" s="16" t="inlineStr">
        <is>
          <t>PO-128-14288969636470302</t>
        </is>
      </c>
      <c r="C503" s="16" t="inlineStr">
        <is>
          <t>Delivered</t>
        </is>
      </c>
      <c r="D503" s="16" t="inlineStr">
        <is>
          <t>128-14288927693430302</t>
        </is>
      </c>
      <c r="E503" s="16" t="inlineStr">
        <is>
          <t>Delivered</t>
        </is>
      </c>
      <c r="F503" s="16" t="inlineStr">
        <is>
          <t>FA028</t>
        </is>
      </c>
      <c r="G503" s="16" t="inlineStr">
        <is>
          <t>Extractor de agua para garrafas de agua, compatible con carga USB, extractor de agua automático, práctico, con dos modos de toma de agua: manual y programado, ideal para dormitorios, salones, oficinas, uso al aire libre y otros escenarios.</t>
        </is>
      </c>
      <c r="H503" s="16" t="inlineStr">
        <is>
          <t>FA028</t>
        </is>
      </c>
      <c r="I503" s="16" t="n">
        <v>1</v>
      </c>
      <c r="J503" s="17" t="n">
        <v>30.99</v>
      </c>
      <c r="K503" s="17" t="n">
        <v>40.59</v>
      </c>
      <c r="L503" s="17" t="n">
        <v>25.86</v>
      </c>
      <c r="M503" s="17" t="n">
        <v>0</v>
      </c>
      <c r="N503" s="17">
        <f>K503*0.08+L503*0.08</f>
        <v/>
      </c>
      <c r="O503" s="17">
        <f>-(K503*0.025+L503*0.025)</f>
        <v/>
      </c>
      <c r="P503" s="17">
        <f>32</f>
        <v/>
      </c>
      <c r="Q503" s="17">
        <f>J503+L503+N503+O503-P503-M503</f>
        <v/>
      </c>
    </row>
    <row r="504">
      <c r="A504" s="16" t="inlineStr">
        <is>
          <t>5.1-5.7</t>
        </is>
      </c>
      <c r="B504" s="16" t="inlineStr">
        <is>
          <t>PO-128-14378275287670859</t>
        </is>
      </c>
      <c r="C504" s="16" t="inlineStr">
        <is>
          <t>Delivered</t>
        </is>
      </c>
      <c r="D504" s="16" t="inlineStr">
        <is>
          <t>128-14378296259190859</t>
        </is>
      </c>
      <c r="E504" s="16" t="inlineStr">
        <is>
          <t>Delivered</t>
        </is>
      </c>
      <c r="F504" s="16" t="inlineStr">
        <is>
          <t>S09W18IB-8PZS</t>
        </is>
      </c>
      <c r="G50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504" s="16" t="inlineStr">
        <is>
          <t>8 piezas</t>
        </is>
      </c>
      <c r="I504" s="16" t="n">
        <v>2</v>
      </c>
      <c r="J504" s="17" t="n">
        <v>540</v>
      </c>
      <c r="K504" s="17" t="n">
        <v>615.9400000000001</v>
      </c>
      <c r="L504" s="17" t="n">
        <v>0</v>
      </c>
      <c r="M504" s="17" t="n">
        <v>0</v>
      </c>
      <c r="N504" s="17">
        <f>K504*0.08+L504*0.08</f>
        <v/>
      </c>
      <c r="O504" s="17">
        <f>-(K504*0.025+L504*0.025)</f>
        <v/>
      </c>
      <c r="P504" s="17">
        <f>32</f>
        <v/>
      </c>
      <c r="Q504" s="17">
        <f>J504+L504+N504+O504-P504-M504</f>
        <v/>
      </c>
    </row>
    <row r="505">
      <c r="A505" s="16" t="inlineStr">
        <is>
          <t>5.1-5.7</t>
        </is>
      </c>
      <c r="B505" s="16" t="inlineStr">
        <is>
          <t>PO-128-14395042314870695</t>
        </is>
      </c>
      <c r="C505" s="16" t="inlineStr">
        <is>
          <t>Delivered</t>
        </is>
      </c>
      <c r="D505" s="16" t="inlineStr">
        <is>
          <t>128-14395063286390695</t>
        </is>
      </c>
      <c r="E505" s="16" t="inlineStr">
        <is>
          <t>Delivered</t>
        </is>
      </c>
      <c r="F505" s="16" t="inlineStr">
        <is>
          <t>MCM-001R</t>
        </is>
      </c>
      <c r="G505" s="16" t="inlineStr">
        <is>
          <t>Musicord Altavoz Inalámbrico BT Portátil: ¡Sonido impactante, luces LED multicolores y 4 horas de autonomía! Compatible con TWS, FM, TF y USB – Imprescindible para fiestas y viajes</t>
        </is>
      </c>
      <c r="H505" s="16" t="inlineStr">
        <is>
          <t>ROJO</t>
        </is>
      </c>
      <c r="I505" s="16" t="n">
        <v>1</v>
      </c>
      <c r="J505" s="17" t="n">
        <v>66</v>
      </c>
      <c r="K505" s="17" t="n">
        <v>77.29000000000001</v>
      </c>
      <c r="L505" s="17" t="n">
        <v>25.86</v>
      </c>
      <c r="M505" s="17" t="n">
        <v>0</v>
      </c>
      <c r="N505" s="17">
        <f>K505*0.08+L505*0.08</f>
        <v/>
      </c>
      <c r="O505" s="17">
        <f>-(K505*0.025+L505*0.025)</f>
        <v/>
      </c>
      <c r="P505" s="17">
        <f>32</f>
        <v/>
      </c>
      <c r="Q505" s="17">
        <f>J505+L505+N505+O505-P505-M505</f>
        <v/>
      </c>
    </row>
    <row r="506">
      <c r="A506" s="16" t="inlineStr">
        <is>
          <t>5.1-5.7</t>
        </is>
      </c>
      <c r="B506" s="16" t="inlineStr">
        <is>
          <t>PO-128-13882963323513746</t>
        </is>
      </c>
      <c r="C506" s="16" t="inlineStr">
        <is>
          <t>Delivered</t>
        </is>
      </c>
      <c r="D506" s="16" t="inlineStr">
        <is>
          <t>128-13882942351993746</t>
        </is>
      </c>
      <c r="E506" s="16" t="inlineStr">
        <is>
          <t>Delivered</t>
        </is>
      </c>
      <c r="F506" s="16" t="inlineStr">
        <is>
          <t>MCM-001G</t>
        </is>
      </c>
      <c r="G506" s="16" t="inlineStr">
        <is>
          <t>Musicord Altavoz Inalámbrico BT Portátil: ¡Sonido impactante, luces LED multicolores y 4 horas de autonomía! Compatible con TWS, FM, TF y USB – Imprescindible para fiestas y viajes</t>
        </is>
      </c>
      <c r="H506" s="16" t="inlineStr">
        <is>
          <t>GRIS</t>
        </is>
      </c>
      <c r="I506" s="16" t="n">
        <v>1</v>
      </c>
      <c r="J506" s="17" t="n">
        <v>51.06</v>
      </c>
      <c r="K506" s="17" t="n">
        <v>62.34</v>
      </c>
      <c r="L506" s="17" t="n">
        <v>25.86</v>
      </c>
      <c r="M506" s="17" t="n">
        <v>0</v>
      </c>
      <c r="N506" s="17">
        <f>K506*0.08+L506*0.08</f>
        <v/>
      </c>
      <c r="O506" s="17">
        <f>-(K506*0.025+L506*0.025)</f>
        <v/>
      </c>
      <c r="P506" s="17">
        <f>32</f>
        <v/>
      </c>
      <c r="Q506" s="17">
        <f>J506+L506+N506+O506-P506-M506</f>
        <v/>
      </c>
    </row>
    <row r="507">
      <c r="A507" s="16" t="inlineStr">
        <is>
          <t>5.1-5.7</t>
        </is>
      </c>
      <c r="B507" s="16" t="inlineStr">
        <is>
          <t>PO-128-14314896056950213</t>
        </is>
      </c>
      <c r="C507" s="16" t="inlineStr">
        <is>
          <t>Delivered</t>
        </is>
      </c>
      <c r="D507" s="16" t="inlineStr">
        <is>
          <t>128-14314937999990213</t>
        </is>
      </c>
      <c r="E507" s="16" t="inlineStr">
        <is>
          <t>Delivered</t>
        </is>
      </c>
      <c r="F507" s="16" t="inlineStr">
        <is>
          <t>LB02235-blanco</t>
        </is>
      </c>
      <c r="G507" s="16" t="inlineStr">
        <is>
          <t>Audífonos Inalámbricos para la Cabeza, Recargables y Multifuncionales - Conectan a Varios Dispositivos, soportan Radio FM, Tarjeta TF y AUX - 4 Horas de Reproducción Musical - Ideal para Trabajo Cotidiano, Juegos y Estudio</t>
        </is>
      </c>
      <c r="H507" s="16" t="inlineStr">
        <is>
          <t>BLANCO</t>
        </is>
      </c>
      <c r="I507" s="16" t="n">
        <v>1</v>
      </c>
      <c r="J507" s="17" t="n">
        <v>35</v>
      </c>
      <c r="K507" s="17" t="n">
        <v>48.12</v>
      </c>
      <c r="L507" s="17" t="n">
        <v>25.86</v>
      </c>
      <c r="M507" s="17" t="n">
        <v>0</v>
      </c>
      <c r="N507" s="17">
        <f>K507*0.08+L507*0.08</f>
        <v/>
      </c>
      <c r="O507" s="17">
        <f>-(K507*0.025+L507*0.025)</f>
        <v/>
      </c>
      <c r="P507" s="17">
        <f>32</f>
        <v/>
      </c>
      <c r="Q507" s="17">
        <f>J507+L507+N507+O507-P507-M507</f>
        <v/>
      </c>
    </row>
    <row r="508">
      <c r="A508" s="16" t="inlineStr">
        <is>
          <t>5.1-5.7</t>
        </is>
      </c>
      <c r="B508" s="16" t="inlineStr">
        <is>
          <t>PO-128-14024827126392836</t>
        </is>
      </c>
      <c r="C508" s="16" t="inlineStr">
        <is>
          <t>Delivered</t>
        </is>
      </c>
      <c r="D508" s="16" t="inlineStr">
        <is>
          <t>128-14024806154872836</t>
        </is>
      </c>
      <c r="E508" s="16" t="inlineStr">
        <is>
          <t>Delivered</t>
        </is>
      </c>
      <c r="F508" s="16" t="inlineStr">
        <is>
          <t>LB02235-negro</t>
        </is>
      </c>
      <c r="G508" s="16" t="inlineStr">
        <is>
          <t>Audífonos Inalámbricos para la Cabeza, Recargables y Multifuncionales - Conectan a Varios Dispositivos, soportan Radio FM, Tarjeta TF y AUX - 4 Horas de Reproducción Musical - Ideal para Trabajo Cotidiano, Juegos y Estudio</t>
        </is>
      </c>
      <c r="H508" s="16" t="inlineStr">
        <is>
          <t>NEGRO</t>
        </is>
      </c>
      <c r="I508" s="16" t="n">
        <v>1</v>
      </c>
      <c r="J508" s="17" t="n">
        <v>35</v>
      </c>
      <c r="K508" s="17" t="n">
        <v>48.12</v>
      </c>
      <c r="L508" s="17" t="n">
        <v>25.86</v>
      </c>
      <c r="M508" s="17" t="n">
        <v>0</v>
      </c>
      <c r="N508" s="17">
        <f>K508*0.08+L508*0.08</f>
        <v/>
      </c>
      <c r="O508" s="17">
        <f>-(K508*0.025+L508*0.025)</f>
        <v/>
      </c>
      <c r="P508" s="17">
        <f>32</f>
        <v/>
      </c>
      <c r="Q508" s="17">
        <f>J508+L508+N508+O508-P508-M508</f>
        <v/>
      </c>
    </row>
    <row r="509">
      <c r="A509" s="16" t="inlineStr">
        <is>
          <t>5.1-5.7</t>
        </is>
      </c>
      <c r="B509" s="16" t="inlineStr">
        <is>
          <t>PO-128-13839575788154004</t>
        </is>
      </c>
      <c r="C509" s="16" t="inlineStr">
        <is>
          <t>Delivered</t>
        </is>
      </c>
      <c r="D509" s="16" t="inlineStr">
        <is>
          <t>128-13839617731194004</t>
        </is>
      </c>
      <c r="E509" s="16" t="inlineStr">
        <is>
          <t>Delivered</t>
        </is>
      </c>
      <c r="F509" s="16" t="inlineStr">
        <is>
          <t>KTS-1678R</t>
        </is>
      </c>
      <c r="G509" s="16" t="inlineStr">
        <is>
          <t>Bocina portátil Inalámbrico, de 3 pulgadas, tamaño de bolsillo, 170 g, con asa, compatible con TF, USB y Micro SD, con radio FM y función TWS (True Wireless Stereo), adecuada para relajarse en casa o viajar al aire libre.</t>
        </is>
      </c>
      <c r="H509" s="16" t="inlineStr">
        <is>
          <t>KTS-1678R</t>
        </is>
      </c>
      <c r="I509" s="16" t="n">
        <v>1</v>
      </c>
      <c r="J509" s="17" t="n">
        <v>40</v>
      </c>
      <c r="K509" s="17" t="n">
        <v>48.29</v>
      </c>
      <c r="L509" s="17" t="n">
        <v>25.86</v>
      </c>
      <c r="M509" s="17" t="n">
        <v>0</v>
      </c>
      <c r="N509" s="17">
        <f>K509*0.08+L509*0.08</f>
        <v/>
      </c>
      <c r="O509" s="17">
        <f>-(K509*0.025+L509*0.025)</f>
        <v/>
      </c>
      <c r="P509" s="17">
        <f>32</f>
        <v/>
      </c>
      <c r="Q509" s="17">
        <f>J509+L509+N509+O509-P509-M509</f>
        <v/>
      </c>
    </row>
    <row r="510">
      <c r="A510" s="16" t="inlineStr">
        <is>
          <t>5.1-5.7</t>
        </is>
      </c>
      <c r="B510" s="16" t="inlineStr">
        <is>
          <t>PO-128-13887499080313785</t>
        </is>
      </c>
      <c r="C510" s="16" t="inlineStr">
        <is>
          <t>Delivered</t>
        </is>
      </c>
      <c r="D510" s="16" t="inlineStr">
        <is>
          <t>128-13887507599993785</t>
        </is>
      </c>
      <c r="E510" s="16" t="inlineStr">
        <is>
          <t>Delivered</t>
        </is>
      </c>
      <c r="F510" s="16" t="inlineStr">
        <is>
          <t>MB-183B</t>
        </is>
      </c>
      <c r="G510" s="16" t="inlineStr">
        <is>
          <t>Linkbits Altavoz Bluetooth Portátil con Stereo Inalámbrico TWS Impermeable y a Prueba de Polvo IP65 Altavoz de Graves de Rango Completo de 52mm con Doble Unidad Ligero de 215g para Camping Senderismo y Fiestas al Aire Libre</t>
        </is>
      </c>
      <c r="H510" s="16" t="inlineStr">
        <is>
          <t>AZUL/MB-183</t>
        </is>
      </c>
      <c r="I510" s="16" t="n">
        <v>1</v>
      </c>
      <c r="J510" s="17" t="n">
        <v>70</v>
      </c>
      <c r="K510" s="17" t="n">
        <v>74.29000000000001</v>
      </c>
      <c r="L510" s="17" t="n">
        <v>25.86</v>
      </c>
      <c r="M510" s="17" t="n">
        <v>0</v>
      </c>
      <c r="N510" s="17">
        <f>K510*0.08+L510*0.08</f>
        <v/>
      </c>
      <c r="O510" s="17">
        <f>-(K510*0.025+L510*0.025)</f>
        <v/>
      </c>
      <c r="P510" s="17">
        <f>32</f>
        <v/>
      </c>
      <c r="Q510" s="17">
        <f>J510+L510+N510+O510-P510-M510</f>
        <v/>
      </c>
    </row>
    <row r="511">
      <c r="A511" s="16" t="inlineStr">
        <is>
          <t>5.1-5.7</t>
        </is>
      </c>
      <c r="B511" s="16" t="inlineStr">
        <is>
          <t>PO-128-14202995190391838</t>
        </is>
      </c>
      <c r="C511" s="16" t="inlineStr">
        <is>
          <t>Delivered</t>
        </is>
      </c>
      <c r="D511" s="16" t="inlineStr">
        <is>
          <t>128-14202938829431838</t>
        </is>
      </c>
      <c r="E511" s="16" t="inlineStr">
        <is>
          <t>Delivered</t>
        </is>
      </c>
      <c r="F511" s="16" t="inlineStr">
        <is>
          <t>LB02235-rojo</t>
        </is>
      </c>
      <c r="G511" s="16" t="inlineStr">
        <is>
          <t>Audífonos Inalámbricos para la Cabeza, Recargables y Multifuncionales - Conectan a Varios Dispositivos, soportan Radio FM, Tarjeta TF y AUX - 4 Horas de Reproducción Musical - Ideal para Trabajo Cotidiano, Juegos y Estudio</t>
        </is>
      </c>
      <c r="H511" s="16" t="inlineStr">
        <is>
          <t>ROJO</t>
        </is>
      </c>
      <c r="I511" s="16" t="n">
        <v>1</v>
      </c>
      <c r="J511" s="17" t="n">
        <v>41</v>
      </c>
      <c r="K511" s="17" t="n">
        <v>54.12</v>
      </c>
      <c r="L511" s="17" t="n">
        <v>25.86</v>
      </c>
      <c r="M511" s="17" t="n">
        <v>0</v>
      </c>
      <c r="N511" s="17">
        <f>K511*0.08+L511*0.08</f>
        <v/>
      </c>
      <c r="O511" s="17">
        <f>-(K511*0.025+L511*0.025)</f>
        <v/>
      </c>
      <c r="P511" s="17">
        <f>32</f>
        <v/>
      </c>
      <c r="Q511" s="17">
        <f>J511+L511+N511+O511-P511-M511</f>
        <v/>
      </c>
    </row>
    <row r="512">
      <c r="A512" s="16" t="inlineStr">
        <is>
          <t>5.1-5.7</t>
        </is>
      </c>
      <c r="B512" s="16" t="inlineStr">
        <is>
          <t>PO-128-14129360251511383</t>
        </is>
      </c>
      <c r="C512" s="16" t="inlineStr">
        <is>
          <t>Delivered</t>
        </is>
      </c>
      <c r="D512" s="16" t="inlineStr">
        <is>
          <t>128-14129428408951383</t>
        </is>
      </c>
      <c r="E512" s="16" t="inlineStr">
        <is>
          <t>Delivered</t>
        </is>
      </c>
      <c r="F512" s="16" t="inlineStr">
        <is>
          <t>BS-22</t>
        </is>
      </c>
      <c r="G512" s="16" t="inlineStr">
        <is>
          <t>link bits Barra de Sonido para TV, 2x2" Altavoces + 2 Membranas de Graves, Sonido Claro ≥80dB, Bluetooth Inalámbrico, Conexiones AUX/USB, Diseño Compacto 76cm, Sonido Envolvente 3D para Cine en Casa, PC, Juegos y Fiestas</t>
        </is>
      </c>
      <c r="H512" s="16" t="inlineStr">
        <is>
          <t>BS-22</t>
        </is>
      </c>
      <c r="I512" s="16" t="n">
        <v>1</v>
      </c>
      <c r="J512" s="17" t="n">
        <v>250</v>
      </c>
      <c r="K512" s="17" t="n">
        <v>289.61</v>
      </c>
      <c r="L512" s="17" t="n">
        <v>0</v>
      </c>
      <c r="M512" s="17" t="n">
        <v>0</v>
      </c>
      <c r="N512" s="17">
        <f>K512*0.08+L512*0.08</f>
        <v/>
      </c>
      <c r="O512" s="17">
        <f>-(K512*0.025+L512*0.025)</f>
        <v/>
      </c>
      <c r="P512" s="17">
        <f>32</f>
        <v/>
      </c>
      <c r="Q512" s="17">
        <f>J512+L512+N512+O512-P512-M512</f>
        <v/>
      </c>
    </row>
    <row r="513">
      <c r="A513" s="16" t="inlineStr">
        <is>
          <t>5.1-5.7</t>
        </is>
      </c>
      <c r="B513" s="16" t="inlineStr">
        <is>
          <t>PO-128-14340827935350123</t>
        </is>
      </c>
      <c r="C513" s="16" t="inlineStr">
        <is>
          <t>Delivered</t>
        </is>
      </c>
      <c r="D513" s="16" t="inlineStr">
        <is>
          <t>128-14340822692470123</t>
        </is>
      </c>
      <c r="E513" s="16" t="inlineStr">
        <is>
          <t>Delivered</t>
        </is>
      </c>
      <c r="F513" s="16" t="inlineStr">
        <is>
          <t>AIR50W06-2P</t>
        </is>
      </c>
      <c r="G513" s="16" t="inlineStr">
        <is>
          <t>Link Bits Ventilador de piso de 16 pulgadas, 2 unidades, 3 velocidades, motor silencioso, flujo de aire fuerte, altura ajustable, oscilación amplia, ventilador eléctrico para el hogar, ideal para sala, recámara y oficina</t>
        </is>
      </c>
      <c r="H513" s="16" t="inlineStr">
        <is>
          <t>2PZ</t>
        </is>
      </c>
      <c r="I513" s="16" t="n">
        <v>1</v>
      </c>
      <c r="J513" s="17" t="n">
        <v>435</v>
      </c>
      <c r="K513" s="17" t="n">
        <v>414.91</v>
      </c>
      <c r="L513" s="17" t="n">
        <v>0</v>
      </c>
      <c r="M513" s="17" t="n">
        <v>0</v>
      </c>
      <c r="N513" s="17">
        <f>K513*0.08+L513*0.08</f>
        <v/>
      </c>
      <c r="O513" s="17">
        <f>-(K513*0.025+L513*0.025)</f>
        <v/>
      </c>
      <c r="P513" s="17">
        <f>32</f>
        <v/>
      </c>
      <c r="Q513" s="17">
        <f>J513+L513+N513+O513-P513-M513</f>
        <v/>
      </c>
    </row>
    <row r="514">
      <c r="A514" s="16" t="inlineStr">
        <is>
          <t>5.1-5.7</t>
        </is>
      </c>
      <c r="B514" s="16" t="inlineStr">
        <is>
          <t>PO-128-14206488730231883</t>
        </is>
      </c>
      <c r="C514" s="16" t="inlineStr">
        <is>
          <t>Delivered</t>
        </is>
      </c>
      <c r="D514" s="16" t="inlineStr">
        <is>
          <t>128-14206480865911883</t>
        </is>
      </c>
      <c r="E514" s="16" t="inlineStr">
        <is>
          <t>Delivered</t>
        </is>
      </c>
      <c r="F514" s="16" t="inlineStr">
        <is>
          <t>LB02235-blanco</t>
        </is>
      </c>
      <c r="G514" s="16" t="inlineStr">
        <is>
          <t>Audífonos Inalámbricos para la Cabeza, Recargables y Multifuncionales - Conectan a Varios Dispositivos, soportan Radio FM, Tarjeta TF y AUX - 4 Horas de Reproducción Musical - Ideal para Trabajo Cotidiano, Juegos y Estudio</t>
        </is>
      </c>
      <c r="H514" s="16" t="inlineStr">
        <is>
          <t>BLANCO</t>
        </is>
      </c>
      <c r="I514" s="16" t="n">
        <v>1</v>
      </c>
      <c r="J514" s="17" t="n">
        <v>35</v>
      </c>
      <c r="K514" s="17" t="n">
        <v>48.12</v>
      </c>
      <c r="L514" s="17" t="n">
        <v>25.86</v>
      </c>
      <c r="M514" s="17" t="n">
        <v>0</v>
      </c>
      <c r="N514" s="17">
        <f>K514*0.08+L514*0.08</f>
        <v/>
      </c>
      <c r="O514" s="17">
        <f>-(K514*0.025+L514*0.025)</f>
        <v/>
      </c>
      <c r="P514" s="17">
        <f>32</f>
        <v/>
      </c>
      <c r="Q514" s="17">
        <f>J514+L514+N514+O514-P514-M514</f>
        <v/>
      </c>
    </row>
    <row r="515">
      <c r="A515" s="16" t="inlineStr">
        <is>
          <t>5.1-5.7</t>
        </is>
      </c>
      <c r="B515" s="16" t="inlineStr">
        <is>
          <t>PO-128-14186866903671998</t>
        </is>
      </c>
      <c r="C515" s="16" t="inlineStr">
        <is>
          <t>Delivered</t>
        </is>
      </c>
      <c r="D515" s="16" t="inlineStr">
        <is>
          <t>128-14186856417911998</t>
        </is>
      </c>
      <c r="E515" s="16" t="inlineStr">
        <is>
          <t>Delivered</t>
        </is>
      </c>
      <c r="F515" s="16" t="inlineStr">
        <is>
          <t>FA028</t>
        </is>
      </c>
      <c r="G515" s="16" t="inlineStr">
        <is>
          <t>Extractor de agua para garrafas de agua, compatible con carga USB, extractor de agua automático, práctico, con dos modos de toma de agua: manual y programado, ideal para dormitorios, salones, oficinas, uso al aire libre y otros escenarios.</t>
        </is>
      </c>
      <c r="H515" s="16" t="inlineStr">
        <is>
          <t>FA028</t>
        </is>
      </c>
      <c r="I515" s="16" t="n">
        <v>1</v>
      </c>
      <c r="J515" s="17" t="n">
        <v>30.99</v>
      </c>
      <c r="K515" s="17" t="n">
        <v>40.59</v>
      </c>
      <c r="L515" s="17" t="n">
        <v>25.86</v>
      </c>
      <c r="M515" s="17" t="n">
        <v>0</v>
      </c>
      <c r="N515" s="17">
        <f>K515*0.08+L515*0.08</f>
        <v/>
      </c>
      <c r="O515" s="17">
        <f>-(K515*0.025+L515*0.025)</f>
        <v/>
      </c>
      <c r="P515" s="17">
        <f>32</f>
        <v/>
      </c>
      <c r="Q515" s="17">
        <f>J515+L515+N515+O515-P515-M515</f>
        <v/>
      </c>
    </row>
    <row r="516">
      <c r="A516" s="16" t="inlineStr">
        <is>
          <t>5.1-5.7</t>
        </is>
      </c>
      <c r="B516" s="16" t="inlineStr">
        <is>
          <t>PO-128-13761348813433574</t>
        </is>
      </c>
      <c r="C516" s="16" t="inlineStr">
        <is>
          <t>Delivered</t>
        </is>
      </c>
      <c r="D516" s="16" t="inlineStr">
        <is>
          <t>128-13761508721273574</t>
        </is>
      </c>
      <c r="E516" s="16" t="inlineStr">
        <is>
          <t>Delivered</t>
        </is>
      </c>
      <c r="F516" s="16" t="inlineStr">
        <is>
          <t>KTS-1943-A</t>
        </is>
      </c>
      <c r="G516"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516" s="16" t="inlineStr">
        <is>
          <t>AZUL</t>
        </is>
      </c>
      <c r="I516" s="16" t="n">
        <v>1</v>
      </c>
      <c r="J516" s="17" t="n">
        <v>75</v>
      </c>
      <c r="K516" s="17" t="n">
        <v>7.86</v>
      </c>
      <c r="L516" s="17" t="n">
        <v>25.86</v>
      </c>
      <c r="M516" s="17" t="n">
        <v>0</v>
      </c>
      <c r="N516" s="17">
        <f>K516*0.08+L516*0.08</f>
        <v/>
      </c>
      <c r="O516" s="17">
        <f>-(K516*0.025+L516*0.025)</f>
        <v/>
      </c>
      <c r="P516" s="17">
        <f>32</f>
        <v/>
      </c>
      <c r="Q516" s="17">
        <f>J516+L516+N516+O516-P516-M516</f>
        <v/>
      </c>
    </row>
    <row r="517">
      <c r="A517" s="16" t="inlineStr">
        <is>
          <t>5.1-5.7</t>
        </is>
      </c>
      <c r="B517" s="16" t="inlineStr">
        <is>
          <t>PO-128-14109878180471307</t>
        </is>
      </c>
      <c r="C517" s="16" t="inlineStr">
        <is>
          <t>Delivered</t>
        </is>
      </c>
      <c r="D517" s="16" t="inlineStr">
        <is>
          <t>128-14109872937591307</t>
        </is>
      </c>
      <c r="E517" s="16" t="inlineStr">
        <is>
          <t>Delivered</t>
        </is>
      </c>
      <c r="F517" s="16" t="inlineStr">
        <is>
          <t>AIR50W06-2P</t>
        </is>
      </c>
      <c r="G517" s="16" t="inlineStr">
        <is>
          <t>Link Bits Ventilador de piso de 16 pulgadas, 2 unidades, 3 velocidades, motor silencioso, flujo de aire fuerte, altura ajustable, oscilación amplia, ventilador eléctrico para el hogar, ideal para sala, recámara y oficina</t>
        </is>
      </c>
      <c r="H517" s="16" t="inlineStr">
        <is>
          <t>2PZ</t>
        </is>
      </c>
      <c r="I517" s="16" t="n">
        <v>1</v>
      </c>
      <c r="J517" s="17" t="n">
        <v>435</v>
      </c>
      <c r="K517" s="17" t="n">
        <v>568.13</v>
      </c>
      <c r="L517" s="17" t="n">
        <v>0</v>
      </c>
      <c r="M517" s="17" t="n">
        <v>0</v>
      </c>
      <c r="N517" s="17">
        <f>K517*0.08+L517*0.08</f>
        <v/>
      </c>
      <c r="O517" s="17">
        <f>-(K517*0.025+L517*0.025)</f>
        <v/>
      </c>
      <c r="P517" s="17">
        <f>32</f>
        <v/>
      </c>
      <c r="Q517" s="17">
        <f>J517+L517+N517+O517-P517-M517</f>
        <v/>
      </c>
    </row>
    <row r="518">
      <c r="A518" s="16" t="inlineStr">
        <is>
          <t>5.1-5.7</t>
        </is>
      </c>
      <c r="B518" s="16" t="inlineStr">
        <is>
          <t>PO-128-13802774702713264</t>
        </is>
      </c>
      <c r="C518" s="16" t="inlineStr">
        <is>
          <t>Delivered</t>
        </is>
      </c>
      <c r="D518" s="16" t="inlineStr">
        <is>
          <t>128-13802732759673264</t>
        </is>
      </c>
      <c r="E518" s="16" t="inlineStr">
        <is>
          <t>Delivered</t>
        </is>
      </c>
      <c r="F518" s="16" t="inlineStr">
        <is>
          <t>MCM-001G</t>
        </is>
      </c>
      <c r="G518" s="16" t="inlineStr">
        <is>
          <t>Musicord Altavoz Inalámbrico BT Portátil: ¡Sonido impactante, luces LED multicolores y 4 horas de autonomía! Compatible con TWS, FM, TF y USB – Imprescindible para fiestas y viajes</t>
        </is>
      </c>
      <c r="H518" s="16" t="inlineStr">
        <is>
          <t>GRIS</t>
        </is>
      </c>
      <c r="I518" s="16" t="n">
        <v>1</v>
      </c>
      <c r="J518" s="17" t="n">
        <v>51.06</v>
      </c>
      <c r="K518" s="17" t="n">
        <v>62.34</v>
      </c>
      <c r="L518" s="17" t="n">
        <v>0</v>
      </c>
      <c r="M518" s="17" t="n">
        <v>62.34</v>
      </c>
      <c r="N518" s="17">
        <f>K518*0.08+L518*0.08</f>
        <v/>
      </c>
      <c r="O518" s="17">
        <f>-(K518*0.025+L518*0.025)</f>
        <v/>
      </c>
      <c r="P518" s="17">
        <f>32</f>
        <v/>
      </c>
      <c r="Q518" s="17">
        <f>J518+L518+N518+O518-P518-M518</f>
        <v/>
      </c>
    </row>
    <row r="519">
      <c r="A519" s="16" t="inlineStr">
        <is>
          <t>5.1-5.7</t>
        </is>
      </c>
      <c r="B519" s="16" t="inlineStr">
        <is>
          <t>PO-128-14314468465270214</t>
        </is>
      </c>
      <c r="C519" s="16" t="inlineStr">
        <is>
          <t>Delivered</t>
        </is>
      </c>
      <c r="D519" s="16" t="inlineStr">
        <is>
          <t>128-14314447493750214</t>
        </is>
      </c>
      <c r="E519" s="16" t="inlineStr">
        <is>
          <t>Delivered</t>
        </is>
      </c>
      <c r="F519" s="16" t="inlineStr">
        <is>
          <t>MB-178-N</t>
        </is>
      </c>
      <c r="G519" s="16" t="inlineStr">
        <is>
          <t>Bocina de Barra Bluetooth LINK BITS con dos altavoces, sonido de alta calidad y multifuncional (Bluetooth, Radio FM, USB, TF, AUX, TWS), ideal para juegos, reuniones, oficina y cine en casa.</t>
        </is>
      </c>
      <c r="H519" s="16" t="inlineStr">
        <is>
          <t>NEGRO</t>
        </is>
      </c>
      <c r="I519" s="16" t="n">
        <v>1</v>
      </c>
      <c r="J519" s="17" t="n">
        <v>130</v>
      </c>
      <c r="K519" s="17" t="n">
        <v>149.34</v>
      </c>
      <c r="L519" s="17" t="n">
        <v>25.86</v>
      </c>
      <c r="M519" s="17" t="n">
        <v>0</v>
      </c>
      <c r="N519" s="17">
        <f>K519*0.08+L519*0.08</f>
        <v/>
      </c>
      <c r="O519" s="17">
        <f>-(K519*0.025+L519*0.025)</f>
        <v/>
      </c>
      <c r="P519" s="17">
        <f>32</f>
        <v/>
      </c>
      <c r="Q519" s="17">
        <f>J519+L519+N519+O519-P519-M519</f>
        <v/>
      </c>
    </row>
    <row r="520">
      <c r="A520" s="16" t="inlineStr">
        <is>
          <t>5.1-5.7</t>
        </is>
      </c>
      <c r="B520" s="16" t="inlineStr">
        <is>
          <t>PO-128-14145852119671221</t>
        </is>
      </c>
      <c r="C520" s="16" t="inlineStr">
        <is>
          <t>Delivered</t>
        </is>
      </c>
      <c r="D520" s="16" t="inlineStr">
        <is>
          <t>128-14145810176631221</t>
        </is>
      </c>
      <c r="E520" s="16" t="inlineStr">
        <is>
          <t>Delivered</t>
        </is>
      </c>
      <c r="F520" s="16" t="inlineStr">
        <is>
          <t>SA323T</t>
        </is>
      </c>
      <c r="G520" s="16" t="inlineStr">
        <is>
          <t>Linkbits Bocina Portátil Parlantes BT Portátiles con Iluminación de Ambiente | 1 Hora de Duración, FM, TWS, TF/Micro SD | Ideal para Hogar, Fiestas y Viajes</t>
        </is>
      </c>
      <c r="H520" s="16" t="inlineStr">
        <is>
          <t>SA323T</t>
        </is>
      </c>
      <c r="I520" s="16" t="n">
        <v>1</v>
      </c>
      <c r="J520" s="17" t="n">
        <v>44.8</v>
      </c>
      <c r="K520" s="17" t="n">
        <v>2.14</v>
      </c>
      <c r="L520" s="17" t="n">
        <v>25.86</v>
      </c>
      <c r="M520" s="17" t="n">
        <v>0</v>
      </c>
      <c r="N520" s="17">
        <f>K520*0.08+L520*0.08</f>
        <v/>
      </c>
      <c r="O520" s="17">
        <f>-(K520*0.025+L520*0.025)</f>
        <v/>
      </c>
      <c r="P520" s="17">
        <f>32</f>
        <v/>
      </c>
      <c r="Q520" s="17">
        <f>J520+L520+N520+O520-P520-M520</f>
        <v/>
      </c>
    </row>
    <row r="521">
      <c r="A521" s="16" t="inlineStr">
        <is>
          <t>5.1-5.7</t>
        </is>
      </c>
      <c r="B521" s="16" t="inlineStr">
        <is>
          <t>PO-128-14126368522871401</t>
        </is>
      </c>
      <c r="C521" s="16" t="inlineStr">
        <is>
          <t>Delivered</t>
        </is>
      </c>
      <c r="D521" s="16" t="inlineStr">
        <is>
          <t>128-14126389494391401</t>
        </is>
      </c>
      <c r="E521" s="16" t="inlineStr">
        <is>
          <t>Delivered</t>
        </is>
      </c>
      <c r="F521" s="16" t="inlineStr">
        <is>
          <t>MCM-001G</t>
        </is>
      </c>
      <c r="G521" s="16" t="inlineStr">
        <is>
          <t>Musicord Altavoz Inalámbrico BT Portátil: ¡Sonido impactante, luces LED multicolores y 4 horas de autonomía! Compatible con TWS, FM, TF y USB – Imprescindible para fiestas y viajes</t>
        </is>
      </c>
      <c r="H521" s="16" t="inlineStr">
        <is>
          <t>GRIS</t>
        </is>
      </c>
      <c r="I521" s="16" t="n">
        <v>1</v>
      </c>
      <c r="J521" s="17" t="n">
        <v>51.06</v>
      </c>
      <c r="K521" s="17" t="n">
        <v>10.62</v>
      </c>
      <c r="L521" s="17" t="n">
        <v>25.86</v>
      </c>
      <c r="M521" s="17" t="n">
        <v>0</v>
      </c>
      <c r="N521" s="17">
        <f>K521*0.08+L521*0.08</f>
        <v/>
      </c>
      <c r="O521" s="17">
        <f>-(K521*0.025+L521*0.025)</f>
        <v/>
      </c>
      <c r="P521" s="17">
        <f>32</f>
        <v/>
      </c>
      <c r="Q521" s="17">
        <f>J521+L521+N521+O521-P521-M521</f>
        <v/>
      </c>
    </row>
    <row r="522">
      <c r="A522" s="16" t="inlineStr">
        <is>
          <t>5.1-5.7</t>
        </is>
      </c>
      <c r="B522" s="16" t="inlineStr">
        <is>
          <t>PO-128-14244371159671593</t>
        </is>
      </c>
      <c r="C522" s="16" t="inlineStr">
        <is>
          <t>Delivered</t>
        </is>
      </c>
      <c r="D522" s="16" t="inlineStr">
        <is>
          <t>128-14244507474551593</t>
        </is>
      </c>
      <c r="E522" s="16" t="inlineStr">
        <is>
          <t>Delivered</t>
        </is>
      </c>
      <c r="F522" s="16" t="inlineStr">
        <is>
          <t>S58W60</t>
        </is>
      </c>
      <c r="G52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22" s="16" t="inlineStr">
        <is>
          <t>1 pieza</t>
        </is>
      </c>
      <c r="I522" s="16" t="n">
        <v>5</v>
      </c>
      <c r="J522" s="17" t="n">
        <v>285</v>
      </c>
      <c r="K522" s="17" t="n">
        <v>335.42</v>
      </c>
      <c r="L522" s="17" t="n">
        <v>0</v>
      </c>
      <c r="M522" s="17" t="n">
        <v>0</v>
      </c>
      <c r="N522" s="17">
        <f>K522*0.08+L522*0.08</f>
        <v/>
      </c>
      <c r="O522" s="17">
        <f>-(K522*0.025+L522*0.025)</f>
        <v/>
      </c>
      <c r="P522" s="17">
        <f>32</f>
        <v/>
      </c>
      <c r="Q522" s="17">
        <f>J522+L522+N522+O522-P522-M522</f>
        <v/>
      </c>
    </row>
    <row r="523">
      <c r="A523" s="16" t="inlineStr">
        <is>
          <t>5.1-5.7</t>
        </is>
      </c>
      <c r="B523" s="16" t="inlineStr">
        <is>
          <t>PO-128-13905839923833675</t>
        </is>
      </c>
      <c r="C523" s="16" t="inlineStr">
        <is>
          <t>Delivered</t>
        </is>
      </c>
      <c r="D523" s="16" t="inlineStr">
        <is>
          <t>128-13905881866873675</t>
        </is>
      </c>
      <c r="E523" s="16" t="inlineStr">
        <is>
          <t>Delivered</t>
        </is>
      </c>
      <c r="F523" s="16" t="inlineStr">
        <is>
          <t>LB02235-azul</t>
        </is>
      </c>
      <c r="G523" s="16" t="inlineStr">
        <is>
          <t>Audífonos Inalámbricos para la Cabeza, Recargables y Multifuncionales - Conectan a Varios Dispositivos, soportan Radio FM, Tarjeta TF y AUX - 4 Horas de Reproducción Musical - Ideal para Trabajo Cotidiano, Juegos y Estudio</t>
        </is>
      </c>
      <c r="H523" s="16" t="inlineStr">
        <is>
          <t>AZUL</t>
        </is>
      </c>
      <c r="I523" s="16" t="n">
        <v>1</v>
      </c>
      <c r="J523" s="17" t="n">
        <v>35</v>
      </c>
      <c r="K523" s="17" t="n">
        <v>0.21</v>
      </c>
      <c r="L523" s="17" t="n">
        <v>25.86</v>
      </c>
      <c r="M523" s="17" t="n">
        <v>0</v>
      </c>
      <c r="N523" s="17">
        <f>K523*0.08+L523*0.08</f>
        <v/>
      </c>
      <c r="O523" s="17">
        <f>-(K523*0.025+L523*0.025)</f>
        <v/>
      </c>
      <c r="P523" s="17">
        <f>32</f>
        <v/>
      </c>
      <c r="Q523" s="17">
        <f>J523+L523+N523+O523-P523-M523</f>
        <v/>
      </c>
    </row>
    <row r="524">
      <c r="A524" s="16" t="inlineStr">
        <is>
          <t>5.1-5.7</t>
        </is>
      </c>
      <c r="B524" s="16" t="inlineStr">
        <is>
          <t>PO-128-13747595469433464</t>
        </is>
      </c>
      <c r="C524" s="16" t="inlineStr">
        <is>
          <t>Delivered</t>
        </is>
      </c>
      <c r="D524" s="16" t="inlineStr">
        <is>
          <t>128-13747747512953464</t>
        </is>
      </c>
      <c r="E524" s="16" t="inlineStr">
        <is>
          <t>Delivered</t>
        </is>
      </c>
      <c r="F524" s="16" t="inlineStr">
        <is>
          <t>LB02235-negro</t>
        </is>
      </c>
      <c r="G524" s="16" t="inlineStr">
        <is>
          <t>Audífonos Inalámbricos para la Cabeza, Recargables y Multifuncionales - Conectan a Varios Dispositivos, soportan Radio FM, Tarjeta TF y AUX - 4 Horas de Reproducción Musical - Ideal para Trabajo Cotidiano, Juegos y Estudio</t>
        </is>
      </c>
      <c r="H524" s="16" t="inlineStr">
        <is>
          <t>NEGRO</t>
        </is>
      </c>
      <c r="I524" s="16" t="n">
        <v>1</v>
      </c>
      <c r="J524" s="17" t="n">
        <v>35</v>
      </c>
      <c r="K524" s="17" t="n">
        <v>48.12</v>
      </c>
      <c r="L524" s="17" t="n">
        <v>25.86</v>
      </c>
      <c r="M524" s="17" t="n">
        <v>0</v>
      </c>
      <c r="N524" s="17">
        <f>K524*0.08+L524*0.08</f>
        <v/>
      </c>
      <c r="O524" s="17">
        <f>-(K524*0.025+L524*0.025)</f>
        <v/>
      </c>
      <c r="P524" s="17">
        <f>32</f>
        <v/>
      </c>
      <c r="Q524" s="17">
        <f>J524+L524+N524+O524-P524-M524</f>
        <v/>
      </c>
    </row>
    <row r="525">
      <c r="A525" s="16" t="inlineStr">
        <is>
          <t>5.1-5.7</t>
        </is>
      </c>
      <c r="B525" s="16" t="inlineStr">
        <is>
          <t>PO-128-13897013197433598</t>
        </is>
      </c>
      <c r="C525" s="16" t="inlineStr">
        <is>
          <t>Delivered</t>
        </is>
      </c>
      <c r="D525" s="16" t="inlineStr">
        <is>
          <t>128-13897034168953598</t>
        </is>
      </c>
      <c r="E525" s="16" t="inlineStr">
        <is>
          <t>Delivered</t>
        </is>
      </c>
      <c r="F525" s="16" t="inlineStr">
        <is>
          <t>LB02235-rojo</t>
        </is>
      </c>
      <c r="G525" s="16" t="inlineStr">
        <is>
          <t>Audífonos Inalámbricos para la Cabeza, Recargables y Multifuncionales - Conectan a Varios Dispositivos, soportan Radio FM, Tarjeta TF y AUX - 4 Horas de Reproducción Musical - Ideal para Trabajo Cotidiano, Juegos y Estudio</t>
        </is>
      </c>
      <c r="H525" s="16" t="inlineStr">
        <is>
          <t>ROJO</t>
        </is>
      </c>
      <c r="I525" s="16" t="n">
        <v>1</v>
      </c>
      <c r="J525" s="17" t="n">
        <v>41</v>
      </c>
      <c r="K525" s="17" t="n">
        <v>46.01</v>
      </c>
      <c r="L525" s="17" t="n">
        <v>25.86</v>
      </c>
      <c r="M525" s="17" t="n">
        <v>0</v>
      </c>
      <c r="N525" s="17">
        <f>K525*0.08+L525*0.08</f>
        <v/>
      </c>
      <c r="O525" s="17">
        <f>-(K525*0.025+L525*0.025)</f>
        <v/>
      </c>
      <c r="P525" s="17">
        <f>32</f>
        <v/>
      </c>
      <c r="Q525" s="17">
        <f>J525+L525+N525+O525-P525-M525</f>
        <v/>
      </c>
    </row>
    <row r="526">
      <c r="A526" s="16" t="inlineStr">
        <is>
          <t>5.1-5.7</t>
        </is>
      </c>
      <c r="B526" s="16" t="inlineStr">
        <is>
          <t>PO-128-13860298312313883</t>
        </is>
      </c>
      <c r="C526" s="16" t="inlineStr">
        <is>
          <t>Delivered</t>
        </is>
      </c>
      <c r="D526" s="16" t="inlineStr">
        <is>
          <t>128-13860328786553883</t>
        </is>
      </c>
      <c r="E526" s="16" t="inlineStr">
        <is>
          <t>Delivered</t>
        </is>
      </c>
      <c r="F526" s="16" t="inlineStr">
        <is>
          <t>LB02235-rojo</t>
        </is>
      </c>
      <c r="G526" s="16" t="inlineStr">
        <is>
          <t>Audífonos Inalámbricos para la Cabeza, Recargables y Multifuncionales - Conectan a Varios Dispositivos, soportan Radio FM, Tarjeta TF y AUX - 4 Horas de Reproducción Musical - Ideal para Trabajo Cotidiano, Juegos y Estudio</t>
        </is>
      </c>
      <c r="H526" s="16" t="inlineStr">
        <is>
          <t>ROJO</t>
        </is>
      </c>
      <c r="I526" s="16" t="n">
        <v>1</v>
      </c>
      <c r="J526" s="17" t="n">
        <v>41</v>
      </c>
      <c r="K526" s="17" t="n">
        <v>54.12</v>
      </c>
      <c r="L526" s="17" t="n">
        <v>13.7</v>
      </c>
      <c r="M526" s="17" t="n">
        <v>0</v>
      </c>
      <c r="N526" s="17">
        <f>K526*0.08+L526*0.08</f>
        <v/>
      </c>
      <c r="O526" s="17">
        <f>-(K526*0.025+L526*0.025)</f>
        <v/>
      </c>
      <c r="P526" s="17">
        <f>32</f>
        <v/>
      </c>
      <c r="Q526" s="17">
        <f>J526+L526+N526+O526-P526-M526</f>
        <v/>
      </c>
    </row>
    <row r="527">
      <c r="A527" s="16" t="inlineStr">
        <is>
          <t>5.1-5.7</t>
        </is>
      </c>
      <c r="B527" s="16" t="inlineStr">
        <is>
          <t>PO-128-13860298312313883</t>
        </is>
      </c>
      <c r="C527" s="16" t="inlineStr">
        <is>
          <t>Delivered</t>
        </is>
      </c>
      <c r="D527" s="16" t="inlineStr">
        <is>
          <t>128-13860308798073883</t>
        </is>
      </c>
      <c r="E527" s="16" t="inlineStr">
        <is>
          <t>Delivered</t>
        </is>
      </c>
      <c r="F527" s="16" t="inlineStr">
        <is>
          <t>LB02235-azul</t>
        </is>
      </c>
      <c r="G527" s="16" t="inlineStr">
        <is>
          <t>Audífonos Inalámbricos para la Cabeza, Recargables y Multifuncionales - Conectan a Varios Dispositivos, soportan Radio FM, Tarjeta TF y AUX - 4 Horas de Reproducción Musical - Ideal para Trabajo Cotidiano, Juegos y Estudio</t>
        </is>
      </c>
      <c r="H527" s="16" t="inlineStr">
        <is>
          <t>AZUL</t>
        </is>
      </c>
      <c r="I527" s="16" t="n">
        <v>1</v>
      </c>
      <c r="J527" s="17" t="n">
        <v>35</v>
      </c>
      <c r="K527" s="17" t="n">
        <v>48.12</v>
      </c>
      <c r="L527" s="17" t="n">
        <v>12.16</v>
      </c>
      <c r="M527" s="17" t="n">
        <v>0</v>
      </c>
      <c r="N527" s="17">
        <f>K527*0.08+L527*0.08</f>
        <v/>
      </c>
      <c r="O527" s="17">
        <f>-(K527*0.025+L527*0.025)</f>
        <v/>
      </c>
      <c r="P527" s="17">
        <f>32</f>
        <v/>
      </c>
      <c r="Q527" s="17">
        <f>J527+L527+N527+O527-P527-M527</f>
        <v/>
      </c>
    </row>
    <row r="528">
      <c r="A528" s="16" t="inlineStr">
        <is>
          <t>5.1-5.7</t>
        </is>
      </c>
      <c r="B528" s="16" t="inlineStr">
        <is>
          <t>PO-128-14161006705271064</t>
        </is>
      </c>
      <c r="C528" s="16" t="inlineStr">
        <is>
          <t>Delivered</t>
        </is>
      </c>
      <c r="D528" s="16" t="inlineStr">
        <is>
          <t>128-14161111562871064</t>
        </is>
      </c>
      <c r="E528" s="16" t="inlineStr">
        <is>
          <t>Delivered</t>
        </is>
      </c>
      <c r="F528" s="16" t="inlineStr">
        <is>
          <t>KTS-1678V</t>
        </is>
      </c>
      <c r="G528" s="16" t="inlineStr">
        <is>
          <t>Bocina portátil Inalámbrico, de 3 pulgadas, tamaño de bolsillo, 170 g, con asa, compatible con TF, USB y Micro SD, con radio FM y función TWS (True Wireless Stereo), adecuada para relajarse en casa o viajar al aire libre.</t>
        </is>
      </c>
      <c r="H528" s="16" t="inlineStr">
        <is>
          <t>KTS-1678V</t>
        </is>
      </c>
      <c r="I528" s="16" t="n">
        <v>1</v>
      </c>
      <c r="J528" s="17" t="n">
        <v>40</v>
      </c>
      <c r="K528" s="17" t="n">
        <v>46.22</v>
      </c>
      <c r="L528" s="17" t="n">
        <v>25.86</v>
      </c>
      <c r="M528" s="17" t="n">
        <v>0</v>
      </c>
      <c r="N528" s="17">
        <f>K528*0.08+L528*0.08</f>
        <v/>
      </c>
      <c r="O528" s="17">
        <f>-(K528*0.025+L528*0.025)</f>
        <v/>
      </c>
      <c r="P528" s="17">
        <f>32</f>
        <v/>
      </c>
      <c r="Q528" s="17">
        <f>J528+L528+N528+O528-P528-M528</f>
        <v/>
      </c>
    </row>
    <row r="529">
      <c r="A529" s="16" t="inlineStr">
        <is>
          <t>5.1-5.7</t>
        </is>
      </c>
      <c r="B529" s="16" t="inlineStr">
        <is>
          <t>PO-128-13773968067193373</t>
        </is>
      </c>
      <c r="C529" s="16" t="inlineStr">
        <is>
          <t>Delivered</t>
        </is>
      </c>
      <c r="D529" s="16" t="inlineStr">
        <is>
          <t>128-13774030981753373</t>
        </is>
      </c>
      <c r="E529" s="16" t="inlineStr">
        <is>
          <t>Delivered</t>
        </is>
      </c>
      <c r="F529" s="16" t="inlineStr">
        <is>
          <t>MCM-001G</t>
        </is>
      </c>
      <c r="G529" s="16" t="inlineStr">
        <is>
          <t>Musicord Altavoz Inalámbrico BT Portátil: ¡Sonido impactante, luces LED multicolores y 4 horas de autonomía! Compatible con TWS, FM, TF y USB – Imprescindible para fiestas y viajes</t>
        </is>
      </c>
      <c r="H529" s="16" t="inlineStr">
        <is>
          <t>GRIS</t>
        </is>
      </c>
      <c r="I529" s="16" t="n">
        <v>1</v>
      </c>
      <c r="J529" s="17" t="n">
        <v>51.06</v>
      </c>
      <c r="K529" s="17" t="n">
        <v>62.34</v>
      </c>
      <c r="L529" s="17" t="n">
        <v>10.41</v>
      </c>
      <c r="M529" s="17" t="n">
        <v>0</v>
      </c>
      <c r="N529" s="17">
        <f>K529*0.08+L529*0.08</f>
        <v/>
      </c>
      <c r="O529" s="17">
        <f>-(K529*0.025+L529*0.025)</f>
        <v/>
      </c>
      <c r="P529" s="17">
        <f>32</f>
        <v/>
      </c>
      <c r="Q529" s="17">
        <f>J529+L529+N529+O529-P529-M529</f>
        <v/>
      </c>
    </row>
    <row r="530">
      <c r="A530" s="16" t="inlineStr">
        <is>
          <t>5.1-5.7</t>
        </is>
      </c>
      <c r="B530" s="16" t="inlineStr">
        <is>
          <t>PO-128-13773968067193373</t>
        </is>
      </c>
      <c r="C530" s="16" t="inlineStr">
        <is>
          <t>Delivered</t>
        </is>
      </c>
      <c r="D530" s="16" t="inlineStr">
        <is>
          <t>128-13774072924793373</t>
        </is>
      </c>
      <c r="E530" s="16" t="inlineStr">
        <is>
          <t>Delivered</t>
        </is>
      </c>
      <c r="F530" s="16" t="inlineStr">
        <is>
          <t>VB347T</t>
        </is>
      </c>
      <c r="G53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30" s="16" t="inlineStr">
        <is>
          <t>1 pieza</t>
        </is>
      </c>
      <c r="I530" s="16" t="n">
        <v>1</v>
      </c>
      <c r="J530" s="17" t="n">
        <v>77.90000000000001</v>
      </c>
      <c r="K530" s="17" t="n">
        <v>92.51000000000001</v>
      </c>
      <c r="L530" s="17" t="n">
        <v>15.46</v>
      </c>
      <c r="M530" s="17" t="n">
        <v>0</v>
      </c>
      <c r="N530" s="17">
        <f>K530*0.08+L530*0.08</f>
        <v/>
      </c>
      <c r="O530" s="17">
        <f>-(K530*0.025+L530*0.025)</f>
        <v/>
      </c>
      <c r="P530" s="17">
        <f>32</f>
        <v/>
      </c>
      <c r="Q530" s="17">
        <f>J530+L530+N530+O530-P530-M530</f>
        <v/>
      </c>
    </row>
    <row r="531">
      <c r="A531" s="16" t="inlineStr">
        <is>
          <t>5.1-5.7</t>
        </is>
      </c>
      <c r="B531" s="16" t="inlineStr">
        <is>
          <t>PO-128-13996387748472174</t>
        </is>
      </c>
      <c r="C531" s="16" t="inlineStr">
        <is>
          <t>Delivered</t>
        </is>
      </c>
      <c r="D531" s="16" t="inlineStr">
        <is>
          <t>128-13996345805432174</t>
        </is>
      </c>
      <c r="E531" s="16" t="inlineStr">
        <is>
          <t>Delivered</t>
        </is>
      </c>
      <c r="F531" s="16" t="inlineStr">
        <is>
          <t>SA323T</t>
        </is>
      </c>
      <c r="G531" s="16" t="inlineStr">
        <is>
          <t>Linkbits Bocina Portátil Parlantes BT Portátiles con Iluminación de Ambiente | 1 Hora de Duración, FM, TWS, TF/Micro SD | Ideal para Hogar, Fiestas y Viajes</t>
        </is>
      </c>
      <c r="H531" s="16" t="inlineStr">
        <is>
          <t>SA323T</t>
        </is>
      </c>
      <c r="I531" s="16" t="n">
        <v>1</v>
      </c>
      <c r="J531" s="17" t="n">
        <v>44.8</v>
      </c>
      <c r="K531" s="17" t="n">
        <v>53.86</v>
      </c>
      <c r="L531" s="17" t="n">
        <v>25.86</v>
      </c>
      <c r="M531" s="17" t="n">
        <v>0</v>
      </c>
      <c r="N531" s="17">
        <f>K531*0.08+L531*0.08</f>
        <v/>
      </c>
      <c r="O531" s="17">
        <f>-(K531*0.025+L531*0.025)</f>
        <v/>
      </c>
      <c r="P531" s="17">
        <f>32</f>
        <v/>
      </c>
      <c r="Q531" s="17">
        <f>J531+L531+N531+O531-P531-M531</f>
        <v/>
      </c>
    </row>
    <row r="532">
      <c r="A532" s="16" t="inlineStr">
        <is>
          <t>5.1-5.7</t>
        </is>
      </c>
      <c r="B532" s="16" t="inlineStr">
        <is>
          <t>PO-128-14238320446071565</t>
        </is>
      </c>
      <c r="C532" s="16" t="inlineStr">
        <is>
          <t>Delivered</t>
        </is>
      </c>
      <c r="D532" s="16" t="inlineStr">
        <is>
          <t>128-14238382377591565</t>
        </is>
      </c>
      <c r="E532" s="16" t="inlineStr">
        <is>
          <t>Delivered</t>
        </is>
      </c>
      <c r="F532" s="16" t="inlineStr">
        <is>
          <t>MB-185N</t>
        </is>
      </c>
      <c r="G532" s="16" t="inlineStr">
        <is>
          <t>Bocina Radio FM/Reproductor, Compatible con Tarjeta TF, USB, Bluetooth, Aplicable para celular, computadora, Ipad y consola.</t>
        </is>
      </c>
      <c r="H532" s="16" t="inlineStr">
        <is>
          <t>NEGRO/MB-185</t>
        </is>
      </c>
      <c r="I532" s="16" t="n">
        <v>1</v>
      </c>
      <c r="J532" s="17" t="n">
        <v>71.31</v>
      </c>
      <c r="K532" s="17" t="n">
        <v>84.26000000000001</v>
      </c>
      <c r="L532" s="17" t="n">
        <v>25.86</v>
      </c>
      <c r="M532" s="17" t="n">
        <v>0</v>
      </c>
      <c r="N532" s="17">
        <f>K532*0.08+L532*0.08</f>
        <v/>
      </c>
      <c r="O532" s="17">
        <f>-(K532*0.025+L532*0.025)</f>
        <v/>
      </c>
      <c r="P532" s="17">
        <f>32</f>
        <v/>
      </c>
      <c r="Q532" s="17">
        <f>J532+L532+N532+O532-P532-M532</f>
        <v/>
      </c>
    </row>
    <row r="533">
      <c r="A533" s="16" t="inlineStr">
        <is>
          <t>5.1-5.7</t>
        </is>
      </c>
      <c r="B533" s="16" t="inlineStr">
        <is>
          <t>PO-128-14297141719670383</t>
        </is>
      </c>
      <c r="C533" s="16" t="inlineStr">
        <is>
          <t>Delivered</t>
        </is>
      </c>
      <c r="D533" s="16" t="inlineStr">
        <is>
          <t>128-14297152205430383</t>
        </is>
      </c>
      <c r="E533" s="16" t="inlineStr">
        <is>
          <t>Delivered</t>
        </is>
      </c>
      <c r="F533" s="16" t="inlineStr">
        <is>
          <t>LB02235-rojo</t>
        </is>
      </c>
      <c r="G533" s="16" t="inlineStr">
        <is>
          <t>Audífonos Inalámbricos para la Cabeza, Recargables y Multifuncionales - Conectan a Varios Dispositivos, soportan Radio FM, Tarjeta TF y AUX - 4 Horas de Reproducción Musical - Ideal para Trabajo Cotidiano, Juegos y Estudio</t>
        </is>
      </c>
      <c r="H533" s="16" t="inlineStr">
        <is>
          <t>ROJO</t>
        </is>
      </c>
      <c r="I533" s="16" t="n">
        <v>3</v>
      </c>
      <c r="J533" s="17" t="n">
        <v>123</v>
      </c>
      <c r="K533" s="17" t="n">
        <v>138.01</v>
      </c>
      <c r="L533" s="17" t="n">
        <v>25.86</v>
      </c>
      <c r="M533" s="17" t="n">
        <v>0</v>
      </c>
      <c r="N533" s="17">
        <f>K533*0.08+L533*0.08</f>
        <v/>
      </c>
      <c r="O533" s="17">
        <f>-(K533*0.025+L533*0.025)</f>
        <v/>
      </c>
      <c r="P533" s="17">
        <f>32</f>
        <v/>
      </c>
      <c r="Q533" s="17">
        <f>J533+L533+N533+O533-P533-M533</f>
        <v/>
      </c>
    </row>
    <row r="534">
      <c r="A534" s="16" t="inlineStr">
        <is>
          <t>5.1-5.7</t>
        </is>
      </c>
      <c r="B534" s="16" t="inlineStr">
        <is>
          <t>PO-128-14321746852470234</t>
        </is>
      </c>
      <c r="C534" s="16" t="inlineStr">
        <is>
          <t>Delivered</t>
        </is>
      </c>
      <c r="D534" s="16" t="inlineStr">
        <is>
          <t>128-14321753406070234</t>
        </is>
      </c>
      <c r="E534" s="16" t="inlineStr">
        <is>
          <t>Delivered</t>
        </is>
      </c>
      <c r="F534" s="16" t="inlineStr">
        <is>
          <t>LB02235-negro</t>
        </is>
      </c>
      <c r="G534" s="16" t="inlineStr">
        <is>
          <t>Audífonos Inalámbricos para la Cabeza, Recargables y Multifuncionales - Conectan a Varios Dispositivos, soportan Radio FM, Tarjeta TF y AUX - 4 Horas de Reproducción Musical - Ideal para Trabajo Cotidiano, Juegos y Estudio</t>
        </is>
      </c>
      <c r="H534" s="16" t="inlineStr">
        <is>
          <t>NEGRO</t>
        </is>
      </c>
      <c r="I534" s="16" t="n">
        <v>1</v>
      </c>
      <c r="J534" s="17" t="n">
        <v>35</v>
      </c>
      <c r="K534" s="17" t="n">
        <v>48.12</v>
      </c>
      <c r="L534" s="17" t="n">
        <v>25.86</v>
      </c>
      <c r="M534" s="17" t="n">
        <v>0</v>
      </c>
      <c r="N534" s="17">
        <f>K534*0.08+L534*0.08</f>
        <v/>
      </c>
      <c r="O534" s="17">
        <f>-(K534*0.025+L534*0.025)</f>
        <v/>
      </c>
      <c r="P534" s="17">
        <f>32</f>
        <v/>
      </c>
      <c r="Q534" s="17">
        <f>J534+L534+N534+O534-P534-M534</f>
        <v/>
      </c>
    </row>
    <row r="535">
      <c r="A535" s="16" t="inlineStr">
        <is>
          <t>5.1-5.7</t>
        </is>
      </c>
      <c r="B535" s="16" t="inlineStr">
        <is>
          <t>PO-128-14020845240953052</t>
        </is>
      </c>
      <c r="C535" s="16" t="inlineStr">
        <is>
          <t>Delivered</t>
        </is>
      </c>
      <c r="D535" s="16" t="inlineStr">
        <is>
          <t>128-14020803297913052</t>
        </is>
      </c>
      <c r="E535" s="16" t="inlineStr">
        <is>
          <t>Delivered</t>
        </is>
      </c>
      <c r="F535" s="16" t="inlineStr">
        <is>
          <t>LB02235-negro</t>
        </is>
      </c>
      <c r="G535" s="16" t="inlineStr">
        <is>
          <t>Audífonos Inalámbricos para la Cabeza, Recargables y Multifuncionales - Conectan a Varios Dispositivos, soportan Radio FM, Tarjeta TF y AUX - 4 Horas de Reproducción Musical - Ideal para Trabajo Cotidiano, Juegos y Estudio</t>
        </is>
      </c>
      <c r="H535" s="16" t="inlineStr">
        <is>
          <t>NEGRO</t>
        </is>
      </c>
      <c r="I535" s="16" t="n">
        <v>1</v>
      </c>
      <c r="J535" s="17" t="n">
        <v>35</v>
      </c>
      <c r="K535" s="17" t="n">
        <v>48.12</v>
      </c>
      <c r="L535" s="17" t="n">
        <v>25.86</v>
      </c>
      <c r="M535" s="17" t="n">
        <v>0</v>
      </c>
      <c r="N535" s="17">
        <f>K535*0.08+L535*0.08</f>
        <v/>
      </c>
      <c r="O535" s="17">
        <f>-(K535*0.025+L535*0.025)</f>
        <v/>
      </c>
      <c r="P535" s="17">
        <f>32</f>
        <v/>
      </c>
      <c r="Q535" s="17">
        <f>J535+L535+N535+O535-P535-M535</f>
        <v/>
      </c>
    </row>
    <row r="536">
      <c r="A536" s="16" t="inlineStr">
        <is>
          <t>5.1-5.7</t>
        </is>
      </c>
      <c r="B536" s="16" t="inlineStr">
        <is>
          <t>PO-128-13895962337913604</t>
        </is>
      </c>
      <c r="C536" s="16" t="inlineStr">
        <is>
          <t>Delivered</t>
        </is>
      </c>
      <c r="D536" s="16" t="inlineStr">
        <is>
          <t>128-13895979377273604</t>
        </is>
      </c>
      <c r="E536" s="16" t="inlineStr">
        <is>
          <t>Delivered</t>
        </is>
      </c>
      <c r="F536" s="16" t="inlineStr">
        <is>
          <t>LB02235-blanco</t>
        </is>
      </c>
      <c r="G536" s="16" t="inlineStr">
        <is>
          <t>Audífonos Inalámbricos para la Cabeza, Recargables y Multifuncionales - Conectan a Varios Dispositivos, soportan Radio FM, Tarjeta TF y AUX - 4 Horas de Reproducción Musical - Ideal para Trabajo Cotidiano, Juegos y Estudio</t>
        </is>
      </c>
      <c r="H536" s="16" t="inlineStr">
        <is>
          <t>BLANCO</t>
        </is>
      </c>
      <c r="I536" s="16" t="n">
        <v>1</v>
      </c>
      <c r="J536" s="17" t="n">
        <v>35</v>
      </c>
      <c r="K536" s="17" t="n">
        <v>48.12</v>
      </c>
      <c r="L536" s="17" t="n">
        <v>25.86</v>
      </c>
      <c r="M536" s="17" t="n">
        <v>0</v>
      </c>
      <c r="N536" s="17">
        <f>K536*0.08+L536*0.08</f>
        <v/>
      </c>
      <c r="O536" s="17">
        <f>-(K536*0.025+L536*0.025)</f>
        <v/>
      </c>
      <c r="P536" s="17">
        <f>32</f>
        <v/>
      </c>
      <c r="Q536" s="17">
        <f>J536+L536+N536+O536-P536-M536</f>
        <v/>
      </c>
    </row>
    <row r="537">
      <c r="A537" s="16" t="inlineStr">
        <is>
          <t>5.1-5.7</t>
        </is>
      </c>
      <c r="B537" s="16" t="inlineStr">
        <is>
          <t>PO-128-14311359631990168</t>
        </is>
      </c>
      <c r="C537" s="16" t="inlineStr">
        <is>
          <t>Delivered</t>
        </is>
      </c>
      <c r="D537" s="16" t="inlineStr">
        <is>
          <t>128-14311333417590168</t>
        </is>
      </c>
      <c r="E537" s="16" t="inlineStr">
        <is>
          <t>Delivered</t>
        </is>
      </c>
      <c r="F537" s="16" t="inlineStr">
        <is>
          <t>LB02235-negro</t>
        </is>
      </c>
      <c r="G537" s="16" t="inlineStr">
        <is>
          <t>Audífonos Inalámbricos para la Cabeza, Recargables y Multifuncionales - Conectan a Varios Dispositivos, soportan Radio FM, Tarjeta TF y AUX - 4 Horas de Reproducción Musical - Ideal para Trabajo Cotidiano, Juegos y Estudio</t>
        </is>
      </c>
      <c r="H537" s="16" t="inlineStr">
        <is>
          <t>NEGRO</t>
        </is>
      </c>
      <c r="I537" s="16" t="n">
        <v>1</v>
      </c>
      <c r="J537" s="17" t="n">
        <v>35</v>
      </c>
      <c r="K537" s="17" t="n">
        <v>40.9</v>
      </c>
      <c r="L537" s="17" t="n">
        <v>25.86</v>
      </c>
      <c r="M537" s="17" t="n">
        <v>0</v>
      </c>
      <c r="N537" s="17">
        <f>K537*0.08+L537*0.08</f>
        <v/>
      </c>
      <c r="O537" s="17">
        <f>-(K537*0.025+L537*0.025)</f>
        <v/>
      </c>
      <c r="P537" s="17">
        <f>32</f>
        <v/>
      </c>
      <c r="Q537" s="17">
        <f>J537+L537+N537+O537-P537-M537</f>
        <v/>
      </c>
    </row>
    <row r="538">
      <c r="A538" s="16" t="inlineStr">
        <is>
          <t>5.1-5.7</t>
        </is>
      </c>
      <c r="B538" s="16" t="inlineStr">
        <is>
          <t>PO-128-03185817641591970</t>
        </is>
      </c>
      <c r="C538" s="16" t="inlineStr">
        <is>
          <t>Delivered</t>
        </is>
      </c>
      <c r="D538" s="16" t="inlineStr">
        <is>
          <t>128-03185775698551970</t>
        </is>
      </c>
      <c r="E538" s="16" t="inlineStr">
        <is>
          <t>Delivered</t>
        </is>
      </c>
      <c r="F538" s="16" t="inlineStr">
        <is>
          <t>MB-185A</t>
        </is>
      </c>
      <c r="G538" s="16" t="inlineStr">
        <is>
          <t>Bocina Radio FM/Reproductor, Compatible con Tarjeta TF, USB, Bluetooth, Aplicable para celular, computadora, Ipad y consola.</t>
        </is>
      </c>
      <c r="H538" s="16" t="inlineStr">
        <is>
          <t>AZUL/MB-185</t>
        </is>
      </c>
      <c r="I538" s="16" t="n">
        <v>1</v>
      </c>
      <c r="J538" s="17" t="n">
        <v>71.31</v>
      </c>
      <c r="K538" s="17" t="n">
        <v>84.26000000000001</v>
      </c>
      <c r="L538" s="17" t="n">
        <v>25.86</v>
      </c>
      <c r="M538" s="17" t="n">
        <v>0</v>
      </c>
      <c r="N538" s="17">
        <f>K538*0.08+L538*0.08</f>
        <v/>
      </c>
      <c r="O538" s="17">
        <f>-(K538*0.025+L538*0.025)</f>
        <v/>
      </c>
      <c r="P538" s="17">
        <f>32</f>
        <v/>
      </c>
      <c r="Q538" s="17">
        <f>J538+L538+N538+O538-P538-M538</f>
        <v/>
      </c>
    </row>
    <row r="539">
      <c r="A539" s="16" t="inlineStr">
        <is>
          <t>5.1-5.7</t>
        </is>
      </c>
      <c r="B539" s="16" t="inlineStr">
        <is>
          <t>PO-128-03412353290870749</t>
        </is>
      </c>
      <c r="C539" s="16" t="inlineStr">
        <is>
          <t>Delivered</t>
        </is>
      </c>
      <c r="D539" s="16" t="inlineStr">
        <is>
          <t>128-03412458148470749</t>
        </is>
      </c>
      <c r="E539" s="16" t="inlineStr">
        <is>
          <t>Delivered</t>
        </is>
      </c>
      <c r="F539" s="16" t="inlineStr">
        <is>
          <t>KTS-1943-V</t>
        </is>
      </c>
      <c r="G539"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539" s="16" t="inlineStr">
        <is>
          <t>VERDE</t>
        </is>
      </c>
      <c r="I539" s="16" t="n">
        <v>1</v>
      </c>
      <c r="J539" s="17" t="n">
        <v>75</v>
      </c>
      <c r="K539" s="17" t="n">
        <v>7.86</v>
      </c>
      <c r="L539" s="17" t="n">
        <v>25.86</v>
      </c>
      <c r="M539" s="17" t="n">
        <v>0</v>
      </c>
      <c r="N539" s="17">
        <f>K539*0.08+L539*0.08</f>
        <v/>
      </c>
      <c r="O539" s="17">
        <f>-(K539*0.025+L539*0.025)</f>
        <v/>
      </c>
      <c r="P539" s="17">
        <f>32</f>
        <v/>
      </c>
      <c r="Q539" s="17">
        <f>J539+L539+N539+O539-P539-M539</f>
        <v/>
      </c>
    </row>
    <row r="540">
      <c r="A540" s="16" t="inlineStr">
        <is>
          <t>5.1-5.7</t>
        </is>
      </c>
      <c r="B540" s="16" t="inlineStr">
        <is>
          <t>PO-128-03005827512952146</t>
        </is>
      </c>
      <c r="C540" s="16" t="inlineStr">
        <is>
          <t>Delivered</t>
        </is>
      </c>
      <c r="D540" s="16" t="inlineStr">
        <is>
          <t>128-03005932370552146</t>
        </is>
      </c>
      <c r="E540" s="16" t="inlineStr">
        <is>
          <t>Delivered</t>
        </is>
      </c>
      <c r="F540" s="16" t="inlineStr">
        <is>
          <t>KTS-1678R</t>
        </is>
      </c>
      <c r="G540" s="16" t="inlineStr">
        <is>
          <t>Bocina portátil Inalámbrico, de 3 pulgadas, tamaño de bolsillo, 170 g, con asa, compatible con TF, USB y Micro SD, con radio FM y función TWS (True Wireless Stereo), adecuada para relajarse en casa o viajar al aire libre.</t>
        </is>
      </c>
      <c r="H540" s="16" t="inlineStr">
        <is>
          <t>KTS-1678R</t>
        </is>
      </c>
      <c r="I540" s="16" t="n">
        <v>1</v>
      </c>
      <c r="J540" s="17" t="n">
        <v>40</v>
      </c>
      <c r="K540" s="17" t="n">
        <v>48.29</v>
      </c>
      <c r="L540" s="17" t="n">
        <v>25.86</v>
      </c>
      <c r="M540" s="17" t="n">
        <v>0</v>
      </c>
      <c r="N540" s="17">
        <f>K540*0.08+L540*0.08</f>
        <v/>
      </c>
      <c r="O540" s="17">
        <f>-(K540*0.025+L540*0.025)</f>
        <v/>
      </c>
      <c r="P540" s="17">
        <f>32</f>
        <v/>
      </c>
      <c r="Q540" s="17">
        <f>J540+L540+N540+O540-P540-M540</f>
        <v/>
      </c>
    </row>
    <row r="541">
      <c r="A541" s="16" t="inlineStr">
        <is>
          <t>5.1-5.7</t>
        </is>
      </c>
      <c r="B541" s="16" t="inlineStr">
        <is>
          <t>PO-128-02925943040632433</t>
        </is>
      </c>
      <c r="C541" s="16" t="inlineStr">
        <is>
          <t>Delivered</t>
        </is>
      </c>
      <c r="D541" s="16" t="inlineStr">
        <is>
          <t>128-02925932554872433</t>
        </is>
      </c>
      <c r="E541" s="16" t="inlineStr">
        <is>
          <t>Delivered</t>
        </is>
      </c>
      <c r="F541" s="16" t="inlineStr">
        <is>
          <t>LB02235-negro</t>
        </is>
      </c>
      <c r="G541" s="16" t="inlineStr">
        <is>
          <t>Audífonos Inalámbricos para la Cabeza, Recargables y Multifuncionales - Conectan a Varios Dispositivos, soportan Radio FM, Tarjeta TF y AUX - 4 Horas de Reproducción Musical - Ideal para Trabajo Cotidiano, Juegos y Estudio</t>
        </is>
      </c>
      <c r="H541" s="16" t="inlineStr">
        <is>
          <t>NEGRO</t>
        </is>
      </c>
      <c r="I541" s="16" t="n">
        <v>1</v>
      </c>
      <c r="J541" s="17" t="n">
        <v>35</v>
      </c>
      <c r="K541" s="17" t="n">
        <v>48.12</v>
      </c>
      <c r="L541" s="17" t="n">
        <v>25.86</v>
      </c>
      <c r="M541" s="17" t="n">
        <v>0</v>
      </c>
      <c r="N541" s="17">
        <f>K541*0.08+L541*0.08</f>
        <v/>
      </c>
      <c r="O541" s="17">
        <f>-(K541*0.025+L541*0.025)</f>
        <v/>
      </c>
      <c r="P541" s="17">
        <f>32</f>
        <v/>
      </c>
      <c r="Q541" s="17">
        <f>J541+L541+N541+O541-P541-M541</f>
        <v/>
      </c>
    </row>
    <row r="542">
      <c r="A542" s="16" t="inlineStr">
        <is>
          <t>5.1-5.7</t>
        </is>
      </c>
      <c r="B542" s="16" t="inlineStr">
        <is>
          <t>PO-128-03243706819191563</t>
        </is>
      </c>
      <c r="C542" s="16" t="inlineStr">
        <is>
          <t>Delivered</t>
        </is>
      </c>
      <c r="D542" s="16" t="inlineStr">
        <is>
          <t>128-03243664876151563</t>
        </is>
      </c>
      <c r="E542" s="16" t="inlineStr">
        <is>
          <t>Delivered</t>
        </is>
      </c>
      <c r="F542" s="16" t="inlineStr">
        <is>
          <t>LB02235-azul</t>
        </is>
      </c>
      <c r="G542" s="16" t="inlineStr">
        <is>
          <t>Audífonos Inalámbricos para la Cabeza, Recargables y Multifuncionales - Conectan a Varios Dispositivos, soportan Radio FM, Tarjeta TF y AUX - 4 Horas de Reproducción Musical - Ideal para Trabajo Cotidiano, Juegos y Estudio</t>
        </is>
      </c>
      <c r="H542" s="16" t="inlineStr">
        <is>
          <t>AZUL</t>
        </is>
      </c>
      <c r="I542" s="16" t="n">
        <v>1</v>
      </c>
      <c r="J542" s="17" t="n">
        <v>35</v>
      </c>
      <c r="K542" s="17" t="n">
        <v>5.02</v>
      </c>
      <c r="L542" s="17" t="n">
        <v>25.86</v>
      </c>
      <c r="M542" s="17" t="n">
        <v>0</v>
      </c>
      <c r="N542" s="17">
        <f>K542*0.08+L542*0.08</f>
        <v/>
      </c>
      <c r="O542" s="17">
        <f>-(K542*0.025+L542*0.025)</f>
        <v/>
      </c>
      <c r="P542" s="17">
        <f>32</f>
        <v/>
      </c>
      <c r="Q542" s="17">
        <f>J542+L542+N542+O542-P542-M542</f>
        <v/>
      </c>
    </row>
    <row r="543">
      <c r="A543" s="16" t="inlineStr">
        <is>
          <t>5.1-5.7</t>
        </is>
      </c>
      <c r="B543" s="16" t="inlineStr">
        <is>
          <t>PO-128-03169508055671109</t>
        </is>
      </c>
      <c r="C543" s="16" t="inlineStr">
        <is>
          <t>Delivered</t>
        </is>
      </c>
      <c r="D543" s="16" t="inlineStr">
        <is>
          <t>128-03169539512951109</t>
        </is>
      </c>
      <c r="E543" s="16" t="inlineStr">
        <is>
          <t>Delivered</t>
        </is>
      </c>
      <c r="F543" s="16" t="inlineStr">
        <is>
          <t>LB02235-negro</t>
        </is>
      </c>
      <c r="G543" s="16" t="inlineStr">
        <is>
          <t>Audífonos Inalámbricos para la Cabeza, Recargables y Multifuncionales - Conectan a Varios Dispositivos, soportan Radio FM, Tarjeta TF y AUX - 4 Horas de Reproducción Musical - Ideal para Trabajo Cotidiano, Juegos y Estudio</t>
        </is>
      </c>
      <c r="H543" s="16" t="inlineStr">
        <is>
          <t>NEGRO</t>
        </is>
      </c>
      <c r="I543" s="16" t="n">
        <v>1</v>
      </c>
      <c r="J543" s="17" t="n">
        <v>35</v>
      </c>
      <c r="K543" s="17" t="n">
        <v>40.56</v>
      </c>
      <c r="L543" s="17" t="n">
        <v>25.86</v>
      </c>
      <c r="M543" s="17" t="n">
        <v>0</v>
      </c>
      <c r="N543" s="17">
        <f>K543*0.08+L543*0.08</f>
        <v/>
      </c>
      <c r="O543" s="17">
        <f>-(K543*0.025+L543*0.025)</f>
        <v/>
      </c>
      <c r="P543" s="17">
        <f>32</f>
        <v/>
      </c>
      <c r="Q543" s="17">
        <f>J543+L543+N543+O543-P543-M543</f>
        <v/>
      </c>
    </row>
    <row r="544">
      <c r="A544" s="16" t="inlineStr">
        <is>
          <t>5.1-5.7</t>
        </is>
      </c>
      <c r="B544" s="16" t="inlineStr">
        <is>
          <t>PO-128-02907160463993630</t>
        </is>
      </c>
      <c r="C544" s="16" t="inlineStr">
        <is>
          <t>Delivered</t>
        </is>
      </c>
      <c r="D544" s="16" t="inlineStr">
        <is>
          <t>128-02907320371833630</t>
        </is>
      </c>
      <c r="E544" s="16" t="inlineStr">
        <is>
          <t>Delivered</t>
        </is>
      </c>
      <c r="F544" s="16" t="inlineStr">
        <is>
          <t>MB-178-N</t>
        </is>
      </c>
      <c r="G544" s="16" t="inlineStr">
        <is>
          <t>Bocina de Barra Bluetooth LINK BITS con dos altavoces, sonido de alta calidad y multifuncional (Bluetooth, Radio FM, USB, TF, AUX, TWS), ideal para juegos, reuniones, oficina y cine en casa.</t>
        </is>
      </c>
      <c r="H544" s="16" t="inlineStr">
        <is>
          <t>NEGRO</t>
        </is>
      </c>
      <c r="I544" s="16" t="n">
        <v>1</v>
      </c>
      <c r="J544" s="17" t="n">
        <v>130</v>
      </c>
      <c r="K544" s="17" t="n">
        <v>106.24</v>
      </c>
      <c r="L544" s="17" t="n">
        <v>25.86</v>
      </c>
      <c r="M544" s="17" t="n">
        <v>0</v>
      </c>
      <c r="N544" s="17">
        <f>K544*0.08+L544*0.08</f>
        <v/>
      </c>
      <c r="O544" s="17">
        <f>-(K544*0.025+L544*0.025)</f>
        <v/>
      </c>
      <c r="P544" s="17">
        <f>32</f>
        <v/>
      </c>
      <c r="Q544" s="17">
        <f>J544+L544+N544+O544-P544-M544</f>
        <v/>
      </c>
    </row>
    <row r="545">
      <c r="A545" s="16" t="inlineStr">
        <is>
          <t>5.1-5.7</t>
        </is>
      </c>
      <c r="B545" s="16" t="inlineStr">
        <is>
          <t>PO-128-03100884920951452</t>
        </is>
      </c>
      <c r="C545" s="16" t="inlineStr">
        <is>
          <t>Delivered</t>
        </is>
      </c>
      <c r="D545" s="16" t="inlineStr">
        <is>
          <t>128-03100905892471452</t>
        </is>
      </c>
      <c r="E545" s="16" t="inlineStr">
        <is>
          <t>Delivered</t>
        </is>
      </c>
      <c r="F545" s="16" t="inlineStr">
        <is>
          <t>SA323T</t>
        </is>
      </c>
      <c r="G545" s="16" t="inlineStr">
        <is>
          <t>Linkbits Bocina Portátil Parlantes BT Portátiles con Iluminación de Ambiente | 1 Hora de Duración, FM, TWS, TF/Micro SD | Ideal para Hogar, Fiestas y Viajes</t>
        </is>
      </c>
      <c r="H545" s="16" t="inlineStr">
        <is>
          <t>SA323T</t>
        </is>
      </c>
      <c r="I545" s="16" t="n">
        <v>1</v>
      </c>
      <c r="J545" s="17" t="n">
        <v>44.8</v>
      </c>
      <c r="K545" s="17" t="n">
        <v>0.41</v>
      </c>
      <c r="L545" s="17" t="n">
        <v>25.86</v>
      </c>
      <c r="M545" s="17" t="n">
        <v>0</v>
      </c>
      <c r="N545" s="17">
        <f>K545*0.08+L545*0.08</f>
        <v/>
      </c>
      <c r="O545" s="17">
        <f>-(K545*0.025+L545*0.025)</f>
        <v/>
      </c>
      <c r="P545" s="17">
        <f>32</f>
        <v/>
      </c>
      <c r="Q545" s="17">
        <f>J545+L545+N545+O545-P545-M545</f>
        <v/>
      </c>
    </row>
    <row r="546">
      <c r="A546" s="16" t="inlineStr">
        <is>
          <t>5.1-5.7</t>
        </is>
      </c>
      <c r="B546" s="16" t="inlineStr">
        <is>
          <t>PO-128-02880872100473725</t>
        </is>
      </c>
      <c r="C546" s="16" t="inlineStr">
        <is>
          <t>Delivered</t>
        </is>
      </c>
      <c r="D546" s="16" t="inlineStr">
        <is>
          <t>128-02880945500793725</t>
        </is>
      </c>
      <c r="E546" s="16" t="inlineStr">
        <is>
          <t>Delivered</t>
        </is>
      </c>
      <c r="F546" s="16" t="inlineStr">
        <is>
          <t>LB02235-azul</t>
        </is>
      </c>
      <c r="G546" s="16" t="inlineStr">
        <is>
          <t>Audífonos Inalámbricos para la Cabeza, Recargables y Multifuncionales - Conectan a Varios Dispositivos, soportan Radio FM, Tarjeta TF y AUX - 4 Horas de Reproducción Musical - Ideal para Trabajo Cotidiano, Juegos y Estudio</t>
        </is>
      </c>
      <c r="H546" s="16" t="inlineStr">
        <is>
          <t>AZUL</t>
        </is>
      </c>
      <c r="I546" s="16" t="n">
        <v>1</v>
      </c>
      <c r="J546" s="17" t="n">
        <v>35</v>
      </c>
      <c r="K546" s="17" t="n">
        <v>48.12</v>
      </c>
      <c r="L546" s="17" t="n">
        <v>25.86</v>
      </c>
      <c r="M546" s="17" t="n">
        <v>0</v>
      </c>
      <c r="N546" s="17">
        <f>K546*0.08+L546*0.08</f>
        <v/>
      </c>
      <c r="O546" s="17">
        <f>-(K546*0.025+L546*0.025)</f>
        <v/>
      </c>
      <c r="P546" s="17">
        <f>32</f>
        <v/>
      </c>
      <c r="Q546" s="17">
        <f>J546+L546+N546+O546-P546-M546</f>
        <v/>
      </c>
    </row>
    <row r="547">
      <c r="A547" s="16" t="inlineStr">
        <is>
          <t>5.1-5.7</t>
        </is>
      </c>
      <c r="B547" s="16" t="inlineStr">
        <is>
          <t>PO-128-03188596367991955</t>
        </is>
      </c>
      <c r="C547" s="16" t="inlineStr">
        <is>
          <t>Delivered</t>
        </is>
      </c>
      <c r="D547" s="16" t="inlineStr">
        <is>
          <t>128-03188676321911955</t>
        </is>
      </c>
      <c r="E547" s="16" t="inlineStr">
        <is>
          <t>Delivered</t>
        </is>
      </c>
      <c r="F547" s="16" t="inlineStr">
        <is>
          <t>S39W48</t>
        </is>
      </c>
      <c r="G54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547" s="16" t="inlineStr">
        <is>
          <t>1 pieza</t>
        </is>
      </c>
      <c r="I547" s="16" t="n">
        <v>1</v>
      </c>
      <c r="J547" s="17" t="n">
        <v>38.8</v>
      </c>
      <c r="K547" s="17" t="n">
        <v>51.38</v>
      </c>
      <c r="L547" s="17" t="n">
        <v>25.86</v>
      </c>
      <c r="M547" s="17" t="n">
        <v>0</v>
      </c>
      <c r="N547" s="17">
        <f>K547*0.08+L547*0.08</f>
        <v/>
      </c>
      <c r="O547" s="17">
        <f>-(K547*0.025+L547*0.025)</f>
        <v/>
      </c>
      <c r="P547" s="17">
        <f>32</f>
        <v/>
      </c>
      <c r="Q547" s="17">
        <f>J547+L547+N547+O547-P547-M547</f>
        <v/>
      </c>
    </row>
    <row r="548">
      <c r="A548" s="16" t="inlineStr">
        <is>
          <t>5.1-5.7</t>
        </is>
      </c>
      <c r="B548" s="16" t="inlineStr">
        <is>
          <t>PO-128-02798240277113256</t>
        </is>
      </c>
      <c r="C548" s="16" t="inlineStr">
        <is>
          <t>Delivered</t>
        </is>
      </c>
      <c r="D548" s="16" t="inlineStr">
        <is>
          <t>128-02798198334073256</t>
        </is>
      </c>
      <c r="E548" s="16" t="inlineStr">
        <is>
          <t>Delivered</t>
        </is>
      </c>
      <c r="F548" s="16" t="inlineStr">
        <is>
          <t>MCM-001R</t>
        </is>
      </c>
      <c r="G548" s="16" t="inlineStr">
        <is>
          <t>Musicord Altavoz Inalámbrico BT Portátil: ¡Sonido impactante, luces LED multicolores y 4 horas de autonomía! Compatible con TWS, FM, TF y USB – Imprescindible para fiestas y viajes</t>
        </is>
      </c>
      <c r="H548" s="16" t="inlineStr">
        <is>
          <t>ROJO</t>
        </is>
      </c>
      <c r="I548" s="16" t="n">
        <v>1</v>
      </c>
      <c r="J548" s="17" t="n">
        <v>66</v>
      </c>
      <c r="K548" s="17" t="n">
        <v>77.29000000000001</v>
      </c>
      <c r="L548" s="17" t="n">
        <v>25.86</v>
      </c>
      <c r="M548" s="17" t="n">
        <v>0</v>
      </c>
      <c r="N548" s="17">
        <f>K548*0.08+L548*0.08</f>
        <v/>
      </c>
      <c r="O548" s="17">
        <f>-(K548*0.025+L548*0.025)</f>
        <v/>
      </c>
      <c r="P548" s="17">
        <f>32</f>
        <v/>
      </c>
      <c r="Q548" s="17">
        <f>J548+L548+N548+O548-P548-M548</f>
        <v/>
      </c>
    </row>
    <row r="549">
      <c r="A549" s="16" t="inlineStr">
        <is>
          <t>5.1-5.7</t>
        </is>
      </c>
      <c r="B549" s="16" t="inlineStr">
        <is>
          <t>PO-128-03021759294073013</t>
        </is>
      </c>
      <c r="C549" s="16" t="inlineStr">
        <is>
          <t>Delivered</t>
        </is>
      </c>
      <c r="D549" s="16" t="inlineStr">
        <is>
          <t>128-03021895608953013</t>
        </is>
      </c>
      <c r="E549" s="16" t="inlineStr">
        <is>
          <t>Delivered</t>
        </is>
      </c>
      <c r="F549" s="16" t="inlineStr">
        <is>
          <t>LB02235-negro</t>
        </is>
      </c>
      <c r="G549" s="16" t="inlineStr">
        <is>
          <t>Audífonos Inalámbricos para la Cabeza, Recargables y Multifuncionales - Conectan a Varios Dispositivos, soportan Radio FM, Tarjeta TF y AUX - 4 Horas de Reproducción Musical - Ideal para Trabajo Cotidiano, Juegos y Estudio</t>
        </is>
      </c>
      <c r="H549" s="16" t="inlineStr">
        <is>
          <t>NEGRO</t>
        </is>
      </c>
      <c r="I549" s="16" t="n">
        <v>1</v>
      </c>
      <c r="J549" s="17" t="n">
        <v>35</v>
      </c>
      <c r="K549" s="17" t="n">
        <v>40.9</v>
      </c>
      <c r="L549" s="17" t="n">
        <v>25.86</v>
      </c>
      <c r="M549" s="17" t="n">
        <v>0</v>
      </c>
      <c r="N549" s="17">
        <f>K549*0.08+L549*0.08</f>
        <v/>
      </c>
      <c r="O549" s="17">
        <f>-(K549*0.025+L549*0.025)</f>
        <v/>
      </c>
      <c r="P549" s="17">
        <f>32</f>
        <v/>
      </c>
      <c r="Q549" s="17">
        <f>J549+L549+N549+O549-P549-M549</f>
        <v/>
      </c>
    </row>
    <row r="550">
      <c r="A550" s="16" t="inlineStr">
        <is>
          <t>5.1-5.7</t>
        </is>
      </c>
      <c r="B550" s="16" t="inlineStr">
        <is>
          <t>PO-128-03210627282551886</t>
        </is>
      </c>
      <c r="C550" s="16" t="inlineStr">
        <is>
          <t>Delivered</t>
        </is>
      </c>
      <c r="D550" s="16" t="inlineStr">
        <is>
          <t>128-03210585339511886</t>
        </is>
      </c>
      <c r="E550" s="16" t="inlineStr">
        <is>
          <t>Delivered</t>
        </is>
      </c>
      <c r="F550" s="16" t="inlineStr">
        <is>
          <t>SA8056T</t>
        </is>
      </c>
      <c r="G55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50" s="16" t="inlineStr">
        <is>
          <t>SA8056T</t>
        </is>
      </c>
      <c r="I550" s="16" t="n">
        <v>2</v>
      </c>
      <c r="J550" s="17" t="n">
        <v>298</v>
      </c>
      <c r="K550" s="17" t="n">
        <v>243.94</v>
      </c>
      <c r="L550" s="17" t="n">
        <v>0</v>
      </c>
      <c r="M550" s="17" t="n">
        <v>0</v>
      </c>
      <c r="N550" s="17">
        <f>K550*0.08+L550*0.08</f>
        <v/>
      </c>
      <c r="O550" s="17">
        <f>-(K550*0.025+L550*0.025)</f>
        <v/>
      </c>
      <c r="P550" s="17">
        <f>32</f>
        <v/>
      </c>
      <c r="Q550" s="17">
        <f>J550+L550+N550+O550-P550-M550</f>
        <v/>
      </c>
    </row>
    <row r="551">
      <c r="A551" s="16" t="inlineStr">
        <is>
          <t>5.1-5.7</t>
        </is>
      </c>
      <c r="B551" s="16" t="inlineStr">
        <is>
          <t>PO-128-02866428621433875</t>
        </is>
      </c>
      <c r="C551" s="16" t="inlineStr">
        <is>
          <t>Delivered</t>
        </is>
      </c>
      <c r="D551" s="16" t="inlineStr">
        <is>
          <t>128-02866533479033875</t>
        </is>
      </c>
      <c r="E551" s="16" t="inlineStr">
        <is>
          <t>Delivered</t>
        </is>
      </c>
      <c r="F551" s="16" t="inlineStr">
        <is>
          <t>MCM-001R</t>
        </is>
      </c>
      <c r="G551" s="16" t="inlineStr">
        <is>
          <t>Musicord Altavoz Inalámbrico BT Portátil: ¡Sonido impactante, luces LED multicolores y 4 horas de autonomía! Compatible con TWS, FM, TF y USB – Imprescindible para fiestas y viajes</t>
        </is>
      </c>
      <c r="H551" s="16" t="inlineStr">
        <is>
          <t>ROJO</t>
        </is>
      </c>
      <c r="I551" s="16" t="n">
        <v>1</v>
      </c>
      <c r="J551" s="17" t="n">
        <v>66</v>
      </c>
      <c r="K551" s="17" t="n">
        <v>23.84</v>
      </c>
      <c r="L551" s="17" t="n">
        <v>25.86</v>
      </c>
      <c r="M551" s="17" t="n">
        <v>0</v>
      </c>
      <c r="N551" s="17">
        <f>K551*0.08+L551*0.08</f>
        <v/>
      </c>
      <c r="O551" s="17">
        <f>-(K551*0.025+L551*0.025)</f>
        <v/>
      </c>
      <c r="P551" s="17">
        <f>32</f>
        <v/>
      </c>
      <c r="Q551" s="17">
        <f>J551+L551+N551+O551-P551-M551</f>
        <v/>
      </c>
    </row>
    <row r="552">
      <c r="A552" s="16" t="inlineStr">
        <is>
          <t>5.1-5.7</t>
        </is>
      </c>
      <c r="B552" s="16" t="inlineStr">
        <is>
          <t>PO-128-02961872968312408</t>
        </is>
      </c>
      <c r="C552" s="16" t="inlineStr">
        <is>
          <t>Delivered</t>
        </is>
      </c>
      <c r="D552" s="16" t="inlineStr">
        <is>
          <t>128-02961890007672408</t>
        </is>
      </c>
      <c r="E552" s="16" t="inlineStr">
        <is>
          <t>Delivered</t>
        </is>
      </c>
      <c r="F552" s="16" t="inlineStr">
        <is>
          <t>LB02235-azul</t>
        </is>
      </c>
      <c r="G552" s="16" t="inlineStr">
        <is>
          <t>Audífonos Inalámbricos para la Cabeza, Recargables y Multifuncionales - Conectan a Varios Dispositivos, soportan Radio FM, Tarjeta TF y AUX - 4 Horas de Reproducción Musical - Ideal para Trabajo Cotidiano, Juegos y Estudio</t>
        </is>
      </c>
      <c r="H552" s="16" t="inlineStr">
        <is>
          <t>AZUL</t>
        </is>
      </c>
      <c r="I552" s="16" t="n">
        <v>1</v>
      </c>
      <c r="J552" s="17" t="n">
        <v>35</v>
      </c>
      <c r="K552" s="17" t="n">
        <v>48.12</v>
      </c>
      <c r="L552" s="17" t="n">
        <v>25.86</v>
      </c>
      <c r="M552" s="17" t="n">
        <v>0</v>
      </c>
      <c r="N552" s="17">
        <f>K552*0.08+L552*0.08</f>
        <v/>
      </c>
      <c r="O552" s="17">
        <f>-(K552*0.025+L552*0.025)</f>
        <v/>
      </c>
      <c r="P552" s="17">
        <f>32</f>
        <v/>
      </c>
      <c r="Q552" s="17">
        <f>J552+L552+N552+O552-P552-M552</f>
        <v/>
      </c>
    </row>
    <row r="553">
      <c r="A553" s="16" t="inlineStr">
        <is>
          <t>5.1-5.7</t>
        </is>
      </c>
      <c r="B553" s="16" t="inlineStr">
        <is>
          <t>PO-128-03053502433912694</t>
        </is>
      </c>
      <c r="C553" s="16" t="inlineStr">
        <is>
          <t>Delivered</t>
        </is>
      </c>
      <c r="D553" s="16" t="inlineStr">
        <is>
          <t>128-03053497191032694</t>
        </is>
      </c>
      <c r="E553" s="16" t="inlineStr">
        <is>
          <t>Delivered</t>
        </is>
      </c>
      <c r="F553" s="16" t="inlineStr">
        <is>
          <t>AIR50W06-2P</t>
        </is>
      </c>
      <c r="G553" s="16" t="inlineStr">
        <is>
          <t>Link Bits Ventilador de piso de 16 pulgadas, 2 unidades, 3 velocidades, motor silencioso, flujo de aire fuerte, altura ajustable, oscilación amplia, ventilador eléctrico para el hogar, ideal para sala, recámara y oficina</t>
        </is>
      </c>
      <c r="H553" s="16" t="inlineStr">
        <is>
          <t>2PZ</t>
        </is>
      </c>
      <c r="I553" s="16" t="n">
        <v>1</v>
      </c>
      <c r="J553" s="17" t="n">
        <v>435</v>
      </c>
      <c r="K553" s="17" t="n">
        <v>550.88</v>
      </c>
      <c r="L553" s="17" t="n">
        <v>0</v>
      </c>
      <c r="M553" s="17" t="n">
        <v>0</v>
      </c>
      <c r="N553" s="17">
        <f>K553*0.08+L553*0.08</f>
        <v/>
      </c>
      <c r="O553" s="17">
        <f>-(K553*0.025+L553*0.025)</f>
        <v/>
      </c>
      <c r="P553" s="17">
        <f>32</f>
        <v/>
      </c>
      <c r="Q553" s="17">
        <f>J553+L553+N553+O553-P553-M553</f>
        <v/>
      </c>
    </row>
    <row r="554">
      <c r="A554" s="16" t="inlineStr">
        <is>
          <t>5.1-5.7</t>
        </is>
      </c>
      <c r="B554" s="16" t="inlineStr">
        <is>
          <t>PO-128-03148434565751232</t>
        </is>
      </c>
      <c r="C554" s="16" t="inlineStr">
        <is>
          <t>Delivered</t>
        </is>
      </c>
      <c r="D554" s="16" t="inlineStr">
        <is>
          <t>128-03148453571191232</t>
        </is>
      </c>
      <c r="E554" s="16" t="inlineStr">
        <is>
          <t>Delivered</t>
        </is>
      </c>
      <c r="F554" s="16" t="inlineStr">
        <is>
          <t>FA028</t>
        </is>
      </c>
      <c r="G554" s="16" t="inlineStr">
        <is>
          <t>Extractor de agua para garrafas de agua, compatible con carga USB, extractor de agua automático, práctico, con dos modos de toma de agua: manual y programado, ideal para dormitorios, salones, oficinas, uso al aire libre y otros escenarios.</t>
        </is>
      </c>
      <c r="H554" s="16" t="inlineStr">
        <is>
          <t>FA028</t>
        </is>
      </c>
      <c r="I554" s="16" t="n">
        <v>1</v>
      </c>
      <c r="J554" s="17" t="n">
        <v>30.99</v>
      </c>
      <c r="K554" s="17" t="n">
        <v>40.59</v>
      </c>
      <c r="L554" s="17" t="n">
        <v>25.86</v>
      </c>
      <c r="M554" s="17" t="n">
        <v>0</v>
      </c>
      <c r="N554" s="17">
        <f>K554*0.08+L554*0.08</f>
        <v/>
      </c>
      <c r="O554" s="17">
        <f>-(K554*0.025+L554*0.025)</f>
        <v/>
      </c>
      <c r="P554" s="17">
        <f>32</f>
        <v/>
      </c>
      <c r="Q554" s="17">
        <f>J554+L554+N554+O554-P554-M554</f>
        <v/>
      </c>
    </row>
    <row r="555">
      <c r="A555" s="16" t="inlineStr">
        <is>
          <t>5.1-5.7</t>
        </is>
      </c>
      <c r="B555" s="16" t="inlineStr">
        <is>
          <t>PO-128-03415883745910534</t>
        </is>
      </c>
      <c r="C555" s="16" t="inlineStr">
        <is>
          <t>Delivered</t>
        </is>
      </c>
      <c r="D555" s="16" t="inlineStr">
        <is>
          <t>128-03415925688950534</t>
        </is>
      </c>
      <c r="E555" s="16" t="inlineStr">
        <is>
          <t>Delivered</t>
        </is>
      </c>
      <c r="F555" s="16" t="inlineStr">
        <is>
          <t>MB-185A</t>
        </is>
      </c>
      <c r="G555" s="16" t="inlineStr">
        <is>
          <t>Bocina Radio FM/Reproductor, Compatible con Tarjeta TF, USB, Bluetooth, Aplicable para celular, computadora, Ipad y consola.</t>
        </is>
      </c>
      <c r="H555" s="16" t="inlineStr">
        <is>
          <t>AZUL/MB-185</t>
        </is>
      </c>
      <c r="I555" s="16" t="n">
        <v>1</v>
      </c>
      <c r="J555" s="17" t="n">
        <v>71.31</v>
      </c>
      <c r="K555" s="17" t="n">
        <v>84.26000000000001</v>
      </c>
      <c r="L555" s="17" t="n">
        <v>25.86</v>
      </c>
      <c r="M555" s="17" t="n">
        <v>0</v>
      </c>
      <c r="N555" s="17">
        <f>K555*0.08+L555*0.08</f>
        <v/>
      </c>
      <c r="O555" s="17">
        <f>-(K555*0.025+L555*0.025)</f>
        <v/>
      </c>
      <c r="P555" s="17">
        <f>32</f>
        <v/>
      </c>
      <c r="Q555" s="17">
        <f>J555+L555+N555+O555-P555-M555</f>
        <v/>
      </c>
    </row>
    <row r="556">
      <c r="A556" s="16" t="inlineStr">
        <is>
          <t>5.1-5.7</t>
        </is>
      </c>
      <c r="B556" s="16" t="inlineStr">
        <is>
          <t>PO-128-02837580288633983</t>
        </is>
      </c>
      <c r="C556" s="16" t="inlineStr">
        <is>
          <t>Delivered</t>
        </is>
      </c>
      <c r="D556" s="16" t="inlineStr">
        <is>
          <t>128-02837564559993983</t>
        </is>
      </c>
      <c r="E556" s="16" t="inlineStr">
        <is>
          <t>Delivered</t>
        </is>
      </c>
      <c r="F556" s="16" t="inlineStr">
        <is>
          <t>LB02235-negro</t>
        </is>
      </c>
      <c r="G556" s="16" t="inlineStr">
        <is>
          <t>Audífonos Inalámbricos para la Cabeza, Recargables y Multifuncionales - Conectan a Varios Dispositivos, soportan Radio FM, Tarjeta TF y AUX - 4 Horas de Reproducción Musical - Ideal para Trabajo Cotidiano, Juegos y Estudio</t>
        </is>
      </c>
      <c r="H556" s="16" t="inlineStr">
        <is>
          <t>NEGRO</t>
        </is>
      </c>
      <c r="I556" s="16" t="n">
        <v>1</v>
      </c>
      <c r="J556" s="17" t="n">
        <v>35</v>
      </c>
      <c r="K556" s="17" t="n">
        <v>48.12</v>
      </c>
      <c r="L556" s="17" t="n">
        <v>25.86</v>
      </c>
      <c r="M556" s="17" t="n">
        <v>0</v>
      </c>
      <c r="N556" s="17">
        <f>K556*0.08+L556*0.08</f>
        <v/>
      </c>
      <c r="O556" s="17">
        <f>-(K556*0.025+L556*0.025)</f>
        <v/>
      </c>
      <c r="P556" s="17">
        <f>32</f>
        <v/>
      </c>
      <c r="Q556" s="17">
        <f>J556+L556+N556+O556-P556-M556</f>
        <v/>
      </c>
    </row>
    <row r="557">
      <c r="A557" s="16" t="inlineStr">
        <is>
          <t>5.1-5.7</t>
        </is>
      </c>
      <c r="B557" s="16" t="inlineStr">
        <is>
          <t>PO-128-03202809047671804</t>
        </is>
      </c>
      <c r="C557" s="16" t="inlineStr">
        <is>
          <t>Delivered</t>
        </is>
      </c>
      <c r="D557" s="16" t="inlineStr">
        <is>
          <t>128-03202913905271804</t>
        </is>
      </c>
      <c r="E557" s="16" t="inlineStr">
        <is>
          <t>Delivered</t>
        </is>
      </c>
      <c r="F557" s="16" t="inlineStr">
        <is>
          <t>MCM-001G</t>
        </is>
      </c>
      <c r="G557" s="16" t="inlineStr">
        <is>
          <t>Musicord Altavoz Inalámbrico BT Portátil: ¡Sonido impactante, luces LED multicolores y 4 horas de autonomía! Compatible con TWS, FM, TF y USB – Imprescindible para fiestas y viajes</t>
        </is>
      </c>
      <c r="H557" s="16" t="inlineStr">
        <is>
          <t>GRIS</t>
        </is>
      </c>
      <c r="I557" s="16" t="n">
        <v>1</v>
      </c>
      <c r="J557" s="17" t="n">
        <v>51.06</v>
      </c>
      <c r="K557" s="17" t="n">
        <v>19.24</v>
      </c>
      <c r="L557" s="17" t="n">
        <v>25.86</v>
      </c>
      <c r="M557" s="17" t="n">
        <v>0</v>
      </c>
      <c r="N557" s="17">
        <f>K557*0.08+L557*0.08</f>
        <v/>
      </c>
      <c r="O557" s="17">
        <f>-(K557*0.025+L557*0.025)</f>
        <v/>
      </c>
      <c r="P557" s="17">
        <f>32</f>
        <v/>
      </c>
      <c r="Q557" s="17">
        <f>J557+L557+N557+O557-P557-M557</f>
        <v/>
      </c>
    </row>
    <row r="558">
      <c r="A558" s="16" t="inlineStr">
        <is>
          <t>5.1-5.7</t>
        </is>
      </c>
      <c r="B558" s="16" t="inlineStr">
        <is>
          <t>PO-128-03179696282231942</t>
        </is>
      </c>
      <c r="C558" s="16" t="inlineStr">
        <is>
          <t>Delivered</t>
        </is>
      </c>
      <c r="D558" s="16" t="inlineStr">
        <is>
          <t>128-03179675310711942</t>
        </is>
      </c>
      <c r="E558" s="16" t="inlineStr">
        <is>
          <t>Delivered</t>
        </is>
      </c>
      <c r="F558" s="16" t="inlineStr">
        <is>
          <t>LB02235-negro</t>
        </is>
      </c>
      <c r="G558" s="16" t="inlineStr">
        <is>
          <t>Audífonos Inalámbricos para la Cabeza, Recargables y Multifuncionales - Conectan a Varios Dispositivos, soportan Radio FM, Tarjeta TF y AUX - 4 Horas de Reproducción Musical - Ideal para Trabajo Cotidiano, Juegos y Estudio</t>
        </is>
      </c>
      <c r="H558" s="16" t="inlineStr">
        <is>
          <t>NEGRO</t>
        </is>
      </c>
      <c r="I558" s="16" t="n">
        <v>1</v>
      </c>
      <c r="J558" s="17" t="n">
        <v>35</v>
      </c>
      <c r="K558" s="17" t="n">
        <v>48.12</v>
      </c>
      <c r="L558" s="17" t="n">
        <v>25.86</v>
      </c>
      <c r="M558" s="17" t="n">
        <v>0</v>
      </c>
      <c r="N558" s="17">
        <f>K558*0.08+L558*0.08</f>
        <v/>
      </c>
      <c r="O558" s="17">
        <f>-(K558*0.025+L558*0.025)</f>
        <v/>
      </c>
      <c r="P558" s="17">
        <f>32</f>
        <v/>
      </c>
      <c r="Q558" s="17">
        <f>J558+L558+N558+O558-P558-M558</f>
        <v/>
      </c>
    </row>
    <row r="559">
      <c r="A559" s="16" t="inlineStr">
        <is>
          <t>5.1-5.7</t>
        </is>
      </c>
      <c r="B559" s="16" t="inlineStr">
        <is>
          <t>PO-128-03103057449591441</t>
        </is>
      </c>
      <c r="C559" s="16" t="inlineStr">
        <is>
          <t>Delivered</t>
        </is>
      </c>
      <c r="D559" s="16" t="inlineStr">
        <is>
          <t>128-03103078421111441</t>
        </is>
      </c>
      <c r="E559" s="16" t="inlineStr">
        <is>
          <t>Delivered</t>
        </is>
      </c>
      <c r="F559" s="16" t="inlineStr">
        <is>
          <t>MB-185N</t>
        </is>
      </c>
      <c r="G559" s="16" t="inlineStr">
        <is>
          <t>Bocina Radio FM/Reproductor, Compatible con Tarjeta TF, USB, Bluetooth, Aplicable para celular, computadora, Ipad y consola.</t>
        </is>
      </c>
      <c r="H559" s="16" t="inlineStr">
        <is>
          <t>NEGRO/MB-185</t>
        </is>
      </c>
      <c r="I559" s="16" t="n">
        <v>1</v>
      </c>
      <c r="J559" s="17" t="n">
        <v>71.31</v>
      </c>
      <c r="K559" s="17" t="n">
        <v>84.26000000000001</v>
      </c>
      <c r="L559" s="17" t="n">
        <v>25.86</v>
      </c>
      <c r="M559" s="17" t="n">
        <v>0</v>
      </c>
      <c r="N559" s="17">
        <f>K559*0.08+L559*0.08</f>
        <v/>
      </c>
      <c r="O559" s="17">
        <f>-(K559*0.025+L559*0.025)</f>
        <v/>
      </c>
      <c r="P559" s="17">
        <f>32</f>
        <v/>
      </c>
      <c r="Q559" s="17">
        <f>J559+L559+N559+O559-P559-M559</f>
        <v/>
      </c>
    </row>
    <row r="560">
      <c r="A560" s="16" t="inlineStr">
        <is>
          <t>5.1-5.7</t>
        </is>
      </c>
      <c r="B560" s="16" t="inlineStr">
        <is>
          <t>PO-128-02959710659192423</t>
        </is>
      </c>
      <c r="C560" s="16" t="inlineStr">
        <is>
          <t>Delivered</t>
        </is>
      </c>
      <c r="D560" s="16" t="inlineStr">
        <is>
          <t>128-02959836365432423</t>
        </is>
      </c>
      <c r="E560" s="16" t="inlineStr">
        <is>
          <t>Delivered</t>
        </is>
      </c>
      <c r="F560" s="16" t="inlineStr">
        <is>
          <t>LB02235-rojo</t>
        </is>
      </c>
      <c r="G560" s="16" t="inlineStr">
        <is>
          <t>Audífonos Inalámbricos para la Cabeza, Recargables y Multifuncionales - Conectan a Varios Dispositivos, soportan Radio FM, Tarjeta TF y AUX - 4 Horas de Reproducción Musical - Ideal para Trabajo Cotidiano, Juegos y Estudio</t>
        </is>
      </c>
      <c r="H560" s="16" t="inlineStr">
        <is>
          <t>ROJO</t>
        </is>
      </c>
      <c r="I560" s="16" t="n">
        <v>1</v>
      </c>
      <c r="J560" s="17" t="n">
        <v>41</v>
      </c>
      <c r="K560" s="17" t="n">
        <v>54.12</v>
      </c>
      <c r="L560" s="17" t="n">
        <v>13.7</v>
      </c>
      <c r="M560" s="17" t="n">
        <v>0</v>
      </c>
      <c r="N560" s="17">
        <f>K560*0.08+L560*0.08</f>
        <v/>
      </c>
      <c r="O560" s="17">
        <f>-(K560*0.025+L560*0.025)</f>
        <v/>
      </c>
      <c r="P560" s="17">
        <f>32</f>
        <v/>
      </c>
      <c r="Q560" s="17">
        <f>J560+L560+N560+O560-P560-M560</f>
        <v/>
      </c>
    </row>
    <row r="561">
      <c r="A561" s="16" t="inlineStr">
        <is>
          <t>5.1-5.7</t>
        </is>
      </c>
      <c r="B561" s="16" t="inlineStr">
        <is>
          <t>PO-128-02959710659192423</t>
        </is>
      </c>
      <c r="C561" s="16" t="inlineStr">
        <is>
          <t>Delivered</t>
        </is>
      </c>
      <c r="D561" s="16" t="inlineStr">
        <is>
          <t>128-02959752602232423</t>
        </is>
      </c>
      <c r="E561" s="16" t="inlineStr">
        <is>
          <t>Delivered</t>
        </is>
      </c>
      <c r="F561" s="16" t="inlineStr">
        <is>
          <t>LB02235-azul</t>
        </is>
      </c>
      <c r="G561" s="16" t="inlineStr">
        <is>
          <t>Audífonos Inalámbricos para la Cabeza, Recargables y Multifuncionales - Conectan a Varios Dispositivos, soportan Radio FM, Tarjeta TF y AUX - 4 Horas de Reproducción Musical - Ideal para Trabajo Cotidiano, Juegos y Estudio</t>
        </is>
      </c>
      <c r="H561" s="16" t="inlineStr">
        <is>
          <t>AZUL</t>
        </is>
      </c>
      <c r="I561" s="16" t="n">
        <v>1</v>
      </c>
      <c r="J561" s="17" t="n">
        <v>35</v>
      </c>
      <c r="K561" s="17" t="n">
        <v>48.12</v>
      </c>
      <c r="L561" s="17" t="n">
        <v>12.16</v>
      </c>
      <c r="M561" s="17" t="n">
        <v>0</v>
      </c>
      <c r="N561" s="17">
        <f>K561*0.08+L561*0.08</f>
        <v/>
      </c>
      <c r="O561" s="17">
        <f>-(K561*0.025+L561*0.025)</f>
        <v/>
      </c>
      <c r="P561" s="17">
        <f>32</f>
        <v/>
      </c>
      <c r="Q561" s="17">
        <f>J561+L561+N561+O561-P561-M561</f>
        <v/>
      </c>
    </row>
    <row r="562">
      <c r="A562" s="16" t="inlineStr">
        <is>
          <t>5.1-5.7</t>
        </is>
      </c>
      <c r="B562" s="16" t="inlineStr">
        <is>
          <t>PO-128-03017116431992977</t>
        </is>
      </c>
      <c r="C562" s="16" t="inlineStr">
        <is>
          <t>Delivered</t>
        </is>
      </c>
      <c r="D562" s="16" t="inlineStr">
        <is>
          <t>128-03017158375032977</t>
        </is>
      </c>
      <c r="E562" s="16" t="inlineStr">
        <is>
          <t>Delivered</t>
        </is>
      </c>
      <c r="F562" s="16" t="inlineStr">
        <is>
          <t>AIR50W06-2P</t>
        </is>
      </c>
      <c r="G562" s="16" t="inlineStr">
        <is>
          <t>Link Bits Ventilador de piso de 16 pulgadas, 2 unidades, 3 velocidades, motor silencioso, flujo de aire fuerte, altura ajustable, oscilación amplia, ventilador eléctrico para el hogar, ideal para sala, recámara y oficina</t>
        </is>
      </c>
      <c r="H562" s="16" t="inlineStr">
        <is>
          <t>2PZ</t>
        </is>
      </c>
      <c r="I562" s="16" t="n">
        <v>1</v>
      </c>
      <c r="J562" s="17" t="n">
        <v>435</v>
      </c>
      <c r="K562" s="17" t="n">
        <v>568.13</v>
      </c>
      <c r="L562" s="17" t="n">
        <v>0</v>
      </c>
      <c r="M562" s="17" t="n">
        <v>0</v>
      </c>
      <c r="N562" s="17">
        <f>K562*0.08+L562*0.08</f>
        <v/>
      </c>
      <c r="O562" s="17">
        <f>-(K562*0.025+L562*0.025)</f>
        <v/>
      </c>
      <c r="P562" s="17">
        <f>32</f>
        <v/>
      </c>
      <c r="Q562" s="17">
        <f>J562+L562+N562+O562-P562-M562</f>
        <v/>
      </c>
    </row>
    <row r="563">
      <c r="A563" s="16" t="inlineStr">
        <is>
          <t>5.1-5.7</t>
        </is>
      </c>
      <c r="B563" s="16" t="inlineStr">
        <is>
          <t>PO-128-03149407048311229</t>
        </is>
      </c>
      <c r="C563" s="16" t="inlineStr">
        <is>
          <t>Delivered</t>
        </is>
      </c>
      <c r="D563" s="16" t="inlineStr">
        <is>
          <t>128-03149386076791229</t>
        </is>
      </c>
      <c r="E563" s="16" t="inlineStr">
        <is>
          <t>Delivered</t>
        </is>
      </c>
      <c r="F563" s="16" t="inlineStr">
        <is>
          <t>LB02235-azul</t>
        </is>
      </c>
      <c r="G563" s="16" t="inlineStr">
        <is>
          <t>Audífonos Inalámbricos para la Cabeza, Recargables y Multifuncionales - Conectan a Varios Dispositivos, soportan Radio FM, Tarjeta TF y AUX - 4 Horas de Reproducción Musical - Ideal para Trabajo Cotidiano, Juegos y Estudio</t>
        </is>
      </c>
      <c r="H563" s="16" t="inlineStr">
        <is>
          <t>AZUL</t>
        </is>
      </c>
      <c r="I563" s="16" t="n">
        <v>4</v>
      </c>
      <c r="J563" s="17" t="n">
        <v>140</v>
      </c>
      <c r="K563" s="17" t="n">
        <v>161.55</v>
      </c>
      <c r="L563" s="17" t="n">
        <v>25.88</v>
      </c>
      <c r="M563" s="17" t="n">
        <v>0</v>
      </c>
      <c r="N563" s="17">
        <f>K563*0.08+L563*0.08</f>
        <v/>
      </c>
      <c r="O563" s="17">
        <f>-(K563*0.025+L563*0.025)</f>
        <v/>
      </c>
      <c r="P563" s="17">
        <f>32</f>
        <v/>
      </c>
      <c r="Q563" s="17">
        <f>J563+L563+N563+O563-P563-M563</f>
        <v/>
      </c>
    </row>
    <row r="564">
      <c r="A564" s="16" t="inlineStr">
        <is>
          <t>5.1-5.7</t>
        </is>
      </c>
      <c r="B564" s="16" t="inlineStr">
        <is>
          <t>PO-128-03056504791672740</t>
        </is>
      </c>
      <c r="C564" s="16" t="inlineStr">
        <is>
          <t>Delivered</t>
        </is>
      </c>
      <c r="D564" s="16" t="inlineStr">
        <is>
          <t>128-03056525763192740</t>
        </is>
      </c>
      <c r="E564" s="16" t="inlineStr">
        <is>
          <t>Delivered</t>
        </is>
      </c>
      <c r="F564" s="16" t="inlineStr">
        <is>
          <t>FA028</t>
        </is>
      </c>
      <c r="G564" s="16" t="inlineStr">
        <is>
          <t>Extractor de agua para garrafas de agua, compatible con carga USB, extractor de agua automático, práctico, con dos modos de toma de agua: manual y programado, ideal para dormitorios, salones, oficinas, uso al aire libre y otros escenarios.</t>
        </is>
      </c>
      <c r="H564" s="16" t="inlineStr">
        <is>
          <t>FA028</t>
        </is>
      </c>
      <c r="I564" s="16" t="n">
        <v>1</v>
      </c>
      <c r="J564" s="17" t="n">
        <v>30.99</v>
      </c>
      <c r="K564" s="17" t="n">
        <v>29.02</v>
      </c>
      <c r="L564" s="17" t="n">
        <v>25.86</v>
      </c>
      <c r="M564" s="17" t="n">
        <v>0</v>
      </c>
      <c r="N564" s="17">
        <f>K564*0.08+L564*0.08</f>
        <v/>
      </c>
      <c r="O564" s="17">
        <f>-(K564*0.025+L564*0.025)</f>
        <v/>
      </c>
      <c r="P564" s="17">
        <f>32</f>
        <v/>
      </c>
      <c r="Q564" s="17">
        <f>J564+L564+N564+O564-P564-M564</f>
        <v/>
      </c>
    </row>
    <row r="565">
      <c r="A565" s="16" t="inlineStr">
        <is>
          <t>5.1-5.7</t>
        </is>
      </c>
      <c r="B565" s="16" t="inlineStr">
        <is>
          <t>PO-128-02959260979832424</t>
        </is>
      </c>
      <c r="C565" s="16" t="inlineStr">
        <is>
          <t>Delivered</t>
        </is>
      </c>
      <c r="D565" s="16" t="inlineStr">
        <is>
          <t>128-02959313408632424</t>
        </is>
      </c>
      <c r="E565" s="16" t="inlineStr">
        <is>
          <t>Delivered</t>
        </is>
      </c>
      <c r="F565" s="16" t="inlineStr">
        <is>
          <t>LB02235-negro</t>
        </is>
      </c>
      <c r="G565" s="16" t="inlineStr">
        <is>
          <t>Audífonos Inalámbricos para la Cabeza, Recargables y Multifuncionales - Conectan a Varios Dispositivos, soportan Radio FM, Tarjeta TF y AUX - 4 Horas de Reproducción Musical - Ideal para Trabajo Cotidiano, Juegos y Estudio</t>
        </is>
      </c>
      <c r="H565" s="16" t="inlineStr">
        <is>
          <t>NEGRO</t>
        </is>
      </c>
      <c r="I565" s="16" t="n">
        <v>1</v>
      </c>
      <c r="J565" s="17" t="n">
        <v>35</v>
      </c>
      <c r="K565" s="17" t="n">
        <v>48.12</v>
      </c>
      <c r="L565" s="17" t="n">
        <v>25.86</v>
      </c>
      <c r="M565" s="17" t="n">
        <v>0</v>
      </c>
      <c r="N565" s="17">
        <f>K565*0.08+L565*0.08</f>
        <v/>
      </c>
      <c r="O565" s="17">
        <f>-(K565*0.025+L565*0.025)</f>
        <v/>
      </c>
      <c r="P565" s="17">
        <f>32</f>
        <v/>
      </c>
      <c r="Q565" s="17">
        <f>J565+L565+N565+O565-P565-M565</f>
        <v/>
      </c>
    </row>
    <row r="566">
      <c r="A566" s="16" t="inlineStr">
        <is>
          <t>5.1-5.7</t>
        </is>
      </c>
      <c r="B566" s="16" t="inlineStr">
        <is>
          <t>PO-128-03333546604150003</t>
        </is>
      </c>
      <c r="C566" s="16" t="inlineStr">
        <is>
          <t>Delivered</t>
        </is>
      </c>
      <c r="D566" s="16" t="inlineStr">
        <is>
          <t>128-03333504661110003</t>
        </is>
      </c>
      <c r="E566" s="16" t="inlineStr">
        <is>
          <t>Delivered</t>
        </is>
      </c>
      <c r="F566" s="16" t="inlineStr">
        <is>
          <t>AIR50W06-2P</t>
        </is>
      </c>
      <c r="G566" s="16" t="inlineStr">
        <is>
          <t>Link Bits Ventilador de piso de 16 pulgadas, 2 unidades, 3 velocidades, motor silencioso, flujo de aire fuerte, altura ajustable, oscilación amplia, ventilador eléctrico para el hogar, ideal para sala, recámara y oficina</t>
        </is>
      </c>
      <c r="H566" s="16" t="inlineStr">
        <is>
          <t>2PZ</t>
        </is>
      </c>
      <c r="I566" s="16" t="n">
        <v>1</v>
      </c>
      <c r="J566" s="17" t="n">
        <v>435</v>
      </c>
      <c r="K566" s="17" t="n">
        <v>568.13</v>
      </c>
      <c r="L566" s="17" t="n">
        <v>0</v>
      </c>
      <c r="M566" s="17" t="n">
        <v>0</v>
      </c>
      <c r="N566" s="17">
        <f>K566*0.08+L566*0.08</f>
        <v/>
      </c>
      <c r="O566" s="17">
        <f>-(K566*0.025+L566*0.025)</f>
        <v/>
      </c>
      <c r="P566" s="17">
        <f>32</f>
        <v/>
      </c>
      <c r="Q566" s="17">
        <f>J566+L566+N566+O566-P566-M566</f>
        <v/>
      </c>
    </row>
    <row r="567">
      <c r="A567" s="16" t="inlineStr">
        <is>
          <t>5.1-5.7</t>
        </is>
      </c>
      <c r="B567" s="16" t="inlineStr">
        <is>
          <t>PO-128-03404516434550730</t>
        </is>
      </c>
      <c r="C567" s="16" t="inlineStr">
        <is>
          <t>Delivered</t>
        </is>
      </c>
      <c r="D567" s="16" t="inlineStr">
        <is>
          <t>128-03404558377590730</t>
        </is>
      </c>
      <c r="E567" s="16" t="inlineStr">
        <is>
          <t>Delivered</t>
        </is>
      </c>
      <c r="F567" s="16" t="inlineStr">
        <is>
          <t>LB02235-negro</t>
        </is>
      </c>
      <c r="G567" s="16" t="inlineStr">
        <is>
          <t>Audífonos Inalámbricos para la Cabeza, Recargables y Multifuncionales - Conectan a Varios Dispositivos, soportan Radio FM, Tarjeta TF y AUX - 4 Horas de Reproducción Musical - Ideal para Trabajo Cotidiano, Juegos y Estudio</t>
        </is>
      </c>
      <c r="H567" s="16" t="inlineStr">
        <is>
          <t>NEGRO</t>
        </is>
      </c>
      <c r="I567" s="16" t="n">
        <v>1</v>
      </c>
      <c r="J567" s="17" t="n">
        <v>35</v>
      </c>
      <c r="K567" s="17" t="n">
        <v>5.02</v>
      </c>
      <c r="L567" s="17" t="n">
        <v>25.86</v>
      </c>
      <c r="M567" s="17" t="n">
        <v>0</v>
      </c>
      <c r="N567" s="17">
        <f>K567*0.08+L567*0.08</f>
        <v/>
      </c>
      <c r="O567" s="17">
        <f>-(K567*0.025+L567*0.025)</f>
        <v/>
      </c>
      <c r="P567" s="17">
        <f>32</f>
        <v/>
      </c>
      <c r="Q567" s="17">
        <f>J567+L567+N567+O567-P567-M567</f>
        <v/>
      </c>
    </row>
    <row r="568">
      <c r="A568" s="16" t="inlineStr">
        <is>
          <t>5.1-5.7</t>
        </is>
      </c>
      <c r="B568" s="16" t="inlineStr">
        <is>
          <t>PO-128-03133376297591386</t>
        </is>
      </c>
      <c r="C568" s="16" t="inlineStr">
        <is>
          <t>Delivered</t>
        </is>
      </c>
      <c r="D568" s="16" t="inlineStr">
        <is>
          <t>128-03133334354551386</t>
        </is>
      </c>
      <c r="E568" s="16" t="inlineStr">
        <is>
          <t>Delivered</t>
        </is>
      </c>
      <c r="F568" s="16" t="inlineStr">
        <is>
          <t>LB02235-negro</t>
        </is>
      </c>
      <c r="G568" s="16" t="inlineStr">
        <is>
          <t>Audífonos Inalámbricos para la Cabeza, Recargables y Multifuncionales - Conectan a Varios Dispositivos, soportan Radio FM, Tarjeta TF y AUX - 4 Horas de Reproducción Musical - Ideal para Trabajo Cotidiano, Juegos y Estudio</t>
        </is>
      </c>
      <c r="H568" s="16" t="inlineStr">
        <is>
          <t>NEGRO</t>
        </is>
      </c>
      <c r="I568" s="16" t="n">
        <v>1</v>
      </c>
      <c r="J568" s="17" t="n">
        <v>35</v>
      </c>
      <c r="K568" s="17" t="n">
        <v>48.12</v>
      </c>
      <c r="L568" s="17" t="n">
        <v>25.86</v>
      </c>
      <c r="M568" s="17" t="n">
        <v>0</v>
      </c>
      <c r="N568" s="17">
        <f>K568*0.08+L568*0.08</f>
        <v/>
      </c>
      <c r="O568" s="17">
        <f>-(K568*0.025+L568*0.025)</f>
        <v/>
      </c>
      <c r="P568" s="17">
        <f>32</f>
        <v/>
      </c>
      <c r="Q568" s="17">
        <f>J568+L568+N568+O568-P568-M568</f>
        <v/>
      </c>
    </row>
    <row r="569">
      <c r="A569" s="16" t="inlineStr">
        <is>
          <t>5.1-5.7</t>
        </is>
      </c>
      <c r="B569" s="16" t="inlineStr">
        <is>
          <t>PO-128-02917694259833696</t>
        </is>
      </c>
      <c r="C569" s="16" t="inlineStr">
        <is>
          <t>Delivered</t>
        </is>
      </c>
      <c r="D569" s="16" t="inlineStr">
        <is>
          <t>128-02917652316793696</t>
        </is>
      </c>
      <c r="E569" s="16" t="inlineStr">
        <is>
          <t>Delivered</t>
        </is>
      </c>
      <c r="F569" s="16" t="inlineStr">
        <is>
          <t>MB-178-N</t>
        </is>
      </c>
      <c r="G569" s="16" t="inlineStr">
        <is>
          <t>Bocina de Barra Bluetooth LINK BITS con dos altavoces, sonido de alta calidad y multifuncional (Bluetooth, Radio FM, USB, TF, AUX, TWS), ideal para juegos, reuniones, oficina y cine en casa.</t>
        </is>
      </c>
      <c r="H569" s="16" t="inlineStr">
        <is>
          <t>NEGRO</t>
        </is>
      </c>
      <c r="I569" s="16" t="n">
        <v>1</v>
      </c>
      <c r="J569" s="17" t="n">
        <v>130</v>
      </c>
      <c r="K569" s="17" t="n">
        <v>149.34</v>
      </c>
      <c r="L569" s="17" t="n">
        <v>25.86</v>
      </c>
      <c r="M569" s="17" t="n">
        <v>0</v>
      </c>
      <c r="N569" s="17">
        <f>K569*0.08+L569*0.08</f>
        <v/>
      </c>
      <c r="O569" s="17">
        <f>-(K569*0.025+L569*0.025)</f>
        <v/>
      </c>
      <c r="P569" s="17">
        <f>32</f>
        <v/>
      </c>
      <c r="Q569" s="17">
        <f>J569+L569+N569+O569-P569-M569</f>
        <v/>
      </c>
    </row>
    <row r="570">
      <c r="A570" s="16" t="inlineStr">
        <is>
          <t>5.1-5.7</t>
        </is>
      </c>
      <c r="B570" s="16" t="inlineStr">
        <is>
          <t>PO-128-03124743496311374</t>
        </is>
      </c>
      <c r="C570" s="16" t="inlineStr">
        <is>
          <t>Delivered</t>
        </is>
      </c>
      <c r="D570" s="16" t="inlineStr">
        <is>
          <t>128-03124719903351374</t>
        </is>
      </c>
      <c r="E570" s="16" t="inlineStr">
        <is>
          <t>Delivered</t>
        </is>
      </c>
      <c r="F570" s="16" t="inlineStr">
        <is>
          <t>MB-185A</t>
        </is>
      </c>
      <c r="G570" s="16" t="inlineStr">
        <is>
          <t>Bocina Radio FM/Reproductor, Compatible con Tarjeta TF, USB, Bluetooth, Aplicable para celular, computadora, Ipad y consola.</t>
        </is>
      </c>
      <c r="H570" s="16" t="inlineStr">
        <is>
          <t>AZUL/MB-185</t>
        </is>
      </c>
      <c r="I570" s="16" t="n">
        <v>1</v>
      </c>
      <c r="J570" s="17" t="n">
        <v>71.31</v>
      </c>
      <c r="K570" s="17" t="n">
        <v>84.26000000000001</v>
      </c>
      <c r="L570" s="17" t="n">
        <v>0</v>
      </c>
      <c r="M570" s="17" t="n">
        <v>0</v>
      </c>
      <c r="N570" s="17">
        <f>K570*0.08+L570*0.08</f>
        <v/>
      </c>
      <c r="O570" s="17">
        <f>-(K570*0.025+L570*0.025)</f>
        <v/>
      </c>
      <c r="P570" s="17">
        <f>32</f>
        <v/>
      </c>
      <c r="Q570" s="17">
        <f>J570+L570+N570+O570-P570-M570</f>
        <v/>
      </c>
    </row>
    <row r="571">
      <c r="A571" s="16" t="inlineStr">
        <is>
          <t>5.1-5.7</t>
        </is>
      </c>
      <c r="B571" s="16" t="inlineStr">
        <is>
          <t>PO-128-03124743496311374</t>
        </is>
      </c>
      <c r="C571" s="16" t="inlineStr">
        <is>
          <t>Delivered</t>
        </is>
      </c>
      <c r="D571" s="16" t="inlineStr">
        <is>
          <t>128-03124722524791374</t>
        </is>
      </c>
      <c r="E571" s="16" t="inlineStr">
        <is>
          <t>Delivered</t>
        </is>
      </c>
      <c r="F571" s="16" t="inlineStr">
        <is>
          <t>MB-185R</t>
        </is>
      </c>
      <c r="G571" s="16" t="inlineStr">
        <is>
          <t>Bocina Radio FM/Reproductor, Compatible con Tarjeta TF, USB, Bluetooth, Aplicable para celular, computadora, Ipad y consola.</t>
        </is>
      </c>
      <c r="H571" s="16" t="inlineStr">
        <is>
          <t>ROJO/MB-185</t>
        </is>
      </c>
      <c r="I571" s="16" t="n">
        <v>1</v>
      </c>
      <c r="J571" s="17" t="n">
        <v>71.31</v>
      </c>
      <c r="K571" s="17" t="n">
        <v>84.26000000000001</v>
      </c>
      <c r="L571" s="17" t="n">
        <v>0</v>
      </c>
      <c r="M571" s="17" t="n">
        <v>0</v>
      </c>
      <c r="N571" s="17">
        <f>K571*0.08+L571*0.08</f>
        <v/>
      </c>
      <c r="O571" s="17">
        <f>-(K571*0.025+L571*0.025)</f>
        <v/>
      </c>
      <c r="P571" s="17">
        <f>32</f>
        <v/>
      </c>
      <c r="Q571" s="17">
        <f>J571+L571+N571+O571-P571-M571</f>
        <v/>
      </c>
    </row>
    <row r="572">
      <c r="A572" s="16" t="inlineStr">
        <is>
          <t>5.1-5.7</t>
        </is>
      </c>
      <c r="B572" s="16" t="inlineStr">
        <is>
          <t>PO-128-03124743496311374</t>
        </is>
      </c>
      <c r="C572" s="16" t="inlineStr">
        <is>
          <t>Delivered</t>
        </is>
      </c>
      <c r="D572" s="16" t="inlineStr">
        <is>
          <t>128-03124738253431374</t>
        </is>
      </c>
      <c r="E572" s="16" t="inlineStr">
        <is>
          <t>Delivered</t>
        </is>
      </c>
      <c r="F572" s="16" t="inlineStr">
        <is>
          <t>KTS-1678V</t>
        </is>
      </c>
      <c r="G572" s="16" t="inlineStr">
        <is>
          <t>Bocina portátil Inalámbrico, de 3 pulgadas, tamaño de bolsillo, 170 g, con asa, compatible con TF, USB y Micro SD, con radio FM y función TWS (True Wireless Stereo), adecuada para relajarse en casa o viajar al aire libre.</t>
        </is>
      </c>
      <c r="H572" s="16" t="inlineStr">
        <is>
          <t>KTS-1678V</t>
        </is>
      </c>
      <c r="I572" s="16" t="n">
        <v>1</v>
      </c>
      <c r="J572" s="17" t="n">
        <v>40</v>
      </c>
      <c r="K572" s="17" t="n">
        <v>46.22</v>
      </c>
      <c r="L572" s="17" t="n">
        <v>0</v>
      </c>
      <c r="M572" s="17" t="n">
        <v>0</v>
      </c>
      <c r="N572" s="17">
        <f>K572*0.08+L572*0.08</f>
        <v/>
      </c>
      <c r="O572" s="17">
        <f>-(K572*0.025+L572*0.025)</f>
        <v/>
      </c>
      <c r="P572" s="17">
        <f>32</f>
        <v/>
      </c>
      <c r="Q572" s="17">
        <f>J572+L572+N572+O572-P572-M572</f>
        <v/>
      </c>
    </row>
    <row r="573">
      <c r="A573" s="16" t="inlineStr">
        <is>
          <t>5.1-5.7</t>
        </is>
      </c>
      <c r="B573" s="16" t="inlineStr">
        <is>
          <t>PO-128-03124743496311374</t>
        </is>
      </c>
      <c r="C573" s="16" t="inlineStr">
        <is>
          <t>Delivered</t>
        </is>
      </c>
      <c r="D573" s="16" t="inlineStr">
        <is>
          <t>128-03124740874871374</t>
        </is>
      </c>
      <c r="E573" s="16" t="inlineStr">
        <is>
          <t>Delivered</t>
        </is>
      </c>
      <c r="F573" s="16" t="inlineStr">
        <is>
          <t>VB347T</t>
        </is>
      </c>
      <c r="G57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73" s="16" t="inlineStr">
        <is>
          <t>1 pieza</t>
        </is>
      </c>
      <c r="I573" s="16" t="n">
        <v>2</v>
      </c>
      <c r="J573" s="17" t="n">
        <v>155.8</v>
      </c>
      <c r="K573" s="17" t="n">
        <v>185.02</v>
      </c>
      <c r="L573" s="17" t="n">
        <v>0</v>
      </c>
      <c r="M573" s="17" t="n">
        <v>0</v>
      </c>
      <c r="N573" s="17">
        <f>K573*0.08+L573*0.08</f>
        <v/>
      </c>
      <c r="O573" s="17">
        <f>-(K573*0.025+L573*0.025)</f>
        <v/>
      </c>
      <c r="P573" s="17">
        <f>32</f>
        <v/>
      </c>
      <c r="Q573" s="17">
        <f>J573+L573+N573+O573-P573-M573</f>
        <v/>
      </c>
    </row>
    <row r="574">
      <c r="A574" s="16" t="inlineStr">
        <is>
          <t>5.1-5.7</t>
        </is>
      </c>
      <c r="B574" s="16" t="inlineStr">
        <is>
          <t>PO-128-03124743496311374</t>
        </is>
      </c>
      <c r="C574" s="16" t="inlineStr">
        <is>
          <t>Delivered</t>
        </is>
      </c>
      <c r="D574" s="16" t="inlineStr">
        <is>
          <t>128-03124730389111374</t>
        </is>
      </c>
      <c r="E574" s="16" t="inlineStr">
        <is>
          <t>Delivered</t>
        </is>
      </c>
      <c r="F574" s="16" t="inlineStr">
        <is>
          <t>KTS-1678R</t>
        </is>
      </c>
      <c r="G574" s="16" t="inlineStr">
        <is>
          <t>Bocina portátil Inalámbrico, de 3 pulgadas, tamaño de bolsillo, 170 g, con asa, compatible con TF, USB y Micro SD, con radio FM y función TWS (True Wireless Stereo), adecuada para relajarse en casa o viajar al aire libre.</t>
        </is>
      </c>
      <c r="H574" s="16" t="inlineStr">
        <is>
          <t>KTS-1678R</t>
        </is>
      </c>
      <c r="I574" s="16" t="n">
        <v>1</v>
      </c>
      <c r="J574" s="17" t="n">
        <v>40</v>
      </c>
      <c r="K574" s="17" t="n">
        <v>48.29</v>
      </c>
      <c r="L574" s="17" t="n">
        <v>0</v>
      </c>
      <c r="M574" s="17" t="n">
        <v>0</v>
      </c>
      <c r="N574" s="17">
        <f>K574*0.08+L574*0.08</f>
        <v/>
      </c>
      <c r="O574" s="17">
        <f>-(K574*0.025+L574*0.025)</f>
        <v/>
      </c>
      <c r="P574" s="17">
        <f>32</f>
        <v/>
      </c>
      <c r="Q574" s="17">
        <f>J574+L574+N574+O574-P574-M574</f>
        <v/>
      </c>
    </row>
    <row r="575">
      <c r="A575" s="16" t="inlineStr">
        <is>
          <t>5.1-5.7</t>
        </is>
      </c>
      <c r="B575" s="16" t="inlineStr">
        <is>
          <t>PO-128-03124743496311374</t>
        </is>
      </c>
      <c r="C575" s="16" t="inlineStr">
        <is>
          <t>Delivered</t>
        </is>
      </c>
      <c r="D575" s="16" t="inlineStr">
        <is>
          <t>128-03124727767671374</t>
        </is>
      </c>
      <c r="E575" s="16" t="inlineStr">
        <is>
          <t>Delivered</t>
        </is>
      </c>
      <c r="F575" s="16" t="inlineStr">
        <is>
          <t>KTS-1678N</t>
        </is>
      </c>
      <c r="G575" s="16" t="inlineStr">
        <is>
          <t>Bocina portátil Inalámbrico, de 3 pulgadas, tamaño de bolsillo, 170 g, con asa, compatible con TF, USB y Micro SD, con radio FM y función TWS (True Wireless Stereo), adecuada para relajarse en casa o viajar al aire libre.</t>
        </is>
      </c>
      <c r="H575" s="16" t="inlineStr">
        <is>
          <t>KTS-1678N</t>
        </is>
      </c>
      <c r="I575" s="16" t="n">
        <v>1</v>
      </c>
      <c r="J575" s="17" t="n">
        <v>40</v>
      </c>
      <c r="K575" s="17" t="n">
        <v>46.22</v>
      </c>
      <c r="L575" s="17" t="n">
        <v>0</v>
      </c>
      <c r="M575" s="17" t="n">
        <v>0</v>
      </c>
      <c r="N575" s="17">
        <f>K575*0.08+L575*0.08</f>
        <v/>
      </c>
      <c r="O575" s="17">
        <f>-(K575*0.025+L575*0.025)</f>
        <v/>
      </c>
      <c r="P575" s="17">
        <f>32</f>
        <v/>
      </c>
      <c r="Q575" s="17">
        <f>J575+L575+N575+O575-P575-M575</f>
        <v/>
      </c>
    </row>
    <row r="576">
      <c r="A576" s="16" t="inlineStr">
        <is>
          <t>5.1-5.7</t>
        </is>
      </c>
      <c r="B576" s="16" t="inlineStr">
        <is>
          <t>PO-128-03124743496311374</t>
        </is>
      </c>
      <c r="C576" s="16" t="inlineStr">
        <is>
          <t>Delivered</t>
        </is>
      </c>
      <c r="D576" s="16" t="inlineStr">
        <is>
          <t>128-03124748739191374</t>
        </is>
      </c>
      <c r="E576" s="16" t="inlineStr">
        <is>
          <t>Delivered</t>
        </is>
      </c>
      <c r="F576" s="16" t="inlineStr">
        <is>
          <t>SA325T</t>
        </is>
      </c>
      <c r="G576" s="16" t="inlineStr">
        <is>
          <t>Subwoofer Portátil Inalámbrico con Luces RGB, Sonido de Alta Potencia y Batería Duradera, TWS TF USB, Perfecto para Campamento Fiestas y Entretenimiento en Casa</t>
        </is>
      </c>
      <c r="H576" s="16" t="inlineStr">
        <is>
          <t>NEGRO</t>
        </is>
      </c>
      <c r="I576" s="16" t="n">
        <v>3</v>
      </c>
      <c r="J576" s="17" t="n">
        <v>108</v>
      </c>
      <c r="K576" s="17" t="n">
        <v>135.18</v>
      </c>
      <c r="L576" s="17" t="n">
        <v>0</v>
      </c>
      <c r="M576" s="17" t="n">
        <v>0</v>
      </c>
      <c r="N576" s="17">
        <f>K576*0.08+L576*0.08</f>
        <v/>
      </c>
      <c r="O576" s="17">
        <f>-(K576*0.025+L576*0.025)</f>
        <v/>
      </c>
      <c r="P576" s="17">
        <f>32</f>
        <v/>
      </c>
      <c r="Q576" s="17">
        <f>J576+L576+N576+O576-P576-M576</f>
        <v/>
      </c>
    </row>
    <row r="577">
      <c r="A577" s="16" t="inlineStr">
        <is>
          <t>5.1-5.7</t>
        </is>
      </c>
      <c r="B577" s="16" t="inlineStr">
        <is>
          <t>PO-128-03124743496311374</t>
        </is>
      </c>
      <c r="C577" s="16" t="inlineStr">
        <is>
          <t>Delivered</t>
        </is>
      </c>
      <c r="D577" s="16" t="inlineStr">
        <is>
          <t>128-03124751360631374</t>
        </is>
      </c>
      <c r="E577" s="16" t="inlineStr">
        <is>
          <t>Delivered</t>
        </is>
      </c>
      <c r="F577" s="16" t="inlineStr">
        <is>
          <t>MB-185N</t>
        </is>
      </c>
      <c r="G577" s="16" t="inlineStr">
        <is>
          <t>Bocina Radio FM/Reproductor, Compatible con Tarjeta TF, USB, Bluetooth, Aplicable para celular, computadora, Ipad y consola.</t>
        </is>
      </c>
      <c r="H577" s="16" t="inlineStr">
        <is>
          <t>NEGRO/MB-185</t>
        </is>
      </c>
      <c r="I577" s="16" t="n">
        <v>1</v>
      </c>
      <c r="J577" s="17" t="n">
        <v>71.31</v>
      </c>
      <c r="K577" s="17" t="n">
        <v>84.26000000000001</v>
      </c>
      <c r="L577" s="17" t="n">
        <v>0</v>
      </c>
      <c r="M577" s="17" t="n">
        <v>0</v>
      </c>
      <c r="N577" s="17">
        <f>K577*0.08+L577*0.08</f>
        <v/>
      </c>
      <c r="O577" s="17">
        <f>-(K577*0.025+L577*0.025)</f>
        <v/>
      </c>
      <c r="P577" s="17">
        <f>32</f>
        <v/>
      </c>
      <c r="Q577" s="17">
        <f>J577+L577+N577+O577-P577-M577</f>
        <v/>
      </c>
    </row>
    <row r="578">
      <c r="A578" s="16" t="inlineStr">
        <is>
          <t>5.1-5.7</t>
        </is>
      </c>
      <c r="B578" s="16" t="inlineStr">
        <is>
          <t>PO-128-03063663401592762</t>
        </is>
      </c>
      <c r="C578" s="16" t="inlineStr">
        <is>
          <t>Delivered</t>
        </is>
      </c>
      <c r="D578" s="16" t="inlineStr">
        <is>
          <t>128-03063621458552762</t>
        </is>
      </c>
      <c r="E578" s="16" t="inlineStr">
        <is>
          <t>Delivered</t>
        </is>
      </c>
      <c r="F578" s="16" t="inlineStr">
        <is>
          <t>LV34W04</t>
        </is>
      </c>
      <c r="G57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78" s="16" t="inlineStr">
        <is>
          <t>LV34W04</t>
        </is>
      </c>
      <c r="I578" s="16" t="n">
        <v>1</v>
      </c>
      <c r="J578" s="17" t="n">
        <v>197.4</v>
      </c>
      <c r="K578" s="17" t="n">
        <v>234.03</v>
      </c>
      <c r="L578" s="17" t="n">
        <v>25.86</v>
      </c>
      <c r="M578" s="17" t="n">
        <v>0</v>
      </c>
      <c r="N578" s="17">
        <f>K578*0.08+L578*0.08</f>
        <v/>
      </c>
      <c r="O578" s="17">
        <f>-(K578*0.025+L578*0.025)</f>
        <v/>
      </c>
      <c r="P578" s="17">
        <f>32</f>
        <v/>
      </c>
      <c r="Q578" s="17">
        <f>J578+L578+N578+O578-P578-M578</f>
        <v/>
      </c>
    </row>
    <row r="579">
      <c r="A579" s="16" t="inlineStr">
        <is>
          <t>5.1-5.7</t>
        </is>
      </c>
      <c r="B579" s="16" t="inlineStr">
        <is>
          <t>PO-128-02898754212473811</t>
        </is>
      </c>
      <c r="C579" s="16" t="inlineStr">
        <is>
          <t>Delivered</t>
        </is>
      </c>
      <c r="D579" s="16" t="inlineStr">
        <is>
          <t>128-02898712269433811</t>
        </is>
      </c>
      <c r="E579" s="16" t="inlineStr">
        <is>
          <t>Delivered</t>
        </is>
      </c>
      <c r="F579" s="16" t="inlineStr">
        <is>
          <t>LB02235-rojo</t>
        </is>
      </c>
      <c r="G579" s="16" t="inlineStr">
        <is>
          <t>Audífonos Inalámbricos para la Cabeza, Recargables y Multifuncionales - Conectan a Varios Dispositivos, soportan Radio FM, Tarjeta TF y AUX - 4 Horas de Reproducción Musical - Ideal para Trabajo Cotidiano, Juegos y Estudio</t>
        </is>
      </c>
      <c r="H579" s="16" t="inlineStr">
        <is>
          <t>ROJO</t>
        </is>
      </c>
      <c r="I579" s="16" t="n">
        <v>1</v>
      </c>
      <c r="J579" s="17" t="n">
        <v>41</v>
      </c>
      <c r="K579" s="17" t="n">
        <v>54.12</v>
      </c>
      <c r="L579" s="17" t="n">
        <v>25.86</v>
      </c>
      <c r="M579" s="17" t="n">
        <v>0</v>
      </c>
      <c r="N579" s="17">
        <f>K579*0.08+L579*0.08</f>
        <v/>
      </c>
      <c r="O579" s="17">
        <f>-(K579*0.025+L579*0.025)</f>
        <v/>
      </c>
      <c r="P579" s="17">
        <f>32</f>
        <v/>
      </c>
      <c r="Q579" s="17">
        <f>J579+L579+N579+O579-P579-M579</f>
        <v/>
      </c>
    </row>
    <row r="580">
      <c r="A580" s="16" t="inlineStr">
        <is>
          <t>5.1-5.7</t>
        </is>
      </c>
      <c r="B580" s="16" t="inlineStr">
        <is>
          <t>PO-128-03034630697592873</t>
        </is>
      </c>
      <c r="C580" s="16" t="inlineStr">
        <is>
          <t>Delivered</t>
        </is>
      </c>
      <c r="D580" s="16" t="inlineStr">
        <is>
          <t>128-03034656911992873</t>
        </is>
      </c>
      <c r="E580" s="16" t="inlineStr">
        <is>
          <t>Delivered</t>
        </is>
      </c>
      <c r="F580" s="16" t="inlineStr">
        <is>
          <t>KTS-1678V</t>
        </is>
      </c>
      <c r="G580" s="16" t="inlineStr">
        <is>
          <t>Bocina portátil Inalámbrico, de 3 pulgadas, tamaño de bolsillo, 170 g, con asa, compatible con TF, USB y Micro SD, con radio FM y función TWS (True Wireless Stereo), adecuada para relajarse en casa o viajar al aire libre.</t>
        </is>
      </c>
      <c r="H580" s="16" t="inlineStr">
        <is>
          <t>KTS-1678V</t>
        </is>
      </c>
      <c r="I580" s="16" t="n">
        <v>1</v>
      </c>
      <c r="J580" s="17" t="n">
        <v>40</v>
      </c>
      <c r="K580" s="17" t="n">
        <v>46.22</v>
      </c>
      <c r="L580" s="17" t="n">
        <v>25.86</v>
      </c>
      <c r="M580" s="17" t="n">
        <v>0</v>
      </c>
      <c r="N580" s="17">
        <f>K580*0.08+L580*0.08</f>
        <v/>
      </c>
      <c r="O580" s="17">
        <f>-(K580*0.025+L580*0.025)</f>
        <v/>
      </c>
      <c r="P580" s="17">
        <f>32</f>
        <v/>
      </c>
      <c r="Q580" s="17">
        <f>J580+L580+N580+O580-P580-M580</f>
        <v/>
      </c>
    </row>
    <row r="581">
      <c r="A581" s="16" t="inlineStr">
        <is>
          <t>5.1-5.7</t>
        </is>
      </c>
      <c r="B581" s="16" t="inlineStr">
        <is>
          <t>PO-128-03030740798072830</t>
        </is>
      </c>
      <c r="C581" s="16" t="inlineStr">
        <is>
          <t>Delivered</t>
        </is>
      </c>
      <c r="D581" s="16" t="inlineStr">
        <is>
          <t>128-03030793226872830</t>
        </is>
      </c>
      <c r="E581" s="16" t="inlineStr">
        <is>
          <t>Delivered</t>
        </is>
      </c>
      <c r="F581" s="16" t="inlineStr">
        <is>
          <t>AIR50W06-2P</t>
        </is>
      </c>
      <c r="G581" s="16" t="inlineStr">
        <is>
          <t>Link Bits Ventilador de piso de 16 pulgadas, 2 unidades, 3 velocidades, motor silencioso, flujo de aire fuerte, altura ajustable, oscilación amplia, ventilador eléctrico para el hogar, ideal para sala, recámara y oficina</t>
        </is>
      </c>
      <c r="H581" s="16" t="inlineStr">
        <is>
          <t>2PZ</t>
        </is>
      </c>
      <c r="I581" s="16" t="n">
        <v>1</v>
      </c>
      <c r="J581" s="17" t="n">
        <v>435</v>
      </c>
      <c r="K581" s="17" t="n">
        <v>568.13</v>
      </c>
      <c r="L581" s="17" t="n">
        <v>0</v>
      </c>
      <c r="M581" s="17" t="n">
        <v>0</v>
      </c>
      <c r="N581" s="17">
        <f>K581*0.08+L581*0.08</f>
        <v/>
      </c>
      <c r="O581" s="17">
        <f>-(K581*0.025+L581*0.025)</f>
        <v/>
      </c>
      <c r="P581" s="17">
        <f>32</f>
        <v/>
      </c>
      <c r="Q581" s="17">
        <f>J581+L581+N581+O581-P581-M581</f>
        <v/>
      </c>
    </row>
    <row r="582">
      <c r="A582" s="16" t="inlineStr">
        <is>
          <t>5.1-5.7</t>
        </is>
      </c>
      <c r="B582" s="16" t="inlineStr">
        <is>
          <t>PO-128-02898958326393809</t>
        </is>
      </c>
      <c r="C582" s="16" t="inlineStr">
        <is>
          <t>Delivered</t>
        </is>
      </c>
      <c r="D582" s="16" t="inlineStr">
        <is>
          <t>128-02899063183993809</t>
        </is>
      </c>
      <c r="E582" s="16" t="inlineStr">
        <is>
          <t>Delivered</t>
        </is>
      </c>
      <c r="F582" s="16" t="inlineStr">
        <is>
          <t>SA8056T</t>
        </is>
      </c>
      <c r="G58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82" s="16" t="inlineStr">
        <is>
          <t>SA8056T</t>
        </is>
      </c>
      <c r="I582" s="16" t="n">
        <v>1</v>
      </c>
      <c r="J582" s="17" t="n">
        <v>149</v>
      </c>
      <c r="K582" s="17" t="n">
        <v>118.58</v>
      </c>
      <c r="L582" s="17" t="n">
        <v>25.86</v>
      </c>
      <c r="M582" s="17" t="n">
        <v>0</v>
      </c>
      <c r="N582" s="17">
        <f>K582*0.08+L582*0.08</f>
        <v/>
      </c>
      <c r="O582" s="17">
        <f>-(K582*0.025+L582*0.025)</f>
        <v/>
      </c>
      <c r="P582" s="17">
        <f>32</f>
        <v/>
      </c>
      <c r="Q582" s="17">
        <f>J582+L582+N582+O582-P582-M582</f>
        <v/>
      </c>
    </row>
    <row r="583">
      <c r="A583" s="16" t="inlineStr">
        <is>
          <t>5.1-5.7</t>
        </is>
      </c>
      <c r="B583" s="16" t="inlineStr">
        <is>
          <t>PO-128-03094874348151424</t>
        </is>
      </c>
      <c r="C583" s="16" t="inlineStr">
        <is>
          <t>Delivered</t>
        </is>
      </c>
      <c r="D583" s="16" t="inlineStr">
        <is>
          <t>128-03094853376631424</t>
        </is>
      </c>
      <c r="E583" s="16" t="inlineStr">
        <is>
          <t>Delivered</t>
        </is>
      </c>
      <c r="F583" s="16" t="inlineStr">
        <is>
          <t>LB02235-azul</t>
        </is>
      </c>
      <c r="G583" s="16" t="inlineStr">
        <is>
          <t>Audífonos Inalámbricos para la Cabeza, Recargables y Multifuncionales - Conectan a Varios Dispositivos, soportan Radio FM, Tarjeta TF y AUX - 4 Horas de Reproducción Musical - Ideal para Trabajo Cotidiano, Juegos y Estudio</t>
        </is>
      </c>
      <c r="H583" s="16" t="inlineStr">
        <is>
          <t>AZUL</t>
        </is>
      </c>
      <c r="I583" s="16" t="n">
        <v>1</v>
      </c>
      <c r="J583" s="17" t="n">
        <v>35</v>
      </c>
      <c r="K583" s="17" t="n">
        <v>38.49</v>
      </c>
      <c r="L583" s="17" t="n">
        <v>25.86</v>
      </c>
      <c r="M583" s="17" t="n">
        <v>0</v>
      </c>
      <c r="N583" s="17">
        <f>K583*0.08+L583*0.08</f>
        <v/>
      </c>
      <c r="O583" s="17">
        <f>-(K583*0.025+L583*0.025)</f>
        <v/>
      </c>
      <c r="P583" s="17">
        <f>32</f>
        <v/>
      </c>
      <c r="Q583" s="17">
        <f>J583+L583+N583+O583-P583-M583</f>
        <v/>
      </c>
    </row>
    <row r="584">
      <c r="A584" s="16" t="inlineStr">
        <is>
          <t>5.1-5.7</t>
        </is>
      </c>
      <c r="B584" s="16" t="inlineStr">
        <is>
          <t>PO-128-03174547692151143</t>
        </is>
      </c>
      <c r="C584" s="16" t="inlineStr">
        <is>
          <t>Delivered</t>
        </is>
      </c>
      <c r="D584" s="16" t="inlineStr">
        <is>
          <t>128-03174581770871143</t>
        </is>
      </c>
      <c r="E584" s="16" t="inlineStr">
        <is>
          <t>Delivered</t>
        </is>
      </c>
      <c r="F584" s="16" t="inlineStr">
        <is>
          <t>T5050RGB07</t>
        </is>
      </c>
      <c r="G584"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584" s="16" t="inlineStr">
        <is>
          <t>T5050RGB07</t>
        </is>
      </c>
      <c r="I584" s="16" t="n">
        <v>1</v>
      </c>
      <c r="J584" s="17" t="n">
        <v>50</v>
      </c>
      <c r="K584" s="17" t="n">
        <v>67.36</v>
      </c>
      <c r="L584" s="17" t="n">
        <v>25.86</v>
      </c>
      <c r="M584" s="17" t="n">
        <v>0</v>
      </c>
      <c r="N584" s="17">
        <f>K584*0.08+L584*0.08</f>
        <v/>
      </c>
      <c r="O584" s="17">
        <f>-(K584*0.025+L584*0.025)</f>
        <v/>
      </c>
      <c r="P584" s="17">
        <f>32</f>
        <v/>
      </c>
      <c r="Q584" s="17">
        <f>J584+L584+N584+O584-P584-M584</f>
        <v/>
      </c>
    </row>
    <row r="585">
      <c r="A585" s="16" t="inlineStr">
        <is>
          <t>5.1-5.7</t>
        </is>
      </c>
      <c r="B585" s="16" t="inlineStr">
        <is>
          <t>PO-128-03425488732790607</t>
        </is>
      </c>
      <c r="C585" s="16" t="inlineStr">
        <is>
          <t>Delivered</t>
        </is>
      </c>
      <c r="D585" s="16" t="inlineStr">
        <is>
          <t>128-03425570652790607</t>
        </is>
      </c>
      <c r="E585" s="16" t="inlineStr">
        <is>
          <t>Delivered</t>
        </is>
      </c>
      <c r="F585" s="16" t="inlineStr">
        <is>
          <t>LB02235-negro</t>
        </is>
      </c>
      <c r="G585" s="16" t="inlineStr">
        <is>
          <t>Audífonos Inalámbricos para la Cabeza, Recargables y Multifuncionales - Conectan a Varios Dispositivos, soportan Radio FM, Tarjeta TF y AUX - 4 Horas de Reproducción Musical - Ideal para Trabajo Cotidiano, Juegos y Estudio</t>
        </is>
      </c>
      <c r="H585" s="16" t="inlineStr">
        <is>
          <t>NEGRO</t>
        </is>
      </c>
      <c r="I585" s="16" t="n">
        <v>1</v>
      </c>
      <c r="J585" s="17" t="n">
        <v>35</v>
      </c>
      <c r="K585" s="17" t="n">
        <v>48.12</v>
      </c>
      <c r="L585" s="17" t="n">
        <v>25.86</v>
      </c>
      <c r="M585" s="17" t="n">
        <v>0</v>
      </c>
      <c r="N585" s="17">
        <f>K585*0.08+L585*0.08</f>
        <v/>
      </c>
      <c r="O585" s="17">
        <f>-(K585*0.025+L585*0.025)</f>
        <v/>
      </c>
      <c r="P585" s="17">
        <f>32</f>
        <v/>
      </c>
      <c r="Q585" s="17">
        <f>J585+L585+N585+O585-P585-M585</f>
        <v/>
      </c>
    </row>
    <row r="586">
      <c r="A586" s="16" t="inlineStr">
        <is>
          <t>5.1-5.7</t>
        </is>
      </c>
      <c r="B586" s="16" t="inlineStr">
        <is>
          <t>PO-128-03057998807672733</t>
        </is>
      </c>
      <c r="C586" s="16" t="inlineStr">
        <is>
          <t>Delivered</t>
        </is>
      </c>
      <c r="D586" s="16" t="inlineStr">
        <is>
          <t>128-03058135122552733</t>
        </is>
      </c>
      <c r="E586" s="16" t="inlineStr">
        <is>
          <t>Delivered</t>
        </is>
      </c>
      <c r="F586" s="16" t="inlineStr">
        <is>
          <t>LB02235-negro</t>
        </is>
      </c>
      <c r="G586" s="16" t="inlineStr">
        <is>
          <t>Audífonos Inalámbricos para la Cabeza, Recargables y Multifuncionales - Conectan a Varios Dispositivos, soportan Radio FM, Tarjeta TF y AUX - 4 Horas de Reproducción Musical - Ideal para Trabajo Cotidiano, Juegos y Estudio</t>
        </is>
      </c>
      <c r="H586" s="16" t="inlineStr">
        <is>
          <t>NEGRO</t>
        </is>
      </c>
      <c r="I586" s="16" t="n">
        <v>1</v>
      </c>
      <c r="J586" s="17" t="n">
        <v>35</v>
      </c>
      <c r="K586" s="17" t="n">
        <v>5.02</v>
      </c>
      <c r="L586" s="17" t="n">
        <v>25.86</v>
      </c>
      <c r="M586" s="17" t="n">
        <v>0</v>
      </c>
      <c r="N586" s="17">
        <f>K586*0.08+L586*0.08</f>
        <v/>
      </c>
      <c r="O586" s="17">
        <f>-(K586*0.025+L586*0.025)</f>
        <v/>
      </c>
      <c r="P586" s="17">
        <f>32</f>
        <v/>
      </c>
      <c r="Q586" s="17">
        <f>J586+L586+N586+O586-P586-M586</f>
        <v/>
      </c>
    </row>
    <row r="587">
      <c r="A587" s="16" t="inlineStr">
        <is>
          <t>5.1-5.7</t>
        </is>
      </c>
      <c r="B587" s="16" t="inlineStr">
        <is>
          <t>PO-128-03024994202233056</t>
        </is>
      </c>
      <c r="C587" s="16" t="inlineStr">
        <is>
          <t>Delivered</t>
        </is>
      </c>
      <c r="D587" s="16" t="inlineStr">
        <is>
          <t>128-03025036145273056</t>
        </is>
      </c>
      <c r="E587" s="16" t="inlineStr">
        <is>
          <t>Delivered</t>
        </is>
      </c>
      <c r="F587" s="16" t="inlineStr">
        <is>
          <t>SA323T</t>
        </is>
      </c>
      <c r="G587" s="16" t="inlineStr">
        <is>
          <t>Linkbits Bocina Portátil Parlantes BT Portátiles con Iluminación de Ambiente | 1 Hora de Duración, FM, TWS, TF/Micro SD | Ideal para Hogar, Fiestas y Viajes</t>
        </is>
      </c>
      <c r="H587" s="16" t="inlineStr">
        <is>
          <t>SA323T</t>
        </is>
      </c>
      <c r="I587" s="16" t="n">
        <v>1</v>
      </c>
      <c r="J587" s="17" t="n">
        <v>44.8</v>
      </c>
      <c r="K587" s="17" t="n">
        <v>53.86</v>
      </c>
      <c r="L587" s="17" t="n">
        <v>25.86</v>
      </c>
      <c r="M587" s="17" t="n">
        <v>0</v>
      </c>
      <c r="N587" s="17">
        <f>K587*0.08+L587*0.08</f>
        <v/>
      </c>
      <c r="O587" s="17">
        <f>-(K587*0.025+L587*0.025)</f>
        <v/>
      </c>
      <c r="P587" s="17">
        <f>32</f>
        <v/>
      </c>
      <c r="Q587" s="17">
        <f>J587+L587+N587+O587-P587-M587</f>
        <v/>
      </c>
    </row>
    <row r="588">
      <c r="A588" s="16" t="inlineStr">
        <is>
          <t>5.1-5.7</t>
        </is>
      </c>
      <c r="B588" s="16" t="inlineStr">
        <is>
          <t>PO-128-03404442348150730</t>
        </is>
      </c>
      <c r="C588" s="16" t="inlineStr">
        <is>
          <t>Delivered</t>
        </is>
      </c>
      <c r="D588" s="16" t="inlineStr">
        <is>
          <t>128-03404510505590730</t>
        </is>
      </c>
      <c r="E588" s="16" t="inlineStr">
        <is>
          <t>Delivered</t>
        </is>
      </c>
      <c r="F588" s="16" t="inlineStr">
        <is>
          <t>LB02235-negro</t>
        </is>
      </c>
      <c r="G588" s="16" t="inlineStr">
        <is>
          <t>Audífonos Inalámbricos para la Cabeza, Recargables y Multifuncionales - Conectan a Varios Dispositivos, soportan Radio FM, Tarjeta TF y AUX - 4 Horas de Reproducción Musical - Ideal para Trabajo Cotidiano, Juegos y Estudio</t>
        </is>
      </c>
      <c r="H588" s="16" t="inlineStr">
        <is>
          <t>NEGRO</t>
        </is>
      </c>
      <c r="I588" s="16" t="n">
        <v>1</v>
      </c>
      <c r="J588" s="17" t="n">
        <v>35</v>
      </c>
      <c r="K588" s="17" t="n">
        <v>36.09</v>
      </c>
      <c r="L588" s="17" t="n">
        <v>25.86</v>
      </c>
      <c r="M588" s="17" t="n">
        <v>0</v>
      </c>
      <c r="N588" s="17">
        <f>K588*0.08+L588*0.08</f>
        <v/>
      </c>
      <c r="O588" s="17">
        <f>-(K588*0.025+L588*0.025)</f>
        <v/>
      </c>
      <c r="P588" s="17">
        <f>32</f>
        <v/>
      </c>
      <c r="Q588" s="17">
        <f>J588+L588+N588+O588-P588-M588</f>
        <v/>
      </c>
    </row>
    <row r="589">
      <c r="A589" s="16" t="inlineStr">
        <is>
          <t>5.1-5.7</t>
        </is>
      </c>
      <c r="B589" s="16" t="inlineStr">
        <is>
          <t>PO-128-02850030090874037</t>
        </is>
      </c>
      <c r="C589" s="16" t="inlineStr">
        <is>
          <t>Delivered</t>
        </is>
      </c>
      <c r="D589" s="16" t="inlineStr">
        <is>
          <t>128-02850112993914037</t>
        </is>
      </c>
      <c r="E589" s="16" t="inlineStr">
        <is>
          <t>Delivered</t>
        </is>
      </c>
      <c r="F589" s="16" t="inlineStr">
        <is>
          <t>LB02235-negro</t>
        </is>
      </c>
      <c r="G589" s="16" t="inlineStr">
        <is>
          <t>Audífonos Inalámbricos para la Cabeza, Recargables y Multifuncionales - Conectan a Varios Dispositivos, soportan Radio FM, Tarjeta TF y AUX - 4 Horas de Reproducción Musical - Ideal para Trabajo Cotidiano, Juegos y Estudio</t>
        </is>
      </c>
      <c r="H589" s="16" t="inlineStr">
        <is>
          <t>NEGRO</t>
        </is>
      </c>
      <c r="I589" s="16" t="n">
        <v>1</v>
      </c>
      <c r="J589" s="17" t="n">
        <v>35</v>
      </c>
      <c r="K589" s="17" t="n">
        <v>43.31</v>
      </c>
      <c r="L589" s="17" t="n">
        <v>25.86</v>
      </c>
      <c r="M589" s="17" t="n">
        <v>0</v>
      </c>
      <c r="N589" s="17">
        <f>K589*0.08+L589*0.08</f>
        <v/>
      </c>
      <c r="O589" s="17">
        <f>-(K589*0.025+L589*0.025)</f>
        <v/>
      </c>
      <c r="P589" s="17">
        <f>32</f>
        <v/>
      </c>
      <c r="Q589" s="17">
        <f>J589+L589+N589+O589-P589-M589</f>
        <v/>
      </c>
    </row>
    <row r="590">
      <c r="A590" s="16" t="inlineStr">
        <is>
          <t>5.1-5.7</t>
        </is>
      </c>
      <c r="B590" s="16" t="inlineStr">
        <is>
          <t>PO-128-02848163226234046</t>
        </is>
      </c>
      <c r="C590" s="16" t="inlineStr">
        <is>
          <t>Delivered</t>
        </is>
      </c>
      <c r="D590" s="16" t="inlineStr">
        <is>
          <t>128-02848205169274046</t>
        </is>
      </c>
      <c r="E590" s="16" t="inlineStr">
        <is>
          <t>Delivered</t>
        </is>
      </c>
      <c r="F590" s="16" t="inlineStr">
        <is>
          <t>LB02235-azul</t>
        </is>
      </c>
      <c r="G590" s="16" t="inlineStr">
        <is>
          <t>Audífonos Inalámbricos para la Cabeza, Recargables y Multifuncionales - Conectan a Varios Dispositivos, soportan Radio FM, Tarjeta TF y AUX - 4 Horas de Reproducción Musical - Ideal para Trabajo Cotidiano, Juegos y Estudio</t>
        </is>
      </c>
      <c r="H590" s="16" t="inlineStr">
        <is>
          <t>AZUL</t>
        </is>
      </c>
      <c r="I590" s="16" t="n">
        <v>1</v>
      </c>
      <c r="J590" s="17" t="n">
        <v>35</v>
      </c>
      <c r="K590" s="17" t="n">
        <v>5.02</v>
      </c>
      <c r="L590" s="17" t="n">
        <v>25.86</v>
      </c>
      <c r="M590" s="17" t="n">
        <v>0</v>
      </c>
      <c r="N590" s="17">
        <f>K590*0.08+L590*0.08</f>
        <v/>
      </c>
      <c r="O590" s="17">
        <f>-(K590*0.025+L590*0.025)</f>
        <v/>
      </c>
      <c r="P590" s="17">
        <f>32</f>
        <v/>
      </c>
      <c r="Q590" s="17">
        <f>J590+L590+N590+O590-P590-M590</f>
        <v/>
      </c>
    </row>
    <row r="591">
      <c r="A591" s="16" t="inlineStr">
        <is>
          <t>5.1-5.7</t>
        </is>
      </c>
      <c r="B591" s="16" t="inlineStr">
        <is>
          <t>PO-128-02992532941432098</t>
        </is>
      </c>
      <c r="C591" s="16" t="inlineStr">
        <is>
          <t>Delivered</t>
        </is>
      </c>
      <c r="D591" s="16" t="inlineStr">
        <is>
          <t>128-02992449055352098</t>
        </is>
      </c>
      <c r="E591" s="16" t="inlineStr">
        <is>
          <t>Delivered</t>
        </is>
      </c>
      <c r="F591" s="16" t="inlineStr">
        <is>
          <t>LB02235-negro</t>
        </is>
      </c>
      <c r="G591" s="16" t="inlineStr">
        <is>
          <t>Audífonos Inalámbricos para la Cabeza, Recargables y Multifuncionales - Conectan a Varios Dispositivos, soportan Radio FM, Tarjeta TF y AUX - 4 Horas de Reproducción Musical - Ideal para Trabajo Cotidiano, Juegos y Estudio</t>
        </is>
      </c>
      <c r="H591" s="16" t="inlineStr">
        <is>
          <t>NEGRO</t>
        </is>
      </c>
      <c r="I591" s="16" t="n">
        <v>5</v>
      </c>
      <c r="J591" s="17" t="n">
        <v>175</v>
      </c>
      <c r="K591" s="17" t="n">
        <v>214.75</v>
      </c>
      <c r="L591" s="17" t="n">
        <v>0</v>
      </c>
      <c r="M591" s="17" t="n">
        <v>0</v>
      </c>
      <c r="N591" s="17">
        <f>K591*0.08+L591*0.08</f>
        <v/>
      </c>
      <c r="O591" s="17">
        <f>-(K591*0.025+L591*0.025)</f>
        <v/>
      </c>
      <c r="P591" s="17">
        <f>32</f>
        <v/>
      </c>
      <c r="Q591" s="17">
        <f>J591+L591+N591+O591-P591-M591</f>
        <v/>
      </c>
    </row>
    <row r="592">
      <c r="A592" s="16" t="inlineStr">
        <is>
          <t>5.1-5.7</t>
        </is>
      </c>
      <c r="B592" s="16" t="inlineStr">
        <is>
          <t>PO-128-02992532941432098</t>
        </is>
      </c>
      <c r="C592" s="16" t="inlineStr">
        <is>
          <t>Delivered</t>
        </is>
      </c>
      <c r="D592" s="16" t="inlineStr">
        <is>
          <t>128-02992490998392098</t>
        </is>
      </c>
      <c r="E592" s="16" t="inlineStr">
        <is>
          <t>Delivered</t>
        </is>
      </c>
      <c r="F592" s="16" t="inlineStr">
        <is>
          <t>LB02235-azul</t>
        </is>
      </c>
      <c r="G592" s="16" t="inlineStr">
        <is>
          <t>Audífonos Inalámbricos para la Cabeza, Recargables y Multifuncionales - Conectan a Varios Dispositivos, soportan Radio FM, Tarjeta TF y AUX - 4 Horas de Reproducción Musical - Ideal para Trabajo Cotidiano, Juegos y Estudio</t>
        </is>
      </c>
      <c r="H592" s="16" t="inlineStr">
        <is>
          <t>AZUL</t>
        </is>
      </c>
      <c r="I592" s="16" t="n">
        <v>5</v>
      </c>
      <c r="J592" s="17" t="n">
        <v>175</v>
      </c>
      <c r="K592" s="17" t="n">
        <v>214.75</v>
      </c>
      <c r="L592" s="17" t="n">
        <v>0</v>
      </c>
      <c r="M592" s="17" t="n">
        <v>0</v>
      </c>
      <c r="N592" s="17">
        <f>K592*0.08+L592*0.08</f>
        <v/>
      </c>
      <c r="O592" s="17">
        <f>-(K592*0.025+L592*0.025)</f>
        <v/>
      </c>
      <c r="P592" s="17">
        <f>32</f>
        <v/>
      </c>
      <c r="Q592" s="17">
        <f>J592+L592+N592+O592-P592-M592</f>
        <v/>
      </c>
    </row>
    <row r="593">
      <c r="A593" s="16" t="inlineStr">
        <is>
          <t>5.1-5.7</t>
        </is>
      </c>
      <c r="B593" s="16" t="inlineStr">
        <is>
          <t>PO-128-02953403515512397</t>
        </is>
      </c>
      <c r="C593" s="16" t="inlineStr">
        <is>
          <t>Delivered</t>
        </is>
      </c>
      <c r="D593" s="16" t="inlineStr">
        <is>
          <t>128-02953450701432397</t>
        </is>
      </c>
      <c r="E593" s="16" t="inlineStr">
        <is>
          <t>Delivered</t>
        </is>
      </c>
      <c r="F593" s="16" t="inlineStr">
        <is>
          <t>SA325T</t>
        </is>
      </c>
      <c r="G593" s="16" t="inlineStr">
        <is>
          <t>Subwoofer Portátil Inalámbrico con Luces RGB, Sonido de Alta Potencia y Batería Duradera, TWS TF USB, Perfecto para Campamento Fiestas y Entretenimiento en Casa</t>
        </is>
      </c>
      <c r="H593" s="16" t="inlineStr">
        <is>
          <t>NEGRO</t>
        </is>
      </c>
      <c r="I593" s="16" t="n">
        <v>1</v>
      </c>
      <c r="J593" s="17" t="n">
        <v>36</v>
      </c>
      <c r="K593" s="17" t="n">
        <v>45.06</v>
      </c>
      <c r="L593" s="17" t="n">
        <v>0</v>
      </c>
      <c r="M593" s="17" t="n">
        <v>0</v>
      </c>
      <c r="N593" s="17">
        <f>K593*0.08+L593*0.08</f>
        <v/>
      </c>
      <c r="O593" s="17">
        <f>-(K593*0.025+L593*0.025)</f>
        <v/>
      </c>
      <c r="P593" s="17">
        <f>32</f>
        <v/>
      </c>
      <c r="Q593" s="17">
        <f>J593+L593+N593+O593-P593-M593</f>
        <v/>
      </c>
    </row>
    <row r="594">
      <c r="A594" s="16" t="inlineStr">
        <is>
          <t>5.1-5.7</t>
        </is>
      </c>
      <c r="B594" s="16" t="inlineStr">
        <is>
          <t>PO-128-02953403515512397</t>
        </is>
      </c>
      <c r="C594" s="16" t="inlineStr">
        <is>
          <t>Delivered</t>
        </is>
      </c>
      <c r="D594" s="16" t="inlineStr">
        <is>
          <t>128-02953424487032397</t>
        </is>
      </c>
      <c r="E594" s="16" t="inlineStr">
        <is>
          <t>Delivered</t>
        </is>
      </c>
      <c r="F594" s="16" t="inlineStr">
        <is>
          <t>KTS-1678V</t>
        </is>
      </c>
      <c r="G594" s="16" t="inlineStr">
        <is>
          <t>Bocina portátil Inalámbrico, de 3 pulgadas, tamaño de bolsillo, 170 g, con asa, compatible con TF, USB y Micro SD, con radio FM y función TWS (True Wireless Stereo), adecuada para relajarse en casa o viajar al aire libre.</t>
        </is>
      </c>
      <c r="H594" s="16" t="inlineStr">
        <is>
          <t>KTS-1678V</t>
        </is>
      </c>
      <c r="I594" s="16" t="n">
        <v>1</v>
      </c>
      <c r="J594" s="17" t="n">
        <v>40</v>
      </c>
      <c r="K594" s="17" t="n">
        <v>46.22</v>
      </c>
      <c r="L594" s="17" t="n">
        <v>0</v>
      </c>
      <c r="M594" s="17" t="n">
        <v>0</v>
      </c>
      <c r="N594" s="17">
        <f>K594*0.08+L594*0.08</f>
        <v/>
      </c>
      <c r="O594" s="17">
        <f>-(K594*0.025+L594*0.025)</f>
        <v/>
      </c>
      <c r="P594" s="17">
        <f>32</f>
        <v/>
      </c>
      <c r="Q594" s="17">
        <f>J594+L594+N594+O594-P594-M594</f>
        <v/>
      </c>
    </row>
    <row r="595">
      <c r="A595" s="16" t="inlineStr">
        <is>
          <t>5.1-5.7</t>
        </is>
      </c>
      <c r="B595" s="16" t="inlineStr">
        <is>
          <t>PO-128-02953403515512397</t>
        </is>
      </c>
      <c r="C595" s="16" t="inlineStr">
        <is>
          <t>Delivered</t>
        </is>
      </c>
      <c r="D595" s="16" t="inlineStr">
        <is>
          <t>128-02953319629432397</t>
        </is>
      </c>
      <c r="E595" s="16" t="inlineStr">
        <is>
          <t>Delivered</t>
        </is>
      </c>
      <c r="F595" s="16" t="inlineStr">
        <is>
          <t>KTS-1678R</t>
        </is>
      </c>
      <c r="G595" s="16" t="inlineStr">
        <is>
          <t>Bocina portátil Inalámbrico, de 3 pulgadas, tamaño de bolsillo, 170 g, con asa, compatible con TF, USB y Micro SD, con radio FM y función TWS (True Wireless Stereo), adecuada para relajarse en casa o viajar al aire libre.</t>
        </is>
      </c>
      <c r="H595" s="16" t="inlineStr">
        <is>
          <t>KTS-1678R</t>
        </is>
      </c>
      <c r="I595" s="16" t="n">
        <v>2</v>
      </c>
      <c r="J595" s="17" t="n">
        <v>80</v>
      </c>
      <c r="K595" s="17" t="n">
        <v>96.58</v>
      </c>
      <c r="L595" s="17" t="n">
        <v>0</v>
      </c>
      <c r="M595" s="17" t="n">
        <v>0</v>
      </c>
      <c r="N595" s="17">
        <f>K595*0.08+L595*0.08</f>
        <v/>
      </c>
      <c r="O595" s="17">
        <f>-(K595*0.025+L595*0.025)</f>
        <v/>
      </c>
      <c r="P595" s="17">
        <f>32</f>
        <v/>
      </c>
      <c r="Q595" s="17">
        <f>J595+L595+N595+O595-P595-M595</f>
        <v/>
      </c>
    </row>
    <row r="596">
      <c r="A596" s="16" t="inlineStr">
        <is>
          <t>5.1-5.7</t>
        </is>
      </c>
      <c r="B596" s="16" t="inlineStr">
        <is>
          <t>PO-128-02953403515512397</t>
        </is>
      </c>
      <c r="C596" s="16" t="inlineStr">
        <is>
          <t>Delivered</t>
        </is>
      </c>
      <c r="D596" s="16" t="inlineStr">
        <is>
          <t>128-02953340600952397</t>
        </is>
      </c>
      <c r="E596" s="16" t="inlineStr">
        <is>
          <t>Delivered</t>
        </is>
      </c>
      <c r="F596" s="16" t="inlineStr">
        <is>
          <t>KTS-1678N</t>
        </is>
      </c>
      <c r="G596" s="16" t="inlineStr">
        <is>
          <t>Bocina portátil Inalámbrico, de 3 pulgadas, tamaño de bolsillo, 170 g, con asa, compatible con TF, USB y Micro SD, con radio FM y función TWS (True Wireless Stereo), adecuada para relajarse en casa o viajar al aire libre.</t>
        </is>
      </c>
      <c r="H596" s="16" t="inlineStr">
        <is>
          <t>KTS-1678N</t>
        </is>
      </c>
      <c r="I596" s="16" t="n">
        <v>1</v>
      </c>
      <c r="J596" s="17" t="n">
        <v>40</v>
      </c>
      <c r="K596" s="17" t="n">
        <v>46.22</v>
      </c>
      <c r="L596" s="17" t="n">
        <v>0</v>
      </c>
      <c r="M596" s="17" t="n">
        <v>0</v>
      </c>
      <c r="N596" s="17">
        <f>K596*0.08+L596*0.08</f>
        <v/>
      </c>
      <c r="O596" s="17">
        <f>-(K596*0.025+L596*0.025)</f>
        <v/>
      </c>
      <c r="P596" s="17">
        <f>32</f>
        <v/>
      </c>
      <c r="Q596" s="17">
        <f>J596+L596+N596+O596-P596-M596</f>
        <v/>
      </c>
    </row>
    <row r="597">
      <c r="A597" s="16" t="inlineStr">
        <is>
          <t>5.1-5.7</t>
        </is>
      </c>
      <c r="B597" s="16" t="inlineStr">
        <is>
          <t>PO-128-02953403515512397</t>
        </is>
      </c>
      <c r="C597" s="16" t="inlineStr">
        <is>
          <t>Delivered</t>
        </is>
      </c>
      <c r="D597" s="16" t="inlineStr">
        <is>
          <t>128-02953382543992397</t>
        </is>
      </c>
      <c r="E597" s="16" t="inlineStr">
        <is>
          <t>Delivered</t>
        </is>
      </c>
      <c r="F597" s="16" t="inlineStr">
        <is>
          <t>KTS-1678Y</t>
        </is>
      </c>
      <c r="G597" s="16" t="inlineStr">
        <is>
          <t>Bocina portátil Inalámbrico, de 3 pulgadas, tamaño de bolsillo, 170 g, con asa, compatible con TF, USB y Micro SD, con radio FM y función TWS (True Wireless Stereo), adecuada para relajarse en casa o viajar al aire libre.</t>
        </is>
      </c>
      <c r="H597" s="16" t="inlineStr">
        <is>
          <t>KTS-1678Y</t>
        </is>
      </c>
      <c r="I597" s="16" t="n">
        <v>1</v>
      </c>
      <c r="J597" s="17" t="n">
        <v>40</v>
      </c>
      <c r="K597" s="17" t="n">
        <v>46.22</v>
      </c>
      <c r="L597" s="17" t="n">
        <v>0</v>
      </c>
      <c r="M597" s="17" t="n">
        <v>0</v>
      </c>
      <c r="N597" s="17">
        <f>K597*0.08+L597*0.08</f>
        <v/>
      </c>
      <c r="O597" s="17">
        <f>-(K597*0.025+L597*0.025)</f>
        <v/>
      </c>
      <c r="P597" s="17">
        <f>32</f>
        <v/>
      </c>
      <c r="Q597" s="17">
        <f>J597+L597+N597+O597-P597-M597</f>
        <v/>
      </c>
    </row>
    <row r="598">
      <c r="A598" s="16" t="inlineStr">
        <is>
          <t>5.1-5.7</t>
        </is>
      </c>
      <c r="B598" s="16" t="inlineStr">
        <is>
          <t>PO-128-03373570750070786</t>
        </is>
      </c>
      <c r="C598" s="16" t="inlineStr">
        <is>
          <t>Delivered</t>
        </is>
      </c>
      <c r="D598" s="16" t="inlineStr">
        <is>
          <t>128-03373617935990786</t>
        </is>
      </c>
      <c r="E598" s="16" t="inlineStr">
        <is>
          <t>Delivered</t>
        </is>
      </c>
      <c r="F598" s="16" t="inlineStr">
        <is>
          <t>LB02235-blanco</t>
        </is>
      </c>
      <c r="G598" s="16" t="inlineStr">
        <is>
          <t>Audífonos Inalámbricos para la Cabeza, Recargables y Multifuncionales - Conectan a Varios Dispositivos, soportan Radio FM, Tarjeta TF y AUX - 4 Horas de Reproducción Musical - Ideal para Trabajo Cotidiano, Juegos y Estudio</t>
        </is>
      </c>
      <c r="H598" s="16" t="inlineStr">
        <is>
          <t>BLANCO</t>
        </is>
      </c>
      <c r="I598" s="16" t="n">
        <v>1</v>
      </c>
      <c r="J598" s="17" t="n">
        <v>35</v>
      </c>
      <c r="K598" s="17" t="n">
        <v>48.12</v>
      </c>
      <c r="L598" s="17" t="n">
        <v>25.86</v>
      </c>
      <c r="M598" s="17" t="n">
        <v>0</v>
      </c>
      <c r="N598" s="17">
        <f>K598*0.08+L598*0.08</f>
        <v/>
      </c>
      <c r="O598" s="17">
        <f>-(K598*0.025+L598*0.025)</f>
        <v/>
      </c>
      <c r="P598" s="17">
        <f>32</f>
        <v/>
      </c>
      <c r="Q598" s="17">
        <f>J598+L598+N598+O598-P598-M598</f>
        <v/>
      </c>
    </row>
    <row r="599">
      <c r="A599" s="16" t="inlineStr">
        <is>
          <t>5.1-5.7</t>
        </is>
      </c>
      <c r="B599" s="16" t="inlineStr">
        <is>
          <t>PO-128-03324167342710251</t>
        </is>
      </c>
      <c r="C599" s="16" t="inlineStr">
        <is>
          <t>Delivered</t>
        </is>
      </c>
      <c r="D599" s="16" t="inlineStr">
        <is>
          <t>128-03324219771510251</t>
        </is>
      </c>
      <c r="E599" s="16" t="inlineStr">
        <is>
          <t>Delivered</t>
        </is>
      </c>
      <c r="F599" s="16" t="inlineStr">
        <is>
          <t>BS-22</t>
        </is>
      </c>
      <c r="G599" s="16" t="inlineStr">
        <is>
          <t>link bits Barra de Sonido para TV, 2x2" Altavoces + 2 Membranas de Graves, Sonido Claro ≥80dB, Bluetooth Inalámbrico, Conexiones AUX/USB, Diseño Compacto 76cm, Sonido Envolvente 3D para Cine en Casa, PC, Juegos y Fiestas</t>
        </is>
      </c>
      <c r="H599" s="16" t="inlineStr">
        <is>
          <t>BS-22</t>
        </is>
      </c>
      <c r="I599" s="16" t="n">
        <v>1</v>
      </c>
      <c r="J599" s="17" t="n">
        <v>250</v>
      </c>
      <c r="K599" s="17" t="n">
        <v>289.61</v>
      </c>
      <c r="L599" s="17" t="n">
        <v>0</v>
      </c>
      <c r="M599" s="17" t="n">
        <v>0</v>
      </c>
      <c r="N599" s="17">
        <f>K599*0.08+L599*0.08</f>
        <v/>
      </c>
      <c r="O599" s="17">
        <f>-(K599*0.025+L599*0.025)</f>
        <v/>
      </c>
      <c r="P599" s="17">
        <f>32</f>
        <v/>
      </c>
      <c r="Q599" s="17">
        <f>J599+L599+N599+O599-P599-M599</f>
        <v/>
      </c>
    </row>
    <row r="600">
      <c r="A600" s="16" t="inlineStr">
        <is>
          <t>5.1-5.7</t>
        </is>
      </c>
      <c r="B600" s="16" t="inlineStr">
        <is>
          <t>PO-128-03056672963192741</t>
        </is>
      </c>
      <c r="C600" s="16" t="inlineStr">
        <is>
          <t>Delivered</t>
        </is>
      </c>
      <c r="D600" s="16" t="inlineStr">
        <is>
          <t>128-03056777820792741</t>
        </is>
      </c>
      <c r="E600" s="16" t="inlineStr">
        <is>
          <t>Delivered</t>
        </is>
      </c>
      <c r="F600" s="16" t="inlineStr">
        <is>
          <t>BS-22</t>
        </is>
      </c>
      <c r="G600" s="16" t="inlineStr">
        <is>
          <t>link bits Barra de Sonido para TV, 2x2" Altavoces + 2 Membranas de Graves, Sonido Claro ≥80dB, Bluetooth Inalámbrico, Conexiones AUX/USB, Diseño Compacto 76cm, Sonido Envolvente 3D para Cine en Casa, PC, Juegos y Fiestas</t>
        </is>
      </c>
      <c r="H600" s="16" t="inlineStr">
        <is>
          <t>BS-22</t>
        </is>
      </c>
      <c r="I600" s="16" t="n">
        <v>1</v>
      </c>
      <c r="J600" s="17" t="n">
        <v>250</v>
      </c>
      <c r="K600" s="17" t="n">
        <v>206.85</v>
      </c>
      <c r="L600" s="17" t="n">
        <v>0</v>
      </c>
      <c r="M600" s="17" t="n">
        <v>0</v>
      </c>
      <c r="N600" s="17">
        <f>K600*0.08+L600*0.08</f>
        <v/>
      </c>
      <c r="O600" s="17">
        <f>-(K600*0.025+L600*0.025)</f>
        <v/>
      </c>
      <c r="P600" s="17">
        <f>32</f>
        <v/>
      </c>
      <c r="Q600" s="17">
        <f>J600+L600+N600+O600-P600-M600</f>
        <v/>
      </c>
    </row>
    <row r="601">
      <c r="A601" s="16" t="inlineStr">
        <is>
          <t>5.1-5.7</t>
        </is>
      </c>
      <c r="B601" s="16" t="inlineStr">
        <is>
          <t>PO-128-03382051359350800</t>
        </is>
      </c>
      <c r="C601" s="16" t="inlineStr">
        <is>
          <t>Delivered</t>
        </is>
      </c>
      <c r="D601" s="16" t="inlineStr">
        <is>
          <t>128-03382103788150800</t>
        </is>
      </c>
      <c r="E601" s="16" t="inlineStr">
        <is>
          <t>Delivered</t>
        </is>
      </c>
      <c r="F601" s="16" t="inlineStr">
        <is>
          <t>FA028</t>
        </is>
      </c>
      <c r="G601" s="16" t="inlineStr">
        <is>
          <t>Extractor de agua para garrafas de agua, compatible con carga USB, extractor de agua automático, práctico, con dos modos de toma de agua: manual y programado, ideal para dormitorios, salones, oficinas, uso al aire libre y otros escenarios.</t>
        </is>
      </c>
      <c r="H601" s="16" t="inlineStr">
        <is>
          <t>FA028</t>
        </is>
      </c>
      <c r="I601" s="16" t="n">
        <v>1</v>
      </c>
      <c r="J601" s="17" t="n">
        <v>30.99</v>
      </c>
      <c r="K601" s="17" t="n">
        <v>40.59</v>
      </c>
      <c r="L601" s="17" t="n">
        <v>25.86</v>
      </c>
      <c r="M601" s="17" t="n">
        <v>0</v>
      </c>
      <c r="N601" s="17">
        <f>K601*0.08+L601*0.08</f>
        <v/>
      </c>
      <c r="O601" s="17">
        <f>-(K601*0.025+L601*0.025)</f>
        <v/>
      </c>
      <c r="P601" s="17">
        <f>32</f>
        <v/>
      </c>
      <c r="Q601" s="17">
        <f>J601+L601+N601+O601-P601-M601</f>
        <v/>
      </c>
    </row>
    <row r="602">
      <c r="A602" s="16" t="inlineStr">
        <is>
          <t>5.1-5.7</t>
        </is>
      </c>
      <c r="B602" s="16" t="inlineStr">
        <is>
          <t>PO-128-02750030387833481</t>
        </is>
      </c>
      <c r="C602" s="16" t="inlineStr">
        <is>
          <t>Delivered</t>
        </is>
      </c>
      <c r="D602" s="16" t="inlineStr">
        <is>
          <t>128-02750072330873481</t>
        </is>
      </c>
      <c r="E602" s="16" t="inlineStr">
        <is>
          <t>Delivered</t>
        </is>
      </c>
      <c r="F602" s="16" t="inlineStr">
        <is>
          <t>LV34W04</t>
        </is>
      </c>
      <c r="G60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602" s="16" t="inlineStr">
        <is>
          <t>LV34W04</t>
        </is>
      </c>
      <c r="I602" s="16" t="n">
        <v>2</v>
      </c>
      <c r="J602" s="17" t="n">
        <v>394.8</v>
      </c>
      <c r="K602" s="17" t="n">
        <v>374.45</v>
      </c>
      <c r="L602" s="17" t="n">
        <v>0</v>
      </c>
      <c r="M602" s="17" t="n">
        <v>0</v>
      </c>
      <c r="N602" s="17">
        <f>K602*0.08+L602*0.08</f>
        <v/>
      </c>
      <c r="O602" s="17">
        <f>-(K602*0.025+L602*0.025)</f>
        <v/>
      </c>
      <c r="P602" s="17">
        <f>32</f>
        <v/>
      </c>
      <c r="Q602" s="17">
        <f>J602+L602+N602+O602-P602-M602</f>
        <v/>
      </c>
    </row>
    <row r="603">
      <c r="A603" s="16" t="inlineStr">
        <is>
          <t>5.1-5.7</t>
        </is>
      </c>
      <c r="B603" s="16" t="inlineStr">
        <is>
          <t>PO-128-02779495025273369</t>
        </is>
      </c>
      <c r="C603" s="16" t="inlineStr">
        <is>
          <t>Delivered</t>
        </is>
      </c>
      <c r="D603" s="16" t="inlineStr">
        <is>
          <t>128-02779526482553369</t>
        </is>
      </c>
      <c r="E603" s="16" t="inlineStr">
        <is>
          <t>Delivered</t>
        </is>
      </c>
      <c r="F603" s="16" t="inlineStr">
        <is>
          <t>LB02235-blanco</t>
        </is>
      </c>
      <c r="G603" s="16" t="inlineStr">
        <is>
          <t>Audífonos Inalámbricos para la Cabeza, Recargables y Multifuncionales - Conectan a Varios Dispositivos, soportan Radio FM, Tarjeta TF y AUX - 4 Horas de Reproducción Musical - Ideal para Trabajo Cotidiano, Juegos y Estudio</t>
        </is>
      </c>
      <c r="H603" s="16" t="inlineStr">
        <is>
          <t>BLANCO</t>
        </is>
      </c>
      <c r="I603" s="16" t="n">
        <v>6</v>
      </c>
      <c r="J603" s="17" t="n">
        <v>210</v>
      </c>
      <c r="K603" s="17" t="n">
        <v>288.72</v>
      </c>
      <c r="L603" s="17" t="n">
        <v>0</v>
      </c>
      <c r="M603" s="17" t="n">
        <v>0</v>
      </c>
      <c r="N603" s="17">
        <f>K603*0.08+L603*0.08</f>
        <v/>
      </c>
      <c r="O603" s="17">
        <f>-(K603*0.025+L603*0.025)</f>
        <v/>
      </c>
      <c r="P603" s="17">
        <f>32</f>
        <v/>
      </c>
      <c r="Q603" s="17">
        <f>J603+L603+N603+O603-P603-M603</f>
        <v/>
      </c>
    </row>
    <row r="604">
      <c r="A604" s="16" t="inlineStr">
        <is>
          <t>5.1-5.7</t>
        </is>
      </c>
      <c r="B604" s="16" t="inlineStr">
        <is>
          <t>PO-128-02779495025273369</t>
        </is>
      </c>
      <c r="C604" s="16" t="inlineStr">
        <is>
          <t>Delivered</t>
        </is>
      </c>
      <c r="D604" s="16" t="inlineStr">
        <is>
          <t>128-02779547454073369</t>
        </is>
      </c>
      <c r="E604" s="16" t="inlineStr">
        <is>
          <t>Delivered</t>
        </is>
      </c>
      <c r="F604" s="16" t="inlineStr">
        <is>
          <t>LB02235-azul</t>
        </is>
      </c>
      <c r="G604" s="16" t="inlineStr">
        <is>
          <t>Audífonos Inalámbricos para la Cabeza, Recargables y Multifuncionales - Conectan a Varios Dispositivos, soportan Radio FM, Tarjeta TF y AUX - 4 Horas de Reproducción Musical - Ideal para Trabajo Cotidiano, Juegos y Estudio</t>
        </is>
      </c>
      <c r="H604" s="16" t="inlineStr">
        <is>
          <t>AZUL</t>
        </is>
      </c>
      <c r="I604" s="16" t="n">
        <v>1</v>
      </c>
      <c r="J604" s="17" t="n">
        <v>35</v>
      </c>
      <c r="K604" s="17" t="n">
        <v>48.12</v>
      </c>
      <c r="L604" s="17" t="n">
        <v>0</v>
      </c>
      <c r="M604" s="17" t="n">
        <v>0</v>
      </c>
      <c r="N604" s="17">
        <f>K604*0.08+L604*0.08</f>
        <v/>
      </c>
      <c r="O604" s="17">
        <f>-(K604*0.025+L604*0.025)</f>
        <v/>
      </c>
      <c r="P604" s="17">
        <f>32</f>
        <v/>
      </c>
      <c r="Q604" s="17">
        <f>J604+L604+N604+O604-P604-M604</f>
        <v/>
      </c>
    </row>
    <row r="605">
      <c r="A605" s="16" t="inlineStr">
        <is>
          <t>5.1-5.7</t>
        </is>
      </c>
      <c r="B605" s="16" t="inlineStr">
        <is>
          <t>PO-128-02779495025273369</t>
        </is>
      </c>
      <c r="C605" s="16" t="inlineStr">
        <is>
          <t>Delivered</t>
        </is>
      </c>
      <c r="D605" s="16" t="inlineStr">
        <is>
          <t>128-02779505511033369</t>
        </is>
      </c>
      <c r="E605" s="16" t="inlineStr">
        <is>
          <t>Delivered</t>
        </is>
      </c>
      <c r="F605" s="16" t="inlineStr">
        <is>
          <t>LB02235-negro</t>
        </is>
      </c>
      <c r="G605" s="16" t="inlineStr">
        <is>
          <t>Audífonos Inalámbricos para la Cabeza, Recargables y Multifuncionales - Conectan a Varios Dispositivos, soportan Radio FM, Tarjeta TF y AUX - 4 Horas de Reproducción Musical - Ideal para Trabajo Cotidiano, Juegos y Estudio</t>
        </is>
      </c>
      <c r="H605" s="16" t="inlineStr">
        <is>
          <t>NEGRO</t>
        </is>
      </c>
      <c r="I605" s="16" t="n">
        <v>4</v>
      </c>
      <c r="J605" s="17" t="n">
        <v>140</v>
      </c>
      <c r="K605" s="17" t="n">
        <v>192.48</v>
      </c>
      <c r="L605" s="17" t="n">
        <v>0</v>
      </c>
      <c r="M605" s="17" t="n">
        <v>0</v>
      </c>
      <c r="N605" s="17">
        <f>K605*0.08+L605*0.08</f>
        <v/>
      </c>
      <c r="O605" s="17">
        <f>-(K605*0.025+L605*0.025)</f>
        <v/>
      </c>
      <c r="P605" s="17">
        <f>32</f>
        <v/>
      </c>
      <c r="Q605" s="17">
        <f>J605+L605+N605+O605-P605-M605</f>
        <v/>
      </c>
    </row>
    <row r="606">
      <c r="A606" s="16" t="inlineStr">
        <is>
          <t>5.1-5.7</t>
        </is>
      </c>
      <c r="B606" s="16" t="inlineStr">
        <is>
          <t>PO-128-03165278577271068</t>
        </is>
      </c>
      <c r="C606" s="16" t="inlineStr">
        <is>
          <t>Delivered</t>
        </is>
      </c>
      <c r="D606" s="16" t="inlineStr">
        <is>
          <t>128-03165354599031068</t>
        </is>
      </c>
      <c r="E606" s="16" t="inlineStr">
        <is>
          <t>Delivered</t>
        </is>
      </c>
      <c r="F606" s="16" t="inlineStr">
        <is>
          <t>LB02235-negro</t>
        </is>
      </c>
      <c r="G606" s="16" t="inlineStr">
        <is>
          <t>Audífonos Inalámbricos para la Cabeza, Recargables y Multifuncionales - Conectan a Varios Dispositivos, soportan Radio FM, Tarjeta TF y AUX - 4 Horas de Reproducción Musical - Ideal para Trabajo Cotidiano, Juegos y Estudio</t>
        </is>
      </c>
      <c r="H606" s="16" t="inlineStr">
        <is>
          <t>NEGRO</t>
        </is>
      </c>
      <c r="I606" s="16" t="n">
        <v>1</v>
      </c>
      <c r="J606" s="17" t="n">
        <v>35</v>
      </c>
      <c r="K606" s="17" t="n">
        <v>48.12</v>
      </c>
      <c r="L606" s="17" t="n">
        <v>25.86</v>
      </c>
      <c r="M606" s="17" t="n">
        <v>0</v>
      </c>
      <c r="N606" s="17">
        <f>K606*0.08+L606*0.08</f>
        <v/>
      </c>
      <c r="O606" s="17">
        <f>-(K606*0.025+L606*0.025)</f>
        <v/>
      </c>
      <c r="P606" s="17">
        <f>32</f>
        <v/>
      </c>
      <c r="Q606" s="17">
        <f>J606+L606+N606+O606-P606-M606</f>
        <v/>
      </c>
    </row>
    <row r="607">
      <c r="A607" s="16" t="inlineStr">
        <is>
          <t>5.1-5.7</t>
        </is>
      </c>
      <c r="B607" s="16" t="inlineStr">
        <is>
          <t>PO-128-03385283594870847</t>
        </is>
      </c>
      <c r="C607" s="16" t="inlineStr">
        <is>
          <t>Delivered</t>
        </is>
      </c>
      <c r="D607" s="16" t="inlineStr">
        <is>
          <t>128-03385278351990847</t>
        </is>
      </c>
      <c r="E607" s="16" t="inlineStr">
        <is>
          <t>Delivered</t>
        </is>
      </c>
      <c r="F607" s="16" t="inlineStr">
        <is>
          <t>MCM-001G</t>
        </is>
      </c>
      <c r="G607" s="16" t="inlineStr">
        <is>
          <t>Musicord Altavoz Inalámbrico BT Portátil: ¡Sonido impactante, luces LED multicolores y 4 horas de autonomía! Compatible con TWS, FM, TF y USB – Imprescindible para fiestas y viajes</t>
        </is>
      </c>
      <c r="H607" s="16" t="inlineStr">
        <is>
          <t>GRIS</t>
        </is>
      </c>
      <c r="I607" s="16" t="n">
        <v>1</v>
      </c>
      <c r="J607" s="17" t="n">
        <v>51.06</v>
      </c>
      <c r="K607" s="17" t="n">
        <v>37.4</v>
      </c>
      <c r="L607" s="17" t="n">
        <v>25.86</v>
      </c>
      <c r="M607" s="17" t="n">
        <v>0</v>
      </c>
      <c r="N607" s="17">
        <f>K607*0.08+L607*0.08</f>
        <v/>
      </c>
      <c r="O607" s="17">
        <f>-(K607*0.025+L607*0.025)</f>
        <v/>
      </c>
      <c r="P607" s="17">
        <f>32</f>
        <v/>
      </c>
      <c r="Q607" s="17">
        <f>J607+L607+N607+O607-P607-M607</f>
        <v/>
      </c>
    </row>
    <row r="608">
      <c r="A608" s="16" t="inlineStr">
        <is>
          <t>5.1-5.7</t>
        </is>
      </c>
      <c r="B608" s="16" t="inlineStr">
        <is>
          <t>PO-128-02763225098873528</t>
        </is>
      </c>
      <c r="C608" s="16" t="inlineStr">
        <is>
          <t>Delivered</t>
        </is>
      </c>
      <c r="D608" s="16" t="inlineStr">
        <is>
          <t>128-02763361413753528</t>
        </is>
      </c>
      <c r="E608" s="16" t="inlineStr">
        <is>
          <t>Delivered</t>
        </is>
      </c>
      <c r="F608" s="16" t="inlineStr">
        <is>
          <t>AIR50W06-2P</t>
        </is>
      </c>
      <c r="G608" s="16" t="inlineStr">
        <is>
          <t>Link Bits Ventilador de piso de 16 pulgadas, 2 unidades, 3 velocidades, motor silencioso, flujo de aire fuerte, altura ajustable, oscilación amplia, ventilador eléctrico para el hogar, ideal para sala, recámara y oficina</t>
        </is>
      </c>
      <c r="H608" s="16" t="inlineStr">
        <is>
          <t>2PZ</t>
        </is>
      </c>
      <c r="I608" s="16" t="n">
        <v>2</v>
      </c>
      <c r="J608" s="17" t="n">
        <v>870</v>
      </c>
      <c r="K608" s="17" t="n">
        <v>1136.26</v>
      </c>
      <c r="L608" s="17" t="n">
        <v>0</v>
      </c>
      <c r="M608" s="17" t="n">
        <v>0</v>
      </c>
      <c r="N608" s="17">
        <f>K608*0.08+L608*0.08</f>
        <v/>
      </c>
      <c r="O608" s="17">
        <f>-(K608*0.025+L608*0.025)</f>
        <v/>
      </c>
      <c r="P608" s="17">
        <f>32</f>
        <v/>
      </c>
      <c r="Q608" s="17">
        <f>J608+L608+N608+O608-P608-M608</f>
        <v/>
      </c>
    </row>
    <row r="609">
      <c r="A609" s="16" t="inlineStr">
        <is>
          <t>5.1-5.7</t>
        </is>
      </c>
      <c r="B609" s="16" t="inlineStr">
        <is>
          <t>PO-128-02865475215993881</t>
        </is>
      </c>
      <c r="C609" s="16" t="inlineStr">
        <is>
          <t>Delivered</t>
        </is>
      </c>
      <c r="D609" s="16" t="inlineStr">
        <is>
          <t>128-02865417298553881</t>
        </is>
      </c>
      <c r="E609" s="16" t="inlineStr">
        <is>
          <t>Delivered</t>
        </is>
      </c>
      <c r="F609" s="16" t="inlineStr">
        <is>
          <t>MCM-001G</t>
        </is>
      </c>
      <c r="G609" s="16" t="inlineStr">
        <is>
          <t>Musicord Altavoz Inalámbrico BT Portátil: ¡Sonido impactante, luces LED multicolores y 4 horas de autonomía! Compatible con TWS, FM, TF y USB – Imprescindible para fiestas y viajes</t>
        </is>
      </c>
      <c r="H609" s="16" t="inlineStr">
        <is>
          <t>GRIS</t>
        </is>
      </c>
      <c r="I609" s="16" t="n">
        <v>1</v>
      </c>
      <c r="J609" s="17" t="n">
        <v>51.06</v>
      </c>
      <c r="K609" s="17" t="n">
        <v>62.34</v>
      </c>
      <c r="L609" s="17" t="n">
        <v>25.86</v>
      </c>
      <c r="M609" s="17" t="n">
        <v>0</v>
      </c>
      <c r="N609" s="17">
        <f>K609*0.08+L609*0.08</f>
        <v/>
      </c>
      <c r="O609" s="17">
        <f>-(K609*0.025+L609*0.025)</f>
        <v/>
      </c>
      <c r="P609" s="17">
        <f>32</f>
        <v/>
      </c>
      <c r="Q609" s="17">
        <f>J609+L609+N609+O609-P609-M609</f>
        <v/>
      </c>
    </row>
    <row r="610">
      <c r="A610" s="16" t="inlineStr">
        <is>
          <t>5.1-5.7</t>
        </is>
      </c>
      <c r="B610" s="16" t="inlineStr">
        <is>
          <t>PO-128-03023863706233065</t>
        </is>
      </c>
      <c r="C610" s="16" t="inlineStr">
        <is>
          <t>Delivered</t>
        </is>
      </c>
      <c r="D610" s="16" t="inlineStr">
        <is>
          <t>128-03023842734713065</t>
        </is>
      </c>
      <c r="E610" s="16" t="inlineStr">
        <is>
          <t>Delivered</t>
        </is>
      </c>
      <c r="F610" s="16" t="inlineStr">
        <is>
          <t>VA384T-R</t>
        </is>
      </c>
      <c r="G610" s="16" t="inlineStr">
        <is>
          <t>Bocina Portátil Bluetooth de 3 Pulgadas con Radio FM, USB TF TWS, Sonido Estéreo 5W, Bocina Recargable para Hogar Exterior Viaje Fiesta Camping</t>
        </is>
      </c>
      <c r="H610" s="16" t="inlineStr">
        <is>
          <t>ROJO</t>
        </is>
      </c>
      <c r="I610" s="16" t="n">
        <v>1</v>
      </c>
      <c r="J610" s="17" t="n">
        <v>49</v>
      </c>
      <c r="K610" s="17" t="n">
        <v>54.28</v>
      </c>
      <c r="L610" s="17" t="n">
        <v>25.86</v>
      </c>
      <c r="M610" s="17" t="n">
        <v>0</v>
      </c>
      <c r="N610" s="17">
        <f>K610*0.08+L610*0.08</f>
        <v/>
      </c>
      <c r="O610" s="17">
        <f>-(K610*0.025+L610*0.025)</f>
        <v/>
      </c>
      <c r="P610" s="17">
        <f>32</f>
        <v/>
      </c>
      <c r="Q610" s="17">
        <f>J610+L610+N610+O610-P610-M610</f>
        <v/>
      </c>
    </row>
    <row r="611">
      <c r="A611" s="16" t="inlineStr">
        <is>
          <t>5.1-5.7</t>
        </is>
      </c>
      <c r="B611" s="16" t="inlineStr">
        <is>
          <t>PO-128-03190815396472004</t>
        </is>
      </c>
      <c r="C611" s="16" t="inlineStr">
        <is>
          <t>Delivered</t>
        </is>
      </c>
      <c r="D611" s="16" t="inlineStr">
        <is>
          <t>128-03190836367992004</t>
        </is>
      </c>
      <c r="E611" s="16" t="inlineStr">
        <is>
          <t>Delivered</t>
        </is>
      </c>
      <c r="F611" s="16" t="inlineStr">
        <is>
          <t>KTS-1678N</t>
        </is>
      </c>
      <c r="G611" s="16" t="inlineStr">
        <is>
          <t>Bocina portátil Inalámbrico, de 3 pulgadas, tamaño de bolsillo, 170 g, con asa, compatible con TF, USB y Micro SD, con radio FM y función TWS (True Wireless Stereo), adecuada para relajarse en casa o viajar al aire libre.</t>
        </is>
      </c>
      <c r="H611" s="16" t="inlineStr">
        <is>
          <t>KTS-1678N</t>
        </is>
      </c>
      <c r="I611" s="16" t="n">
        <v>1</v>
      </c>
      <c r="J611" s="17" t="n">
        <v>40</v>
      </c>
      <c r="K611" s="17" t="n">
        <v>3.12</v>
      </c>
      <c r="L611" s="17" t="n">
        <v>25.86</v>
      </c>
      <c r="M611" s="17" t="n">
        <v>0</v>
      </c>
      <c r="N611" s="17">
        <f>K611*0.08+L611*0.08</f>
        <v/>
      </c>
      <c r="O611" s="17">
        <f>-(K611*0.025+L611*0.025)</f>
        <v/>
      </c>
      <c r="P611" s="17">
        <f>32</f>
        <v/>
      </c>
      <c r="Q611" s="17">
        <f>J611+L611+N611+O611-P611-M611</f>
        <v/>
      </c>
    </row>
    <row r="612">
      <c r="A612" s="16" t="inlineStr">
        <is>
          <t>5.1-5.7</t>
        </is>
      </c>
      <c r="B612" s="16" t="inlineStr">
        <is>
          <t>PO-128-03047405691512925</t>
        </is>
      </c>
      <c r="C612" s="16" t="inlineStr">
        <is>
          <t>Delivered</t>
        </is>
      </c>
      <c r="D612" s="16" t="inlineStr">
        <is>
          <t>128-03047395205752925</t>
        </is>
      </c>
      <c r="E612" s="16" t="inlineStr">
        <is>
          <t>Delivered</t>
        </is>
      </c>
      <c r="F612" s="16" t="inlineStr">
        <is>
          <t>MB-185R</t>
        </is>
      </c>
      <c r="G612" s="16" t="inlineStr">
        <is>
          <t>Bocina Radio FM/Reproductor, Compatible con Tarjeta TF, USB, Bluetooth, Aplicable para celular, computadora, Ipad y consola.</t>
        </is>
      </c>
      <c r="H612" s="16" t="inlineStr">
        <is>
          <t>ROJO/MB-185</t>
        </is>
      </c>
      <c r="I612" s="16" t="n">
        <v>1</v>
      </c>
      <c r="J612" s="17" t="n">
        <v>71.31</v>
      </c>
      <c r="K612" s="17" t="n">
        <v>84.26000000000001</v>
      </c>
      <c r="L612" s="17" t="n">
        <v>16.85</v>
      </c>
      <c r="M612" s="17" t="n">
        <v>0</v>
      </c>
      <c r="N612" s="17">
        <f>K612*0.08+L612*0.08</f>
        <v/>
      </c>
      <c r="O612" s="17">
        <f>-(K612*0.025+L612*0.025)</f>
        <v/>
      </c>
      <c r="P612" s="17">
        <f>32</f>
        <v/>
      </c>
      <c r="Q612" s="17">
        <f>J612+L612+N612+O612-P612-M612</f>
        <v/>
      </c>
    </row>
    <row r="613">
      <c r="A613" s="16" t="inlineStr">
        <is>
          <t>5.1-5.7</t>
        </is>
      </c>
      <c r="B613" s="16" t="inlineStr">
        <is>
          <t>PO-128-03047405691512925</t>
        </is>
      </c>
      <c r="C613" s="16" t="inlineStr">
        <is>
          <t>Delivered</t>
        </is>
      </c>
      <c r="D613" s="16" t="inlineStr">
        <is>
          <t>128-03047384719992925</t>
        </is>
      </c>
      <c r="E613" s="16" t="inlineStr">
        <is>
          <t>Delivered</t>
        </is>
      </c>
      <c r="F613" s="16" t="inlineStr">
        <is>
          <t>SA325T</t>
        </is>
      </c>
      <c r="G613" s="16" t="inlineStr">
        <is>
          <t>Subwoofer Portátil Inalámbrico con Luces RGB, Sonido de Alta Potencia y Batería Duradera, TWS TF USB, Perfecto para Campamento Fiestas y Entretenimiento en Casa</t>
        </is>
      </c>
      <c r="H613" s="16" t="inlineStr">
        <is>
          <t>NEGRO</t>
        </is>
      </c>
      <c r="I613" s="16" t="n">
        <v>1</v>
      </c>
      <c r="J613" s="17" t="n">
        <v>36</v>
      </c>
      <c r="K613" s="17" t="n">
        <v>45.06</v>
      </c>
      <c r="L613" s="17" t="n">
        <v>9.01</v>
      </c>
      <c r="M613" s="17" t="n">
        <v>0</v>
      </c>
      <c r="N613" s="17">
        <f>K613*0.08+L613*0.08</f>
        <v/>
      </c>
      <c r="O613" s="17">
        <f>-(K613*0.025+L613*0.025)</f>
        <v/>
      </c>
      <c r="P613" s="17">
        <f>32</f>
        <v/>
      </c>
      <c r="Q613" s="17">
        <f>J613+L613+N613+O613-P613-M613</f>
        <v/>
      </c>
    </row>
    <row r="614">
      <c r="A614" s="16" t="inlineStr">
        <is>
          <t>5.1-5.7</t>
        </is>
      </c>
      <c r="B614" s="16" t="inlineStr">
        <is>
          <t>PO-128-02798848655993252</t>
        </is>
      </c>
      <c r="C614" s="16" t="inlineStr">
        <is>
          <t>Delivered</t>
        </is>
      </c>
      <c r="D614" s="16" t="inlineStr">
        <is>
          <t>128-02798890599033252</t>
        </is>
      </c>
      <c r="E614" s="16" t="inlineStr">
        <is>
          <t>Delivered</t>
        </is>
      </c>
      <c r="F614" s="16" t="inlineStr">
        <is>
          <t>MB-185A</t>
        </is>
      </c>
      <c r="G614" s="16" t="inlineStr">
        <is>
          <t>Bocina Radio FM/Reproductor, Compatible con Tarjeta TF, USB, Bluetooth, Aplicable para celular, computadora, Ipad y consola.</t>
        </is>
      </c>
      <c r="H614" s="16" t="inlineStr">
        <is>
          <t>AZUL/MB-185</t>
        </is>
      </c>
      <c r="I614" s="16" t="n">
        <v>1</v>
      </c>
      <c r="J614" s="17" t="n">
        <v>71.31</v>
      </c>
      <c r="K614" s="17" t="n">
        <v>75.84</v>
      </c>
      <c r="L614" s="17" t="n">
        <v>25.86</v>
      </c>
      <c r="M614" s="17" t="n">
        <v>0</v>
      </c>
      <c r="N614" s="17">
        <f>K614*0.08+L614*0.08</f>
        <v/>
      </c>
      <c r="O614" s="17">
        <f>-(K614*0.025+L614*0.025)</f>
        <v/>
      </c>
      <c r="P614" s="17">
        <f>32</f>
        <v/>
      </c>
      <c r="Q614" s="17">
        <f>J614+L614+N614+O614-P614-M614</f>
        <v/>
      </c>
    </row>
    <row r="615">
      <c r="A615" s="16" t="inlineStr">
        <is>
          <t>5.1-5.7</t>
        </is>
      </c>
      <c r="B615" s="16" t="inlineStr">
        <is>
          <t>PO-128-02839548375673971</t>
        </is>
      </c>
      <c r="C615" s="16" t="inlineStr">
        <is>
          <t>Delivered</t>
        </is>
      </c>
      <c r="D615" s="16" t="inlineStr">
        <is>
          <t>128-02839708283513971</t>
        </is>
      </c>
      <c r="E615" s="16" t="inlineStr">
        <is>
          <t>Delivered</t>
        </is>
      </c>
      <c r="F615" s="16" t="inlineStr">
        <is>
          <t>AIR50W06-2P</t>
        </is>
      </c>
      <c r="G615" s="16" t="inlineStr">
        <is>
          <t>Link Bits Ventilador de piso de 16 pulgadas, 2 unidades, 3 velocidades, motor silencioso, flujo de aire fuerte, altura ajustable, oscilación amplia, ventilador eléctrico para el hogar, ideal para sala, recámara y oficina</t>
        </is>
      </c>
      <c r="H615" s="16" t="inlineStr">
        <is>
          <t>2PZ</t>
        </is>
      </c>
      <c r="I615" s="16" t="n">
        <v>1</v>
      </c>
      <c r="J615" s="17" t="n">
        <v>435</v>
      </c>
      <c r="K615" s="17" t="n">
        <v>454.51</v>
      </c>
      <c r="L615" s="17" t="n">
        <v>0</v>
      </c>
      <c r="M615" s="17" t="n">
        <v>0</v>
      </c>
      <c r="N615" s="17">
        <f>K615*0.08+L615*0.08</f>
        <v/>
      </c>
      <c r="O615" s="17">
        <f>-(K615*0.025+L615*0.025)</f>
        <v/>
      </c>
      <c r="P615" s="17">
        <f>32</f>
        <v/>
      </c>
      <c r="Q615" s="17">
        <f>J615+L615+N615+O615-P615-M615</f>
        <v/>
      </c>
    </row>
    <row r="616">
      <c r="A616" s="16" t="inlineStr">
        <is>
          <t>5.1-5.7</t>
        </is>
      </c>
      <c r="B616" s="16" t="inlineStr">
        <is>
          <t>PO-128-02830487900793193</t>
        </is>
      </c>
      <c r="C616" s="16" t="inlineStr">
        <is>
          <t>Delivered</t>
        </is>
      </c>
      <c r="D616" s="16" t="inlineStr">
        <is>
          <t>128-02830647808633193</t>
        </is>
      </c>
      <c r="E616" s="16" t="inlineStr">
        <is>
          <t>Delivered</t>
        </is>
      </c>
      <c r="F616" s="16" t="inlineStr">
        <is>
          <t>FA028</t>
        </is>
      </c>
      <c r="G616" s="16" t="inlineStr">
        <is>
          <t>Extractor de agua para garrafas de agua, compatible con carga USB, extractor de agua automático, práctico, con dos modos de toma de agua: manual y programado, ideal para dormitorios, salones, oficinas, uso al aire libre y otros escenarios.</t>
        </is>
      </c>
      <c r="H616" s="16" t="inlineStr">
        <is>
          <t>FA028</t>
        </is>
      </c>
      <c r="I616" s="16" t="n">
        <v>1</v>
      </c>
      <c r="J616" s="17" t="n">
        <v>30.99</v>
      </c>
      <c r="K616" s="17" t="n">
        <v>40.59</v>
      </c>
      <c r="L616" s="17" t="n">
        <v>25.86</v>
      </c>
      <c r="M616" s="17" t="n">
        <v>0</v>
      </c>
      <c r="N616" s="17">
        <f>K616*0.08+L616*0.08</f>
        <v/>
      </c>
      <c r="O616" s="17">
        <f>-(K616*0.025+L616*0.025)</f>
        <v/>
      </c>
      <c r="P616" s="17">
        <f>32</f>
        <v/>
      </c>
      <c r="Q616" s="17">
        <f>J616+L616+N616+O616-P616-M616</f>
        <v/>
      </c>
    </row>
    <row r="617">
      <c r="A617" s="16" t="inlineStr">
        <is>
          <t>5.1-5.7</t>
        </is>
      </c>
      <c r="B617" s="16" t="inlineStr">
        <is>
          <t>PO-128-03288069192310272</t>
        </is>
      </c>
      <c r="C617" s="16" t="inlineStr">
        <is>
          <t>Delivered</t>
        </is>
      </c>
      <c r="D617" s="16" t="inlineStr">
        <is>
          <t>128-03288111135350272</t>
        </is>
      </c>
      <c r="E617" s="16" t="inlineStr">
        <is>
          <t>Delivered</t>
        </is>
      </c>
      <c r="F617" s="16" t="inlineStr">
        <is>
          <t>BS-22</t>
        </is>
      </c>
      <c r="G617" s="16" t="inlineStr">
        <is>
          <t>link bits Barra de Sonido para TV, 2x2" Altavoces + 2 Membranas de Graves, Sonido Claro ≥80dB, Bluetooth Inalámbrico, Conexiones AUX/USB, Diseño Compacto 76cm, Sonido Envolvente 3D para Cine en Casa, PC, Juegos y Fiestas</t>
        </is>
      </c>
      <c r="H617" s="16" t="inlineStr">
        <is>
          <t>BS-22</t>
        </is>
      </c>
      <c r="I617" s="16" t="n">
        <v>1</v>
      </c>
      <c r="J617" s="17" t="n">
        <v>250</v>
      </c>
      <c r="K617" s="17" t="n">
        <v>246.17</v>
      </c>
      <c r="L617" s="17" t="n">
        <v>0</v>
      </c>
      <c r="M617" s="17" t="n">
        <v>0</v>
      </c>
      <c r="N617" s="17">
        <f>K617*0.08+L617*0.08</f>
        <v/>
      </c>
      <c r="O617" s="17">
        <f>-(K617*0.025+L617*0.025)</f>
        <v/>
      </c>
      <c r="P617" s="17">
        <f>32</f>
        <v/>
      </c>
      <c r="Q617" s="17">
        <f>J617+L617+N617+O617-P617-M617</f>
        <v/>
      </c>
    </row>
    <row r="618">
      <c r="A618" s="16" t="inlineStr">
        <is>
          <t>5.1-5.7</t>
        </is>
      </c>
      <c r="B618" s="16" t="inlineStr">
        <is>
          <t>PO-128-03242413199991760</t>
        </is>
      </c>
      <c r="C618" s="16" t="inlineStr">
        <is>
          <t>Delivered</t>
        </is>
      </c>
      <c r="D618" s="16" t="inlineStr">
        <is>
          <t>128-03242455143031760</t>
        </is>
      </c>
      <c r="E618" s="16" t="inlineStr">
        <is>
          <t>Delivered</t>
        </is>
      </c>
      <c r="F618" s="16" t="inlineStr">
        <is>
          <t>LV34W04</t>
        </is>
      </c>
      <c r="G61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618" s="16" t="inlineStr">
        <is>
          <t>LV34W04</t>
        </is>
      </c>
      <c r="I618" s="16" t="n">
        <v>1</v>
      </c>
      <c r="J618" s="17" t="n">
        <v>197.4</v>
      </c>
      <c r="K618" s="17" t="n">
        <v>190.93</v>
      </c>
      <c r="L618" s="17" t="n">
        <v>25.86</v>
      </c>
      <c r="M618" s="17" t="n">
        <v>0</v>
      </c>
      <c r="N618" s="17">
        <f>K618*0.08+L618*0.08</f>
        <v/>
      </c>
      <c r="O618" s="17">
        <f>-(K618*0.025+L618*0.025)</f>
        <v/>
      </c>
      <c r="P618" s="17">
        <f>32</f>
        <v/>
      </c>
      <c r="Q618" s="17">
        <f>J618+L618+N618+O618-P618-M618</f>
        <v/>
      </c>
    </row>
    <row r="619">
      <c r="A619" s="16" t="inlineStr">
        <is>
          <t>5.1-5.7</t>
        </is>
      </c>
      <c r="B619" s="16" t="inlineStr">
        <is>
          <t>PO-128-03066656092792808</t>
        </is>
      </c>
      <c r="C619" s="16" t="inlineStr">
        <is>
          <t>Delivered</t>
        </is>
      </c>
      <c r="D619" s="16" t="inlineStr">
        <is>
          <t>128-03066593178232808</t>
        </is>
      </c>
      <c r="E619" s="16" t="inlineStr">
        <is>
          <t>Delivered</t>
        </is>
      </c>
      <c r="F619" s="16" t="inlineStr">
        <is>
          <t>LB02235-rojo</t>
        </is>
      </c>
      <c r="G619" s="16" t="inlineStr">
        <is>
          <t>Audífonos Inalámbricos para la Cabeza, Recargables y Multifuncionales - Conectan a Varios Dispositivos, soportan Radio FM, Tarjeta TF y AUX - 4 Horas de Reproducción Musical - Ideal para Trabajo Cotidiano, Juegos y Estudio</t>
        </is>
      </c>
      <c r="H619" s="16" t="inlineStr">
        <is>
          <t>ROJO</t>
        </is>
      </c>
      <c r="I619" s="16" t="n">
        <v>1</v>
      </c>
      <c r="J619" s="17" t="n">
        <v>41</v>
      </c>
      <c r="K619" s="17" t="n">
        <v>14.42</v>
      </c>
      <c r="L619" s="17" t="n">
        <v>12.4</v>
      </c>
      <c r="M619" s="17" t="n">
        <v>1.21</v>
      </c>
      <c r="N619" s="17">
        <f>K619*0.08+L619*0.08</f>
        <v/>
      </c>
      <c r="O619" s="17">
        <f>-(K619*0.025+L619*0.025)</f>
        <v/>
      </c>
      <c r="P619" s="17">
        <f>32</f>
        <v/>
      </c>
      <c r="Q619" s="17">
        <f>J619+L619+N619+O619-P619-M619</f>
        <v/>
      </c>
    </row>
    <row r="620">
      <c r="A620" s="16" t="inlineStr">
        <is>
          <t>5.1-5.7</t>
        </is>
      </c>
      <c r="B620" s="16" t="inlineStr">
        <is>
          <t>PO-128-03066656092792808</t>
        </is>
      </c>
      <c r="C620" s="16" t="inlineStr">
        <is>
          <t>Delivered</t>
        </is>
      </c>
      <c r="D620" s="16" t="inlineStr">
        <is>
          <t>128-03066677064312808</t>
        </is>
      </c>
      <c r="E620" s="16" t="inlineStr">
        <is>
          <t>Delivered</t>
        </is>
      </c>
      <c r="F620" s="16" t="inlineStr">
        <is>
          <t>VA384T-A</t>
        </is>
      </c>
      <c r="G620" s="16" t="inlineStr">
        <is>
          <t>Bocina Portátil Bluetooth de 3 Pulgadas con Radio FM, USB TF TWS, Sonido Estéreo 5W, Bocina Recargable para Hogar Exterior Viaje Fiesta Camping</t>
        </is>
      </c>
      <c r="H620" s="16" t="inlineStr">
        <is>
          <t>AZUL</t>
        </is>
      </c>
      <c r="I620" s="16" t="n">
        <v>1</v>
      </c>
      <c r="J620" s="17" t="n">
        <v>48</v>
      </c>
      <c r="K620" s="17" t="n">
        <v>15.66</v>
      </c>
      <c r="L620" s="17" t="n">
        <v>13.47</v>
      </c>
      <c r="M620" s="17" t="n">
        <v>0.26</v>
      </c>
      <c r="N620" s="17">
        <f>K620*0.08+L620*0.08</f>
        <v/>
      </c>
      <c r="O620" s="17">
        <f>-(K620*0.025+L620*0.025)</f>
        <v/>
      </c>
      <c r="P620" s="17">
        <f>32</f>
        <v/>
      </c>
      <c r="Q620" s="17">
        <f>J620+L620+N620+O620-P620-M620</f>
        <v/>
      </c>
    </row>
    <row r="621">
      <c r="A621" s="16" t="inlineStr">
        <is>
          <t>5.1-5.7</t>
        </is>
      </c>
      <c r="B621" s="16" t="inlineStr">
        <is>
          <t>PO-128-02952555648632336</t>
        </is>
      </c>
      <c r="C621" s="16" t="inlineStr">
        <is>
          <t>Delivered</t>
        </is>
      </c>
      <c r="D621" s="16" t="inlineStr">
        <is>
          <t>128-02952566134392336</t>
        </is>
      </c>
      <c r="E621" s="16" t="inlineStr">
        <is>
          <t>Delivered</t>
        </is>
      </c>
      <c r="F621" s="16" t="inlineStr">
        <is>
          <t>MCM-001G</t>
        </is>
      </c>
      <c r="G621" s="16" t="inlineStr">
        <is>
          <t>Musicord Altavoz Inalámbrico BT Portátil: ¡Sonido impactante, luces LED multicolores y 4 horas de autonomía! Compatible con TWS, FM, TF y USB – Imprescindible para fiestas y viajes</t>
        </is>
      </c>
      <c r="H621" s="16" t="inlineStr">
        <is>
          <t>GRIS</t>
        </is>
      </c>
      <c r="I621" s="16" t="n">
        <v>1</v>
      </c>
      <c r="J621" s="17" t="n">
        <v>51.06</v>
      </c>
      <c r="K621" s="17" t="n">
        <v>36.62</v>
      </c>
      <c r="L621" s="17" t="n">
        <v>25.86</v>
      </c>
      <c r="M621" s="17" t="n">
        <v>0</v>
      </c>
      <c r="N621" s="17">
        <f>K621*0.08+L621*0.08</f>
        <v/>
      </c>
      <c r="O621" s="17">
        <f>-(K621*0.025+L621*0.025)</f>
        <v/>
      </c>
      <c r="P621" s="17">
        <f>32</f>
        <v/>
      </c>
      <c r="Q621" s="17">
        <f>J621+L621+N621+O621-P621-M621</f>
        <v/>
      </c>
    </row>
    <row r="622">
      <c r="A622" s="16" t="inlineStr">
        <is>
          <t>5.1-5.7</t>
        </is>
      </c>
      <c r="B622" s="16" t="inlineStr">
        <is>
          <t>PO-128-02856505498233868</t>
        </is>
      </c>
      <c r="C622" s="16" t="inlineStr">
        <is>
          <t>Delivered</t>
        </is>
      </c>
      <c r="D622" s="16" t="inlineStr">
        <is>
          <t>128-02856515983993868</t>
        </is>
      </c>
      <c r="E622" s="16" t="inlineStr">
        <is>
          <t>Delivered</t>
        </is>
      </c>
      <c r="F622" s="16" t="inlineStr">
        <is>
          <t>LB02235-blanco</t>
        </is>
      </c>
      <c r="G622" s="16" t="inlineStr">
        <is>
          <t>Audífonos Inalámbricos para la Cabeza, Recargables y Multifuncionales - Conectan a Varios Dispositivos, soportan Radio FM, Tarjeta TF y AUX - 4 Horas de Reproducción Musical - Ideal para Trabajo Cotidiano, Juegos y Estudio</t>
        </is>
      </c>
      <c r="H622" s="16" t="inlineStr">
        <is>
          <t>BLANCO</t>
        </is>
      </c>
      <c r="I622" s="16" t="n">
        <v>1</v>
      </c>
      <c r="J622" s="17" t="n">
        <v>35</v>
      </c>
      <c r="K622" s="17" t="n">
        <v>48.12</v>
      </c>
      <c r="L622" s="17" t="n">
        <v>25.86</v>
      </c>
      <c r="M622" s="17" t="n">
        <v>0</v>
      </c>
      <c r="N622" s="17">
        <f>K622*0.08+L622*0.08</f>
        <v/>
      </c>
      <c r="O622" s="17">
        <f>-(K622*0.025+L622*0.025)</f>
        <v/>
      </c>
      <c r="P622" s="17">
        <f>32</f>
        <v/>
      </c>
      <c r="Q622" s="17">
        <f>J622+L622+N622+O622-P622-M622</f>
        <v/>
      </c>
    </row>
    <row r="623">
      <c r="A623" s="16" t="inlineStr">
        <is>
          <t>5.1-5.7</t>
        </is>
      </c>
      <c r="B623" s="16" t="inlineStr">
        <is>
          <t>PO-128-03319670907510212</t>
        </is>
      </c>
      <c r="C623" s="16" t="inlineStr">
        <is>
          <t>Delivered</t>
        </is>
      </c>
      <c r="D623" s="16" t="inlineStr">
        <is>
          <t>128-03319628964470212</t>
        </is>
      </c>
      <c r="E623" s="16" t="inlineStr">
        <is>
          <t>Delivered</t>
        </is>
      </c>
      <c r="F623" s="16" t="inlineStr">
        <is>
          <t>KTS-1678N</t>
        </is>
      </c>
      <c r="G623" s="16" t="inlineStr">
        <is>
          <t>Bocina portátil Inalámbrico, de 3 pulgadas, tamaño de bolsillo, 170 g, con asa, compatible con TF, USB y Micro SD, con radio FM y función TWS (True Wireless Stereo), adecuada para relajarse en casa o viajar al aire libre.</t>
        </is>
      </c>
      <c r="H623" s="16" t="inlineStr">
        <is>
          <t>KTS-1678N</t>
        </is>
      </c>
      <c r="I623" s="16" t="n">
        <v>1</v>
      </c>
      <c r="J623" s="17" t="n">
        <v>40</v>
      </c>
      <c r="K623" s="17" t="n">
        <v>3.12</v>
      </c>
      <c r="L623" s="17" t="n">
        <v>25.86</v>
      </c>
      <c r="M623" s="17" t="n">
        <v>0</v>
      </c>
      <c r="N623" s="17">
        <f>K623*0.08+L623*0.08</f>
        <v/>
      </c>
      <c r="O623" s="17">
        <f>-(K623*0.025+L623*0.025)</f>
        <v/>
      </c>
      <c r="P623" s="17">
        <f>32</f>
        <v/>
      </c>
      <c r="Q623" s="17">
        <f>J623+L623+N623+O623-P623-M623</f>
        <v/>
      </c>
    </row>
    <row r="624">
      <c r="A624" s="16" t="inlineStr">
        <is>
          <t>5.1-5.7</t>
        </is>
      </c>
      <c r="B624" s="16" t="inlineStr">
        <is>
          <t>PO-128-03037346744952857</t>
        </is>
      </c>
      <c r="C624" s="16" t="inlineStr">
        <is>
          <t>Delivered</t>
        </is>
      </c>
      <c r="D624" s="16" t="inlineStr">
        <is>
          <t>128-03037325773432857</t>
        </is>
      </c>
      <c r="E624" s="16" t="inlineStr">
        <is>
          <t>Delivered</t>
        </is>
      </c>
      <c r="F624" s="16" t="inlineStr">
        <is>
          <t>AIR50W06-2P</t>
        </is>
      </c>
      <c r="G624" s="16" t="inlineStr">
        <is>
          <t>Link Bits Ventilador de piso de 16 pulgadas, 2 unidades, 3 velocidades, motor silencioso, flujo de aire fuerte, altura ajustable, oscilación amplia, ventilador eléctrico para el hogar, ideal para sala, recámara y oficina</t>
        </is>
      </c>
      <c r="H624" s="16" t="inlineStr">
        <is>
          <t>2PZ</t>
        </is>
      </c>
      <c r="I624" s="16" t="n">
        <v>1</v>
      </c>
      <c r="J624" s="17" t="n">
        <v>435</v>
      </c>
      <c r="K624" s="17" t="n">
        <v>568.13</v>
      </c>
      <c r="L624" s="17" t="n">
        <v>0</v>
      </c>
      <c r="M624" s="17" t="n">
        <v>0</v>
      </c>
      <c r="N624" s="17">
        <f>K624*0.08+L624*0.08</f>
        <v/>
      </c>
      <c r="O624" s="17">
        <f>-(K624*0.025+L624*0.025)</f>
        <v/>
      </c>
      <c r="P624" s="17">
        <f>32</f>
        <v/>
      </c>
      <c r="Q624" s="17">
        <f>J624+L624+N624+O624-P624-M624</f>
        <v/>
      </c>
    </row>
    <row r="625">
      <c r="A625" s="16" t="inlineStr">
        <is>
          <t>5.1-5.7</t>
        </is>
      </c>
      <c r="B625" s="16" t="inlineStr">
        <is>
          <t>PO-128-03406925870710716</t>
        </is>
      </c>
      <c r="C625" s="16" t="inlineStr">
        <is>
          <t>Delivered</t>
        </is>
      </c>
      <c r="D625" s="16" t="inlineStr">
        <is>
          <t>128-03406883927670716</t>
        </is>
      </c>
      <c r="E625" s="16" t="inlineStr">
        <is>
          <t>Delivered</t>
        </is>
      </c>
      <c r="F625" s="16" t="inlineStr">
        <is>
          <t>AIR50W06-2P</t>
        </is>
      </c>
      <c r="G625" s="16" t="inlineStr">
        <is>
          <t>Link Bits Ventilador de piso de 16 pulgadas, 2 unidades, 3 velocidades, motor silencioso, flujo de aire fuerte, altura ajustable, oscilación amplia, ventilador eléctrico para el hogar, ideal para sala, recámara y oficina</t>
        </is>
      </c>
      <c r="H625" s="16" t="inlineStr">
        <is>
          <t>2PZ</t>
        </is>
      </c>
      <c r="I625" s="16" t="n">
        <v>1</v>
      </c>
      <c r="J625" s="17" t="n">
        <v>435</v>
      </c>
      <c r="K625" s="17" t="n">
        <v>568.13</v>
      </c>
      <c r="L625" s="17" t="n">
        <v>0</v>
      </c>
      <c r="M625" s="17" t="n">
        <v>0</v>
      </c>
      <c r="N625" s="17">
        <f>K625*0.08+L625*0.08</f>
        <v/>
      </c>
      <c r="O625" s="17">
        <f>-(K625*0.025+L625*0.025)</f>
        <v/>
      </c>
      <c r="P625" s="17">
        <f>32</f>
        <v/>
      </c>
      <c r="Q625" s="17">
        <f>J625+L625+N625+O625-P625-M625</f>
        <v/>
      </c>
    </row>
    <row r="626">
      <c r="A626" s="16" t="inlineStr">
        <is>
          <t>5.1-5.7</t>
        </is>
      </c>
      <c r="B626" s="16" t="inlineStr">
        <is>
          <t>PO-128-03219913022071894</t>
        </is>
      </c>
      <c r="C626" s="16" t="inlineStr">
        <is>
          <t>Delivered</t>
        </is>
      </c>
      <c r="D626" s="16" t="inlineStr">
        <is>
          <t>128-03220017879671894</t>
        </is>
      </c>
      <c r="E626" s="16" t="inlineStr">
        <is>
          <t>Delivered</t>
        </is>
      </c>
      <c r="F626" s="16" t="inlineStr">
        <is>
          <t>MB-185R</t>
        </is>
      </c>
      <c r="G626" s="16" t="inlineStr">
        <is>
          <t>Bocina Radio FM/Reproductor, Compatible con Tarjeta TF, USB, Bluetooth, Aplicable para celular, computadora, Ipad y consola.</t>
        </is>
      </c>
      <c r="H626" s="16" t="inlineStr">
        <is>
          <t>ROJO/MB-185</t>
        </is>
      </c>
      <c r="I626" s="16" t="n">
        <v>1</v>
      </c>
      <c r="J626" s="17" t="n">
        <v>71.31</v>
      </c>
      <c r="K626" s="17" t="n">
        <v>84.26000000000001</v>
      </c>
      <c r="L626" s="17" t="n">
        <v>25.86</v>
      </c>
      <c r="M626" s="17" t="n">
        <v>0</v>
      </c>
      <c r="N626" s="17">
        <f>K626*0.08+L626*0.08</f>
        <v/>
      </c>
      <c r="O626" s="17">
        <f>-(K626*0.025+L626*0.025)</f>
        <v/>
      </c>
      <c r="P626" s="17">
        <f>32</f>
        <v/>
      </c>
      <c r="Q626" s="17">
        <f>J626+L626+N626+O626-P626-M626</f>
        <v/>
      </c>
    </row>
    <row r="627">
      <c r="A627" s="16" t="inlineStr">
        <is>
          <t>5.1-5.7</t>
        </is>
      </c>
      <c r="B627" s="16" t="inlineStr">
        <is>
          <t>PO-128-02804797164153283</t>
        </is>
      </c>
      <c r="C627" s="16" t="inlineStr">
        <is>
          <t>Delivered</t>
        </is>
      </c>
      <c r="D627" s="16" t="inlineStr">
        <is>
          <t>128-02804755221113283</t>
        </is>
      </c>
      <c r="E627" s="16" t="inlineStr">
        <is>
          <t>Delivered</t>
        </is>
      </c>
      <c r="F627" s="16" t="inlineStr">
        <is>
          <t>SA325T</t>
        </is>
      </c>
      <c r="G627" s="16" t="inlineStr">
        <is>
          <t>Subwoofer Portátil Inalámbrico con Luces RGB, Sonido de Alta Potencia y Batería Duradera, TWS TF USB, Perfecto para Campamento Fiestas y Entretenimiento en Casa</t>
        </is>
      </c>
      <c r="H627" s="16" t="inlineStr">
        <is>
          <t>NEGRO</t>
        </is>
      </c>
      <c r="I627" s="16" t="n">
        <v>10</v>
      </c>
      <c r="J627" s="17" t="n">
        <v>360</v>
      </c>
      <c r="K627" s="17" t="n">
        <v>383</v>
      </c>
      <c r="L627" s="17" t="n">
        <v>0</v>
      </c>
      <c r="M627" s="17" t="n">
        <v>0</v>
      </c>
      <c r="N627" s="17">
        <f>K627*0.08+L627*0.08</f>
        <v/>
      </c>
      <c r="O627" s="17">
        <f>-(K627*0.025+L627*0.025)</f>
        <v/>
      </c>
      <c r="P627" s="17">
        <f>32</f>
        <v/>
      </c>
      <c r="Q627" s="17">
        <f>J627+L627+N627+O627-P627-M627</f>
        <v/>
      </c>
    </row>
    <row r="628">
      <c r="A628" s="16" t="inlineStr">
        <is>
          <t>5.1-5.7</t>
        </is>
      </c>
      <c r="B628" s="16" t="inlineStr">
        <is>
          <t>PO-128-02882012570233716</t>
        </is>
      </c>
      <c r="C628" s="16" t="inlineStr">
        <is>
          <t>Delivered</t>
        </is>
      </c>
      <c r="D628" s="16" t="inlineStr">
        <is>
          <t>128-02881998152313716</t>
        </is>
      </c>
      <c r="E628" s="16" t="inlineStr">
        <is>
          <t>Delivered</t>
        </is>
      </c>
      <c r="F628" s="16" t="inlineStr">
        <is>
          <t>LB02235-negro</t>
        </is>
      </c>
      <c r="G628" s="16" t="inlineStr">
        <is>
          <t>Audífonos Inalámbricos para la Cabeza, Recargables y Multifuncionales - Conectan a Varios Dispositivos, soportan Radio FM, Tarjeta TF y AUX - 4 Horas de Reproducción Musical - Ideal para Trabajo Cotidiano, Juegos y Estudio</t>
        </is>
      </c>
      <c r="H628" s="16" t="inlineStr">
        <is>
          <t>NEGRO</t>
        </is>
      </c>
      <c r="I628" s="16" t="n">
        <v>3</v>
      </c>
      <c r="J628" s="17" t="n">
        <v>105</v>
      </c>
      <c r="K628" s="17" t="n">
        <v>144.36</v>
      </c>
      <c r="L628" s="17" t="n">
        <v>25.86</v>
      </c>
      <c r="M628" s="17" t="n">
        <v>0</v>
      </c>
      <c r="N628" s="17">
        <f>K628*0.08+L628*0.08</f>
        <v/>
      </c>
      <c r="O628" s="17">
        <f>-(K628*0.025+L628*0.025)</f>
        <v/>
      </c>
      <c r="P628" s="17">
        <f>32</f>
        <v/>
      </c>
      <c r="Q628" s="17">
        <f>J628+L628+N628+O628-P628-M628</f>
        <v/>
      </c>
    </row>
    <row r="629">
      <c r="A629" s="16" t="inlineStr">
        <is>
          <t>5.1-5.7</t>
        </is>
      </c>
      <c r="B629" s="16" t="inlineStr">
        <is>
          <t>PO-128-02891174001273790</t>
        </is>
      </c>
      <c r="C629" s="16" t="inlineStr">
        <is>
          <t>Delivered</t>
        </is>
      </c>
      <c r="D629" s="16" t="inlineStr">
        <is>
          <t>128-02891194972793790</t>
        </is>
      </c>
      <c r="E629" s="16" t="inlineStr">
        <is>
          <t>Delivered</t>
        </is>
      </c>
      <c r="F629" s="16" t="inlineStr">
        <is>
          <t>LB02235-negro</t>
        </is>
      </c>
      <c r="G629" s="16" t="inlineStr">
        <is>
          <t>Audífonos Inalámbricos para la Cabeza, Recargables y Multifuncionales - Conectan a Varios Dispositivos, soportan Radio FM, Tarjeta TF y AUX - 4 Horas de Reproducción Musical - Ideal para Trabajo Cotidiano, Juegos y Estudio</t>
        </is>
      </c>
      <c r="H629" s="16" t="inlineStr">
        <is>
          <t>NEGRO</t>
        </is>
      </c>
      <c r="I629" s="16" t="n">
        <v>1</v>
      </c>
      <c r="J629" s="17" t="n">
        <v>35</v>
      </c>
      <c r="K629" s="17" t="n">
        <v>48.12</v>
      </c>
      <c r="L629" s="17" t="n">
        <v>25.86</v>
      </c>
      <c r="M629" s="17" t="n">
        <v>0</v>
      </c>
      <c r="N629" s="17">
        <f>K629*0.08+L629*0.08</f>
        <v/>
      </c>
      <c r="O629" s="17">
        <f>-(K629*0.025+L629*0.025)</f>
        <v/>
      </c>
      <c r="P629" s="17">
        <f>32</f>
        <v/>
      </c>
      <c r="Q629" s="17">
        <f>J629+L629+N629+O629-P629-M629</f>
        <v/>
      </c>
    </row>
    <row r="630">
      <c r="A630" s="16" t="inlineStr">
        <is>
          <t>5.1-5.7</t>
        </is>
      </c>
      <c r="B630" s="16" t="inlineStr">
        <is>
          <t>PO-128-02882720487033712</t>
        </is>
      </c>
      <c r="C630" s="16" t="inlineStr">
        <is>
          <t>Delivered</t>
        </is>
      </c>
      <c r="D630" s="16" t="inlineStr">
        <is>
          <t>128-02882762430073712</t>
        </is>
      </c>
      <c r="E630" s="16" t="inlineStr">
        <is>
          <t>Delivered</t>
        </is>
      </c>
      <c r="F630" s="16" t="inlineStr">
        <is>
          <t>LB02235-negro</t>
        </is>
      </c>
      <c r="G630" s="16" t="inlineStr">
        <is>
          <t>Audífonos Inalámbricos para la Cabeza, Recargables y Multifuncionales - Conectan a Varios Dispositivos, soportan Radio FM, Tarjeta TF y AUX - 4 Horas de Reproducción Musical - Ideal para Trabajo Cotidiano, Juegos y Estudio</t>
        </is>
      </c>
      <c r="H630" s="16" t="inlineStr">
        <is>
          <t>NEGRO</t>
        </is>
      </c>
      <c r="I630" s="16" t="n">
        <v>1</v>
      </c>
      <c r="J630" s="17" t="n">
        <v>35</v>
      </c>
      <c r="K630" s="17" t="n">
        <v>48.12</v>
      </c>
      <c r="L630" s="17" t="n">
        <v>25.86</v>
      </c>
      <c r="M630" s="17" t="n">
        <v>0</v>
      </c>
      <c r="N630" s="17">
        <f>K630*0.08+L630*0.08</f>
        <v/>
      </c>
      <c r="O630" s="17">
        <f>-(K630*0.025+L630*0.025)</f>
        <v/>
      </c>
      <c r="P630" s="17">
        <f>32</f>
        <v/>
      </c>
      <c r="Q630" s="17">
        <f>J630+L630+N630+O630-P630-M630</f>
        <v/>
      </c>
    </row>
    <row r="631">
      <c r="A631" s="16" t="inlineStr">
        <is>
          <t>5.1-5.7</t>
        </is>
      </c>
      <c r="B631" s="16" t="inlineStr">
        <is>
          <t>PO-128-02751204444793472</t>
        </is>
      </c>
      <c r="C631" s="16" t="inlineStr">
        <is>
          <t>Delivered</t>
        </is>
      </c>
      <c r="D631" s="16" t="inlineStr">
        <is>
          <t>128-02751186094713472</t>
        </is>
      </c>
      <c r="E631" s="16" t="inlineStr">
        <is>
          <t>Delivered</t>
        </is>
      </c>
      <c r="F631" s="16" t="inlineStr">
        <is>
          <t>LB02235-negro</t>
        </is>
      </c>
      <c r="G631" s="16" t="inlineStr">
        <is>
          <t>Audífonos Inalámbricos para la Cabeza, Recargables y Multifuncionales - Conectan a Varios Dispositivos, soportan Radio FM, Tarjeta TF y AUX - 4 Horas de Reproducción Musical - Ideal para Trabajo Cotidiano, Juegos y Estudio</t>
        </is>
      </c>
      <c r="H631" s="16" t="inlineStr">
        <is>
          <t>NEGRO</t>
        </is>
      </c>
      <c r="I631" s="16" t="n">
        <v>1</v>
      </c>
      <c r="J631" s="17" t="n">
        <v>35</v>
      </c>
      <c r="K631" s="17" t="n">
        <v>42.02</v>
      </c>
      <c r="L631" s="17" t="n">
        <v>12.93</v>
      </c>
      <c r="M631" s="17" t="n">
        <v>0</v>
      </c>
      <c r="N631" s="17">
        <f>K631*0.08+L631*0.08</f>
        <v/>
      </c>
      <c r="O631" s="17">
        <f>-(K631*0.025+L631*0.025)</f>
        <v/>
      </c>
      <c r="P631" s="17">
        <f>32</f>
        <v/>
      </c>
      <c r="Q631" s="17">
        <f>J631+L631+N631+O631-P631-M631</f>
        <v/>
      </c>
    </row>
    <row r="632">
      <c r="A632" s="16" t="inlineStr">
        <is>
          <t>5.1-5.7</t>
        </is>
      </c>
      <c r="B632" s="16" t="inlineStr">
        <is>
          <t>PO-128-02751204444793472</t>
        </is>
      </c>
      <c r="C632" s="16" t="inlineStr">
        <is>
          <t>Delivered</t>
        </is>
      </c>
      <c r="D632" s="16" t="inlineStr">
        <is>
          <t>128-02751193959033472</t>
        </is>
      </c>
      <c r="E632" s="16" t="inlineStr">
        <is>
          <t>Delivered</t>
        </is>
      </c>
      <c r="F632" s="16" t="inlineStr">
        <is>
          <t>LB02235-azul</t>
        </is>
      </c>
      <c r="G632" s="16" t="inlineStr">
        <is>
          <t>Audífonos Inalámbricos para la Cabeza, Recargables y Multifuncionales - Conectan a Varios Dispositivos, soportan Radio FM, Tarjeta TF y AUX - 4 Horas de Reproducción Musical - Ideal para Trabajo Cotidiano, Juegos y Estudio</t>
        </is>
      </c>
      <c r="H632" s="16" t="inlineStr">
        <is>
          <t>AZUL</t>
        </is>
      </c>
      <c r="I632" s="16" t="n">
        <v>1</v>
      </c>
      <c r="J632" s="17" t="n">
        <v>35</v>
      </c>
      <c r="K632" s="17" t="n">
        <v>42.02</v>
      </c>
      <c r="L632" s="17" t="n">
        <v>12.93</v>
      </c>
      <c r="M632" s="17" t="n">
        <v>0</v>
      </c>
      <c r="N632" s="17">
        <f>K632*0.08+L632*0.08</f>
        <v/>
      </c>
      <c r="O632" s="17">
        <f>-(K632*0.025+L632*0.025)</f>
        <v/>
      </c>
      <c r="P632" s="17">
        <f>32</f>
        <v/>
      </c>
      <c r="Q632" s="17">
        <f>J632+L632+N632+O632-P632-M632</f>
        <v/>
      </c>
    </row>
    <row r="633">
      <c r="A633" s="16" t="inlineStr">
        <is>
          <t>5.1-5.7</t>
        </is>
      </c>
      <c r="B633" s="16" t="inlineStr">
        <is>
          <t>PO-128-02762564762233532</t>
        </is>
      </c>
      <c r="C633" s="16" t="inlineStr">
        <is>
          <t>Delivered</t>
        </is>
      </c>
      <c r="D633" s="16" t="inlineStr">
        <is>
          <t>128-02762669619833532</t>
        </is>
      </c>
      <c r="E633" s="16" t="inlineStr">
        <is>
          <t>Delivered</t>
        </is>
      </c>
      <c r="F633" s="16" t="inlineStr">
        <is>
          <t>LV34W04</t>
        </is>
      </c>
      <c r="G633"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633" s="16" t="inlineStr">
        <is>
          <t>LV34W04</t>
        </is>
      </c>
      <c r="I633" s="16" t="n">
        <v>1</v>
      </c>
      <c r="J633" s="17" t="n">
        <v>197.4</v>
      </c>
      <c r="K633" s="17" t="n">
        <v>234.03</v>
      </c>
      <c r="L633" s="17" t="n">
        <v>25.86</v>
      </c>
      <c r="M633" s="17" t="n">
        <v>0</v>
      </c>
      <c r="N633" s="17">
        <f>K633*0.08+L633*0.08</f>
        <v/>
      </c>
      <c r="O633" s="17">
        <f>-(K633*0.025+L633*0.025)</f>
        <v/>
      </c>
      <c r="P633" s="17">
        <f>32</f>
        <v/>
      </c>
      <c r="Q633" s="17">
        <f>J633+L633+N633+O633-P633-M633</f>
        <v/>
      </c>
    </row>
    <row r="634">
      <c r="A634" s="16" t="inlineStr">
        <is>
          <t>5.1-5.7</t>
        </is>
      </c>
      <c r="B634" s="16" t="inlineStr">
        <is>
          <t>PO-128-03125433784951371</t>
        </is>
      </c>
      <c r="C634" s="16" t="inlineStr">
        <is>
          <t>Delivered</t>
        </is>
      </c>
      <c r="D634" s="16" t="inlineStr">
        <is>
          <t>128-03125480970871371</t>
        </is>
      </c>
      <c r="E634" s="16" t="inlineStr">
        <is>
          <t>Delivered</t>
        </is>
      </c>
      <c r="F634" s="16" t="inlineStr">
        <is>
          <t>LB02235-azul</t>
        </is>
      </c>
      <c r="G634" s="16" t="inlineStr">
        <is>
          <t>Audífonos Inalámbricos para la Cabeza, Recargables y Multifuncionales - Conectan a Varios Dispositivos, soportan Radio FM, Tarjeta TF y AUX - 4 Horas de Reproducción Musical - Ideal para Trabajo Cotidiano, Juegos y Estudio</t>
        </is>
      </c>
      <c r="H634" s="16" t="inlineStr">
        <is>
          <t>AZUL</t>
        </is>
      </c>
      <c r="I634" s="16" t="n">
        <v>1</v>
      </c>
      <c r="J634" s="17" t="n">
        <v>35</v>
      </c>
      <c r="K634" s="17" t="n">
        <v>48.12</v>
      </c>
      <c r="L634" s="17" t="n">
        <v>25.86</v>
      </c>
      <c r="M634" s="17" t="n">
        <v>0</v>
      </c>
      <c r="N634" s="17">
        <f>K634*0.08+L634*0.08</f>
        <v/>
      </c>
      <c r="O634" s="17">
        <f>-(K634*0.025+L634*0.025)</f>
        <v/>
      </c>
      <c r="P634" s="17">
        <f>32</f>
        <v/>
      </c>
      <c r="Q634" s="17">
        <f>J634+L634+N634+O634-P634-M634</f>
        <v/>
      </c>
    </row>
    <row r="635">
      <c r="A635" s="16" t="inlineStr">
        <is>
          <t>5.1-5.7</t>
        </is>
      </c>
      <c r="B635" s="16" t="inlineStr">
        <is>
          <t>PO-128-03332699423350006</t>
        </is>
      </c>
      <c r="C635" s="16" t="inlineStr">
        <is>
          <t>Delivered</t>
        </is>
      </c>
      <c r="D635" s="16" t="inlineStr">
        <is>
          <t>128-03332741366390006</t>
        </is>
      </c>
      <c r="E635" s="16" t="inlineStr">
        <is>
          <t>Delivered</t>
        </is>
      </c>
      <c r="F635" s="16" t="inlineStr">
        <is>
          <t>MB-185N</t>
        </is>
      </c>
      <c r="G635" s="16" t="inlineStr">
        <is>
          <t>Bocina Radio FM/Reproductor, Compatible con Tarjeta TF, USB, Bluetooth, Aplicable para celular, computadora, Ipad y consola.</t>
        </is>
      </c>
      <c r="H635" s="16" t="inlineStr">
        <is>
          <t>NEGRO/MB-185</t>
        </is>
      </c>
      <c r="I635" s="16" t="n">
        <v>1</v>
      </c>
      <c r="J635" s="17" t="n">
        <v>71.31</v>
      </c>
      <c r="K635" s="17" t="n">
        <v>84.26000000000001</v>
      </c>
      <c r="L635" s="17" t="n">
        <v>25.86</v>
      </c>
      <c r="M635" s="17" t="n">
        <v>0</v>
      </c>
      <c r="N635" s="17">
        <f>K635*0.08+L635*0.08</f>
        <v/>
      </c>
      <c r="O635" s="17">
        <f>-(K635*0.025+L635*0.025)</f>
        <v/>
      </c>
      <c r="P635" s="17">
        <f>32</f>
        <v/>
      </c>
      <c r="Q635" s="17">
        <f>J635+L635+N635+O635-P635-M635</f>
        <v/>
      </c>
    </row>
    <row r="636">
      <c r="A636" s="16" t="inlineStr">
        <is>
          <t>5.1-5.7</t>
        </is>
      </c>
      <c r="B636" s="16" t="inlineStr">
        <is>
          <t>PO-128-03066211441272810</t>
        </is>
      </c>
      <c r="C636" s="16" t="inlineStr">
        <is>
          <t>Delivered</t>
        </is>
      </c>
      <c r="D636" s="16" t="inlineStr">
        <is>
          <t>128-03066237655672810</t>
        </is>
      </c>
      <c r="E636" s="16" t="inlineStr">
        <is>
          <t>Delivered</t>
        </is>
      </c>
      <c r="F636" s="16" t="inlineStr">
        <is>
          <t>AIR50W06-2P</t>
        </is>
      </c>
      <c r="G636" s="16" t="inlineStr">
        <is>
          <t>Link Bits Ventilador de piso de 16 pulgadas, 2 unidades, 3 velocidades, motor silencioso, flujo de aire fuerte, altura ajustable, oscilación amplia, ventilador eléctrico para el hogar, ideal para sala, recámara y oficina</t>
        </is>
      </c>
      <c r="H636" s="16" t="inlineStr">
        <is>
          <t>2PZ</t>
        </is>
      </c>
      <c r="I636" s="16" t="n">
        <v>1</v>
      </c>
      <c r="J636" s="17" t="n">
        <v>435</v>
      </c>
      <c r="K636" s="17" t="n">
        <v>357.05</v>
      </c>
      <c r="L636" s="17" t="n">
        <v>0</v>
      </c>
      <c r="M636" s="17" t="n">
        <v>152.2</v>
      </c>
      <c r="N636" s="17">
        <f>K636*0.08+L636*0.08</f>
        <v/>
      </c>
      <c r="O636" s="17">
        <f>-(K636*0.025+L636*0.025)</f>
        <v/>
      </c>
      <c r="P636" s="17">
        <f>32</f>
        <v/>
      </c>
      <c r="Q636" s="17">
        <f>J636+L636+N636+O636-P636-M636</f>
        <v/>
      </c>
    </row>
    <row r="637">
      <c r="A637" s="16" t="inlineStr">
        <is>
          <t>5.1-5.7</t>
        </is>
      </c>
      <c r="B637" s="16" t="inlineStr">
        <is>
          <t>PO-128-03246267320951547</t>
        </is>
      </c>
      <c r="C637" s="16" t="inlineStr">
        <is>
          <t>Delivered</t>
        </is>
      </c>
      <c r="D637" s="16" t="inlineStr">
        <is>
          <t>128-03246305331831547</t>
        </is>
      </c>
      <c r="E637" s="16" t="inlineStr">
        <is>
          <t>Delivered</t>
        </is>
      </c>
      <c r="F637" s="16" t="inlineStr">
        <is>
          <t>SA323T</t>
        </is>
      </c>
      <c r="G637" s="16" t="inlineStr">
        <is>
          <t>Linkbits Bocina Portátil Parlantes BT Portátiles con Iluminación de Ambiente | 1 Hora de Duración, FM, TWS, TF/Micro SD | Ideal para Hogar, Fiestas y Viajes</t>
        </is>
      </c>
      <c r="H637" s="16" t="inlineStr">
        <is>
          <t>SA323T</t>
        </is>
      </c>
      <c r="I637" s="16" t="n">
        <v>1</v>
      </c>
      <c r="J637" s="17" t="n">
        <v>44.8</v>
      </c>
      <c r="K637" s="17" t="n">
        <v>53.86</v>
      </c>
      <c r="L637" s="17" t="n">
        <v>25.86</v>
      </c>
      <c r="M637" s="17" t="n">
        <v>0</v>
      </c>
      <c r="N637" s="17">
        <f>K637*0.08+L637*0.08</f>
        <v/>
      </c>
      <c r="O637" s="17">
        <f>-(K637*0.025+L637*0.025)</f>
        <v/>
      </c>
      <c r="P637" s="17">
        <f>32</f>
        <v/>
      </c>
      <c r="Q637" s="17">
        <f>J637+L637+N637+O637-P637-M637</f>
        <v/>
      </c>
    </row>
    <row r="638">
      <c r="A638" s="16" t="inlineStr">
        <is>
          <t>5.1-5.7</t>
        </is>
      </c>
      <c r="B638" s="16" t="inlineStr">
        <is>
          <t>PO-128-03128006707831354</t>
        </is>
      </c>
      <c r="C638" s="16" t="inlineStr">
        <is>
          <t>Delivered</t>
        </is>
      </c>
      <c r="D638" s="16" t="inlineStr">
        <is>
          <t>128-03127975250551354</t>
        </is>
      </c>
      <c r="E638" s="16" t="inlineStr">
        <is>
          <t>Delivered</t>
        </is>
      </c>
      <c r="F638" s="16" t="inlineStr">
        <is>
          <t>LB02235-azul</t>
        </is>
      </c>
      <c r="G638" s="16" t="inlineStr">
        <is>
          <t>Audífonos Inalámbricos para la Cabeza, Recargables y Multifuncionales - Conectan a Varios Dispositivos, soportan Radio FM, Tarjeta TF y AUX - 4 Horas de Reproducción Musical - Ideal para Trabajo Cotidiano, Juegos y Estudio</t>
        </is>
      </c>
      <c r="H638" s="16" t="inlineStr">
        <is>
          <t>AZUL</t>
        </is>
      </c>
      <c r="I638" s="16" t="n">
        <v>1</v>
      </c>
      <c r="J638" s="17" t="n">
        <v>35</v>
      </c>
      <c r="K638" s="17" t="n">
        <v>48.12</v>
      </c>
      <c r="L638" s="17" t="n">
        <v>25.86</v>
      </c>
      <c r="M638" s="17" t="n">
        <v>0</v>
      </c>
      <c r="N638" s="17">
        <f>K638*0.08+L638*0.08</f>
        <v/>
      </c>
      <c r="O638" s="17">
        <f>-(K638*0.025+L638*0.025)</f>
        <v/>
      </c>
      <c r="P638" s="17">
        <f>32</f>
        <v/>
      </c>
      <c r="Q638" s="17">
        <f>J638+L638+N638+O638-P638-M638</f>
        <v/>
      </c>
    </row>
    <row r="639">
      <c r="A639" s="16" t="inlineStr">
        <is>
          <t>5.1-5.7</t>
        </is>
      </c>
      <c r="B639" s="16" t="inlineStr">
        <is>
          <t>PO-128-03396755640950648</t>
        </is>
      </c>
      <c r="C639" s="16" t="inlineStr">
        <is>
          <t>Delivered</t>
        </is>
      </c>
      <c r="D639" s="16" t="inlineStr">
        <is>
          <t>128-03396745155190648</t>
        </is>
      </c>
      <c r="E639" s="16" t="inlineStr">
        <is>
          <t>Delivered</t>
        </is>
      </c>
      <c r="F639" s="16" t="inlineStr">
        <is>
          <t>BS-22</t>
        </is>
      </c>
      <c r="G639" s="16" t="inlineStr">
        <is>
          <t>link bits Barra de Sonido para TV, 2x2" Altavoces + 2 Membranas de Graves, Sonido Claro ≥80dB, Bluetooth Inalámbrico, Conexiones AUX/USB, Diseño Compacto 76cm, Sonido Envolvente 3D para Cine en Casa, PC, Juegos y Fiestas</t>
        </is>
      </c>
      <c r="H639" s="16" t="inlineStr">
        <is>
          <t>BS-22</t>
        </is>
      </c>
      <c r="I639" s="16" t="n">
        <v>1</v>
      </c>
      <c r="J639" s="17" t="n">
        <v>250</v>
      </c>
      <c r="K639" s="17" t="n">
        <v>262.64</v>
      </c>
      <c r="L639" s="17" t="n">
        <v>0</v>
      </c>
      <c r="M639" s="17" t="n">
        <v>0</v>
      </c>
      <c r="N639" s="17">
        <f>K639*0.08+L639*0.08</f>
        <v/>
      </c>
      <c r="O639" s="17">
        <f>-(K639*0.025+L639*0.025)</f>
        <v/>
      </c>
      <c r="P639" s="17">
        <f>32</f>
        <v/>
      </c>
      <c r="Q639" s="17">
        <f>J639+L639+N639+O639-P639-M639</f>
        <v/>
      </c>
    </row>
    <row r="640">
      <c r="A640" s="16" t="inlineStr">
        <is>
          <t>5.1-5.7</t>
        </is>
      </c>
      <c r="B640" s="16" t="inlineStr">
        <is>
          <t>PO-128-02762219274873534</t>
        </is>
      </c>
      <c r="C640" s="16" t="inlineStr">
        <is>
          <t>Delivered</t>
        </is>
      </c>
      <c r="D640" s="16" t="inlineStr">
        <is>
          <t>128-02762250732153534</t>
        </is>
      </c>
      <c r="E640" s="16" t="inlineStr">
        <is>
          <t>Delivered</t>
        </is>
      </c>
      <c r="F640" s="16" t="inlineStr">
        <is>
          <t>BS-22</t>
        </is>
      </c>
      <c r="G640" s="16" t="inlineStr">
        <is>
          <t>link bits Barra de Sonido para TV, 2x2" Altavoces + 2 Membranas de Graves, Sonido Claro ≥80dB, Bluetooth Inalámbrico, Conexiones AUX/USB, Diseño Compacto 76cm, Sonido Envolvente 3D para Cine en Casa, PC, Juegos y Fiestas</t>
        </is>
      </c>
      <c r="H640" s="16" t="inlineStr">
        <is>
          <t>BS-22</t>
        </is>
      </c>
      <c r="I640" s="16" t="n">
        <v>1</v>
      </c>
      <c r="J640" s="17" t="n">
        <v>250</v>
      </c>
      <c r="K640" s="17" t="n">
        <v>258.78</v>
      </c>
      <c r="L640" s="17" t="n">
        <v>0</v>
      </c>
      <c r="M640" s="17" t="n">
        <v>0</v>
      </c>
      <c r="N640" s="17">
        <f>K640*0.08+L640*0.08</f>
        <v/>
      </c>
      <c r="O640" s="17">
        <f>-(K640*0.025+L640*0.025)</f>
        <v/>
      </c>
      <c r="P640" s="17">
        <f>32</f>
        <v/>
      </c>
      <c r="Q640" s="17">
        <f>J640+L640+N640+O640-P640-M640</f>
        <v/>
      </c>
    </row>
    <row r="641">
      <c r="A641" s="16" t="inlineStr">
        <is>
          <t>5.1-5.7</t>
        </is>
      </c>
      <c r="B641" s="16" t="inlineStr">
        <is>
          <t>PO-128-03008686172792963</t>
        </is>
      </c>
      <c r="C641" s="16" t="inlineStr">
        <is>
          <t>Delivered</t>
        </is>
      </c>
      <c r="D641" s="16" t="inlineStr">
        <is>
          <t>128-03008791030392963</t>
        </is>
      </c>
      <c r="E641" s="16" t="inlineStr">
        <is>
          <t>Delivered</t>
        </is>
      </c>
      <c r="F641" s="16" t="inlineStr">
        <is>
          <t>MCM-001A</t>
        </is>
      </c>
      <c r="G641" s="16" t="inlineStr">
        <is>
          <t>Musicord Altavoz Inalámbrico BT Portátil: ¡Sonido impactante, luces LED multicolores y 4 horas de autonomía! Compatible con TWS, FM, TF y USB – Imprescindible para fiestas y viajes</t>
        </is>
      </c>
      <c r="H641" s="16" t="inlineStr">
        <is>
          <t>AZUL</t>
        </is>
      </c>
      <c r="I641" s="16" t="n">
        <v>1</v>
      </c>
      <c r="J641" s="17" t="n">
        <v>51.06</v>
      </c>
      <c r="K641" s="17" t="n">
        <v>47.57</v>
      </c>
      <c r="L641" s="17" t="n">
        <v>25.86</v>
      </c>
      <c r="M641" s="17" t="n">
        <v>0</v>
      </c>
      <c r="N641" s="17">
        <f>K641*0.08+L641*0.08</f>
        <v/>
      </c>
      <c r="O641" s="17">
        <f>-(K641*0.025+L641*0.025)</f>
        <v/>
      </c>
      <c r="P641" s="17">
        <f>32</f>
        <v/>
      </c>
      <c r="Q641" s="17">
        <f>J641+L641+N641+O641-P641-M641</f>
        <v/>
      </c>
    </row>
    <row r="642">
      <c r="A642" s="16" t="inlineStr">
        <is>
          <t>5.1-5.7</t>
        </is>
      </c>
      <c r="B642" s="16" t="inlineStr">
        <is>
          <t>PO-128-02823693210233104</t>
        </is>
      </c>
      <c r="C642" s="16" t="inlineStr">
        <is>
          <t>Delivered</t>
        </is>
      </c>
      <c r="D642" s="16" t="inlineStr">
        <is>
          <t>128-02823769231993104</t>
        </is>
      </c>
      <c r="E642" s="16" t="inlineStr">
        <is>
          <t>Delivered</t>
        </is>
      </c>
      <c r="F642" s="16" t="inlineStr">
        <is>
          <t>LB02235-negro</t>
        </is>
      </c>
      <c r="G642" s="16" t="inlineStr">
        <is>
          <t>Audífonos Inalámbricos para la Cabeza, Recargables y Multifuncionales - Conectan a Varios Dispositivos, soportan Radio FM, Tarjeta TF y AUX - 4 Horas de Reproducción Musical - Ideal para Trabajo Cotidiano, Juegos y Estudio</t>
        </is>
      </c>
      <c r="H642" s="16" t="inlineStr">
        <is>
          <t>NEGRO</t>
        </is>
      </c>
      <c r="I642" s="16" t="n">
        <v>1</v>
      </c>
      <c r="J642" s="17" t="n">
        <v>35</v>
      </c>
      <c r="K642" s="17" t="n">
        <v>48.12</v>
      </c>
      <c r="L642" s="17" t="n">
        <v>25.86</v>
      </c>
      <c r="M642" s="17" t="n">
        <v>0</v>
      </c>
      <c r="N642" s="17">
        <f>K642*0.08+L642*0.08</f>
        <v/>
      </c>
      <c r="O642" s="17">
        <f>-(K642*0.025+L642*0.025)</f>
        <v/>
      </c>
      <c r="P642" s="17">
        <f>32</f>
        <v/>
      </c>
      <c r="Q642" s="17">
        <f>J642+L642+N642+O642-P642-M642</f>
        <v/>
      </c>
    </row>
    <row r="643">
      <c r="A643" s="16" t="inlineStr">
        <is>
          <t>5.1-5.7</t>
        </is>
      </c>
      <c r="B643" s="16" t="inlineStr">
        <is>
          <t>PO-128-03194061353591984</t>
        </is>
      </c>
      <c r="C643" s="16" t="inlineStr">
        <is>
          <t>Delivered</t>
        </is>
      </c>
      <c r="D643" s="16" t="inlineStr">
        <is>
          <t>128-03194197668471984</t>
        </is>
      </c>
      <c r="E643" s="16" t="inlineStr">
        <is>
          <t>Delivered</t>
        </is>
      </c>
      <c r="F643" s="16" t="inlineStr">
        <is>
          <t>MB-185A</t>
        </is>
      </c>
      <c r="G643" s="16" t="inlineStr">
        <is>
          <t>Bocina Radio FM/Reproductor, Compatible con Tarjeta TF, USB, Bluetooth, Aplicable para celular, computadora, Ipad y consola.</t>
        </is>
      </c>
      <c r="H643" s="16" t="inlineStr">
        <is>
          <t>AZUL/MB-185</t>
        </is>
      </c>
      <c r="I643" s="16" t="n">
        <v>1</v>
      </c>
      <c r="J643" s="17" t="n">
        <v>71.31</v>
      </c>
      <c r="K643" s="17" t="n">
        <v>41.16</v>
      </c>
      <c r="L643" s="17" t="n">
        <v>25.86</v>
      </c>
      <c r="M643" s="17" t="n">
        <v>0</v>
      </c>
      <c r="N643" s="17">
        <f>K643*0.08+L643*0.08</f>
        <v/>
      </c>
      <c r="O643" s="17">
        <f>-(K643*0.025+L643*0.025)</f>
        <v/>
      </c>
      <c r="P643" s="17">
        <f>32</f>
        <v/>
      </c>
      <c r="Q643" s="17">
        <f>J643+L643+N643+O643-P643-M643</f>
        <v/>
      </c>
    </row>
    <row r="644">
      <c r="A644" s="16" t="inlineStr">
        <is>
          <t>5.1-5.7</t>
        </is>
      </c>
      <c r="B644" s="16" t="inlineStr">
        <is>
          <t>PO-128-02798391301753257</t>
        </is>
      </c>
      <c r="C644" s="16" t="inlineStr">
        <is>
          <t>Delivered</t>
        </is>
      </c>
      <c r="D644" s="16" t="inlineStr">
        <is>
          <t>128-02798412273273257</t>
        </is>
      </c>
      <c r="E644" s="16" t="inlineStr">
        <is>
          <t>Delivered</t>
        </is>
      </c>
      <c r="F644" s="16" t="inlineStr">
        <is>
          <t>AIR50W06-2P</t>
        </is>
      </c>
      <c r="G644" s="16" t="inlineStr">
        <is>
          <t>Link Bits Ventilador de piso de 16 pulgadas, 2 unidades, 3 velocidades, motor silencioso, flujo de aire fuerte, altura ajustable, oscilación amplia, ventilador eléctrico para el hogar, ideal para sala, recámara y oficina</t>
        </is>
      </c>
      <c r="H644" s="16" t="inlineStr">
        <is>
          <t>2PZ</t>
        </is>
      </c>
      <c r="I644" s="16" t="n">
        <v>1</v>
      </c>
      <c r="J644" s="17" t="n">
        <v>435</v>
      </c>
      <c r="K644" s="17" t="n">
        <v>568.13</v>
      </c>
      <c r="L644" s="17" t="n">
        <v>0</v>
      </c>
      <c r="M644" s="17" t="n">
        <v>0</v>
      </c>
      <c r="N644" s="17">
        <f>K644*0.08+L644*0.08</f>
        <v/>
      </c>
      <c r="O644" s="17">
        <f>-(K644*0.025+L644*0.025)</f>
        <v/>
      </c>
      <c r="P644" s="17">
        <f>32</f>
        <v/>
      </c>
      <c r="Q644" s="17">
        <f>J644+L644+N644+O644-P644-M644</f>
        <v/>
      </c>
    </row>
    <row r="645">
      <c r="A645" s="16" t="inlineStr">
        <is>
          <t>5.1-5.7</t>
        </is>
      </c>
      <c r="B645" s="16" t="inlineStr">
        <is>
          <t>PO-128-02758762762873493</t>
        </is>
      </c>
      <c r="C645" s="16" t="inlineStr">
        <is>
          <t>Delivered</t>
        </is>
      </c>
      <c r="D645" s="16" t="inlineStr">
        <is>
          <t>128-02758844682873493</t>
        </is>
      </c>
      <c r="E645" s="16" t="inlineStr">
        <is>
          <t>Delivered</t>
        </is>
      </c>
      <c r="F645" s="16" t="inlineStr">
        <is>
          <t>AIR50W06-2P</t>
        </is>
      </c>
      <c r="G645" s="16" t="inlineStr">
        <is>
          <t>Link Bits Ventilador de piso de 16 pulgadas, 2 unidades, 3 velocidades, motor silencioso, flujo de aire fuerte, altura ajustable, oscilación amplia, ventilador eléctrico para el hogar, ideal para sala, recámara y oficina</t>
        </is>
      </c>
      <c r="H645" s="16" t="inlineStr">
        <is>
          <t>2PZ</t>
        </is>
      </c>
      <c r="I645" s="16" t="n">
        <v>1</v>
      </c>
      <c r="J645" s="17" t="n">
        <v>435</v>
      </c>
      <c r="K645" s="17" t="n">
        <v>568.13</v>
      </c>
      <c r="L645" s="17" t="n">
        <v>0</v>
      </c>
      <c r="M645" s="17" t="n">
        <v>0</v>
      </c>
      <c r="N645" s="17">
        <f>K645*0.08+L645*0.08</f>
        <v/>
      </c>
      <c r="O645" s="17">
        <f>-(K645*0.025+L645*0.025)</f>
        <v/>
      </c>
      <c r="P645" s="17">
        <f>32</f>
        <v/>
      </c>
      <c r="Q645" s="17">
        <f>J645+L645+N645+O645-P645-M645</f>
        <v/>
      </c>
    </row>
    <row r="646">
      <c r="A646" s="16" t="inlineStr">
        <is>
          <t>5.1-5.7</t>
        </is>
      </c>
      <c r="B646" s="16" t="inlineStr">
        <is>
          <t>PO-128-03403544894070672</t>
        </is>
      </c>
      <c r="C646" s="16" t="inlineStr">
        <is>
          <t>Delivered</t>
        </is>
      </c>
      <c r="D646" s="16" t="inlineStr">
        <is>
          <t>128-03403576351350672</t>
        </is>
      </c>
      <c r="E646" s="16" t="inlineStr">
        <is>
          <t>Delivered</t>
        </is>
      </c>
      <c r="F646" s="16" t="inlineStr">
        <is>
          <t>BS-22</t>
        </is>
      </c>
      <c r="G646" s="16" t="inlineStr">
        <is>
          <t>link bits Barra de Sonido para TV, 2x2" Altavoces + 2 Membranas de Graves, Sonido Claro ≥80dB, Bluetooth Inalámbrico, Conexiones AUX/USB, Diseño Compacto 76cm, Sonido Envolvente 3D para Cine en Casa, PC, Juegos y Fiestas</t>
        </is>
      </c>
      <c r="H646" s="16" t="inlineStr">
        <is>
          <t>BS-22</t>
        </is>
      </c>
      <c r="I646" s="16" t="n">
        <v>1</v>
      </c>
      <c r="J646" s="17" t="n">
        <v>250</v>
      </c>
      <c r="K646" s="17" t="n">
        <v>231.7</v>
      </c>
      <c r="L646" s="17" t="n">
        <v>0</v>
      </c>
      <c r="M646" s="17" t="n">
        <v>0</v>
      </c>
      <c r="N646" s="17">
        <f>K646*0.08+L646*0.08</f>
        <v/>
      </c>
      <c r="O646" s="17">
        <f>-(K646*0.025+L646*0.025)</f>
        <v/>
      </c>
      <c r="P646" s="17">
        <f>32</f>
        <v/>
      </c>
      <c r="Q646" s="17">
        <f>J646+L646+N646+O646-P646-M646</f>
        <v/>
      </c>
    </row>
    <row r="647">
      <c r="A647" s="16" t="inlineStr">
        <is>
          <t>5.1-5.7</t>
        </is>
      </c>
      <c r="B647" s="16" t="inlineStr">
        <is>
          <t>PO-128-02812061880953303</t>
        </is>
      </c>
      <c r="C647" s="16" t="inlineStr">
        <is>
          <t>Delivered</t>
        </is>
      </c>
      <c r="D647" s="16" t="inlineStr">
        <is>
          <t>128-02812166738553303</t>
        </is>
      </c>
      <c r="E647" s="16" t="inlineStr">
        <is>
          <t>Delivered</t>
        </is>
      </c>
      <c r="F647" s="16" t="inlineStr">
        <is>
          <t>MCM-001R</t>
        </is>
      </c>
      <c r="G647" s="16" t="inlineStr">
        <is>
          <t>Musicord Altavoz Inalámbrico BT Portátil: ¡Sonido impactante, luces LED multicolores y 4 horas de autonomía! Compatible con TWS, FM, TF y USB – Imprescindible para fiestas y viajes</t>
        </is>
      </c>
      <c r="H647" s="16" t="inlineStr">
        <is>
          <t>ROJO</t>
        </is>
      </c>
      <c r="I647" s="16" t="n">
        <v>1</v>
      </c>
      <c r="J647" s="17" t="n">
        <v>66</v>
      </c>
      <c r="K647" s="17" t="n">
        <v>77.29000000000001</v>
      </c>
      <c r="L647" s="17" t="n">
        <v>25.86</v>
      </c>
      <c r="M647" s="17" t="n">
        <v>0</v>
      </c>
      <c r="N647" s="17">
        <f>K647*0.08+L647*0.08</f>
        <v/>
      </c>
      <c r="O647" s="17">
        <f>-(K647*0.025+L647*0.025)</f>
        <v/>
      </c>
      <c r="P647" s="17">
        <f>32</f>
        <v/>
      </c>
      <c r="Q647" s="17">
        <f>J647+L647+N647+O647-P647-M647</f>
        <v/>
      </c>
    </row>
    <row r="648">
      <c r="A648" s="16" t="inlineStr">
        <is>
          <t>5.1-5.7</t>
        </is>
      </c>
      <c r="B648" s="16" t="inlineStr">
        <is>
          <t>PO-128-03349538263670098</t>
        </is>
      </c>
      <c r="C648" s="16" t="inlineStr">
        <is>
          <t>Delivered</t>
        </is>
      </c>
      <c r="D648" s="16" t="inlineStr">
        <is>
          <t>128-03349496320630098</t>
        </is>
      </c>
      <c r="E648" s="16" t="inlineStr">
        <is>
          <t>Delivered</t>
        </is>
      </c>
      <c r="F648" s="16" t="inlineStr">
        <is>
          <t>VB347T</t>
        </is>
      </c>
      <c r="G64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48" s="16" t="inlineStr">
        <is>
          <t>1 pieza</t>
        </is>
      </c>
      <c r="I648" s="16" t="n">
        <v>1</v>
      </c>
      <c r="J648" s="17" t="n">
        <v>77.90000000000001</v>
      </c>
      <c r="K648" s="17" t="n">
        <v>49.41</v>
      </c>
      <c r="L648" s="17" t="n">
        <v>25.86</v>
      </c>
      <c r="M648" s="17" t="n">
        <v>0</v>
      </c>
      <c r="N648" s="17">
        <f>K648*0.08+L648*0.08</f>
        <v/>
      </c>
      <c r="O648" s="17">
        <f>-(K648*0.025+L648*0.025)</f>
        <v/>
      </c>
      <c r="P648" s="17">
        <f>32</f>
        <v/>
      </c>
      <c r="Q648" s="17">
        <f>J648+L648+N648+O648-P648-M648</f>
        <v/>
      </c>
    </row>
    <row r="649">
      <c r="A649" s="16" t="inlineStr">
        <is>
          <t>5.1-5.7</t>
        </is>
      </c>
      <c r="B649" s="16" t="inlineStr">
        <is>
          <t>PO-128-02831120446073188</t>
        </is>
      </c>
      <c r="C649" s="16" t="inlineStr">
        <is>
          <t>Delivered</t>
        </is>
      </c>
      <c r="D649" s="16" t="inlineStr">
        <is>
          <t>128-02831078503033188</t>
        </is>
      </c>
      <c r="E649" s="16" t="inlineStr">
        <is>
          <t>Delivered</t>
        </is>
      </c>
      <c r="F649" s="16" t="inlineStr">
        <is>
          <t>LB02235-negro</t>
        </is>
      </c>
      <c r="G649" s="16" t="inlineStr">
        <is>
          <t>Audífonos Inalámbricos para la Cabeza, Recargables y Multifuncionales - Conectan a Varios Dispositivos, soportan Radio FM, Tarjeta TF y AUX - 4 Horas de Reproducción Musical - Ideal para Trabajo Cotidiano, Juegos y Estudio</t>
        </is>
      </c>
      <c r="H649" s="16" t="inlineStr">
        <is>
          <t>NEGRO</t>
        </is>
      </c>
      <c r="I649" s="16" t="n">
        <v>1</v>
      </c>
      <c r="J649" s="17" t="n">
        <v>35</v>
      </c>
      <c r="K649" s="17" t="n">
        <v>48.12</v>
      </c>
      <c r="L649" s="17" t="n">
        <v>25.86</v>
      </c>
      <c r="M649" s="17" t="n">
        <v>0</v>
      </c>
      <c r="N649" s="17">
        <f>K649*0.08+L649*0.08</f>
        <v/>
      </c>
      <c r="O649" s="17">
        <f>-(K649*0.025+L649*0.025)</f>
        <v/>
      </c>
      <c r="P649" s="17">
        <f>32</f>
        <v/>
      </c>
      <c r="Q649" s="17">
        <f>J649+L649+N649+O649-P649-M649</f>
        <v/>
      </c>
    </row>
    <row r="650">
      <c r="A650" s="16" t="inlineStr">
        <is>
          <t>5.1-5.7</t>
        </is>
      </c>
      <c r="B650" s="16" t="inlineStr">
        <is>
          <t>PO-128-02879487273593733</t>
        </is>
      </c>
      <c r="C650" s="16" t="inlineStr">
        <is>
          <t>Delivered</t>
        </is>
      </c>
      <c r="D650" s="16" t="inlineStr">
        <is>
          <t>128-02879623588473733</t>
        </is>
      </c>
      <c r="E650" s="16" t="inlineStr">
        <is>
          <t>Delivered</t>
        </is>
      </c>
      <c r="F650" s="16" t="inlineStr">
        <is>
          <t>AIR50W06-2P</t>
        </is>
      </c>
      <c r="G650" s="16" t="inlineStr">
        <is>
          <t>Link Bits Ventilador de piso de 16 pulgadas, 2 unidades, 3 velocidades, motor silencioso, flujo de aire fuerte, altura ajustable, oscilación amplia, ventilador eléctrico para el hogar, ideal para sala, recámara y oficina</t>
        </is>
      </c>
      <c r="H650" s="16" t="inlineStr">
        <is>
          <t>2PZ</t>
        </is>
      </c>
      <c r="I650" s="16" t="n">
        <v>1</v>
      </c>
      <c r="J650" s="17" t="n">
        <v>435</v>
      </c>
      <c r="K650" s="17" t="n">
        <v>188.82</v>
      </c>
      <c r="L650" s="17" t="n">
        <v>0</v>
      </c>
      <c r="M650" s="17" t="n">
        <v>0</v>
      </c>
      <c r="N650" s="17">
        <f>K650*0.08+L650*0.08</f>
        <v/>
      </c>
      <c r="O650" s="17">
        <f>-(K650*0.025+L650*0.025)</f>
        <v/>
      </c>
      <c r="P650" s="17">
        <f>32</f>
        <v/>
      </c>
      <c r="Q650" s="17">
        <f>J650+L650+N650+O650-P650-M650</f>
        <v/>
      </c>
    </row>
    <row r="651">
      <c r="A651" s="16" t="inlineStr">
        <is>
          <t>5.1-5.7</t>
        </is>
      </c>
      <c r="B651" s="16" t="inlineStr">
        <is>
          <t>PO-128-03147248353911241</t>
        </is>
      </c>
      <c r="C651" s="16" t="inlineStr">
        <is>
          <t>Delivered</t>
        </is>
      </c>
      <c r="D651" s="16" t="inlineStr">
        <is>
          <t>128-03147264082551241</t>
        </is>
      </c>
      <c r="E651" s="16" t="inlineStr">
        <is>
          <t>Delivered</t>
        </is>
      </c>
      <c r="F651" s="16" t="inlineStr">
        <is>
          <t>AIR50W06-2P</t>
        </is>
      </c>
      <c r="G651" s="16" t="inlineStr">
        <is>
          <t>Link Bits Ventilador de piso de 16 pulgadas, 2 unidades, 3 velocidades, motor silencioso, flujo de aire fuerte, altura ajustable, oscilación amplia, ventilador eléctrico para el hogar, ideal para sala, recámara y oficina</t>
        </is>
      </c>
      <c r="H651" s="16" t="inlineStr">
        <is>
          <t>2PZ</t>
        </is>
      </c>
      <c r="I651" s="16" t="n">
        <v>1</v>
      </c>
      <c r="J651" s="17" t="n">
        <v>435</v>
      </c>
      <c r="K651" s="17" t="n">
        <v>568.13</v>
      </c>
      <c r="L651" s="17" t="n">
        <v>0</v>
      </c>
      <c r="M651" s="17" t="n">
        <v>0</v>
      </c>
      <c r="N651" s="17">
        <f>K651*0.08+L651*0.08</f>
        <v/>
      </c>
      <c r="O651" s="17">
        <f>-(K651*0.025+L651*0.025)</f>
        <v/>
      </c>
      <c r="P651" s="17">
        <f>32</f>
        <v/>
      </c>
      <c r="Q651" s="17">
        <f>J651+L651+N651+O651-P651-M651</f>
        <v/>
      </c>
    </row>
    <row r="652">
      <c r="A652" s="16" t="inlineStr">
        <is>
          <t>5.1-5.7</t>
        </is>
      </c>
      <c r="B652" s="16" t="inlineStr">
        <is>
          <t>PO-128-02846963456634055</t>
        </is>
      </c>
      <c r="C652" s="16" t="inlineStr">
        <is>
          <t>Delivered</t>
        </is>
      </c>
      <c r="D652" s="16" t="inlineStr">
        <is>
          <t>128-02846952970874055</t>
        </is>
      </c>
      <c r="E652" s="16" t="inlineStr">
        <is>
          <t>Delivered</t>
        </is>
      </c>
      <c r="F652" s="16" t="inlineStr">
        <is>
          <t>LB02235-negro</t>
        </is>
      </c>
      <c r="G652" s="16" t="inlineStr">
        <is>
          <t>Audífonos Inalámbricos para la Cabeza, Recargables y Multifuncionales - Conectan a Varios Dispositivos, soportan Radio FM, Tarjeta TF y AUX - 4 Horas de Reproducción Musical - Ideal para Trabajo Cotidiano, Juegos y Estudio</t>
        </is>
      </c>
      <c r="H652" s="16" t="inlineStr">
        <is>
          <t>NEGRO</t>
        </is>
      </c>
      <c r="I652" s="16" t="n">
        <v>1</v>
      </c>
      <c r="J652" s="17" t="n">
        <v>35</v>
      </c>
      <c r="K652" s="17" t="n">
        <v>43.08</v>
      </c>
      <c r="L652" s="17" t="n">
        <v>25.86</v>
      </c>
      <c r="M652" s="17" t="n">
        <v>0</v>
      </c>
      <c r="N652" s="17">
        <f>K652*0.08+L652*0.08</f>
        <v/>
      </c>
      <c r="O652" s="17">
        <f>-(K652*0.025+L652*0.025)</f>
        <v/>
      </c>
      <c r="P652" s="17">
        <f>32</f>
        <v/>
      </c>
      <c r="Q652" s="17">
        <f>J652+L652+N652+O652-P652-M652</f>
        <v/>
      </c>
    </row>
    <row r="653">
      <c r="A653" s="16" t="inlineStr">
        <is>
          <t>5.1-5.7</t>
        </is>
      </c>
      <c r="B653" s="16" t="inlineStr">
        <is>
          <t>PO-128-02965077873272199</t>
        </is>
      </c>
      <c r="C653" s="16" t="inlineStr">
        <is>
          <t>Delivered</t>
        </is>
      </c>
      <c r="D653" s="16" t="inlineStr">
        <is>
          <t>128-02965098844792199</t>
        </is>
      </c>
      <c r="E653" s="16" t="inlineStr">
        <is>
          <t>Delivered</t>
        </is>
      </c>
      <c r="F653" s="16" t="inlineStr">
        <is>
          <t>LV64W25</t>
        </is>
      </c>
      <c r="G653" s="16" t="inlineStr">
        <is>
          <t>Ventilador de Techo LED TIANLAI con 5 Aspas, Control Remoto, 3 Colores Luz, 3 Velocidades, Temporizador, Fácil Instalación, E27 para Baño Cocina Dormitorio Salón</t>
        </is>
      </c>
      <c r="H653" s="16" t="inlineStr">
        <is>
          <t>LV64W25</t>
        </is>
      </c>
      <c r="I653" s="16" t="n">
        <v>1</v>
      </c>
      <c r="J653" s="17" t="n">
        <v>138</v>
      </c>
      <c r="K653" s="17" t="n">
        <v>95.09</v>
      </c>
      <c r="L653" s="17" t="n">
        <v>25.86</v>
      </c>
      <c r="M653" s="17" t="n">
        <v>0</v>
      </c>
      <c r="N653" s="17">
        <f>K653*0.08+L653*0.08</f>
        <v/>
      </c>
      <c r="O653" s="17">
        <f>-(K653*0.025+L653*0.025)</f>
        <v/>
      </c>
      <c r="P653" s="17">
        <f>32</f>
        <v/>
      </c>
      <c r="Q653" s="17">
        <f>J653+L653+N653+O653-P653-M653</f>
        <v/>
      </c>
    </row>
    <row r="654">
      <c r="A654" s="16" t="inlineStr">
        <is>
          <t>5.1-5.7</t>
        </is>
      </c>
      <c r="B654" s="16" t="inlineStr">
        <is>
          <t>PO-128-02939758162552540</t>
        </is>
      </c>
      <c r="C654" s="16" t="inlineStr">
        <is>
          <t>Delivered</t>
        </is>
      </c>
      <c r="D654" s="16" t="inlineStr">
        <is>
          <t>128-02939800105592540</t>
        </is>
      </c>
      <c r="E654" s="16" t="inlineStr">
        <is>
          <t>Delivered</t>
        </is>
      </c>
      <c r="F654" s="16" t="inlineStr">
        <is>
          <t>MB-185R</t>
        </is>
      </c>
      <c r="G654" s="16" t="inlineStr">
        <is>
          <t>Bocina Radio FM/Reproductor, Compatible con Tarjeta TF, USB, Bluetooth, Aplicable para celular, computadora, Ipad y consola.</t>
        </is>
      </c>
      <c r="H654" s="16" t="inlineStr">
        <is>
          <t>ROJO/MB-185</t>
        </is>
      </c>
      <c r="I654" s="16" t="n">
        <v>1</v>
      </c>
      <c r="J654" s="17" t="n">
        <v>71.31</v>
      </c>
      <c r="K654" s="17" t="n">
        <v>84.26000000000001</v>
      </c>
      <c r="L654" s="17" t="n">
        <v>25.86</v>
      </c>
      <c r="M654" s="17" t="n">
        <v>0</v>
      </c>
      <c r="N654" s="17">
        <f>K654*0.08+L654*0.08</f>
        <v/>
      </c>
      <c r="O654" s="17">
        <f>-(K654*0.025+L654*0.025)</f>
        <v/>
      </c>
      <c r="P654" s="17">
        <f>32</f>
        <v/>
      </c>
      <c r="Q654" s="17">
        <f>J654+L654+N654+O654-P654-M654</f>
        <v/>
      </c>
    </row>
    <row r="655">
      <c r="A655" s="16" t="inlineStr">
        <is>
          <t>5.1-5.7</t>
        </is>
      </c>
      <c r="B655" s="16" t="inlineStr">
        <is>
          <t>PO-128-03399916821110695</t>
        </is>
      </c>
      <c r="C655" s="16" t="inlineStr">
        <is>
          <t>Delivered</t>
        </is>
      </c>
      <c r="D655" s="16" t="inlineStr">
        <is>
          <t>128-03400053135990695</t>
        </is>
      </c>
      <c r="E655" s="16" t="inlineStr">
        <is>
          <t>Delivered</t>
        </is>
      </c>
      <c r="F655" s="16" t="inlineStr">
        <is>
          <t>MCM-001G</t>
        </is>
      </c>
      <c r="G655" s="16" t="inlineStr">
        <is>
          <t>Musicord Altavoz Inalámbrico BT Portátil: ¡Sonido impactante, luces LED multicolores y 4 horas de autonomía! Compatible con TWS, FM, TF y USB – Imprescindible para fiestas y viajes</t>
        </is>
      </c>
      <c r="H655" s="16" t="inlineStr">
        <is>
          <t>GRIS</t>
        </is>
      </c>
      <c r="I655" s="16" t="n">
        <v>1</v>
      </c>
      <c r="J655" s="17" t="n">
        <v>51.06</v>
      </c>
      <c r="K655" s="17" t="n">
        <v>2</v>
      </c>
      <c r="L655" s="17" t="n">
        <v>25.86</v>
      </c>
      <c r="M655" s="17" t="n">
        <v>0</v>
      </c>
      <c r="N655" s="17">
        <f>K655*0.08+L655*0.08</f>
        <v/>
      </c>
      <c r="O655" s="17">
        <f>-(K655*0.025+L655*0.025)</f>
        <v/>
      </c>
      <c r="P655" s="17">
        <f>32</f>
        <v/>
      </c>
      <c r="Q655" s="17">
        <f>J655+L655+N655+O655-P655-M655</f>
        <v/>
      </c>
    </row>
    <row r="656">
      <c r="A656" s="16" t="inlineStr">
        <is>
          <t>5.1-5.7</t>
        </is>
      </c>
      <c r="B656" s="16" t="inlineStr">
        <is>
          <t>PO-128-03108178135671472</t>
        </is>
      </c>
      <c r="C656" s="16" t="inlineStr">
        <is>
          <t>Delivered</t>
        </is>
      </c>
      <c r="D656" s="16" t="inlineStr">
        <is>
          <t>128-03108282993271472</t>
        </is>
      </c>
      <c r="E656" s="16" t="inlineStr">
        <is>
          <t>Delivered</t>
        </is>
      </c>
      <c r="F656" s="16" t="inlineStr">
        <is>
          <t>MCM-001G</t>
        </is>
      </c>
      <c r="G656" s="16" t="inlineStr">
        <is>
          <t>Musicord Altavoz Inalámbrico BT Portátil: ¡Sonido impactante, luces LED multicolores y 4 horas de autonomía! Compatible con TWS, FM, TF y USB – Imprescindible para fiestas y viajes</t>
        </is>
      </c>
      <c r="H656" s="16" t="inlineStr">
        <is>
          <t>GRIS</t>
        </is>
      </c>
      <c r="I656" s="16" t="n">
        <v>2</v>
      </c>
      <c r="J656" s="17" t="n">
        <v>102.12</v>
      </c>
      <c r="K656" s="17" t="n">
        <v>81.58</v>
      </c>
      <c r="L656" s="17" t="n">
        <v>25.86</v>
      </c>
      <c r="M656" s="17" t="n">
        <v>0</v>
      </c>
      <c r="N656" s="17">
        <f>K656*0.08+L656*0.08</f>
        <v/>
      </c>
      <c r="O656" s="17">
        <f>-(K656*0.025+L656*0.025)</f>
        <v/>
      </c>
      <c r="P656" s="17">
        <f>32</f>
        <v/>
      </c>
      <c r="Q656" s="17">
        <f>J656+L656+N656+O656-P656-M656</f>
        <v/>
      </c>
    </row>
    <row r="657">
      <c r="A657" s="16" t="inlineStr">
        <is>
          <t>5.1-5.7</t>
        </is>
      </c>
      <c r="B657" s="16" t="inlineStr">
        <is>
          <t>PO-128-03051003157112711</t>
        </is>
      </c>
      <c r="C657" s="16" t="inlineStr">
        <is>
          <t>Delivered</t>
        </is>
      </c>
      <c r="D657" s="16" t="inlineStr">
        <is>
          <t>128-03051045100152711</t>
        </is>
      </c>
      <c r="E657" s="16" t="inlineStr">
        <is>
          <t>Delivered</t>
        </is>
      </c>
      <c r="F657" s="16" t="inlineStr">
        <is>
          <t>SA8056T</t>
        </is>
      </c>
      <c r="G65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657" s="16" t="inlineStr">
        <is>
          <t>SA8056T</t>
        </is>
      </c>
      <c r="I657" s="16" t="n">
        <v>1</v>
      </c>
      <c r="J657" s="17" t="n">
        <v>149</v>
      </c>
      <c r="K657" s="17" t="n">
        <v>86.64</v>
      </c>
      <c r="L657" s="17" t="n">
        <v>25.86</v>
      </c>
      <c r="M657" s="17" t="n">
        <v>0</v>
      </c>
      <c r="N657" s="17">
        <f>K657*0.08+L657*0.08</f>
        <v/>
      </c>
      <c r="O657" s="17">
        <f>-(K657*0.025+L657*0.025)</f>
        <v/>
      </c>
      <c r="P657" s="17">
        <f>32</f>
        <v/>
      </c>
      <c r="Q657" s="17">
        <f>J657+L657+N657+O657-P657-M657</f>
        <v/>
      </c>
    </row>
    <row r="658">
      <c r="A658" s="16" t="inlineStr">
        <is>
          <t>5.1-5.7</t>
        </is>
      </c>
      <c r="B658" s="16" t="inlineStr">
        <is>
          <t>PO-128-03409984420470763</t>
        </is>
      </c>
      <c r="C658" s="16" t="inlineStr">
        <is>
          <t>Delivered</t>
        </is>
      </c>
      <c r="D658" s="16" t="inlineStr">
        <is>
          <t>128-03409994906230763</t>
        </is>
      </c>
      <c r="E658" s="16" t="inlineStr">
        <is>
          <t>Delivered</t>
        </is>
      </c>
      <c r="F658" s="16" t="inlineStr">
        <is>
          <t>LB02235-negro</t>
        </is>
      </c>
      <c r="G658" s="16" t="inlineStr">
        <is>
          <t>Audífonos Inalámbricos para la Cabeza, Recargables y Multifuncionales - Conectan a Varios Dispositivos, soportan Radio FM, Tarjeta TF y AUX - 4 Horas de Reproducción Musical - Ideal para Trabajo Cotidiano, Juegos y Estudio</t>
        </is>
      </c>
      <c r="H658" s="16" t="inlineStr">
        <is>
          <t>NEGRO</t>
        </is>
      </c>
      <c r="I658" s="16" t="n">
        <v>1</v>
      </c>
      <c r="J658" s="17" t="n">
        <v>35</v>
      </c>
      <c r="K658" s="17" t="n">
        <v>48.12</v>
      </c>
      <c r="L658" s="17" t="n">
        <v>25.86</v>
      </c>
      <c r="M658" s="17" t="n">
        <v>0</v>
      </c>
      <c r="N658" s="17">
        <f>K658*0.08+L658*0.08</f>
        <v/>
      </c>
      <c r="O658" s="17">
        <f>-(K658*0.025+L658*0.025)</f>
        <v/>
      </c>
      <c r="P658" s="17">
        <f>32</f>
        <v/>
      </c>
      <c r="Q658" s="17">
        <f>J658+L658+N658+O658-P658-M658</f>
        <v/>
      </c>
    </row>
    <row r="659">
      <c r="A659" s="16" t="inlineStr">
        <is>
          <t>5.1-5.7</t>
        </is>
      </c>
      <c r="B659" s="16" t="inlineStr">
        <is>
          <t>PO-128-03101329603191451</t>
        </is>
      </c>
      <c r="C659" s="16" t="inlineStr">
        <is>
          <t>Delivered</t>
        </is>
      </c>
      <c r="D659" s="16" t="inlineStr">
        <is>
          <t>128-03101340088951451</t>
        </is>
      </c>
      <c r="E659" s="16" t="inlineStr">
        <is>
          <t>Delivered</t>
        </is>
      </c>
      <c r="F659" s="16" t="inlineStr">
        <is>
          <t>AIR50W06-2P</t>
        </is>
      </c>
      <c r="G659" s="16" t="inlineStr">
        <is>
          <t>Link Bits Ventilador de piso de 16 pulgadas, 2 unidades, 3 velocidades, motor silencioso, flujo de aire fuerte, altura ajustable, oscilación amplia, ventilador eléctrico para el hogar, ideal para sala, recámara y oficina</t>
        </is>
      </c>
      <c r="H659" s="16" t="inlineStr">
        <is>
          <t>2PZ</t>
        </is>
      </c>
      <c r="I659" s="16" t="n">
        <v>2</v>
      </c>
      <c r="J659" s="17" t="n">
        <v>870</v>
      </c>
      <c r="K659" s="17" t="n">
        <v>1136.26</v>
      </c>
      <c r="L659" s="17" t="n">
        <v>0</v>
      </c>
      <c r="M659" s="17" t="n">
        <v>1136.26</v>
      </c>
      <c r="N659" s="17">
        <f>K659*0.08+L659*0.08</f>
        <v/>
      </c>
      <c r="O659" s="17">
        <f>-(K659*0.025+L659*0.025)</f>
        <v/>
      </c>
      <c r="P659" s="17">
        <f>32</f>
        <v/>
      </c>
      <c r="Q659" s="17">
        <f>J659+L659+N659+O659-P659-M659</f>
        <v/>
      </c>
    </row>
    <row r="660">
      <c r="A660" s="16" t="inlineStr">
        <is>
          <t>5.1-5.7</t>
        </is>
      </c>
      <c r="B660" s="16" t="inlineStr">
        <is>
          <t>PO-128-03032907008632819</t>
        </is>
      </c>
      <c r="C660" s="16" t="inlineStr">
        <is>
          <t>Delivered</t>
        </is>
      </c>
      <c r="D660" s="16" t="inlineStr">
        <is>
          <t>128-03032975166072819</t>
        </is>
      </c>
      <c r="E660" s="16" t="inlineStr">
        <is>
          <t>Delivered</t>
        </is>
      </c>
      <c r="F660" s="16" t="inlineStr">
        <is>
          <t>MCM-001G</t>
        </is>
      </c>
      <c r="G660" s="16" t="inlineStr">
        <is>
          <t>Musicord Altavoz Inalámbrico BT Portátil: ¡Sonido impactante, luces LED multicolores y 4 horas de autonomía! Compatible con TWS, FM, TF y USB – Imprescindible para fiestas y viajes</t>
        </is>
      </c>
      <c r="H660" s="16" t="inlineStr">
        <is>
          <t>GRIS</t>
        </is>
      </c>
      <c r="I660" s="16" t="n">
        <v>1</v>
      </c>
      <c r="J660" s="17" t="n">
        <v>51.06</v>
      </c>
      <c r="K660" s="17" t="n">
        <v>62.34</v>
      </c>
      <c r="L660" s="17" t="n">
        <v>25.86</v>
      </c>
      <c r="M660" s="17" t="n">
        <v>0</v>
      </c>
      <c r="N660" s="17">
        <f>K660*0.08+L660*0.08</f>
        <v/>
      </c>
      <c r="O660" s="17">
        <f>-(K660*0.025+L660*0.025)</f>
        <v/>
      </c>
      <c r="P660" s="17">
        <f>32</f>
        <v/>
      </c>
      <c r="Q660" s="17">
        <f>J660+L660+N660+O660-P660-M660</f>
        <v/>
      </c>
    </row>
    <row r="661">
      <c r="A661" s="16" t="inlineStr">
        <is>
          <t>5.1-5.7</t>
        </is>
      </c>
      <c r="B661" s="16" t="inlineStr">
        <is>
          <t>PO-128-03367250791031016</t>
        </is>
      </c>
      <c r="C661" s="16" t="inlineStr">
        <is>
          <t>Delivered</t>
        </is>
      </c>
      <c r="D661" s="16" t="inlineStr">
        <is>
          <t>128-03367291751031016</t>
        </is>
      </c>
      <c r="E661" s="16" t="inlineStr">
        <is>
          <t>Delivered</t>
        </is>
      </c>
      <c r="F661" s="16" t="inlineStr">
        <is>
          <t>LB02235-negro</t>
        </is>
      </c>
      <c r="G661" s="16" t="inlineStr">
        <is>
          <t>Audífonos Inalámbricos para la Cabeza, Recargables y Multifuncionales - Conectan a Varios Dispositivos, soportan Radio FM, Tarjeta TF y AUX - 4 Horas de Reproducción Musical - Ideal para Trabajo Cotidiano, Juegos y Estudio</t>
        </is>
      </c>
      <c r="H661" s="16" t="inlineStr">
        <is>
          <t>NEGRO</t>
        </is>
      </c>
      <c r="I661" s="16" t="n">
        <v>1</v>
      </c>
      <c r="J661" s="17" t="n">
        <v>35</v>
      </c>
      <c r="K661" s="17" t="n">
        <v>30.84</v>
      </c>
      <c r="L661" s="17" t="n">
        <v>8.609999999999999</v>
      </c>
      <c r="M661" s="17" t="n">
        <v>0</v>
      </c>
      <c r="N661" s="17">
        <f>K661*0.08+L661*0.08</f>
        <v/>
      </c>
      <c r="O661" s="17">
        <f>-(K661*0.025+L661*0.025)</f>
        <v/>
      </c>
      <c r="P661" s="17">
        <f>32</f>
        <v/>
      </c>
      <c r="Q661" s="17">
        <f>J661+L661+N661+O661-P661-M661</f>
        <v/>
      </c>
    </row>
    <row r="662">
      <c r="A662" s="16" t="inlineStr">
        <is>
          <t>5.1-5.7</t>
        </is>
      </c>
      <c r="B662" s="16" t="inlineStr">
        <is>
          <t>PO-128-03367250791031016</t>
        </is>
      </c>
      <c r="C662" s="16" t="inlineStr">
        <is>
          <t>Delivered</t>
        </is>
      </c>
      <c r="D662" s="16" t="inlineStr">
        <is>
          <t>128-03367271762551016</t>
        </is>
      </c>
      <c r="E662" s="16" t="inlineStr">
        <is>
          <t>Delivered</t>
        </is>
      </c>
      <c r="F662" s="16" t="inlineStr">
        <is>
          <t>LB02235-blanco</t>
        </is>
      </c>
      <c r="G662" s="16" t="inlineStr">
        <is>
          <t>Audífonos Inalámbricos para la Cabeza, Recargables y Multifuncionales - Conectan a Varios Dispositivos, soportan Radio FM, Tarjeta TF y AUX - 4 Horas de Reproducción Musical - Ideal para Trabajo Cotidiano, Juegos y Estudio</t>
        </is>
      </c>
      <c r="H662" s="16" t="inlineStr">
        <is>
          <t>BLANCO</t>
        </is>
      </c>
      <c r="I662" s="16" t="n">
        <v>1</v>
      </c>
      <c r="J662" s="17" t="n">
        <v>35</v>
      </c>
      <c r="K662" s="17" t="n">
        <v>30.84</v>
      </c>
      <c r="L662" s="17" t="n">
        <v>8.609999999999999</v>
      </c>
      <c r="M662" s="17" t="n">
        <v>0</v>
      </c>
      <c r="N662" s="17">
        <f>K662*0.08+L662*0.08</f>
        <v/>
      </c>
      <c r="O662" s="17">
        <f>-(K662*0.025+L662*0.025)</f>
        <v/>
      </c>
      <c r="P662" s="17">
        <f>32</f>
        <v/>
      </c>
      <c r="Q662" s="17">
        <f>J662+L662+N662+O662-P662-M662</f>
        <v/>
      </c>
    </row>
    <row r="663">
      <c r="A663" s="16" t="inlineStr">
        <is>
          <t>5.1-5.7</t>
        </is>
      </c>
      <c r="B663" s="16" t="inlineStr">
        <is>
          <t>PO-128-03367250791031016</t>
        </is>
      </c>
      <c r="C663" s="16" t="inlineStr">
        <is>
          <t>Delivered</t>
        </is>
      </c>
      <c r="D663" s="16" t="inlineStr">
        <is>
          <t>128-03367270779511016</t>
        </is>
      </c>
      <c r="E663" s="16" t="inlineStr">
        <is>
          <t>Delivered</t>
        </is>
      </c>
      <c r="F663" s="16" t="inlineStr">
        <is>
          <t>LB02235-azul</t>
        </is>
      </c>
      <c r="G663" s="16" t="inlineStr">
        <is>
          <t>Audífonos Inalámbricos para la Cabeza, Recargables y Multifuncionales - Conectan a Varios Dispositivos, soportan Radio FM, Tarjeta TF y AUX - 4 Horas de Reproducción Musical - Ideal para Trabajo Cotidiano, Juegos y Estudio</t>
        </is>
      </c>
      <c r="H663" s="16" t="inlineStr">
        <is>
          <t>AZUL</t>
        </is>
      </c>
      <c r="I663" s="16" t="n">
        <v>1</v>
      </c>
      <c r="J663" s="17" t="n">
        <v>35</v>
      </c>
      <c r="K663" s="17" t="n">
        <v>30.85</v>
      </c>
      <c r="L663" s="17" t="n">
        <v>8.640000000000001</v>
      </c>
      <c r="M663" s="17" t="n">
        <v>0</v>
      </c>
      <c r="N663" s="17">
        <f>K663*0.08+L663*0.08</f>
        <v/>
      </c>
      <c r="O663" s="17">
        <f>-(K663*0.025+L663*0.025)</f>
        <v/>
      </c>
      <c r="P663" s="17">
        <f>32</f>
        <v/>
      </c>
      <c r="Q663" s="17">
        <f>J663+L663+N663+O663-P663-M663</f>
        <v/>
      </c>
    </row>
    <row r="664">
      <c r="A664" s="16" t="inlineStr">
        <is>
          <t>5.1-5.7</t>
        </is>
      </c>
      <c r="B664" s="16" t="inlineStr">
        <is>
          <t>PO-128-03258430894711603</t>
        </is>
      </c>
      <c r="C664" s="16" t="inlineStr">
        <is>
          <t>Delivered</t>
        </is>
      </c>
      <c r="D664" s="16" t="inlineStr">
        <is>
          <t>128-03258388951671603</t>
        </is>
      </c>
      <c r="E664" s="16" t="inlineStr">
        <is>
          <t>Delivered</t>
        </is>
      </c>
      <c r="F664" s="16" t="inlineStr">
        <is>
          <t>MB-185N</t>
        </is>
      </c>
      <c r="G664" s="16" t="inlineStr">
        <is>
          <t>Bocina Radio FM/Reproductor, Compatible con Tarjeta TF, USB, Bluetooth, Aplicable para celular, computadora, Ipad y consola.</t>
        </is>
      </c>
      <c r="H664" s="16" t="inlineStr">
        <is>
          <t>NEGRO/MB-185</t>
        </is>
      </c>
      <c r="I664" s="16" t="n">
        <v>1</v>
      </c>
      <c r="J664" s="17" t="n">
        <v>71.31</v>
      </c>
      <c r="K664" s="17" t="n">
        <v>1.5</v>
      </c>
      <c r="L664" s="17" t="n">
        <v>25.86</v>
      </c>
      <c r="M664" s="17" t="n">
        <v>0</v>
      </c>
      <c r="N664" s="17">
        <f>K664*0.08+L664*0.08</f>
        <v/>
      </c>
      <c r="O664" s="17">
        <f>-(K664*0.025+L664*0.025)</f>
        <v/>
      </c>
      <c r="P664" s="17">
        <f>32</f>
        <v/>
      </c>
      <c r="Q664" s="17">
        <f>J664+L664+N664+O664-P664-M664</f>
        <v/>
      </c>
    </row>
    <row r="665">
      <c r="A665" s="16" t="inlineStr">
        <is>
          <t>5.1-5.7</t>
        </is>
      </c>
      <c r="B665" s="16" t="inlineStr">
        <is>
          <t>PO-128-03040548936312901</t>
        </is>
      </c>
      <c r="C665" s="16" t="inlineStr">
        <is>
          <t>Delivered</t>
        </is>
      </c>
      <c r="D665" s="16" t="inlineStr">
        <is>
          <t>128-03040559422072901</t>
        </is>
      </c>
      <c r="E665" s="16" t="inlineStr">
        <is>
          <t>Delivered</t>
        </is>
      </c>
      <c r="F665" s="16" t="inlineStr">
        <is>
          <t>MB-185N</t>
        </is>
      </c>
      <c r="G665" s="16" t="inlineStr">
        <is>
          <t>Bocina Radio FM/Reproductor, Compatible con Tarjeta TF, USB, Bluetooth, Aplicable para celular, computadora, Ipad y consola.</t>
        </is>
      </c>
      <c r="H665" s="16" t="inlineStr">
        <is>
          <t>NEGRO/MB-185</t>
        </is>
      </c>
      <c r="I665" s="16" t="n">
        <v>1</v>
      </c>
      <c r="J665" s="17" t="n">
        <v>71.31</v>
      </c>
      <c r="K665" s="17" t="n">
        <v>71.62</v>
      </c>
      <c r="L665" s="17" t="n">
        <v>25.86</v>
      </c>
      <c r="M665" s="17" t="n">
        <v>0</v>
      </c>
      <c r="N665" s="17">
        <f>K665*0.08+L665*0.08</f>
        <v/>
      </c>
      <c r="O665" s="17">
        <f>-(K665*0.025+L665*0.025)</f>
        <v/>
      </c>
      <c r="P665" s="17">
        <f>32</f>
        <v/>
      </c>
      <c r="Q665" s="17">
        <f>J665+L665+N665+O665-P665-M665</f>
        <v/>
      </c>
    </row>
    <row r="666">
      <c r="A666" s="16" t="inlineStr">
        <is>
          <t>5.1-5.7</t>
        </is>
      </c>
      <c r="B666" s="16" t="inlineStr">
        <is>
          <t>PO-128-03051086029432711</t>
        </is>
      </c>
      <c r="C666" s="16" t="inlineStr">
        <is>
          <t>Delivered</t>
        </is>
      </c>
      <c r="D666" s="16" t="inlineStr">
        <is>
          <t>128-03051044086392711</t>
        </is>
      </c>
      <c r="E666" s="16" t="inlineStr">
        <is>
          <t>Delivered</t>
        </is>
      </c>
      <c r="F666" s="16" t="inlineStr">
        <is>
          <t>SA8056T</t>
        </is>
      </c>
      <c r="G66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666" s="16" t="inlineStr">
        <is>
          <t>SA8056T</t>
        </is>
      </c>
      <c r="I666" s="16" t="n">
        <v>1</v>
      </c>
      <c r="J666" s="17" t="n">
        <v>149</v>
      </c>
      <c r="K666" s="17" t="n">
        <v>86.64</v>
      </c>
      <c r="L666" s="17" t="n">
        <v>25.86</v>
      </c>
      <c r="M666" s="17" t="n">
        <v>0</v>
      </c>
      <c r="N666" s="17">
        <f>K666*0.08+L666*0.08</f>
        <v/>
      </c>
      <c r="O666" s="17">
        <f>-(K666*0.025+L666*0.025)</f>
        <v/>
      </c>
      <c r="P666" s="17">
        <f>32</f>
        <v/>
      </c>
      <c r="Q666" s="17">
        <f>J666+L666+N666+O666-P666-M666</f>
        <v/>
      </c>
    </row>
    <row r="667">
      <c r="A667" s="16" t="inlineStr">
        <is>
          <t>5.1-5.7</t>
        </is>
      </c>
      <c r="B667" s="16" t="inlineStr">
        <is>
          <t>PO-128-03063608812152762</t>
        </is>
      </c>
      <c r="C667" s="16" t="inlineStr">
        <is>
          <t>Delivered</t>
        </is>
      </c>
      <c r="D667" s="16" t="inlineStr">
        <is>
          <t>128-03063676969592762</t>
        </is>
      </c>
      <c r="E667" s="16" t="inlineStr">
        <is>
          <t>Delivered</t>
        </is>
      </c>
      <c r="F667" s="16" t="inlineStr">
        <is>
          <t>LV64W25</t>
        </is>
      </c>
      <c r="G667" s="16" t="inlineStr">
        <is>
          <t>Ventilador de Techo LED TIANLAI con 5 Aspas, Control Remoto, 3 Colores Luz, 3 Velocidades, Temporizador, Fácil Instalación, E27 para Baño Cocina Dormitorio Salón</t>
        </is>
      </c>
      <c r="H667" s="16" t="inlineStr">
        <is>
          <t>LV64W25</t>
        </is>
      </c>
      <c r="I667" s="16" t="n">
        <v>1</v>
      </c>
      <c r="J667" s="17" t="n">
        <v>138</v>
      </c>
      <c r="K667" s="17" t="n">
        <v>181.12</v>
      </c>
      <c r="L667" s="17" t="n">
        <v>25.86</v>
      </c>
      <c r="M667" s="17" t="n">
        <v>0</v>
      </c>
      <c r="N667" s="17">
        <f>K667*0.08+L667*0.08</f>
        <v/>
      </c>
      <c r="O667" s="17">
        <f>-(K667*0.025+L667*0.025)</f>
        <v/>
      </c>
      <c r="P667" s="17">
        <f>32</f>
        <v/>
      </c>
      <c r="Q667" s="17">
        <f>J667+L667+N667+O667-P667-M667</f>
        <v/>
      </c>
    </row>
    <row r="668">
      <c r="A668" s="16" t="inlineStr">
        <is>
          <t>5.1-5.7</t>
        </is>
      </c>
      <c r="B668" s="16" t="inlineStr">
        <is>
          <t>PO-128-02830727527033190</t>
        </is>
      </c>
      <c r="C668" s="16" t="inlineStr">
        <is>
          <t>Delivered</t>
        </is>
      </c>
      <c r="D668" s="16" t="inlineStr">
        <is>
          <t>128-02830696069753190</t>
        </is>
      </c>
      <c r="E668" s="16" t="inlineStr">
        <is>
          <t>Delivered</t>
        </is>
      </c>
      <c r="F668" s="16" t="inlineStr">
        <is>
          <t>MCM-001A</t>
        </is>
      </c>
      <c r="G668" s="16" t="inlineStr">
        <is>
          <t>Musicord Altavoz Inalámbrico BT Portátil: ¡Sonido impactante, luces LED multicolores y 4 horas de autonomía! Compatible con TWS, FM, TF y USB – Imprescindible para fiestas y viajes</t>
        </is>
      </c>
      <c r="H668" s="16" t="inlineStr">
        <is>
          <t>AZUL</t>
        </is>
      </c>
      <c r="I668" s="16" t="n">
        <v>1</v>
      </c>
      <c r="J668" s="17" t="n">
        <v>51.06</v>
      </c>
      <c r="K668" s="17" t="n">
        <v>59.46</v>
      </c>
      <c r="L668" s="17" t="n">
        <v>25.86</v>
      </c>
      <c r="M668" s="17" t="n">
        <v>0</v>
      </c>
      <c r="N668" s="17">
        <f>K668*0.08+L668*0.08</f>
        <v/>
      </c>
      <c r="O668" s="17">
        <f>-(K668*0.025+L668*0.025)</f>
        <v/>
      </c>
      <c r="P668" s="17">
        <f>32</f>
        <v/>
      </c>
      <c r="Q668" s="17">
        <f>J668+L668+N668+O668-P668-M668</f>
        <v/>
      </c>
    </row>
    <row r="669">
      <c r="A669" s="16" t="inlineStr">
        <is>
          <t>5.1-5.7</t>
        </is>
      </c>
      <c r="B669" s="16" t="inlineStr">
        <is>
          <t>PO-128-03326524017270237</t>
        </is>
      </c>
      <c r="C669" s="16" t="inlineStr">
        <is>
          <t>Delivered</t>
        </is>
      </c>
      <c r="D669" s="16" t="inlineStr">
        <is>
          <t>128-03326503045750237</t>
        </is>
      </c>
      <c r="E669" s="16" t="inlineStr">
        <is>
          <t>Delivered</t>
        </is>
      </c>
      <c r="F669" s="16" t="inlineStr">
        <is>
          <t>LB02235-negro</t>
        </is>
      </c>
      <c r="G669" s="16" t="inlineStr">
        <is>
          <t>Audífonos Inalámbricos para la Cabeza, Recargables y Multifuncionales - Conectan a Varios Dispositivos, soportan Radio FM, Tarjeta TF y AUX - 4 Horas de Reproducción Musical - Ideal para Trabajo Cotidiano, Juegos y Estudio</t>
        </is>
      </c>
      <c r="H669" s="16" t="inlineStr">
        <is>
          <t>NEGRO</t>
        </is>
      </c>
      <c r="I669" s="16" t="n">
        <v>1</v>
      </c>
      <c r="J669" s="17" t="n">
        <v>35</v>
      </c>
      <c r="K669" s="17" t="n">
        <v>40.9</v>
      </c>
      <c r="L669" s="17" t="n">
        <v>25.86</v>
      </c>
      <c r="M669" s="17" t="n">
        <v>0</v>
      </c>
      <c r="N669" s="17">
        <f>K669*0.08+L669*0.08</f>
        <v/>
      </c>
      <c r="O669" s="17">
        <f>-(K669*0.025+L669*0.025)</f>
        <v/>
      </c>
      <c r="P669" s="17">
        <f>32</f>
        <v/>
      </c>
      <c r="Q669" s="17">
        <f>J669+L669+N669+O669-P669-M669</f>
        <v/>
      </c>
    </row>
    <row r="670">
      <c r="A670" s="16" t="inlineStr">
        <is>
          <t>5.1-5.7</t>
        </is>
      </c>
      <c r="B670" s="16" t="inlineStr">
        <is>
          <t>PO-128-03156065608311253</t>
        </is>
      </c>
      <c r="C670" s="16" t="inlineStr">
        <is>
          <t>Delivered</t>
        </is>
      </c>
      <c r="D670" s="16" t="inlineStr">
        <is>
          <t>128-03156013179511253</t>
        </is>
      </c>
      <c r="E670" s="16" t="inlineStr">
        <is>
          <t>Delivered</t>
        </is>
      </c>
      <c r="F670" s="16" t="inlineStr">
        <is>
          <t>VB347T</t>
        </is>
      </c>
      <c r="G67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70" s="16" t="inlineStr">
        <is>
          <t>1 pieza</t>
        </is>
      </c>
      <c r="I670" s="16" t="n">
        <v>1</v>
      </c>
      <c r="J670" s="17" t="n">
        <v>77.90000000000001</v>
      </c>
      <c r="K670" s="17" t="n">
        <v>88.73</v>
      </c>
      <c r="L670" s="17" t="n">
        <v>25.86</v>
      </c>
      <c r="M670" s="17" t="n">
        <v>0</v>
      </c>
      <c r="N670" s="17">
        <f>K670*0.08+L670*0.08</f>
        <v/>
      </c>
      <c r="O670" s="17">
        <f>-(K670*0.025+L670*0.025)</f>
        <v/>
      </c>
      <c r="P670" s="17">
        <f>32</f>
        <v/>
      </c>
      <c r="Q670" s="17">
        <f>J670+L670+N670+O670-P670-M670</f>
        <v/>
      </c>
    </row>
    <row r="671">
      <c r="A671" s="16" t="inlineStr">
        <is>
          <t>5.1-5.7</t>
        </is>
      </c>
      <c r="B671" s="16" t="inlineStr">
        <is>
          <t>PO-128-02888109148793744</t>
        </is>
      </c>
      <c r="C671" s="16" t="inlineStr">
        <is>
          <t>Delivered</t>
        </is>
      </c>
      <c r="D671" s="16" t="inlineStr">
        <is>
          <t>128-02888151091833744</t>
        </is>
      </c>
      <c r="E671" s="16" t="inlineStr">
        <is>
          <t>Delivered</t>
        </is>
      </c>
      <c r="F671" s="16" t="inlineStr">
        <is>
          <t>LB02235-rojo</t>
        </is>
      </c>
      <c r="G671" s="16" t="inlineStr">
        <is>
          <t>Audífonos Inalámbricos para la Cabeza, Recargables y Multifuncionales - Conectan a Varios Dispositivos, soportan Radio FM, Tarjeta TF y AUX - 4 Horas de Reproducción Musical - Ideal para Trabajo Cotidiano, Juegos y Estudio</t>
        </is>
      </c>
      <c r="H671" s="16" t="inlineStr">
        <is>
          <t>ROJO</t>
        </is>
      </c>
      <c r="I671" s="16" t="n">
        <v>1</v>
      </c>
      <c r="J671" s="17" t="n">
        <v>41</v>
      </c>
      <c r="K671" s="17" t="n">
        <v>48.71</v>
      </c>
      <c r="L671" s="17" t="n">
        <v>25.86</v>
      </c>
      <c r="M671" s="17" t="n">
        <v>0</v>
      </c>
      <c r="N671" s="17">
        <f>K671*0.08+L671*0.08</f>
        <v/>
      </c>
      <c r="O671" s="17">
        <f>-(K671*0.025+L671*0.025)</f>
        <v/>
      </c>
      <c r="P671" s="17">
        <f>32</f>
        <v/>
      </c>
      <c r="Q671" s="17">
        <f>J671+L671+N671+O671-P671-M671</f>
        <v/>
      </c>
    </row>
    <row r="672">
      <c r="A672" s="16" t="inlineStr">
        <is>
          <t>5.1-5.7</t>
        </is>
      </c>
      <c r="B672" s="16" t="inlineStr">
        <is>
          <t>PO-128-02942406031992332</t>
        </is>
      </c>
      <c r="C672" s="16" t="inlineStr">
        <is>
          <t>Delivered</t>
        </is>
      </c>
      <c r="D672" s="16" t="inlineStr">
        <is>
          <t>128-02942542346872332</t>
        </is>
      </c>
      <c r="E672" s="16" t="inlineStr">
        <is>
          <t>Delivered</t>
        </is>
      </c>
      <c r="F672" s="16" t="inlineStr">
        <is>
          <t>LB02235-negro</t>
        </is>
      </c>
      <c r="G672" s="16" t="inlineStr">
        <is>
          <t>Audífonos Inalámbricos para la Cabeza, Recargables y Multifuncionales - Conectan a Varios Dispositivos, soportan Radio FM, Tarjeta TF y AUX - 4 Horas de Reproducción Musical - Ideal para Trabajo Cotidiano, Juegos y Estudio</t>
        </is>
      </c>
      <c r="H672" s="16" t="inlineStr">
        <is>
          <t>NEGRO</t>
        </is>
      </c>
      <c r="I672" s="16" t="n">
        <v>1</v>
      </c>
      <c r="J672" s="17" t="n">
        <v>35</v>
      </c>
      <c r="K672" s="17" t="n">
        <v>5.02</v>
      </c>
      <c r="L672" s="17" t="n">
        <v>25.86</v>
      </c>
      <c r="M672" s="17" t="n">
        <v>0</v>
      </c>
      <c r="N672" s="17">
        <f>K672*0.08+L672*0.08</f>
        <v/>
      </c>
      <c r="O672" s="17">
        <f>-(K672*0.025+L672*0.025)</f>
        <v/>
      </c>
      <c r="P672" s="17">
        <f>32</f>
        <v/>
      </c>
      <c r="Q672" s="17">
        <f>J672+L672+N672+O672-P672-M672</f>
        <v/>
      </c>
    </row>
    <row r="673">
      <c r="A673" s="16" t="inlineStr">
        <is>
          <t>5.1-5.7</t>
        </is>
      </c>
      <c r="B673" s="16" t="inlineStr">
        <is>
          <t>PO-128-02919753175673685</t>
        </is>
      </c>
      <c r="C673" s="16" t="inlineStr">
        <is>
          <t>Delivered</t>
        </is>
      </c>
      <c r="D673" s="16" t="inlineStr">
        <is>
          <t>128-02919784632953685</t>
        </is>
      </c>
      <c r="E673" s="16" t="inlineStr">
        <is>
          <t>Delivered</t>
        </is>
      </c>
      <c r="F673" s="16" t="inlineStr">
        <is>
          <t>VB347T</t>
        </is>
      </c>
      <c r="G67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673" s="16" t="inlineStr">
        <is>
          <t>1 pieza</t>
        </is>
      </c>
      <c r="I673" s="16" t="n">
        <v>1</v>
      </c>
      <c r="J673" s="17" t="n">
        <v>77.90000000000001</v>
      </c>
      <c r="K673" s="17" t="n">
        <v>82.09</v>
      </c>
      <c r="L673" s="17" t="n">
        <v>25.86</v>
      </c>
      <c r="M673" s="17" t="n">
        <v>0</v>
      </c>
      <c r="N673" s="17">
        <f>K673*0.08+L673*0.08</f>
        <v/>
      </c>
      <c r="O673" s="17">
        <f>-(K673*0.025+L673*0.025)</f>
        <v/>
      </c>
      <c r="P673" s="17">
        <f>32</f>
        <v/>
      </c>
      <c r="Q673" s="17">
        <f>J673+L673+N673+O673-P673-M673</f>
        <v/>
      </c>
    </row>
    <row r="674">
      <c r="A674" s="16" t="inlineStr">
        <is>
          <t>5.1-5.7</t>
        </is>
      </c>
      <c r="B674" s="16" t="inlineStr">
        <is>
          <t>PO-128-02857739223673863</t>
        </is>
      </c>
      <c r="C674" s="16" t="inlineStr">
        <is>
          <t>Delivered</t>
        </is>
      </c>
      <c r="D674" s="16" t="inlineStr">
        <is>
          <t>128-02857686794873863</t>
        </is>
      </c>
      <c r="E674" s="16" t="inlineStr">
        <is>
          <t>Delivered</t>
        </is>
      </c>
      <c r="F674" s="16" t="inlineStr">
        <is>
          <t>LB02235-blanco</t>
        </is>
      </c>
      <c r="G674" s="16" t="inlineStr">
        <is>
          <t>Audífonos Inalámbricos para la Cabeza, Recargables y Multifuncionales - Conectan a Varios Dispositivos, soportan Radio FM, Tarjeta TF y AUX - 4 Horas de Reproducción Musical - Ideal para Trabajo Cotidiano, Juegos y Estudio</t>
        </is>
      </c>
      <c r="H674" s="16" t="inlineStr">
        <is>
          <t>BLANCO</t>
        </is>
      </c>
      <c r="I674" s="16" t="n">
        <v>1</v>
      </c>
      <c r="J674" s="17" t="n">
        <v>35</v>
      </c>
      <c r="K674" s="17" t="n">
        <v>48.12</v>
      </c>
      <c r="L674" s="17" t="n">
        <v>25.86</v>
      </c>
      <c r="M674" s="17" t="n">
        <v>0</v>
      </c>
      <c r="N674" s="17">
        <f>K674*0.08+L674*0.08</f>
        <v/>
      </c>
      <c r="O674" s="17">
        <f>-(K674*0.025+L674*0.025)</f>
        <v/>
      </c>
      <c r="P674" s="17">
        <f>32</f>
        <v/>
      </c>
      <c r="Q674" s="17">
        <f>J674+L674+N674+O674-P674-M674</f>
        <v/>
      </c>
    </row>
    <row r="675">
      <c r="A675" s="16" t="inlineStr">
        <is>
          <t>5.1-5.7</t>
        </is>
      </c>
      <c r="B675" s="16" t="inlineStr">
        <is>
          <t>PO-128-03282825319030497</t>
        </is>
      </c>
      <c r="C675" s="16" t="inlineStr">
        <is>
          <t>Delivered</t>
        </is>
      </c>
      <c r="D675" s="16" t="inlineStr">
        <is>
          <t>128-03282846290550497</t>
        </is>
      </c>
      <c r="E675" s="16" t="inlineStr">
        <is>
          <t>Delivered</t>
        </is>
      </c>
      <c r="F675" s="16" t="inlineStr">
        <is>
          <t>LB02235-negro</t>
        </is>
      </c>
      <c r="G675" s="16" t="inlineStr">
        <is>
          <t>Audífonos Inalámbricos para la Cabeza, Recargables y Multifuncionales - Conectan a Varios Dispositivos, soportan Radio FM, Tarjeta TF y AUX - 4 Horas de Reproducción Musical - Ideal para Trabajo Cotidiano, Juegos y Estudio</t>
        </is>
      </c>
      <c r="H675" s="16" t="inlineStr">
        <is>
          <t>NEGRO</t>
        </is>
      </c>
      <c r="I675" s="16" t="n">
        <v>1</v>
      </c>
      <c r="J675" s="17" t="n">
        <v>35</v>
      </c>
      <c r="K675" s="17" t="n">
        <v>48.12</v>
      </c>
      <c r="L675" s="17" t="n">
        <v>25.86</v>
      </c>
      <c r="M675" s="17" t="n">
        <v>0</v>
      </c>
      <c r="N675" s="17">
        <f>K675*0.08+L675*0.08</f>
        <v/>
      </c>
      <c r="O675" s="17">
        <f>-(K675*0.025+L675*0.025)</f>
        <v/>
      </c>
      <c r="P675" s="17">
        <f>32</f>
        <v/>
      </c>
      <c r="Q675" s="17">
        <f>J675+L675+N675+O675-P675-M675</f>
        <v/>
      </c>
    </row>
    <row r="676">
      <c r="A676" s="16" t="inlineStr">
        <is>
          <t>5.1-5.7</t>
        </is>
      </c>
      <c r="B676" s="16" t="inlineStr">
        <is>
          <t>PO-128-02952575140472336</t>
        </is>
      </c>
      <c r="C676" s="16" t="inlineStr">
        <is>
          <t>Delivered</t>
        </is>
      </c>
      <c r="D676" s="16" t="inlineStr">
        <is>
          <t>128-02952596111992336</t>
        </is>
      </c>
      <c r="E676" s="16" t="inlineStr">
        <is>
          <t>Delivered</t>
        </is>
      </c>
      <c r="F676" s="16" t="inlineStr">
        <is>
          <t>BS-22</t>
        </is>
      </c>
      <c r="G676" s="16" t="inlineStr">
        <is>
          <t>link bits Barra de Sonido para TV, 2x2" Altavoces + 2 Membranas de Graves, Sonido Claro ≥80dB, Bluetooth Inalámbrico, Conexiones AUX/USB, Diseño Compacto 76cm, Sonido Envolvente 3D para Cine en Casa, PC, Juegos y Fiestas</t>
        </is>
      </c>
      <c r="H676" s="16" t="inlineStr">
        <is>
          <t>BS-22</t>
        </is>
      </c>
      <c r="I676" s="16" t="n">
        <v>1</v>
      </c>
      <c r="J676" s="17" t="n">
        <v>250</v>
      </c>
      <c r="K676" s="17" t="n">
        <v>289.61</v>
      </c>
      <c r="L676" s="17" t="n">
        <v>0</v>
      </c>
      <c r="M676" s="17" t="n">
        <v>0</v>
      </c>
      <c r="N676" s="17">
        <f>K676*0.08+L676*0.08</f>
        <v/>
      </c>
      <c r="O676" s="17">
        <f>-(K676*0.025+L676*0.025)</f>
        <v/>
      </c>
      <c r="P676" s="17">
        <f>32</f>
        <v/>
      </c>
      <c r="Q676" s="17">
        <f>J676+L676+N676+O676-P676-M676</f>
        <v/>
      </c>
    </row>
    <row r="677">
      <c r="A677" s="16" t="inlineStr">
        <is>
          <t>5.1-5.7</t>
        </is>
      </c>
      <c r="B677" s="16" t="inlineStr">
        <is>
          <t>PO-128-03255949957751616</t>
        </is>
      </c>
      <c r="C677" s="16" t="inlineStr">
        <is>
          <t>Delivered</t>
        </is>
      </c>
      <c r="D677" s="16" t="inlineStr">
        <is>
          <t>128-03255908014711616</t>
        </is>
      </c>
      <c r="E677" s="16" t="inlineStr">
        <is>
          <t>Delivered</t>
        </is>
      </c>
      <c r="F677" s="16" t="inlineStr">
        <is>
          <t>KTS-1678Y</t>
        </is>
      </c>
      <c r="G677" s="16" t="inlineStr">
        <is>
          <t>Bocina portátil Inalámbrico, de 3 pulgadas, tamaño de bolsillo, 170 g, con asa, compatible con TF, USB y Micro SD, con radio FM y función TWS (True Wireless Stereo), adecuada para relajarse en casa o viajar al aire libre.</t>
        </is>
      </c>
      <c r="H677" s="16" t="inlineStr">
        <is>
          <t>KTS-1678Y</t>
        </is>
      </c>
      <c r="I677" s="16" t="n">
        <v>1</v>
      </c>
      <c r="J677" s="17" t="n">
        <v>40</v>
      </c>
      <c r="K677" s="17" t="n">
        <v>3.12</v>
      </c>
      <c r="L677" s="17" t="n">
        <v>25.86</v>
      </c>
      <c r="M677" s="17" t="n">
        <v>0</v>
      </c>
      <c r="N677" s="17">
        <f>K677*0.08+L677*0.08</f>
        <v/>
      </c>
      <c r="O677" s="17">
        <f>-(K677*0.025+L677*0.025)</f>
        <v/>
      </c>
      <c r="P677" s="17">
        <f>32</f>
        <v/>
      </c>
      <c r="Q677" s="17">
        <f>J677+L677+N677+O677-P677-M677</f>
        <v/>
      </c>
    </row>
    <row r="678">
      <c r="A678" s="16" t="inlineStr">
        <is>
          <t>5.1-5.7</t>
        </is>
      </c>
      <c r="B678" s="16" t="inlineStr">
        <is>
          <t>PO-128-02958999399032427</t>
        </is>
      </c>
      <c r="C678" s="16" t="inlineStr">
        <is>
          <t>Delivered</t>
        </is>
      </c>
      <c r="D678" s="16" t="inlineStr">
        <is>
          <t>128-02959016438392427</t>
        </is>
      </c>
      <c r="E678" s="16" t="inlineStr">
        <is>
          <t>Delivered</t>
        </is>
      </c>
      <c r="F678" s="16" t="inlineStr">
        <is>
          <t>LB02235-rojo</t>
        </is>
      </c>
      <c r="G678" s="16" t="inlineStr">
        <is>
          <t>Audífonos Inalámbricos para la Cabeza, Recargables y Multifuncionales - Conectan a Varios Dispositivos, soportan Radio FM, Tarjeta TF y AUX - 4 Horas de Reproducción Musical - Ideal para Trabajo Cotidiano, Juegos y Estudio</t>
        </is>
      </c>
      <c r="H678" s="16" t="inlineStr">
        <is>
          <t>ROJO</t>
        </is>
      </c>
      <c r="I678" s="16" t="n">
        <v>1</v>
      </c>
      <c r="J678" s="17" t="n">
        <v>41</v>
      </c>
      <c r="K678" s="17" t="n">
        <v>46.01</v>
      </c>
      <c r="L678" s="17" t="n">
        <v>25.86</v>
      </c>
      <c r="M678" s="17" t="n">
        <v>0</v>
      </c>
      <c r="N678" s="17">
        <f>K678*0.08+L678*0.08</f>
        <v/>
      </c>
      <c r="O678" s="17">
        <f>-(K678*0.025+L678*0.025)</f>
        <v/>
      </c>
      <c r="P678" s="17">
        <f>32</f>
        <v/>
      </c>
      <c r="Q678" s="17">
        <f>J678+L678+N678+O678-P678-M678</f>
        <v/>
      </c>
    </row>
    <row r="679">
      <c r="A679" s="16" t="inlineStr">
        <is>
          <t>5.1-5.7</t>
        </is>
      </c>
      <c r="B679" s="16" t="inlineStr">
        <is>
          <t>PO-128-03369551032951002</t>
        </is>
      </c>
      <c r="C679" s="16" t="inlineStr">
        <is>
          <t>Delivered</t>
        </is>
      </c>
      <c r="D679" s="16" t="inlineStr">
        <is>
          <t>128-03369561518711002</t>
        </is>
      </c>
      <c r="E679" s="16" t="inlineStr">
        <is>
          <t>Delivered</t>
        </is>
      </c>
      <c r="F679" s="16" t="inlineStr">
        <is>
          <t>BS-22</t>
        </is>
      </c>
      <c r="G679" s="16" t="inlineStr">
        <is>
          <t>link bits Barra de Sonido para TV, 2x2" Altavoces + 2 Membranas de Graves, Sonido Claro ≥80dB, Bluetooth Inalámbrico, Conexiones AUX/USB, Diseño Compacto 76cm, Sonido Envolvente 3D para Cine en Casa, PC, Juegos y Fiestas</t>
        </is>
      </c>
      <c r="H679" s="16" t="inlineStr">
        <is>
          <t>BS-22</t>
        </is>
      </c>
      <c r="I679" s="16" t="n">
        <v>1</v>
      </c>
      <c r="J679" s="17" t="n">
        <v>250</v>
      </c>
      <c r="K679" s="17" t="n">
        <v>231.69</v>
      </c>
      <c r="L679" s="17" t="n">
        <v>0</v>
      </c>
      <c r="M679" s="17" t="n">
        <v>0</v>
      </c>
      <c r="N679" s="17">
        <f>K679*0.08+L679*0.08</f>
        <v/>
      </c>
      <c r="O679" s="17">
        <f>-(K679*0.025+L679*0.025)</f>
        <v/>
      </c>
      <c r="P679" s="17">
        <f>32</f>
        <v/>
      </c>
      <c r="Q679" s="17">
        <f>J679+L679+N679+O679-P679-M679</f>
        <v/>
      </c>
    </row>
    <row r="680">
      <c r="A680" s="16" t="inlineStr">
        <is>
          <t>5.1-5.7</t>
        </is>
      </c>
      <c r="B680" s="16" t="inlineStr">
        <is>
          <t>PO-128-02861957120633900</t>
        </is>
      </c>
      <c r="C680" s="16" t="inlineStr">
        <is>
          <t>Delivered</t>
        </is>
      </c>
      <c r="D680" s="16" t="inlineStr">
        <is>
          <t>128-02861967606393900</t>
        </is>
      </c>
      <c r="E680" s="16" t="inlineStr">
        <is>
          <t>Delivered</t>
        </is>
      </c>
      <c r="F680" s="16" t="inlineStr">
        <is>
          <t>LB02235-blanco</t>
        </is>
      </c>
      <c r="G680" s="16" t="inlineStr">
        <is>
          <t>Audífonos Inalámbricos para la Cabeza, Recargables y Multifuncionales - Conectan a Varios Dispositivos, soportan Radio FM, Tarjeta TF y AUX - 4 Horas de Reproducción Musical - Ideal para Trabajo Cotidiano, Juegos y Estudio</t>
        </is>
      </c>
      <c r="H680" s="16" t="inlineStr">
        <is>
          <t>BLANCO</t>
        </is>
      </c>
      <c r="I680" s="16" t="n">
        <v>1</v>
      </c>
      <c r="J680" s="17" t="n">
        <v>35</v>
      </c>
      <c r="K680" s="17" t="n">
        <v>48.12</v>
      </c>
      <c r="L680" s="17" t="n">
        <v>25.86</v>
      </c>
      <c r="M680" s="17" t="n">
        <v>0</v>
      </c>
      <c r="N680" s="17">
        <f>K680*0.08+L680*0.08</f>
        <v/>
      </c>
      <c r="O680" s="17">
        <f>-(K680*0.025+L680*0.025)</f>
        <v/>
      </c>
      <c r="P680" s="17">
        <f>32</f>
        <v/>
      </c>
      <c r="Q680" s="17">
        <f>J680+L680+N680+O680-P680-M680</f>
        <v/>
      </c>
    </row>
    <row r="681">
      <c r="A681" s="16" t="inlineStr">
        <is>
          <t>5.1-5.7</t>
        </is>
      </c>
      <c r="B681" s="16" t="inlineStr">
        <is>
          <t>PO-128-02974482432632271</t>
        </is>
      </c>
      <c r="C681" s="16" t="inlineStr">
        <is>
          <t>Delivered</t>
        </is>
      </c>
      <c r="D681" s="16" t="inlineStr">
        <is>
          <t>128-02974445732472271</t>
        </is>
      </c>
      <c r="E681" s="16" t="inlineStr">
        <is>
          <t>Delivered</t>
        </is>
      </c>
      <c r="F681" s="16" t="inlineStr">
        <is>
          <t>KTS-1678R</t>
        </is>
      </c>
      <c r="G681" s="16" t="inlineStr">
        <is>
          <t>Bocina portátil Inalámbrico, de 3 pulgadas, tamaño de bolsillo, 170 g, con asa, compatible con TF, USB y Micro SD, con radio FM y función TWS (True Wireless Stereo), adecuada para relajarse en casa o viajar al aire libre.</t>
        </is>
      </c>
      <c r="H681" s="16" t="inlineStr">
        <is>
          <t>KTS-1678R</t>
        </is>
      </c>
      <c r="I681" s="16" t="n">
        <v>1</v>
      </c>
      <c r="J681" s="17" t="n">
        <v>40</v>
      </c>
      <c r="K681" s="17" t="n">
        <v>48.29</v>
      </c>
      <c r="L681" s="17" t="n">
        <v>25.86</v>
      </c>
      <c r="M681" s="17" t="n">
        <v>0</v>
      </c>
      <c r="N681" s="17">
        <f>K681*0.08+L681*0.08</f>
        <v/>
      </c>
      <c r="O681" s="17">
        <f>-(K681*0.025+L681*0.025)</f>
        <v/>
      </c>
      <c r="P681" s="17">
        <f>32</f>
        <v/>
      </c>
      <c r="Q681" s="17">
        <f>J681+L681+N681+O681-P681-M681</f>
        <v/>
      </c>
    </row>
    <row r="682">
      <c r="A682" s="16" t="inlineStr">
        <is>
          <t>5.1-5.7</t>
        </is>
      </c>
      <c r="B682" s="16" t="inlineStr">
        <is>
          <t>PO-128-03391603262070873</t>
        </is>
      </c>
      <c r="C682" s="16" t="inlineStr">
        <is>
          <t>Delivered</t>
        </is>
      </c>
      <c r="D682" s="16" t="inlineStr">
        <is>
          <t>128-03391563940470873</t>
        </is>
      </c>
      <c r="E682" s="16" t="inlineStr">
        <is>
          <t>Delivered</t>
        </is>
      </c>
      <c r="F682" s="16" t="inlineStr">
        <is>
          <t>MB-178-N</t>
        </is>
      </c>
      <c r="G682" s="16" t="inlineStr">
        <is>
          <t>Bocina de Barra Bluetooth LINK BITS con dos altavoces, sonido de alta calidad y multifuncional (Bluetooth, Radio FM, USB, TF, AUX, TWS), ideal para juegos, reuniones, oficina y cine en casa.</t>
        </is>
      </c>
      <c r="H682" s="16" t="inlineStr">
        <is>
          <t>NEGRO</t>
        </is>
      </c>
      <c r="I682" s="16" t="n">
        <v>1</v>
      </c>
      <c r="J682" s="17" t="n">
        <v>130</v>
      </c>
      <c r="K682" s="17" t="n">
        <v>149.34</v>
      </c>
      <c r="L682" s="17" t="n">
        <v>25.86</v>
      </c>
      <c r="M682" s="17" t="n">
        <v>0</v>
      </c>
      <c r="N682" s="17">
        <f>K682*0.08+L682*0.08</f>
        <v/>
      </c>
      <c r="O682" s="17">
        <f>-(K682*0.025+L682*0.025)</f>
        <v/>
      </c>
      <c r="P682" s="17">
        <f>32</f>
        <v/>
      </c>
      <c r="Q682" s="17">
        <f>J682+L682+N682+O682-P682-M682</f>
        <v/>
      </c>
    </row>
    <row r="683">
      <c r="A683" s="16" t="inlineStr">
        <is>
          <t>5.1-5.7</t>
        </is>
      </c>
      <c r="B683" s="16" t="inlineStr">
        <is>
          <t>PO-128-03433235702390625</t>
        </is>
      </c>
      <c r="C683" s="16" t="inlineStr">
        <is>
          <t>Delivered</t>
        </is>
      </c>
      <c r="D683" s="16" t="inlineStr">
        <is>
          <t>128-03433256673910625</t>
        </is>
      </c>
      <c r="E683" s="16" t="inlineStr">
        <is>
          <t>Delivered</t>
        </is>
      </c>
      <c r="F683" s="16" t="inlineStr">
        <is>
          <t>MCM-001A</t>
        </is>
      </c>
      <c r="G683" s="16" t="inlineStr">
        <is>
          <t>Musicord Altavoz Inalámbrico BT Portátil: ¡Sonido impactante, luces LED multicolores y 4 horas de autonomía! Compatible con TWS, FM, TF y USB – Imprescindible para fiestas y viajes</t>
        </is>
      </c>
      <c r="H683" s="16" t="inlineStr">
        <is>
          <t>AZUL</t>
        </is>
      </c>
      <c r="I683" s="16" t="n">
        <v>1</v>
      </c>
      <c r="J683" s="17" t="n">
        <v>51.06</v>
      </c>
      <c r="K683" s="17" t="n">
        <v>59.46</v>
      </c>
      <c r="L683" s="17" t="n">
        <v>25.86</v>
      </c>
      <c r="M683" s="17" t="n">
        <v>0</v>
      </c>
      <c r="N683" s="17">
        <f>K683*0.08+L683*0.08</f>
        <v/>
      </c>
      <c r="O683" s="17">
        <f>-(K683*0.025+L683*0.025)</f>
        <v/>
      </c>
      <c r="P683" s="17">
        <f>32</f>
        <v/>
      </c>
      <c r="Q683" s="17">
        <f>J683+L683+N683+O683-P683-M683</f>
        <v/>
      </c>
    </row>
    <row r="684">
      <c r="A684" s="16" t="inlineStr">
        <is>
          <t>5.1-5.7</t>
        </is>
      </c>
      <c r="B684" s="16" t="inlineStr">
        <is>
          <t>PO-128-02970576487032228</t>
        </is>
      </c>
      <c r="C684" s="16" t="inlineStr">
        <is>
          <t>Delivered</t>
        </is>
      </c>
      <c r="D684" s="16" t="inlineStr">
        <is>
          <t>128-02970631537272228</t>
        </is>
      </c>
      <c r="E684" s="16" t="inlineStr">
        <is>
          <t>Delivered</t>
        </is>
      </c>
      <c r="F684" s="16" t="inlineStr">
        <is>
          <t>MCM-001G</t>
        </is>
      </c>
      <c r="G684" s="16" t="inlineStr">
        <is>
          <t>Musicord Altavoz Inalámbrico BT Portátil: ¡Sonido impactante, luces LED multicolores y 4 horas de autonomía! Compatible con TWS, FM, TF y USB – Imprescindible para fiestas y viajes</t>
        </is>
      </c>
      <c r="H684" s="16" t="inlineStr">
        <is>
          <t>GRIS</t>
        </is>
      </c>
      <c r="I684" s="16" t="n">
        <v>1</v>
      </c>
      <c r="J684" s="17" t="n">
        <v>51.06</v>
      </c>
      <c r="K684" s="17" t="n">
        <v>62.34</v>
      </c>
      <c r="L684" s="17" t="n">
        <v>0</v>
      </c>
      <c r="M684" s="17" t="n">
        <v>0</v>
      </c>
      <c r="N684" s="17">
        <f>K684*0.08+L684*0.08</f>
        <v/>
      </c>
      <c r="O684" s="17">
        <f>-(K684*0.025+L684*0.025)</f>
        <v/>
      </c>
      <c r="P684" s="17">
        <f>32</f>
        <v/>
      </c>
      <c r="Q684" s="17">
        <f>J684+L684+N684+O684-P684-M684</f>
        <v/>
      </c>
    </row>
    <row r="685">
      <c r="A685" s="16" t="inlineStr">
        <is>
          <t>5.1-5.7</t>
        </is>
      </c>
      <c r="B685" s="16" t="inlineStr">
        <is>
          <t>PO-128-02970576487032228</t>
        </is>
      </c>
      <c r="C685" s="16" t="inlineStr">
        <is>
          <t>Delivered</t>
        </is>
      </c>
      <c r="D685" s="16" t="inlineStr">
        <is>
          <t>128-02970610565752228</t>
        </is>
      </c>
      <c r="E685" s="16" t="inlineStr">
        <is>
          <t>Delivered</t>
        </is>
      </c>
      <c r="F685" s="16" t="inlineStr">
        <is>
          <t>KTS-1678N</t>
        </is>
      </c>
      <c r="G685" s="16" t="inlineStr">
        <is>
          <t>Bocina portátil Inalámbrico, de 3 pulgadas, tamaño de bolsillo, 170 g, con asa, compatible con TF, USB y Micro SD, con radio FM y función TWS (True Wireless Stereo), adecuada para relajarse en casa o viajar al aire libre.</t>
        </is>
      </c>
      <c r="H685" s="16" t="inlineStr">
        <is>
          <t>KTS-1678N</t>
        </is>
      </c>
      <c r="I685" s="16" t="n">
        <v>2</v>
      </c>
      <c r="J685" s="17" t="n">
        <v>80</v>
      </c>
      <c r="K685" s="17" t="n">
        <v>92.44</v>
      </c>
      <c r="L685" s="17" t="n">
        <v>0</v>
      </c>
      <c r="M685" s="17" t="n">
        <v>0</v>
      </c>
      <c r="N685" s="17">
        <f>K685*0.08+L685*0.08</f>
        <v/>
      </c>
      <c r="O685" s="17">
        <f>-(K685*0.025+L685*0.025)</f>
        <v/>
      </c>
      <c r="P685" s="17">
        <f>32</f>
        <v/>
      </c>
      <c r="Q685" s="17">
        <f>J685+L685+N685+O685-P685-M685</f>
        <v/>
      </c>
    </row>
    <row r="686">
      <c r="A686" s="16" t="inlineStr">
        <is>
          <t>5.1-5.7</t>
        </is>
      </c>
      <c r="B686" s="16" t="inlineStr">
        <is>
          <t>PO-128-02970576487032228</t>
        </is>
      </c>
      <c r="C686" s="16" t="inlineStr">
        <is>
          <t>Delivered</t>
        </is>
      </c>
      <c r="D686" s="16" t="inlineStr">
        <is>
          <t>128-02970600079992228</t>
        </is>
      </c>
      <c r="E686" s="16" t="inlineStr">
        <is>
          <t>Delivered</t>
        </is>
      </c>
      <c r="F686" s="16" t="inlineStr">
        <is>
          <t>MCM-001A</t>
        </is>
      </c>
      <c r="G686" s="16" t="inlineStr">
        <is>
          <t>Musicord Altavoz Inalámbrico BT Portátil: ¡Sonido impactante, luces LED multicolores y 4 horas de autonomía! Compatible con TWS, FM, TF y USB – Imprescindible para fiestas y viajes</t>
        </is>
      </c>
      <c r="H686" s="16" t="inlineStr">
        <is>
          <t>AZUL</t>
        </is>
      </c>
      <c r="I686" s="16" t="n">
        <v>2</v>
      </c>
      <c r="J686" s="17" t="n">
        <v>102.12</v>
      </c>
      <c r="K686" s="17" t="n">
        <v>118.92</v>
      </c>
      <c r="L686" s="17" t="n">
        <v>0</v>
      </c>
      <c r="M686" s="17" t="n">
        <v>0</v>
      </c>
      <c r="N686" s="17">
        <f>K686*0.08+L686*0.08</f>
        <v/>
      </c>
      <c r="O686" s="17">
        <f>-(K686*0.025+L686*0.025)</f>
        <v/>
      </c>
      <c r="P686" s="17">
        <f>32</f>
        <v/>
      </c>
      <c r="Q686" s="17">
        <f>J686+L686+N686+O686-P686-M686</f>
        <v/>
      </c>
    </row>
    <row r="687">
      <c r="A687" s="16" t="inlineStr">
        <is>
          <t>5.1-5.7</t>
        </is>
      </c>
      <c r="B687" s="16" t="inlineStr">
        <is>
          <t>PO-128-03143325071991201</t>
        </is>
      </c>
      <c r="C687" s="16" t="inlineStr">
        <is>
          <t>Delivered</t>
        </is>
      </c>
      <c r="D687" s="16" t="inlineStr">
        <is>
          <t>128-03143346043511201</t>
        </is>
      </c>
      <c r="E687" s="16" t="inlineStr">
        <is>
          <t>Delivered</t>
        </is>
      </c>
      <c r="F687" s="16" t="inlineStr">
        <is>
          <t>AIR50W06-2P</t>
        </is>
      </c>
      <c r="G687" s="16" t="inlineStr">
        <is>
          <t>Link Bits Ventilador de piso de 16 pulgadas, 2 unidades, 3 velocidades, motor silencioso, flujo de aire fuerte, altura ajustable, oscilación amplia, ventilador eléctrico para el hogar, ideal para sala, recámara y oficina</t>
        </is>
      </c>
      <c r="H687" s="16" t="inlineStr">
        <is>
          <t>2PZ</t>
        </is>
      </c>
      <c r="I687" s="16" t="n">
        <v>1</v>
      </c>
      <c r="J687" s="17" t="n">
        <v>435</v>
      </c>
      <c r="K687" s="17" t="n">
        <v>433.72</v>
      </c>
      <c r="L687" s="17" t="n">
        <v>0</v>
      </c>
      <c r="M687" s="17" t="n">
        <v>0</v>
      </c>
      <c r="N687" s="17">
        <f>K687*0.08+L687*0.08</f>
        <v/>
      </c>
      <c r="O687" s="17">
        <f>-(K687*0.025+L687*0.025)</f>
        <v/>
      </c>
      <c r="P687" s="17">
        <f>32</f>
        <v/>
      </c>
      <c r="Q687" s="17">
        <f>J687+L687+N687+O687-P687-M687</f>
        <v/>
      </c>
    </row>
    <row r="688">
      <c r="A688" s="16" t="inlineStr">
        <is>
          <t>5.1-5.7</t>
        </is>
      </c>
      <c r="B688" s="16" t="inlineStr">
        <is>
          <t>PO-128-02795350815353211</t>
        </is>
      </c>
      <c r="C688" s="16" t="inlineStr">
        <is>
          <t>Delivered</t>
        </is>
      </c>
      <c r="D688" s="16" t="inlineStr">
        <is>
          <t>128-02795403244153211</t>
        </is>
      </c>
      <c r="E688" s="16" t="inlineStr">
        <is>
          <t>Delivered</t>
        </is>
      </c>
      <c r="F688" s="16" t="inlineStr">
        <is>
          <t>AIR50W06-2P</t>
        </is>
      </c>
      <c r="G688" s="16" t="inlineStr">
        <is>
          <t>Link Bits Ventilador de piso de 16 pulgadas, 2 unidades, 3 velocidades, motor silencioso, flujo de aire fuerte, altura ajustable, oscilación amplia, ventilador eléctrico para el hogar, ideal para sala, recámara y oficina</t>
        </is>
      </c>
      <c r="H688" s="16" t="inlineStr">
        <is>
          <t>2PZ</t>
        </is>
      </c>
      <c r="I688" s="16" t="n">
        <v>1</v>
      </c>
      <c r="J688" s="17" t="n">
        <v>435</v>
      </c>
      <c r="K688" s="17" t="n">
        <v>482.9</v>
      </c>
      <c r="L688" s="17" t="n">
        <v>0</v>
      </c>
      <c r="M688" s="17" t="n">
        <v>0</v>
      </c>
      <c r="N688" s="17">
        <f>K688*0.08+L688*0.08</f>
        <v/>
      </c>
      <c r="O688" s="17">
        <f>-(K688*0.025+L688*0.025)</f>
        <v/>
      </c>
      <c r="P688" s="17">
        <f>32</f>
        <v/>
      </c>
      <c r="Q688" s="17">
        <f>J688+L688+N688+O688-P688-M688</f>
        <v/>
      </c>
    </row>
    <row r="689">
      <c r="A689" s="16" t="inlineStr">
        <is>
          <t>5.1-5.7</t>
        </is>
      </c>
      <c r="B689" s="16" t="inlineStr">
        <is>
          <t>PO-128-03258719253111601</t>
        </is>
      </c>
      <c r="C689" s="16" t="inlineStr">
        <is>
          <t>Delivered</t>
        </is>
      </c>
      <c r="D689" s="16" t="inlineStr">
        <is>
          <t>128-03258708767351601</t>
        </is>
      </c>
      <c r="E689" s="16" t="inlineStr">
        <is>
          <t>Delivered</t>
        </is>
      </c>
      <c r="F689" s="16" t="inlineStr">
        <is>
          <t>LB02235-negro</t>
        </is>
      </c>
      <c r="G689" s="16" t="inlineStr">
        <is>
          <t>Audífonos Inalámbricos para la Cabeza, Recargables y Multifuncionales - Conectan a Varios Dispositivos, soportan Radio FM, Tarjeta TF y AUX - 4 Horas de Reproducción Musical - Ideal para Trabajo Cotidiano, Juegos y Estudio</t>
        </is>
      </c>
      <c r="H689" s="16" t="inlineStr">
        <is>
          <t>NEGRO</t>
        </is>
      </c>
      <c r="I689" s="16" t="n">
        <v>1</v>
      </c>
      <c r="J689" s="17" t="n">
        <v>35</v>
      </c>
      <c r="K689" s="17" t="n">
        <v>38.49</v>
      </c>
      <c r="L689" s="17" t="n">
        <v>25.86</v>
      </c>
      <c r="M689" s="17" t="n">
        <v>0</v>
      </c>
      <c r="N689" s="17">
        <f>K689*0.08+L689*0.08</f>
        <v/>
      </c>
      <c r="O689" s="17">
        <f>-(K689*0.025+L689*0.025)</f>
        <v/>
      </c>
      <c r="P689" s="17">
        <f>32</f>
        <v/>
      </c>
      <c r="Q689" s="17">
        <f>J689+L689+N689+O689-P689-M689</f>
        <v/>
      </c>
    </row>
    <row r="690">
      <c r="A690" s="16" t="inlineStr">
        <is>
          <t>5.1-5.7</t>
        </is>
      </c>
      <c r="B690" s="16" t="inlineStr">
        <is>
          <t>PO-128-03196258796152037</t>
        </is>
      </c>
      <c r="C690" s="16" t="inlineStr">
        <is>
          <t>Delivered</t>
        </is>
      </c>
      <c r="D690" s="16" t="inlineStr">
        <is>
          <t>128-03196243067512037</t>
        </is>
      </c>
      <c r="E690" s="16" t="inlineStr">
        <is>
          <t>Delivered</t>
        </is>
      </c>
      <c r="F690" s="16" t="inlineStr">
        <is>
          <t>AIR50W06-2P</t>
        </is>
      </c>
      <c r="G690" s="16" t="inlineStr">
        <is>
          <t>Link Bits Ventilador de piso de 16 pulgadas, 2 unidades, 3 velocidades, motor silencioso, flujo de aire fuerte, altura ajustable, oscilación amplia, ventilador eléctrico para el hogar, ideal para sala, recámara y oficina</t>
        </is>
      </c>
      <c r="H690" s="16" t="inlineStr">
        <is>
          <t>2PZ</t>
        </is>
      </c>
      <c r="I690" s="16" t="n">
        <v>1</v>
      </c>
      <c r="J690" s="17" t="n">
        <v>435</v>
      </c>
      <c r="K690" s="17" t="n">
        <v>568.12</v>
      </c>
      <c r="L690" s="17" t="n">
        <v>0</v>
      </c>
      <c r="M690" s="17" t="n">
        <v>0</v>
      </c>
      <c r="N690" s="17">
        <f>K690*0.08+L690*0.08</f>
        <v/>
      </c>
      <c r="O690" s="17">
        <f>-(K690*0.025+L690*0.025)</f>
        <v/>
      </c>
      <c r="P690" s="17">
        <f>32</f>
        <v/>
      </c>
      <c r="Q690" s="17">
        <f>J690+L690+N690+O690-P690-M690</f>
        <v/>
      </c>
    </row>
    <row r="691">
      <c r="A691" s="16" t="inlineStr">
        <is>
          <t>5.1-5.7</t>
        </is>
      </c>
      <c r="B691" s="16" t="inlineStr">
        <is>
          <t>PO-128-03415367588470539</t>
        </is>
      </c>
      <c r="C691" s="16" t="inlineStr">
        <is>
          <t>Delivered</t>
        </is>
      </c>
      <c r="D691" s="16" t="inlineStr">
        <is>
          <t>128-03415351859830539</t>
        </is>
      </c>
      <c r="E691" s="16" t="inlineStr">
        <is>
          <t>Delivered</t>
        </is>
      </c>
      <c r="F691" s="16" t="inlineStr">
        <is>
          <t>KTS-1678N</t>
        </is>
      </c>
      <c r="G691" s="16" t="inlineStr">
        <is>
          <t>Bocina portátil Inalámbrico, de 3 pulgadas, tamaño de bolsillo, 170 g, con asa, compatible con TF, USB y Micro SD, con radio FM y función TWS (True Wireless Stereo), adecuada para relajarse en casa o viajar al aire libre.</t>
        </is>
      </c>
      <c r="H691" s="16" t="inlineStr">
        <is>
          <t>KTS-1678N</t>
        </is>
      </c>
      <c r="I691" s="16" t="n">
        <v>1</v>
      </c>
      <c r="J691" s="17" t="n">
        <v>40</v>
      </c>
      <c r="K691" s="17" t="n">
        <v>46.22</v>
      </c>
      <c r="L691" s="17" t="n">
        <v>25.86</v>
      </c>
      <c r="M691" s="17" t="n">
        <v>0</v>
      </c>
      <c r="N691" s="17">
        <f>K691*0.08+L691*0.08</f>
        <v/>
      </c>
      <c r="O691" s="17">
        <f>-(K691*0.025+L691*0.025)</f>
        <v/>
      </c>
      <c r="P691" s="17">
        <f>32</f>
        <v/>
      </c>
      <c r="Q691" s="17">
        <f>J691+L691+N691+O691-P691-M691</f>
        <v/>
      </c>
    </row>
    <row r="692">
      <c r="A692" s="16" t="inlineStr">
        <is>
          <t>5.1-5.7</t>
        </is>
      </c>
      <c r="B692" s="16" t="inlineStr">
        <is>
          <t>PO-128-03238356501111784</t>
        </is>
      </c>
      <c r="C692" s="16" t="inlineStr">
        <is>
          <t>Delivered</t>
        </is>
      </c>
      <c r="D692" s="16" t="inlineStr">
        <is>
          <t>128-03238492815991784</t>
        </is>
      </c>
      <c r="E692" s="16" t="inlineStr">
        <is>
          <t>Delivered</t>
        </is>
      </c>
      <c r="F692" s="16" t="inlineStr">
        <is>
          <t>AIR50W06-2P</t>
        </is>
      </c>
      <c r="G692" s="16" t="inlineStr">
        <is>
          <t>Link Bits Ventilador de piso de 16 pulgadas, 2 unidades, 3 velocidades, motor silencioso, flujo de aire fuerte, altura ajustable, oscilación amplia, ventilador eléctrico para el hogar, ideal para sala, recámara y oficina</t>
        </is>
      </c>
      <c r="H692" s="16" t="inlineStr">
        <is>
          <t>2PZ</t>
        </is>
      </c>
      <c r="I692" s="16" t="n">
        <v>1</v>
      </c>
      <c r="J692" s="17" t="n">
        <v>435</v>
      </c>
      <c r="K692" s="17" t="n">
        <v>482.9</v>
      </c>
      <c r="L692" s="17" t="n">
        <v>0</v>
      </c>
      <c r="M692" s="17" t="n">
        <v>0</v>
      </c>
      <c r="N692" s="17">
        <f>K692*0.08+L692*0.08</f>
        <v/>
      </c>
      <c r="O692" s="17">
        <f>-(K692*0.025+L692*0.025)</f>
        <v/>
      </c>
      <c r="P692" s="17">
        <f>32</f>
        <v/>
      </c>
      <c r="Q692" s="17">
        <f>J692+L692+N692+O692-P692-M692</f>
        <v/>
      </c>
    </row>
    <row r="693">
      <c r="A693" s="16" t="inlineStr">
        <is>
          <t>5.1-5.7</t>
        </is>
      </c>
      <c r="B693" s="16" t="inlineStr">
        <is>
          <t>PO-128-03127682980471356</t>
        </is>
      </c>
      <c r="C693" s="16" t="inlineStr">
        <is>
          <t>Delivered</t>
        </is>
      </c>
      <c r="D693" s="16" t="inlineStr">
        <is>
          <t>128-03127693466231356</t>
        </is>
      </c>
      <c r="E693" s="16" t="inlineStr">
        <is>
          <t>Delivered</t>
        </is>
      </c>
      <c r="F693" s="16" t="inlineStr">
        <is>
          <t>MCM-001G</t>
        </is>
      </c>
      <c r="G693" s="16" t="inlineStr">
        <is>
          <t>Musicord Altavoz Inalámbrico BT Portátil: ¡Sonido impactante, luces LED multicolores y 4 horas de autonomía! Compatible con TWS, FM, TF y USB – Imprescindible para fiestas y viajes</t>
        </is>
      </c>
      <c r="H693" s="16" t="inlineStr">
        <is>
          <t>GRIS</t>
        </is>
      </c>
      <c r="I693" s="16" t="n">
        <v>1</v>
      </c>
      <c r="J693" s="17" t="n">
        <v>51.06</v>
      </c>
      <c r="K693" s="17" t="n">
        <v>57.12</v>
      </c>
      <c r="L693" s="17" t="n">
        <v>13.24</v>
      </c>
      <c r="M693" s="17" t="n">
        <v>0</v>
      </c>
      <c r="N693" s="17">
        <f>K693*0.08+L693*0.08</f>
        <v/>
      </c>
      <c r="O693" s="17">
        <f>-(K693*0.025+L693*0.025)</f>
        <v/>
      </c>
      <c r="P693" s="17">
        <f>32</f>
        <v/>
      </c>
      <c r="Q693" s="17">
        <f>J693+L693+N693+O693-P693-M693</f>
        <v/>
      </c>
    </row>
    <row r="694">
      <c r="A694" s="16" t="inlineStr">
        <is>
          <t>5.1-5.7</t>
        </is>
      </c>
      <c r="B694" s="16" t="inlineStr">
        <is>
          <t>PO-128-03127682980471356</t>
        </is>
      </c>
      <c r="C694" s="16" t="inlineStr">
        <is>
          <t>Delivered</t>
        </is>
      </c>
      <c r="D694" s="16" t="inlineStr">
        <is>
          <t>128-03127672494711356</t>
        </is>
      </c>
      <c r="E694" s="16" t="inlineStr">
        <is>
          <t>Delivered</t>
        </is>
      </c>
      <c r="F694" s="16" t="inlineStr">
        <is>
          <t>MCM-001A</t>
        </is>
      </c>
      <c r="G694" s="16" t="inlineStr">
        <is>
          <t>Musicord Altavoz Inalámbrico BT Portátil: ¡Sonido impactante, luces LED multicolores y 4 horas de autonomía! Compatible con TWS, FM, TF y USB – Imprescindible para fiestas y viajes</t>
        </is>
      </c>
      <c r="H694" s="16" t="inlineStr">
        <is>
          <t>AZUL</t>
        </is>
      </c>
      <c r="I694" s="16" t="n">
        <v>1</v>
      </c>
      <c r="J694" s="17" t="n">
        <v>51.06</v>
      </c>
      <c r="K694" s="17" t="n">
        <v>54.47</v>
      </c>
      <c r="L694" s="17" t="n">
        <v>12.62</v>
      </c>
      <c r="M694" s="17" t="n">
        <v>0</v>
      </c>
      <c r="N694" s="17">
        <f>K694*0.08+L694*0.08</f>
        <v/>
      </c>
      <c r="O694" s="17">
        <f>-(K694*0.025+L694*0.025)</f>
        <v/>
      </c>
      <c r="P694" s="17">
        <f>32</f>
        <v/>
      </c>
      <c r="Q694" s="17">
        <f>J694+L694+N694+O694-P694-M694</f>
        <v/>
      </c>
    </row>
    <row r="695">
      <c r="A695" s="16" t="inlineStr">
        <is>
          <t>5.1-5.7</t>
        </is>
      </c>
      <c r="B695" s="16" t="inlineStr">
        <is>
          <t>PO-128-03386038958710840</t>
        </is>
      </c>
      <c r="C695" s="16" t="inlineStr">
        <is>
          <t>Delivered</t>
        </is>
      </c>
      <c r="D695" s="16" t="inlineStr">
        <is>
          <t>128-03386080901750840</t>
        </is>
      </c>
      <c r="E695" s="16" t="inlineStr">
        <is>
          <t>Delivered</t>
        </is>
      </c>
      <c r="F695" s="16" t="inlineStr">
        <is>
          <t>MCM-001G</t>
        </is>
      </c>
      <c r="G695" s="16" t="inlineStr">
        <is>
          <t>Musicord Altavoz Inalámbrico BT Portátil: ¡Sonido impactante, luces LED multicolores y 4 horas de autonomía! Compatible con TWS, FM, TF y USB – Imprescindible para fiestas y viajes</t>
        </is>
      </c>
      <c r="H695" s="16" t="inlineStr">
        <is>
          <t>GRIS</t>
        </is>
      </c>
      <c r="I695" s="16" t="n">
        <v>2</v>
      </c>
      <c r="J695" s="17" t="n">
        <v>102.12</v>
      </c>
      <c r="K695" s="17" t="n">
        <v>64.34</v>
      </c>
      <c r="L695" s="17" t="n">
        <v>25.86</v>
      </c>
      <c r="M695" s="17" t="n">
        <v>0</v>
      </c>
      <c r="N695" s="17">
        <f>K695*0.08+L695*0.08</f>
        <v/>
      </c>
      <c r="O695" s="17">
        <f>-(K695*0.025+L695*0.025)</f>
        <v/>
      </c>
      <c r="P695" s="17">
        <f>32</f>
        <v/>
      </c>
      <c r="Q695" s="17">
        <f>J695+L695+N695+O695-P695-M695</f>
        <v/>
      </c>
    </row>
    <row r="696">
      <c r="A696" s="16" t="inlineStr">
        <is>
          <t>5.1-5.7</t>
        </is>
      </c>
      <c r="B696" s="16" t="inlineStr">
        <is>
          <t>PO-128-03333433426550002</t>
        </is>
      </c>
      <c r="C696" s="16" t="inlineStr">
        <is>
          <t>Delivered</t>
        </is>
      </c>
      <c r="D696" s="16" t="inlineStr">
        <is>
          <t>128-03333391483510002</t>
        </is>
      </c>
      <c r="E696" s="16" t="inlineStr">
        <is>
          <t>Delivered</t>
        </is>
      </c>
      <c r="F696" s="16" t="inlineStr">
        <is>
          <t>LV34W04</t>
        </is>
      </c>
      <c r="G69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696" s="16" t="inlineStr">
        <is>
          <t>LV34W04</t>
        </is>
      </c>
      <c r="I696" s="16" t="n">
        <v>1</v>
      </c>
      <c r="J696" s="17" t="n">
        <v>197.4</v>
      </c>
      <c r="K696" s="17" t="n">
        <v>234.03</v>
      </c>
      <c r="L696" s="17" t="n">
        <v>25.86</v>
      </c>
      <c r="M696" s="17" t="n">
        <v>0</v>
      </c>
      <c r="N696" s="17">
        <f>K696*0.08+L696*0.08</f>
        <v/>
      </c>
      <c r="O696" s="17">
        <f>-(K696*0.025+L696*0.025)</f>
        <v/>
      </c>
      <c r="P696" s="17">
        <f>32</f>
        <v/>
      </c>
      <c r="Q696" s="17">
        <f>J696+L696+N696+O696-P696-M696</f>
        <v/>
      </c>
    </row>
    <row r="697">
      <c r="A697" s="16" t="inlineStr">
        <is>
          <t>5.1-5.7</t>
        </is>
      </c>
      <c r="B697" s="16" t="inlineStr">
        <is>
          <t>PO-128-03011043297912949</t>
        </is>
      </c>
      <c r="C697" s="16" t="inlineStr">
        <is>
          <t>Delivered</t>
        </is>
      </c>
      <c r="D697" s="16" t="inlineStr">
        <is>
          <t>128-03011032812152949</t>
        </is>
      </c>
      <c r="E697" s="16" t="inlineStr">
        <is>
          <t>Delivered</t>
        </is>
      </c>
      <c r="F697" s="16" t="inlineStr">
        <is>
          <t>KTS-1678N</t>
        </is>
      </c>
      <c r="G697" s="16" t="inlineStr">
        <is>
          <t>Bocina portátil Inalámbrico, de 3 pulgadas, tamaño de bolsillo, 170 g, con asa, compatible con TF, USB y Micro SD, con radio FM y función TWS (True Wireless Stereo), adecuada para relajarse en casa o viajar al aire libre.</t>
        </is>
      </c>
      <c r="H697" s="16" t="inlineStr">
        <is>
          <t>KTS-1678N</t>
        </is>
      </c>
      <c r="I697" s="16" t="n">
        <v>1</v>
      </c>
      <c r="J697" s="17" t="n">
        <v>40</v>
      </c>
      <c r="K697" s="17" t="n">
        <v>46.22</v>
      </c>
      <c r="L697" s="17" t="n">
        <v>6.39</v>
      </c>
      <c r="M697" s="17" t="n">
        <v>0</v>
      </c>
      <c r="N697" s="17">
        <f>K697*0.08+L697*0.08</f>
        <v/>
      </c>
      <c r="O697" s="17">
        <f>-(K697*0.025+L697*0.025)</f>
        <v/>
      </c>
      <c r="P697" s="17">
        <f>32</f>
        <v/>
      </c>
      <c r="Q697" s="17">
        <f>J697+L697+N697+O697-P697-M697</f>
        <v/>
      </c>
    </row>
    <row r="698">
      <c r="A698" s="16" t="inlineStr">
        <is>
          <t>5.1-5.7</t>
        </is>
      </c>
      <c r="B698" s="16" t="inlineStr">
        <is>
          <t>PO-128-03011043297912949</t>
        </is>
      </c>
      <c r="C698" s="16" t="inlineStr">
        <is>
          <t>Delivered</t>
        </is>
      </c>
      <c r="D698" s="16" t="inlineStr">
        <is>
          <t>128-03011064269432949</t>
        </is>
      </c>
      <c r="E698" s="16" t="inlineStr">
        <is>
          <t>Delivered</t>
        </is>
      </c>
      <c r="F698" s="16" t="inlineStr">
        <is>
          <t>KTS-1678Y</t>
        </is>
      </c>
      <c r="G698" s="16" t="inlineStr">
        <is>
          <t>Bocina portátil Inalámbrico, de 3 pulgadas, tamaño de bolsillo, 170 g, con asa, compatible con TF, USB y Micro SD, con radio FM y función TWS (True Wireless Stereo), adecuada para relajarse en casa o viajar al aire libre.</t>
        </is>
      </c>
      <c r="H698" s="16" t="inlineStr">
        <is>
          <t>KTS-1678Y</t>
        </is>
      </c>
      <c r="I698" s="16" t="n">
        <v>1</v>
      </c>
      <c r="J698" s="17" t="n">
        <v>40</v>
      </c>
      <c r="K698" s="17" t="n">
        <v>46.22</v>
      </c>
      <c r="L698" s="17" t="n">
        <v>6.39</v>
      </c>
      <c r="M698" s="17" t="n">
        <v>0</v>
      </c>
      <c r="N698" s="17">
        <f>K698*0.08+L698*0.08</f>
        <v/>
      </c>
      <c r="O698" s="17">
        <f>-(K698*0.025+L698*0.025)</f>
        <v/>
      </c>
      <c r="P698" s="17">
        <f>32</f>
        <v/>
      </c>
      <c r="Q698" s="17">
        <f>J698+L698+N698+O698-P698-M698</f>
        <v/>
      </c>
    </row>
    <row r="699">
      <c r="A699" s="16" t="inlineStr">
        <is>
          <t>5.1-5.7</t>
        </is>
      </c>
      <c r="B699" s="16" t="inlineStr">
        <is>
          <t>PO-128-03011043297912949</t>
        </is>
      </c>
      <c r="C699" s="16" t="inlineStr">
        <is>
          <t>Delivered</t>
        </is>
      </c>
      <c r="D699" s="16" t="inlineStr">
        <is>
          <t>128-03011074755192949</t>
        </is>
      </c>
      <c r="E699" s="16" t="inlineStr">
        <is>
          <t>Delivered</t>
        </is>
      </c>
      <c r="F699" s="16" t="inlineStr">
        <is>
          <t>KTS-1678R</t>
        </is>
      </c>
      <c r="G699" s="16" t="inlineStr">
        <is>
          <t>Bocina portátil Inalámbrico, de 3 pulgadas, tamaño de bolsillo, 170 g, con asa, compatible con TF, USB y Micro SD, con radio FM y función TWS (True Wireless Stereo), adecuada para relajarse en casa o viajar al aire libre.</t>
        </is>
      </c>
      <c r="H699" s="16" t="inlineStr">
        <is>
          <t>KTS-1678R</t>
        </is>
      </c>
      <c r="I699" s="16" t="n">
        <v>1</v>
      </c>
      <c r="J699" s="17" t="n">
        <v>40</v>
      </c>
      <c r="K699" s="17" t="n">
        <v>48.29</v>
      </c>
      <c r="L699" s="17" t="n">
        <v>6.7</v>
      </c>
      <c r="M699" s="17" t="n">
        <v>0</v>
      </c>
      <c r="N699" s="17">
        <f>K699*0.08+L699*0.08</f>
        <v/>
      </c>
      <c r="O699" s="17">
        <f>-(K699*0.025+L699*0.025)</f>
        <v/>
      </c>
      <c r="P699" s="17">
        <f>32</f>
        <v/>
      </c>
      <c r="Q699" s="17">
        <f>J699+L699+N699+O699-P699-M699</f>
        <v/>
      </c>
    </row>
    <row r="700">
      <c r="A700" s="16" t="inlineStr">
        <is>
          <t>5.1-5.7</t>
        </is>
      </c>
      <c r="B700" s="16" t="inlineStr">
        <is>
          <t>PO-128-03011043297912949</t>
        </is>
      </c>
      <c r="C700" s="16" t="inlineStr">
        <is>
          <t>Delivered</t>
        </is>
      </c>
      <c r="D700" s="16" t="inlineStr">
        <is>
          <t>128-03011053783672949</t>
        </is>
      </c>
      <c r="E700" s="16" t="inlineStr">
        <is>
          <t>Delivered</t>
        </is>
      </c>
      <c r="F700" s="16" t="inlineStr">
        <is>
          <t>KTS-1678V</t>
        </is>
      </c>
      <c r="G700" s="16" t="inlineStr">
        <is>
          <t>Bocina portátil Inalámbrico, de 3 pulgadas, tamaño de bolsillo, 170 g, con asa, compatible con TF, USB y Micro SD, con radio FM y función TWS (True Wireless Stereo), adecuada para relajarse en casa o viajar al aire libre.</t>
        </is>
      </c>
      <c r="H700" s="16" t="inlineStr">
        <is>
          <t>KTS-1678V</t>
        </is>
      </c>
      <c r="I700" s="16" t="n">
        <v>1</v>
      </c>
      <c r="J700" s="17" t="n">
        <v>40</v>
      </c>
      <c r="K700" s="17" t="n">
        <v>46.22</v>
      </c>
      <c r="L700" s="17" t="n">
        <v>6.39</v>
      </c>
      <c r="M700" s="17" t="n">
        <v>0</v>
      </c>
      <c r="N700" s="17">
        <f>K700*0.08+L700*0.08</f>
        <v/>
      </c>
      <c r="O700" s="17">
        <f>-(K700*0.025+L700*0.025)</f>
        <v/>
      </c>
      <c r="P700" s="17">
        <f>32</f>
        <v/>
      </c>
      <c r="Q700" s="17">
        <f>J700+L700+N700+O700-P700-M700</f>
        <v/>
      </c>
    </row>
    <row r="701">
      <c r="A701" s="16" t="inlineStr">
        <is>
          <t>5.1-5.7</t>
        </is>
      </c>
      <c r="B701" s="16" t="inlineStr">
        <is>
          <t>PO-128-03305849344630358</t>
        </is>
      </c>
      <c r="C701" s="16" t="inlineStr">
        <is>
          <t>Delivered</t>
        </is>
      </c>
      <c r="D701" s="16" t="inlineStr">
        <is>
          <t>128-03305836237430358</t>
        </is>
      </c>
      <c r="E701" s="16" t="inlineStr">
        <is>
          <t>Delivered</t>
        </is>
      </c>
      <c r="F701" s="16" t="inlineStr">
        <is>
          <t>LB02235-blanco</t>
        </is>
      </c>
      <c r="G701" s="16" t="inlineStr">
        <is>
          <t>Audífonos Inalámbricos para la Cabeza, Recargables y Multifuncionales - Conectan a Varios Dispositivos, soportan Radio FM, Tarjeta TF y AUX - 4 Horas de Reproducción Musical - Ideal para Trabajo Cotidiano, Juegos y Estudio</t>
        </is>
      </c>
      <c r="H701" s="16" t="inlineStr">
        <is>
          <t>BLANCO</t>
        </is>
      </c>
      <c r="I701" s="16" t="n">
        <v>1</v>
      </c>
      <c r="J701" s="17" t="n">
        <v>35</v>
      </c>
      <c r="K701" s="17" t="n">
        <v>39.07</v>
      </c>
      <c r="L701" s="17" t="n">
        <v>6.59</v>
      </c>
      <c r="M701" s="17" t="n">
        <v>0</v>
      </c>
      <c r="N701" s="17">
        <f>K701*0.08+L701*0.08</f>
        <v/>
      </c>
      <c r="O701" s="17">
        <f>-(K701*0.025+L701*0.025)</f>
        <v/>
      </c>
      <c r="P701" s="17">
        <f>32</f>
        <v/>
      </c>
      <c r="Q701" s="17">
        <f>J701+L701+N701+O701-P701-M701</f>
        <v/>
      </c>
    </row>
    <row r="702">
      <c r="A702" s="16" t="inlineStr">
        <is>
          <t>5.1-5.7</t>
        </is>
      </c>
      <c r="B702" s="16" t="inlineStr">
        <is>
          <t>PO-128-03305849344630358</t>
        </is>
      </c>
      <c r="C702" s="16" t="inlineStr">
        <is>
          <t>Delivered</t>
        </is>
      </c>
      <c r="D702" s="16" t="inlineStr">
        <is>
          <t>128-03305851966070358</t>
        </is>
      </c>
      <c r="E702" s="16" t="inlineStr">
        <is>
          <t>Delivered</t>
        </is>
      </c>
      <c r="F702" s="16" t="inlineStr">
        <is>
          <t>KTS-1678Y</t>
        </is>
      </c>
      <c r="G702" s="16" t="inlineStr">
        <is>
          <t>Bocina portátil Inalámbrico, de 3 pulgadas, tamaño de bolsillo, 170 g, con asa, compatible con TF, USB y Micro SD, con radio FM y función TWS (True Wireless Stereo), adecuada para relajarse en casa o viajar al aire libre.</t>
        </is>
      </c>
      <c r="H702" s="16" t="inlineStr">
        <is>
          <t>KTS-1678Y</t>
        </is>
      </c>
      <c r="I702" s="16" t="n">
        <v>1</v>
      </c>
      <c r="J702" s="17" t="n">
        <v>40</v>
      </c>
      <c r="K702" s="17" t="n">
        <v>37.52</v>
      </c>
      <c r="L702" s="17" t="n">
        <v>6.33</v>
      </c>
      <c r="M702" s="17" t="n">
        <v>0</v>
      </c>
      <c r="N702" s="17">
        <f>K702*0.08+L702*0.08</f>
        <v/>
      </c>
      <c r="O702" s="17">
        <f>-(K702*0.025+L702*0.025)</f>
        <v/>
      </c>
      <c r="P702" s="17">
        <f>32</f>
        <v/>
      </c>
      <c r="Q702" s="17">
        <f>J702+L702+N702+O702-P702-M702</f>
        <v/>
      </c>
    </row>
    <row r="703">
      <c r="A703" s="16" t="inlineStr">
        <is>
          <t>5.1-5.7</t>
        </is>
      </c>
      <c r="B703" s="16" t="inlineStr">
        <is>
          <t>PO-128-03305849344630358</t>
        </is>
      </c>
      <c r="C703" s="16" t="inlineStr">
        <is>
          <t>Delivered</t>
        </is>
      </c>
      <c r="D703" s="16" t="inlineStr">
        <is>
          <t>128-03305830994550358</t>
        </is>
      </c>
      <c r="E703" s="16" t="inlineStr">
        <is>
          <t>Delivered</t>
        </is>
      </c>
      <c r="F703" s="16" t="inlineStr">
        <is>
          <t>LB02235-negro</t>
        </is>
      </c>
      <c r="G703" s="16" t="inlineStr">
        <is>
          <t>Audífonos Inalámbricos para la Cabeza, Recargables y Multifuncionales - Conectan a Varios Dispositivos, soportan Radio FM, Tarjeta TF y AUX - 4 Horas de Reproducción Musical - Ideal para Trabajo Cotidiano, Juegos y Estudio</t>
        </is>
      </c>
      <c r="H703" s="16" t="inlineStr">
        <is>
          <t>NEGRO</t>
        </is>
      </c>
      <c r="I703" s="16" t="n">
        <v>1</v>
      </c>
      <c r="J703" s="17" t="n">
        <v>35</v>
      </c>
      <c r="K703" s="17" t="n">
        <v>39.07</v>
      </c>
      <c r="L703" s="17" t="n">
        <v>6.61</v>
      </c>
      <c r="M703" s="17" t="n">
        <v>0</v>
      </c>
      <c r="N703" s="17">
        <f>K703*0.08+L703*0.08</f>
        <v/>
      </c>
      <c r="O703" s="17">
        <f>-(K703*0.025+L703*0.025)</f>
        <v/>
      </c>
      <c r="P703" s="17">
        <f>32</f>
        <v/>
      </c>
      <c r="Q703" s="17">
        <f>J703+L703+N703+O703-P703-M703</f>
        <v/>
      </c>
    </row>
    <row r="704">
      <c r="A704" s="16" t="inlineStr">
        <is>
          <t>5.1-5.7</t>
        </is>
      </c>
      <c r="B704" s="16" t="inlineStr">
        <is>
          <t>PO-128-03305849344630358</t>
        </is>
      </c>
      <c r="C704" s="16" t="inlineStr">
        <is>
          <t>Delivered</t>
        </is>
      </c>
      <c r="D704" s="16" t="inlineStr">
        <is>
          <t>128-03305841480310358</t>
        </is>
      </c>
      <c r="E704" s="16" t="inlineStr">
        <is>
          <t>Delivered</t>
        </is>
      </c>
      <c r="F704" s="16" t="inlineStr">
        <is>
          <t>KTS-1678V</t>
        </is>
      </c>
      <c r="G704" s="16" t="inlineStr">
        <is>
          <t>Bocina portátil Inalámbrico, de 3 pulgadas, tamaño de bolsillo, 170 g, con asa, compatible con TF, USB y Micro SD, con radio FM y función TWS (True Wireless Stereo), adecuada para relajarse en casa o viajar al aire libre.</t>
        </is>
      </c>
      <c r="H704" s="16" t="inlineStr">
        <is>
          <t>KTS-1678V</t>
        </is>
      </c>
      <c r="I704" s="16" t="n">
        <v>1</v>
      </c>
      <c r="J704" s="17" t="n">
        <v>40</v>
      </c>
      <c r="K704" s="17" t="n">
        <v>37.52</v>
      </c>
      <c r="L704" s="17" t="n">
        <v>6.33</v>
      </c>
      <c r="M704" s="17" t="n">
        <v>0</v>
      </c>
      <c r="N704" s="17">
        <f>K704*0.08+L704*0.08</f>
        <v/>
      </c>
      <c r="O704" s="17">
        <f>-(K704*0.025+L704*0.025)</f>
        <v/>
      </c>
      <c r="P704" s="17">
        <f>32</f>
        <v/>
      </c>
      <c r="Q704" s="17">
        <f>J704+L704+N704+O704-P704-M704</f>
        <v/>
      </c>
    </row>
    <row r="705">
      <c r="A705" s="16" t="inlineStr">
        <is>
          <t>5.1-5.7</t>
        </is>
      </c>
      <c r="B705" s="16" t="inlineStr">
        <is>
          <t>PO-128-03053809828472692</t>
        </is>
      </c>
      <c r="C705" s="16" t="inlineStr">
        <is>
          <t>Delivered</t>
        </is>
      </c>
      <c r="D705" s="16" t="inlineStr">
        <is>
          <t>128-03053914686072692</t>
        </is>
      </c>
      <c r="E705" s="16" t="inlineStr">
        <is>
          <t>Delivered</t>
        </is>
      </c>
      <c r="F705" s="16" t="inlineStr">
        <is>
          <t>LB02235-blanco</t>
        </is>
      </c>
      <c r="G705" s="16" t="inlineStr">
        <is>
          <t>Audífonos Inalámbricos para la Cabeza, Recargables y Multifuncionales - Conectan a Varios Dispositivos, soportan Radio FM, Tarjeta TF y AUX - 4 Horas de Reproducción Musical - Ideal para Trabajo Cotidiano, Juegos y Estudio</t>
        </is>
      </c>
      <c r="H705" s="16" t="inlineStr">
        <is>
          <t>BLANCO</t>
        </is>
      </c>
      <c r="I705" s="16" t="n">
        <v>2</v>
      </c>
      <c r="J705" s="17" t="n">
        <v>70</v>
      </c>
      <c r="K705" s="17" t="n">
        <v>96.23999999999999</v>
      </c>
      <c r="L705" s="17" t="n">
        <v>12.94</v>
      </c>
      <c r="M705" s="17" t="n">
        <v>0</v>
      </c>
      <c r="N705" s="17">
        <f>K705*0.08+L705*0.08</f>
        <v/>
      </c>
      <c r="O705" s="17">
        <f>-(K705*0.025+L705*0.025)</f>
        <v/>
      </c>
      <c r="P705" s="17">
        <f>32</f>
        <v/>
      </c>
      <c r="Q705" s="17">
        <f>J705+L705+N705+O705-P705-M705</f>
        <v/>
      </c>
    </row>
    <row r="706">
      <c r="A706" s="16" t="inlineStr">
        <is>
          <t>5.1-5.7</t>
        </is>
      </c>
      <c r="B706" s="16" t="inlineStr">
        <is>
          <t>PO-128-03053809828472692</t>
        </is>
      </c>
      <c r="C706" s="16" t="inlineStr">
        <is>
          <t>Delivered</t>
        </is>
      </c>
      <c r="D706" s="16" t="inlineStr">
        <is>
          <t>128-03053872743032692</t>
        </is>
      </c>
      <c r="E706" s="16" t="inlineStr">
        <is>
          <t>Delivered</t>
        </is>
      </c>
      <c r="F706" s="16" t="inlineStr">
        <is>
          <t>LB02235-negro</t>
        </is>
      </c>
      <c r="G706" s="16" t="inlineStr">
        <is>
          <t>Audífonos Inalámbricos para la Cabeza, Recargables y Multifuncionales - Conectan a Varios Dispositivos, soportan Radio FM, Tarjeta TF y AUX - 4 Horas de Reproducción Musical - Ideal para Trabajo Cotidiano, Juegos y Estudio</t>
        </is>
      </c>
      <c r="H706" s="16" t="inlineStr">
        <is>
          <t>NEGRO</t>
        </is>
      </c>
      <c r="I706" s="16" t="n">
        <v>2</v>
      </c>
      <c r="J706" s="17" t="n">
        <v>70</v>
      </c>
      <c r="K706" s="17" t="n">
        <v>96.23999999999999</v>
      </c>
      <c r="L706" s="17" t="n">
        <v>12.94</v>
      </c>
      <c r="M706" s="17" t="n">
        <v>0</v>
      </c>
      <c r="N706" s="17">
        <f>K706*0.08+L706*0.08</f>
        <v/>
      </c>
      <c r="O706" s="17">
        <f>-(K706*0.025+L706*0.025)</f>
        <v/>
      </c>
      <c r="P706" s="17">
        <f>32</f>
        <v/>
      </c>
      <c r="Q706" s="17">
        <f>J706+L706+N706+O706-P706-M706</f>
        <v/>
      </c>
    </row>
    <row r="707">
      <c r="A707" s="16" t="inlineStr">
        <is>
          <t>5.1-5.7</t>
        </is>
      </c>
      <c r="B707" s="16" t="inlineStr">
        <is>
          <t>PO-128-02941842883192528</t>
        </is>
      </c>
      <c r="C707" s="16" t="inlineStr">
        <is>
          <t>Delivered</t>
        </is>
      </c>
      <c r="D707" s="16" t="inlineStr">
        <is>
          <t>128-02941800940152528</t>
        </is>
      </c>
      <c r="E707" s="16" t="inlineStr">
        <is>
          <t>Delivered</t>
        </is>
      </c>
      <c r="F707" s="16" t="inlineStr">
        <is>
          <t>LV64W25</t>
        </is>
      </c>
      <c r="G707" s="16" t="inlineStr">
        <is>
          <t>Ventilador de Techo LED TIANLAI con 5 Aspas, Control Remoto, 3 Colores Luz, 3 Velocidades, Temporizador, Fácil Instalación, E27 para Baño Cocina Dormitorio Salón</t>
        </is>
      </c>
      <c r="H707" s="16" t="inlineStr">
        <is>
          <t>LV64W25</t>
        </is>
      </c>
      <c r="I707" s="16" t="n">
        <v>2</v>
      </c>
      <c r="J707" s="17" t="n">
        <v>276</v>
      </c>
      <c r="K707" s="17" t="n">
        <v>362.24</v>
      </c>
      <c r="L707" s="17" t="n">
        <v>0</v>
      </c>
      <c r="M707" s="17" t="n">
        <v>0</v>
      </c>
      <c r="N707" s="17">
        <f>K707*0.08+L707*0.08</f>
        <v/>
      </c>
      <c r="O707" s="17">
        <f>-(K707*0.025+L707*0.025)</f>
        <v/>
      </c>
      <c r="P707" s="17">
        <f>32</f>
        <v/>
      </c>
      <c r="Q707" s="17">
        <f>J707+L707+N707+O707-P707-M707</f>
        <v/>
      </c>
    </row>
    <row r="708">
      <c r="A708" s="16" t="inlineStr">
        <is>
          <t>5.1-5.7</t>
        </is>
      </c>
      <c r="B708" s="16" t="inlineStr">
        <is>
          <t>PO-128-18713576612471579</t>
        </is>
      </c>
      <c r="C708" s="16" t="inlineStr">
        <is>
          <t>Delivered</t>
        </is>
      </c>
      <c r="D708" s="16" t="inlineStr">
        <is>
          <t>128-18713587098231579</t>
        </is>
      </c>
      <c r="E708" s="16" t="inlineStr">
        <is>
          <t>Delivered</t>
        </is>
      </c>
      <c r="F708" s="16" t="inlineStr">
        <is>
          <t>MB-185N</t>
        </is>
      </c>
      <c r="G708" s="16" t="inlineStr">
        <is>
          <t>Bocina Radio FM/Reproductor, Compatible con Tarjeta TF, USB, Bluetooth, Aplicable para celular, computadora, Ipad y consola.</t>
        </is>
      </c>
      <c r="H708" s="16" t="inlineStr">
        <is>
          <t>NEGRO/MB-185</t>
        </is>
      </c>
      <c r="I708" s="16" t="n">
        <v>1</v>
      </c>
      <c r="J708" s="17" t="n">
        <v>71.31</v>
      </c>
      <c r="K708" s="17" t="n">
        <v>84.26000000000001</v>
      </c>
      <c r="L708" s="17" t="n">
        <v>25.86</v>
      </c>
      <c r="M708" s="17" t="n">
        <v>0</v>
      </c>
      <c r="N708" s="17">
        <f>K708*0.08+L708*0.08</f>
        <v/>
      </c>
      <c r="O708" s="17">
        <f>-(K708*0.025+L708*0.025)</f>
        <v/>
      </c>
      <c r="P708" s="17">
        <f>32</f>
        <v/>
      </c>
      <c r="Q708" s="17">
        <f>J708+L708+N708+O708-P708-M708</f>
        <v/>
      </c>
    </row>
    <row r="709">
      <c r="A709" s="16" t="inlineStr">
        <is>
          <t>5.1-5.7</t>
        </is>
      </c>
      <c r="B709" s="16" t="inlineStr">
        <is>
          <t>PO-128-18715914250871629</t>
        </is>
      </c>
      <c r="C709" s="16" t="inlineStr">
        <is>
          <t>Delivered</t>
        </is>
      </c>
      <c r="D709" s="16" t="inlineStr">
        <is>
          <t>128-18715982408311629</t>
        </is>
      </c>
      <c r="E709" s="16" t="inlineStr">
        <is>
          <t>Delivered</t>
        </is>
      </c>
      <c r="F709" s="16" t="inlineStr">
        <is>
          <t>MCM-001A</t>
        </is>
      </c>
      <c r="G709" s="16" t="inlineStr">
        <is>
          <t>Musicord Altavoz Inalámbrico BT Portátil: ¡Sonido impactante, luces LED multicolores y 4 horas de autonomía! Compatible con TWS, FM, TF y USB – Imprescindible para fiestas y viajes</t>
        </is>
      </c>
      <c r="H709" s="16" t="inlineStr">
        <is>
          <t>AZUL</t>
        </is>
      </c>
      <c r="I709" s="16" t="n">
        <v>1</v>
      </c>
      <c r="J709" s="17" t="n">
        <v>51.06</v>
      </c>
      <c r="K709" s="17" t="n">
        <v>6.01</v>
      </c>
      <c r="L709" s="17" t="n">
        <v>25.86</v>
      </c>
      <c r="M709" s="17" t="n">
        <v>0</v>
      </c>
      <c r="N709" s="17">
        <f>K709*0.08+L709*0.08</f>
        <v/>
      </c>
      <c r="O709" s="17">
        <f>-(K709*0.025+L709*0.025)</f>
        <v/>
      </c>
      <c r="P709" s="17">
        <f>32</f>
        <v/>
      </c>
      <c r="Q709" s="17">
        <f>J709+L709+N709+O709-P709-M709</f>
        <v/>
      </c>
    </row>
    <row r="710">
      <c r="A710" s="16" t="inlineStr">
        <is>
          <t>5.1-5.7</t>
        </is>
      </c>
      <c r="B710" s="16" t="inlineStr">
        <is>
          <t>PO-128-18978907986553197</t>
        </is>
      </c>
      <c r="C710" s="16" t="inlineStr">
        <is>
          <t>Delivered</t>
        </is>
      </c>
      <c r="D710" s="16" t="inlineStr">
        <is>
          <t>128-18978960415353197</t>
        </is>
      </c>
      <c r="E710" s="16" t="inlineStr">
        <is>
          <t>Delivered</t>
        </is>
      </c>
      <c r="F710" s="16" t="inlineStr">
        <is>
          <t>LB02235-negro</t>
        </is>
      </c>
      <c r="G710" s="16" t="inlineStr">
        <is>
          <t>Audífonos Inalámbricos para la Cabeza, Recargables y Multifuncionales - Conectan a Varios Dispositivos, soportan Radio FM, Tarjeta TF y AUX - 4 Horas de Reproducción Musical - Ideal para Trabajo Cotidiano, Juegos y Estudio</t>
        </is>
      </c>
      <c r="H710" s="16" t="inlineStr">
        <is>
          <t>NEGRO</t>
        </is>
      </c>
      <c r="I710" s="16" t="n">
        <v>1</v>
      </c>
      <c r="J710" s="17" t="n">
        <v>35</v>
      </c>
      <c r="K710" s="17" t="n">
        <v>48.12</v>
      </c>
      <c r="L710" s="17" t="n">
        <v>25.86</v>
      </c>
      <c r="M710" s="17" t="n">
        <v>0</v>
      </c>
      <c r="N710" s="17">
        <f>K710*0.08+L710*0.08</f>
        <v/>
      </c>
      <c r="O710" s="17">
        <f>-(K710*0.025+L710*0.025)</f>
        <v/>
      </c>
      <c r="P710" s="17">
        <f>32</f>
        <v/>
      </c>
      <c r="Q710" s="17">
        <f>J710+L710+N710+O710-P710-M710</f>
        <v/>
      </c>
    </row>
    <row r="711">
      <c r="A711" s="16" t="inlineStr">
        <is>
          <t>5.1-5.7</t>
        </is>
      </c>
      <c r="B711" s="16" t="inlineStr">
        <is>
          <t>PO-128-19196404623992925</t>
        </is>
      </c>
      <c r="C711" s="16" t="inlineStr">
        <is>
          <t>Delivered</t>
        </is>
      </c>
      <c r="D711" s="16" t="inlineStr">
        <is>
          <t>128-19196446567032925</t>
        </is>
      </c>
      <c r="E711" s="16" t="inlineStr">
        <is>
          <t>Delivered</t>
        </is>
      </c>
      <c r="F711" s="16" t="inlineStr">
        <is>
          <t>LB02235-negro</t>
        </is>
      </c>
      <c r="G711" s="16" t="inlineStr">
        <is>
          <t>Audífonos Inalámbricos para la Cabeza, Recargables y Multifuncionales - Conectan a Varios Dispositivos, soportan Radio FM, Tarjeta TF y AUX - 4 Horas de Reproducción Musical - Ideal para Trabajo Cotidiano, Juegos y Estudio</t>
        </is>
      </c>
      <c r="H711" s="16" t="inlineStr">
        <is>
          <t>NEGRO</t>
        </is>
      </c>
      <c r="I711" s="16" t="n">
        <v>1</v>
      </c>
      <c r="J711" s="17" t="n">
        <v>35</v>
      </c>
      <c r="K711" s="17" t="n">
        <v>5.02</v>
      </c>
      <c r="L711" s="17" t="n">
        <v>25.86</v>
      </c>
      <c r="M711" s="17" t="n">
        <v>0</v>
      </c>
      <c r="N711" s="17">
        <f>K711*0.08+L711*0.08</f>
        <v/>
      </c>
      <c r="O711" s="17">
        <f>-(K711*0.025+L711*0.025)</f>
        <v/>
      </c>
      <c r="P711" s="17">
        <f>32</f>
        <v/>
      </c>
      <c r="Q711" s="17">
        <f>J711+L711+N711+O711-P711-M711</f>
        <v/>
      </c>
    </row>
    <row r="712">
      <c r="A712" s="16" t="inlineStr">
        <is>
          <t>5.1-5.7</t>
        </is>
      </c>
      <c r="B712" s="16" t="inlineStr">
        <is>
          <t>PO-128-18644548291191924</t>
        </is>
      </c>
      <c r="C712" s="16" t="inlineStr">
        <is>
          <t>Delivered</t>
        </is>
      </c>
      <c r="D712" s="16" t="inlineStr">
        <is>
          <t>128-18644553534071924</t>
        </is>
      </c>
      <c r="E712" s="16" t="inlineStr">
        <is>
          <t>Delivered</t>
        </is>
      </c>
      <c r="F712" s="16" t="inlineStr">
        <is>
          <t>MB-185A</t>
        </is>
      </c>
      <c r="G712" s="16" t="inlineStr">
        <is>
          <t>Bocina Radio FM/Reproductor, Compatible con Tarjeta TF, USB, Bluetooth, Aplicable para celular, computadora, Ipad y consola.</t>
        </is>
      </c>
      <c r="H712" s="16" t="inlineStr">
        <is>
          <t>AZUL/MB-185</t>
        </is>
      </c>
      <c r="I712" s="16" t="n">
        <v>1</v>
      </c>
      <c r="J712" s="17" t="n">
        <v>71.31</v>
      </c>
      <c r="K712" s="17" t="n">
        <v>74.3</v>
      </c>
      <c r="L712" s="17" t="n">
        <v>25.86</v>
      </c>
      <c r="M712" s="17" t="n">
        <v>0</v>
      </c>
      <c r="N712" s="17">
        <f>K712*0.08+L712*0.08</f>
        <v/>
      </c>
      <c r="O712" s="17">
        <f>-(K712*0.025+L712*0.025)</f>
        <v/>
      </c>
      <c r="P712" s="17">
        <f>32</f>
        <v/>
      </c>
      <c r="Q712" s="17">
        <f>J712+L712+N712+O712-P712-M712</f>
        <v/>
      </c>
    </row>
    <row r="713">
      <c r="A713" s="16" t="inlineStr">
        <is>
          <t>5.1-5.7</t>
        </is>
      </c>
      <c r="B713" s="16" t="inlineStr">
        <is>
          <t>PO-128-18760466535030339</t>
        </is>
      </c>
      <c r="C713" s="16" t="inlineStr">
        <is>
          <t>Delivered</t>
        </is>
      </c>
      <c r="D713" s="16" t="inlineStr">
        <is>
          <t>128-18760477020790339</t>
        </is>
      </c>
      <c r="E713" s="16" t="inlineStr">
        <is>
          <t>Delivered</t>
        </is>
      </c>
      <c r="F713" s="16" t="inlineStr">
        <is>
          <t>MCM-001G</t>
        </is>
      </c>
      <c r="G713" s="16" t="inlineStr">
        <is>
          <t>Musicord Altavoz Inalámbrico BT Portátil: ¡Sonido impactante, luces LED multicolores y 4 horas de autonomía! Compatible con TWS, FM, TF y USB – Imprescindible para fiestas y viajes</t>
        </is>
      </c>
      <c r="H713" s="16" t="inlineStr">
        <is>
          <t>GRIS</t>
        </is>
      </c>
      <c r="I713" s="16" t="n">
        <v>1</v>
      </c>
      <c r="J713" s="17" t="n">
        <v>51.06</v>
      </c>
      <c r="K713" s="17" t="n">
        <v>62.34</v>
      </c>
      <c r="L713" s="17" t="n">
        <v>25.86</v>
      </c>
      <c r="M713" s="17" t="n">
        <v>0</v>
      </c>
      <c r="N713" s="17">
        <f>K713*0.08+L713*0.08</f>
        <v/>
      </c>
      <c r="O713" s="17">
        <f>-(K713*0.025+L713*0.025)</f>
        <v/>
      </c>
      <c r="P713" s="17">
        <f>32</f>
        <v/>
      </c>
      <c r="Q713" s="17">
        <f>J713+L713+N713+O713-P713-M713</f>
        <v/>
      </c>
    </row>
    <row r="714">
      <c r="A714" s="16" t="inlineStr">
        <is>
          <t>5.1-5.7</t>
        </is>
      </c>
      <c r="B714" s="16" t="inlineStr">
        <is>
          <t>PO-128-19066474650233699</t>
        </is>
      </c>
      <c r="C714" s="16" t="inlineStr">
        <is>
          <t>Delivered</t>
        </is>
      </c>
      <c r="D714" s="16" t="inlineStr">
        <is>
          <t>128-19066542807673699</t>
        </is>
      </c>
      <c r="E714" s="16" t="inlineStr">
        <is>
          <t>Delivered</t>
        </is>
      </c>
      <c r="F714" s="16" t="inlineStr">
        <is>
          <t>LB02235-blanco</t>
        </is>
      </c>
      <c r="G714" s="16" t="inlineStr">
        <is>
          <t>Audífonos Inalámbricos para la Cabeza, Recargables y Multifuncionales - Conectan a Varios Dispositivos, soportan Radio FM, Tarjeta TF y AUX - 4 Horas de Reproducción Musical - Ideal para Trabajo Cotidiano, Juegos y Estudio</t>
        </is>
      </c>
      <c r="H714" s="16" t="inlineStr">
        <is>
          <t>BLANCO</t>
        </is>
      </c>
      <c r="I714" s="16" t="n">
        <v>1</v>
      </c>
      <c r="J714" s="17" t="n">
        <v>35</v>
      </c>
      <c r="K714" s="17" t="n">
        <v>48.12</v>
      </c>
      <c r="L714" s="17" t="n">
        <v>0</v>
      </c>
      <c r="M714" s="17" t="n">
        <v>48.12</v>
      </c>
      <c r="N714" s="17">
        <f>K714*0.08+L714*0.08</f>
        <v/>
      </c>
      <c r="O714" s="17">
        <f>-(K714*0.025+L714*0.025)</f>
        <v/>
      </c>
      <c r="P714" s="17">
        <f>32</f>
        <v/>
      </c>
      <c r="Q714" s="17">
        <f>J714+L714+N714+O714-P714-M714</f>
        <v/>
      </c>
    </row>
    <row r="715">
      <c r="A715" s="16" t="inlineStr">
        <is>
          <t>5.1-5.7</t>
        </is>
      </c>
      <c r="B715" s="16" t="inlineStr">
        <is>
          <t>PO-128-18619355474551050</t>
        </is>
      </c>
      <c r="C715" s="16" t="inlineStr">
        <is>
          <t>Delivered</t>
        </is>
      </c>
      <c r="D715" s="16" t="inlineStr">
        <is>
          <t>128-18619395451511050</t>
        </is>
      </c>
      <c r="E715" s="16" t="inlineStr">
        <is>
          <t>Delivered</t>
        </is>
      </c>
      <c r="F715" s="16" t="inlineStr">
        <is>
          <t>MB-185N</t>
        </is>
      </c>
      <c r="G715" s="16" t="inlineStr">
        <is>
          <t>Bocina Radio FM/Reproductor, Compatible con Tarjeta TF, USB, Bluetooth, Aplicable para celular, computadora, Ipad y consola.</t>
        </is>
      </c>
      <c r="H715" s="16" t="inlineStr">
        <is>
          <t>NEGRO/MB-185</t>
        </is>
      </c>
      <c r="I715" s="16" t="n">
        <v>1</v>
      </c>
      <c r="J715" s="17" t="n">
        <v>71.31</v>
      </c>
      <c r="K715" s="17" t="n">
        <v>84.26000000000001</v>
      </c>
      <c r="L715" s="17" t="n">
        <v>25.86</v>
      </c>
      <c r="M715" s="17" t="n">
        <v>0</v>
      </c>
      <c r="N715" s="17">
        <f>K715*0.08+L715*0.08</f>
        <v/>
      </c>
      <c r="O715" s="17">
        <f>-(K715*0.025+L715*0.025)</f>
        <v/>
      </c>
      <c r="P715" s="17">
        <f>32</f>
        <v/>
      </c>
      <c r="Q715" s="17">
        <f>J715+L715+N715+O715-P715-M715</f>
        <v/>
      </c>
    </row>
    <row r="716">
      <c r="A716" s="16" t="inlineStr">
        <is>
          <t>5.1-5.7</t>
        </is>
      </c>
      <c r="B716" s="16" t="inlineStr">
        <is>
          <t>PO-128-19144112138872085</t>
        </is>
      </c>
      <c r="C716" s="16" t="inlineStr">
        <is>
          <t>Delivered</t>
        </is>
      </c>
      <c r="D716" s="16" t="inlineStr">
        <is>
          <t>128-19144138353272085</t>
        </is>
      </c>
      <c r="E716" s="16" t="inlineStr">
        <is>
          <t>Delivered</t>
        </is>
      </c>
      <c r="F716" s="16" t="inlineStr">
        <is>
          <t>SA8056T</t>
        </is>
      </c>
      <c r="G71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716" s="16" t="inlineStr">
        <is>
          <t>SA8056T</t>
        </is>
      </c>
      <c r="I716" s="16" t="n">
        <v>2</v>
      </c>
      <c r="J716" s="17" t="n">
        <v>298</v>
      </c>
      <c r="K716" s="17" t="n">
        <v>338.8</v>
      </c>
      <c r="L716" s="17" t="n">
        <v>0</v>
      </c>
      <c r="M716" s="17" t="n">
        <v>0</v>
      </c>
      <c r="N716" s="17">
        <f>K716*0.08+L716*0.08</f>
        <v/>
      </c>
      <c r="O716" s="17">
        <f>-(K716*0.025+L716*0.025)</f>
        <v/>
      </c>
      <c r="P716" s="17">
        <f>32</f>
        <v/>
      </c>
      <c r="Q716" s="17">
        <f>J716+L716+N716+O716-P716-M716</f>
        <v/>
      </c>
    </row>
    <row r="717">
      <c r="A717" s="16" t="inlineStr">
        <is>
          <t>5.1-5.7</t>
        </is>
      </c>
      <c r="B717" s="16" t="inlineStr">
        <is>
          <t>PO-128-18997775432314045</t>
        </is>
      </c>
      <c r="C717" s="16" t="inlineStr">
        <is>
          <t>Delivered</t>
        </is>
      </c>
      <c r="D717" s="16" t="inlineStr">
        <is>
          <t>128-18997827861114045</t>
        </is>
      </c>
      <c r="E717" s="16" t="inlineStr">
        <is>
          <t>Delivered</t>
        </is>
      </c>
      <c r="F717" s="16" t="inlineStr">
        <is>
          <t>AIR50W06-2P</t>
        </is>
      </c>
      <c r="G717" s="16" t="inlineStr">
        <is>
          <t>Link Bits Ventilador de piso de 16 pulgadas, 2 unidades, 3 velocidades, motor silencioso, flujo de aire fuerte, altura ajustable, oscilación amplia, ventilador eléctrico para el hogar, ideal para sala, recámara y oficina</t>
        </is>
      </c>
      <c r="H717" s="16" t="inlineStr">
        <is>
          <t>2PZ</t>
        </is>
      </c>
      <c r="I717" s="16" t="n">
        <v>1</v>
      </c>
      <c r="J717" s="17" t="n">
        <v>435</v>
      </c>
      <c r="K717" s="17" t="n">
        <v>568.12</v>
      </c>
      <c r="L717" s="17" t="n">
        <v>0</v>
      </c>
      <c r="M717" s="17" t="n">
        <v>0</v>
      </c>
      <c r="N717" s="17">
        <f>K717*0.08+L717*0.08</f>
        <v/>
      </c>
      <c r="O717" s="17">
        <f>-(K717*0.025+L717*0.025)</f>
        <v/>
      </c>
      <c r="P717" s="17">
        <f>32</f>
        <v/>
      </c>
      <c r="Q717" s="17">
        <f>J717+L717+N717+O717-P717-M717</f>
        <v/>
      </c>
    </row>
    <row r="718">
      <c r="A718" s="16" t="inlineStr">
        <is>
          <t>5.1-5.7</t>
        </is>
      </c>
      <c r="B718" s="16" t="inlineStr">
        <is>
          <t>PO-128-18652555827832007</t>
        </is>
      </c>
      <c r="C718" s="16" t="inlineStr">
        <is>
          <t>Delivered</t>
        </is>
      </c>
      <c r="D718" s="16" t="inlineStr">
        <is>
          <t>128-18652534856312007</t>
        </is>
      </c>
      <c r="E718" s="16" t="inlineStr">
        <is>
          <t>Delivered</t>
        </is>
      </c>
      <c r="F718" s="16" t="inlineStr">
        <is>
          <t>LB02235-negro</t>
        </is>
      </c>
      <c r="G718" s="16" t="inlineStr">
        <is>
          <t>Audífonos Inalámbricos para la Cabeza, Recargables y Multifuncionales - Conectan a Varios Dispositivos, soportan Radio FM, Tarjeta TF y AUX - 4 Horas de Reproducción Musical - Ideal para Trabajo Cotidiano, Juegos y Estudio</t>
        </is>
      </c>
      <c r="H718" s="16" t="inlineStr">
        <is>
          <t>NEGRO</t>
        </is>
      </c>
      <c r="I718" s="16" t="n">
        <v>1</v>
      </c>
      <c r="J718" s="17" t="n">
        <v>35</v>
      </c>
      <c r="K718" s="17" t="n">
        <v>48.12</v>
      </c>
      <c r="L718" s="17" t="n">
        <v>25.86</v>
      </c>
      <c r="M718" s="17" t="n">
        <v>0</v>
      </c>
      <c r="N718" s="17">
        <f>K718*0.08+L718*0.08</f>
        <v/>
      </c>
      <c r="O718" s="17">
        <f>-(K718*0.025+L718*0.025)</f>
        <v/>
      </c>
      <c r="P718" s="17">
        <f>32</f>
        <v/>
      </c>
      <c r="Q718" s="17">
        <f>J718+L718+N718+O718-P718-M718</f>
        <v/>
      </c>
    </row>
    <row r="719">
      <c r="A719" s="16" t="inlineStr">
        <is>
          <t>5.1-5.7</t>
        </is>
      </c>
      <c r="B719" s="16" t="inlineStr">
        <is>
          <t>PO-128-18689988977271719</t>
        </is>
      </c>
      <c r="C719" s="16" t="inlineStr">
        <is>
          <t>Delivered</t>
        </is>
      </c>
      <c r="D719" s="16" t="inlineStr">
        <is>
          <t>128-18690152817271719</t>
        </is>
      </c>
      <c r="E719" s="16" t="inlineStr">
        <is>
          <t>Delivered</t>
        </is>
      </c>
      <c r="F719" s="16" t="inlineStr">
        <is>
          <t>KTS-1678V</t>
        </is>
      </c>
      <c r="G719" s="16" t="inlineStr">
        <is>
          <t>Bocina portátil Inalámbrico, de 3 pulgadas, tamaño de bolsillo, 170 g, con asa, compatible con TF, USB y Micro SD, con radio FM y función TWS (True Wireless Stereo), adecuada para relajarse en casa o viajar al aire libre.</t>
        </is>
      </c>
      <c r="H719" s="16" t="inlineStr">
        <is>
          <t>KTS-1678V</t>
        </is>
      </c>
      <c r="I719" s="16" t="n">
        <v>1</v>
      </c>
      <c r="J719" s="17" t="n">
        <v>40</v>
      </c>
      <c r="K719" s="17" t="n">
        <v>36.98</v>
      </c>
      <c r="L719" s="17" t="n">
        <v>25.86</v>
      </c>
      <c r="M719" s="17" t="n">
        <v>0</v>
      </c>
      <c r="N719" s="17">
        <f>K719*0.08+L719*0.08</f>
        <v/>
      </c>
      <c r="O719" s="17">
        <f>-(K719*0.025+L719*0.025)</f>
        <v/>
      </c>
      <c r="P719" s="17">
        <f>32</f>
        <v/>
      </c>
      <c r="Q719" s="17">
        <f>J719+L719+N719+O719-P719-M719</f>
        <v/>
      </c>
    </row>
    <row r="720">
      <c r="A720" s="16" t="inlineStr">
        <is>
          <t>5.1-5.7</t>
        </is>
      </c>
      <c r="B720" s="16" t="inlineStr">
        <is>
          <t>PO-128-19129784965752296</t>
        </is>
      </c>
      <c r="C720" s="16" t="inlineStr">
        <is>
          <t>Delivered</t>
        </is>
      </c>
      <c r="D720" s="16" t="inlineStr">
        <is>
          <t>128-19129763994232296</t>
        </is>
      </c>
      <c r="E720" s="16" t="inlineStr">
        <is>
          <t>Delivered</t>
        </is>
      </c>
      <c r="F720" s="16" t="inlineStr">
        <is>
          <t>AIR50W06-2P</t>
        </is>
      </c>
      <c r="G720" s="16" t="inlineStr">
        <is>
          <t>Link Bits Ventilador de piso de 16 pulgadas, 2 unidades, 3 velocidades, motor silencioso, flujo de aire fuerte, altura ajustable, oscilación amplia, ventilador eléctrico para el hogar, ideal para sala, recámara y oficina</t>
        </is>
      </c>
      <c r="H720" s="16" t="inlineStr">
        <is>
          <t>2PZ</t>
        </is>
      </c>
      <c r="I720" s="16" t="n">
        <v>1</v>
      </c>
      <c r="J720" s="17" t="n">
        <v>435</v>
      </c>
      <c r="K720" s="17" t="n">
        <v>568.12</v>
      </c>
      <c r="L720" s="17" t="n">
        <v>0</v>
      </c>
      <c r="M720" s="17" t="n">
        <v>0</v>
      </c>
      <c r="N720" s="17">
        <f>K720*0.08+L720*0.08</f>
        <v/>
      </c>
      <c r="O720" s="17">
        <f>-(K720*0.025+L720*0.025)</f>
        <v/>
      </c>
      <c r="P720" s="17">
        <f>32</f>
        <v/>
      </c>
      <c r="Q720" s="17">
        <f>J720+L720+N720+O720-P720-M720</f>
        <v/>
      </c>
    </row>
    <row r="721">
      <c r="A721" s="16" t="inlineStr">
        <is>
          <t>5.1-5.7</t>
        </is>
      </c>
      <c r="B721" s="16" t="inlineStr">
        <is>
          <t>PO-128-18737039831670479</t>
        </is>
      </c>
      <c r="C721" s="16" t="inlineStr">
        <is>
          <t>Delivered</t>
        </is>
      </c>
      <c r="D721" s="16" t="inlineStr">
        <is>
          <t>128-18736997888630479</t>
        </is>
      </c>
      <c r="E721" s="16" t="inlineStr">
        <is>
          <t>Delivered</t>
        </is>
      </c>
      <c r="F721" s="16" t="inlineStr">
        <is>
          <t>SA325T</t>
        </is>
      </c>
      <c r="G721" s="16" t="inlineStr">
        <is>
          <t>Subwoofer Portátil Inalámbrico con Luces RGB, Sonido de Alta Potencia y Batería Duradera, TWS TF USB, Perfecto para Campamento Fiestas y Entretenimiento en Casa</t>
        </is>
      </c>
      <c r="H721" s="16" t="inlineStr">
        <is>
          <t>NEGRO</t>
        </is>
      </c>
      <c r="I721" s="16" t="n">
        <v>1</v>
      </c>
      <c r="J721" s="17" t="n">
        <v>36</v>
      </c>
      <c r="K721" s="17" t="n">
        <v>45.06</v>
      </c>
      <c r="L721" s="17" t="n">
        <v>25.86</v>
      </c>
      <c r="M721" s="17" t="n">
        <v>0</v>
      </c>
      <c r="N721" s="17">
        <f>K721*0.08+L721*0.08</f>
        <v/>
      </c>
      <c r="O721" s="17">
        <f>-(K721*0.025+L721*0.025)</f>
        <v/>
      </c>
      <c r="P721" s="17">
        <f>32</f>
        <v/>
      </c>
      <c r="Q721" s="17">
        <f>J721+L721+N721+O721-P721-M721</f>
        <v/>
      </c>
    </row>
    <row r="722">
      <c r="A722" s="16" t="inlineStr">
        <is>
          <t>5.1-5.7</t>
        </is>
      </c>
      <c r="B722" s="16" t="inlineStr">
        <is>
          <t>PO-128-18703264533111766</t>
        </is>
      </c>
      <c r="C722" s="16" t="inlineStr">
        <is>
          <t>Delivered</t>
        </is>
      </c>
      <c r="D722" s="16" t="inlineStr">
        <is>
          <t>128-18703403469431766</t>
        </is>
      </c>
      <c r="E722" s="16" t="inlineStr">
        <is>
          <t>Delivered</t>
        </is>
      </c>
      <c r="F722" s="16" t="inlineStr">
        <is>
          <t>LB02235-azul</t>
        </is>
      </c>
      <c r="G722" s="16" t="inlineStr">
        <is>
          <t>Audífonos Inalámbricos para la Cabeza, Recargables y Multifuncionales - Conectan a Varios Dispositivos, soportan Radio FM, Tarjeta TF y AUX - 4 Horas de Reproducción Musical - Ideal para Trabajo Cotidiano, Juegos y Estudio</t>
        </is>
      </c>
      <c r="H722" s="16" t="inlineStr">
        <is>
          <t>AZUL</t>
        </is>
      </c>
      <c r="I722" s="16" t="n">
        <v>2</v>
      </c>
      <c r="J722" s="17" t="n">
        <v>70</v>
      </c>
      <c r="K722" s="17" t="n">
        <v>81.8</v>
      </c>
      <c r="L722" s="17" t="n">
        <v>0</v>
      </c>
      <c r="M722" s="17" t="n">
        <v>0</v>
      </c>
      <c r="N722" s="17">
        <f>K722*0.08+L722*0.08</f>
        <v/>
      </c>
      <c r="O722" s="17">
        <f>-(K722*0.025+L722*0.025)</f>
        <v/>
      </c>
      <c r="P722" s="17">
        <f>32</f>
        <v/>
      </c>
      <c r="Q722" s="17">
        <f>J722+L722+N722+O722-P722-M722</f>
        <v/>
      </c>
    </row>
    <row r="723">
      <c r="A723" s="16" t="inlineStr">
        <is>
          <t>5.1-5.7</t>
        </is>
      </c>
      <c r="B723" s="16" t="inlineStr">
        <is>
          <t>PO-128-18703264533111766</t>
        </is>
      </c>
      <c r="C723" s="16" t="inlineStr">
        <is>
          <t>Delivered</t>
        </is>
      </c>
      <c r="D723" s="16" t="inlineStr">
        <is>
          <t>128-18703327447671766</t>
        </is>
      </c>
      <c r="E723" s="16" t="inlineStr">
        <is>
          <t>Delivered</t>
        </is>
      </c>
      <c r="F723" s="16" t="inlineStr">
        <is>
          <t>LB02235-blanco</t>
        </is>
      </c>
      <c r="G723" s="16" t="inlineStr">
        <is>
          <t>Audífonos Inalámbricos para la Cabeza, Recargables y Multifuncionales - Conectan a Varios Dispositivos, soportan Radio FM, Tarjeta TF y AUX - 4 Horas de Reproducción Musical - Ideal para Trabajo Cotidiano, Juegos y Estudio</t>
        </is>
      </c>
      <c r="H723" s="16" t="inlineStr">
        <is>
          <t>BLANCO</t>
        </is>
      </c>
      <c r="I723" s="16" t="n">
        <v>2</v>
      </c>
      <c r="J723" s="17" t="n">
        <v>70</v>
      </c>
      <c r="K723" s="17" t="n">
        <v>81.8</v>
      </c>
      <c r="L723" s="17" t="n">
        <v>0</v>
      </c>
      <c r="M723" s="17" t="n">
        <v>0</v>
      </c>
      <c r="N723" s="17">
        <f>K723*0.08+L723*0.08</f>
        <v/>
      </c>
      <c r="O723" s="17">
        <f>-(K723*0.025+L723*0.025)</f>
        <v/>
      </c>
      <c r="P723" s="17">
        <f>32</f>
        <v/>
      </c>
      <c r="Q723" s="17">
        <f>J723+L723+N723+O723-P723-M723</f>
        <v/>
      </c>
    </row>
    <row r="724">
      <c r="A724" s="16" t="inlineStr">
        <is>
          <t>5.1-5.7</t>
        </is>
      </c>
      <c r="B724" s="16" t="inlineStr">
        <is>
          <t>PO-128-18703264533111766</t>
        </is>
      </c>
      <c r="C724" s="16" t="inlineStr">
        <is>
          <t>Delivered</t>
        </is>
      </c>
      <c r="D724" s="16" t="inlineStr">
        <is>
          <t>128-18703285504631766</t>
        </is>
      </c>
      <c r="E724" s="16" t="inlineStr">
        <is>
          <t>Delivered</t>
        </is>
      </c>
      <c r="F724" s="16" t="inlineStr">
        <is>
          <t>LB02235-negro</t>
        </is>
      </c>
      <c r="G724" s="16" t="inlineStr">
        <is>
          <t>Audífonos Inalámbricos para la Cabeza, Recargables y Multifuncionales - Conectan a Varios Dispositivos, soportan Radio FM, Tarjeta TF y AUX - 4 Horas de Reproducción Musical - Ideal para Trabajo Cotidiano, Juegos y Estudio</t>
        </is>
      </c>
      <c r="H724" s="16" t="inlineStr">
        <is>
          <t>NEGRO</t>
        </is>
      </c>
      <c r="I724" s="16" t="n">
        <v>2</v>
      </c>
      <c r="J724" s="17" t="n">
        <v>70</v>
      </c>
      <c r="K724" s="17" t="n">
        <v>81.8</v>
      </c>
      <c r="L724" s="17" t="n">
        <v>0</v>
      </c>
      <c r="M724" s="17" t="n">
        <v>0</v>
      </c>
      <c r="N724" s="17">
        <f>K724*0.08+L724*0.08</f>
        <v/>
      </c>
      <c r="O724" s="17">
        <f>-(K724*0.025+L724*0.025)</f>
        <v/>
      </c>
      <c r="P724" s="17">
        <f>32</f>
        <v/>
      </c>
      <c r="Q724" s="17">
        <f>J724+L724+N724+O724-P724-M724</f>
        <v/>
      </c>
    </row>
    <row r="725">
      <c r="A725" s="16" t="inlineStr">
        <is>
          <t>5.1-5.7</t>
        </is>
      </c>
      <c r="B725" s="16" t="inlineStr">
        <is>
          <t>PO-128-18703264533111766</t>
        </is>
      </c>
      <c r="C725" s="16" t="inlineStr">
        <is>
          <t>Delivered</t>
        </is>
      </c>
      <c r="D725" s="16" t="inlineStr">
        <is>
          <t>128-18703369390711766</t>
        </is>
      </c>
      <c r="E725" s="16" t="inlineStr">
        <is>
          <t>Delivered</t>
        </is>
      </c>
      <c r="F725" s="16" t="inlineStr">
        <is>
          <t>LB02235-rojo</t>
        </is>
      </c>
      <c r="G725" s="16" t="inlineStr">
        <is>
          <t>Audífonos Inalámbricos para la Cabeza, Recargables y Multifuncionales - Conectan a Varios Dispositivos, soportan Radio FM, Tarjeta TF y AUX - 4 Horas de Reproducción Musical - Ideal para Trabajo Cotidiano, Juegos y Estudio</t>
        </is>
      </c>
      <c r="H725" s="16" t="inlineStr">
        <is>
          <t>ROJO</t>
        </is>
      </c>
      <c r="I725" s="16" t="n">
        <v>2</v>
      </c>
      <c r="J725" s="17" t="n">
        <v>82</v>
      </c>
      <c r="K725" s="17" t="n">
        <v>92.01000000000001</v>
      </c>
      <c r="L725" s="17" t="n">
        <v>0</v>
      </c>
      <c r="M725" s="17" t="n">
        <v>0</v>
      </c>
      <c r="N725" s="17">
        <f>K725*0.08+L725*0.08</f>
        <v/>
      </c>
      <c r="O725" s="17">
        <f>-(K725*0.025+L725*0.025)</f>
        <v/>
      </c>
      <c r="P725" s="17">
        <f>32</f>
        <v/>
      </c>
      <c r="Q725" s="17">
        <f>J725+L725+N725+O725-P725-M725</f>
        <v/>
      </c>
    </row>
    <row r="726">
      <c r="A726" s="16" t="inlineStr">
        <is>
          <t>5.1-5.7</t>
        </is>
      </c>
      <c r="B726" s="16" t="inlineStr">
        <is>
          <t>PO-128-18975771064953150</t>
        </is>
      </c>
      <c r="C726" s="16" t="inlineStr">
        <is>
          <t>Delivered</t>
        </is>
      </c>
      <c r="D726" s="16" t="inlineStr">
        <is>
          <t>128-18975750093433150</t>
        </is>
      </c>
      <c r="E726" s="16" t="inlineStr">
        <is>
          <t>Delivered</t>
        </is>
      </c>
      <c r="F726" s="16" t="inlineStr">
        <is>
          <t>MB-184N</t>
        </is>
      </c>
      <c r="G726" s="16" t="inlineStr">
        <is>
          <t>Link bits Portable Bluetooth Speaker - 800W Peak Power, 50W Full-Range Audio with Dual Bass System &amp; Deep Bass Membranes, Powerful &amp; Distortion-Free Sound, IP65 Waterproof Dustproof, TWS Support &amp; 6H Battery for Outdoor/Party</t>
        </is>
      </c>
      <c r="H726" s="16" t="inlineStr">
        <is>
          <t>NEGRO/MB-184</t>
        </is>
      </c>
      <c r="I726" s="16" t="n">
        <v>1</v>
      </c>
      <c r="J726" s="17" t="n">
        <v>588</v>
      </c>
      <c r="K726" s="17" t="n">
        <v>697.62</v>
      </c>
      <c r="L726" s="17" t="n">
        <v>0</v>
      </c>
      <c r="M726" s="17" t="n">
        <v>0</v>
      </c>
      <c r="N726" s="17">
        <f>K726*0.08+L726*0.08</f>
        <v/>
      </c>
      <c r="O726" s="17">
        <f>-(K726*0.025+L726*0.025)</f>
        <v/>
      </c>
      <c r="P726" s="17">
        <f>32</f>
        <v/>
      </c>
      <c r="Q726" s="17">
        <f>J726+L726+N726+O726-P726-M726</f>
        <v/>
      </c>
    </row>
    <row r="727">
      <c r="A727" s="16" t="inlineStr">
        <is>
          <t>5.1-5.7</t>
        </is>
      </c>
      <c r="B727" s="16" t="inlineStr">
        <is>
          <t>PO-128-18589629471351356</t>
        </is>
      </c>
      <c r="C727" s="16" t="inlineStr">
        <is>
          <t>Delivered</t>
        </is>
      </c>
      <c r="D727" s="16" t="inlineStr">
        <is>
          <t>128-18589587528311356</t>
        </is>
      </c>
      <c r="E727" s="16" t="inlineStr">
        <is>
          <t>Delivered</t>
        </is>
      </c>
      <c r="F727" s="16" t="inlineStr">
        <is>
          <t>LB02235-negro</t>
        </is>
      </c>
      <c r="G727" s="16" t="inlineStr">
        <is>
          <t>Audífonos Inalámbricos para la Cabeza, Recargables y Multifuncionales - Conectan a Varios Dispositivos, soportan Radio FM, Tarjeta TF y AUX - 4 Horas de Reproducción Musical - Ideal para Trabajo Cotidiano, Juegos y Estudio</t>
        </is>
      </c>
      <c r="H727" s="16" t="inlineStr">
        <is>
          <t>NEGRO</t>
        </is>
      </c>
      <c r="I727" s="16" t="n">
        <v>1</v>
      </c>
      <c r="J727" s="17" t="n">
        <v>35</v>
      </c>
      <c r="K727" s="17" t="n">
        <v>5.02</v>
      </c>
      <c r="L727" s="17" t="n">
        <v>25.86</v>
      </c>
      <c r="M727" s="17" t="n">
        <v>0</v>
      </c>
      <c r="N727" s="17">
        <f>K727*0.08+L727*0.08</f>
        <v/>
      </c>
      <c r="O727" s="17">
        <f>-(K727*0.025+L727*0.025)</f>
        <v/>
      </c>
      <c r="P727" s="17">
        <f>32</f>
        <v/>
      </c>
      <c r="Q727" s="17">
        <f>J727+L727+N727+O727-P727-M727</f>
        <v/>
      </c>
    </row>
    <row r="728">
      <c r="A728" s="16" t="inlineStr">
        <is>
          <t>5.1-5.7</t>
        </is>
      </c>
      <c r="B728" s="16" t="inlineStr">
        <is>
          <t>PO-128-18852056781430881</t>
        </is>
      </c>
      <c r="C728" s="16" t="inlineStr">
        <is>
          <t>Delivered</t>
        </is>
      </c>
      <c r="D728" s="16" t="inlineStr">
        <is>
          <t>128-18852136735350881</t>
        </is>
      </c>
      <c r="E728" s="16" t="inlineStr">
        <is>
          <t>Delivered</t>
        </is>
      </c>
      <c r="F728" s="16" t="inlineStr">
        <is>
          <t>MCM-001G</t>
        </is>
      </c>
      <c r="G728" s="16" t="inlineStr">
        <is>
          <t>Musicord Altavoz Inalámbrico BT Portátil: ¡Sonido impactante, luces LED multicolores y 4 horas de autonomía! Compatible con TWS, FM, TF y USB – Imprescindible para fiestas y viajes</t>
        </is>
      </c>
      <c r="H728" s="16" t="inlineStr">
        <is>
          <t>GRIS</t>
        </is>
      </c>
      <c r="I728" s="16" t="n">
        <v>1</v>
      </c>
      <c r="J728" s="17" t="n">
        <v>51.06</v>
      </c>
      <c r="K728" s="17" t="n">
        <v>62.33</v>
      </c>
      <c r="L728" s="17" t="n">
        <v>25.86</v>
      </c>
      <c r="M728" s="17" t="n">
        <v>0</v>
      </c>
      <c r="N728" s="17">
        <f>K728*0.08+L728*0.08</f>
        <v/>
      </c>
      <c r="O728" s="17">
        <f>-(K728*0.025+L728*0.025)</f>
        <v/>
      </c>
      <c r="P728" s="17">
        <f>32</f>
        <v/>
      </c>
      <c r="Q728" s="17">
        <f>J728+L728+N728+O728-P728-M728</f>
        <v/>
      </c>
    </row>
    <row r="729">
      <c r="A729" s="16" t="inlineStr">
        <is>
          <t>5.1-5.7</t>
        </is>
      </c>
      <c r="B729" s="16" t="inlineStr">
        <is>
          <t>PO-128-18641143265911947</t>
        </is>
      </c>
      <c r="C729" s="16" t="inlineStr">
        <is>
          <t>Delivered</t>
        </is>
      </c>
      <c r="D729" s="16" t="inlineStr">
        <is>
          <t>128-18641153751671947</t>
        </is>
      </c>
      <c r="E729" s="16" t="inlineStr">
        <is>
          <t>Delivered</t>
        </is>
      </c>
      <c r="F729" s="16" t="inlineStr">
        <is>
          <t>MCM-001R</t>
        </is>
      </c>
      <c r="G729" s="16" t="inlineStr">
        <is>
          <t>Musicord Altavoz Inalámbrico BT Portátil: ¡Sonido impactante, luces LED multicolores y 4 horas de autonomía! Compatible con TWS, FM, TF y USB – Imprescindible para fiestas y viajes</t>
        </is>
      </c>
      <c r="H729" s="16" t="inlineStr">
        <is>
          <t>ROJO</t>
        </is>
      </c>
      <c r="I729" s="16" t="n">
        <v>1</v>
      </c>
      <c r="J729" s="17" t="n">
        <v>66</v>
      </c>
      <c r="K729" s="17" t="n">
        <v>47.37</v>
      </c>
      <c r="L729" s="17" t="n">
        <v>0</v>
      </c>
      <c r="M729" s="17" t="n">
        <v>46.56</v>
      </c>
      <c r="N729" s="17">
        <f>K729*0.08+L729*0.08</f>
        <v/>
      </c>
      <c r="O729" s="17">
        <f>-(K729*0.025+L729*0.025)</f>
        <v/>
      </c>
      <c r="P729" s="17">
        <f>32</f>
        <v/>
      </c>
      <c r="Q729" s="17">
        <f>J729+L729+N729+O729-P729-M729</f>
        <v/>
      </c>
    </row>
    <row r="730">
      <c r="A730" s="16" t="inlineStr">
        <is>
          <t>5.1-5.7</t>
        </is>
      </c>
      <c r="B730" s="16" t="inlineStr">
        <is>
          <t>PO-128-18641143265911947</t>
        </is>
      </c>
      <c r="C730" s="16" t="inlineStr">
        <is>
          <t>Delivered</t>
        </is>
      </c>
      <c r="D730" s="16" t="inlineStr">
        <is>
          <t>128-18641111808631947</t>
        </is>
      </c>
      <c r="E730" s="16" t="inlineStr">
        <is>
          <t>Delivered</t>
        </is>
      </c>
      <c r="F730" s="16" t="inlineStr">
        <is>
          <t>MCM-001G</t>
        </is>
      </c>
      <c r="G730" s="16" t="inlineStr">
        <is>
          <t>Musicord Altavoz Inalámbrico BT Portátil: ¡Sonido impactante, luces LED multicolores y 4 horas de autonomía! Compatible con TWS, FM, TF y USB – Imprescindible para fiestas y viajes</t>
        </is>
      </c>
      <c r="H730" s="16" t="inlineStr">
        <is>
          <t>GRIS</t>
        </is>
      </c>
      <c r="I730" s="16" t="n">
        <v>1</v>
      </c>
      <c r="J730" s="17" t="n">
        <v>51.06</v>
      </c>
      <c r="K730" s="17" t="n">
        <v>38.19</v>
      </c>
      <c r="L730" s="17" t="n">
        <v>11.54</v>
      </c>
      <c r="M730" s="17" t="n">
        <v>0</v>
      </c>
      <c r="N730" s="17">
        <f>K730*0.08+L730*0.08</f>
        <v/>
      </c>
      <c r="O730" s="17">
        <f>-(K730*0.025+L730*0.025)</f>
        <v/>
      </c>
      <c r="P730" s="17">
        <f>32</f>
        <v/>
      </c>
      <c r="Q730" s="17">
        <f>J730+L730+N730+O730-P730-M730</f>
        <v/>
      </c>
    </row>
    <row r="731">
      <c r="A731" s="16" t="inlineStr">
        <is>
          <t>5.1-5.7</t>
        </is>
      </c>
      <c r="B731" s="16" t="inlineStr">
        <is>
          <t>PO-128-19090850110072528</t>
        </is>
      </c>
      <c r="C731" s="16" t="inlineStr">
        <is>
          <t>Delivered</t>
        </is>
      </c>
      <c r="D731" s="16" t="inlineStr">
        <is>
          <t>128-19090860595832528</t>
        </is>
      </c>
      <c r="E731" s="16" t="inlineStr">
        <is>
          <t>Delivered</t>
        </is>
      </c>
      <c r="F731" s="16" t="inlineStr">
        <is>
          <t>MCM-001G</t>
        </is>
      </c>
      <c r="G731" s="16" t="inlineStr">
        <is>
          <t>Musicord Altavoz Inalámbrico BT Portátil: ¡Sonido impactante, luces LED multicolores y 4 horas de autonomía! Compatible con TWS, FM, TF y USB – Imprescindible para fiestas y viajes</t>
        </is>
      </c>
      <c r="H731" s="16" t="inlineStr">
        <is>
          <t>GRIS</t>
        </is>
      </c>
      <c r="I731" s="16" t="n">
        <v>1</v>
      </c>
      <c r="J731" s="17" t="n">
        <v>51.06</v>
      </c>
      <c r="K731" s="17" t="n">
        <v>62.33</v>
      </c>
      <c r="L731" s="17" t="n">
        <v>25.86</v>
      </c>
      <c r="M731" s="17" t="n">
        <v>0</v>
      </c>
      <c r="N731" s="17">
        <f>K731*0.08+L731*0.08</f>
        <v/>
      </c>
      <c r="O731" s="17">
        <f>-(K731*0.025+L731*0.025)</f>
        <v/>
      </c>
      <c r="P731" s="17">
        <f>32</f>
        <v/>
      </c>
      <c r="Q731" s="17">
        <f>J731+L731+N731+O731-P731-M731</f>
        <v/>
      </c>
    </row>
    <row r="732">
      <c r="A732" s="16" t="inlineStr">
        <is>
          <t>5.1-5.7</t>
        </is>
      </c>
      <c r="B732" s="16" t="inlineStr">
        <is>
          <t>PO-128-18852211169910881</t>
        </is>
      </c>
      <c r="C732" s="16" t="inlineStr">
        <is>
          <t>Delivered</t>
        </is>
      </c>
      <c r="D732" s="16" t="inlineStr">
        <is>
          <t>128-18852190198390881</t>
        </is>
      </c>
      <c r="E732" s="16" t="inlineStr">
        <is>
          <t>Delivered</t>
        </is>
      </c>
      <c r="F732" s="16" t="inlineStr">
        <is>
          <t>LB02235-azul</t>
        </is>
      </c>
      <c r="G732" s="16" t="inlineStr">
        <is>
          <t>Audífonos Inalámbricos para la Cabeza, Recargables y Multifuncionales - Conectan a Varios Dispositivos, soportan Radio FM, Tarjeta TF y AUX - 4 Horas de Reproducción Musical - Ideal para Trabajo Cotidiano, Juegos y Estudio</t>
        </is>
      </c>
      <c r="H732" s="16" t="inlineStr">
        <is>
          <t>AZUL</t>
        </is>
      </c>
      <c r="I732" s="16" t="n">
        <v>1</v>
      </c>
      <c r="J732" s="17" t="n">
        <v>35</v>
      </c>
      <c r="K732" s="17" t="n">
        <v>48.12</v>
      </c>
      <c r="L732" s="17" t="n">
        <v>25.86</v>
      </c>
      <c r="M732" s="17" t="n">
        <v>0</v>
      </c>
      <c r="N732" s="17">
        <f>K732*0.08+L732*0.08</f>
        <v/>
      </c>
      <c r="O732" s="17">
        <f>-(K732*0.025+L732*0.025)</f>
        <v/>
      </c>
      <c r="P732" s="17">
        <f>32</f>
        <v/>
      </c>
      <c r="Q732" s="17">
        <f>J732+L732+N732+O732-P732-M732</f>
        <v/>
      </c>
    </row>
    <row r="733">
      <c r="A733" s="16" t="inlineStr">
        <is>
          <t>5.1-5.7</t>
        </is>
      </c>
      <c r="B733" s="16" t="inlineStr">
        <is>
          <t>PO-128-19107973632632426</t>
        </is>
      </c>
      <c r="C733" s="16" t="inlineStr">
        <is>
          <t>Delivered</t>
        </is>
      </c>
      <c r="D733" s="16" t="inlineStr">
        <is>
          <t>128-19108015575672426</t>
        </is>
      </c>
      <c r="E733" s="16" t="inlineStr">
        <is>
          <t>Delivered</t>
        </is>
      </c>
      <c r="F733" s="16" t="inlineStr">
        <is>
          <t>SA325T</t>
        </is>
      </c>
      <c r="G733" s="16" t="inlineStr">
        <is>
          <t>Subwoofer Portátil Inalámbrico con Luces RGB, Sonido de Alta Potencia y Batería Duradera, TWS TF USB, Perfecto para Campamento Fiestas y Entretenimiento en Casa</t>
        </is>
      </c>
      <c r="H733" s="16" t="inlineStr">
        <is>
          <t>NEGRO</t>
        </is>
      </c>
      <c r="I733" s="16" t="n">
        <v>2</v>
      </c>
      <c r="J733" s="17" t="n">
        <v>72</v>
      </c>
      <c r="K733" s="17" t="n">
        <v>7.36</v>
      </c>
      <c r="L733" s="17" t="n">
        <v>25.86</v>
      </c>
      <c r="M733" s="17" t="n">
        <v>0</v>
      </c>
      <c r="N733" s="17">
        <f>K733*0.08+L733*0.08</f>
        <v/>
      </c>
      <c r="O733" s="17">
        <f>-(K733*0.025+L733*0.025)</f>
        <v/>
      </c>
      <c r="P733" s="17">
        <f>32</f>
        <v/>
      </c>
      <c r="Q733" s="17">
        <f>J733+L733+N733+O733-P733-M733</f>
        <v/>
      </c>
    </row>
    <row r="734">
      <c r="A734" s="16" t="inlineStr">
        <is>
          <t>5.1-5.7</t>
        </is>
      </c>
      <c r="B734" s="16" t="inlineStr">
        <is>
          <t>PO-128-18807768904310121</t>
        </is>
      </c>
      <c r="C734" s="16" t="inlineStr">
        <is>
          <t>Delivered</t>
        </is>
      </c>
      <c r="D734" s="16" t="inlineStr">
        <is>
          <t>128-18807795118710121</t>
        </is>
      </c>
      <c r="E734" s="16" t="inlineStr">
        <is>
          <t>Delivered</t>
        </is>
      </c>
      <c r="F734" s="16" t="inlineStr">
        <is>
          <t>MCM-001R</t>
        </is>
      </c>
      <c r="G734" s="16" t="inlineStr">
        <is>
          <t>Musicord Altavoz Inalámbrico BT Portátil: ¡Sonido impactante, luces LED multicolores y 4 horas de autonomía! Compatible con TWS, FM, TF y USB – Imprescindible para fiestas y viajes</t>
        </is>
      </c>
      <c r="H734" s="16" t="inlineStr">
        <is>
          <t>ROJO</t>
        </is>
      </c>
      <c r="I734" s="16" t="n">
        <v>1</v>
      </c>
      <c r="J734" s="17" t="n">
        <v>66</v>
      </c>
      <c r="K734" s="17" t="n">
        <v>77.28</v>
      </c>
      <c r="L734" s="17" t="n">
        <v>25.86</v>
      </c>
      <c r="M734" s="17" t="n">
        <v>0</v>
      </c>
      <c r="N734" s="17">
        <f>K734*0.08+L734*0.08</f>
        <v/>
      </c>
      <c r="O734" s="17">
        <f>-(K734*0.025+L734*0.025)</f>
        <v/>
      </c>
      <c r="P734" s="17">
        <f>32</f>
        <v/>
      </c>
      <c r="Q734" s="17">
        <f>J734+L734+N734+O734-P734-M734</f>
        <v/>
      </c>
    </row>
    <row r="735">
      <c r="A735" s="16" t="inlineStr">
        <is>
          <t>5.1-5.7</t>
        </is>
      </c>
      <c r="B735" s="16" t="inlineStr">
        <is>
          <t>PO-128-18574162545271512</t>
        </is>
      </c>
      <c r="C735" s="16" t="inlineStr">
        <is>
          <t>Delivered</t>
        </is>
      </c>
      <c r="D735" s="16" t="inlineStr">
        <is>
          <t>128-18574179584631512</t>
        </is>
      </c>
      <c r="E735" s="16" t="inlineStr">
        <is>
          <t>Delivered</t>
        </is>
      </c>
      <c r="F735" s="16" t="inlineStr">
        <is>
          <t>MCM-001G</t>
        </is>
      </c>
      <c r="G735" s="16" t="inlineStr">
        <is>
          <t>Musicord Altavoz Inalámbrico BT Portátil: ¡Sonido impactante, luces LED multicolores y 4 horas de autonomía! Compatible con TWS, FM, TF y USB – Imprescindible para fiestas y viajes</t>
        </is>
      </c>
      <c r="H735" s="16" t="inlineStr">
        <is>
          <t>GRIS</t>
        </is>
      </c>
      <c r="I735" s="16" t="n">
        <v>1</v>
      </c>
      <c r="J735" s="17" t="n">
        <v>51.06</v>
      </c>
      <c r="K735" s="17" t="n">
        <v>62.33</v>
      </c>
      <c r="L735" s="17" t="n">
        <v>25.86</v>
      </c>
      <c r="M735" s="17" t="n">
        <v>0</v>
      </c>
      <c r="N735" s="17">
        <f>K735*0.08+L735*0.08</f>
        <v/>
      </c>
      <c r="O735" s="17">
        <f>-(K735*0.025+L735*0.025)</f>
        <v/>
      </c>
      <c r="P735" s="17">
        <f>32</f>
        <v/>
      </c>
      <c r="Q735" s="17">
        <f>J735+L735+N735+O735-P735-M735</f>
        <v/>
      </c>
    </row>
    <row r="736">
      <c r="A736" s="16" t="inlineStr">
        <is>
          <t>5.1-5.7</t>
        </is>
      </c>
      <c r="B736" s="16" t="inlineStr">
        <is>
          <t>PO-128-19168644885113024</t>
        </is>
      </c>
      <c r="C736" s="16" t="inlineStr">
        <is>
          <t>Delivered</t>
        </is>
      </c>
      <c r="D736" s="16" t="inlineStr">
        <is>
          <t>128-19168678963833024</t>
        </is>
      </c>
      <c r="E736" s="16" t="inlineStr">
        <is>
          <t>Delivered</t>
        </is>
      </c>
      <c r="F736" s="16" t="inlineStr">
        <is>
          <t>LB02235-negro</t>
        </is>
      </c>
      <c r="G736" s="16" t="inlineStr">
        <is>
          <t>Audífonos Inalámbricos para la Cabeza, Recargables y Multifuncionales - Conectan a Varios Dispositivos, soportan Radio FM, Tarjeta TF y AUX - 4 Horas de Reproducción Musical - Ideal para Trabajo Cotidiano, Juegos y Estudio</t>
        </is>
      </c>
      <c r="H736" s="16" t="inlineStr">
        <is>
          <t>NEGRO</t>
        </is>
      </c>
      <c r="I736" s="16" t="n">
        <v>1</v>
      </c>
      <c r="J736" s="17" t="n">
        <v>35</v>
      </c>
      <c r="K736" s="17" t="n">
        <v>48.12</v>
      </c>
      <c r="L736" s="17" t="n">
        <v>25.86</v>
      </c>
      <c r="M736" s="17" t="n">
        <v>0</v>
      </c>
      <c r="N736" s="17">
        <f>K736*0.08+L736*0.08</f>
        <v/>
      </c>
      <c r="O736" s="17">
        <f>-(K736*0.025+L736*0.025)</f>
        <v/>
      </c>
      <c r="P736" s="17">
        <f>32</f>
        <v/>
      </c>
      <c r="Q736" s="17">
        <f>J736+L736+N736+O736-P736-M736</f>
        <v/>
      </c>
    </row>
    <row r="737">
      <c r="A737" s="16" t="inlineStr">
        <is>
          <t>5.1-5.7</t>
        </is>
      </c>
      <c r="B737" s="16" t="inlineStr">
        <is>
          <t>PO-128-19134811208312074</t>
        </is>
      </c>
      <c r="C737" s="16" t="inlineStr">
        <is>
          <t>Delivered</t>
        </is>
      </c>
      <c r="D737" s="16" t="inlineStr">
        <is>
          <t>128-19134800722552074</t>
        </is>
      </c>
      <c r="E737" s="16" t="inlineStr">
        <is>
          <t>Delivered</t>
        </is>
      </c>
      <c r="F737" s="16" t="inlineStr">
        <is>
          <t>LB02235-azul</t>
        </is>
      </c>
      <c r="G737" s="16" t="inlineStr">
        <is>
          <t>Audífonos Inalámbricos para la Cabeza, Recargables y Multifuncionales - Conectan a Varios Dispositivos, soportan Radio FM, Tarjeta TF y AUX - 4 Horas de Reproducción Musical - Ideal para Trabajo Cotidiano, Juegos y Estudio</t>
        </is>
      </c>
      <c r="H737" s="16" t="inlineStr">
        <is>
          <t>AZUL</t>
        </is>
      </c>
      <c r="I737" s="16" t="n">
        <v>1</v>
      </c>
      <c r="J737" s="17" t="n">
        <v>35</v>
      </c>
      <c r="K737" s="17" t="n">
        <v>48.12</v>
      </c>
      <c r="L737" s="17" t="n">
        <v>25.86</v>
      </c>
      <c r="M737" s="17" t="n">
        <v>0</v>
      </c>
      <c r="N737" s="17">
        <f>K737*0.08+L737*0.08</f>
        <v/>
      </c>
      <c r="O737" s="17">
        <f>-(K737*0.025+L737*0.025)</f>
        <v/>
      </c>
      <c r="P737" s="17">
        <f>32</f>
        <v/>
      </c>
      <c r="Q737" s="17">
        <f>J737+L737+N737+O737-P737-M737</f>
        <v/>
      </c>
    </row>
    <row r="738">
      <c r="A738" s="16" t="inlineStr">
        <is>
          <t>5.1-5.7</t>
        </is>
      </c>
      <c r="B738" s="16" t="inlineStr">
        <is>
          <t>PO-128-18804928256630072</t>
        </is>
      </c>
      <c r="C738" s="16" t="inlineStr">
        <is>
          <t>Delivered</t>
        </is>
      </c>
      <c r="D738" s="16" t="inlineStr">
        <is>
          <t>128-18804980685430072</t>
        </is>
      </c>
      <c r="E738" s="16" t="inlineStr">
        <is>
          <t>Delivered</t>
        </is>
      </c>
      <c r="F738" s="16" t="inlineStr">
        <is>
          <t>AIR50W06-2P</t>
        </is>
      </c>
      <c r="G738" s="16" t="inlineStr">
        <is>
          <t>Link Bits Ventilador de piso de 16 pulgadas, 2 unidades, 3 velocidades, motor silencioso, flujo de aire fuerte, altura ajustable, oscilación amplia, ventilador eléctrico para el hogar, ideal para sala, recámara y oficina</t>
        </is>
      </c>
      <c r="H738" s="16" t="inlineStr">
        <is>
          <t>2PZ</t>
        </is>
      </c>
      <c r="I738" s="16" t="n">
        <v>1</v>
      </c>
      <c r="J738" s="17" t="n">
        <v>435</v>
      </c>
      <c r="K738" s="17" t="n">
        <v>568.12</v>
      </c>
      <c r="L738" s="17" t="n">
        <v>0</v>
      </c>
      <c r="M738" s="17" t="n">
        <v>0</v>
      </c>
      <c r="N738" s="17">
        <f>K738*0.08+L738*0.08</f>
        <v/>
      </c>
      <c r="O738" s="17">
        <f>-(K738*0.025+L738*0.025)</f>
        <v/>
      </c>
      <c r="P738" s="17">
        <f>32</f>
        <v/>
      </c>
      <c r="Q738" s="17">
        <f>J738+L738+N738+O738-P738-M738</f>
        <v/>
      </c>
    </row>
    <row r="739">
      <c r="A739" s="16" t="inlineStr">
        <is>
          <t>5.1-5.7</t>
        </is>
      </c>
      <c r="B739" s="16" t="inlineStr">
        <is>
          <t>PO-128-19058813041273617</t>
        </is>
      </c>
      <c r="C739" s="16" t="inlineStr">
        <is>
          <t>Delivered</t>
        </is>
      </c>
      <c r="D739" s="16" t="inlineStr">
        <is>
          <t>128-19058854984313617</t>
        </is>
      </c>
      <c r="E739" s="16" t="inlineStr">
        <is>
          <t>Delivered</t>
        </is>
      </c>
      <c r="F739" s="16" t="inlineStr">
        <is>
          <t>MCM-001A</t>
        </is>
      </c>
      <c r="G739" s="16" t="inlineStr">
        <is>
          <t>Musicord Altavoz Inalámbrico BT Portátil: ¡Sonido impactante, luces LED multicolores y 4 horas de autonomía! Compatible con TWS, FM, TF y USB – Imprescindible para fiestas y viajes</t>
        </is>
      </c>
      <c r="H739" s="16" t="inlineStr">
        <is>
          <t>AZUL</t>
        </is>
      </c>
      <c r="I739" s="16" t="n">
        <v>1</v>
      </c>
      <c r="J739" s="17" t="n">
        <v>51.06</v>
      </c>
      <c r="K739" s="17" t="n">
        <v>59.45</v>
      </c>
      <c r="L739" s="17" t="n">
        <v>25.86</v>
      </c>
      <c r="M739" s="17" t="n">
        <v>0</v>
      </c>
      <c r="N739" s="17">
        <f>K739*0.08+L739*0.08</f>
        <v/>
      </c>
      <c r="O739" s="17">
        <f>-(K739*0.025+L739*0.025)</f>
        <v/>
      </c>
      <c r="P739" s="17">
        <f>32</f>
        <v/>
      </c>
      <c r="Q739" s="17">
        <f>J739+L739+N739+O739-P739-M739</f>
        <v/>
      </c>
    </row>
    <row r="740">
      <c r="A740" s="16" t="inlineStr">
        <is>
          <t>5.1-5.7</t>
        </is>
      </c>
      <c r="B740" s="16" t="inlineStr">
        <is>
          <t>PO-128-18862904443510689</t>
        </is>
      </c>
      <c r="C740" s="16" t="inlineStr">
        <is>
          <t>Delivered</t>
        </is>
      </c>
      <c r="D740" s="16" t="inlineStr">
        <is>
          <t>128-18862867743350689</t>
        </is>
      </c>
      <c r="E740" s="16" t="inlineStr">
        <is>
          <t>Delivered</t>
        </is>
      </c>
      <c r="F740" s="16" t="inlineStr">
        <is>
          <t>LB02235-negro</t>
        </is>
      </c>
      <c r="G740" s="16" t="inlineStr">
        <is>
          <t>Audífonos Inalámbricos para la Cabeza, Recargables y Multifuncionales - Conectan a Varios Dispositivos, soportan Radio FM, Tarjeta TF y AUX - 4 Horas de Reproducción Musical - Ideal para Trabajo Cotidiano, Juegos y Estudio</t>
        </is>
      </c>
      <c r="H740" s="16" t="inlineStr">
        <is>
          <t>NEGRO</t>
        </is>
      </c>
      <c r="I740" s="16" t="n">
        <v>1</v>
      </c>
      <c r="J740" s="17" t="n">
        <v>35</v>
      </c>
      <c r="K740" s="17" t="n">
        <v>48.12</v>
      </c>
      <c r="L740" s="17" t="n">
        <v>25.86</v>
      </c>
      <c r="M740" s="17" t="n">
        <v>0</v>
      </c>
      <c r="N740" s="17">
        <f>K740*0.08+L740*0.08</f>
        <v/>
      </c>
      <c r="O740" s="17">
        <f>-(K740*0.025+L740*0.025)</f>
        <v/>
      </c>
      <c r="P740" s="17">
        <f>32</f>
        <v/>
      </c>
      <c r="Q740" s="17">
        <f>J740+L740+N740+O740-P740-M740</f>
        <v/>
      </c>
    </row>
    <row r="741">
      <c r="A741" s="16" t="inlineStr">
        <is>
          <t>5.1-5.7</t>
        </is>
      </c>
      <c r="B741" s="16" t="inlineStr">
        <is>
          <t>PO-128-18692407143031705</t>
        </is>
      </c>
      <c r="C741" s="16" t="inlineStr">
        <is>
          <t>Delivered</t>
        </is>
      </c>
      <c r="D741" s="16" t="inlineStr">
        <is>
          <t>128-18692365199991705</t>
        </is>
      </c>
      <c r="E741" s="16" t="inlineStr">
        <is>
          <t>Delivered</t>
        </is>
      </c>
      <c r="F741" s="16" t="inlineStr">
        <is>
          <t>FA028</t>
        </is>
      </c>
      <c r="G741" s="16" t="inlineStr">
        <is>
          <t>Extractor de agua para garrafas de agua, compatible con carga USB, extractor de agua automático, práctico, con dos modos de toma de agua: manual y programado, ideal para dormitorios, salones, oficinas, uso al aire libre y otros escenarios.</t>
        </is>
      </c>
      <c r="H741" s="16" t="inlineStr">
        <is>
          <t>FA028</t>
        </is>
      </c>
      <c r="I741" s="16" t="n">
        <v>1</v>
      </c>
      <c r="J741" s="17" t="n">
        <v>30.99</v>
      </c>
      <c r="K741" s="17" t="n">
        <v>34.48</v>
      </c>
      <c r="L741" s="17" t="n">
        <v>25.86</v>
      </c>
      <c r="M741" s="17" t="n">
        <v>0</v>
      </c>
      <c r="N741" s="17">
        <f>K741*0.08+L741*0.08</f>
        <v/>
      </c>
      <c r="O741" s="17">
        <f>-(K741*0.025+L741*0.025)</f>
        <v/>
      </c>
      <c r="P741" s="17">
        <f>32</f>
        <v/>
      </c>
      <c r="Q741" s="17">
        <f>J741+L741+N741+O741-P741-M741</f>
        <v/>
      </c>
    </row>
    <row r="742">
      <c r="A742" s="16" t="inlineStr">
        <is>
          <t>5.1-5.7</t>
        </is>
      </c>
      <c r="B742" s="16" t="inlineStr">
        <is>
          <t>PO-128-18674584126071875</t>
        </is>
      </c>
      <c r="C742" s="16" t="inlineStr">
        <is>
          <t>Delivered</t>
        </is>
      </c>
      <c r="D742" s="16" t="inlineStr">
        <is>
          <t>128-18674605097591875</t>
        </is>
      </c>
      <c r="E742" s="16" t="inlineStr">
        <is>
          <t>Delivered</t>
        </is>
      </c>
      <c r="F742" s="16" t="inlineStr">
        <is>
          <t>KTS-1678N</t>
        </is>
      </c>
      <c r="G742" s="16" t="inlineStr">
        <is>
          <t>Bocina portátil Inalámbrico, de 3 pulgadas, tamaño de bolsillo, 170 g, con asa, compatible con TF, USB y Micro SD, con radio FM y función TWS (True Wireless Stereo), adecuada para relajarse en casa o viajar al aire libre.</t>
        </is>
      </c>
      <c r="H742" s="16" t="inlineStr">
        <is>
          <t>KTS-1678N</t>
        </is>
      </c>
      <c r="I742" s="16" t="n">
        <v>1</v>
      </c>
      <c r="J742" s="17" t="n">
        <v>40</v>
      </c>
      <c r="K742" s="17" t="n">
        <v>46.22</v>
      </c>
      <c r="L742" s="17" t="n">
        <v>25.86</v>
      </c>
      <c r="M742" s="17" t="n">
        <v>0</v>
      </c>
      <c r="N742" s="17">
        <f>K742*0.08+L742*0.08</f>
        <v/>
      </c>
      <c r="O742" s="17">
        <f>-(K742*0.025+L742*0.025)</f>
        <v/>
      </c>
      <c r="P742" s="17">
        <f>32</f>
        <v/>
      </c>
      <c r="Q742" s="17">
        <f>J742+L742+N742+O742-P742-M742</f>
        <v/>
      </c>
    </row>
    <row r="743">
      <c r="A743" s="16" t="inlineStr">
        <is>
          <t>5.1-5.7</t>
        </is>
      </c>
      <c r="B743" s="16" t="inlineStr">
        <is>
          <t>PO-128-19165739326072978</t>
        </is>
      </c>
      <c r="C743" s="16" t="inlineStr">
        <is>
          <t>Delivered</t>
        </is>
      </c>
      <c r="D743" s="16" t="inlineStr">
        <is>
          <t>128-19165760297592978</t>
        </is>
      </c>
      <c r="E743" s="16" t="inlineStr">
        <is>
          <t>Delivered</t>
        </is>
      </c>
      <c r="F743" s="16" t="inlineStr">
        <is>
          <t>KTS-1678Y</t>
        </is>
      </c>
      <c r="G743" s="16" t="inlineStr">
        <is>
          <t>Bocina portátil Inalámbrico, de 3 pulgadas, tamaño de bolsillo, 170 g, con asa, compatible con TF, USB y Micro SD, con radio FM y función TWS (True Wireless Stereo), adecuada para relajarse en casa o viajar al aire libre.</t>
        </is>
      </c>
      <c r="H743" s="16" t="inlineStr">
        <is>
          <t>KTS-1678Y</t>
        </is>
      </c>
      <c r="I743" s="16" t="n">
        <v>1</v>
      </c>
      <c r="J743" s="17" t="n">
        <v>40</v>
      </c>
      <c r="K743" s="17" t="n">
        <v>46.22</v>
      </c>
      <c r="L743" s="17" t="n">
        <v>25.86</v>
      </c>
      <c r="M743" s="17" t="n">
        <v>0</v>
      </c>
      <c r="N743" s="17">
        <f>K743*0.08+L743*0.08</f>
        <v/>
      </c>
      <c r="O743" s="17">
        <f>-(K743*0.025+L743*0.025)</f>
        <v/>
      </c>
      <c r="P743" s="17">
        <f>32</f>
        <v/>
      </c>
      <c r="Q743" s="17">
        <f>J743+L743+N743+O743-P743-M743</f>
        <v/>
      </c>
    </row>
    <row r="744">
      <c r="A744" s="16" t="inlineStr">
        <is>
          <t>5.1-5.7</t>
        </is>
      </c>
      <c r="B744" s="16" t="inlineStr">
        <is>
          <t>PO-128-18811260662390101</t>
        </is>
      </c>
      <c r="C744" s="16" t="inlineStr">
        <is>
          <t>Delivered</t>
        </is>
      </c>
      <c r="D744" s="16" t="inlineStr">
        <is>
          <t>128-18811218719350101</t>
        </is>
      </c>
      <c r="E744" s="16" t="inlineStr">
        <is>
          <t>Delivered</t>
        </is>
      </c>
      <c r="F744" s="16" t="inlineStr">
        <is>
          <t>MCM-001G</t>
        </is>
      </c>
      <c r="G744" s="16" t="inlineStr">
        <is>
          <t>Musicord Altavoz Inalámbrico BT Portátil: ¡Sonido impactante, luces LED multicolores y 4 horas de autonomía! Compatible con TWS, FM, TF y USB – Imprescindible para fiestas y viajes</t>
        </is>
      </c>
      <c r="H744" s="16" t="inlineStr">
        <is>
          <t>GRIS</t>
        </is>
      </c>
      <c r="I744" s="16" t="n">
        <v>1</v>
      </c>
      <c r="J744" s="17" t="n">
        <v>51.06</v>
      </c>
      <c r="K744" s="17" t="n">
        <v>62.33</v>
      </c>
      <c r="L744" s="17" t="n">
        <v>25.86</v>
      </c>
      <c r="M744" s="17" t="n">
        <v>0</v>
      </c>
      <c r="N744" s="17">
        <f>K744*0.08+L744*0.08</f>
        <v/>
      </c>
      <c r="O744" s="17">
        <f>-(K744*0.025+L744*0.025)</f>
        <v/>
      </c>
      <c r="P744" s="17">
        <f>32</f>
        <v/>
      </c>
      <c r="Q744" s="17">
        <f>J744+L744+N744+O744-P744-M744</f>
        <v/>
      </c>
    </row>
    <row r="745">
      <c r="A745" s="16" t="inlineStr">
        <is>
          <t>5.1-5.7</t>
        </is>
      </c>
      <c r="B745" s="16" t="inlineStr">
        <is>
          <t>PO-128-18997044736634049</t>
        </is>
      </c>
      <c r="C745" s="16" t="inlineStr">
        <is>
          <t>Delivered</t>
        </is>
      </c>
      <c r="D745" s="16" t="inlineStr">
        <is>
          <t>128-18997023765114049</t>
        </is>
      </c>
      <c r="E745" s="16" t="inlineStr">
        <is>
          <t>Delivered</t>
        </is>
      </c>
      <c r="F745" s="16" t="inlineStr">
        <is>
          <t>S09W18IB-8PZS</t>
        </is>
      </c>
      <c r="G74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745" s="16" t="inlineStr">
        <is>
          <t>8 piezas</t>
        </is>
      </c>
      <c r="I745" s="16" t="n">
        <v>1</v>
      </c>
      <c r="J745" s="17" t="n">
        <v>270</v>
      </c>
      <c r="K745" s="17" t="n">
        <v>307.97</v>
      </c>
      <c r="L745" s="17" t="n">
        <v>0</v>
      </c>
      <c r="M745" s="17" t="n">
        <v>35.01</v>
      </c>
      <c r="N745" s="17">
        <f>K745*0.08+L745*0.08</f>
        <v/>
      </c>
      <c r="O745" s="17">
        <f>-(K745*0.025+L745*0.025)</f>
        <v/>
      </c>
      <c r="P745" s="17">
        <f>32</f>
        <v/>
      </c>
      <c r="Q745" s="17">
        <f>J745+L745+N745+O745-P745-M745</f>
        <v/>
      </c>
    </row>
    <row r="746">
      <c r="A746" s="16" t="inlineStr">
        <is>
          <t>5.1-5.7</t>
        </is>
      </c>
      <c r="B746" s="16" t="inlineStr">
        <is>
          <t>PO-128-19008193720953855</t>
        </is>
      </c>
      <c r="C746" s="16" t="inlineStr">
        <is>
          <t>Delivered</t>
        </is>
      </c>
      <c r="D746" s="16" t="inlineStr">
        <is>
          <t>128-19008214692473855</t>
        </is>
      </c>
      <c r="E746" s="16" t="inlineStr">
        <is>
          <t>Delivered</t>
        </is>
      </c>
      <c r="F746" s="16" t="inlineStr">
        <is>
          <t>KTS-1678Y</t>
        </is>
      </c>
      <c r="G746" s="16" t="inlineStr">
        <is>
          <t>Bocina portátil Inalámbrico, de 3 pulgadas, tamaño de bolsillo, 170 g, con asa, compatible con TF, USB y Micro SD, con radio FM y función TWS (True Wireless Stereo), adecuada para relajarse en casa o viajar al aire libre.</t>
        </is>
      </c>
      <c r="H746" s="16" t="inlineStr">
        <is>
          <t>KTS-1678Y</t>
        </is>
      </c>
      <c r="I746" s="16" t="n">
        <v>2</v>
      </c>
      <c r="J746" s="17" t="n">
        <v>80</v>
      </c>
      <c r="K746" s="17" t="n">
        <v>92.44</v>
      </c>
      <c r="L746" s="17" t="n">
        <v>25.86</v>
      </c>
      <c r="M746" s="17" t="n">
        <v>0</v>
      </c>
      <c r="N746" s="17">
        <f>K746*0.08+L746*0.08</f>
        <v/>
      </c>
      <c r="O746" s="17">
        <f>-(K746*0.025+L746*0.025)</f>
        <v/>
      </c>
      <c r="P746" s="17">
        <f>32</f>
        <v/>
      </c>
      <c r="Q746" s="17">
        <f>J746+L746+N746+O746-P746-M746</f>
        <v/>
      </c>
    </row>
    <row r="747">
      <c r="A747" s="16" t="inlineStr">
        <is>
          <t>5.1-5.7</t>
        </is>
      </c>
      <c r="B747" s="16" t="inlineStr">
        <is>
          <t>PO-128-19075880796792491</t>
        </is>
      </c>
      <c r="C747" s="16" t="inlineStr">
        <is>
          <t>Delivered</t>
        </is>
      </c>
      <c r="D747" s="16" t="inlineStr">
        <is>
          <t>128-19075870311032491</t>
        </is>
      </c>
      <c r="E747" s="16" t="inlineStr">
        <is>
          <t>Delivered</t>
        </is>
      </c>
      <c r="F747" s="16" t="inlineStr">
        <is>
          <t>LB02235-rojo</t>
        </is>
      </c>
      <c r="G747" s="16" t="inlineStr">
        <is>
          <t>Audífonos Inalámbricos para la Cabeza, Recargables y Multifuncionales - Conectan a Varios Dispositivos, soportan Radio FM, Tarjeta TF y AUX - 4 Horas de Reproducción Musical - Ideal para Trabajo Cotidiano, Juegos y Estudio</t>
        </is>
      </c>
      <c r="H747" s="16" t="inlineStr">
        <is>
          <t>ROJO</t>
        </is>
      </c>
      <c r="I747" s="16" t="n">
        <v>1</v>
      </c>
      <c r="J747" s="17" t="n">
        <v>41</v>
      </c>
      <c r="K747" s="17" t="n">
        <v>51.42</v>
      </c>
      <c r="L747" s="17" t="n">
        <v>25.86</v>
      </c>
      <c r="M747" s="17" t="n">
        <v>0</v>
      </c>
      <c r="N747" s="17">
        <f>K747*0.08+L747*0.08</f>
        <v/>
      </c>
      <c r="O747" s="17">
        <f>-(K747*0.025+L747*0.025)</f>
        <v/>
      </c>
      <c r="P747" s="17">
        <f>32</f>
        <v/>
      </c>
      <c r="Q747" s="17">
        <f>J747+L747+N747+O747-P747-M747</f>
        <v/>
      </c>
    </row>
    <row r="748">
      <c r="A748" s="16" t="inlineStr">
        <is>
          <t>5.1-5.7</t>
        </is>
      </c>
      <c r="B748" s="16" t="inlineStr">
        <is>
          <t>PO-128-18880115487350520</t>
        </is>
      </c>
      <c r="C748" s="16" t="inlineStr">
        <is>
          <t>Delivered</t>
        </is>
      </c>
      <c r="D748" s="16" t="inlineStr">
        <is>
          <t>128-18880157430390520</t>
        </is>
      </c>
      <c r="E748" s="16" t="inlineStr">
        <is>
          <t>Delivered</t>
        </is>
      </c>
      <c r="F748" s="16" t="inlineStr">
        <is>
          <t>MB-185N</t>
        </is>
      </c>
      <c r="G748" s="16" t="inlineStr">
        <is>
          <t>Bocina Radio FM/Reproductor, Compatible con Tarjeta TF, USB, Bluetooth, Aplicable para celular, computadora, Ipad y consola.</t>
        </is>
      </c>
      <c r="H748" s="16" t="inlineStr">
        <is>
          <t>NEGRO/MB-185</t>
        </is>
      </c>
      <c r="I748" s="16" t="n">
        <v>1</v>
      </c>
      <c r="J748" s="17" t="n">
        <v>71.31</v>
      </c>
      <c r="K748" s="17" t="n">
        <v>84.26000000000001</v>
      </c>
      <c r="L748" s="17" t="n">
        <v>25.86</v>
      </c>
      <c r="M748" s="17" t="n">
        <v>0</v>
      </c>
      <c r="N748" s="17">
        <f>K748*0.08+L748*0.08</f>
        <v/>
      </c>
      <c r="O748" s="17">
        <f>-(K748*0.025+L748*0.025)</f>
        <v/>
      </c>
      <c r="P748" s="17">
        <f>32</f>
        <v/>
      </c>
      <c r="Q748" s="17">
        <f>J748+L748+N748+O748-P748-M748</f>
        <v/>
      </c>
    </row>
    <row r="749">
      <c r="A749" s="16" t="inlineStr">
        <is>
          <t>5.1-5.7</t>
        </is>
      </c>
      <c r="B749" s="16" t="inlineStr">
        <is>
          <t>PO-128-19076752200312484</t>
        </is>
      </c>
      <c r="C749" s="16" t="inlineStr">
        <is>
          <t>Delivered</t>
        </is>
      </c>
      <c r="D749" s="16" t="inlineStr">
        <is>
          <t>128-19076778414712484</t>
        </is>
      </c>
      <c r="E749" s="16" t="inlineStr">
        <is>
          <t>Delivered</t>
        </is>
      </c>
      <c r="F749" s="16" t="inlineStr">
        <is>
          <t>VB347T</t>
        </is>
      </c>
      <c r="G74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749" s="16" t="inlineStr">
        <is>
          <t>1 pieza</t>
        </is>
      </c>
      <c r="I749" s="16" t="n">
        <v>1</v>
      </c>
      <c r="J749" s="17" t="n">
        <v>77.90000000000001</v>
      </c>
      <c r="K749" s="17" t="n">
        <v>92.51000000000001</v>
      </c>
      <c r="L749" s="17" t="n">
        <v>25.86</v>
      </c>
      <c r="M749" s="17" t="n">
        <v>0</v>
      </c>
      <c r="N749" s="17">
        <f>K749*0.08+L749*0.08</f>
        <v/>
      </c>
      <c r="O749" s="17">
        <f>-(K749*0.025+L749*0.025)</f>
        <v/>
      </c>
      <c r="P749" s="17">
        <f>32</f>
        <v/>
      </c>
      <c r="Q749" s="17">
        <f>J749+L749+N749+O749-P749-M749</f>
        <v/>
      </c>
    </row>
    <row r="750">
      <c r="A750" s="16" t="inlineStr">
        <is>
          <t>5.1-5.7</t>
        </is>
      </c>
      <c r="B750" s="16" t="inlineStr">
        <is>
          <t>PO-128-18591536138871344</t>
        </is>
      </c>
      <c r="C750" s="16" t="inlineStr">
        <is>
          <t>Delivered</t>
        </is>
      </c>
      <c r="D750" s="16" t="inlineStr">
        <is>
          <t>128-18591640996471344</t>
        </is>
      </c>
      <c r="E750" s="16" t="inlineStr">
        <is>
          <t>Delivered</t>
        </is>
      </c>
      <c r="F750" s="16" t="inlineStr">
        <is>
          <t>AIR50W06-2P</t>
        </is>
      </c>
      <c r="G750" s="16" t="inlineStr">
        <is>
          <t>Link Bits Ventilador de piso de 16 pulgadas, 2 unidades, 3 velocidades, motor silencioso, flujo de aire fuerte, altura ajustable, oscilación amplia, ventilador eléctrico para el hogar, ideal para sala, recámara y oficina</t>
        </is>
      </c>
      <c r="H750" s="16" t="inlineStr">
        <is>
          <t>2PZ</t>
        </is>
      </c>
      <c r="I750" s="16" t="n">
        <v>1</v>
      </c>
      <c r="J750" s="17" t="n">
        <v>435</v>
      </c>
      <c r="K750" s="17" t="n">
        <v>340.88</v>
      </c>
      <c r="L750" s="17" t="n">
        <v>0</v>
      </c>
      <c r="M750" s="17" t="n">
        <v>0</v>
      </c>
      <c r="N750" s="17">
        <f>K750*0.08+L750*0.08</f>
        <v/>
      </c>
      <c r="O750" s="17">
        <f>-(K750*0.025+L750*0.025)</f>
        <v/>
      </c>
      <c r="P750" s="17">
        <f>32</f>
        <v/>
      </c>
      <c r="Q750" s="17">
        <f>J750+L750+N750+O750-P750-M750</f>
        <v/>
      </c>
    </row>
    <row r="751">
      <c r="A751" s="16" t="inlineStr">
        <is>
          <t>5.1-5.7</t>
        </is>
      </c>
      <c r="B751" s="16" t="inlineStr">
        <is>
          <t>PO-128-19019977697913913</t>
        </is>
      </c>
      <c r="C751" s="16" t="inlineStr">
        <is>
          <t>Delivered</t>
        </is>
      </c>
      <c r="D751" s="16" t="inlineStr">
        <is>
          <t>128-19019956726393913</t>
        </is>
      </c>
      <c r="E751" s="16" t="inlineStr">
        <is>
          <t>Delivered</t>
        </is>
      </c>
      <c r="F751" s="16" t="inlineStr">
        <is>
          <t>LB02235-negro</t>
        </is>
      </c>
      <c r="G751" s="16" t="inlineStr">
        <is>
          <t>Audífonos Inalámbricos para la Cabeza, Recargables y Multifuncionales - Conectan a Varios Dispositivos, soportan Radio FM, Tarjeta TF y AUX - 4 Horas de Reproducción Musical - Ideal para Trabajo Cotidiano, Juegos y Estudio</t>
        </is>
      </c>
      <c r="H751" s="16" t="inlineStr">
        <is>
          <t>NEGRO</t>
        </is>
      </c>
      <c r="I751" s="16" t="n">
        <v>1</v>
      </c>
      <c r="J751" s="17" t="n">
        <v>35</v>
      </c>
      <c r="K751" s="17" t="n">
        <v>48.12</v>
      </c>
      <c r="L751" s="17" t="n">
        <v>25.86</v>
      </c>
      <c r="M751" s="17" t="n">
        <v>0</v>
      </c>
      <c r="N751" s="17">
        <f>K751*0.08+L751*0.08</f>
        <v/>
      </c>
      <c r="O751" s="17">
        <f>-(K751*0.025+L751*0.025)</f>
        <v/>
      </c>
      <c r="P751" s="17">
        <f>32</f>
        <v/>
      </c>
      <c r="Q751" s="17">
        <f>J751+L751+N751+O751-P751-M751</f>
        <v/>
      </c>
    </row>
    <row r="752">
      <c r="A752" s="16" t="inlineStr">
        <is>
          <t>5.1-5.7</t>
        </is>
      </c>
      <c r="B752" s="16" t="inlineStr">
        <is>
          <t>PO-128-18716850453111623</t>
        </is>
      </c>
      <c r="C752" s="16" t="inlineStr">
        <is>
          <t>Delivered</t>
        </is>
      </c>
      <c r="D752" s="16" t="inlineStr">
        <is>
          <t>128-18716986767991623</t>
        </is>
      </c>
      <c r="E752" s="16" t="inlineStr">
        <is>
          <t>Delivered</t>
        </is>
      </c>
      <c r="F752" s="16" t="inlineStr">
        <is>
          <t>LV34W04</t>
        </is>
      </c>
      <c r="G75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752" s="16" t="inlineStr">
        <is>
          <t>LV34W04</t>
        </is>
      </c>
      <c r="I752" s="16" t="n">
        <v>2</v>
      </c>
      <c r="J752" s="17" t="n">
        <v>394.8</v>
      </c>
      <c r="K752" s="17" t="n">
        <v>424.96</v>
      </c>
      <c r="L752" s="17" t="n">
        <v>0</v>
      </c>
      <c r="M752" s="17" t="n">
        <v>0</v>
      </c>
      <c r="N752" s="17">
        <f>K752*0.08+L752*0.08</f>
        <v/>
      </c>
      <c r="O752" s="17">
        <f>-(K752*0.025+L752*0.025)</f>
        <v/>
      </c>
      <c r="P752" s="17">
        <f>32</f>
        <v/>
      </c>
      <c r="Q752" s="17">
        <f>J752+L752+N752+O752-P752-M752</f>
        <v/>
      </c>
    </row>
    <row r="753">
      <c r="A753" s="16" t="inlineStr">
        <is>
          <t>5.1-5.7</t>
        </is>
      </c>
      <c r="B753" s="16" t="inlineStr">
        <is>
          <t>PO-128-18602113106551155</t>
        </is>
      </c>
      <c r="C753" s="16" t="inlineStr">
        <is>
          <t>Delivered</t>
        </is>
      </c>
      <c r="D753" s="16" t="inlineStr">
        <is>
          <t>128-18602217964151155</t>
        </is>
      </c>
      <c r="E753" s="16" t="inlineStr">
        <is>
          <t>Delivered</t>
        </is>
      </c>
      <c r="F753" s="16" t="inlineStr">
        <is>
          <t>AIR50W06-2P</t>
        </is>
      </c>
      <c r="G753" s="16" t="inlineStr">
        <is>
          <t>Link Bits Ventilador de piso de 16 pulgadas, 2 unidades, 3 velocidades, motor silencioso, flujo de aire fuerte, altura ajustable, oscilación amplia, ventilador eléctrico para el hogar, ideal para sala, recámara y oficina</t>
        </is>
      </c>
      <c r="H753" s="16" t="inlineStr">
        <is>
          <t>2PZ</t>
        </is>
      </c>
      <c r="I753" s="16" t="n">
        <v>1</v>
      </c>
      <c r="J753" s="17" t="n">
        <v>435</v>
      </c>
      <c r="K753" s="17" t="n">
        <v>464.67</v>
      </c>
      <c r="L753" s="17" t="n">
        <v>0</v>
      </c>
      <c r="M753" s="17" t="n">
        <v>0</v>
      </c>
      <c r="N753" s="17">
        <f>K753*0.08+L753*0.08</f>
        <v/>
      </c>
      <c r="O753" s="17">
        <f>-(K753*0.025+L753*0.025)</f>
        <v/>
      </c>
      <c r="P753" s="17">
        <f>32</f>
        <v/>
      </c>
      <c r="Q753" s="17">
        <f>J753+L753+N753+O753-P753-M753</f>
        <v/>
      </c>
    </row>
    <row r="754">
      <c r="A754" s="16" t="inlineStr">
        <is>
          <t>5.1-5.7</t>
        </is>
      </c>
      <c r="B754" s="16" t="inlineStr">
        <is>
          <t>PO-128-18701531136631779</t>
        </is>
      </c>
      <c r="C754" s="16" t="inlineStr">
        <is>
          <t>Delivered</t>
        </is>
      </c>
      <c r="D754" s="16" t="inlineStr">
        <is>
          <t>128-18701489193591779</t>
        </is>
      </c>
      <c r="E754" s="16" t="inlineStr">
        <is>
          <t>Delivered</t>
        </is>
      </c>
      <c r="F754" s="16" t="inlineStr">
        <is>
          <t>AIR50W06-2P</t>
        </is>
      </c>
      <c r="G754" s="16" t="inlineStr">
        <is>
          <t>Link Bits Ventilador de piso de 16 pulgadas, 2 unidades, 3 velocidades, motor silencioso, flujo de aire fuerte, altura ajustable, oscilación amplia, ventilador eléctrico para el hogar, ideal para sala, recámara y oficina</t>
        </is>
      </c>
      <c r="H754" s="16" t="inlineStr">
        <is>
          <t>2PZ</t>
        </is>
      </c>
      <c r="I754" s="16" t="n">
        <v>1</v>
      </c>
      <c r="J754" s="17" t="n">
        <v>435</v>
      </c>
      <c r="K754" s="17" t="n">
        <v>568.12</v>
      </c>
      <c r="L754" s="17" t="n">
        <v>0</v>
      </c>
      <c r="M754" s="17" t="n">
        <v>0</v>
      </c>
      <c r="N754" s="17">
        <f>K754*0.08+L754*0.08</f>
        <v/>
      </c>
      <c r="O754" s="17">
        <f>-(K754*0.025+L754*0.025)</f>
        <v/>
      </c>
      <c r="P754" s="17">
        <f>32</f>
        <v/>
      </c>
      <c r="Q754" s="17">
        <f>J754+L754+N754+O754-P754-M754</f>
        <v/>
      </c>
    </row>
    <row r="755">
      <c r="A755" s="16" t="inlineStr">
        <is>
          <t>5.1-5.7</t>
        </is>
      </c>
      <c r="B755" s="16" t="inlineStr">
        <is>
          <t>PO-128-18820406631030940</t>
        </is>
      </c>
      <c r="C755" s="16" t="inlineStr">
        <is>
          <t>Delivered</t>
        </is>
      </c>
      <c r="D755" s="16" t="inlineStr">
        <is>
          <t>128-18820375173750940</t>
        </is>
      </c>
      <c r="E755" s="16" t="inlineStr">
        <is>
          <t>Delivered</t>
        </is>
      </c>
      <c r="F755" s="16" t="inlineStr">
        <is>
          <t>AIR50W06-2P</t>
        </is>
      </c>
      <c r="G755" s="16" t="inlineStr">
        <is>
          <t>Link Bits Ventilador de piso de 16 pulgadas, 2 unidades, 3 velocidades, motor silencioso, flujo de aire fuerte, altura ajustable, oscilación amplia, ventilador eléctrico para el hogar, ideal para sala, recámara y oficina</t>
        </is>
      </c>
      <c r="H755" s="16" t="inlineStr">
        <is>
          <t>2PZ</t>
        </is>
      </c>
      <c r="I755" s="16" t="n">
        <v>1</v>
      </c>
      <c r="J755" s="17" t="n">
        <v>435</v>
      </c>
      <c r="K755" s="17" t="n">
        <v>517.34</v>
      </c>
      <c r="L755" s="17" t="n">
        <v>0</v>
      </c>
      <c r="M755" s="17" t="n">
        <v>0</v>
      </c>
      <c r="N755" s="17">
        <f>K755*0.08+L755*0.08</f>
        <v/>
      </c>
      <c r="O755" s="17">
        <f>-(K755*0.025+L755*0.025)</f>
        <v/>
      </c>
      <c r="P755" s="17">
        <f>32</f>
        <v/>
      </c>
      <c r="Q755" s="17">
        <f>J755+L755+N755+O755-P755-M755</f>
        <v/>
      </c>
    </row>
    <row r="756">
      <c r="A756" s="16" t="inlineStr">
        <is>
          <t>5.1-5.7</t>
        </is>
      </c>
      <c r="B756" s="16" t="inlineStr">
        <is>
          <t>PO-128-18874055322230748</t>
        </is>
      </c>
      <c r="C756" s="16" t="inlineStr">
        <is>
          <t>Delivered</t>
        </is>
      </c>
      <c r="D756" s="16" t="inlineStr">
        <is>
          <t>128-18874040904310748</t>
        </is>
      </c>
      <c r="E756" s="16" t="inlineStr">
        <is>
          <t>Delivered</t>
        </is>
      </c>
      <c r="F756" s="16" t="inlineStr">
        <is>
          <t>KTS-1678N</t>
        </is>
      </c>
      <c r="G756" s="16" t="inlineStr">
        <is>
          <t>Bocina portátil Inalámbrico, de 3 pulgadas, tamaño de bolsillo, 170 g, con asa, compatible con TF, USB y Micro SD, con radio FM y función TWS (True Wireless Stereo), adecuada para relajarse en casa o viajar al aire libre.</t>
        </is>
      </c>
      <c r="H756" s="16" t="inlineStr">
        <is>
          <t>KTS-1678N</t>
        </is>
      </c>
      <c r="I756" s="16" t="n">
        <v>1</v>
      </c>
      <c r="J756" s="17" t="n">
        <v>40</v>
      </c>
      <c r="K756" s="17" t="n">
        <v>46.22</v>
      </c>
      <c r="L756" s="17" t="n">
        <v>25.86</v>
      </c>
      <c r="M756" s="17" t="n">
        <v>0</v>
      </c>
      <c r="N756" s="17">
        <f>K756*0.08+L756*0.08</f>
        <v/>
      </c>
      <c r="O756" s="17">
        <f>-(K756*0.025+L756*0.025)</f>
        <v/>
      </c>
      <c r="P756" s="17">
        <f>32</f>
        <v/>
      </c>
      <c r="Q756" s="17">
        <f>J756+L756+N756+O756-P756-M756</f>
        <v/>
      </c>
    </row>
    <row r="757">
      <c r="A757" s="16" t="inlineStr">
        <is>
          <t>5.1-5.7</t>
        </is>
      </c>
      <c r="B757" s="16" t="inlineStr">
        <is>
          <t>PO-128-18783390884470203</t>
        </is>
      </c>
      <c r="C757" s="16" t="inlineStr">
        <is>
          <t>Delivered</t>
        </is>
      </c>
      <c r="D757" s="16" t="inlineStr">
        <is>
          <t>128-18783411855990203</t>
        </is>
      </c>
      <c r="E757" s="16" t="inlineStr">
        <is>
          <t>Delivered</t>
        </is>
      </c>
      <c r="F757" s="16" t="inlineStr">
        <is>
          <t>BS-22</t>
        </is>
      </c>
      <c r="G757" s="16" t="inlineStr">
        <is>
          <t>link bits Barra de Sonido para TV, 2x2" Altavoces + 2 Membranas de Graves, Sonido Claro ≥80dB, Bluetooth Inalámbrico, Conexiones AUX/USB, Diseño Compacto 76cm, Sonido Envolvente 3D para Cine en Casa, PC, Juegos y Fiestas</t>
        </is>
      </c>
      <c r="H757" s="16" t="inlineStr">
        <is>
          <t>BS-22</t>
        </is>
      </c>
      <c r="I757" s="16" t="n">
        <v>1</v>
      </c>
      <c r="J757" s="17" t="n">
        <v>250</v>
      </c>
      <c r="K757" s="17" t="n">
        <v>231.69</v>
      </c>
      <c r="L757" s="17" t="n">
        <v>0</v>
      </c>
      <c r="M757" s="17" t="n">
        <v>0</v>
      </c>
      <c r="N757" s="17">
        <f>K757*0.08+L757*0.08</f>
        <v/>
      </c>
      <c r="O757" s="17">
        <f>-(K757*0.025+L757*0.025)</f>
        <v/>
      </c>
      <c r="P757" s="17">
        <f>32</f>
        <v/>
      </c>
      <c r="Q757" s="17">
        <f>J757+L757+N757+O757-P757-M757</f>
        <v/>
      </c>
    </row>
    <row r="758">
      <c r="A758" s="16" t="inlineStr">
        <is>
          <t>5.1-5.7</t>
        </is>
      </c>
      <c r="B758" s="16" t="inlineStr">
        <is>
          <t>PO-128-19221914583672581</t>
        </is>
      </c>
      <c r="C758" s="16" t="inlineStr">
        <is>
          <t>Delivered</t>
        </is>
      </c>
      <c r="D758" s="16" t="inlineStr">
        <is>
          <t>128-19221982741112581</t>
        </is>
      </c>
      <c r="E758" s="16" t="inlineStr">
        <is>
          <t>Delivered</t>
        </is>
      </c>
      <c r="F758" s="16" t="inlineStr">
        <is>
          <t>LB02235-azul</t>
        </is>
      </c>
      <c r="G758" s="16" t="inlineStr">
        <is>
          <t>Audífonos Inalámbricos para la Cabeza, Recargables y Multifuncionales - Conectan a Varios Dispositivos, soportan Radio FM, Tarjeta TF y AUX - 4 Horas de Reproducción Musical - Ideal para Trabajo Cotidiano, Juegos y Estudio</t>
        </is>
      </c>
      <c r="H758" s="16" t="inlineStr">
        <is>
          <t>AZUL</t>
        </is>
      </c>
      <c r="I758" s="16" t="n">
        <v>1</v>
      </c>
      <c r="J758" s="17" t="n">
        <v>35</v>
      </c>
      <c r="K758" s="17" t="n">
        <v>5.02</v>
      </c>
      <c r="L758" s="17" t="n">
        <v>25.86</v>
      </c>
      <c r="M758" s="17" t="n">
        <v>0</v>
      </c>
      <c r="N758" s="17">
        <f>K758*0.08+L758*0.08</f>
        <v/>
      </c>
      <c r="O758" s="17">
        <f>-(K758*0.025+L758*0.025)</f>
        <v/>
      </c>
      <c r="P758" s="17">
        <f>32</f>
        <v/>
      </c>
      <c r="Q758" s="17">
        <f>J758+L758+N758+O758-P758-M758</f>
        <v/>
      </c>
    </row>
    <row r="759">
      <c r="A759" s="16" t="inlineStr">
        <is>
          <t>5.1-5.7</t>
        </is>
      </c>
      <c r="B759" s="16" t="inlineStr">
        <is>
          <t>PO-128-18593457111671399</t>
        </is>
      </c>
      <c r="C759" s="16" t="inlineStr">
        <is>
          <t>Delivered</t>
        </is>
      </c>
      <c r="D759" s="16" t="inlineStr">
        <is>
          <t>128-18593512161911399</t>
        </is>
      </c>
      <c r="E759" s="16" t="inlineStr">
        <is>
          <t>Delivered</t>
        </is>
      </c>
      <c r="F759" s="16" t="inlineStr">
        <is>
          <t>MB-185N</t>
        </is>
      </c>
      <c r="G759" s="16" t="inlineStr">
        <is>
          <t>Bocina Radio FM/Reproductor, Compatible con Tarjeta TF, USB, Bluetooth, Aplicable para celular, computadora, Ipad y consola.</t>
        </is>
      </c>
      <c r="H759" s="16" t="inlineStr">
        <is>
          <t>NEGRO/MB-185</t>
        </is>
      </c>
      <c r="I759" s="16" t="n">
        <v>1</v>
      </c>
      <c r="J759" s="17" t="n">
        <v>71.31</v>
      </c>
      <c r="K759" s="17" t="n">
        <v>84.26000000000001</v>
      </c>
      <c r="L759" s="17" t="n">
        <v>25.86</v>
      </c>
      <c r="M759" s="17" t="n">
        <v>0</v>
      </c>
      <c r="N759" s="17">
        <f>K759*0.08+L759*0.08</f>
        <v/>
      </c>
      <c r="O759" s="17">
        <f>-(K759*0.025+L759*0.025)</f>
        <v/>
      </c>
      <c r="P759" s="17">
        <f>32</f>
        <v/>
      </c>
      <c r="Q759" s="17">
        <f>J759+L759+N759+O759-P759-M759</f>
        <v/>
      </c>
    </row>
    <row r="760">
      <c r="A760" s="16" t="inlineStr">
        <is>
          <t>5.1-5.7</t>
        </is>
      </c>
      <c r="B760" s="16" t="inlineStr">
        <is>
          <t>PO-128-19143781110392087</t>
        </is>
      </c>
      <c r="C760" s="16" t="inlineStr">
        <is>
          <t>Delivered</t>
        </is>
      </c>
      <c r="D760" s="16" t="inlineStr">
        <is>
          <t>128-19143791596152087</t>
        </is>
      </c>
      <c r="E760" s="16" t="inlineStr">
        <is>
          <t>Delivered</t>
        </is>
      </c>
      <c r="F760" s="16" t="inlineStr">
        <is>
          <t>LB02235-rojo</t>
        </is>
      </c>
      <c r="G760" s="16" t="inlineStr">
        <is>
          <t>Audífonos Inalámbricos para la Cabeza, Recargables y Multifuncionales - Conectan a Varios Dispositivos, soportan Radio FM, Tarjeta TF y AUX - 4 Horas de Reproducción Musical - Ideal para Trabajo Cotidiano, Juegos y Estudio</t>
        </is>
      </c>
      <c r="H760" s="16" t="inlineStr">
        <is>
          <t>ROJO</t>
        </is>
      </c>
      <c r="I760" s="16" t="n">
        <v>1</v>
      </c>
      <c r="J760" s="17" t="n">
        <v>41</v>
      </c>
      <c r="K760" s="17" t="n">
        <v>54.12</v>
      </c>
      <c r="L760" s="17" t="n">
        <v>25.86</v>
      </c>
      <c r="M760" s="17" t="n">
        <v>0</v>
      </c>
      <c r="N760" s="17">
        <f>K760*0.08+L760*0.08</f>
        <v/>
      </c>
      <c r="O760" s="17">
        <f>-(K760*0.025+L760*0.025)</f>
        <v/>
      </c>
      <c r="P760" s="17">
        <f>32</f>
        <v/>
      </c>
      <c r="Q760" s="17">
        <f>J760+L760+N760+O760-P760-M760</f>
        <v/>
      </c>
    </row>
    <row r="761">
      <c r="A761" s="16" t="inlineStr">
        <is>
          <t>5.1-5.7</t>
        </is>
      </c>
      <c r="B761" s="16" t="inlineStr">
        <is>
          <t>PO-128-19027734968953736</t>
        </is>
      </c>
      <c r="C761" s="16" t="inlineStr">
        <is>
          <t>Delivered</t>
        </is>
      </c>
      <c r="D761" s="16" t="inlineStr">
        <is>
          <t>128-19027839826553736</t>
        </is>
      </c>
      <c r="E761" s="16" t="inlineStr">
        <is>
          <t>Delivered</t>
        </is>
      </c>
      <c r="F761" s="16" t="inlineStr">
        <is>
          <t>MB-185A</t>
        </is>
      </c>
      <c r="G761" s="16" t="inlineStr">
        <is>
          <t>Bocina Radio FM/Reproductor, Compatible con Tarjeta TF, USB, Bluetooth, Aplicable para celular, computadora, Ipad y consola.</t>
        </is>
      </c>
      <c r="H761" s="16" t="inlineStr">
        <is>
          <t>AZUL/MB-185</t>
        </is>
      </c>
      <c r="I761" s="16" t="n">
        <v>1</v>
      </c>
      <c r="J761" s="17" t="n">
        <v>71.31</v>
      </c>
      <c r="K761" s="17" t="n">
        <v>32.54</v>
      </c>
      <c r="L761" s="17" t="n">
        <v>25.86</v>
      </c>
      <c r="M761" s="17" t="n">
        <v>0</v>
      </c>
      <c r="N761" s="17">
        <f>K761*0.08+L761*0.08</f>
        <v/>
      </c>
      <c r="O761" s="17">
        <f>-(K761*0.025+L761*0.025)</f>
        <v/>
      </c>
      <c r="P761" s="17">
        <f>32</f>
        <v/>
      </c>
      <c r="Q761" s="17">
        <f>J761+L761+N761+O761-P761-M761</f>
        <v/>
      </c>
    </row>
    <row r="762">
      <c r="A762" s="16" t="inlineStr">
        <is>
          <t>5.1-5.7</t>
        </is>
      </c>
      <c r="B762" s="16" t="inlineStr">
        <is>
          <t>PO-128-18764770161270376</t>
        </is>
      </c>
      <c r="C762" s="16" t="inlineStr">
        <is>
          <t>Delivered</t>
        </is>
      </c>
      <c r="D762" s="16" t="inlineStr">
        <is>
          <t>128-18764749189750376</t>
        </is>
      </c>
      <c r="E762" s="16" t="inlineStr">
        <is>
          <t>Delivered</t>
        </is>
      </c>
      <c r="F762" s="16" t="inlineStr">
        <is>
          <t>LB02235-negro</t>
        </is>
      </c>
      <c r="G762" s="16" t="inlineStr">
        <is>
          <t>Audífonos Inalámbricos para la Cabeza, Recargables y Multifuncionales - Conectan a Varios Dispositivos, soportan Radio FM, Tarjeta TF y AUX - 4 Horas de Reproducción Musical - Ideal para Trabajo Cotidiano, Juegos y Estudio</t>
        </is>
      </c>
      <c r="H762" s="16" t="inlineStr">
        <is>
          <t>NEGRO</t>
        </is>
      </c>
      <c r="I762" s="16" t="n">
        <v>1</v>
      </c>
      <c r="J762" s="17" t="n">
        <v>35</v>
      </c>
      <c r="K762" s="17" t="n">
        <v>48.12</v>
      </c>
      <c r="L762" s="17" t="n">
        <v>25.86</v>
      </c>
      <c r="M762" s="17" t="n">
        <v>0</v>
      </c>
      <c r="N762" s="17">
        <f>K762*0.08+L762*0.08</f>
        <v/>
      </c>
      <c r="O762" s="17">
        <f>-(K762*0.025+L762*0.025)</f>
        <v/>
      </c>
      <c r="P762" s="17">
        <f>32</f>
        <v/>
      </c>
      <c r="Q762" s="17">
        <f>J762+L762+N762+O762-P762-M762</f>
        <v/>
      </c>
    </row>
    <row r="763">
      <c r="A763" s="16" t="inlineStr">
        <is>
          <t>5.1-5.7</t>
        </is>
      </c>
      <c r="B763" s="16" t="inlineStr">
        <is>
          <t>PO-128-19160779213432945</t>
        </is>
      </c>
      <c r="C763" s="16" t="inlineStr">
        <is>
          <t>Delivered</t>
        </is>
      </c>
      <c r="D763" s="16" t="inlineStr">
        <is>
          <t>128-19160884071032945</t>
        </is>
      </c>
      <c r="E763" s="16" t="inlineStr">
        <is>
          <t>Delivered</t>
        </is>
      </c>
      <c r="F763" s="16" t="inlineStr">
        <is>
          <t>BS-22</t>
        </is>
      </c>
      <c r="G763" s="16" t="inlineStr">
        <is>
          <t>link bits Barra de Sonido para TV, 2x2" Altavoces + 2 Membranas de Graves, Sonido Claro ≥80dB, Bluetooth Inalámbrico, Conexiones AUX/USB, Diseño Compacto 76cm, Sonido Envolvente 3D para Cine en Casa, PC, Juegos y Fiestas</t>
        </is>
      </c>
      <c r="H763" s="16" t="inlineStr">
        <is>
          <t>BS-22</t>
        </is>
      </c>
      <c r="I763" s="16" t="n">
        <v>1</v>
      </c>
      <c r="J763" s="17" t="n">
        <v>250</v>
      </c>
      <c r="K763" s="17" t="n">
        <v>289.61</v>
      </c>
      <c r="L763" s="17" t="n">
        <v>0</v>
      </c>
      <c r="M763" s="17" t="n">
        <v>0</v>
      </c>
      <c r="N763" s="17">
        <f>K763*0.08+L763*0.08</f>
        <v/>
      </c>
      <c r="O763" s="17">
        <f>-(K763*0.025+L763*0.025)</f>
        <v/>
      </c>
      <c r="P763" s="17">
        <f>32</f>
        <v/>
      </c>
      <c r="Q763" s="17">
        <f>J763+L763+N763+O763-P763-M763</f>
        <v/>
      </c>
    </row>
    <row r="764">
      <c r="A764" s="16" t="inlineStr">
        <is>
          <t>5.1-5.7</t>
        </is>
      </c>
      <c r="B764" s="16" t="inlineStr">
        <is>
          <t>PO-128-18860408023670702</t>
        </is>
      </c>
      <c r="C764" s="16" t="inlineStr">
        <is>
          <t>Delivered</t>
        </is>
      </c>
      <c r="D764" s="16" t="inlineStr">
        <is>
          <t>128-18860366080630702</t>
        </is>
      </c>
      <c r="E764" s="16" t="inlineStr">
        <is>
          <t>Delivered</t>
        </is>
      </c>
      <c r="F764" s="16" t="inlineStr">
        <is>
          <t>MB-185R</t>
        </is>
      </c>
      <c r="G764" s="16" t="inlineStr">
        <is>
          <t>Bocina Radio FM/Reproductor, Compatible con Tarjeta TF, USB, Bluetooth, Aplicable para celular, computadora, Ipad y consola.</t>
        </is>
      </c>
      <c r="H764" s="16" t="inlineStr">
        <is>
          <t>ROJO/MB-185</t>
        </is>
      </c>
      <c r="I764" s="16" t="n">
        <v>3</v>
      </c>
      <c r="J764" s="17" t="n">
        <v>213.93</v>
      </c>
      <c r="K764" s="17" t="n">
        <v>238.42</v>
      </c>
      <c r="L764" s="17" t="n">
        <v>0</v>
      </c>
      <c r="M764" s="17" t="n">
        <v>168.52</v>
      </c>
      <c r="N764" s="17">
        <f>K764*0.08+L764*0.08</f>
        <v/>
      </c>
      <c r="O764" s="17">
        <f>-(K764*0.025+L764*0.025)</f>
        <v/>
      </c>
      <c r="P764" s="17">
        <f>32</f>
        <v/>
      </c>
      <c r="Q764" s="17">
        <f>J764+L764+N764+O764-P764-M764</f>
        <v/>
      </c>
    </row>
    <row r="765">
      <c r="A765" s="16" t="inlineStr">
        <is>
          <t>5.1-5.7</t>
        </is>
      </c>
      <c r="B765" s="16" t="inlineStr">
        <is>
          <t>PO-128-18742656246390508</t>
        </is>
      </c>
      <c r="C765" s="16" t="inlineStr">
        <is>
          <t>Delivered</t>
        </is>
      </c>
      <c r="D765" s="16" t="inlineStr">
        <is>
          <t>128-18742614303350508</t>
        </is>
      </c>
      <c r="E765" s="16" t="inlineStr">
        <is>
          <t>Delivered</t>
        </is>
      </c>
      <c r="F765" s="16" t="inlineStr">
        <is>
          <t>MB-185A</t>
        </is>
      </c>
      <c r="G765" s="16" t="inlineStr">
        <is>
          <t>Bocina Radio FM/Reproductor, Compatible con Tarjeta TF, USB, Bluetooth, Aplicable para celular, computadora, Ipad y consola.</t>
        </is>
      </c>
      <c r="H765" s="16" t="inlineStr">
        <is>
          <t>AZUL/MB-185</t>
        </is>
      </c>
      <c r="I765" s="16" t="n">
        <v>1</v>
      </c>
      <c r="J765" s="17" t="n">
        <v>71.31</v>
      </c>
      <c r="K765" s="17" t="n">
        <v>84.26000000000001</v>
      </c>
      <c r="L765" s="17" t="n">
        <v>25.86</v>
      </c>
      <c r="M765" s="17" t="n">
        <v>0</v>
      </c>
      <c r="N765" s="17">
        <f>K765*0.08+L765*0.08</f>
        <v/>
      </c>
      <c r="O765" s="17">
        <f>-(K765*0.025+L765*0.025)</f>
        <v/>
      </c>
      <c r="P765" s="17">
        <f>32</f>
        <v/>
      </c>
      <c r="Q765" s="17">
        <f>J765+L765+N765+O765-P765-M765</f>
        <v/>
      </c>
    </row>
    <row r="766">
      <c r="A766" s="16" t="inlineStr">
        <is>
          <t>5.1-5.7</t>
        </is>
      </c>
      <c r="B766" s="16" t="inlineStr">
        <is>
          <t>PO-128-19041363405433785</t>
        </is>
      </c>
      <c r="C766" s="16" t="inlineStr">
        <is>
          <t>Delivered</t>
        </is>
      </c>
      <c r="D766" s="16" t="inlineStr">
        <is>
          <t>128-19041316219513785</t>
        </is>
      </c>
      <c r="E766" s="16" t="inlineStr">
        <is>
          <t>Delivered</t>
        </is>
      </c>
      <c r="F766" s="16" t="inlineStr">
        <is>
          <t>SA325T</t>
        </is>
      </c>
      <c r="G766" s="16" t="inlineStr">
        <is>
          <t>Subwoofer Portátil Inalámbrico con Luces RGB, Sonido de Alta Potencia y Batería Duradera, TWS TF USB, Perfecto para Campamento Fiestas y Entretenimiento en Casa</t>
        </is>
      </c>
      <c r="H766" s="16" t="inlineStr">
        <is>
          <t>NEGRO</t>
        </is>
      </c>
      <c r="I766" s="16" t="n">
        <v>1</v>
      </c>
      <c r="J766" s="17" t="n">
        <v>36</v>
      </c>
      <c r="K766" s="17" t="n">
        <v>45.06</v>
      </c>
      <c r="L766" s="17" t="n">
        <v>25.86</v>
      </c>
      <c r="M766" s="17" t="n">
        <v>0</v>
      </c>
      <c r="N766" s="17">
        <f>K766*0.08+L766*0.08</f>
        <v/>
      </c>
      <c r="O766" s="17">
        <f>-(K766*0.025+L766*0.025)</f>
        <v/>
      </c>
      <c r="P766" s="17">
        <f>32</f>
        <v/>
      </c>
      <c r="Q766" s="17">
        <f>J766+L766+N766+O766-P766-M766</f>
        <v/>
      </c>
    </row>
    <row r="767">
      <c r="A767" s="16" t="inlineStr">
        <is>
          <t>5.1-5.7</t>
        </is>
      </c>
      <c r="B767" s="16" t="inlineStr">
        <is>
          <t>PO-128-18597222666871182</t>
        </is>
      </c>
      <c r="C767" s="16" t="inlineStr">
        <is>
          <t>Delivered</t>
        </is>
      </c>
      <c r="D767" s="16" t="inlineStr">
        <is>
          <t>128-18597358981751182</t>
        </is>
      </c>
      <c r="E767" s="16" t="inlineStr">
        <is>
          <t>Delivered</t>
        </is>
      </c>
      <c r="F767" s="16" t="inlineStr">
        <is>
          <t>MB-185N</t>
        </is>
      </c>
      <c r="G767" s="16" t="inlineStr">
        <is>
          <t>Bocina Radio FM/Reproductor, Compatible con Tarjeta TF, USB, Bluetooth, Aplicable para celular, computadora, Ipad y consola.</t>
        </is>
      </c>
      <c r="H767" s="16" t="inlineStr">
        <is>
          <t>NEGRO/MB-185</t>
        </is>
      </c>
      <c r="I767" s="16" t="n">
        <v>1</v>
      </c>
      <c r="J767" s="17" t="n">
        <v>71.31</v>
      </c>
      <c r="K767" s="17" t="n">
        <v>84.26000000000001</v>
      </c>
      <c r="L767" s="17" t="n">
        <v>25.86</v>
      </c>
      <c r="M767" s="17" t="n">
        <v>0</v>
      </c>
      <c r="N767" s="17">
        <f>K767*0.08+L767*0.08</f>
        <v/>
      </c>
      <c r="O767" s="17">
        <f>-(K767*0.025+L767*0.025)</f>
        <v/>
      </c>
      <c r="P767" s="17">
        <f>32</f>
        <v/>
      </c>
      <c r="Q767" s="17">
        <f>J767+L767+N767+O767-P767-M767</f>
        <v/>
      </c>
    </row>
    <row r="768">
      <c r="A768" s="16" t="inlineStr">
        <is>
          <t>5.1-5.7</t>
        </is>
      </c>
      <c r="B768" s="16" t="inlineStr">
        <is>
          <t>PO-128-19044710421113829</t>
        </is>
      </c>
      <c r="C768" s="16" t="inlineStr">
        <is>
          <t>Delivered</t>
        </is>
      </c>
      <c r="D768" s="16" t="inlineStr">
        <is>
          <t>128-19044752364153829</t>
        </is>
      </c>
      <c r="E768" s="16" t="inlineStr">
        <is>
          <t>Delivered</t>
        </is>
      </c>
      <c r="F768" s="16" t="inlineStr">
        <is>
          <t>SA313T-R</t>
        </is>
      </c>
      <c r="G768" s="16" t="inlineStr">
        <is>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768" s="16" t="inlineStr">
        <is>
          <t>SA313T-R</t>
        </is>
      </c>
      <c r="I768" s="16" t="n">
        <v>1</v>
      </c>
      <c r="J768" s="17" t="n">
        <v>48</v>
      </c>
      <c r="K768" s="17" t="n">
        <v>14.96</v>
      </c>
      <c r="L768" s="17" t="n">
        <v>25.86</v>
      </c>
      <c r="M768" s="17" t="n">
        <v>0</v>
      </c>
      <c r="N768" s="17">
        <f>K768*0.08+L768*0.08</f>
        <v/>
      </c>
      <c r="O768" s="17">
        <f>-(K768*0.025+L768*0.025)</f>
        <v/>
      </c>
      <c r="P768" s="17">
        <f>32</f>
        <v/>
      </c>
      <c r="Q768" s="17">
        <f>J768+L768+N768+O768-P768-M768</f>
        <v/>
      </c>
    </row>
    <row r="769">
      <c r="A769" s="16" t="inlineStr">
        <is>
          <t>5.1-5.7</t>
        </is>
      </c>
      <c r="B769" s="16" t="inlineStr">
        <is>
          <t>PO-128-19151420713592169</t>
        </is>
      </c>
      <c r="C769" s="16" t="inlineStr">
        <is>
          <t>Delivered</t>
        </is>
      </c>
      <c r="D769" s="16" t="inlineStr">
        <is>
          <t>128-19151431199352169</t>
        </is>
      </c>
      <c r="E769" s="16" t="inlineStr">
        <is>
          <t>Delivered</t>
        </is>
      </c>
      <c r="F769" s="16" t="inlineStr">
        <is>
          <t>LV34W04</t>
        </is>
      </c>
      <c r="G76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769" s="16" t="inlineStr">
        <is>
          <t>LV34W04</t>
        </is>
      </c>
      <c r="I769" s="16" t="n">
        <v>1</v>
      </c>
      <c r="J769" s="17" t="n">
        <v>197.4</v>
      </c>
      <c r="K769" s="17" t="n">
        <v>234.03</v>
      </c>
      <c r="L769" s="17" t="n">
        <v>25.86</v>
      </c>
      <c r="M769" s="17" t="n">
        <v>0</v>
      </c>
      <c r="N769" s="17">
        <f>K769*0.08+L769*0.08</f>
        <v/>
      </c>
      <c r="O769" s="17">
        <f>-(K769*0.025+L769*0.025)</f>
        <v/>
      </c>
      <c r="P769" s="17">
        <f>32</f>
        <v/>
      </c>
      <c r="Q769" s="17">
        <f>J769+L769+N769+O769-P769-M769</f>
        <v/>
      </c>
    </row>
    <row r="770">
      <c r="A770" s="16" t="inlineStr">
        <is>
          <t>5.1-5.7</t>
        </is>
      </c>
      <c r="B770" s="16" t="inlineStr">
        <is>
          <t>PO-128-18918427167353556</t>
        </is>
      </c>
      <c r="C770" s="16" t="inlineStr">
        <is>
          <t>Delivered</t>
        </is>
      </c>
      <c r="D770" s="16" t="inlineStr">
        <is>
          <t>128-18918479596153556</t>
        </is>
      </c>
      <c r="E770" s="16" t="inlineStr">
        <is>
          <t>Delivered</t>
        </is>
      </c>
      <c r="F770" s="16" t="inlineStr">
        <is>
          <t>MCM-001A</t>
        </is>
      </c>
      <c r="G770" s="16" t="inlineStr">
        <is>
          <t>Musicord Altavoz Inalámbrico BT Portátil: ¡Sonido impactante, luces LED multicolores y 4 horas de autonomía! Compatible con TWS, FM, TF y USB – Imprescindible para fiestas y viajes</t>
        </is>
      </c>
      <c r="H770" s="16" t="inlineStr">
        <is>
          <t>AZUL</t>
        </is>
      </c>
      <c r="I770" s="16" t="n">
        <v>1</v>
      </c>
      <c r="J770" s="17" t="n">
        <v>51.06</v>
      </c>
      <c r="K770" s="17" t="n">
        <v>59.45</v>
      </c>
      <c r="L770" s="17" t="n">
        <v>25.86</v>
      </c>
      <c r="M770" s="17" t="n">
        <v>0</v>
      </c>
      <c r="N770" s="17">
        <f>K770*0.08+L770*0.08</f>
        <v/>
      </c>
      <c r="O770" s="17">
        <f>-(K770*0.025+L770*0.025)</f>
        <v/>
      </c>
      <c r="P770" s="17">
        <f>32</f>
        <v/>
      </c>
      <c r="Q770" s="17">
        <f>J770+L770+N770+O770-P770-M770</f>
        <v/>
      </c>
    </row>
    <row r="771">
      <c r="A771" s="16" t="inlineStr">
        <is>
          <t>5.1-5.7</t>
        </is>
      </c>
      <c r="B771" s="16" t="inlineStr">
        <is>
          <t>PO-128-18758531431030351</t>
        </is>
      </c>
      <c r="C771" s="16" t="inlineStr">
        <is>
          <t>Delivered</t>
        </is>
      </c>
      <c r="D771" s="16" t="inlineStr">
        <is>
          <t>128-18758473759350351</t>
        </is>
      </c>
      <c r="E771" s="16" t="inlineStr">
        <is>
          <t>Delivered</t>
        </is>
      </c>
      <c r="F771" s="16" t="inlineStr">
        <is>
          <t>LB02235-blanco</t>
        </is>
      </c>
      <c r="G771" s="16" t="inlineStr">
        <is>
          <t>Audífonos Inalámbricos para la Cabeza, Recargables y Multifuncionales - Conectan a Varios Dispositivos, soportan Radio FM, Tarjeta TF y AUX - 4 Horas de Reproducción Musical - Ideal para Trabajo Cotidiano, Juegos y Estudio</t>
        </is>
      </c>
      <c r="H771" s="16" t="inlineStr">
        <is>
          <t>BLANCO</t>
        </is>
      </c>
      <c r="I771" s="16" t="n">
        <v>1</v>
      </c>
      <c r="J771" s="17" t="n">
        <v>35</v>
      </c>
      <c r="K771" s="17" t="n">
        <v>36.21</v>
      </c>
      <c r="L771" s="17" t="n">
        <v>25.86</v>
      </c>
      <c r="M771" s="17" t="n">
        <v>0</v>
      </c>
      <c r="N771" s="17">
        <f>K771*0.08+L771*0.08</f>
        <v/>
      </c>
      <c r="O771" s="17">
        <f>-(K771*0.025+L771*0.025)</f>
        <v/>
      </c>
      <c r="P771" s="17">
        <f>32</f>
        <v/>
      </c>
      <c r="Q771" s="17">
        <f>J771+L771+N771+O771-P771-M771</f>
        <v/>
      </c>
    </row>
    <row r="772">
      <c r="A772" s="16" t="inlineStr">
        <is>
          <t>5.1-5.7</t>
        </is>
      </c>
      <c r="B772" s="16" t="inlineStr">
        <is>
          <t>PO-128-18626690417271073</t>
        </is>
      </c>
      <c r="C772" s="16" t="inlineStr">
        <is>
          <t>Delivered</t>
        </is>
      </c>
      <c r="D772" s="16" t="inlineStr">
        <is>
          <t>128-18626711388791073</t>
        </is>
      </c>
      <c r="E772" s="16" t="inlineStr">
        <is>
          <t>Delivered</t>
        </is>
      </c>
      <c r="F772" s="16" t="inlineStr">
        <is>
          <t>LV34W04</t>
        </is>
      </c>
      <c r="G77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772" s="16" t="inlineStr">
        <is>
          <t>LV34W04</t>
        </is>
      </c>
      <c r="I772" s="16" t="n">
        <v>2</v>
      </c>
      <c r="J772" s="17" t="n">
        <v>394.8</v>
      </c>
      <c r="K772" s="17" t="n">
        <v>409.55</v>
      </c>
      <c r="L772" s="17" t="n">
        <v>0</v>
      </c>
      <c r="M772" s="17" t="n">
        <v>0</v>
      </c>
      <c r="N772" s="17">
        <f>K772*0.08+L772*0.08</f>
        <v/>
      </c>
      <c r="O772" s="17">
        <f>-(K772*0.025+L772*0.025)</f>
        <v/>
      </c>
      <c r="P772" s="17">
        <f>32</f>
        <v/>
      </c>
      <c r="Q772" s="17">
        <f>J772+L772+N772+O772-P772-M772</f>
        <v/>
      </c>
    </row>
    <row r="773">
      <c r="A773" s="16" t="inlineStr">
        <is>
          <t>5.1-5.7</t>
        </is>
      </c>
      <c r="B773" s="16" t="inlineStr">
        <is>
          <t>PO-128-19124091239032266</t>
        </is>
      </c>
      <c r="C773" s="16" t="inlineStr">
        <is>
          <t>Delivered</t>
        </is>
      </c>
      <c r="D773" s="16" t="inlineStr">
        <is>
          <t>128-19124070267512266</t>
        </is>
      </c>
      <c r="E773" s="16" t="inlineStr">
        <is>
          <t>Delivered</t>
        </is>
      </c>
      <c r="F773" s="16" t="inlineStr">
        <is>
          <t>AIR50W06-2P</t>
        </is>
      </c>
      <c r="G773" s="16" t="inlineStr">
        <is>
          <t>Link Bits Ventilador de piso de 16 pulgadas, 2 unidades, 3 velocidades, motor silencioso, flujo de aire fuerte, altura ajustable, oscilación amplia, ventilador eléctrico para el hogar, ideal para sala, recámara y oficina</t>
        </is>
      </c>
      <c r="H773" s="16" t="inlineStr">
        <is>
          <t>2PZ</t>
        </is>
      </c>
      <c r="I773" s="16" t="n">
        <v>1</v>
      </c>
      <c r="J773" s="17" t="n">
        <v>435</v>
      </c>
      <c r="K773" s="17" t="n">
        <v>482.9</v>
      </c>
      <c r="L773" s="17" t="n">
        <v>0</v>
      </c>
      <c r="M773" s="17" t="n">
        <v>0</v>
      </c>
      <c r="N773" s="17">
        <f>K773*0.08+L773*0.08</f>
        <v/>
      </c>
      <c r="O773" s="17">
        <f>-(K773*0.025+L773*0.025)</f>
        <v/>
      </c>
      <c r="P773" s="17">
        <f>32</f>
        <v/>
      </c>
      <c r="Q773" s="17">
        <f>J773+L773+N773+O773-P773-M773</f>
        <v/>
      </c>
    </row>
    <row r="774">
      <c r="A774" s="16" t="inlineStr">
        <is>
          <t>5.1-5.7</t>
        </is>
      </c>
      <c r="B774" s="16" t="inlineStr">
        <is>
          <t>PO-128-18938708163193437</t>
        </is>
      </c>
      <c r="C774" s="16" t="inlineStr">
        <is>
          <t>Delivered</t>
        </is>
      </c>
      <c r="D774" s="16" t="inlineStr">
        <is>
          <t>128-18938687191673437</t>
        </is>
      </c>
      <c r="E774" s="16" t="inlineStr">
        <is>
          <t>Delivered</t>
        </is>
      </c>
      <c r="F774" s="16" t="inlineStr">
        <is>
          <t>LB02235-negro</t>
        </is>
      </c>
      <c r="G774" s="16" t="inlineStr">
        <is>
          <t>Audífonos Inalámbricos para la Cabeza, Recargables y Multifuncionales - Conectan a Varios Dispositivos, soportan Radio FM, Tarjeta TF y AUX - 4 Horas de Reproducción Musical - Ideal para Trabajo Cotidiano, Juegos y Estudio</t>
        </is>
      </c>
      <c r="H774" s="16" t="inlineStr">
        <is>
          <t>NEGRO</t>
        </is>
      </c>
      <c r="I774" s="16" t="n">
        <v>1</v>
      </c>
      <c r="J774" s="17" t="n">
        <v>35</v>
      </c>
      <c r="K774" s="17" t="n">
        <v>48.12</v>
      </c>
      <c r="L774" s="17" t="n">
        <v>25.86</v>
      </c>
      <c r="M774" s="17" t="n">
        <v>0</v>
      </c>
      <c r="N774" s="17">
        <f>K774*0.08+L774*0.08</f>
        <v/>
      </c>
      <c r="O774" s="17">
        <f>-(K774*0.025+L774*0.025)</f>
        <v/>
      </c>
      <c r="P774" s="17">
        <f>32</f>
        <v/>
      </c>
      <c r="Q774" s="17">
        <f>J774+L774+N774+O774-P774-M774</f>
        <v/>
      </c>
    </row>
    <row r="775">
      <c r="A775" s="16" t="inlineStr">
        <is>
          <t>5.1-5.7</t>
        </is>
      </c>
      <c r="B775" s="16" t="inlineStr">
        <is>
          <t>PO-128-19226236918392619</t>
        </is>
      </c>
      <c r="C775" s="16" t="inlineStr">
        <is>
          <t>Delivered</t>
        </is>
      </c>
      <c r="D775" s="16" t="inlineStr">
        <is>
          <t>128-19226305075832619</t>
        </is>
      </c>
      <c r="E775" s="16" t="inlineStr">
        <is>
          <t>Delivered</t>
        </is>
      </c>
      <c r="F775" s="16" t="inlineStr">
        <is>
          <t>KTS-1943-N</t>
        </is>
      </c>
      <c r="G775"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775" s="16" t="inlineStr">
        <is>
          <t>NEGRO</t>
        </is>
      </c>
      <c r="I775" s="16" t="n">
        <v>1</v>
      </c>
      <c r="J775" s="17" t="n">
        <v>64</v>
      </c>
      <c r="K775" s="17" t="n">
        <v>79.62</v>
      </c>
      <c r="L775" s="17" t="n">
        <v>25.86</v>
      </c>
      <c r="M775" s="17" t="n">
        <v>0</v>
      </c>
      <c r="N775" s="17">
        <f>K775*0.08+L775*0.08</f>
        <v/>
      </c>
      <c r="O775" s="17">
        <f>-(K775*0.025+L775*0.025)</f>
        <v/>
      </c>
      <c r="P775" s="17">
        <f>32</f>
        <v/>
      </c>
      <c r="Q775" s="17">
        <f>J775+L775+N775+O775-P775-M775</f>
        <v/>
      </c>
    </row>
    <row r="776">
      <c r="A776" s="16" t="inlineStr">
        <is>
          <t>5.1-5.7</t>
        </is>
      </c>
      <c r="B776" s="16" t="inlineStr">
        <is>
          <t>PO-128-18559786916471470</t>
        </is>
      </c>
      <c r="C776" s="16" t="inlineStr">
        <is>
          <t>Delivered</t>
        </is>
      </c>
      <c r="D776" s="16" t="inlineStr">
        <is>
          <t>128-18559744973431470</t>
        </is>
      </c>
      <c r="E776" s="16" t="inlineStr">
        <is>
          <t>Delivered</t>
        </is>
      </c>
      <c r="F776" s="16" t="inlineStr">
        <is>
          <t>LV64W25</t>
        </is>
      </c>
      <c r="G776" s="16" t="inlineStr">
        <is>
          <t>Ventilador de Techo LED TIANLAI con 5 Aspas, Control Remoto, 3 Colores Luz, 3 Velocidades, Temporizador, Fácil Instalación, E27 para Baño Cocina Dormitorio Salón</t>
        </is>
      </c>
      <c r="H776" s="16" t="inlineStr">
        <is>
          <t>LV64W25</t>
        </is>
      </c>
      <c r="I776" s="16" t="n">
        <v>1</v>
      </c>
      <c r="J776" s="17" t="n">
        <v>138</v>
      </c>
      <c r="K776" s="17" t="n">
        <v>181.12</v>
      </c>
      <c r="L776" s="17" t="n">
        <v>25.86</v>
      </c>
      <c r="M776" s="17" t="n">
        <v>0</v>
      </c>
      <c r="N776" s="17">
        <f>K776*0.08+L776*0.08</f>
        <v/>
      </c>
      <c r="O776" s="17">
        <f>-(K776*0.025+L776*0.025)</f>
        <v/>
      </c>
      <c r="P776" s="17">
        <f>32</f>
        <v/>
      </c>
      <c r="Q776" s="17">
        <f>J776+L776+N776+O776-P776-M776</f>
        <v/>
      </c>
    </row>
    <row r="777">
      <c r="A777" s="16" t="inlineStr">
        <is>
          <t>5.1-5.7</t>
        </is>
      </c>
      <c r="B777" s="16" t="inlineStr">
        <is>
          <t>PO-128-18720062259831602</t>
        </is>
      </c>
      <c r="C777" s="16" t="inlineStr">
        <is>
          <t>Delivered</t>
        </is>
      </c>
      <c r="D777" s="16" t="inlineStr">
        <is>
          <t>128-18720075367031602</t>
        </is>
      </c>
      <c r="E777" s="16" t="inlineStr">
        <is>
          <t>Delivered</t>
        </is>
      </c>
      <c r="F777" s="16" t="inlineStr">
        <is>
          <t>AIR50W06-2P</t>
        </is>
      </c>
      <c r="G777" s="16" t="inlineStr">
        <is>
          <t>Link Bits Ventilador de piso de 16 pulgadas, 2 unidades, 3 velocidades, motor silencioso, flujo de aire fuerte, altura ajustable, oscilación amplia, ventilador eléctrico para el hogar, ideal para sala, recámara y oficina</t>
        </is>
      </c>
      <c r="H777" s="16" t="inlineStr">
        <is>
          <t>2PZ</t>
        </is>
      </c>
      <c r="I777" s="16" t="n">
        <v>1</v>
      </c>
      <c r="J777" s="17" t="n">
        <v>435</v>
      </c>
      <c r="K777" s="17" t="n">
        <v>568.12</v>
      </c>
      <c r="L777" s="17" t="n">
        <v>0</v>
      </c>
      <c r="M777" s="17" t="n">
        <v>0</v>
      </c>
      <c r="N777" s="17">
        <f>K777*0.08+L777*0.08</f>
        <v/>
      </c>
      <c r="O777" s="17">
        <f>-(K777*0.025+L777*0.025)</f>
        <v/>
      </c>
      <c r="P777" s="17">
        <f>32</f>
        <v/>
      </c>
      <c r="Q777" s="17">
        <f>J777+L777+N777+O777-P777-M777</f>
        <v/>
      </c>
    </row>
    <row r="778">
      <c r="A778" s="16" t="inlineStr">
        <is>
          <t>5.1-5.7</t>
        </is>
      </c>
      <c r="B778" s="16" t="inlineStr">
        <is>
          <t>PO-128-18685164339831682</t>
        </is>
      </c>
      <c r="C778" s="16" t="inlineStr">
        <is>
          <t>Delivered</t>
        </is>
      </c>
      <c r="D778" s="16" t="inlineStr">
        <is>
          <t>128-18685139436151682</t>
        </is>
      </c>
      <c r="E778" s="16" t="inlineStr">
        <is>
          <t>Delivered</t>
        </is>
      </c>
      <c r="F778" s="16" t="inlineStr">
        <is>
          <t>MCM-001G</t>
        </is>
      </c>
      <c r="G778" s="16" t="inlineStr">
        <is>
          <t>Musicord Altavoz Inalámbrico BT Portátil: ¡Sonido impactante, luces LED multicolores y 4 horas de autonomía! Compatible con TWS, FM, TF y USB – Imprescindible para fiestas y viajes</t>
        </is>
      </c>
      <c r="H778" s="16" t="inlineStr">
        <is>
          <t>GRIS</t>
        </is>
      </c>
      <c r="I778" s="16" t="n">
        <v>1</v>
      </c>
      <c r="J778" s="17" t="n">
        <v>51.06</v>
      </c>
      <c r="K778" s="17" t="n">
        <v>52.99</v>
      </c>
      <c r="L778" s="17" t="n">
        <v>25.86</v>
      </c>
      <c r="M778" s="17" t="n">
        <v>0</v>
      </c>
      <c r="N778" s="17">
        <f>K778*0.08+L778*0.08</f>
        <v/>
      </c>
      <c r="O778" s="17">
        <f>-(K778*0.025+L778*0.025)</f>
        <v/>
      </c>
      <c r="P778" s="17">
        <f>32</f>
        <v/>
      </c>
      <c r="Q778" s="17">
        <f>J778+L778+N778+O778-P778-M778</f>
        <v/>
      </c>
    </row>
    <row r="779">
      <c r="A779" s="16" t="inlineStr">
        <is>
          <t>5.1-5.7</t>
        </is>
      </c>
      <c r="B779" s="16" t="inlineStr">
        <is>
          <t>PO-128-18654512732791995</t>
        </is>
      </c>
      <c r="C779" s="16" t="inlineStr">
        <is>
          <t>Delivered</t>
        </is>
      </c>
      <c r="D779" s="16" t="inlineStr">
        <is>
          <t>128-18654570404471995</t>
        </is>
      </c>
      <c r="E779" s="16" t="inlineStr">
        <is>
          <t>Delivered</t>
        </is>
      </c>
      <c r="F779" s="16" t="inlineStr">
        <is>
          <t>MB-185N</t>
        </is>
      </c>
      <c r="G779" s="16" t="inlineStr">
        <is>
          <t>Bocina Radio FM/Reproductor, Compatible con Tarjeta TF, USB, Bluetooth, Aplicable para celular, computadora, Ipad y consola.</t>
        </is>
      </c>
      <c r="H779" s="16" t="inlineStr">
        <is>
          <t>NEGRO/MB-185</t>
        </is>
      </c>
      <c r="I779" s="16" t="n">
        <v>1</v>
      </c>
      <c r="J779" s="17" t="n">
        <v>71.31</v>
      </c>
      <c r="K779" s="17" t="n">
        <v>84.26000000000001</v>
      </c>
      <c r="L779" s="17" t="n">
        <v>25.86</v>
      </c>
      <c r="M779" s="17" t="n">
        <v>0</v>
      </c>
      <c r="N779" s="17">
        <f>K779*0.08+L779*0.08</f>
        <v/>
      </c>
      <c r="O779" s="17">
        <f>-(K779*0.025+L779*0.025)</f>
        <v/>
      </c>
      <c r="P779" s="17">
        <f>32</f>
        <v/>
      </c>
      <c r="Q779" s="17">
        <f>J779+L779+N779+O779-P779-M779</f>
        <v/>
      </c>
    </row>
    <row r="780">
      <c r="A780" s="16" t="inlineStr">
        <is>
          <t>5.1-5.7</t>
        </is>
      </c>
      <c r="B780" s="16" t="inlineStr">
        <is>
          <t>PO-128-18880385475190521</t>
        </is>
      </c>
      <c r="C780" s="16" t="inlineStr">
        <is>
          <t>Delivered</t>
        </is>
      </c>
      <c r="D780" s="16" t="inlineStr">
        <is>
          <t>128-18880301589110521</t>
        </is>
      </c>
      <c r="E780" s="16" t="inlineStr">
        <is>
          <t>Delivered</t>
        </is>
      </c>
      <c r="F780" s="16" t="inlineStr">
        <is>
          <t>BS-22</t>
        </is>
      </c>
      <c r="G780" s="16" t="inlineStr">
        <is>
          <t>link bits Barra de Sonido para TV, 2x2" Altavoces + 2 Membranas de Graves, Sonido Claro ≥80dB, Bluetooth Inalámbrico, Conexiones AUX/USB, Diseño Compacto 76cm, Sonido Envolvente 3D para Cine en Casa, PC, Juegos y Fiestas</t>
        </is>
      </c>
      <c r="H780" s="16" t="inlineStr">
        <is>
          <t>BS-22</t>
        </is>
      </c>
      <c r="I780" s="16" t="n">
        <v>1</v>
      </c>
      <c r="J780" s="17" t="n">
        <v>250</v>
      </c>
      <c r="K780" s="17" t="n">
        <v>231.7</v>
      </c>
      <c r="L780" s="17" t="n">
        <v>0</v>
      </c>
      <c r="M780" s="17" t="n">
        <v>0</v>
      </c>
      <c r="N780" s="17">
        <f>K780*0.08+L780*0.08</f>
        <v/>
      </c>
      <c r="O780" s="17">
        <f>-(K780*0.025+L780*0.025)</f>
        <v/>
      </c>
      <c r="P780" s="17">
        <f>32</f>
        <v/>
      </c>
      <c r="Q780" s="17">
        <f>J780+L780+N780+O780-P780-M780</f>
        <v/>
      </c>
    </row>
    <row r="781">
      <c r="A781" s="16" t="inlineStr">
        <is>
          <t>5.1-5.7</t>
        </is>
      </c>
      <c r="B781" s="16" t="inlineStr">
        <is>
          <t>PO-128-18880385475190521</t>
        </is>
      </c>
      <c r="C781" s="16" t="inlineStr">
        <is>
          <t>Delivered</t>
        </is>
      </c>
      <c r="D781" s="16" t="inlineStr">
        <is>
          <t>128-18880343532150521</t>
        </is>
      </c>
      <c r="E781" s="16" t="inlineStr">
        <is>
          <t>Delivered</t>
        </is>
      </c>
      <c r="F781" s="16" t="inlineStr">
        <is>
          <t>FA028</t>
        </is>
      </c>
      <c r="G781" s="16" t="inlineStr">
        <is>
          <t>Extractor de agua para garrafas de agua, compatible con carga USB, extractor de agua automático, práctico, con dos modos de toma de agua: manual y programado, ideal para dormitorios, salones, oficinas, uso al aire libre y otros escenarios.</t>
        </is>
      </c>
      <c r="H781" s="16" t="inlineStr">
        <is>
          <t>FA028</t>
        </is>
      </c>
      <c r="I781" s="16" t="n">
        <v>2</v>
      </c>
      <c r="J781" s="17" t="n">
        <v>61.98</v>
      </c>
      <c r="K781" s="17" t="n">
        <v>64.91</v>
      </c>
      <c r="L781" s="17" t="n">
        <v>0</v>
      </c>
      <c r="M781" s="17" t="n">
        <v>0</v>
      </c>
      <c r="N781" s="17">
        <f>K781*0.08+L781*0.08</f>
        <v/>
      </c>
      <c r="O781" s="17">
        <f>-(K781*0.025+L781*0.025)</f>
        <v/>
      </c>
      <c r="P781" s="17">
        <f>32</f>
        <v/>
      </c>
      <c r="Q781" s="17">
        <f>J781+L781+N781+O781-P781-M781</f>
        <v/>
      </c>
    </row>
    <row r="782">
      <c r="A782" s="16" t="inlineStr">
        <is>
          <t>5.1-5.7</t>
        </is>
      </c>
      <c r="B782" s="16" t="inlineStr">
        <is>
          <t>PO-128-18922321879673343</t>
        </is>
      </c>
      <c r="C782" s="16" t="inlineStr">
        <is>
          <t>Delivered</t>
        </is>
      </c>
      <c r="D782" s="16" t="inlineStr">
        <is>
          <t>128-18922279936633343</t>
        </is>
      </c>
      <c r="E782" s="16" t="inlineStr">
        <is>
          <t>Delivered</t>
        </is>
      </c>
      <c r="F782" s="16" t="inlineStr">
        <is>
          <t>KTS-1943-R</t>
        </is>
      </c>
      <c r="G782"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782" s="16" t="inlineStr">
        <is>
          <t>ROJO</t>
        </is>
      </c>
      <c r="I782" s="16" t="n">
        <v>1</v>
      </c>
      <c r="J782" s="17" t="n">
        <v>74</v>
      </c>
      <c r="K782" s="17" t="n">
        <v>46.52</v>
      </c>
      <c r="L782" s="17" t="n">
        <v>25.86</v>
      </c>
      <c r="M782" s="17" t="n">
        <v>0</v>
      </c>
      <c r="N782" s="17">
        <f>K782*0.08+L782*0.08</f>
        <v/>
      </c>
      <c r="O782" s="17">
        <f>-(K782*0.025+L782*0.025)</f>
        <v/>
      </c>
      <c r="P782" s="17">
        <f>32</f>
        <v/>
      </c>
      <c r="Q782" s="17">
        <f>J782+L782+N782+O782-P782-M782</f>
        <v/>
      </c>
    </row>
    <row r="783">
      <c r="A783" s="16" t="inlineStr">
        <is>
          <t>5.1-5.7</t>
        </is>
      </c>
      <c r="B783" s="16" t="inlineStr">
        <is>
          <t>PO-128-18990035743354027</t>
        </is>
      </c>
      <c r="C783" s="16" t="inlineStr">
        <is>
          <t>Delivered</t>
        </is>
      </c>
      <c r="D783" s="16" t="inlineStr">
        <is>
          <t>128-18990014771834027</t>
        </is>
      </c>
      <c r="E783" s="16" t="inlineStr">
        <is>
          <t>Delivered</t>
        </is>
      </c>
      <c r="F783" s="16" t="inlineStr">
        <is>
          <t>LB02235-negro</t>
        </is>
      </c>
      <c r="G783" s="16" t="inlineStr">
        <is>
          <t>Audífonos Inalámbricos para la Cabeza, Recargables y Multifuncionales - Conectan a Varios Dispositivos, soportan Radio FM, Tarjeta TF y AUX - 4 Horas de Reproducción Musical - Ideal para Trabajo Cotidiano, Juegos y Estudio</t>
        </is>
      </c>
      <c r="H783" s="16" t="inlineStr">
        <is>
          <t>NEGRO</t>
        </is>
      </c>
      <c r="I783" s="16" t="n">
        <v>1</v>
      </c>
      <c r="J783" s="17" t="n">
        <v>35</v>
      </c>
      <c r="K783" s="17" t="n">
        <v>48.12</v>
      </c>
      <c r="L783" s="17" t="n">
        <v>25.86</v>
      </c>
      <c r="M783" s="17" t="n">
        <v>0</v>
      </c>
      <c r="N783" s="17">
        <f>K783*0.08+L783*0.08</f>
        <v/>
      </c>
      <c r="O783" s="17">
        <f>-(K783*0.025+L783*0.025)</f>
        <v/>
      </c>
      <c r="P783" s="17">
        <f>32</f>
        <v/>
      </c>
      <c r="Q783" s="17">
        <f>J783+L783+N783+O783-P783-M783</f>
        <v/>
      </c>
    </row>
    <row r="784">
      <c r="A784" s="16" t="inlineStr">
        <is>
          <t>5.1-5.7</t>
        </is>
      </c>
      <c r="B784" s="16" t="inlineStr">
        <is>
          <t>PO-128-19027150807673740</t>
        </is>
      </c>
      <c r="C784" s="16" t="inlineStr">
        <is>
          <t>Delivered</t>
        </is>
      </c>
      <c r="D784" s="16" t="inlineStr">
        <is>
          <t>128-19027077284473740</t>
        </is>
      </c>
      <c r="E784" s="16" t="inlineStr">
        <is>
          <t>Delivered</t>
        </is>
      </c>
      <c r="F784" s="16" t="inlineStr">
        <is>
          <t>MCM-001A</t>
        </is>
      </c>
      <c r="G784" s="16" t="inlineStr">
        <is>
          <t>Musicord Altavoz Inalámbrico BT Portátil: ¡Sonido impactante, luces LED multicolores y 4 horas de autonomía! Compatible con TWS, FM, TF y USB – Imprescindible para fiestas y viajes</t>
        </is>
      </c>
      <c r="H784" s="16" t="inlineStr">
        <is>
          <t>AZUL</t>
        </is>
      </c>
      <c r="I784" s="16" t="n">
        <v>1</v>
      </c>
      <c r="J784" s="17" t="n">
        <v>51.06</v>
      </c>
      <c r="K784" s="17" t="n">
        <v>52.13</v>
      </c>
      <c r="L784" s="17" t="n">
        <v>13.54</v>
      </c>
      <c r="M784" s="17" t="n">
        <v>0</v>
      </c>
      <c r="N784" s="17">
        <f>K784*0.08+L784*0.08</f>
        <v/>
      </c>
      <c r="O784" s="17">
        <f>-(K784*0.025+L784*0.025)</f>
        <v/>
      </c>
      <c r="P784" s="17">
        <f>32</f>
        <v/>
      </c>
      <c r="Q784" s="17">
        <f>J784+L784+N784+O784-P784-M784</f>
        <v/>
      </c>
    </row>
    <row r="785">
      <c r="A785" s="16" t="inlineStr">
        <is>
          <t>5.1-5.7</t>
        </is>
      </c>
      <c r="B785" s="16" t="inlineStr">
        <is>
          <t>PO-128-19027150807673740</t>
        </is>
      </c>
      <c r="C785" s="16" t="inlineStr">
        <is>
          <t>Delivered</t>
        </is>
      </c>
      <c r="D785" s="16" t="inlineStr">
        <is>
          <t>128-19027072164473740</t>
        </is>
      </c>
      <c r="E785" s="16" t="inlineStr">
        <is>
          <t>Delivered</t>
        </is>
      </c>
      <c r="F785" s="16" t="inlineStr">
        <is>
          <t>LB02235-rojo</t>
        </is>
      </c>
      <c r="G785" s="16" t="inlineStr">
        <is>
          <t>Audífonos Inalámbricos para la Cabeza, Recargables y Multifuncionales - Conectan a Varios Dispositivos, soportan Radio FM, Tarjeta TF y AUX - 4 Horas de Reproducción Musical - Ideal para Trabajo Cotidiano, Juegos y Estudio</t>
        </is>
      </c>
      <c r="H785" s="16" t="inlineStr">
        <is>
          <t>ROJO</t>
        </is>
      </c>
      <c r="I785" s="16" t="n">
        <v>1</v>
      </c>
      <c r="J785" s="17" t="n">
        <v>41</v>
      </c>
      <c r="K785" s="17" t="n">
        <v>47.46</v>
      </c>
      <c r="L785" s="17" t="n">
        <v>12.32</v>
      </c>
      <c r="M785" s="17" t="n">
        <v>0</v>
      </c>
      <c r="N785" s="17">
        <f>K785*0.08+L785*0.08</f>
        <v/>
      </c>
      <c r="O785" s="17">
        <f>-(K785*0.025+L785*0.025)</f>
        <v/>
      </c>
      <c r="P785" s="17">
        <f>32</f>
        <v/>
      </c>
      <c r="Q785" s="17">
        <f>J785+L785+N785+O785-P785-M785</f>
        <v/>
      </c>
    </row>
    <row r="786">
      <c r="A786" s="16" t="inlineStr">
        <is>
          <t>5.1-5.7</t>
        </is>
      </c>
      <c r="B786" s="16" t="inlineStr">
        <is>
          <t>PO-128-19131016110712291</t>
        </is>
      </c>
      <c r="C786" s="16" t="inlineStr">
        <is>
          <t>Delivered</t>
        </is>
      </c>
      <c r="D786" s="16" t="inlineStr">
        <is>
          <t>128-19131037082232291</t>
        </is>
      </c>
      <c r="E786" s="16" t="inlineStr">
        <is>
          <t>Delivered</t>
        </is>
      </c>
      <c r="F786" s="16" t="inlineStr">
        <is>
          <t>LB02235-negro</t>
        </is>
      </c>
      <c r="G786" s="16" t="inlineStr">
        <is>
          <t>Audífonos Inalámbricos para la Cabeza, Recargables y Multifuncionales - Conectan a Varios Dispositivos, soportan Radio FM, Tarjeta TF y AUX - 4 Horas de Reproducción Musical - Ideal para Trabajo Cotidiano, Juegos y Estudio</t>
        </is>
      </c>
      <c r="H786" s="16" t="inlineStr">
        <is>
          <t>NEGRO</t>
        </is>
      </c>
      <c r="I786" s="16" t="n">
        <v>1</v>
      </c>
      <c r="J786" s="17" t="n">
        <v>35</v>
      </c>
      <c r="K786" s="17" t="n">
        <v>33.7</v>
      </c>
      <c r="L786" s="17" t="n">
        <v>12.94</v>
      </c>
      <c r="M786" s="17" t="n">
        <v>0</v>
      </c>
      <c r="N786" s="17">
        <f>K786*0.08+L786*0.08</f>
        <v/>
      </c>
      <c r="O786" s="17">
        <f>-(K786*0.025+L786*0.025)</f>
        <v/>
      </c>
      <c r="P786" s="17">
        <f>32</f>
        <v/>
      </c>
      <c r="Q786" s="17">
        <f>J786+L786+N786+O786-P786-M786</f>
        <v/>
      </c>
    </row>
    <row r="787">
      <c r="A787" s="16" t="inlineStr">
        <is>
          <t>5.1-5.7</t>
        </is>
      </c>
      <c r="B787" s="16" t="inlineStr">
        <is>
          <t>PO-128-19131016110712291</t>
        </is>
      </c>
      <c r="C787" s="16" t="inlineStr">
        <is>
          <t>Delivered</t>
        </is>
      </c>
      <c r="D787" s="16" t="inlineStr">
        <is>
          <t>128-19130953196152291</t>
        </is>
      </c>
      <c r="E787" s="16" t="inlineStr">
        <is>
          <t>Delivered</t>
        </is>
      </c>
      <c r="F787" s="16" t="inlineStr">
        <is>
          <t>LB02235-blanco</t>
        </is>
      </c>
      <c r="G787" s="16" t="inlineStr">
        <is>
          <t>Audífonos Inalámbricos para la Cabeza, Recargables y Multifuncionales - Conectan a Varios Dispositivos, soportan Radio FM, Tarjeta TF y AUX - 4 Horas de Reproducción Musical - Ideal para Trabajo Cotidiano, Juegos y Estudio</t>
        </is>
      </c>
      <c r="H787" s="16" t="inlineStr">
        <is>
          <t>BLANCO</t>
        </is>
      </c>
      <c r="I787" s="16" t="n">
        <v>1</v>
      </c>
      <c r="J787" s="17" t="n">
        <v>35</v>
      </c>
      <c r="K787" s="17" t="n">
        <v>33.68</v>
      </c>
      <c r="L787" s="17" t="n">
        <v>12.92</v>
      </c>
      <c r="M787" s="17" t="n">
        <v>0</v>
      </c>
      <c r="N787" s="17">
        <f>K787*0.08+L787*0.08</f>
        <v/>
      </c>
      <c r="O787" s="17">
        <f>-(K787*0.025+L787*0.025)</f>
        <v/>
      </c>
      <c r="P787" s="17">
        <f>32</f>
        <v/>
      </c>
      <c r="Q787" s="17">
        <f>J787+L787+N787+O787-P787-M787</f>
        <v/>
      </c>
    </row>
    <row r="788">
      <c r="A788" s="16" t="inlineStr">
        <is>
          <t>5.1-5.7</t>
        </is>
      </c>
      <c r="B788" s="16" t="inlineStr">
        <is>
          <t>PO-128-18788686193270235</t>
        </is>
      </c>
      <c r="C788" s="16" t="inlineStr">
        <is>
          <t>Delivered</t>
        </is>
      </c>
      <c r="D788" s="16" t="inlineStr">
        <is>
          <t>128-18788680950390235</t>
        </is>
      </c>
      <c r="E788" s="16" t="inlineStr">
        <is>
          <t>Delivered</t>
        </is>
      </c>
      <c r="F788" s="16" t="inlineStr">
        <is>
          <t>FA028</t>
        </is>
      </c>
      <c r="G788" s="16" t="inlineStr">
        <is>
          <t>Extractor de agua para garrafas de agua, compatible con carga USB, extractor de agua automático, práctico, con dos modos de toma de agua: manual y programado, ideal para dormitorios, salones, oficinas, uso al aire libre y otros escenarios.</t>
        </is>
      </c>
      <c r="H788" s="16" t="inlineStr">
        <is>
          <t>FA028</t>
        </is>
      </c>
      <c r="I788" s="16" t="n">
        <v>1</v>
      </c>
      <c r="J788" s="17" t="n">
        <v>30.99</v>
      </c>
      <c r="K788" s="17" t="n">
        <v>40.57</v>
      </c>
      <c r="L788" s="17" t="n">
        <v>25.86</v>
      </c>
      <c r="M788" s="17" t="n">
        <v>0</v>
      </c>
      <c r="N788" s="17">
        <f>K788*0.08+L788*0.08</f>
        <v/>
      </c>
      <c r="O788" s="17">
        <f>-(K788*0.025+L788*0.025)</f>
        <v/>
      </c>
      <c r="P788" s="17">
        <f>32</f>
        <v/>
      </c>
      <c r="Q788" s="17">
        <f>J788+L788+N788+O788-P788-M788</f>
        <v/>
      </c>
    </row>
    <row r="789">
      <c r="A789" s="16" t="inlineStr">
        <is>
          <t>5.1-5.7</t>
        </is>
      </c>
      <c r="B789" s="16" t="inlineStr">
        <is>
          <t>PO-128-18815664015990904</t>
        </is>
      </c>
      <c r="C789" s="16" t="inlineStr">
        <is>
          <t>Delivered</t>
        </is>
      </c>
      <c r="D789" s="16" t="inlineStr">
        <is>
          <t>128-18815716444790904</t>
        </is>
      </c>
      <c r="E789" s="16" t="inlineStr">
        <is>
          <t>Delivered</t>
        </is>
      </c>
      <c r="F789" s="16" t="inlineStr">
        <is>
          <t>LB02235-blanco</t>
        </is>
      </c>
      <c r="G789" s="16" t="inlineStr">
        <is>
          <t>Audífonos Inalámbricos para la Cabeza, Recargables y Multifuncionales - Conectan a Varios Dispositivos, soportan Radio FM, Tarjeta TF y AUX - 4 Horas de Reproducción Musical - Ideal para Trabajo Cotidiano, Juegos y Estudio</t>
        </is>
      </c>
      <c r="H789" s="16" t="inlineStr">
        <is>
          <t>BLANCO</t>
        </is>
      </c>
      <c r="I789" s="16" t="n">
        <v>1</v>
      </c>
      <c r="J789" s="17" t="n">
        <v>36.5</v>
      </c>
      <c r="K789" s="17" t="n">
        <v>49.62</v>
      </c>
      <c r="L789" s="17" t="n">
        <v>25.86</v>
      </c>
      <c r="M789" s="17" t="n">
        <v>0</v>
      </c>
      <c r="N789" s="17">
        <f>K789*0.08+L789*0.08</f>
        <v/>
      </c>
      <c r="O789" s="17">
        <f>-(K789*0.025+L789*0.025)</f>
        <v/>
      </c>
      <c r="P789" s="17">
        <f>32</f>
        <v/>
      </c>
      <c r="Q789" s="17">
        <f>J789+L789+N789+O789-P789-M789</f>
        <v/>
      </c>
    </row>
    <row r="790">
      <c r="A790" s="16" t="inlineStr">
        <is>
          <t>5.1-5.7</t>
        </is>
      </c>
      <c r="B790" s="16" t="inlineStr">
        <is>
          <t>PO-128-18606024254071194</t>
        </is>
      </c>
      <c r="C790" s="16" t="inlineStr">
        <is>
          <t>Delivered</t>
        </is>
      </c>
      <c r="D790" s="16" t="inlineStr">
        <is>
          <t>128-18606092411511194</t>
        </is>
      </c>
      <c r="E790" s="16" t="inlineStr">
        <is>
          <t>Delivered</t>
        </is>
      </c>
      <c r="F790" s="16" t="inlineStr">
        <is>
          <t>AIR50W06-2P</t>
        </is>
      </c>
      <c r="G790" s="16" t="inlineStr">
        <is>
          <t>Link Bits Ventilador de piso de 16 pulgadas, 2 unidades, 3 velocidades, motor silencioso, flujo de aire fuerte, altura ajustable, oscilación amplia, ventilador eléctrico para el hogar, ideal para sala, recámara y oficina</t>
        </is>
      </c>
      <c r="H790" s="16" t="inlineStr">
        <is>
          <t>2PZ</t>
        </is>
      </c>
      <c r="I790" s="16" t="n">
        <v>1</v>
      </c>
      <c r="J790" s="17" t="n">
        <v>435</v>
      </c>
      <c r="K790" s="17" t="n">
        <v>568.12</v>
      </c>
      <c r="L790" s="17" t="n">
        <v>0</v>
      </c>
      <c r="M790" s="17" t="n">
        <v>0</v>
      </c>
      <c r="N790" s="17">
        <f>K790*0.08+L790*0.08</f>
        <v/>
      </c>
      <c r="O790" s="17">
        <f>-(K790*0.025+L790*0.025)</f>
        <v/>
      </c>
      <c r="P790" s="17">
        <f>32</f>
        <v/>
      </c>
      <c r="Q790" s="17">
        <f>J790+L790+N790+O790-P790-M790</f>
        <v/>
      </c>
    </row>
    <row r="791">
      <c r="A791" s="16" t="inlineStr">
        <is>
          <t>5.1-5.7</t>
        </is>
      </c>
      <c r="B791" s="16" t="inlineStr">
        <is>
          <t>PO-128-18928762204793366</t>
        </is>
      </c>
      <c r="C791" s="16" t="inlineStr">
        <is>
          <t>Delivered</t>
        </is>
      </c>
      <c r="D791" s="16" t="inlineStr">
        <is>
          <t>128-18928751719033366</t>
        </is>
      </c>
      <c r="E791" s="16" t="inlineStr">
        <is>
          <t>Delivered</t>
        </is>
      </c>
      <c r="F791" s="16" t="inlineStr">
        <is>
          <t>LB02235-blanco</t>
        </is>
      </c>
      <c r="G791" s="16" t="inlineStr">
        <is>
          <t>Audífonos Inalámbricos para la Cabeza, Recargables y Multifuncionales - Conectan a Varios Dispositivos, soportan Radio FM, Tarjeta TF y AUX - 4 Horas de Reproducción Musical - Ideal para Trabajo Cotidiano, Juegos y Estudio</t>
        </is>
      </c>
      <c r="H791" s="16" t="inlineStr">
        <is>
          <t>BLANCO</t>
        </is>
      </c>
      <c r="I791" s="16" t="n">
        <v>1</v>
      </c>
      <c r="J791" s="17" t="n">
        <v>36.5</v>
      </c>
      <c r="K791" s="17" t="n">
        <v>49.62</v>
      </c>
      <c r="L791" s="17" t="n">
        <v>25.86</v>
      </c>
      <c r="M791" s="17" t="n">
        <v>0</v>
      </c>
      <c r="N791" s="17">
        <f>K791*0.08+L791*0.08</f>
        <v/>
      </c>
      <c r="O791" s="17">
        <f>-(K791*0.025+L791*0.025)</f>
        <v/>
      </c>
      <c r="P791" s="17">
        <f>32</f>
        <v/>
      </c>
      <c r="Q791" s="17">
        <f>J791+L791+N791+O791-P791-M791</f>
        <v/>
      </c>
    </row>
    <row r="792">
      <c r="A792" s="16" t="inlineStr">
        <is>
          <t>5.1-5.7</t>
        </is>
      </c>
      <c r="B792" s="16" t="inlineStr">
        <is>
          <t>PO-128-19152238561912162</t>
        </is>
      </c>
      <c r="C792" s="16" t="inlineStr">
        <is>
          <t>Delivered</t>
        </is>
      </c>
      <c r="D792" s="16" t="inlineStr">
        <is>
          <t>128-19152228076152162</t>
        </is>
      </c>
      <c r="E792" s="16" t="inlineStr">
        <is>
          <t>Delivered</t>
        </is>
      </c>
      <c r="F792" s="16" t="inlineStr">
        <is>
          <t>SA8056T</t>
        </is>
      </c>
      <c r="G79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792" s="16" t="inlineStr">
        <is>
          <t>SA8056T</t>
        </is>
      </c>
      <c r="I792" s="16" t="n">
        <v>1</v>
      </c>
      <c r="J792" s="17" t="n">
        <v>149</v>
      </c>
      <c r="K792" s="17" t="n">
        <v>169.39</v>
      </c>
      <c r="L792" s="17" t="n">
        <v>25.86</v>
      </c>
      <c r="M792" s="17" t="n">
        <v>0</v>
      </c>
      <c r="N792" s="17">
        <f>K792*0.08+L792*0.08</f>
        <v/>
      </c>
      <c r="O792" s="17">
        <f>-(K792*0.025+L792*0.025)</f>
        <v/>
      </c>
      <c r="P792" s="17">
        <f>32</f>
        <v/>
      </c>
      <c r="Q792" s="17">
        <f>J792+L792+N792+O792-P792-M792</f>
        <v/>
      </c>
    </row>
    <row r="793">
      <c r="A793" s="16" t="inlineStr">
        <is>
          <t>5.1-5.7</t>
        </is>
      </c>
      <c r="B793" s="16" t="inlineStr">
        <is>
          <t>PO-128-18714342154871572</t>
        </is>
      </c>
      <c r="C793" s="16" t="inlineStr">
        <is>
          <t>Delivered</t>
        </is>
      </c>
      <c r="D793" s="16" t="inlineStr">
        <is>
          <t>128-18714447012471572</t>
        </is>
      </c>
      <c r="E793" s="16" t="inlineStr">
        <is>
          <t>Delivered</t>
        </is>
      </c>
      <c r="F793" s="16" t="inlineStr">
        <is>
          <t>MCM-001A</t>
        </is>
      </c>
      <c r="G793" s="16" t="inlineStr">
        <is>
          <t>Musicord Altavoz Inalámbrico BT Portátil: ¡Sonido impactante, luces LED multicolores y 4 horas de autonomía! Compatible con TWS, FM, TF y USB – Imprescindible para fiestas y viajes</t>
        </is>
      </c>
      <c r="H793" s="16" t="inlineStr">
        <is>
          <t>AZUL</t>
        </is>
      </c>
      <c r="I793" s="16" t="n">
        <v>1</v>
      </c>
      <c r="J793" s="17" t="n">
        <v>66.5</v>
      </c>
      <c r="K793" s="17" t="n">
        <v>74.90000000000001</v>
      </c>
      <c r="L793" s="17" t="n">
        <v>25.86</v>
      </c>
      <c r="M793" s="17" t="n">
        <v>0</v>
      </c>
      <c r="N793" s="17">
        <f>K793*0.08+L793*0.08</f>
        <v/>
      </c>
      <c r="O793" s="17">
        <f>-(K793*0.025+L793*0.025)</f>
        <v/>
      </c>
      <c r="P793" s="17">
        <f>32</f>
        <v/>
      </c>
      <c r="Q793" s="17">
        <f>J793+L793+N793+O793-P793-M793</f>
        <v/>
      </c>
    </row>
    <row r="794">
      <c r="A794" s="16" t="inlineStr">
        <is>
          <t>5.1-5.7</t>
        </is>
      </c>
      <c r="B794" s="16" t="inlineStr">
        <is>
          <t>PO-128-18631133338231108</t>
        </is>
      </c>
      <c r="C794" s="16" t="inlineStr">
        <is>
          <t>Delivered</t>
        </is>
      </c>
      <c r="D794" s="16" t="inlineStr">
        <is>
          <t>128-18631238195831108</t>
        </is>
      </c>
      <c r="E794" s="16" t="inlineStr">
        <is>
          <t>Delivered</t>
        </is>
      </c>
      <c r="F794" s="16" t="inlineStr">
        <is>
          <t>LB02235-rojo</t>
        </is>
      </c>
      <c r="G794" s="16" t="inlineStr">
        <is>
          <t>Audífonos Inalámbricos para la Cabeza, Recargables y Multifuncionales - Conectan a Varios Dispositivos, soportan Radio FM, Tarjeta TF y AUX - 4 Horas de Reproducción Musical - Ideal para Trabajo Cotidiano, Juegos y Estudio</t>
        </is>
      </c>
      <c r="H794" s="16" t="inlineStr">
        <is>
          <t>ROJO</t>
        </is>
      </c>
      <c r="I794" s="16" t="n">
        <v>1</v>
      </c>
      <c r="J794" s="17" t="n">
        <v>36.5</v>
      </c>
      <c r="K794" s="17" t="n">
        <v>6.52</v>
      </c>
      <c r="L794" s="17" t="n">
        <v>25.86</v>
      </c>
      <c r="M794" s="17" t="n">
        <v>0</v>
      </c>
      <c r="N794" s="17">
        <f>K794*0.08+L794*0.08</f>
        <v/>
      </c>
      <c r="O794" s="17">
        <f>-(K794*0.025+L794*0.025)</f>
        <v/>
      </c>
      <c r="P794" s="17">
        <f>32</f>
        <v/>
      </c>
      <c r="Q794" s="17">
        <f>J794+L794+N794+O794-P794-M794</f>
        <v/>
      </c>
    </row>
    <row r="795">
      <c r="A795" s="16" t="inlineStr">
        <is>
          <t>5.1-5.7</t>
        </is>
      </c>
      <c r="B795" s="16" t="inlineStr">
        <is>
          <t>PO-128-18877235395190539</t>
        </is>
      </c>
      <c r="C795" s="16" t="inlineStr">
        <is>
          <t>Delivered</t>
        </is>
      </c>
      <c r="D795" s="16" t="inlineStr">
        <is>
          <t>128-18877287823990539</t>
        </is>
      </c>
      <c r="E795" s="16" t="inlineStr">
        <is>
          <t>Delivered</t>
        </is>
      </c>
      <c r="F795" s="16" t="inlineStr">
        <is>
          <t>LB02235-negro</t>
        </is>
      </c>
      <c r="G795" s="16" t="inlineStr">
        <is>
          <t>Audífonos Inalámbricos para la Cabeza, Recargables y Multifuncionales - Conectan a Varios Dispositivos, soportan Radio FM, Tarjeta TF y AUX - 4 Horas de Reproducción Musical - Ideal para Trabajo Cotidiano, Juegos y Estudio</t>
        </is>
      </c>
      <c r="H795" s="16" t="inlineStr">
        <is>
          <t>NEGRO</t>
        </is>
      </c>
      <c r="I795" s="16" t="n">
        <v>1</v>
      </c>
      <c r="J795" s="17" t="n">
        <v>36.5</v>
      </c>
      <c r="K795" s="17" t="n">
        <v>49.62</v>
      </c>
      <c r="L795" s="17" t="n">
        <v>25.86</v>
      </c>
      <c r="M795" s="17" t="n">
        <v>1.5</v>
      </c>
      <c r="N795" s="17">
        <f>K795*0.08+L795*0.08</f>
        <v/>
      </c>
      <c r="O795" s="17">
        <f>-(K795*0.025+L795*0.025)</f>
        <v/>
      </c>
      <c r="P795" s="17">
        <f>32</f>
        <v/>
      </c>
      <c r="Q795" s="17">
        <f>J795+L795+N795+O795-P795-M795</f>
        <v/>
      </c>
    </row>
    <row r="796">
      <c r="A796" s="16" t="inlineStr">
        <is>
          <t>5.1-5.7</t>
        </is>
      </c>
      <c r="B796" s="16" t="inlineStr">
        <is>
          <t>PO-128-19135131023992072</t>
        </is>
      </c>
      <c r="C796" s="16" t="inlineStr">
        <is>
          <t>Delivered</t>
        </is>
      </c>
      <c r="D796" s="16" t="inlineStr">
        <is>
          <t>128-19135112673912072</t>
        </is>
      </c>
      <c r="E796" s="16" t="inlineStr">
        <is>
          <t>Delivered</t>
        </is>
      </c>
      <c r="F796" s="16" t="inlineStr">
        <is>
          <t>LB02235-blanco</t>
        </is>
      </c>
      <c r="G796" s="16" t="inlineStr">
        <is>
          <t>Audífonos Inalámbricos para la Cabeza, Recargables y Multifuncionales - Conectan a Varios Dispositivos, soportan Radio FM, Tarjeta TF y AUX - 4 Horas de Reproducción Musical - Ideal para Trabajo Cotidiano, Juegos y Estudio</t>
        </is>
      </c>
      <c r="H796" s="16" t="inlineStr">
        <is>
          <t>BLANCO</t>
        </is>
      </c>
      <c r="I796" s="16" t="n">
        <v>1</v>
      </c>
      <c r="J796" s="17" t="n">
        <v>45.31</v>
      </c>
      <c r="K796" s="17" t="n">
        <v>46.74</v>
      </c>
      <c r="L796" s="17" t="n">
        <v>25.86</v>
      </c>
      <c r="M796" s="17" t="n">
        <v>0</v>
      </c>
      <c r="N796" s="17">
        <f>K796*0.08+L796*0.08</f>
        <v/>
      </c>
      <c r="O796" s="17">
        <f>-(K796*0.025+L796*0.025)</f>
        <v/>
      </c>
      <c r="P796" s="17">
        <f>32</f>
        <v/>
      </c>
      <c r="Q796" s="17">
        <f>J796+L796+N796+O796-P796-M796</f>
        <v/>
      </c>
    </row>
    <row r="797">
      <c r="A797" s="16" t="inlineStr">
        <is>
          <t>5.1-5.7</t>
        </is>
      </c>
      <c r="B797" s="16" t="inlineStr">
        <is>
          <t>PO-128-18896559657590614</t>
        </is>
      </c>
      <c r="C797" s="16" t="inlineStr">
        <is>
          <t>Delivered</t>
        </is>
      </c>
      <c r="D797" s="16" t="inlineStr">
        <is>
          <t>128-18896601600630614</t>
        </is>
      </c>
      <c r="E797" s="16" t="inlineStr">
        <is>
          <t>Delivered</t>
        </is>
      </c>
      <c r="F797" s="16" t="inlineStr">
        <is>
          <t>BS-22</t>
        </is>
      </c>
      <c r="G797" s="16" t="inlineStr">
        <is>
          <t>link bits Barra de Sonido para TV, 2x2" Altavoces + 2 Membranas de Graves, Sonido Claro ≥80dB, Bluetooth Inalámbrico, Conexiones AUX/USB, Diseño Compacto 76cm, Sonido Envolvente 3D para Cine en Casa, PC, Juegos y Fiestas</t>
        </is>
      </c>
      <c r="H797" s="16" t="inlineStr">
        <is>
          <t>BS-22</t>
        </is>
      </c>
      <c r="I797" s="16" t="n">
        <v>1</v>
      </c>
      <c r="J797" s="17" t="n">
        <v>265</v>
      </c>
      <c r="K797" s="17" t="n">
        <v>304.61</v>
      </c>
      <c r="L797" s="17" t="n">
        <v>0</v>
      </c>
      <c r="M797" s="17" t="n">
        <v>0</v>
      </c>
      <c r="N797" s="17">
        <f>K797*0.08+L797*0.08</f>
        <v/>
      </c>
      <c r="O797" s="17">
        <f>-(K797*0.025+L797*0.025)</f>
        <v/>
      </c>
      <c r="P797" s="17">
        <f>32</f>
        <v/>
      </c>
      <c r="Q797" s="17">
        <f>J797+L797+N797+O797-P797-M797</f>
        <v/>
      </c>
    </row>
    <row r="798">
      <c r="A798" s="16" t="inlineStr">
        <is>
          <t>5.1-5.7</t>
        </is>
      </c>
      <c r="B798" s="16" t="inlineStr">
        <is>
          <t>PO-128-18694328750711756</t>
        </is>
      </c>
      <c r="C798" s="16" t="inlineStr">
        <is>
          <t>Delivered</t>
        </is>
      </c>
      <c r="D798" s="16" t="inlineStr">
        <is>
          <t>128-18694286807671756</t>
        </is>
      </c>
      <c r="E798" s="16" t="inlineStr">
        <is>
          <t>Delivered</t>
        </is>
      </c>
      <c r="F798" s="16" t="inlineStr">
        <is>
          <t>AIR50W06-2P</t>
        </is>
      </c>
      <c r="G798" s="16" t="inlineStr">
        <is>
          <t>Link Bits Ventilador de piso de 16 pulgadas, 2 unidades, 3 velocidades, motor silencioso, flujo de aire fuerte, altura ajustable, oscilación amplia, ventilador eléctrico para el hogar, ideal para sala, recámara y oficina</t>
        </is>
      </c>
      <c r="H798" s="16" t="inlineStr">
        <is>
          <t>2PZ</t>
        </is>
      </c>
      <c r="I798" s="16" t="n">
        <v>1</v>
      </c>
      <c r="J798" s="17" t="n">
        <v>437.88</v>
      </c>
      <c r="K798" s="17" t="n">
        <v>428.25</v>
      </c>
      <c r="L798" s="17" t="n">
        <v>0</v>
      </c>
      <c r="M798" s="17" t="n">
        <v>129.98</v>
      </c>
      <c r="N798" s="17">
        <f>K798*0.08+L798*0.08</f>
        <v/>
      </c>
      <c r="O798" s="17">
        <f>-(K798*0.025+L798*0.025)</f>
        <v/>
      </c>
      <c r="P798" s="17">
        <f>32</f>
        <v/>
      </c>
      <c r="Q798" s="17">
        <f>J798+L798+N798+O798-P798-M798</f>
        <v/>
      </c>
    </row>
    <row r="799">
      <c r="A799" s="16" t="inlineStr">
        <is>
          <t>5.1-5.7</t>
        </is>
      </c>
      <c r="B799" s="16" t="inlineStr">
        <is>
          <t>PO-128-18756574567030299</t>
        </is>
      </c>
      <c r="C799" s="16" t="inlineStr">
        <is>
          <t>Delivered</t>
        </is>
      </c>
      <c r="D799" s="16" t="inlineStr">
        <is>
          <t>128-18756587674230299</t>
        </is>
      </c>
      <c r="E799" s="16" t="inlineStr">
        <is>
          <t>Delivered</t>
        </is>
      </c>
      <c r="F799" s="16" t="inlineStr">
        <is>
          <t>MB-185A</t>
        </is>
      </c>
      <c r="G799" s="16" t="inlineStr">
        <is>
          <t>Bocina Radio FM/Reproductor, Compatible con Tarjeta TF, USB, Bluetooth, Aplicable para celular, computadora, Ipad y consola.</t>
        </is>
      </c>
      <c r="H799" s="16" t="inlineStr">
        <is>
          <t>AZUL/MB-185</t>
        </is>
      </c>
      <c r="I799" s="16" t="n">
        <v>1</v>
      </c>
      <c r="J799" s="17" t="n">
        <v>75.5</v>
      </c>
      <c r="K799" s="17" t="n">
        <v>88.45999999999999</v>
      </c>
      <c r="L799" s="17" t="n">
        <v>25.86</v>
      </c>
      <c r="M799" s="17" t="n">
        <v>0</v>
      </c>
      <c r="N799" s="17">
        <f>K799*0.08+L799*0.08</f>
        <v/>
      </c>
      <c r="O799" s="17">
        <f>-(K799*0.025+L799*0.025)</f>
        <v/>
      </c>
      <c r="P799" s="17">
        <f>32</f>
        <v/>
      </c>
      <c r="Q799" s="17">
        <f>J799+L799+N799+O799-P799-M799</f>
        <v/>
      </c>
    </row>
    <row r="800">
      <c r="A800" s="16" t="inlineStr">
        <is>
          <t>5.1-5.7</t>
        </is>
      </c>
      <c r="B800" s="16" t="inlineStr">
        <is>
          <t>PO-128-18637679350391135</t>
        </is>
      </c>
      <c r="C800" s="16" t="inlineStr">
        <is>
          <t>Delivered</t>
        </is>
      </c>
      <c r="D800" s="16" t="inlineStr">
        <is>
          <t>128-18637784207991135</t>
        </is>
      </c>
      <c r="E800" s="16" t="inlineStr">
        <is>
          <t>Delivered</t>
        </is>
      </c>
      <c r="F800" s="16" t="inlineStr">
        <is>
          <t>AIR50W06-2P</t>
        </is>
      </c>
      <c r="G800" s="16" t="inlineStr">
        <is>
          <t>Link Bits Ventilador de piso de 16 pulgadas, 2 unidades, 3 velocidades, motor silencioso, flujo de aire fuerte, altura ajustable, oscilación amplia, ventilador eléctrico para el hogar, ideal para sala, recámara y oficina</t>
        </is>
      </c>
      <c r="H800" s="16" t="inlineStr">
        <is>
          <t>2PZ</t>
        </is>
      </c>
      <c r="I800" s="16" t="n">
        <v>1</v>
      </c>
      <c r="J800" s="17" t="n">
        <v>437.88</v>
      </c>
      <c r="K800" s="17" t="n">
        <v>513.91</v>
      </c>
      <c r="L800" s="17" t="n">
        <v>0</v>
      </c>
      <c r="M800" s="17" t="n">
        <v>0</v>
      </c>
      <c r="N800" s="17">
        <f>K800*0.08+L800*0.08</f>
        <v/>
      </c>
      <c r="O800" s="17">
        <f>-(K800*0.025+L800*0.025)</f>
        <v/>
      </c>
      <c r="P800" s="17">
        <f>32</f>
        <v/>
      </c>
      <c r="Q800" s="17">
        <f>J800+L800+N800+O800-P800-M800</f>
        <v/>
      </c>
    </row>
    <row r="801">
      <c r="A801" s="16" t="inlineStr">
        <is>
          <t>5.1-5.7</t>
        </is>
      </c>
      <c r="B801" s="16" t="inlineStr">
        <is>
          <t>PO-128-18919530005113359</t>
        </is>
      </c>
      <c r="C801" s="16" t="inlineStr">
        <is>
          <t>Delivered</t>
        </is>
      </c>
      <c r="D801" s="16" t="inlineStr">
        <is>
          <t>128-18919634862713359</t>
        </is>
      </c>
      <c r="E801" s="16" t="inlineStr">
        <is>
          <t>Delivered</t>
        </is>
      </c>
      <c r="F801" s="16" t="inlineStr">
        <is>
          <t>LB02235-negro</t>
        </is>
      </c>
      <c r="G801" s="16" t="inlineStr">
        <is>
          <t>Audífonos Inalámbricos para la Cabeza, Recargables y Multifuncionales - Conectan a Varios Dispositivos, soportan Radio FM, Tarjeta TF y AUX - 4 Horas de Reproducción Musical - Ideal para Trabajo Cotidiano, Juegos y Estudio</t>
        </is>
      </c>
      <c r="H801" s="16" t="inlineStr">
        <is>
          <t>NEGRO</t>
        </is>
      </c>
      <c r="I801" s="16" t="n">
        <v>1</v>
      </c>
      <c r="J801" s="17" t="n">
        <v>45.31</v>
      </c>
      <c r="K801" s="17" t="n">
        <v>15.32</v>
      </c>
      <c r="L801" s="17" t="n">
        <v>25.86</v>
      </c>
      <c r="M801" s="17" t="n">
        <v>0</v>
      </c>
      <c r="N801" s="17">
        <f>K801*0.08+L801*0.08</f>
        <v/>
      </c>
      <c r="O801" s="17">
        <f>-(K801*0.025+L801*0.025)</f>
        <v/>
      </c>
      <c r="P801" s="17">
        <f>32</f>
        <v/>
      </c>
      <c r="Q801" s="17">
        <f>J801+L801+N801+O801-P801-M801</f>
        <v/>
      </c>
    </row>
    <row r="802">
      <c r="A802" s="16" t="inlineStr">
        <is>
          <t>5.1-5.7</t>
        </is>
      </c>
      <c r="B802" s="16" t="inlineStr">
        <is>
          <t>PO-128-19071553342072453</t>
        </is>
      </c>
      <c r="C802" s="16" t="inlineStr">
        <is>
          <t>Delivered</t>
        </is>
      </c>
      <c r="D802" s="16" t="inlineStr">
        <is>
          <t>128-19071563827832453</t>
        </is>
      </c>
      <c r="E802" s="16" t="inlineStr">
        <is>
          <t>Delivered</t>
        </is>
      </c>
      <c r="F802" s="16" t="inlineStr">
        <is>
          <t>BS-22</t>
        </is>
      </c>
      <c r="G802" s="16" t="inlineStr">
        <is>
          <t>link bits Barra de Sonido para TV, 2x2" Altavoces + 2 Membranas de Graves, Sonido Claro ≥80dB, Bluetooth Inalámbrico, Conexiones AUX/USB, Diseño Compacto 76cm, Sonido Envolvente 3D para Cine en Casa, PC, Juegos y Fiestas</t>
        </is>
      </c>
      <c r="H802" s="16" t="inlineStr">
        <is>
          <t>BS-22</t>
        </is>
      </c>
      <c r="I802" s="16" t="n">
        <v>1</v>
      </c>
      <c r="J802" s="17" t="n">
        <v>265</v>
      </c>
      <c r="K802" s="17" t="n">
        <v>219.27</v>
      </c>
      <c r="L802" s="17" t="n">
        <v>0</v>
      </c>
      <c r="M802" s="17" t="n">
        <v>10.8</v>
      </c>
      <c r="N802" s="17">
        <f>K802*0.08+L802*0.08</f>
        <v/>
      </c>
      <c r="O802" s="17">
        <f>-(K802*0.025+L802*0.025)</f>
        <v/>
      </c>
      <c r="P802" s="17">
        <f>32</f>
        <v/>
      </c>
      <c r="Q802" s="17">
        <f>J802+L802+N802+O802-P802-M802</f>
        <v/>
      </c>
    </row>
    <row r="803">
      <c r="A803" s="16" t="inlineStr">
        <is>
          <t>5.1-5.7</t>
        </is>
      </c>
      <c r="B803" s="16" t="inlineStr">
        <is>
          <t>PO-128-19198625608312718</t>
        </is>
      </c>
      <c r="C803" s="16" t="inlineStr">
        <is>
          <t>Delivered</t>
        </is>
      </c>
      <c r="D803" s="16" t="inlineStr">
        <is>
          <t>128-19198552207992718</t>
        </is>
      </c>
      <c r="E803" s="16" t="inlineStr">
        <is>
          <t>Delivered</t>
        </is>
      </c>
      <c r="F803" s="16" t="inlineStr">
        <is>
          <t>SA323T</t>
        </is>
      </c>
      <c r="G803" s="16" t="inlineStr">
        <is>
          <t>Linkbits Bocina Portátil Parlantes BT Portátiles con Iluminación de Ambiente | 1 Hora de Duración, FM, TWS, TF/Micro SD | Ideal para Hogar, Fiestas y Viajes</t>
        </is>
      </c>
      <c r="H803" s="16" t="inlineStr">
        <is>
          <t>SA323T</t>
        </is>
      </c>
      <c r="I803" s="16" t="n">
        <v>1</v>
      </c>
      <c r="J803" s="17" t="n">
        <v>46.8</v>
      </c>
      <c r="K803" s="17" t="n">
        <v>49.88</v>
      </c>
      <c r="L803" s="17" t="n">
        <v>25.86</v>
      </c>
      <c r="M803" s="17" t="n">
        <v>0</v>
      </c>
      <c r="N803" s="17">
        <f>K803*0.08+L803*0.08</f>
        <v/>
      </c>
      <c r="O803" s="17">
        <f>-(K803*0.025+L803*0.025)</f>
        <v/>
      </c>
      <c r="P803" s="17">
        <f>32</f>
        <v/>
      </c>
      <c r="Q803" s="17">
        <f>J803+L803+N803+O803-P803-M803</f>
        <v/>
      </c>
    </row>
    <row r="804">
      <c r="A804" s="16" t="inlineStr">
        <is>
          <t>5.1-5.7</t>
        </is>
      </c>
      <c r="B804" s="16" t="inlineStr">
        <is>
          <t>PO-128-18745222636150492</t>
        </is>
      </c>
      <c r="C804" s="16" t="inlineStr">
        <is>
          <t>Delivered</t>
        </is>
      </c>
      <c r="D804" s="16" t="inlineStr">
        <is>
          <t>128-18745327493750492</t>
        </is>
      </c>
      <c r="E804" s="16" t="inlineStr">
        <is>
          <t>Delivered</t>
        </is>
      </c>
      <c r="F804" s="16" t="inlineStr">
        <is>
          <t>KTS-1678V</t>
        </is>
      </c>
      <c r="G804" s="16" t="inlineStr">
        <is>
          <t>Bocina portátil Inalámbrico, de 3 pulgadas, tamaño de bolsillo, 170 g, con asa, compatible con TF, USB y Micro SD, con radio FM y función TWS (True Wireless Stereo), adecuada para relajarse en casa o viajar al aire libre.</t>
        </is>
      </c>
      <c r="H804" s="16" t="inlineStr">
        <is>
          <t>KTS-1678V</t>
        </is>
      </c>
      <c r="I804" s="16" t="n">
        <v>1</v>
      </c>
      <c r="J804" s="17" t="n">
        <v>42.5</v>
      </c>
      <c r="K804" s="17" t="n">
        <v>5.62</v>
      </c>
      <c r="L804" s="17" t="n">
        <v>25.86</v>
      </c>
      <c r="M804" s="17" t="n">
        <v>0.32</v>
      </c>
      <c r="N804" s="17">
        <f>K804*0.08+L804*0.08</f>
        <v/>
      </c>
      <c r="O804" s="17">
        <f>-(K804*0.025+L804*0.025)</f>
        <v/>
      </c>
      <c r="P804" s="17">
        <f>32</f>
        <v/>
      </c>
      <c r="Q804" s="17">
        <f>J804+L804+N804+O804-P804-M804</f>
        <v/>
      </c>
    </row>
    <row r="805">
      <c r="A805" s="16" t="inlineStr">
        <is>
          <t>5.1-5.7</t>
        </is>
      </c>
      <c r="B805" s="16" t="inlineStr">
        <is>
          <t>PO-128-18718598001271613</t>
        </is>
      </c>
      <c r="C805" s="16" t="inlineStr">
        <is>
          <t>Delivered</t>
        </is>
      </c>
      <c r="D805" s="16" t="inlineStr">
        <is>
          <t>128-18718624215671613</t>
        </is>
      </c>
      <c r="E805" s="16" t="inlineStr">
        <is>
          <t>Delivered</t>
        </is>
      </c>
      <c r="F805" s="16" t="inlineStr">
        <is>
          <t>LV42W08</t>
        </is>
      </c>
      <c r="G805" s="16" t="inlineStr">
        <is>
          <t>TIANLAI Ventilador de techo con luz LED RGB E27, 6 pulgadas, 40W, motor silencioso, fácil instalación, alto brillo 3800 lm, 127V. Ideal para dormitorios, salas y cocinas del hogar.</t>
        </is>
      </c>
      <c r="H805" s="16" t="inlineStr">
        <is>
          <t>1 pieza</t>
        </is>
      </c>
      <c r="I805" s="16" t="n">
        <v>1</v>
      </c>
      <c r="J805" s="17" t="n">
        <v>193.4</v>
      </c>
      <c r="K805" s="17" t="n">
        <v>242.55</v>
      </c>
      <c r="L805" s="17" t="n">
        <v>25.86</v>
      </c>
      <c r="M805" s="17" t="n">
        <v>0</v>
      </c>
      <c r="N805" s="17">
        <f>K805*0.08+L805*0.08</f>
        <v/>
      </c>
      <c r="O805" s="17">
        <f>-(K805*0.025+L805*0.025)</f>
        <v/>
      </c>
      <c r="P805" s="17">
        <f>32</f>
        <v/>
      </c>
      <c r="Q805" s="17">
        <f>J805+L805+N805+O805-P805-M805</f>
        <v/>
      </c>
    </row>
    <row r="806">
      <c r="A806" s="16" t="inlineStr">
        <is>
          <t>5.1-5.7</t>
        </is>
      </c>
      <c r="B806" s="16" t="inlineStr">
        <is>
          <t>PO-128-18880829850230516</t>
        </is>
      </c>
      <c r="C806" s="16" t="inlineStr">
        <is>
          <t>Delivered</t>
        </is>
      </c>
      <c r="D806" s="16" t="inlineStr">
        <is>
          <t>128-18880905871990516</t>
        </is>
      </c>
      <c r="E806" s="16" t="inlineStr">
        <is>
          <t>Delivered</t>
        </is>
      </c>
      <c r="F806" s="16" t="inlineStr">
        <is>
          <t>KTS-1678V</t>
        </is>
      </c>
      <c r="G806" s="16" t="inlineStr">
        <is>
          <t>Bocina portátil Inalámbrico, de 3 pulgadas, tamaño de bolsillo, 170 g, con asa, compatible con TF, USB y Micro SD, con radio FM y función TWS (True Wireless Stereo), adecuada para relajarse en casa o viajar al aire libre.</t>
        </is>
      </c>
      <c r="H806" s="16" t="inlineStr">
        <is>
          <t>KTS-1678V</t>
        </is>
      </c>
      <c r="I806" s="16" t="n">
        <v>1</v>
      </c>
      <c r="J806" s="17" t="n">
        <v>42.5</v>
      </c>
      <c r="K806" s="17" t="n">
        <v>38.98</v>
      </c>
      <c r="L806" s="17" t="n">
        <v>25.86</v>
      </c>
      <c r="M806" s="17" t="n">
        <v>0</v>
      </c>
      <c r="N806" s="17">
        <f>K806*0.08+L806*0.08</f>
        <v/>
      </c>
      <c r="O806" s="17">
        <f>-(K806*0.025+L806*0.025)</f>
        <v/>
      </c>
      <c r="P806" s="17">
        <f>32</f>
        <v/>
      </c>
      <c r="Q806" s="17">
        <f>J806+L806+N806+O806-P806-M806</f>
        <v/>
      </c>
    </row>
    <row r="807">
      <c r="A807" s="16" t="inlineStr">
        <is>
          <t>5.1-5.7</t>
        </is>
      </c>
      <c r="B807" s="16" t="inlineStr">
        <is>
          <t>PO-128-18900064604793475</t>
        </is>
      </c>
      <c r="C807" s="16" t="inlineStr">
        <is>
          <t>Delivered</t>
        </is>
      </c>
      <c r="D807" s="16" t="inlineStr">
        <is>
          <t>128-18900085576313475</t>
        </is>
      </c>
      <c r="E807" s="16" t="inlineStr">
        <is>
          <t>Delivered</t>
        </is>
      </c>
      <c r="F807" s="16" t="inlineStr">
        <is>
          <t>VB347T</t>
        </is>
      </c>
      <c r="G80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07" s="16" t="inlineStr">
        <is>
          <t>1 pieza</t>
        </is>
      </c>
      <c r="I807" s="16" t="n">
        <v>1</v>
      </c>
      <c r="J807" s="17" t="n">
        <v>79.90000000000001</v>
      </c>
      <c r="K807" s="17" t="n">
        <v>75.61</v>
      </c>
      <c r="L807" s="17" t="n">
        <v>25.86</v>
      </c>
      <c r="M807" s="17" t="n">
        <v>0</v>
      </c>
      <c r="N807" s="17">
        <f>K807*0.08+L807*0.08</f>
        <v/>
      </c>
      <c r="O807" s="17">
        <f>-(K807*0.025+L807*0.025)</f>
        <v/>
      </c>
      <c r="P807" s="17">
        <f>32</f>
        <v/>
      </c>
      <c r="Q807" s="17">
        <f>J807+L807+N807+O807-P807-M807</f>
        <v/>
      </c>
    </row>
    <row r="808">
      <c r="A808" s="16" t="inlineStr">
        <is>
          <t>5.1-5.7</t>
        </is>
      </c>
      <c r="B808" s="16" t="inlineStr">
        <is>
          <t>PO-128-19082856991352512</t>
        </is>
      </c>
      <c r="C808" s="16" t="inlineStr">
        <is>
          <t>Delivered</t>
        </is>
      </c>
      <c r="D808" s="16" t="inlineStr">
        <is>
          <t>128-19082877962872512</t>
        </is>
      </c>
      <c r="E808" s="16" t="inlineStr">
        <is>
          <t>Delivered</t>
        </is>
      </c>
      <c r="F808" s="16" t="inlineStr">
        <is>
          <t>LB02235-negro</t>
        </is>
      </c>
      <c r="G808" s="16" t="inlineStr">
        <is>
          <t>Audífonos Inalámbricos para la Cabeza, Recargables y Multifuncionales - Conectan a Varios Dispositivos, soportan Radio FM, Tarjeta TF y AUX - 4 Horas de Reproducción Musical - Ideal para Trabajo Cotidiano, Juegos y Estudio</t>
        </is>
      </c>
      <c r="H808" s="16" t="inlineStr">
        <is>
          <t>NEGRO</t>
        </is>
      </c>
      <c r="I808" s="16" t="n">
        <v>1</v>
      </c>
      <c r="J808" s="17" t="n">
        <v>45.31</v>
      </c>
      <c r="K808" s="17" t="n">
        <v>58.42</v>
      </c>
      <c r="L808" s="17" t="n">
        <v>25.86</v>
      </c>
      <c r="M808" s="17" t="n">
        <v>0</v>
      </c>
      <c r="N808" s="17">
        <f>K808*0.08+L808*0.08</f>
        <v/>
      </c>
      <c r="O808" s="17">
        <f>-(K808*0.025+L808*0.025)</f>
        <v/>
      </c>
      <c r="P808" s="17">
        <f>32</f>
        <v/>
      </c>
      <c r="Q808" s="17">
        <f>J808+L808+N808+O808-P808-M808</f>
        <v/>
      </c>
    </row>
    <row r="809">
      <c r="A809" s="16" t="inlineStr">
        <is>
          <t>5.1-5.7</t>
        </is>
      </c>
      <c r="B809" s="16" t="inlineStr">
        <is>
          <t>PO-128-19192203766392884</t>
        </is>
      </c>
      <c r="C809" s="16" t="inlineStr">
        <is>
          <t>Delivered</t>
        </is>
      </c>
      <c r="D809" s="16" t="inlineStr">
        <is>
          <t>128-19192193280632884</t>
        </is>
      </c>
      <c r="E809" s="16" t="inlineStr">
        <is>
          <t>Delivered</t>
        </is>
      </c>
      <c r="F809" s="16" t="inlineStr">
        <is>
          <t>BS-22</t>
        </is>
      </c>
      <c r="G809" s="16" t="inlineStr">
        <is>
          <t>link bits Barra de Sonido para TV, 2x2" Altavoces + 2 Membranas de Graves, Sonido Claro ≥80dB, Bluetooth Inalámbrico, Conexiones AUX/USB, Diseño Compacto 76cm, Sonido Envolvente 3D para Cine en Casa, PC, Juegos y Fiestas</t>
        </is>
      </c>
      <c r="H809" s="16" t="inlineStr">
        <is>
          <t>BS-22</t>
        </is>
      </c>
      <c r="I809" s="16" t="n">
        <v>1</v>
      </c>
      <c r="J809" s="17" t="n">
        <v>265</v>
      </c>
      <c r="K809" s="17" t="n">
        <v>243.7</v>
      </c>
      <c r="L809" s="17" t="n">
        <v>0</v>
      </c>
      <c r="M809" s="17" t="n">
        <v>0</v>
      </c>
      <c r="N809" s="17">
        <f>K809*0.08+L809*0.08</f>
        <v/>
      </c>
      <c r="O809" s="17">
        <f>-(K809*0.025+L809*0.025)</f>
        <v/>
      </c>
      <c r="P809" s="17">
        <f>32</f>
        <v/>
      </c>
      <c r="Q809" s="17">
        <f>J809+L809+N809+O809-P809-M809</f>
        <v/>
      </c>
    </row>
    <row r="810">
      <c r="A810" s="16" t="inlineStr">
        <is>
          <t>5.1-5.7</t>
        </is>
      </c>
      <c r="B810" s="16" t="inlineStr">
        <is>
          <t>PO-128-18928235930233371</t>
        </is>
      </c>
      <c r="C810" s="16" t="inlineStr">
        <is>
          <t>Delivered</t>
        </is>
      </c>
      <c r="D810" s="16" t="inlineStr">
        <is>
          <t>128-18928242483833371</t>
        </is>
      </c>
      <c r="E810" s="16" t="inlineStr">
        <is>
          <t>Delivered</t>
        </is>
      </c>
      <c r="F810" s="16" t="inlineStr">
        <is>
          <t>AIR50W06-2P</t>
        </is>
      </c>
      <c r="G810" s="16" t="inlineStr">
        <is>
          <t>Link Bits Ventilador de piso de 16 pulgadas, 2 unidades, 3 velocidades, motor silencioso, flujo de aire fuerte, altura ajustable, oscilación amplia, ventilador eléctrico para el hogar, ideal para sala, recámara y oficina</t>
        </is>
      </c>
      <c r="H810" s="16" t="inlineStr">
        <is>
          <t>2PZ</t>
        </is>
      </c>
      <c r="I810" s="16" t="n">
        <v>1</v>
      </c>
      <c r="J810" s="17" t="n">
        <v>437.88</v>
      </c>
      <c r="K810" s="17" t="n">
        <v>571</v>
      </c>
      <c r="L810" s="17" t="n">
        <v>0</v>
      </c>
      <c r="M810" s="17" t="n">
        <v>69.53</v>
      </c>
      <c r="N810" s="17">
        <f>K810*0.08+L810*0.08</f>
        <v/>
      </c>
      <c r="O810" s="17">
        <f>-(K810*0.025+L810*0.025)</f>
        <v/>
      </c>
      <c r="P810" s="17">
        <f>32</f>
        <v/>
      </c>
      <c r="Q810" s="17">
        <f>J810+L810+N810+O810-P810-M810</f>
        <v/>
      </c>
    </row>
    <row r="811">
      <c r="A811" s="16" t="inlineStr">
        <is>
          <t>5.1-5.7</t>
        </is>
      </c>
      <c r="B811" s="16" t="inlineStr">
        <is>
          <t>PO-128-19162952387192994</t>
        </is>
      </c>
      <c r="C811" s="16" t="inlineStr">
        <is>
          <t>Delivered</t>
        </is>
      </c>
      <c r="D811" s="16" t="inlineStr">
        <is>
          <t>128-19162962872952994</t>
        </is>
      </c>
      <c r="E811" s="16" t="inlineStr">
        <is>
          <t>Delivered</t>
        </is>
      </c>
      <c r="F811" s="16" t="inlineStr">
        <is>
          <t>LB02235-azul</t>
        </is>
      </c>
      <c r="G811" s="16" t="inlineStr">
        <is>
          <t>Audífonos Inalámbricos para la Cabeza, Recargables y Multifuncionales - Conectan a Varios Dispositivos, soportan Radio FM, Tarjeta TF y AUX - 4 Horas de Reproducción Musical - Ideal para Trabajo Cotidiano, Juegos y Estudio</t>
        </is>
      </c>
      <c r="H811" s="16" t="inlineStr">
        <is>
          <t>AZUL</t>
        </is>
      </c>
      <c r="I811" s="16" t="n">
        <v>1</v>
      </c>
      <c r="J811" s="17" t="n">
        <v>37.73</v>
      </c>
      <c r="K811" s="17" t="n">
        <v>50.84</v>
      </c>
      <c r="L811" s="17" t="n">
        <v>25.86</v>
      </c>
      <c r="M811" s="17" t="n">
        <v>0</v>
      </c>
      <c r="N811" s="17">
        <f>K811*0.08+L811*0.08</f>
        <v/>
      </c>
      <c r="O811" s="17">
        <f>-(K811*0.025+L811*0.025)</f>
        <v/>
      </c>
      <c r="P811" s="17">
        <f>32</f>
        <v/>
      </c>
      <c r="Q811" s="17">
        <f>J811+L811+N811+O811-P811-M811</f>
        <v/>
      </c>
    </row>
    <row r="812">
      <c r="A812" s="16" t="inlineStr">
        <is>
          <t>5.1-5.7</t>
        </is>
      </c>
      <c r="B812" s="16" t="inlineStr">
        <is>
          <t>PO-128-19185380885112863</t>
        </is>
      </c>
      <c r="C812" s="16" t="inlineStr">
        <is>
          <t>Delivered</t>
        </is>
      </c>
      <c r="D812" s="16" t="inlineStr">
        <is>
          <t>128-19185338942072863</t>
        </is>
      </c>
      <c r="E812" s="16" t="inlineStr">
        <is>
          <t>Delivered</t>
        </is>
      </c>
      <c r="F812" s="16" t="inlineStr">
        <is>
          <t>VA396T</t>
        </is>
      </c>
      <c r="G812"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812" s="16" t="inlineStr">
        <is>
          <t>VA396T</t>
        </is>
      </c>
      <c r="I812" s="16" t="n">
        <v>1</v>
      </c>
      <c r="J812" s="17" t="n">
        <v>41</v>
      </c>
      <c r="K812" s="17" t="n">
        <v>6.35</v>
      </c>
      <c r="L812" s="17" t="n">
        <v>25.86</v>
      </c>
      <c r="M812" s="17" t="n">
        <v>0</v>
      </c>
      <c r="N812" s="17">
        <f>K812*0.08+L812*0.08</f>
        <v/>
      </c>
      <c r="O812" s="17">
        <f>-(K812*0.025+L812*0.025)</f>
        <v/>
      </c>
      <c r="P812" s="17">
        <f>32</f>
        <v/>
      </c>
      <c r="Q812" s="17">
        <f>J812+L812+N812+O812-P812-M812</f>
        <v/>
      </c>
    </row>
    <row r="813">
      <c r="A813" s="16" t="inlineStr">
        <is>
          <t>5.1-5.7</t>
        </is>
      </c>
      <c r="B813" s="16" t="inlineStr">
        <is>
          <t>PO-128-18673471406711880</t>
        </is>
      </c>
      <c r="C813" s="16" t="inlineStr">
        <is>
          <t>Delivered</t>
        </is>
      </c>
      <c r="D813" s="16" t="inlineStr">
        <is>
          <t>128-18673418732151880</t>
        </is>
      </c>
      <c r="E813" s="16" t="inlineStr">
        <is>
          <t>Delivered</t>
        </is>
      </c>
      <c r="F813" s="16" t="inlineStr">
        <is>
          <t>LB02235-azul</t>
        </is>
      </c>
      <c r="G813" s="16" t="inlineStr">
        <is>
          <t>Audífonos Inalámbricos para la Cabeza, Recargables y Multifuncionales - Conectan a Varios Dispositivos, soportan Radio FM, Tarjeta TF y AUX - 4 Horas de Reproducción Musical - Ideal para Trabajo Cotidiano, Juegos y Estudio</t>
        </is>
      </c>
      <c r="H813" s="16" t="inlineStr">
        <is>
          <t>AZUL</t>
        </is>
      </c>
      <c r="I813" s="16" t="n">
        <v>1</v>
      </c>
      <c r="J813" s="17" t="n">
        <v>37.73</v>
      </c>
      <c r="K813" s="17" t="n">
        <v>50.84</v>
      </c>
      <c r="L813" s="17" t="n">
        <v>25.86</v>
      </c>
      <c r="M813" s="17" t="n">
        <v>0</v>
      </c>
      <c r="N813" s="17">
        <f>K813*0.08+L813*0.08</f>
        <v/>
      </c>
      <c r="O813" s="17">
        <f>-(K813*0.025+L813*0.025)</f>
        <v/>
      </c>
      <c r="P813" s="17">
        <f>32</f>
        <v/>
      </c>
      <c r="Q813" s="17">
        <f>J813+L813+N813+O813-P813-M813</f>
        <v/>
      </c>
    </row>
    <row r="814">
      <c r="A814" s="16" t="inlineStr">
        <is>
          <t>5.1-5.7</t>
        </is>
      </c>
      <c r="B814" s="16" t="inlineStr">
        <is>
          <t>PO-128-19049436519033609</t>
        </is>
      </c>
      <c r="C814" s="16" t="inlineStr">
        <is>
          <t>Delivered</t>
        </is>
      </c>
      <c r="D814" s="16" t="inlineStr">
        <is>
          <t>128-19049415547513609</t>
        </is>
      </c>
      <c r="E814" s="16" t="inlineStr">
        <is>
          <t>Delivered</t>
        </is>
      </c>
      <c r="F814" s="16" t="inlineStr">
        <is>
          <t>S39W48</t>
        </is>
      </c>
      <c r="G81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814" s="16" t="inlineStr">
        <is>
          <t>1 pieza</t>
        </is>
      </c>
      <c r="I814" s="16" t="n">
        <v>1</v>
      </c>
      <c r="J814" s="17" t="n">
        <v>39</v>
      </c>
      <c r="K814" s="17" t="n">
        <v>51.59</v>
      </c>
      <c r="L814" s="17" t="n">
        <v>25.86</v>
      </c>
      <c r="M814" s="17" t="n">
        <v>0</v>
      </c>
      <c r="N814" s="17">
        <f>K814*0.08+L814*0.08</f>
        <v/>
      </c>
      <c r="O814" s="17">
        <f>-(K814*0.025+L814*0.025)</f>
        <v/>
      </c>
      <c r="P814" s="17">
        <f>32</f>
        <v/>
      </c>
      <c r="Q814" s="17">
        <f>J814+L814+N814+O814-P814-M814</f>
        <v/>
      </c>
    </row>
    <row r="815">
      <c r="A815" s="16" t="inlineStr">
        <is>
          <t>5.1-5.7</t>
        </is>
      </c>
      <c r="B815" s="16" t="inlineStr">
        <is>
          <t>PO-128-19211297065592770</t>
        </is>
      </c>
      <c r="C815" s="16" t="inlineStr">
        <is>
          <t>Delivered</t>
        </is>
      </c>
      <c r="D815" s="16" t="inlineStr">
        <is>
          <t>128-19211339008632770</t>
        </is>
      </c>
      <c r="E815" s="16" t="inlineStr">
        <is>
          <t>Delivered</t>
        </is>
      </c>
      <c r="F815" s="16" t="inlineStr">
        <is>
          <t>MCM-001G</t>
        </is>
      </c>
      <c r="G815" s="16" t="inlineStr">
        <is>
          <t>Musicord Altavoz Inalámbrico BT Portátil: ¡Sonido impactante, luces LED multicolores y 4 horas de autonomía! Compatible con TWS, FM, TF y USB – Imprescindible para fiestas y viajes</t>
        </is>
      </c>
      <c r="H815" s="16" t="inlineStr">
        <is>
          <t>GRIS</t>
        </is>
      </c>
      <c r="I815" s="16" t="n">
        <v>1</v>
      </c>
      <c r="J815" s="17" t="n">
        <v>51.07</v>
      </c>
      <c r="K815" s="17" t="n">
        <v>8.890000000000001</v>
      </c>
      <c r="L815" s="17" t="n">
        <v>25.86</v>
      </c>
      <c r="M815" s="17" t="n">
        <v>0</v>
      </c>
      <c r="N815" s="17">
        <f>K815*0.08+L815*0.08</f>
        <v/>
      </c>
      <c r="O815" s="17">
        <f>-(K815*0.025+L815*0.025)</f>
        <v/>
      </c>
      <c r="P815" s="17">
        <f>32</f>
        <v/>
      </c>
      <c r="Q815" s="17">
        <f>J815+L815+N815+O815-P815-M815</f>
        <v/>
      </c>
    </row>
    <row r="816">
      <c r="A816" s="16" t="inlineStr">
        <is>
          <t>5.1-5.7</t>
        </is>
      </c>
      <c r="B816" s="16" t="inlineStr">
        <is>
          <t>PO-128-19012369736313892</t>
        </is>
      </c>
      <c r="C816" s="16" t="inlineStr">
        <is>
          <t>Delivered</t>
        </is>
      </c>
      <c r="D816" s="16" t="inlineStr">
        <is>
          <t>128-19012437893753892</t>
        </is>
      </c>
      <c r="E816" s="16" t="inlineStr">
        <is>
          <t>Delivered</t>
        </is>
      </c>
      <c r="F816" s="16" t="inlineStr">
        <is>
          <t>LB02235-azul</t>
        </is>
      </c>
      <c r="G816" s="16" t="inlineStr">
        <is>
          <t>Audífonos Inalámbricos para la Cabeza, Recargables y Multifuncionales - Conectan a Varios Dispositivos, soportan Radio FM, Tarjeta TF y AUX - 4 Horas de Reproducción Musical - Ideal para Trabajo Cotidiano, Juegos y Estudio</t>
        </is>
      </c>
      <c r="H816" s="16" t="inlineStr">
        <is>
          <t>AZUL</t>
        </is>
      </c>
      <c r="I816" s="16" t="n">
        <v>1</v>
      </c>
      <c r="J816" s="17" t="n">
        <v>37.73</v>
      </c>
      <c r="K816" s="17" t="n">
        <v>50.84</v>
      </c>
      <c r="L816" s="17" t="n">
        <v>25.86</v>
      </c>
      <c r="M816" s="17" t="n">
        <v>0</v>
      </c>
      <c r="N816" s="17">
        <f>K816*0.08+L816*0.08</f>
        <v/>
      </c>
      <c r="O816" s="17">
        <f>-(K816*0.025+L816*0.025)</f>
        <v/>
      </c>
      <c r="P816" s="17">
        <f>32</f>
        <v/>
      </c>
      <c r="Q816" s="17">
        <f>J816+L816+N816+O816-P816-M816</f>
        <v/>
      </c>
    </row>
    <row r="817">
      <c r="A817" s="16" t="inlineStr">
        <is>
          <t>5.1-5.7</t>
        </is>
      </c>
      <c r="B817" s="16" t="inlineStr">
        <is>
          <t>PO-128-18789468007030231</t>
        </is>
      </c>
      <c r="C817" s="16" t="inlineStr">
        <is>
          <t>Delivered</t>
        </is>
      </c>
      <c r="D817" s="16" t="inlineStr">
        <is>
          <t>128-18789457521270231</t>
        </is>
      </c>
      <c r="E817" s="16" t="inlineStr">
        <is>
          <t>Delivered</t>
        </is>
      </c>
      <c r="F817" s="16" t="inlineStr">
        <is>
          <t>AIR50W06-2P</t>
        </is>
      </c>
      <c r="G817" s="16" t="inlineStr">
        <is>
          <t>Link Bits Ventilador de piso de 16 pulgadas, 2 unidades, 3 velocidades, motor silencioso, flujo de aire fuerte, altura ajustable, oscilación amplia, ventilador eléctrico para el hogar, ideal para sala, recámara y oficina</t>
        </is>
      </c>
      <c r="H817" s="16" t="inlineStr">
        <is>
          <t>2PZ</t>
        </is>
      </c>
      <c r="I817" s="16" t="n">
        <v>1</v>
      </c>
      <c r="J817" s="17" t="n">
        <v>437.88</v>
      </c>
      <c r="K817" s="17" t="n">
        <v>421.51</v>
      </c>
      <c r="L817" s="17" t="n">
        <v>0</v>
      </c>
      <c r="M817" s="17" t="n">
        <v>0</v>
      </c>
      <c r="N817" s="17">
        <f>K817*0.08+L817*0.08</f>
        <v/>
      </c>
      <c r="O817" s="17">
        <f>-(K817*0.025+L817*0.025)</f>
        <v/>
      </c>
      <c r="P817" s="17">
        <f>32</f>
        <v/>
      </c>
      <c r="Q817" s="17">
        <f>J817+L817+N817+O817-P817-M817</f>
        <v/>
      </c>
    </row>
    <row r="818">
      <c r="A818" s="16" t="inlineStr">
        <is>
          <t>5.1-5.7</t>
        </is>
      </c>
      <c r="B818" s="16" t="inlineStr">
        <is>
          <t>PO-128-19113041572472204</t>
        </is>
      </c>
      <c r="C818" s="16" t="inlineStr">
        <is>
          <t>Delivered</t>
        </is>
      </c>
      <c r="D818" s="16" t="inlineStr">
        <is>
          <t>128-19113094001272204</t>
        </is>
      </c>
      <c r="E818" s="16" t="inlineStr">
        <is>
          <t>Delivered</t>
        </is>
      </c>
      <c r="F818" s="16" t="inlineStr">
        <is>
          <t>LB02235-negro</t>
        </is>
      </c>
      <c r="G818" s="16" t="inlineStr">
        <is>
          <t>Audífonos Inalámbricos para la Cabeza, Recargables y Multifuncionales - Conectan a Varios Dispositivos, soportan Radio FM, Tarjeta TF y AUX - 4 Horas de Reproducción Musical - Ideal para Trabajo Cotidiano, Juegos y Estudio</t>
        </is>
      </c>
      <c r="H818" s="16" t="inlineStr">
        <is>
          <t>NEGRO</t>
        </is>
      </c>
      <c r="I818" s="16" t="n">
        <v>1</v>
      </c>
      <c r="J818" s="17" t="n">
        <v>45.31</v>
      </c>
      <c r="K818" s="17" t="n">
        <v>58.42</v>
      </c>
      <c r="L818" s="17" t="n">
        <v>25.86</v>
      </c>
      <c r="M818" s="17" t="n">
        <v>0</v>
      </c>
      <c r="N818" s="17">
        <f>K818*0.08+L818*0.08</f>
        <v/>
      </c>
      <c r="O818" s="17">
        <f>-(K818*0.025+L818*0.025)</f>
        <v/>
      </c>
      <c r="P818" s="17">
        <f>32</f>
        <v/>
      </c>
      <c r="Q818" s="17">
        <f>J818+L818+N818+O818-P818-M818</f>
        <v/>
      </c>
    </row>
    <row r="819">
      <c r="A819" s="16" t="inlineStr">
        <is>
          <t>5.1-5.7</t>
        </is>
      </c>
      <c r="B819" s="16" t="inlineStr">
        <is>
          <t>PO-128-18724772147831638</t>
        </is>
      </c>
      <c r="C819" s="16" t="inlineStr">
        <is>
          <t>Delivered</t>
        </is>
      </c>
      <c r="D819" s="16" t="inlineStr">
        <is>
          <t>128-18724814090871638</t>
        </is>
      </c>
      <c r="E819" s="16" t="inlineStr">
        <is>
          <t>Delivered</t>
        </is>
      </c>
      <c r="F819" s="16" t="inlineStr">
        <is>
          <t>LB02235-azul</t>
        </is>
      </c>
      <c r="G819" s="16" t="inlineStr">
        <is>
          <t>Audífonos Inalámbricos para la Cabeza, Recargables y Multifuncionales - Conectan a Varios Dispositivos, soportan Radio FM, Tarjeta TF y AUX - 4 Horas de Reproducción Musical - Ideal para Trabajo Cotidiano, Juegos y Estudio</t>
        </is>
      </c>
      <c r="H819" s="16" t="inlineStr">
        <is>
          <t>AZUL</t>
        </is>
      </c>
      <c r="I819" s="16" t="n">
        <v>1</v>
      </c>
      <c r="J819" s="17" t="n">
        <v>37.73</v>
      </c>
      <c r="K819" s="17" t="n">
        <v>50.84</v>
      </c>
      <c r="L819" s="17" t="n">
        <v>0</v>
      </c>
      <c r="M819" s="17" t="n">
        <v>50.84</v>
      </c>
      <c r="N819" s="17">
        <f>K819*0.08+L819*0.08</f>
        <v/>
      </c>
      <c r="O819" s="17">
        <f>-(K819*0.025+L819*0.025)</f>
        <v/>
      </c>
      <c r="P819" s="17">
        <f>32</f>
        <v/>
      </c>
      <c r="Q819" s="17">
        <f>J819+L819+N819+O819-P819-M819</f>
        <v/>
      </c>
    </row>
    <row r="820">
      <c r="A820" s="16" t="inlineStr">
        <is>
          <t>5.1-5.7</t>
        </is>
      </c>
      <c r="B820" s="16" t="inlineStr">
        <is>
          <t>PO-128-18594661325431390</t>
        </is>
      </c>
      <c r="C820" s="16" t="inlineStr">
        <is>
          <t>Delivered</t>
        </is>
      </c>
      <c r="D820" s="16" t="inlineStr">
        <is>
          <t>128-18594671811191390</t>
        </is>
      </c>
      <c r="E820" s="16" t="inlineStr">
        <is>
          <t>Delivered</t>
        </is>
      </c>
      <c r="F820" s="16" t="inlineStr">
        <is>
          <t>FA028</t>
        </is>
      </c>
      <c r="G820" s="16" t="inlineStr">
        <is>
          <t>Extractor de agua para garrafas de agua, compatible con carga USB, extractor de agua automático, práctico, con dos modos de toma de agua: manual y programado, ideal para dormitorios, salones, oficinas, uso al aire libre y otros escenarios.</t>
        </is>
      </c>
      <c r="H820" s="16" t="inlineStr">
        <is>
          <t>FA028</t>
        </is>
      </c>
      <c r="I820" s="16" t="n">
        <v>1</v>
      </c>
      <c r="J820" s="17" t="n">
        <v>35.77</v>
      </c>
      <c r="K820" s="17" t="n">
        <v>45.35</v>
      </c>
      <c r="L820" s="17" t="n">
        <v>25.86</v>
      </c>
      <c r="M820" s="17" t="n">
        <v>0</v>
      </c>
      <c r="N820" s="17">
        <f>K820*0.08+L820*0.08</f>
        <v/>
      </c>
      <c r="O820" s="17">
        <f>-(K820*0.025+L820*0.025)</f>
        <v/>
      </c>
      <c r="P820" s="17">
        <f>32</f>
        <v/>
      </c>
      <c r="Q820" s="17">
        <f>J820+L820+N820+O820-P820-M820</f>
        <v/>
      </c>
    </row>
    <row r="821">
      <c r="A821" s="16" t="inlineStr">
        <is>
          <t>5.1-5.7</t>
        </is>
      </c>
      <c r="B821" s="16" t="inlineStr">
        <is>
          <t>PO-128-18599308042871170</t>
        </is>
      </c>
      <c r="C821" s="16" t="inlineStr">
        <is>
          <t>Delivered</t>
        </is>
      </c>
      <c r="D821" s="16" t="inlineStr">
        <is>
          <t>128-18599387996791170</t>
        </is>
      </c>
      <c r="E821" s="16" t="inlineStr">
        <is>
          <t>Delivered</t>
        </is>
      </c>
      <c r="F821" s="16" t="inlineStr">
        <is>
          <t>LB02235-azul</t>
        </is>
      </c>
      <c r="G821" s="16" t="inlineStr">
        <is>
          <t>Audífonos Inalámbricos para la Cabeza, Recargables y Multifuncionales - Conectan a Varios Dispositivos, soportan Radio FM, Tarjeta TF y AUX - 4 Horas de Reproducción Musical - Ideal para Trabajo Cotidiano, Juegos y Estudio</t>
        </is>
      </c>
      <c r="H821" s="16" t="inlineStr">
        <is>
          <t>AZUL</t>
        </is>
      </c>
      <c r="I821" s="16" t="n">
        <v>1</v>
      </c>
      <c r="J821" s="17" t="n">
        <v>37.73</v>
      </c>
      <c r="K821" s="17" t="n">
        <v>50.84</v>
      </c>
      <c r="L821" s="17" t="n">
        <v>25.86</v>
      </c>
      <c r="M821" s="17" t="n">
        <v>0</v>
      </c>
      <c r="N821" s="17">
        <f>K821*0.08+L821*0.08</f>
        <v/>
      </c>
      <c r="O821" s="17">
        <f>-(K821*0.025+L821*0.025)</f>
        <v/>
      </c>
      <c r="P821" s="17">
        <f>32</f>
        <v/>
      </c>
      <c r="Q821" s="17">
        <f>J821+L821+N821+O821-P821-M821</f>
        <v/>
      </c>
    </row>
    <row r="822">
      <c r="A822" s="16" t="inlineStr">
        <is>
          <t>5.1-5.7</t>
        </is>
      </c>
      <c r="B822" s="16" t="inlineStr">
        <is>
          <t>PO-128-18700829645431783</t>
        </is>
      </c>
      <c r="C822" s="16" t="inlineStr">
        <is>
          <t>Delivered</t>
        </is>
      </c>
      <c r="D822" s="16" t="inlineStr">
        <is>
          <t>128-18700850616951783</t>
        </is>
      </c>
      <c r="E822" s="16" t="inlineStr">
        <is>
          <t>Delivered</t>
        </is>
      </c>
      <c r="F822" s="16" t="inlineStr">
        <is>
          <t>AIR50W06-2P</t>
        </is>
      </c>
      <c r="G822" s="16" t="inlineStr">
        <is>
          <t>Link Bits Ventilador de piso de 16 pulgadas, 2 unidades, 3 velocidades, motor silencioso, flujo de aire fuerte, altura ajustable, oscilación amplia, ventilador eléctrico para el hogar, ideal para sala, recámara y oficina</t>
        </is>
      </c>
      <c r="H822" s="16" t="inlineStr">
        <is>
          <t>2PZ</t>
        </is>
      </c>
      <c r="I822" s="16" t="n">
        <v>1</v>
      </c>
      <c r="J822" s="17" t="n">
        <v>437.88</v>
      </c>
      <c r="K822" s="17" t="n">
        <v>493.41</v>
      </c>
      <c r="L822" s="17" t="n">
        <v>0</v>
      </c>
      <c r="M822" s="17" t="n">
        <v>0</v>
      </c>
      <c r="N822" s="17">
        <f>K822*0.08+L822*0.08</f>
        <v/>
      </c>
      <c r="O822" s="17">
        <f>-(K822*0.025+L822*0.025)</f>
        <v/>
      </c>
      <c r="P822" s="17">
        <f>32</f>
        <v/>
      </c>
      <c r="Q822" s="17">
        <f>J822+L822+N822+O822-P822-M822</f>
        <v/>
      </c>
    </row>
    <row r="823">
      <c r="A823" s="16" t="inlineStr">
        <is>
          <t>5.1-5.7</t>
        </is>
      </c>
      <c r="B823" s="16" t="inlineStr">
        <is>
          <t>PO-128-18908005878393490</t>
        </is>
      </c>
      <c r="C823" s="16" t="inlineStr">
        <is>
          <t>Delivered</t>
        </is>
      </c>
      <c r="D823" s="16" t="inlineStr">
        <is>
          <t>128-18908047821433490</t>
        </is>
      </c>
      <c r="E823" s="16" t="inlineStr">
        <is>
          <t>Delivered</t>
        </is>
      </c>
      <c r="F823" s="16" t="inlineStr">
        <is>
          <t>LB02235-azul</t>
        </is>
      </c>
      <c r="G823" s="16" t="inlineStr">
        <is>
          <t>Audífonos Inalámbricos para la Cabeza, Recargables y Multifuncionales - Conectan a Varios Dispositivos, soportan Radio FM, Tarjeta TF y AUX - 4 Horas de Reproducción Musical - Ideal para Trabajo Cotidiano, Juegos y Estudio</t>
        </is>
      </c>
      <c r="H823" s="16" t="inlineStr">
        <is>
          <t>AZUL</t>
        </is>
      </c>
      <c r="I823" s="16" t="n">
        <v>1</v>
      </c>
      <c r="J823" s="17" t="n">
        <v>37.73</v>
      </c>
      <c r="K823" s="17" t="n">
        <v>30.51</v>
      </c>
      <c r="L823" s="17" t="n">
        <v>25.86</v>
      </c>
      <c r="M823" s="17" t="n">
        <v>0</v>
      </c>
      <c r="N823" s="17">
        <f>K823*0.08+L823*0.08</f>
        <v/>
      </c>
      <c r="O823" s="17">
        <f>-(K823*0.025+L823*0.025)</f>
        <v/>
      </c>
      <c r="P823" s="17">
        <f>32</f>
        <v/>
      </c>
      <c r="Q823" s="17">
        <f>J823+L823+N823+O823-P823-M823</f>
        <v/>
      </c>
    </row>
    <row r="824">
      <c r="A824" s="16" t="inlineStr">
        <is>
          <t>5.1-5.7</t>
        </is>
      </c>
      <c r="B824" s="16" t="inlineStr">
        <is>
          <t>PO-128-18558579395191415</t>
        </is>
      </c>
      <c r="C824" s="16" t="inlineStr">
        <is>
          <t>Delivered</t>
        </is>
      </c>
      <c r="D824" s="16" t="inlineStr">
        <is>
          <t>128-18558620355191415</t>
        </is>
      </c>
      <c r="E824" s="16" t="inlineStr">
        <is>
          <t>Delivered</t>
        </is>
      </c>
      <c r="F824" s="16" t="inlineStr">
        <is>
          <t>KTS-1678V</t>
        </is>
      </c>
      <c r="G824" s="16" t="inlineStr">
        <is>
          <t>Bocina portátil Inalámbrico, de 3 pulgadas, tamaño de bolsillo, 170 g, con asa, compatible con TF, USB y Micro SD, con radio FM y función TWS (True Wireless Stereo), adecuada para relajarse en casa o viajar al aire libre.</t>
        </is>
      </c>
      <c r="H824" s="16" t="inlineStr">
        <is>
          <t>KTS-1678V</t>
        </is>
      </c>
      <c r="I824" s="16" t="n">
        <v>1</v>
      </c>
      <c r="J824" s="17" t="n">
        <v>42.5</v>
      </c>
      <c r="K824" s="17" t="n">
        <v>48.72</v>
      </c>
      <c r="L824" s="17" t="n">
        <v>25.86</v>
      </c>
      <c r="M824" s="17" t="n">
        <v>0</v>
      </c>
      <c r="N824" s="17">
        <f>K824*0.08+L824*0.08</f>
        <v/>
      </c>
      <c r="O824" s="17">
        <f>-(K824*0.025+L824*0.025)</f>
        <v/>
      </c>
      <c r="P824" s="17">
        <f>32</f>
        <v/>
      </c>
      <c r="Q824" s="17">
        <f>J824+L824+N824+O824-P824-M824</f>
        <v/>
      </c>
    </row>
    <row r="825">
      <c r="A825" s="16" t="inlineStr">
        <is>
          <t>5.1-5.7</t>
        </is>
      </c>
      <c r="B825" s="16" t="inlineStr">
        <is>
          <t>PO-128-18665489971831800</t>
        </is>
      </c>
      <c r="C825" s="16" t="inlineStr">
        <is>
          <t>Delivered</t>
        </is>
      </c>
      <c r="D825" s="16" t="inlineStr">
        <is>
          <t>128-18665479486071800</t>
        </is>
      </c>
      <c r="E825" s="16" t="inlineStr">
        <is>
          <t>Delivered</t>
        </is>
      </c>
      <c r="F825" s="16" t="inlineStr">
        <is>
          <t>AIR50W06-2P</t>
        </is>
      </c>
      <c r="G825" s="16" t="inlineStr">
        <is>
          <t>Link Bits Ventilador de piso de 16 pulgadas, 2 unidades, 3 velocidades, motor silencioso, flujo de aire fuerte, altura ajustable, oscilación amplia, ventilador eléctrico para el hogar, ideal para sala, recámara y oficina</t>
        </is>
      </c>
      <c r="H825" s="16" t="inlineStr">
        <is>
          <t>2PZ</t>
        </is>
      </c>
      <c r="I825" s="16" t="n">
        <v>1</v>
      </c>
      <c r="J825" s="17" t="n">
        <v>437.88</v>
      </c>
      <c r="K825" s="17" t="n">
        <v>485.35</v>
      </c>
      <c r="L825" s="17" t="n">
        <v>0</v>
      </c>
      <c r="M825" s="17" t="n">
        <v>0</v>
      </c>
      <c r="N825" s="17">
        <f>K825*0.08+L825*0.08</f>
        <v/>
      </c>
      <c r="O825" s="17">
        <f>-(K825*0.025+L825*0.025)</f>
        <v/>
      </c>
      <c r="P825" s="17">
        <f>32</f>
        <v/>
      </c>
      <c r="Q825" s="17">
        <f>J825+L825+N825+O825-P825-M825</f>
        <v/>
      </c>
    </row>
    <row r="826">
      <c r="A826" s="16" t="inlineStr">
        <is>
          <t>5.1-5.7</t>
        </is>
      </c>
      <c r="B826" s="16" t="inlineStr">
        <is>
          <t>PO-128-18997541223034044</t>
        </is>
      </c>
      <c r="C826" s="16" t="inlineStr">
        <is>
          <t>Delivered</t>
        </is>
      </c>
      <c r="D826" s="16" t="inlineStr">
        <is>
          <t>128-18997525494394044</t>
        </is>
      </c>
      <c r="E826" s="16" t="inlineStr">
        <is>
          <t>Delivered</t>
        </is>
      </c>
      <c r="F826" s="16" t="inlineStr">
        <is>
          <t>LB02235-azul</t>
        </is>
      </c>
      <c r="G826" s="16" t="inlineStr">
        <is>
          <t>Audífonos Inalámbricos para la Cabeza, Recargables y Multifuncionales - Conectan a Varios Dispositivos, soportan Radio FM, Tarjeta TF y AUX - 4 Horas de Reproducción Musical - Ideal para Trabajo Cotidiano, Juegos y Estudio</t>
        </is>
      </c>
      <c r="H826" s="16" t="inlineStr">
        <is>
          <t>AZUL</t>
        </is>
      </c>
      <c r="I826" s="16" t="n">
        <v>1</v>
      </c>
      <c r="J826" s="17" t="n">
        <v>37.73</v>
      </c>
      <c r="K826" s="17" t="n">
        <v>50.84</v>
      </c>
      <c r="L826" s="17" t="n">
        <v>0</v>
      </c>
      <c r="M826" s="17" t="n">
        <v>50.84</v>
      </c>
      <c r="N826" s="17">
        <f>K826*0.08+L826*0.08</f>
        <v/>
      </c>
      <c r="O826" s="17">
        <f>-(K826*0.025+L826*0.025)</f>
        <v/>
      </c>
      <c r="P826" s="17">
        <f>32</f>
        <v/>
      </c>
      <c r="Q826" s="17">
        <f>J826+L826+N826+O826-P826-M826</f>
        <v/>
      </c>
    </row>
    <row r="827">
      <c r="A827" s="16" t="inlineStr">
        <is>
          <t>5.1-5.7</t>
        </is>
      </c>
      <c r="B827" s="16" t="inlineStr">
        <is>
          <t>PO-128-18737238743670476</t>
        </is>
      </c>
      <c r="C827" s="16" t="inlineStr">
        <is>
          <t>Delivered</t>
        </is>
      </c>
      <c r="D827" s="16" t="inlineStr">
        <is>
          <t>128-18737259715190476</t>
        </is>
      </c>
      <c r="E827" s="16" t="inlineStr">
        <is>
          <t>Delivered</t>
        </is>
      </c>
      <c r="F827" s="16" t="inlineStr">
        <is>
          <t>MB-185N</t>
        </is>
      </c>
      <c r="G827" s="16" t="inlineStr">
        <is>
          <t>Bocina Radio FM/Reproductor, Compatible con Tarjeta TF, USB, Bluetooth, Aplicable para celular, computadora, Ipad y consola.</t>
        </is>
      </c>
      <c r="H827" s="16" t="inlineStr">
        <is>
          <t>NEGRO/MB-185</t>
        </is>
      </c>
      <c r="I827" s="16" t="n">
        <v>1</v>
      </c>
      <c r="J827" s="17" t="n">
        <v>75.5</v>
      </c>
      <c r="K827" s="17" t="n">
        <v>5.7</v>
      </c>
      <c r="L827" s="17" t="n">
        <v>25.86</v>
      </c>
      <c r="M827" s="17" t="n">
        <v>0</v>
      </c>
      <c r="N827" s="17">
        <f>K827*0.08+L827*0.08</f>
        <v/>
      </c>
      <c r="O827" s="17">
        <f>-(K827*0.025+L827*0.025)</f>
        <v/>
      </c>
      <c r="P827" s="17">
        <f>32</f>
        <v/>
      </c>
      <c r="Q827" s="17">
        <f>J827+L827+N827+O827-P827-M827</f>
        <v/>
      </c>
    </row>
    <row r="828">
      <c r="A828" s="16" t="inlineStr">
        <is>
          <t>5.1-5.7</t>
        </is>
      </c>
      <c r="B828" s="16" t="inlineStr">
        <is>
          <t>PO-128-18780522394230218</t>
        </is>
      </c>
      <c r="C828" s="16" t="inlineStr">
        <is>
          <t>Delivered</t>
        </is>
      </c>
      <c r="D828" s="16" t="inlineStr">
        <is>
          <t>128-18780543365750218</t>
        </is>
      </c>
      <c r="E828" s="16" t="inlineStr">
        <is>
          <t>Delivered</t>
        </is>
      </c>
      <c r="F828" s="16" t="inlineStr">
        <is>
          <t>SA325T</t>
        </is>
      </c>
      <c r="G828" s="16" t="inlineStr">
        <is>
          <t>Subwoofer Portátil Inalámbrico con Luces RGB, Sonido de Alta Potencia y Batería Duradera, TWS TF USB, Perfecto para Campamento Fiestas y Entretenimiento en Casa</t>
        </is>
      </c>
      <c r="H828" s="16" t="inlineStr">
        <is>
          <t>NEGRO</t>
        </is>
      </c>
      <c r="I828" s="16" t="n">
        <v>1</v>
      </c>
      <c r="J828" s="17" t="n">
        <v>38</v>
      </c>
      <c r="K828" s="17" t="n">
        <v>47.06</v>
      </c>
      <c r="L828" s="17" t="n">
        <v>25.86</v>
      </c>
      <c r="M828" s="17" t="n">
        <v>0</v>
      </c>
      <c r="N828" s="17">
        <f>K828*0.08+L828*0.08</f>
        <v/>
      </c>
      <c r="O828" s="17">
        <f>-(K828*0.025+L828*0.025)</f>
        <v/>
      </c>
      <c r="P828" s="17">
        <f>32</f>
        <v/>
      </c>
      <c r="Q828" s="17">
        <f>J828+L828+N828+O828-P828-M828</f>
        <v/>
      </c>
    </row>
    <row r="829">
      <c r="A829" s="16" t="inlineStr">
        <is>
          <t>5.1-5.7</t>
        </is>
      </c>
      <c r="B829" s="16" t="inlineStr">
        <is>
          <t>PO-128-19133642107512275</t>
        </is>
      </c>
      <c r="C829" s="16" t="inlineStr">
        <is>
          <t>Delivered</t>
        </is>
      </c>
      <c r="D829" s="16" t="inlineStr">
        <is>
          <t>128-19133621135992275</t>
        </is>
      </c>
      <c r="E829" s="16" t="inlineStr">
        <is>
          <t>Delivered</t>
        </is>
      </c>
      <c r="F829" s="16" t="inlineStr">
        <is>
          <t>BS-22</t>
        </is>
      </c>
      <c r="G829" s="16" t="inlineStr">
        <is>
          <t>link bits Barra de Sonido para TV, 2x2" Altavoces + 2 Membranas de Graves, Sonido Claro ≥80dB, Bluetooth Inalámbrico, Conexiones AUX/USB, Diseño Compacto 76cm, Sonido Envolvente 3D para Cine en Casa, PC, Juegos y Fiestas</t>
        </is>
      </c>
      <c r="H829" s="16" t="inlineStr">
        <is>
          <t>BS-22</t>
        </is>
      </c>
      <c r="I829" s="16" t="n">
        <v>1</v>
      </c>
      <c r="J829" s="17" t="n">
        <v>265</v>
      </c>
      <c r="K829" s="17" t="n">
        <v>304.61</v>
      </c>
      <c r="L829" s="17" t="n">
        <v>0</v>
      </c>
      <c r="M829" s="17" t="n">
        <v>0</v>
      </c>
      <c r="N829" s="17">
        <f>K829*0.08+L829*0.08</f>
        <v/>
      </c>
      <c r="O829" s="17">
        <f>-(K829*0.025+L829*0.025)</f>
        <v/>
      </c>
      <c r="P829" s="17">
        <f>32</f>
        <v/>
      </c>
      <c r="Q829" s="17">
        <f>J829+L829+N829+O829-P829-M829</f>
        <v/>
      </c>
    </row>
    <row r="830">
      <c r="A830" s="16" t="inlineStr">
        <is>
          <t>5.1-5.7</t>
        </is>
      </c>
      <c r="B830" s="16" t="inlineStr">
        <is>
          <t>PO-128-18618301389431251</t>
        </is>
      </c>
      <c r="C830" s="16" t="inlineStr">
        <is>
          <t>Delivered</t>
        </is>
      </c>
      <c r="D830" s="16" t="inlineStr">
        <is>
          <t>128-18618322360951251</t>
        </is>
      </c>
      <c r="E830" s="16" t="inlineStr">
        <is>
          <t>Delivered</t>
        </is>
      </c>
      <c r="F830" s="16" t="inlineStr">
        <is>
          <t>MCM-001R</t>
        </is>
      </c>
      <c r="G830" s="16" t="inlineStr">
        <is>
          <t>Musicord Altavoz Inalámbrico BT Portátil: ¡Sonido impactante, luces LED multicolores y 4 horas de autonomía! Compatible con TWS, FM, TF y USB – Imprescindible para fiestas y viajes</t>
        </is>
      </c>
      <c r="H830" s="16" t="inlineStr">
        <is>
          <t>ROJO</t>
        </is>
      </c>
      <c r="I830" s="16" t="n">
        <v>1</v>
      </c>
      <c r="J830" s="17" t="n">
        <v>66.5</v>
      </c>
      <c r="K830" s="17" t="n">
        <v>77.78</v>
      </c>
      <c r="L830" s="17" t="n">
        <v>25.86</v>
      </c>
      <c r="M830" s="17" t="n">
        <v>0</v>
      </c>
      <c r="N830" s="17">
        <f>K830*0.08+L830*0.08</f>
        <v/>
      </c>
      <c r="O830" s="17">
        <f>-(K830*0.025+L830*0.025)</f>
        <v/>
      </c>
      <c r="P830" s="17">
        <f>32</f>
        <v/>
      </c>
      <c r="Q830" s="17">
        <f>J830+L830+N830+O830-P830-M830</f>
        <v/>
      </c>
    </row>
    <row r="831">
      <c r="A831" s="16" t="inlineStr">
        <is>
          <t>5.1-5.7</t>
        </is>
      </c>
      <c r="B831" s="16" t="inlineStr">
        <is>
          <t>PO-128-19238960374392671</t>
        </is>
      </c>
      <c r="C831" s="16" t="inlineStr">
        <is>
          <t>Delivered</t>
        </is>
      </c>
      <c r="D831" s="16" t="inlineStr">
        <is>
          <t>128-19239065231992671</t>
        </is>
      </c>
      <c r="E831" s="16" t="inlineStr">
        <is>
          <t>Delivered</t>
        </is>
      </c>
      <c r="F831" s="16" t="inlineStr">
        <is>
          <t>MCM-001G</t>
        </is>
      </c>
      <c r="G831" s="16" t="inlineStr">
        <is>
          <t>Musicord Altavoz Inalámbrico BT Portátil: ¡Sonido impactante, luces LED multicolores y 4 horas de autonomía! Compatible con TWS, FM, TF y USB – Imprescindible para fiestas y viajes</t>
        </is>
      </c>
      <c r="H831" s="16" t="inlineStr">
        <is>
          <t>GRIS</t>
        </is>
      </c>
      <c r="I831" s="16" t="n">
        <v>1</v>
      </c>
      <c r="J831" s="17" t="n">
        <v>51.07</v>
      </c>
      <c r="K831" s="17" t="n">
        <v>62.34</v>
      </c>
      <c r="L831" s="17" t="n">
        <v>25.86</v>
      </c>
      <c r="M831" s="17" t="n">
        <v>0.07000000000000001</v>
      </c>
      <c r="N831" s="17">
        <f>K831*0.08+L831*0.08</f>
        <v/>
      </c>
      <c r="O831" s="17">
        <f>-(K831*0.025+L831*0.025)</f>
        <v/>
      </c>
      <c r="P831" s="17">
        <f>32</f>
        <v/>
      </c>
      <c r="Q831" s="17">
        <f>J831+L831+N831+O831-P831-M831</f>
        <v/>
      </c>
    </row>
    <row r="832">
      <c r="A832" s="16" t="inlineStr">
        <is>
          <t>5.1-5.7</t>
        </is>
      </c>
      <c r="B832" s="16" t="inlineStr">
        <is>
          <t>PO-128-18780638034550219</t>
        </is>
      </c>
      <c r="C832" s="16" t="inlineStr">
        <is>
          <t>Delivered</t>
        </is>
      </c>
      <c r="D832" s="16" t="inlineStr">
        <is>
          <t>128-18780679977590219</t>
        </is>
      </c>
      <c r="E832" s="16" t="inlineStr">
        <is>
          <t>Delivered</t>
        </is>
      </c>
      <c r="F832" s="16" t="inlineStr">
        <is>
          <t>MCM-001G</t>
        </is>
      </c>
      <c r="G832" s="16" t="inlineStr">
        <is>
          <t>Musicord Altavoz Inalámbrico BT Portátil: ¡Sonido impactante, luces LED multicolores y 4 horas de autonomía! Compatible con TWS, FM, TF y USB – Imprescindible para fiestas y viajes</t>
        </is>
      </c>
      <c r="H832" s="16" t="inlineStr">
        <is>
          <t>GRIS</t>
        </is>
      </c>
      <c r="I832" s="16" t="n">
        <v>1</v>
      </c>
      <c r="J832" s="17" t="n">
        <v>51.07</v>
      </c>
      <c r="K832" s="17" t="n">
        <v>5.45</v>
      </c>
      <c r="L832" s="17" t="n">
        <v>25.86</v>
      </c>
      <c r="M832" s="17" t="n">
        <v>0</v>
      </c>
      <c r="N832" s="17">
        <f>K832*0.08+L832*0.08</f>
        <v/>
      </c>
      <c r="O832" s="17">
        <f>-(K832*0.025+L832*0.025)</f>
        <v/>
      </c>
      <c r="P832" s="17">
        <f>32</f>
        <v/>
      </c>
      <c r="Q832" s="17">
        <f>J832+L832+N832+O832-P832-M832</f>
        <v/>
      </c>
    </row>
    <row r="833">
      <c r="A833" s="16" t="inlineStr">
        <is>
          <t>5.1-5.7</t>
        </is>
      </c>
      <c r="B833" s="16" t="inlineStr">
        <is>
          <t>PO-128-18941727171193227</t>
        </is>
      </c>
      <c r="C833" s="16" t="inlineStr">
        <is>
          <t>Delivered</t>
        </is>
      </c>
      <c r="D833" s="16" t="inlineStr">
        <is>
          <t>128-18941685228153227</t>
        </is>
      </c>
      <c r="E833" s="16" t="inlineStr">
        <is>
          <t>Delivered</t>
        </is>
      </c>
      <c r="F833" s="16" t="inlineStr">
        <is>
          <t>MCM-001R</t>
        </is>
      </c>
      <c r="G833" s="16" t="inlineStr">
        <is>
          <t>Musicord Altavoz Inalámbrico BT Portátil: ¡Sonido impactante, luces LED multicolores y 4 horas de autonomía! Compatible con TWS, FM, TF y USB – Imprescindible para fiestas y viajes</t>
        </is>
      </c>
      <c r="H833" s="16" t="inlineStr">
        <is>
          <t>ROJO</t>
        </is>
      </c>
      <c r="I833" s="16" t="n">
        <v>1</v>
      </c>
      <c r="J833" s="17" t="n">
        <v>66.5</v>
      </c>
      <c r="K833" s="17" t="n">
        <v>77.78</v>
      </c>
      <c r="L833" s="17" t="n">
        <v>25.86</v>
      </c>
      <c r="M833" s="17" t="n">
        <v>0</v>
      </c>
      <c r="N833" s="17">
        <f>K833*0.08+L833*0.08</f>
        <v/>
      </c>
      <c r="O833" s="17">
        <f>-(K833*0.025+L833*0.025)</f>
        <v/>
      </c>
      <c r="P833" s="17">
        <f>32</f>
        <v/>
      </c>
      <c r="Q833" s="17">
        <f>J833+L833+N833+O833-P833-M833</f>
        <v/>
      </c>
    </row>
    <row r="834">
      <c r="A834" s="16" t="inlineStr">
        <is>
          <t>5.1-5.7</t>
        </is>
      </c>
      <c r="B834" s="16" t="inlineStr">
        <is>
          <t>PO-128-18801627566710092</t>
        </is>
      </c>
      <c r="C834" s="16" t="inlineStr">
        <is>
          <t>Delivered</t>
        </is>
      </c>
      <c r="D834" s="16" t="inlineStr">
        <is>
          <t>128-18801606595190092</t>
        </is>
      </c>
      <c r="E834" s="16" t="inlineStr">
        <is>
          <t>Delivered</t>
        </is>
      </c>
      <c r="F834" s="16" t="inlineStr">
        <is>
          <t>LB02235-negro</t>
        </is>
      </c>
      <c r="G834" s="16" t="inlineStr">
        <is>
          <t>Audífonos Inalámbricos para la Cabeza, Recargables y Multifuncionales - Conectan a Varios Dispositivos, soportan Radio FM, Tarjeta TF y AUX - 4 Horas de Reproducción Musical - Ideal para Trabajo Cotidiano, Juegos y Estudio</t>
        </is>
      </c>
      <c r="H834" s="16" t="inlineStr">
        <is>
          <t>NEGRO</t>
        </is>
      </c>
      <c r="I834" s="16" t="n">
        <v>1</v>
      </c>
      <c r="J834" s="17" t="n">
        <v>45.31</v>
      </c>
      <c r="K834" s="17" t="n">
        <v>58.42</v>
      </c>
      <c r="L834" s="17" t="n">
        <v>25.86</v>
      </c>
      <c r="M834" s="17" t="n">
        <v>0</v>
      </c>
      <c r="N834" s="17">
        <f>K834*0.08+L834*0.08</f>
        <v/>
      </c>
      <c r="O834" s="17">
        <f>-(K834*0.025+L834*0.025)</f>
        <v/>
      </c>
      <c r="P834" s="17">
        <f>32</f>
        <v/>
      </c>
      <c r="Q834" s="17">
        <f>J834+L834+N834+O834-P834-M834</f>
        <v/>
      </c>
    </row>
    <row r="835">
      <c r="A835" s="16" t="inlineStr">
        <is>
          <t>5.1-5.7</t>
        </is>
      </c>
      <c r="B835" s="16" t="inlineStr">
        <is>
          <t>PO-128-18610479288951233</t>
        </is>
      </c>
      <c r="C835" s="16" t="inlineStr">
        <is>
          <t>Delivered</t>
        </is>
      </c>
      <c r="D835" s="16" t="inlineStr">
        <is>
          <t>128-18610489774711233</t>
        </is>
      </c>
      <c r="E835" s="16" t="inlineStr">
        <is>
          <t>Delivered</t>
        </is>
      </c>
      <c r="F835" s="16" t="inlineStr">
        <is>
          <t>LB02235-blanco</t>
        </is>
      </c>
      <c r="G835" s="16" t="inlineStr">
        <is>
          <t>Audífonos Inalámbricos para la Cabeza, Recargables y Multifuncionales - Conectan a Varios Dispositivos, soportan Radio FM, Tarjeta TF y AUX - 4 Horas de Reproducción Musical - Ideal para Trabajo Cotidiano, Juegos y Estudio</t>
        </is>
      </c>
      <c r="H835" s="16" t="inlineStr">
        <is>
          <t>BLANCO</t>
        </is>
      </c>
      <c r="I835" s="16" t="n">
        <v>1</v>
      </c>
      <c r="J835" s="17" t="n">
        <v>45.31</v>
      </c>
      <c r="K835" s="17" t="n">
        <v>58.42</v>
      </c>
      <c r="L835" s="17" t="n">
        <v>25.86</v>
      </c>
      <c r="M835" s="17" t="n">
        <v>0</v>
      </c>
      <c r="N835" s="17">
        <f>K835*0.08+L835*0.08</f>
        <v/>
      </c>
      <c r="O835" s="17">
        <f>-(K835*0.025+L835*0.025)</f>
        <v/>
      </c>
      <c r="P835" s="17">
        <f>32</f>
        <v/>
      </c>
      <c r="Q835" s="17">
        <f>J835+L835+N835+O835-P835-M835</f>
        <v/>
      </c>
    </row>
    <row r="836">
      <c r="A836" s="16" t="inlineStr">
        <is>
          <t>5.1-5.7</t>
        </is>
      </c>
      <c r="B836" s="16" t="inlineStr">
        <is>
          <t>PO-128-18950874604153234</t>
        </is>
      </c>
      <c r="C836" s="16" t="inlineStr">
        <is>
          <t>Delivered</t>
        </is>
      </c>
      <c r="D836" s="16" t="inlineStr">
        <is>
          <t>128-18951038444153234</t>
        </is>
      </c>
      <c r="E836" s="16" t="inlineStr">
        <is>
          <t>Delivered</t>
        </is>
      </c>
      <c r="F836" s="16" t="inlineStr">
        <is>
          <t>AIR50W06-2P</t>
        </is>
      </c>
      <c r="G836" s="16" t="inlineStr">
        <is>
          <t>Link Bits Ventilador de piso de 16 pulgadas, 2 unidades, 3 velocidades, motor silencioso, flujo de aire fuerte, altura ajustable, oscilación amplia, ventilador eléctrico para el hogar, ideal para sala, recámara y oficina</t>
        </is>
      </c>
      <c r="H836" s="16" t="inlineStr">
        <is>
          <t>2PZ</t>
        </is>
      </c>
      <c r="I836" s="16" t="n">
        <v>1</v>
      </c>
      <c r="J836" s="17" t="n">
        <v>437.88</v>
      </c>
      <c r="K836" s="17" t="n">
        <v>571</v>
      </c>
      <c r="L836" s="17" t="n">
        <v>0</v>
      </c>
      <c r="M836" s="17" t="n">
        <v>0</v>
      </c>
      <c r="N836" s="17">
        <f>K836*0.08+L836*0.08</f>
        <v/>
      </c>
      <c r="O836" s="17">
        <f>-(K836*0.025+L836*0.025)</f>
        <v/>
      </c>
      <c r="P836" s="17">
        <f>32</f>
        <v/>
      </c>
      <c r="Q836" s="17">
        <f>J836+L836+N836+O836-P836-M836</f>
        <v/>
      </c>
    </row>
    <row r="837">
      <c r="A837" s="16" t="inlineStr">
        <is>
          <t>5.1-5.7</t>
        </is>
      </c>
      <c r="B837" s="16" t="inlineStr">
        <is>
          <t>PO-128-18670894408311833</t>
        </is>
      </c>
      <c r="C837" s="16" t="inlineStr">
        <is>
          <t>Delivered</t>
        </is>
      </c>
      <c r="D837" s="16" t="inlineStr">
        <is>
          <t>128-18670879990391833</t>
        </is>
      </c>
      <c r="E837" s="16" t="inlineStr">
        <is>
          <t>Delivered</t>
        </is>
      </c>
      <c r="F837" s="16" t="inlineStr">
        <is>
          <t>LB02235-azul</t>
        </is>
      </c>
      <c r="G837" s="16" t="inlineStr">
        <is>
          <t>Audífonos Inalámbricos para la Cabeza, Recargables y Multifuncionales - Conectan a Varios Dispositivos, soportan Radio FM, Tarjeta TF y AUX - 4 Horas de Reproducción Musical - Ideal para Trabajo Cotidiano, Juegos y Estudio</t>
        </is>
      </c>
      <c r="H837" s="16" t="inlineStr">
        <is>
          <t>AZUL</t>
        </is>
      </c>
      <c r="I837" s="16" t="n">
        <v>1</v>
      </c>
      <c r="J837" s="17" t="n">
        <v>37.73</v>
      </c>
      <c r="K837" s="17" t="n">
        <v>50.84</v>
      </c>
      <c r="L837" s="17" t="n">
        <v>25.86</v>
      </c>
      <c r="M837" s="17" t="n">
        <v>0</v>
      </c>
      <c r="N837" s="17">
        <f>K837*0.08+L837*0.08</f>
        <v/>
      </c>
      <c r="O837" s="17">
        <f>-(K837*0.025+L837*0.025)</f>
        <v/>
      </c>
      <c r="P837" s="17">
        <f>32</f>
        <v/>
      </c>
      <c r="Q837" s="17">
        <f>J837+L837+N837+O837-P837-M837</f>
        <v/>
      </c>
    </row>
    <row r="838">
      <c r="A838" s="16" t="inlineStr">
        <is>
          <t>5.1-5.7</t>
        </is>
      </c>
      <c r="B838" s="16" t="inlineStr">
        <is>
          <t>PO-128-19055029320313638</t>
        </is>
      </c>
      <c r="C838" s="16" t="inlineStr">
        <is>
          <t>Delivered</t>
        </is>
      </c>
      <c r="D838" s="16" t="inlineStr">
        <is>
          <t>128-19054987377273638</t>
        </is>
      </c>
      <c r="E838" s="16" t="inlineStr">
        <is>
          <t>Delivered</t>
        </is>
      </c>
      <c r="F838" s="16" t="inlineStr">
        <is>
          <t>LB02235-negro</t>
        </is>
      </c>
      <c r="G838" s="16" t="inlineStr">
        <is>
          <t>Audífonos Inalámbricos para la Cabeza, Recargables y Multifuncionales - Conectan a Varios Dispositivos, soportan Radio FM, Tarjeta TF y AUX - 4 Horas de Reproducción Musical - Ideal para Trabajo Cotidiano, Juegos y Estudio</t>
        </is>
      </c>
      <c r="H838" s="16" t="inlineStr">
        <is>
          <t>NEGRO</t>
        </is>
      </c>
      <c r="I838" s="16" t="n">
        <v>1</v>
      </c>
      <c r="J838" s="17" t="n">
        <v>45.31</v>
      </c>
      <c r="K838" s="17" t="n">
        <v>4.97</v>
      </c>
      <c r="L838" s="17" t="n">
        <v>25.86</v>
      </c>
      <c r="M838" s="17" t="n">
        <v>0</v>
      </c>
      <c r="N838" s="17">
        <f>K838*0.08+L838*0.08</f>
        <v/>
      </c>
      <c r="O838" s="17">
        <f>-(K838*0.025+L838*0.025)</f>
        <v/>
      </c>
      <c r="P838" s="17">
        <f>32</f>
        <v/>
      </c>
      <c r="Q838" s="17">
        <f>J838+L838+N838+O838-P838-M838</f>
        <v/>
      </c>
    </row>
    <row r="839">
      <c r="A839" s="16" t="inlineStr">
        <is>
          <t>5.1-5.7</t>
        </is>
      </c>
      <c r="B839" s="16" t="inlineStr">
        <is>
          <t>PO-128-19119220265592233</t>
        </is>
      </c>
      <c r="C839" s="16" t="inlineStr">
        <is>
          <t>Delivered</t>
        </is>
      </c>
      <c r="D839" s="16" t="inlineStr">
        <is>
          <t>128-19119199294072233</t>
        </is>
      </c>
      <c r="E839" s="16" t="inlineStr">
        <is>
          <t>Delivered</t>
        </is>
      </c>
      <c r="F839" s="16" t="inlineStr">
        <is>
          <t>MCM-001G</t>
        </is>
      </c>
      <c r="G839" s="16" t="inlineStr">
        <is>
          <t>Musicord Altavoz Inalámbrico BT Portátil: ¡Sonido impactante, luces LED multicolores y 4 horas de autonomía! Compatible con TWS, FM, TF y USB – Imprescindible para fiestas y viajes</t>
        </is>
      </c>
      <c r="H839" s="16" t="inlineStr">
        <is>
          <t>GRIS</t>
        </is>
      </c>
      <c r="I839" s="16" t="n">
        <v>1</v>
      </c>
      <c r="J839" s="17" t="n">
        <v>51.07</v>
      </c>
      <c r="K839" s="17" t="n">
        <v>62.34</v>
      </c>
      <c r="L839" s="17" t="n">
        <v>25.86</v>
      </c>
      <c r="M839" s="17" t="n">
        <v>0</v>
      </c>
      <c r="N839" s="17">
        <f>K839*0.08+L839*0.08</f>
        <v/>
      </c>
      <c r="O839" s="17">
        <f>-(K839*0.025+L839*0.025)</f>
        <v/>
      </c>
      <c r="P839" s="17">
        <f>32</f>
        <v/>
      </c>
      <c r="Q839" s="17">
        <f>J839+L839+N839+O839-P839-M839</f>
        <v/>
      </c>
    </row>
    <row r="840">
      <c r="A840" s="16" t="inlineStr">
        <is>
          <t>5.1-5.7</t>
        </is>
      </c>
      <c r="B840" s="16" t="inlineStr">
        <is>
          <t>PO-128-18820834120310938</t>
        </is>
      </c>
      <c r="C840" s="16" t="inlineStr">
        <is>
          <t>Delivered</t>
        </is>
      </c>
      <c r="D840" s="16" t="inlineStr">
        <is>
          <t>128-18820792177270938</t>
        </is>
      </c>
      <c r="E840" s="16" t="inlineStr">
        <is>
          <t>Delivered</t>
        </is>
      </c>
      <c r="F840" s="16" t="inlineStr">
        <is>
          <t>KTS-1678R</t>
        </is>
      </c>
      <c r="G840" s="16" t="inlineStr">
        <is>
          <t>Bocina portátil Inalámbrico, de 3 pulgadas, tamaño de bolsillo, 170 g, con asa, compatible con TF, USB y Micro SD, con radio FM y función TWS (True Wireless Stereo), adecuada para relajarse en casa o viajar al aire libre.</t>
        </is>
      </c>
      <c r="H840" s="16" t="inlineStr">
        <is>
          <t>KTS-1678R</t>
        </is>
      </c>
      <c r="I840" s="16" t="n">
        <v>1</v>
      </c>
      <c r="J840" s="17" t="n">
        <v>42.5</v>
      </c>
      <c r="K840" s="17" t="n">
        <v>7.68</v>
      </c>
      <c r="L840" s="17" t="n">
        <v>25.86</v>
      </c>
      <c r="M840" s="17" t="n">
        <v>0</v>
      </c>
      <c r="N840" s="17">
        <f>K840*0.08+L840*0.08</f>
        <v/>
      </c>
      <c r="O840" s="17">
        <f>-(K840*0.025+L840*0.025)</f>
        <v/>
      </c>
      <c r="P840" s="17">
        <f>32</f>
        <v/>
      </c>
      <c r="Q840" s="17">
        <f>J840+L840+N840+O840-P840-M840</f>
        <v/>
      </c>
    </row>
    <row r="841">
      <c r="A841" s="16" t="inlineStr">
        <is>
          <t>5.1-5.7</t>
        </is>
      </c>
      <c r="B841" s="16" t="inlineStr">
        <is>
          <t>PO-128-18821323663990937</t>
        </is>
      </c>
      <c r="C841" s="16" t="inlineStr">
        <is>
          <t>Delivered</t>
        </is>
      </c>
      <c r="D841" s="16" t="inlineStr">
        <is>
          <t>128-18821281720950937</t>
        </is>
      </c>
      <c r="E841" s="16" t="inlineStr">
        <is>
          <t>Delivered</t>
        </is>
      </c>
      <c r="F841" s="16" t="inlineStr">
        <is>
          <t>AIR50W06-2P</t>
        </is>
      </c>
      <c r="G841" s="16" t="inlineStr">
        <is>
          <t>Link Bits Ventilador de piso de 16 pulgadas, 2 unidades, 3 velocidades, motor silencioso, flujo de aire fuerte, altura ajustable, oscilación amplia, ventilador eléctrico para el hogar, ideal para sala, recámara y oficina</t>
        </is>
      </c>
      <c r="H841" s="16" t="inlineStr">
        <is>
          <t>2PZ</t>
        </is>
      </c>
      <c r="I841" s="16" t="n">
        <v>1</v>
      </c>
      <c r="J841" s="17" t="n">
        <v>437.88</v>
      </c>
      <c r="K841" s="17" t="n">
        <v>342.6</v>
      </c>
      <c r="L841" s="17" t="n">
        <v>0</v>
      </c>
      <c r="M841" s="17" t="n">
        <v>0</v>
      </c>
      <c r="N841" s="17">
        <f>K841*0.08+L841*0.08</f>
        <v/>
      </c>
      <c r="O841" s="17">
        <f>-(K841*0.025+L841*0.025)</f>
        <v/>
      </c>
      <c r="P841" s="17">
        <f>32</f>
        <v/>
      </c>
      <c r="Q841" s="17">
        <f>J841+L841+N841+O841-P841-M841</f>
        <v/>
      </c>
    </row>
    <row r="842">
      <c r="A842" s="16" t="inlineStr">
        <is>
          <t>5.1-5.7</t>
        </is>
      </c>
      <c r="B842" s="16" t="inlineStr">
        <is>
          <t>PO-128-18674865490551872</t>
        </is>
      </c>
      <c r="C842" s="16" t="inlineStr">
        <is>
          <t>Delivered</t>
        </is>
      </c>
      <c r="D842" s="16" t="inlineStr">
        <is>
          <t>128-18674823547511872</t>
        </is>
      </c>
      <c r="E842" s="16" t="inlineStr">
        <is>
          <t>Delivered</t>
        </is>
      </c>
      <c r="F842" s="16" t="inlineStr">
        <is>
          <t>BS-22</t>
        </is>
      </c>
      <c r="G842" s="16" t="inlineStr">
        <is>
          <t>link bits Barra de Sonido para TV, 2x2" Altavoces + 2 Membranas de Graves, Sonido Claro ≥80dB, Bluetooth Inalámbrico, Conexiones AUX/USB, Diseño Compacto 76cm, Sonido Envolvente 3D para Cine en Casa, PC, Juegos y Fiestas</t>
        </is>
      </c>
      <c r="H842" s="16" t="inlineStr">
        <is>
          <t>BS-22</t>
        </is>
      </c>
      <c r="I842" s="16" t="n">
        <v>1</v>
      </c>
      <c r="J842" s="17" t="n">
        <v>265</v>
      </c>
      <c r="K842" s="17" t="n">
        <v>274.15</v>
      </c>
      <c r="L842" s="17" t="n">
        <v>0</v>
      </c>
      <c r="M842" s="17" t="n">
        <v>0</v>
      </c>
      <c r="N842" s="17">
        <f>K842*0.08+L842*0.08</f>
        <v/>
      </c>
      <c r="O842" s="17">
        <f>-(K842*0.025+L842*0.025)</f>
        <v/>
      </c>
      <c r="P842" s="17">
        <f>32</f>
        <v/>
      </c>
      <c r="Q842" s="17">
        <f>J842+L842+N842+O842-P842-M842</f>
        <v/>
      </c>
    </row>
    <row r="843">
      <c r="A843" s="16" t="inlineStr">
        <is>
          <t>5.1-5.7</t>
        </is>
      </c>
      <c r="B843" s="16" t="inlineStr">
        <is>
          <t>PO-128-18644964434551922</t>
        </is>
      </c>
      <c r="C843" s="16" t="inlineStr">
        <is>
          <t>Delivered</t>
        </is>
      </c>
      <c r="D843" s="16" t="inlineStr">
        <is>
          <t>128-18644985406071922</t>
        </is>
      </c>
      <c r="E843" s="16" t="inlineStr">
        <is>
          <t>Delivered</t>
        </is>
      </c>
      <c r="F843" s="16" t="inlineStr">
        <is>
          <t>FA028</t>
        </is>
      </c>
      <c r="G843" s="16" t="inlineStr">
        <is>
          <t>Extractor de agua para garrafas de agua, compatible con carga USB, extractor de agua automático, práctico, con dos modos de toma de agua: manual y programado, ideal para dormitorios, salones, oficinas, uso al aire libre y otros escenarios.</t>
        </is>
      </c>
      <c r="H843" s="16" t="inlineStr">
        <is>
          <t>FA028</t>
        </is>
      </c>
      <c r="I843" s="16" t="n">
        <v>1</v>
      </c>
      <c r="J843" s="17" t="n">
        <v>35.77</v>
      </c>
      <c r="K843" s="17" t="n">
        <v>35.3</v>
      </c>
      <c r="L843" s="17" t="n">
        <v>25.86</v>
      </c>
      <c r="M843" s="17" t="n">
        <v>0</v>
      </c>
      <c r="N843" s="17">
        <f>K843*0.08+L843*0.08</f>
        <v/>
      </c>
      <c r="O843" s="17">
        <f>-(K843*0.025+L843*0.025)</f>
        <v/>
      </c>
      <c r="P843" s="17">
        <f>32</f>
        <v/>
      </c>
      <c r="Q843" s="17">
        <f>J843+L843+N843+O843-P843-M843</f>
        <v/>
      </c>
    </row>
    <row r="844">
      <c r="A844" s="16" t="inlineStr">
        <is>
          <t>5.1-5.7</t>
        </is>
      </c>
      <c r="B844" s="16" t="inlineStr">
        <is>
          <t>PO-128-08216538880632768</t>
        </is>
      </c>
      <c r="C844" s="16" t="inlineStr">
        <is>
          <t>Delivered</t>
        </is>
      </c>
      <c r="D844" s="16" t="inlineStr">
        <is>
          <t>128-08216580823672768</t>
        </is>
      </c>
      <c r="E844" s="16" t="inlineStr">
        <is>
          <t>Delivered</t>
        </is>
      </c>
      <c r="F844" s="16" t="inlineStr">
        <is>
          <t>LB02235-negro</t>
        </is>
      </c>
      <c r="G844" s="16" t="inlineStr">
        <is>
          <t>Audífonos Inalámbricos para la Cabeza, Recargables y Multifuncionales - Conectan a Varios Dispositivos, soportan Radio FM, Tarjeta TF y AUX - 4 Horas de Reproducción Musical - Ideal para Trabajo Cotidiano, Juegos y Estudio</t>
        </is>
      </c>
      <c r="H844" s="16" t="inlineStr">
        <is>
          <t>NEGRO</t>
        </is>
      </c>
      <c r="I844" s="16" t="n">
        <v>1</v>
      </c>
      <c r="J844" s="17" t="n">
        <v>45.31</v>
      </c>
      <c r="K844" s="17" t="n">
        <v>58.42</v>
      </c>
      <c r="L844" s="17" t="n">
        <v>25.86</v>
      </c>
      <c r="M844" s="17" t="n">
        <v>0</v>
      </c>
      <c r="N844" s="17">
        <f>K844*0.08+L844*0.08</f>
        <v/>
      </c>
      <c r="O844" s="17">
        <f>-(K844*0.025+L844*0.025)</f>
        <v/>
      </c>
      <c r="P844" s="17">
        <f>32</f>
        <v/>
      </c>
      <c r="Q844" s="17">
        <f>J844+L844+N844+O844-P844-M844</f>
        <v/>
      </c>
    </row>
    <row r="845">
      <c r="A845" s="16" t="inlineStr">
        <is>
          <t>5.1-5.7</t>
        </is>
      </c>
      <c r="B845" s="16" t="inlineStr">
        <is>
          <t>PO-128-07714793687671537</t>
        </is>
      </c>
      <c r="C845" s="16" t="inlineStr">
        <is>
          <t>Delivered</t>
        </is>
      </c>
      <c r="D845" s="16" t="inlineStr">
        <is>
          <t>128-07714834647671537</t>
        </is>
      </c>
      <c r="E845" s="16" t="inlineStr">
        <is>
          <t>Delivered</t>
        </is>
      </c>
      <c r="F845" s="16" t="inlineStr">
        <is>
          <t>LB02235-azul</t>
        </is>
      </c>
      <c r="G845" s="16" t="inlineStr">
        <is>
          <t>Audífonos Inalámbricos para la Cabeza, Recargables y Multifuncionales - Conectan a Varios Dispositivos, soportan Radio FM, Tarjeta TF y AUX - 4 Horas de Reproducción Musical - Ideal para Trabajo Cotidiano, Juegos y Estudio</t>
        </is>
      </c>
      <c r="H845" s="16" t="inlineStr">
        <is>
          <t>AZUL</t>
        </is>
      </c>
      <c r="I845" s="16" t="n">
        <v>1</v>
      </c>
      <c r="J845" s="17" t="n">
        <v>37.73</v>
      </c>
      <c r="K845" s="17" t="n">
        <v>50.84</v>
      </c>
      <c r="L845" s="17" t="n">
        <v>25.86</v>
      </c>
      <c r="M845" s="17" t="n">
        <v>0</v>
      </c>
      <c r="N845" s="17">
        <f>K845*0.08+L845*0.08</f>
        <v/>
      </c>
      <c r="O845" s="17">
        <f>-(K845*0.025+L845*0.025)</f>
        <v/>
      </c>
      <c r="P845" s="17">
        <f>32</f>
        <v/>
      </c>
      <c r="Q845" s="17">
        <f>J845+L845+N845+O845-P845-M845</f>
        <v/>
      </c>
    </row>
    <row r="846">
      <c r="A846" s="16" t="inlineStr">
        <is>
          <t>5.1-5.7</t>
        </is>
      </c>
      <c r="B846" s="16" t="inlineStr">
        <is>
          <t>PO-128-07651359038071979</t>
        </is>
      </c>
      <c r="C846" s="16" t="inlineStr">
        <is>
          <t>Delivered</t>
        </is>
      </c>
      <c r="D846" s="16" t="inlineStr">
        <is>
          <t>128-07651380009591979</t>
        </is>
      </c>
      <c r="E846" s="16" t="inlineStr">
        <is>
          <t>Delivered</t>
        </is>
      </c>
      <c r="F846" s="16" t="inlineStr">
        <is>
          <t>LB02235-azul</t>
        </is>
      </c>
      <c r="G846" s="16" t="inlineStr">
        <is>
          <t>Audífonos Inalámbricos para la Cabeza, Recargables y Multifuncionales - Conectan a Varios Dispositivos, soportan Radio FM, Tarjeta TF y AUX - 4 Horas de Reproducción Musical - Ideal para Trabajo Cotidiano, Juegos y Estudio</t>
        </is>
      </c>
      <c r="H846" s="16" t="inlineStr">
        <is>
          <t>AZUL</t>
        </is>
      </c>
      <c r="I846" s="16" t="n">
        <v>1</v>
      </c>
      <c r="J846" s="17" t="n">
        <v>37.73</v>
      </c>
      <c r="K846" s="17" t="n">
        <v>50.84</v>
      </c>
      <c r="L846" s="17" t="n">
        <v>25.86</v>
      </c>
      <c r="M846" s="17" t="n">
        <v>0</v>
      </c>
      <c r="N846" s="17">
        <f>K846*0.08+L846*0.08</f>
        <v/>
      </c>
      <c r="O846" s="17">
        <f>-(K846*0.025+L846*0.025)</f>
        <v/>
      </c>
      <c r="P846" s="17">
        <f>32</f>
        <v/>
      </c>
      <c r="Q846" s="17">
        <f>J846+L846+N846+O846-P846-M846</f>
        <v/>
      </c>
    </row>
    <row r="847">
      <c r="A847" s="16" t="inlineStr">
        <is>
          <t>5.1-5.7</t>
        </is>
      </c>
      <c r="B847" s="16" t="inlineStr">
        <is>
          <t>PO-128-07816368497270099</t>
        </is>
      </c>
      <c r="C847" s="16" t="inlineStr">
        <is>
          <t>Delivered</t>
        </is>
      </c>
      <c r="D847" s="16" t="inlineStr">
        <is>
          <t>128-07816389468790099</t>
        </is>
      </c>
      <c r="E847" s="16" t="inlineStr">
        <is>
          <t>Delivered</t>
        </is>
      </c>
      <c r="F847" s="16" t="inlineStr">
        <is>
          <t>LB02235-negro</t>
        </is>
      </c>
      <c r="G847" s="16" t="inlineStr">
        <is>
          <t>Audífonos Inalámbricos para la Cabeza, Recargables y Multifuncionales - Conectan a Varios Dispositivos, soportan Radio FM, Tarjeta TF y AUX - 4 Horas de Reproducción Musical - Ideal para Trabajo Cotidiano, Juegos y Estudio</t>
        </is>
      </c>
      <c r="H847" s="16" t="inlineStr">
        <is>
          <t>NEGRO</t>
        </is>
      </c>
      <c r="I847" s="16" t="n">
        <v>1</v>
      </c>
      <c r="J847" s="17" t="n">
        <v>45.31</v>
      </c>
      <c r="K847" s="17" t="n">
        <v>58.42</v>
      </c>
      <c r="L847" s="17" t="n">
        <v>25.86</v>
      </c>
      <c r="M847" s="17" t="n">
        <v>0</v>
      </c>
      <c r="N847" s="17">
        <f>K847*0.08+L847*0.08</f>
        <v/>
      </c>
      <c r="O847" s="17">
        <f>-(K847*0.025+L847*0.025)</f>
        <v/>
      </c>
      <c r="P847" s="17">
        <f>32</f>
        <v/>
      </c>
      <c r="Q847" s="17">
        <f>J847+L847+N847+O847-P847-M847</f>
        <v/>
      </c>
    </row>
    <row r="848">
      <c r="A848" s="16" t="inlineStr">
        <is>
          <t>5.1-5.7</t>
        </is>
      </c>
      <c r="B848" s="16" t="inlineStr">
        <is>
          <t>PO-128-07976621681273110</t>
        </is>
      </c>
      <c r="C848" s="16" t="inlineStr">
        <is>
          <t>Delivered</t>
        </is>
      </c>
      <c r="D848" s="16" t="inlineStr">
        <is>
          <t>128-07976611195513110</t>
        </is>
      </c>
      <c r="E848" s="16" t="inlineStr">
        <is>
          <t>Delivered</t>
        </is>
      </c>
      <c r="F848" s="16" t="inlineStr">
        <is>
          <t>LB02235-negro</t>
        </is>
      </c>
      <c r="G848" s="16" t="inlineStr">
        <is>
          <t>Audífonos Inalámbricos para la Cabeza, Recargables y Multifuncionales - Conectan a Varios Dispositivos, soportan Radio FM, Tarjeta TF y AUX - 4 Horas de Reproducción Musical - Ideal para Trabajo Cotidiano, Juegos y Estudio</t>
        </is>
      </c>
      <c r="H848" s="16" t="inlineStr">
        <is>
          <t>NEGRO</t>
        </is>
      </c>
      <c r="I848" s="16" t="n">
        <v>1</v>
      </c>
      <c r="J848" s="17" t="n">
        <v>45.31</v>
      </c>
      <c r="K848" s="17" t="n">
        <v>43.97</v>
      </c>
      <c r="L848" s="17" t="n">
        <v>25.86</v>
      </c>
      <c r="M848" s="17" t="n">
        <v>0</v>
      </c>
      <c r="N848" s="17">
        <f>K848*0.08+L848*0.08</f>
        <v/>
      </c>
      <c r="O848" s="17">
        <f>-(K848*0.025+L848*0.025)</f>
        <v/>
      </c>
      <c r="P848" s="17">
        <f>32</f>
        <v/>
      </c>
      <c r="Q848" s="17">
        <f>J848+L848+N848+O848-P848-M848</f>
        <v/>
      </c>
    </row>
    <row r="849">
      <c r="A849" s="16" t="inlineStr">
        <is>
          <t>5.1-5.7</t>
        </is>
      </c>
      <c r="B849" s="16" t="inlineStr">
        <is>
          <t>PO-128-07821148047990903</t>
        </is>
      </c>
      <c r="C849" s="16" t="inlineStr">
        <is>
          <t>Delivered</t>
        </is>
      </c>
      <c r="D849" s="16" t="inlineStr">
        <is>
          <t>128-07821169019510903</t>
        </is>
      </c>
      <c r="E849" s="16" t="inlineStr">
        <is>
          <t>Delivered</t>
        </is>
      </c>
      <c r="F849" s="16" t="inlineStr">
        <is>
          <t>AIR50W06-2P</t>
        </is>
      </c>
      <c r="G849" s="16" t="inlineStr">
        <is>
          <t>Link Bits Ventilador de piso de 16 pulgadas, 2 unidades, 3 velocidades, motor silencioso, flujo de aire fuerte, altura ajustable, oscilación amplia, ventilador eléctrico para el hogar, ideal para sala, recámara y oficina</t>
        </is>
      </c>
      <c r="H849" s="16" t="inlineStr">
        <is>
          <t>2PZ</t>
        </is>
      </c>
      <c r="I849" s="16" t="n">
        <v>2</v>
      </c>
      <c r="J849" s="17" t="n">
        <v>875.76</v>
      </c>
      <c r="K849" s="17" t="n">
        <v>657.79</v>
      </c>
      <c r="L849" s="17" t="n">
        <v>0</v>
      </c>
      <c r="M849" s="17" t="n">
        <v>0</v>
      </c>
      <c r="N849" s="17">
        <f>K849*0.08+L849*0.08</f>
        <v/>
      </c>
      <c r="O849" s="17">
        <f>-(K849*0.025+L849*0.025)</f>
        <v/>
      </c>
      <c r="P849" s="17">
        <f>32</f>
        <v/>
      </c>
      <c r="Q849" s="17">
        <f>J849+L849+N849+O849-P849-M849</f>
        <v/>
      </c>
    </row>
    <row r="850">
      <c r="A850" s="16" t="inlineStr">
        <is>
          <t>5.1-5.7</t>
        </is>
      </c>
      <c r="B850" s="16" t="inlineStr">
        <is>
          <t>PO-128-08185532764792827</t>
        </is>
      </c>
      <c r="C850" s="16" t="inlineStr">
        <is>
          <t>Delivered</t>
        </is>
      </c>
      <c r="D850" s="16" t="inlineStr">
        <is>
          <t>128-08185585193592827</t>
        </is>
      </c>
      <c r="E850" s="16" t="inlineStr">
        <is>
          <t>Delivered</t>
        </is>
      </c>
      <c r="F850" s="16" t="inlineStr">
        <is>
          <t>LB02235-rojo</t>
        </is>
      </c>
      <c r="G850" s="16" t="inlineStr">
        <is>
          <t>Audífonos Inalámbricos para la Cabeza, Recargables y Multifuncionales - Conectan a Varios Dispositivos, soportan Radio FM, Tarjeta TF y AUX - 4 Horas de Reproducción Musical - Ideal para Trabajo Cotidiano, Juegos y Estudio</t>
        </is>
      </c>
      <c r="H850" s="16" t="inlineStr">
        <is>
          <t>ROJO</t>
        </is>
      </c>
      <c r="I850" s="16" t="n">
        <v>1</v>
      </c>
      <c r="J850" s="17" t="n">
        <v>46</v>
      </c>
      <c r="K850" s="17" t="n">
        <v>44.34</v>
      </c>
      <c r="L850" s="17" t="n">
        <v>25.86</v>
      </c>
      <c r="M850" s="17" t="n">
        <v>0</v>
      </c>
      <c r="N850" s="17">
        <f>K850*0.08+L850*0.08</f>
        <v/>
      </c>
      <c r="O850" s="17">
        <f>-(K850*0.025+L850*0.025)</f>
        <v/>
      </c>
      <c r="P850" s="17">
        <f>32</f>
        <v/>
      </c>
      <c r="Q850" s="17">
        <f>J850+L850+N850+O850-P850-M850</f>
        <v/>
      </c>
    </row>
    <row r="851">
      <c r="A851" s="16" t="inlineStr">
        <is>
          <t>5.1-5.7</t>
        </is>
      </c>
      <c r="B851" s="16" t="inlineStr">
        <is>
          <t>PO-128-07904519055993476</t>
        </is>
      </c>
      <c r="C851" s="16" t="inlineStr">
        <is>
          <t>Delivered</t>
        </is>
      </c>
      <c r="D851" s="16" t="inlineStr">
        <is>
          <t>128-07904571484793476</t>
        </is>
      </c>
      <c r="E851" s="16" t="inlineStr">
        <is>
          <t>Delivered</t>
        </is>
      </c>
      <c r="F851" s="16" t="inlineStr">
        <is>
          <t>KTS-1678Y</t>
        </is>
      </c>
      <c r="G851" s="16" t="inlineStr">
        <is>
          <t>Bocina portátil Inalámbrico, de 3 pulgadas, tamaño de bolsillo, 170 g, con asa, compatible con TF, USB y Micro SD, con radio FM y función TWS (True Wireless Stereo), adecuada para relajarse en casa o viajar al aire libre.</t>
        </is>
      </c>
      <c r="H851" s="16" t="inlineStr">
        <is>
          <t>KTS-1678Y</t>
        </is>
      </c>
      <c r="I851" s="16" t="n">
        <v>1</v>
      </c>
      <c r="J851" s="17" t="n">
        <v>42.5</v>
      </c>
      <c r="K851" s="17" t="n">
        <v>48.72</v>
      </c>
      <c r="L851" s="17" t="n">
        <v>25.86</v>
      </c>
      <c r="M851" s="17" t="n">
        <v>0</v>
      </c>
      <c r="N851" s="17">
        <f>K851*0.08+L851*0.08</f>
        <v/>
      </c>
      <c r="O851" s="17">
        <f>-(K851*0.025+L851*0.025)</f>
        <v/>
      </c>
      <c r="P851" s="17">
        <f>32</f>
        <v/>
      </c>
      <c r="Q851" s="17">
        <f>J851+L851+N851+O851-P851-M851</f>
        <v/>
      </c>
    </row>
    <row r="852">
      <c r="A852" s="16" t="inlineStr">
        <is>
          <t>5.1-5.7</t>
        </is>
      </c>
      <c r="B852" s="16" t="inlineStr">
        <is>
          <t>PO-128-08080603300472490</t>
        </is>
      </c>
      <c r="C852" s="16" t="inlineStr">
        <is>
          <t>Delivered</t>
        </is>
      </c>
      <c r="D852" s="16" t="inlineStr">
        <is>
          <t>128-08080624271992490</t>
        </is>
      </c>
      <c r="E852" s="16" t="inlineStr">
        <is>
          <t>Delivered</t>
        </is>
      </c>
      <c r="F852" s="16" t="inlineStr">
        <is>
          <t>LB02235-negro</t>
        </is>
      </c>
      <c r="G852" s="16" t="inlineStr">
        <is>
          <t>Audífonos Inalámbricos para la Cabeza, Recargables y Multifuncionales - Conectan a Varios Dispositivos, soportan Radio FM, Tarjeta TF y AUX - 4 Horas de Reproducción Musical - Ideal para Trabajo Cotidiano, Juegos y Estudio</t>
        </is>
      </c>
      <c r="H852" s="16" t="inlineStr">
        <is>
          <t>NEGRO</t>
        </is>
      </c>
      <c r="I852" s="16" t="n">
        <v>1</v>
      </c>
      <c r="J852" s="17" t="n">
        <v>45.31</v>
      </c>
      <c r="K852" s="17" t="n">
        <v>53.16</v>
      </c>
      <c r="L852" s="17" t="n">
        <v>13.84</v>
      </c>
      <c r="M852" s="17" t="n">
        <v>0</v>
      </c>
      <c r="N852" s="17">
        <f>K852*0.08+L852*0.08</f>
        <v/>
      </c>
      <c r="O852" s="17">
        <f>-(K852*0.025+L852*0.025)</f>
        <v/>
      </c>
      <c r="P852" s="17">
        <f>32</f>
        <v/>
      </c>
      <c r="Q852" s="17">
        <f>J852+L852+N852+O852-P852-M852</f>
        <v/>
      </c>
    </row>
    <row r="853">
      <c r="A853" s="16" t="inlineStr">
        <is>
          <t>5.1-5.7</t>
        </is>
      </c>
      <c r="B853" s="16" t="inlineStr">
        <is>
          <t>PO-128-08080603300472490</t>
        </is>
      </c>
      <c r="C853" s="16" t="inlineStr">
        <is>
          <t>Delivered</t>
        </is>
      </c>
      <c r="D853" s="16" t="inlineStr">
        <is>
          <t>128-08080616407672490</t>
        </is>
      </c>
      <c r="E853" s="16" t="inlineStr">
        <is>
          <t>Delivered</t>
        </is>
      </c>
      <c r="F853" s="16" t="inlineStr">
        <is>
          <t>LB02235-azul</t>
        </is>
      </c>
      <c r="G853" s="16" t="inlineStr">
        <is>
          <t>Audífonos Inalámbricos para la Cabeza, Recargables y Multifuncionales - Conectan a Varios Dispositivos, soportan Radio FM, Tarjeta TF y AUX - 4 Horas de Reproducción Musical - Ideal para Trabajo Cotidiano, Juegos y Estudio</t>
        </is>
      </c>
      <c r="H853" s="16" t="inlineStr">
        <is>
          <t>AZUL</t>
        </is>
      </c>
      <c r="I853" s="16" t="n">
        <v>1</v>
      </c>
      <c r="J853" s="17" t="n">
        <v>37.73</v>
      </c>
      <c r="K853" s="17" t="n">
        <v>46.26</v>
      </c>
      <c r="L853" s="17" t="n">
        <v>12.03</v>
      </c>
      <c r="M853" s="17" t="n">
        <v>0</v>
      </c>
      <c r="N853" s="17">
        <f>K853*0.08+L853*0.08</f>
        <v/>
      </c>
      <c r="O853" s="17">
        <f>-(K853*0.025+L853*0.025)</f>
        <v/>
      </c>
      <c r="P853" s="17">
        <f>32</f>
        <v/>
      </c>
      <c r="Q853" s="17">
        <f>J853+L853+N853+O853-P853-M853</f>
        <v/>
      </c>
    </row>
    <row r="854">
      <c r="A854" s="16" t="inlineStr">
        <is>
          <t>5.1-5.7</t>
        </is>
      </c>
      <c r="B854" s="16" t="inlineStr">
        <is>
          <t>PO-128-07713349622391545</t>
        </is>
      </c>
      <c r="C854" s="16" t="inlineStr">
        <is>
          <t>Delivered</t>
        </is>
      </c>
      <c r="D854" s="16" t="inlineStr">
        <is>
          <t>128-07713454479991545</t>
        </is>
      </c>
      <c r="E854" s="16" t="inlineStr">
        <is>
          <t>Delivered</t>
        </is>
      </c>
      <c r="F854" s="16" t="inlineStr">
        <is>
          <t>AIR50W06-2P</t>
        </is>
      </c>
      <c r="G854" s="16" t="inlineStr">
        <is>
          <t>Link Bits Ventilador de piso de 16 pulgadas, 2 unidades, 3 velocidades, motor silencioso, flujo de aire fuerte, altura ajustable, oscilación amplia, ventilador eléctrico para el hogar, ideal para sala, recámara y oficina</t>
        </is>
      </c>
      <c r="H854" s="16" t="inlineStr">
        <is>
          <t>2PZ</t>
        </is>
      </c>
      <c r="I854" s="16" t="n">
        <v>1</v>
      </c>
      <c r="J854" s="17" t="n">
        <v>437.88</v>
      </c>
      <c r="K854" s="17" t="n">
        <v>571</v>
      </c>
      <c r="L854" s="17" t="n">
        <v>0</v>
      </c>
      <c r="M854" s="17" t="n">
        <v>0</v>
      </c>
      <c r="N854" s="17">
        <f>K854*0.08+L854*0.08</f>
        <v/>
      </c>
      <c r="O854" s="17">
        <f>-(K854*0.025+L854*0.025)</f>
        <v/>
      </c>
      <c r="P854" s="17">
        <f>32</f>
        <v/>
      </c>
      <c r="Q854" s="17">
        <f>J854+L854+N854+O854-P854-M854</f>
        <v/>
      </c>
    </row>
    <row r="855">
      <c r="A855" s="16" t="inlineStr">
        <is>
          <t>5.1-5.7</t>
        </is>
      </c>
      <c r="B855" s="16" t="inlineStr">
        <is>
          <t>PO-128-07590488289911316</t>
        </is>
      </c>
      <c r="C855" s="16" t="inlineStr">
        <is>
          <t>Delivered</t>
        </is>
      </c>
      <c r="D855" s="16" t="inlineStr">
        <is>
          <t>128-07590511882871316</t>
        </is>
      </c>
      <c r="E855" s="16" t="inlineStr">
        <is>
          <t>Delivered</t>
        </is>
      </c>
      <c r="F855" s="16" t="inlineStr">
        <is>
          <t>VB347T</t>
        </is>
      </c>
      <c r="G85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55" s="16" t="inlineStr">
        <is>
          <t>1 pieza</t>
        </is>
      </c>
      <c r="I855" s="16" t="n">
        <v>1</v>
      </c>
      <c r="J855" s="17" t="n">
        <v>79.90000000000001</v>
      </c>
      <c r="K855" s="17" t="n">
        <v>75.61</v>
      </c>
      <c r="L855" s="17" t="n">
        <v>25.86</v>
      </c>
      <c r="M855" s="17" t="n">
        <v>0</v>
      </c>
      <c r="N855" s="17">
        <f>K855*0.08+L855*0.08</f>
        <v/>
      </c>
      <c r="O855" s="17">
        <f>-(K855*0.025+L855*0.025)</f>
        <v/>
      </c>
      <c r="P855" s="17">
        <f>32</f>
        <v/>
      </c>
      <c r="Q855" s="17">
        <f>J855+L855+N855+O855-P855-M855</f>
        <v/>
      </c>
    </row>
    <row r="856">
      <c r="A856" s="16" t="inlineStr">
        <is>
          <t>5.1-5.7</t>
        </is>
      </c>
      <c r="B856" s="16" t="inlineStr">
        <is>
          <t>PO-128-07715592561271594</t>
        </is>
      </c>
      <c r="C856" s="16" t="inlineStr">
        <is>
          <t>Delivered</t>
        </is>
      </c>
      <c r="D856" s="16" t="inlineStr">
        <is>
          <t>128-07715672515191594</t>
        </is>
      </c>
      <c r="E856" s="16" t="inlineStr">
        <is>
          <t>Delivered</t>
        </is>
      </c>
      <c r="F856" s="16" t="inlineStr">
        <is>
          <t>LB02235-azul</t>
        </is>
      </c>
      <c r="G856" s="16" t="inlineStr">
        <is>
          <t>Audífonos Inalámbricos para la Cabeza, Recargables y Multifuncionales - Conectan a Varios Dispositivos, soportan Radio FM, Tarjeta TF y AUX - 4 Horas de Reproducción Musical - Ideal para Trabajo Cotidiano, Juegos y Estudio</t>
        </is>
      </c>
      <c r="H856" s="16" t="inlineStr">
        <is>
          <t>AZUL</t>
        </is>
      </c>
      <c r="I856" s="16" t="n">
        <v>1</v>
      </c>
      <c r="J856" s="17" t="n">
        <v>37.73</v>
      </c>
      <c r="K856" s="17" t="n">
        <v>50.84</v>
      </c>
      <c r="L856" s="17" t="n">
        <v>25.86</v>
      </c>
      <c r="M856" s="17" t="n">
        <v>0</v>
      </c>
      <c r="N856" s="17">
        <f>K856*0.08+L856*0.08</f>
        <v/>
      </c>
      <c r="O856" s="17">
        <f>-(K856*0.025+L856*0.025)</f>
        <v/>
      </c>
      <c r="P856" s="17">
        <f>32</f>
        <v/>
      </c>
      <c r="Q856" s="17">
        <f>J856+L856+N856+O856-P856-M856</f>
        <v/>
      </c>
    </row>
    <row r="857">
      <c r="A857" s="16" t="inlineStr">
        <is>
          <t>5.1-5.7</t>
        </is>
      </c>
      <c r="B857" s="16" t="inlineStr">
        <is>
          <t>PO-128-08192890614392911</t>
        </is>
      </c>
      <c r="C857" s="16" t="inlineStr">
        <is>
          <t>Delivered</t>
        </is>
      </c>
      <c r="D857" s="16" t="inlineStr">
        <is>
          <t>128-08192848671352911</t>
        </is>
      </c>
      <c r="E857" s="16" t="inlineStr">
        <is>
          <t>Delivered</t>
        </is>
      </c>
      <c r="F857" s="16" t="inlineStr">
        <is>
          <t>BS-22</t>
        </is>
      </c>
      <c r="G857" s="16" t="inlineStr">
        <is>
          <t>link bits Barra de Sonido para TV, 2x2" Altavoces + 2 Membranas de Graves, Sonido Claro ≥80dB, Bluetooth Inalámbrico, Conexiones AUX/USB, Diseño Compacto 76cm, Sonido Envolvente 3D para Cine en Casa, PC, Juegos y Fiestas</t>
        </is>
      </c>
      <c r="H857" s="16" t="inlineStr">
        <is>
          <t>BS-22</t>
        </is>
      </c>
      <c r="I857" s="16" t="n">
        <v>1</v>
      </c>
      <c r="J857" s="17" t="n">
        <v>265</v>
      </c>
      <c r="K857" s="17" t="n">
        <v>304.61</v>
      </c>
      <c r="L857" s="17" t="n">
        <v>0</v>
      </c>
      <c r="M857" s="17" t="n">
        <v>0</v>
      </c>
      <c r="N857" s="17">
        <f>K857*0.08+L857*0.08</f>
        <v/>
      </c>
      <c r="O857" s="17">
        <f>-(K857*0.025+L857*0.025)</f>
        <v/>
      </c>
      <c r="P857" s="17">
        <f>32</f>
        <v/>
      </c>
      <c r="Q857" s="17">
        <f>J857+L857+N857+O857-P857-M857</f>
        <v/>
      </c>
    </row>
    <row r="858">
      <c r="A858" s="16" t="inlineStr">
        <is>
          <t>5.1-5.7</t>
        </is>
      </c>
      <c r="B858" s="16" t="inlineStr">
        <is>
          <t>PO-128-08050807829113820</t>
        </is>
      </c>
      <c r="C858" s="16" t="inlineStr">
        <is>
          <t>Delivered</t>
        </is>
      </c>
      <c r="D858" s="16" t="inlineStr">
        <is>
          <t>128-08050875986553820</t>
        </is>
      </c>
      <c r="E858" s="16" t="inlineStr">
        <is>
          <t>Delivered</t>
        </is>
      </c>
      <c r="F858" s="16" t="inlineStr">
        <is>
          <t>LB02235-rojo</t>
        </is>
      </c>
      <c r="G858" s="16" t="inlineStr">
        <is>
          <t>Audífonos Inalámbricos para la Cabeza, Recargables y Multifuncionales - Conectan a Varios Dispositivos, soportan Radio FM, Tarjeta TF y AUX - 4 Horas de Reproducción Musical - Ideal para Trabajo Cotidiano, Juegos y Estudio</t>
        </is>
      </c>
      <c r="H858" s="16" t="inlineStr">
        <is>
          <t>ROJO</t>
        </is>
      </c>
      <c r="I858" s="16" t="n">
        <v>1</v>
      </c>
      <c r="J858" s="17" t="n">
        <v>46</v>
      </c>
      <c r="K858" s="17" t="n">
        <v>33.48</v>
      </c>
      <c r="L858" s="17" t="n">
        <v>25.86</v>
      </c>
      <c r="M858" s="17" t="n">
        <v>0</v>
      </c>
      <c r="N858" s="17">
        <f>K858*0.08+L858*0.08</f>
        <v/>
      </c>
      <c r="O858" s="17">
        <f>-(K858*0.025+L858*0.025)</f>
        <v/>
      </c>
      <c r="P858" s="17">
        <f>32</f>
        <v/>
      </c>
      <c r="Q858" s="17">
        <f>J858+L858+N858+O858-P858-M858</f>
        <v/>
      </c>
    </row>
    <row r="859">
      <c r="A859" s="16" t="inlineStr">
        <is>
          <t>5.1-5.7</t>
        </is>
      </c>
      <c r="B859" s="16" t="inlineStr">
        <is>
          <t>PO-128-07587065641591336</t>
        </is>
      </c>
      <c r="C859" s="16" t="inlineStr">
        <is>
          <t>Delivered</t>
        </is>
      </c>
      <c r="D859" s="16" t="inlineStr">
        <is>
          <t>128-07587107584631336</t>
        </is>
      </c>
      <c r="E859" s="16" t="inlineStr">
        <is>
          <t>Delivered</t>
        </is>
      </c>
      <c r="F859" s="16" t="inlineStr">
        <is>
          <t>MCM-001G</t>
        </is>
      </c>
      <c r="G859" s="16" t="inlineStr">
        <is>
          <t>Musicord Altavoz Inalámbrico BT Portátil: ¡Sonido impactante, luces LED multicolores y 4 horas de autonomía! Compatible con TWS, FM, TF y USB – Imprescindible para fiestas y viajes</t>
        </is>
      </c>
      <c r="H859" s="16" t="inlineStr">
        <is>
          <t>GRIS</t>
        </is>
      </c>
      <c r="I859" s="16" t="n">
        <v>1</v>
      </c>
      <c r="J859" s="17" t="n">
        <v>51.07</v>
      </c>
      <c r="K859" s="17" t="n">
        <v>62.34</v>
      </c>
      <c r="L859" s="17" t="n">
        <v>25.86</v>
      </c>
      <c r="M859" s="17" t="n">
        <v>0</v>
      </c>
      <c r="N859" s="17">
        <f>K859*0.08+L859*0.08</f>
        <v/>
      </c>
      <c r="O859" s="17">
        <f>-(K859*0.025+L859*0.025)</f>
        <v/>
      </c>
      <c r="P859" s="17">
        <f>32</f>
        <v/>
      </c>
      <c r="Q859" s="17">
        <f>J859+L859+N859+O859-P859-M859</f>
        <v/>
      </c>
    </row>
    <row r="860">
      <c r="A860" s="16" t="inlineStr">
        <is>
          <t>5.1-5.7</t>
        </is>
      </c>
      <c r="B860" s="16" t="inlineStr">
        <is>
          <t>PO-128-08070836664953703</t>
        </is>
      </c>
      <c r="C860" s="16" t="inlineStr">
        <is>
          <t>Delivered</t>
        </is>
      </c>
      <c r="D860" s="16" t="inlineStr">
        <is>
          <t>128-08070794721913703</t>
        </is>
      </c>
      <c r="E860" s="16" t="inlineStr">
        <is>
          <t>Delivered</t>
        </is>
      </c>
      <c r="F860" s="16" t="inlineStr">
        <is>
          <t>LB02235-azul</t>
        </is>
      </c>
      <c r="G860" s="16" t="inlineStr">
        <is>
          <t>Audífonos Inalámbricos para la Cabeza, Recargables y Multifuncionales - Conectan a Varios Dispositivos, soportan Radio FM, Tarjeta TF y AUX - 4 Horas de Reproducción Musical - Ideal para Trabajo Cotidiano, Juegos y Estudio</t>
        </is>
      </c>
      <c r="H860" s="16" t="inlineStr">
        <is>
          <t>AZUL</t>
        </is>
      </c>
      <c r="I860" s="16" t="n">
        <v>1</v>
      </c>
      <c r="J860" s="17" t="n">
        <v>37.73</v>
      </c>
      <c r="K860" s="17" t="n">
        <v>50.84</v>
      </c>
      <c r="L860" s="17" t="n">
        <v>25.86</v>
      </c>
      <c r="M860" s="17" t="n">
        <v>0</v>
      </c>
      <c r="N860" s="17">
        <f>K860*0.08+L860*0.08</f>
        <v/>
      </c>
      <c r="O860" s="17">
        <f>-(K860*0.025+L860*0.025)</f>
        <v/>
      </c>
      <c r="P860" s="17">
        <f>32</f>
        <v/>
      </c>
      <c r="Q860" s="17">
        <f>J860+L860+N860+O860-P860-M860</f>
        <v/>
      </c>
    </row>
    <row r="861">
      <c r="A861" s="16" t="inlineStr">
        <is>
          <t>5.1-5.7</t>
        </is>
      </c>
      <c r="B861" s="16" t="inlineStr">
        <is>
          <t>PO-128-08135985193592288</t>
        </is>
      </c>
      <c r="C861" s="16" t="inlineStr">
        <is>
          <t>Delivered</t>
        </is>
      </c>
      <c r="D861" s="16" t="inlineStr">
        <is>
          <t>128-08135995433592288</t>
        </is>
      </c>
      <c r="E861" s="16" t="inlineStr">
        <is>
          <t>Delivered</t>
        </is>
      </c>
      <c r="F861" s="16" t="inlineStr">
        <is>
          <t>KTS-1678Y</t>
        </is>
      </c>
      <c r="G861" s="16" t="inlineStr">
        <is>
          <t>Bocina portátil Inalámbrico, de 3 pulgadas, tamaño de bolsillo, 170 g, con asa, compatible con TF, USB y Micro SD, con radio FM y función TWS (True Wireless Stereo), adecuada para relajarse en casa o viajar al aire libre.</t>
        </is>
      </c>
      <c r="H861" s="16" t="inlineStr">
        <is>
          <t>KTS-1678Y</t>
        </is>
      </c>
      <c r="I861" s="16" t="n">
        <v>1</v>
      </c>
      <c r="J861" s="17" t="n">
        <v>42.5</v>
      </c>
      <c r="K861" s="17" t="n">
        <v>36.54</v>
      </c>
      <c r="L861" s="17" t="n">
        <v>25.86</v>
      </c>
      <c r="M861" s="17" t="n">
        <v>0</v>
      </c>
      <c r="N861" s="17">
        <f>K861*0.08+L861*0.08</f>
        <v/>
      </c>
      <c r="O861" s="17">
        <f>-(K861*0.025+L861*0.025)</f>
        <v/>
      </c>
      <c r="P861" s="17">
        <f>32</f>
        <v/>
      </c>
      <c r="Q861" s="17">
        <f>J861+L861+N861+O861-P861-M861</f>
        <v/>
      </c>
    </row>
    <row r="862">
      <c r="A862" s="16" t="inlineStr">
        <is>
          <t>5.1-5.7</t>
        </is>
      </c>
      <c r="B862" s="16" t="inlineStr">
        <is>
          <t>PO-128-07768154972790323</t>
        </is>
      </c>
      <c r="C862" s="16" t="inlineStr">
        <is>
          <t>Delivered</t>
        </is>
      </c>
      <c r="D862" s="16" t="inlineStr">
        <is>
          <t>128-07768181187190323</t>
        </is>
      </c>
      <c r="E862" s="16" t="inlineStr">
        <is>
          <t>Delivered</t>
        </is>
      </c>
      <c r="F862" s="16" t="inlineStr">
        <is>
          <t>BS-22</t>
        </is>
      </c>
      <c r="G862" s="16" t="inlineStr">
        <is>
          <t>link bits Barra de Sonido para TV, 2x2" Altavoces + 2 Membranas de Graves, Sonido Claro ≥80dB, Bluetooth Inalámbrico, Conexiones AUX/USB, Diseño Compacto 76cm, Sonido Envolvente 3D para Cine en Casa, PC, Juegos y Fiestas</t>
        </is>
      </c>
      <c r="H862" s="16" t="inlineStr">
        <is>
          <t>BS-22</t>
        </is>
      </c>
      <c r="I862" s="16" t="n">
        <v>1</v>
      </c>
      <c r="J862" s="17" t="n">
        <v>265</v>
      </c>
      <c r="K862" s="17" t="n">
        <v>304.61</v>
      </c>
      <c r="L862" s="17" t="n">
        <v>0</v>
      </c>
      <c r="M862" s="17" t="n">
        <v>0</v>
      </c>
      <c r="N862" s="17">
        <f>K862*0.08+L862*0.08</f>
        <v/>
      </c>
      <c r="O862" s="17">
        <f>-(K862*0.025+L862*0.025)</f>
        <v/>
      </c>
      <c r="P862" s="17">
        <f>32</f>
        <v/>
      </c>
      <c r="Q862" s="17">
        <f>J862+L862+N862+O862-P862-M862</f>
        <v/>
      </c>
    </row>
    <row r="863">
      <c r="A863" s="16" t="inlineStr">
        <is>
          <t>5.1-5.7</t>
        </is>
      </c>
      <c r="B863" s="16" t="inlineStr">
        <is>
          <t>PO-128-08180536023673049</t>
        </is>
      </c>
      <c r="C863" s="16" t="inlineStr">
        <is>
          <t>Delivered</t>
        </is>
      </c>
      <c r="D863" s="16" t="inlineStr">
        <is>
          <t>128-08180494080633049</t>
        </is>
      </c>
      <c r="E863" s="16" t="inlineStr">
        <is>
          <t>Delivered</t>
        </is>
      </c>
      <c r="F863" s="16" t="inlineStr">
        <is>
          <t>MB-185N</t>
        </is>
      </c>
      <c r="G863" s="16" t="inlineStr">
        <is>
          <t>Bocina Radio FM/Reproductor, Compatible con Tarjeta TF, USB, Bluetooth, Aplicable para celular, computadora, Ipad y consola.</t>
        </is>
      </c>
      <c r="H863" s="16" t="inlineStr">
        <is>
          <t>NEGRO/MB-185</t>
        </is>
      </c>
      <c r="I863" s="16" t="n">
        <v>1</v>
      </c>
      <c r="J863" s="17" t="n">
        <v>75.5</v>
      </c>
      <c r="K863" s="17" t="n">
        <v>75.19</v>
      </c>
      <c r="L863" s="17" t="n">
        <v>25.86</v>
      </c>
      <c r="M863" s="17" t="n">
        <v>0</v>
      </c>
      <c r="N863" s="17">
        <f>K863*0.08+L863*0.08</f>
        <v/>
      </c>
      <c r="O863" s="17">
        <f>-(K863*0.025+L863*0.025)</f>
        <v/>
      </c>
      <c r="P863" s="17">
        <f>32</f>
        <v/>
      </c>
      <c r="Q863" s="17">
        <f>J863+L863+N863+O863-P863-M863</f>
        <v/>
      </c>
    </row>
    <row r="864">
      <c r="A864" s="16" t="inlineStr">
        <is>
          <t>5.1-5.7</t>
        </is>
      </c>
      <c r="B864" s="16" t="inlineStr">
        <is>
          <t>PO-128-08232156426872613</t>
        </is>
      </c>
      <c r="C864" s="16" t="inlineStr">
        <is>
          <t>Delivered</t>
        </is>
      </c>
      <c r="D864" s="16" t="inlineStr">
        <is>
          <t>128-08232093512312613</t>
        </is>
      </c>
      <c r="E864" s="16" t="inlineStr">
        <is>
          <t>Delivered</t>
        </is>
      </c>
      <c r="F864" s="16" t="inlineStr">
        <is>
          <t>LB02235-negro</t>
        </is>
      </c>
      <c r="G864" s="16" t="inlineStr">
        <is>
          <t>Audífonos Inalámbricos para la Cabeza, Recargables y Multifuncionales - Conectan a Varios Dispositivos, soportan Radio FM, Tarjeta TF y AUX - 4 Horas de Reproducción Musical - Ideal para Trabajo Cotidiano, Juegos y Estudio</t>
        </is>
      </c>
      <c r="H864" s="16" t="inlineStr">
        <is>
          <t>NEGRO</t>
        </is>
      </c>
      <c r="I864" s="16" t="n">
        <v>1</v>
      </c>
      <c r="J864" s="17" t="n">
        <v>45.31</v>
      </c>
      <c r="K864" s="17" t="n">
        <v>58.42</v>
      </c>
      <c r="L864" s="17" t="n">
        <v>25.86</v>
      </c>
      <c r="M864" s="17" t="n">
        <v>10.3</v>
      </c>
      <c r="N864" s="17">
        <f>K864*0.08+L864*0.08</f>
        <v/>
      </c>
      <c r="O864" s="17">
        <f>-(K864*0.025+L864*0.025)</f>
        <v/>
      </c>
      <c r="P864" s="17">
        <f>32</f>
        <v/>
      </c>
      <c r="Q864" s="17">
        <f>J864+L864+N864+O864-P864-M864</f>
        <v/>
      </c>
    </row>
    <row r="865">
      <c r="A865" s="16" t="inlineStr">
        <is>
          <t>5.1-5.7</t>
        </is>
      </c>
      <c r="B865" s="16" t="inlineStr">
        <is>
          <t>PO-128-07760332595830305</t>
        </is>
      </c>
      <c r="C865" s="16" t="inlineStr">
        <is>
          <t>Delivered</t>
        </is>
      </c>
      <c r="D865" s="16" t="inlineStr">
        <is>
          <t>128-07760437453430305</t>
        </is>
      </c>
      <c r="E865" s="16" t="inlineStr">
        <is>
          <t>Delivered</t>
        </is>
      </c>
      <c r="F865" s="16" t="inlineStr">
        <is>
          <t>LV64W25</t>
        </is>
      </c>
      <c r="G865" s="16" t="inlineStr">
        <is>
          <t>Ventilador de Techo LED TIANLAI con 5 Aspas, Control Remoto, 3 Colores Luz, 3 Velocidades, Temporizador, Fácil Instalación, E27 para Baño Cocina Dormitorio Salón</t>
        </is>
      </c>
      <c r="H865" s="16" t="inlineStr">
        <is>
          <t>LV64W25</t>
        </is>
      </c>
      <c r="I865" s="16" t="n">
        <v>3</v>
      </c>
      <c r="J865" s="17" t="n">
        <v>468</v>
      </c>
      <c r="K865" s="17" t="n">
        <v>597.36</v>
      </c>
      <c r="L865" s="17" t="n">
        <v>0</v>
      </c>
      <c r="M865" s="17" t="n">
        <v>0</v>
      </c>
      <c r="N865" s="17">
        <f>K865*0.08+L865*0.08</f>
        <v/>
      </c>
      <c r="O865" s="17">
        <f>-(K865*0.025+L865*0.025)</f>
        <v/>
      </c>
      <c r="P865" s="17">
        <f>32</f>
        <v/>
      </c>
      <c r="Q865" s="17">
        <f>J865+L865+N865+O865-P865-M865</f>
        <v/>
      </c>
    </row>
    <row r="866">
      <c r="A866" s="16" t="inlineStr">
        <is>
          <t>5.1-5.7</t>
        </is>
      </c>
      <c r="B866" s="16" t="inlineStr">
        <is>
          <t>PO-128-07678406021751880</t>
        </is>
      </c>
      <c r="C866" s="16" t="inlineStr">
        <is>
          <t>Delivered</t>
        </is>
      </c>
      <c r="D866" s="16" t="inlineStr">
        <is>
          <t>128-07678364078711880</t>
        </is>
      </c>
      <c r="E866" s="16" t="inlineStr">
        <is>
          <t>Delivered</t>
        </is>
      </c>
      <c r="F866" s="16" t="inlineStr">
        <is>
          <t>LB02235-rojo</t>
        </is>
      </c>
      <c r="G866" s="16" t="inlineStr">
        <is>
          <t>Audífonos Inalámbricos para la Cabeza, Recargables y Multifuncionales - Conectan a Varios Dispositivos, soportan Radio FM, Tarjeta TF y AUX - 4 Horas de Reproducción Musical - Ideal para Trabajo Cotidiano, Juegos y Estudio</t>
        </is>
      </c>
      <c r="H866" s="16" t="inlineStr">
        <is>
          <t>ROJO</t>
        </is>
      </c>
      <c r="I866" s="16" t="n">
        <v>1</v>
      </c>
      <c r="J866" s="17" t="n">
        <v>46</v>
      </c>
      <c r="K866" s="17" t="n">
        <v>5.42</v>
      </c>
      <c r="L866" s="17" t="n">
        <v>25.86</v>
      </c>
      <c r="M866" s="17" t="n">
        <v>0</v>
      </c>
      <c r="N866" s="17">
        <f>K866*0.08+L866*0.08</f>
        <v/>
      </c>
      <c r="O866" s="17">
        <f>-(K866*0.025+L866*0.025)</f>
        <v/>
      </c>
      <c r="P866" s="17">
        <f>32</f>
        <v/>
      </c>
      <c r="Q866" s="17">
        <f>J866+L866+N866+O866-P866-M866</f>
        <v/>
      </c>
    </row>
    <row r="867">
      <c r="A867" s="16" t="inlineStr">
        <is>
          <t>5.1-5.7</t>
        </is>
      </c>
      <c r="B867" s="16" t="inlineStr">
        <is>
          <t>PO-128-08006447862394084</t>
        </is>
      </c>
      <c r="C867" s="16" t="inlineStr">
        <is>
          <t>Delivered</t>
        </is>
      </c>
      <c r="D867" s="16" t="inlineStr">
        <is>
          <t>128-08006552719994084</t>
        </is>
      </c>
      <c r="E867" s="16" t="inlineStr">
        <is>
          <t>Delivered</t>
        </is>
      </c>
      <c r="F867" s="16" t="inlineStr">
        <is>
          <t>LB02235-blanco</t>
        </is>
      </c>
      <c r="G867" s="16" t="inlineStr">
        <is>
          <t>Audífonos Inalámbricos para la Cabeza, Recargables y Multifuncionales - Conectan a Varios Dispositivos, soportan Radio FM, Tarjeta TF y AUX - 4 Horas de Reproducción Musical - Ideal para Trabajo Cotidiano, Juegos y Estudio</t>
        </is>
      </c>
      <c r="H867" s="16" t="inlineStr">
        <is>
          <t>BLANCO</t>
        </is>
      </c>
      <c r="I867" s="16" t="n">
        <v>1</v>
      </c>
      <c r="J867" s="17" t="n">
        <v>45.31</v>
      </c>
      <c r="K867" s="17" t="n">
        <v>15.32</v>
      </c>
      <c r="L867" s="17" t="n">
        <v>25.86</v>
      </c>
      <c r="M867" s="17" t="n">
        <v>0</v>
      </c>
      <c r="N867" s="17">
        <f>K867*0.08+L867*0.08</f>
        <v/>
      </c>
      <c r="O867" s="17">
        <f>-(K867*0.025+L867*0.025)</f>
        <v/>
      </c>
      <c r="P867" s="17">
        <f>32</f>
        <v/>
      </c>
      <c r="Q867" s="17">
        <f>J867+L867+N867+O867-P867-M867</f>
        <v/>
      </c>
    </row>
    <row r="868">
      <c r="A868" s="16" t="inlineStr">
        <is>
          <t>5.1-5.7</t>
        </is>
      </c>
      <c r="B868" s="16" t="inlineStr">
        <is>
          <t>PO-128-08001655163514051</t>
        </is>
      </c>
      <c r="C868" s="16" t="inlineStr">
        <is>
          <t>Delivered</t>
        </is>
      </c>
      <c r="D868" s="16" t="inlineStr">
        <is>
          <t>128-08001602734714051</t>
        </is>
      </c>
      <c r="E868" s="16" t="inlineStr">
        <is>
          <t>Delivered</t>
        </is>
      </c>
      <c r="F868" s="16" t="inlineStr">
        <is>
          <t>FA028</t>
        </is>
      </c>
      <c r="G868" s="16" t="inlineStr">
        <is>
          <t>Extractor de agua para garrafas de agua, compatible con carga USB, extractor de agua automático, práctico, con dos modos de toma de agua: manual y programado, ideal para dormitorios, salones, oficinas, uso al aire libre y otros escenarios.</t>
        </is>
      </c>
      <c r="H868" s="16" t="inlineStr">
        <is>
          <t>FA028</t>
        </is>
      </c>
      <c r="I868" s="16" t="n">
        <v>1</v>
      </c>
      <c r="J868" s="17" t="n">
        <v>35.77</v>
      </c>
      <c r="K868" s="17" t="n">
        <v>45.35</v>
      </c>
      <c r="L868" s="17" t="n">
        <v>25.86</v>
      </c>
      <c r="M868" s="17" t="n">
        <v>0</v>
      </c>
      <c r="N868" s="17">
        <f>K868*0.08+L868*0.08</f>
        <v/>
      </c>
      <c r="O868" s="17">
        <f>-(K868*0.025+L868*0.025)</f>
        <v/>
      </c>
      <c r="P868" s="17">
        <f>32</f>
        <v/>
      </c>
      <c r="Q868" s="17">
        <f>J868+L868+N868+O868-P868-M868</f>
        <v/>
      </c>
    </row>
    <row r="869">
      <c r="A869" s="16" t="inlineStr">
        <is>
          <t>5.1-5.7</t>
        </is>
      </c>
      <c r="B869" s="16" t="inlineStr">
        <is>
          <t>PO-128-07902763960953486</t>
        </is>
      </c>
      <c r="C869" s="16" t="inlineStr">
        <is>
          <t>Delivered</t>
        </is>
      </c>
      <c r="D869" s="16" t="inlineStr">
        <is>
          <t>128-07902868818553486</t>
        </is>
      </c>
      <c r="E869" s="16" t="inlineStr">
        <is>
          <t>Delivered</t>
        </is>
      </c>
      <c r="F869" s="16" t="inlineStr">
        <is>
          <t>S39W48</t>
        </is>
      </c>
      <c r="G86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869" s="16" t="inlineStr">
        <is>
          <t>1 pieza</t>
        </is>
      </c>
      <c r="I869" s="16" t="n">
        <v>2</v>
      </c>
      <c r="J869" s="17" t="n">
        <v>78</v>
      </c>
      <c r="K869" s="17" t="n">
        <v>16.98</v>
      </c>
      <c r="L869" s="17" t="n">
        <v>25.86</v>
      </c>
      <c r="M869" s="17" t="n">
        <v>0</v>
      </c>
      <c r="N869" s="17">
        <f>K869*0.08+L869*0.08</f>
        <v/>
      </c>
      <c r="O869" s="17">
        <f>-(K869*0.025+L869*0.025)</f>
        <v/>
      </c>
      <c r="P869" s="17">
        <f>32</f>
        <v/>
      </c>
      <c r="Q869" s="17">
        <f>J869+L869+N869+O869-P869-M869</f>
        <v/>
      </c>
    </row>
    <row r="870">
      <c r="A870" s="16" t="inlineStr">
        <is>
          <t>5.1-5.7</t>
        </is>
      </c>
      <c r="B870" s="16" t="inlineStr">
        <is>
          <t>PO-128-07640175637111148</t>
        </is>
      </c>
      <c r="C870" s="16" t="inlineStr">
        <is>
          <t>Delivered</t>
        </is>
      </c>
      <c r="D870" s="16" t="inlineStr">
        <is>
          <t>128-07640133694071148</t>
        </is>
      </c>
      <c r="E870" s="16" t="inlineStr">
        <is>
          <t>Delivered</t>
        </is>
      </c>
      <c r="F870" s="16" t="inlineStr">
        <is>
          <t>VB347T</t>
        </is>
      </c>
      <c r="G87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0" s="16" t="inlineStr">
        <is>
          <t>1 pieza</t>
        </is>
      </c>
      <c r="I870" s="16" t="n">
        <v>1</v>
      </c>
      <c r="J870" s="17" t="n">
        <v>79.90000000000001</v>
      </c>
      <c r="K870" s="17" t="n">
        <v>72.25</v>
      </c>
      <c r="L870" s="17" t="n">
        <v>13.36</v>
      </c>
      <c r="M870" s="17" t="n">
        <v>0</v>
      </c>
      <c r="N870" s="17">
        <f>K870*0.08+L870*0.08</f>
        <v/>
      </c>
      <c r="O870" s="17">
        <f>-(K870*0.025+L870*0.025)</f>
        <v/>
      </c>
      <c r="P870" s="17">
        <f>32</f>
        <v/>
      </c>
      <c r="Q870" s="17">
        <f>J870+L870+N870+O870-P870-M870</f>
        <v/>
      </c>
    </row>
    <row r="871">
      <c r="A871" s="16" t="inlineStr">
        <is>
          <t>5.1-5.7</t>
        </is>
      </c>
      <c r="B871" s="16" t="inlineStr">
        <is>
          <t>PO-128-07640175637111148</t>
        </is>
      </c>
      <c r="C871" s="16" t="inlineStr">
        <is>
          <t>Delivered</t>
        </is>
      </c>
      <c r="D871" s="16" t="inlineStr">
        <is>
          <t>128-07640091751031148</t>
        </is>
      </c>
      <c r="E871" s="16" t="inlineStr">
        <is>
          <t>Delivered</t>
        </is>
      </c>
      <c r="F871" s="16" t="inlineStr">
        <is>
          <t>MB-185N</t>
        </is>
      </c>
      <c r="G871" s="16" t="inlineStr">
        <is>
          <t>Bocina Radio FM/Reproductor, Compatible con Tarjeta TF, USB, Bluetooth, Aplicable para celular, computadora, Ipad y consola.</t>
        </is>
      </c>
      <c r="H871" s="16" t="inlineStr">
        <is>
          <t>NEGRO/MB-185</t>
        </is>
      </c>
      <c r="I871" s="16" t="n">
        <v>1</v>
      </c>
      <c r="J871" s="17" t="n">
        <v>75.5</v>
      </c>
      <c r="K871" s="17" t="n">
        <v>67.62</v>
      </c>
      <c r="L871" s="17" t="n">
        <v>12.5</v>
      </c>
      <c r="M871" s="17" t="n">
        <v>0</v>
      </c>
      <c r="N871" s="17">
        <f>K871*0.08+L871*0.08</f>
        <v/>
      </c>
      <c r="O871" s="17">
        <f>-(K871*0.025+L871*0.025)</f>
        <v/>
      </c>
      <c r="P871" s="17">
        <f>32</f>
        <v/>
      </c>
      <c r="Q871" s="17">
        <f>J871+L871+N871+O871-P871-M871</f>
        <v/>
      </c>
    </row>
    <row r="872">
      <c r="A872" s="16" t="inlineStr">
        <is>
          <t>5.1-5.7</t>
        </is>
      </c>
      <c r="B872" s="16" t="inlineStr">
        <is>
          <t>PO-128-08098746184312318</t>
        </is>
      </c>
      <c r="C872" s="16" t="inlineStr">
        <is>
          <t>Delivered</t>
        </is>
      </c>
      <c r="D872" s="16" t="inlineStr">
        <is>
          <t>128-08098740941432318</t>
        </is>
      </c>
      <c r="E872" s="16" t="inlineStr">
        <is>
          <t>Delivered</t>
        </is>
      </c>
      <c r="F872" s="16" t="inlineStr">
        <is>
          <t>FA028</t>
        </is>
      </c>
      <c r="G872" s="16" t="inlineStr">
        <is>
          <t>Extractor de agua para garrafas de agua, compatible con carga USB, extractor de agua automático, práctico, con dos modos de toma de agua: manual y programado, ideal para dormitorios, salones, oficinas, uso al aire libre y otros escenarios.</t>
        </is>
      </c>
      <c r="H872" s="16" t="inlineStr">
        <is>
          <t>FA028</t>
        </is>
      </c>
      <c r="I872" s="16" t="n">
        <v>1</v>
      </c>
      <c r="J872" s="17" t="n">
        <v>35.77</v>
      </c>
      <c r="K872" s="17" t="n">
        <v>45.35</v>
      </c>
      <c r="L872" s="17" t="n">
        <v>25.86</v>
      </c>
      <c r="M872" s="17" t="n">
        <v>0</v>
      </c>
      <c r="N872" s="17">
        <f>K872*0.08+L872*0.08</f>
        <v/>
      </c>
      <c r="O872" s="17">
        <f>-(K872*0.025+L872*0.025)</f>
        <v/>
      </c>
      <c r="P872" s="17">
        <f>32</f>
        <v/>
      </c>
      <c r="Q872" s="17">
        <f>J872+L872+N872+O872-P872-M872</f>
        <v/>
      </c>
    </row>
    <row r="873">
      <c r="A873" s="16" t="inlineStr">
        <is>
          <t>5.1-5.7</t>
        </is>
      </c>
      <c r="B873" s="16" t="inlineStr">
        <is>
          <t>PO-128-08035970437753716</t>
        </is>
      </c>
      <c r="C873" s="16" t="inlineStr">
        <is>
          <t>Delivered</t>
        </is>
      </c>
      <c r="D873" s="16" t="inlineStr">
        <is>
          <t>128-08035965194873716</t>
        </is>
      </c>
      <c r="E873" s="16" t="inlineStr">
        <is>
          <t>Delivered</t>
        </is>
      </c>
      <c r="F873" s="16" t="inlineStr">
        <is>
          <t>LB02235-rojo</t>
        </is>
      </c>
      <c r="G873" s="16" t="inlineStr">
        <is>
          <t>Audífonos Inalámbricos para la Cabeza, Recargables y Multifuncionales - Conectan a Varios Dispositivos, soportan Radio FM, Tarjeta TF y AUX - 4 Horas de Reproducción Musical - Ideal para Trabajo Cotidiano, Juegos y Estudio</t>
        </is>
      </c>
      <c r="H873" s="16" t="inlineStr">
        <is>
          <t>ROJO</t>
        </is>
      </c>
      <c r="I873" s="16" t="n">
        <v>1</v>
      </c>
      <c r="J873" s="17" t="n">
        <v>46</v>
      </c>
      <c r="K873" s="17" t="n">
        <v>59.12</v>
      </c>
      <c r="L873" s="17" t="n">
        <v>25.86</v>
      </c>
      <c r="M873" s="17" t="n">
        <v>0</v>
      </c>
      <c r="N873" s="17">
        <f>K873*0.08+L873*0.08</f>
        <v/>
      </c>
      <c r="O873" s="17">
        <f>-(K873*0.025+L873*0.025)</f>
        <v/>
      </c>
      <c r="P873" s="17">
        <f>32</f>
        <v/>
      </c>
      <c r="Q873" s="17">
        <f>J873+L873+N873+O873-P873-M873</f>
        <v/>
      </c>
    </row>
    <row r="874">
      <c r="A874" s="16" t="inlineStr">
        <is>
          <t>5.1-5.7</t>
        </is>
      </c>
      <c r="B874" s="16" t="inlineStr">
        <is>
          <t>PO-128-07835045069431010</t>
        </is>
      </c>
      <c r="C874" s="16" t="inlineStr">
        <is>
          <t>Delivered</t>
        </is>
      </c>
      <c r="D874" s="16" t="inlineStr">
        <is>
          <t>128-07835125023351010</t>
        </is>
      </c>
      <c r="E874" s="16" t="inlineStr">
        <is>
          <t>Delivered</t>
        </is>
      </c>
      <c r="F874" s="16" t="inlineStr">
        <is>
          <t>VB347T</t>
        </is>
      </c>
      <c r="G87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874" s="16" t="inlineStr">
        <is>
          <t>1 pieza</t>
        </is>
      </c>
      <c r="I874" s="16" t="n">
        <v>1</v>
      </c>
      <c r="J874" s="17" t="n">
        <v>79.90000000000001</v>
      </c>
      <c r="K874" s="17" t="n">
        <v>80.33</v>
      </c>
      <c r="L874" s="17" t="n">
        <v>25.86</v>
      </c>
      <c r="M874" s="17" t="n">
        <v>0</v>
      </c>
      <c r="N874" s="17">
        <f>K874*0.08+L874*0.08</f>
        <v/>
      </c>
      <c r="O874" s="17">
        <f>-(K874*0.025+L874*0.025)</f>
        <v/>
      </c>
      <c r="P874" s="17">
        <f>32</f>
        <v/>
      </c>
      <c r="Q874" s="17">
        <f>J874+L874+N874+O874-P874-M874</f>
        <v/>
      </c>
    </row>
    <row r="875">
      <c r="A875" s="16" t="inlineStr">
        <is>
          <t>5.1-5.7</t>
        </is>
      </c>
      <c r="B875" s="16" t="inlineStr">
        <is>
          <t>PO-128-08108948163192387</t>
        </is>
      </c>
      <c r="C875" s="16" t="inlineStr">
        <is>
          <t>Delivered</t>
        </is>
      </c>
      <c r="D875" s="16" t="inlineStr">
        <is>
          <t>128-08108958648952387</t>
        </is>
      </c>
      <c r="E875" s="16" t="inlineStr">
        <is>
          <t>Delivered</t>
        </is>
      </c>
      <c r="F875" s="16" t="inlineStr">
        <is>
          <t>KTS-1678Y</t>
        </is>
      </c>
      <c r="G875" s="16" t="inlineStr">
        <is>
          <t>Bocina portátil Inalámbrico, de 3 pulgadas, tamaño de bolsillo, 170 g, con asa, compatible con TF, USB y Micro SD, con radio FM y función TWS (True Wireless Stereo), adecuada para relajarse en casa o viajar al aire libre.</t>
        </is>
      </c>
      <c r="H875" s="16" t="inlineStr">
        <is>
          <t>KTS-1678Y</t>
        </is>
      </c>
      <c r="I875" s="16" t="n">
        <v>1</v>
      </c>
      <c r="J875" s="17" t="n">
        <v>42.5</v>
      </c>
      <c r="K875" s="17" t="n">
        <v>48.72</v>
      </c>
      <c r="L875" s="17" t="n">
        <v>25.86</v>
      </c>
      <c r="M875" s="17" t="n">
        <v>0</v>
      </c>
      <c r="N875" s="17">
        <f>K875*0.08+L875*0.08</f>
        <v/>
      </c>
      <c r="O875" s="17">
        <f>-(K875*0.025+L875*0.025)</f>
        <v/>
      </c>
      <c r="P875" s="17">
        <f>32</f>
        <v/>
      </c>
      <c r="Q875" s="17">
        <f>J875+L875+N875+O875-P875-M875</f>
        <v/>
      </c>
    </row>
    <row r="876">
      <c r="A876" s="16" t="inlineStr">
        <is>
          <t>5.1-5.7</t>
        </is>
      </c>
      <c r="B876" s="16" t="inlineStr">
        <is>
          <t>PO-128-07855363123830891</t>
        </is>
      </c>
      <c r="C876" s="16" t="inlineStr">
        <is>
          <t>Delivered</t>
        </is>
      </c>
      <c r="D876" s="16" t="inlineStr">
        <is>
          <t>128-07855415552630891</t>
        </is>
      </c>
      <c r="E876" s="16" t="inlineStr">
        <is>
          <t>Delivered</t>
        </is>
      </c>
      <c r="F876" s="16" t="inlineStr">
        <is>
          <t>MCM-001R</t>
        </is>
      </c>
      <c r="G876" s="16" t="inlineStr">
        <is>
          <t>Musicord Altavoz Inalámbrico BT Portátil: ¡Sonido impactante, luces LED multicolores y 4 horas de autonomía! Compatible con TWS, FM, TF y USB – Imprescindible para fiestas y viajes</t>
        </is>
      </c>
      <c r="H876" s="16" t="inlineStr">
        <is>
          <t>ROJO</t>
        </is>
      </c>
      <c r="I876" s="16" t="n">
        <v>1</v>
      </c>
      <c r="J876" s="17" t="n">
        <v>66.5</v>
      </c>
      <c r="K876" s="17" t="n">
        <v>24.33</v>
      </c>
      <c r="L876" s="17" t="n">
        <v>25.86</v>
      </c>
      <c r="M876" s="17" t="n">
        <v>0</v>
      </c>
      <c r="N876" s="17">
        <f>K876*0.08+L876*0.08</f>
        <v/>
      </c>
      <c r="O876" s="17">
        <f>-(K876*0.025+L876*0.025)</f>
        <v/>
      </c>
      <c r="P876" s="17">
        <f>32</f>
        <v/>
      </c>
      <c r="Q876" s="17">
        <f>J876+L876+N876+O876-P876-M876</f>
        <v/>
      </c>
    </row>
    <row r="877">
      <c r="A877" s="16" t="inlineStr">
        <is>
          <t>5.1-5.7</t>
        </is>
      </c>
      <c r="B877" s="16" t="inlineStr">
        <is>
          <t>PO-128-08047320064633779</t>
        </is>
      </c>
      <c r="C877" s="16" t="inlineStr">
        <is>
          <t>Delivered</t>
        </is>
      </c>
      <c r="D877" s="16" t="inlineStr">
        <is>
          <t>128-08047358075513779</t>
        </is>
      </c>
      <c r="E877" s="16" t="inlineStr">
        <is>
          <t>Delivered</t>
        </is>
      </c>
      <c r="F877" s="16" t="inlineStr">
        <is>
          <t>BS-22</t>
        </is>
      </c>
      <c r="G877" s="16" t="inlineStr">
        <is>
          <t>link bits Barra de Sonido para TV, 2x2" Altavoces + 2 Membranas de Graves, Sonido Claro ≥80dB, Bluetooth Inalámbrico, Conexiones AUX/USB, Diseño Compacto 76cm, Sonido Envolvente 3D para Cine en Casa, PC, Juegos y Fiestas</t>
        </is>
      </c>
      <c r="H877" s="16" t="inlineStr">
        <is>
          <t>BS-22</t>
        </is>
      </c>
      <c r="I877" s="16" t="n">
        <v>1</v>
      </c>
      <c r="J877" s="17" t="n">
        <v>265</v>
      </c>
      <c r="K877" s="17" t="n">
        <v>258.93</v>
      </c>
      <c r="L877" s="17" t="n">
        <v>0</v>
      </c>
      <c r="M877" s="17" t="n">
        <v>0</v>
      </c>
      <c r="N877" s="17">
        <f>K877*0.08+L877*0.08</f>
        <v/>
      </c>
      <c r="O877" s="17">
        <f>-(K877*0.025+L877*0.025)</f>
        <v/>
      </c>
      <c r="P877" s="17">
        <f>32</f>
        <v/>
      </c>
      <c r="Q877" s="17">
        <f>J877+L877+N877+O877-P877-M877</f>
        <v/>
      </c>
    </row>
    <row r="878">
      <c r="A878" s="16" t="inlineStr">
        <is>
          <t>5.1-5.7</t>
        </is>
      </c>
      <c r="B878" s="16" t="inlineStr">
        <is>
          <t>PO-128-08138414469752274</t>
        </is>
      </c>
      <c r="C878" s="16" t="inlineStr">
        <is>
          <t>Delivered</t>
        </is>
      </c>
      <c r="D878" s="16" t="inlineStr">
        <is>
          <t>128-08138435441272274</t>
        </is>
      </c>
      <c r="E878" s="16" t="inlineStr">
        <is>
          <t>Delivered</t>
        </is>
      </c>
      <c r="F878" s="16" t="inlineStr">
        <is>
          <t>KTS-1678Y</t>
        </is>
      </c>
      <c r="G878" s="16" t="inlineStr">
        <is>
          <t>Bocina portátil Inalámbrico, de 3 pulgadas, tamaño de bolsillo, 170 g, con asa, compatible con TF, USB y Micro SD, con radio FM y función TWS (True Wireless Stereo), adecuada para relajarse en casa o viajar al aire libre.</t>
        </is>
      </c>
      <c r="H878" s="16" t="inlineStr">
        <is>
          <t>KTS-1678Y</t>
        </is>
      </c>
      <c r="I878" s="16" t="n">
        <v>1</v>
      </c>
      <c r="J878" s="17" t="n">
        <v>42.5</v>
      </c>
      <c r="K878" s="17" t="n">
        <v>5.62</v>
      </c>
      <c r="L878" s="17" t="n">
        <v>25.86</v>
      </c>
      <c r="M878" s="17" t="n">
        <v>0</v>
      </c>
      <c r="N878" s="17">
        <f>K878*0.08+L878*0.08</f>
        <v/>
      </c>
      <c r="O878" s="17">
        <f>-(K878*0.025+L878*0.025)</f>
        <v/>
      </c>
      <c r="P878" s="17">
        <f>32</f>
        <v/>
      </c>
      <c r="Q878" s="17">
        <f>J878+L878+N878+O878-P878-M878</f>
        <v/>
      </c>
    </row>
    <row r="879">
      <c r="A879" s="16" t="inlineStr">
        <is>
          <t>5.1-5.7</t>
        </is>
      </c>
      <c r="B879" s="16" t="inlineStr">
        <is>
          <t>PO-128-08042002596473744</t>
        </is>
      </c>
      <c r="C879" s="16" t="inlineStr">
        <is>
          <t>Delivered</t>
        </is>
      </c>
      <c r="D879" s="16" t="inlineStr">
        <is>
          <t>128-08042055025273744</t>
        </is>
      </c>
      <c r="E879" s="16" t="inlineStr">
        <is>
          <t>Delivered</t>
        </is>
      </c>
      <c r="F879" s="16" t="inlineStr">
        <is>
          <t>LB02235-rojo</t>
        </is>
      </c>
      <c r="G879" s="16" t="inlineStr">
        <is>
          <t>Audífonos Inalámbricos para la Cabeza, Recargables y Multifuncionales - Conectan a Varios Dispositivos, soportan Radio FM, Tarjeta TF y AUX - 4 Horas de Reproducción Musical - Ideal para Trabajo Cotidiano, Juegos y Estudio</t>
        </is>
      </c>
      <c r="H879" s="16" t="inlineStr">
        <is>
          <t>ROJO</t>
        </is>
      </c>
      <c r="I879" s="16" t="n">
        <v>1</v>
      </c>
      <c r="J879" s="17" t="n">
        <v>46</v>
      </c>
      <c r="K879" s="17" t="n">
        <v>59.12</v>
      </c>
      <c r="L879" s="17" t="n">
        <v>25.86</v>
      </c>
      <c r="M879" s="17" t="n">
        <v>0</v>
      </c>
      <c r="N879" s="17">
        <f>K879*0.08+L879*0.08</f>
        <v/>
      </c>
      <c r="O879" s="17">
        <f>-(K879*0.025+L879*0.025)</f>
        <v/>
      </c>
      <c r="P879" s="17">
        <f>32</f>
        <v/>
      </c>
      <c r="Q879" s="17">
        <f>J879+L879+N879+O879-P879-M879</f>
        <v/>
      </c>
    </row>
    <row r="880">
      <c r="A880" s="16" t="inlineStr">
        <is>
          <t>5.1-5.7</t>
        </is>
      </c>
      <c r="B880" s="16" t="inlineStr">
        <is>
          <t>PO-128-08133162988152243</t>
        </is>
      </c>
      <c r="C880" s="16" t="inlineStr">
        <is>
          <t>Delivered</t>
        </is>
      </c>
      <c r="D880" s="16" t="inlineStr">
        <is>
          <t>128-08133204931192243</t>
        </is>
      </c>
      <c r="E880" s="16" t="inlineStr">
        <is>
          <t>Delivered</t>
        </is>
      </c>
      <c r="F880" s="16" t="inlineStr">
        <is>
          <t>KTS-1678Y</t>
        </is>
      </c>
      <c r="G880" s="16" t="inlineStr">
        <is>
          <t>Bocina portátil Inalámbrico, de 3 pulgadas, tamaño de bolsillo, 170 g, con asa, compatible con TF, USB y Micro SD, con radio FM y función TWS (True Wireless Stereo), adecuada para relajarse en casa o viajar al aire libre.</t>
        </is>
      </c>
      <c r="H880" s="16" t="inlineStr">
        <is>
          <t>KTS-1678Y</t>
        </is>
      </c>
      <c r="I880" s="16" t="n">
        <v>1</v>
      </c>
      <c r="J880" s="17" t="n">
        <v>42.5</v>
      </c>
      <c r="K880" s="17" t="n">
        <v>5.62</v>
      </c>
      <c r="L880" s="17" t="n">
        <v>25.86</v>
      </c>
      <c r="M880" s="17" t="n">
        <v>0</v>
      </c>
      <c r="N880" s="17">
        <f>K880*0.08+L880*0.08</f>
        <v/>
      </c>
      <c r="O880" s="17">
        <f>-(K880*0.025+L880*0.025)</f>
        <v/>
      </c>
      <c r="P880" s="17">
        <f>32</f>
        <v/>
      </c>
      <c r="Q880" s="17">
        <f>J880+L880+N880+O880-P880-M880</f>
        <v/>
      </c>
    </row>
    <row r="881">
      <c r="A881" s="16" t="inlineStr">
        <is>
          <t>5.1-5.7</t>
        </is>
      </c>
      <c r="B881" s="16" t="inlineStr">
        <is>
          <t>PO-128-08131641303672250</t>
        </is>
      </c>
      <c r="C881" s="16" t="inlineStr">
        <is>
          <t>Delivered</t>
        </is>
      </c>
      <c r="D881" s="16" t="inlineStr">
        <is>
          <t>128-08131683246712250</t>
        </is>
      </c>
      <c r="E881" s="16" t="inlineStr">
        <is>
          <t>Delivered</t>
        </is>
      </c>
      <c r="F881" s="16" t="inlineStr">
        <is>
          <t>LB02235-azul</t>
        </is>
      </c>
      <c r="G881" s="16" t="inlineStr">
        <is>
          <t>Audífonos Inalámbricos para la Cabeza, Recargables y Multifuncionales - Conectan a Varios Dispositivos, soportan Radio FM, Tarjeta TF y AUX - 4 Horas de Reproducción Musical - Ideal para Trabajo Cotidiano, Juegos y Estudio</t>
        </is>
      </c>
      <c r="H881" s="16" t="inlineStr">
        <is>
          <t>AZUL</t>
        </is>
      </c>
      <c r="I881" s="16" t="n">
        <v>1</v>
      </c>
      <c r="J881" s="17" t="n">
        <v>37.73</v>
      </c>
      <c r="K881" s="17" t="n">
        <v>50.84</v>
      </c>
      <c r="L881" s="17" t="n">
        <v>25.86</v>
      </c>
      <c r="M881" s="17" t="n">
        <v>0</v>
      </c>
      <c r="N881" s="17">
        <f>K881*0.08+L881*0.08</f>
        <v/>
      </c>
      <c r="O881" s="17">
        <f>-(K881*0.025+L881*0.025)</f>
        <v/>
      </c>
      <c r="P881" s="17">
        <f>32</f>
        <v/>
      </c>
      <c r="Q881" s="17">
        <f>J881+L881+N881+O881-P881-M881</f>
        <v/>
      </c>
    </row>
    <row r="882">
      <c r="A882" s="16" t="inlineStr">
        <is>
          <t>5.1-5.7</t>
        </is>
      </c>
      <c r="B882" s="16" t="inlineStr">
        <is>
          <t>PO-128-08182339615352844</t>
        </is>
      </c>
      <c r="C882" s="16" t="inlineStr">
        <is>
          <t>Delivered</t>
        </is>
      </c>
      <c r="D882" s="16" t="inlineStr">
        <is>
          <t>128-08182407772792844</t>
        </is>
      </c>
      <c r="E882" s="16" t="inlineStr">
        <is>
          <t>Delivered</t>
        </is>
      </c>
      <c r="F882" s="16" t="inlineStr">
        <is>
          <t>S58W60</t>
        </is>
      </c>
      <c r="G88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882" s="16" t="inlineStr">
        <is>
          <t>1 pieza</t>
        </is>
      </c>
      <c r="I882" s="16" t="n">
        <v>1</v>
      </c>
      <c r="J882" s="17" t="n">
        <v>59</v>
      </c>
      <c r="K882" s="17" t="n">
        <v>52.2</v>
      </c>
      <c r="L882" s="17" t="n">
        <v>25.86</v>
      </c>
      <c r="M882" s="17" t="n">
        <v>0</v>
      </c>
      <c r="N882" s="17">
        <f>K882*0.08+L882*0.08</f>
        <v/>
      </c>
      <c r="O882" s="17">
        <f>-(K882*0.025+L882*0.025)</f>
        <v/>
      </c>
      <c r="P882" s="17">
        <f>32</f>
        <v/>
      </c>
      <c r="Q882" s="17">
        <f>J882+L882+N882+O882-P882-M882</f>
        <v/>
      </c>
    </row>
    <row r="883">
      <c r="A883" s="16" t="inlineStr">
        <is>
          <t>5.1-5.7</t>
        </is>
      </c>
      <c r="B883" s="16" t="inlineStr">
        <is>
          <t>PO-128-08230335775352622</t>
        </is>
      </c>
      <c r="C883" s="16" t="inlineStr">
        <is>
          <t>Delivered</t>
        </is>
      </c>
      <c r="D883" s="16" t="inlineStr">
        <is>
          <t>128-08230388204152622</t>
        </is>
      </c>
      <c r="E883" s="16" t="inlineStr">
        <is>
          <t>Delivered</t>
        </is>
      </c>
      <c r="F883" s="16" t="inlineStr">
        <is>
          <t>MB-178-N</t>
        </is>
      </c>
      <c r="G883" s="16" t="inlineStr">
        <is>
          <t>Bocina de Barra Bluetooth LINK BITS con dos altavoces, sonido de alta calidad y multifuncional (Bluetooth, Radio FM, USB, TF, AUX, TWS), ideal para juegos, reuniones, oficina y cine en casa.</t>
        </is>
      </c>
      <c r="H883" s="16" t="inlineStr">
        <is>
          <t>NEGRO</t>
        </is>
      </c>
      <c r="I883" s="16" t="n">
        <v>1</v>
      </c>
      <c r="J883" s="17" t="n">
        <v>135</v>
      </c>
      <c r="K883" s="17" t="n">
        <v>154.34</v>
      </c>
      <c r="L883" s="17" t="n">
        <v>25.86</v>
      </c>
      <c r="M883" s="17" t="n">
        <v>0</v>
      </c>
      <c r="N883" s="17">
        <f>K883*0.08+L883*0.08</f>
        <v/>
      </c>
      <c r="O883" s="17">
        <f>-(K883*0.025+L883*0.025)</f>
        <v/>
      </c>
      <c r="P883" s="17">
        <f>32</f>
        <v/>
      </c>
      <c r="Q883" s="17">
        <f>J883+L883+N883+O883-P883-M883</f>
        <v/>
      </c>
    </row>
    <row r="884">
      <c r="A884" s="16" t="inlineStr">
        <is>
          <t>5.1-5.7</t>
        </is>
      </c>
      <c r="B884" s="16" t="inlineStr">
        <is>
          <t>PO-128-08229085594232567</t>
        </is>
      </c>
      <c r="C884" s="16" t="inlineStr">
        <is>
          <t>Delivered</t>
        </is>
      </c>
      <c r="D884" s="16" t="inlineStr">
        <is>
          <t>128-08229190451832567</t>
        </is>
      </c>
      <c r="E884" s="16" t="inlineStr">
        <is>
          <t>Delivered</t>
        </is>
      </c>
      <c r="F884" s="16" t="inlineStr">
        <is>
          <t>BS-22</t>
        </is>
      </c>
      <c r="G884" s="16" t="inlineStr">
        <is>
          <t>link bits Barra de Sonido para TV, 2x2" Altavoces + 2 Membranas de Graves, Sonido Claro ≥80dB, Bluetooth Inalámbrico, Conexiones AUX/USB, Diseño Compacto 76cm, Sonido Envolvente 3D para Cine en Casa, PC, Juegos y Fiestas</t>
        </is>
      </c>
      <c r="H884" s="16" t="inlineStr">
        <is>
          <t>BS-22</t>
        </is>
      </c>
      <c r="I884" s="16" t="n">
        <v>1</v>
      </c>
      <c r="J884" s="17" t="n">
        <v>265</v>
      </c>
      <c r="K884" s="17" t="n">
        <v>243.69</v>
      </c>
      <c r="L884" s="17" t="n">
        <v>0</v>
      </c>
      <c r="M884" s="17" t="n">
        <v>0</v>
      </c>
      <c r="N884" s="17">
        <f>K884*0.08+L884*0.08</f>
        <v/>
      </c>
      <c r="O884" s="17">
        <f>-(K884*0.025+L884*0.025)</f>
        <v/>
      </c>
      <c r="P884" s="17">
        <f>32</f>
        <v/>
      </c>
      <c r="Q884" s="17">
        <f>J884+L884+N884+O884-P884-M884</f>
        <v/>
      </c>
    </row>
    <row r="885">
      <c r="A885" s="16" t="inlineStr">
        <is>
          <t>5.1-5.7</t>
        </is>
      </c>
      <c r="B885" s="16" t="inlineStr">
        <is>
          <t>PO-128-08000886180474054</t>
        </is>
      </c>
      <c r="C885" s="16" t="inlineStr">
        <is>
          <t>Delivered</t>
        </is>
      </c>
      <c r="D885" s="16" t="inlineStr">
        <is>
          <t>128-08000865208954054</t>
        </is>
      </c>
      <c r="E885" s="16" t="inlineStr">
        <is>
          <t>Delivered</t>
        </is>
      </c>
      <c r="F885" s="16" t="inlineStr">
        <is>
          <t>MCM-001G</t>
        </is>
      </c>
      <c r="G885" s="16" t="inlineStr">
        <is>
          <t>Musicord Altavoz Inalámbrico BT Portátil: ¡Sonido impactante, luces LED multicolores y 4 horas de autonomía! Compatible con TWS, FM, TF y USB – Imprescindible para fiestas y viajes</t>
        </is>
      </c>
      <c r="H885" s="16" t="inlineStr">
        <is>
          <t>GRIS</t>
        </is>
      </c>
      <c r="I885" s="16" t="n">
        <v>1</v>
      </c>
      <c r="J885" s="17" t="n">
        <v>51.07</v>
      </c>
      <c r="K885" s="17" t="n">
        <v>43.62</v>
      </c>
      <c r="L885" s="17" t="n">
        <v>25.86</v>
      </c>
      <c r="M885" s="17" t="n">
        <v>0</v>
      </c>
      <c r="N885" s="17">
        <f>K885*0.08+L885*0.08</f>
        <v/>
      </c>
      <c r="O885" s="17">
        <f>-(K885*0.025+L885*0.025)</f>
        <v/>
      </c>
      <c r="P885" s="17">
        <f>32</f>
        <v/>
      </c>
      <c r="Q885" s="17">
        <f>J885+L885+N885+O885-P885-M885</f>
        <v/>
      </c>
    </row>
    <row r="886">
      <c r="A886" s="16" t="inlineStr">
        <is>
          <t>5.1-5.7</t>
        </is>
      </c>
      <c r="B886" s="16" t="inlineStr">
        <is>
          <t>PO-128-07750110259830492</t>
        </is>
      </c>
      <c r="C886" s="16" t="inlineStr">
        <is>
          <t>Delivered</t>
        </is>
      </c>
      <c r="D886" s="16" t="inlineStr">
        <is>
          <t>128-07750152202870492</t>
        </is>
      </c>
      <c r="E886" s="16" t="inlineStr">
        <is>
          <t>Delivered</t>
        </is>
      </c>
      <c r="F886" s="16" t="inlineStr">
        <is>
          <t>LB02235-azul</t>
        </is>
      </c>
      <c r="G886" s="16" t="inlineStr">
        <is>
          <t>Audífonos Inalámbricos para la Cabeza, Recargables y Multifuncionales - Conectan a Varios Dispositivos, soportan Radio FM, Tarjeta TF y AUX - 4 Horas de Reproducción Musical - Ideal para Trabajo Cotidiano, Juegos y Estudio</t>
        </is>
      </c>
      <c r="H886" s="16" t="inlineStr">
        <is>
          <t>AZUL</t>
        </is>
      </c>
      <c r="I886" s="16" t="n">
        <v>1</v>
      </c>
      <c r="J886" s="17" t="n">
        <v>37.73</v>
      </c>
      <c r="K886" s="17" t="n">
        <v>50.84</v>
      </c>
      <c r="L886" s="17" t="n">
        <v>25.86</v>
      </c>
      <c r="M886" s="17" t="n">
        <v>0</v>
      </c>
      <c r="N886" s="17">
        <f>K886*0.08+L886*0.08</f>
        <v/>
      </c>
      <c r="O886" s="17">
        <f>-(K886*0.025+L886*0.025)</f>
        <v/>
      </c>
      <c r="P886" s="17">
        <f>32</f>
        <v/>
      </c>
      <c r="Q886" s="17">
        <f>J886+L886+N886+O886-P886-M886</f>
        <v/>
      </c>
    </row>
    <row r="887">
      <c r="A887" s="16" t="inlineStr">
        <is>
          <t>5.1-5.7</t>
        </is>
      </c>
      <c r="B887" s="16" t="inlineStr">
        <is>
          <t>PO-128-07625556583031045</t>
        </is>
      </c>
      <c r="C887" s="16" t="inlineStr">
        <is>
          <t>Delivered</t>
        </is>
      </c>
      <c r="D887" s="16" t="inlineStr">
        <is>
          <t>128-07625567068791045</t>
        </is>
      </c>
      <c r="E887" s="16" t="inlineStr">
        <is>
          <t>Delivered</t>
        </is>
      </c>
      <c r="F887" s="16" t="inlineStr">
        <is>
          <t>LB02235-azul</t>
        </is>
      </c>
      <c r="G887" s="16" t="inlineStr">
        <is>
          <t>Audífonos Inalámbricos para la Cabeza, Recargables y Multifuncionales - Conectan a Varios Dispositivos, soportan Radio FM, Tarjeta TF y AUX - 4 Horas de Reproducción Musical - Ideal para Trabajo Cotidiano, Juegos y Estudio</t>
        </is>
      </c>
      <c r="H887" s="16" t="inlineStr">
        <is>
          <t>AZUL</t>
        </is>
      </c>
      <c r="I887" s="16" t="n">
        <v>1</v>
      </c>
      <c r="J887" s="17" t="n">
        <v>37.73</v>
      </c>
      <c r="K887" s="17" t="n">
        <v>50.84</v>
      </c>
      <c r="L887" s="17" t="n">
        <v>25.86</v>
      </c>
      <c r="M887" s="17" t="n">
        <v>0</v>
      </c>
      <c r="N887" s="17">
        <f>K887*0.08+L887*0.08</f>
        <v/>
      </c>
      <c r="O887" s="17">
        <f>-(K887*0.025+L887*0.025)</f>
        <v/>
      </c>
      <c r="P887" s="17">
        <f>32</f>
        <v/>
      </c>
      <c r="Q887" s="17">
        <f>J887+L887+N887+O887-P887-M887</f>
        <v/>
      </c>
    </row>
    <row r="888">
      <c r="A888" s="16" t="inlineStr">
        <is>
          <t>5.1-5.7</t>
        </is>
      </c>
      <c r="B888" s="16" t="inlineStr">
        <is>
          <t>PO-128-08211336366712737</t>
        </is>
      </c>
      <c r="C888" s="16" t="inlineStr">
        <is>
          <t>Delivered</t>
        </is>
      </c>
      <c r="D888" s="16" t="inlineStr">
        <is>
          <t>128-08211294423672737</t>
        </is>
      </c>
      <c r="E888" s="16" t="inlineStr">
        <is>
          <t>Delivered</t>
        </is>
      </c>
      <c r="F888" s="16" t="inlineStr">
        <is>
          <t>MB-185N</t>
        </is>
      </c>
      <c r="G888" s="16" t="inlineStr">
        <is>
          <t>Bocina Radio FM/Reproductor, Compatible con Tarjeta TF, USB, Bluetooth, Aplicable para celular, computadora, Ipad y consola.</t>
        </is>
      </c>
      <c r="H888" s="16" t="inlineStr">
        <is>
          <t>NEGRO/MB-185</t>
        </is>
      </c>
      <c r="I888" s="16" t="n">
        <v>1</v>
      </c>
      <c r="J888" s="17" t="n">
        <v>75.5</v>
      </c>
      <c r="K888" s="17" t="n">
        <v>79.62</v>
      </c>
      <c r="L888" s="17" t="n">
        <v>25.86</v>
      </c>
      <c r="M888" s="17" t="n">
        <v>0</v>
      </c>
      <c r="N888" s="17">
        <f>K888*0.08+L888*0.08</f>
        <v/>
      </c>
      <c r="O888" s="17">
        <f>-(K888*0.025+L888*0.025)</f>
        <v/>
      </c>
      <c r="P888" s="17">
        <f>32</f>
        <v/>
      </c>
      <c r="Q888" s="17">
        <f>J888+L888+N888+O888-P888-M888</f>
        <v/>
      </c>
    </row>
    <row r="889">
      <c r="A889" s="16" t="inlineStr">
        <is>
          <t>5.1-5.7</t>
        </is>
      </c>
      <c r="B889" s="16" t="inlineStr">
        <is>
          <t>PO-128-08012129127033858</t>
        </is>
      </c>
      <c r="C889" s="16" t="inlineStr">
        <is>
          <t>Delivered</t>
        </is>
      </c>
      <c r="D889" s="16" t="inlineStr">
        <is>
          <t>128-08012209080953858</t>
        </is>
      </c>
      <c r="E889" s="16" t="inlineStr">
        <is>
          <t>Delivered</t>
        </is>
      </c>
      <c r="F889" s="16" t="inlineStr">
        <is>
          <t>MB-185A</t>
        </is>
      </c>
      <c r="G889" s="16" t="inlineStr">
        <is>
          <t>Bocina Radio FM/Reproductor, Compatible con Tarjeta TF, USB, Bluetooth, Aplicable para celular, computadora, Ipad y consola.</t>
        </is>
      </c>
      <c r="H889" s="16" t="inlineStr">
        <is>
          <t>AZUL/MB-185</t>
        </is>
      </c>
      <c r="I889" s="16" t="n">
        <v>1</v>
      </c>
      <c r="J889" s="17" t="n">
        <v>75.5</v>
      </c>
      <c r="K889" s="17" t="n">
        <v>56.91</v>
      </c>
      <c r="L889" s="17" t="n">
        <v>0</v>
      </c>
      <c r="M889" s="17" t="n">
        <v>2.71</v>
      </c>
      <c r="N889" s="17">
        <f>K889*0.08+L889*0.08</f>
        <v/>
      </c>
      <c r="O889" s="17">
        <f>-(K889*0.025+L889*0.025)</f>
        <v/>
      </c>
      <c r="P889" s="17">
        <f>32</f>
        <v/>
      </c>
      <c r="Q889" s="17">
        <f>J889+L889+N889+O889-P889-M889</f>
        <v/>
      </c>
    </row>
    <row r="890">
      <c r="A890" s="16" t="inlineStr">
        <is>
          <t>5.1-5.7</t>
        </is>
      </c>
      <c r="B890" s="16" t="inlineStr">
        <is>
          <t>PO-128-08012129127033858</t>
        </is>
      </c>
      <c r="C890" s="16" t="inlineStr">
        <is>
          <t>Delivered</t>
        </is>
      </c>
      <c r="D890" s="16" t="inlineStr">
        <is>
          <t>128-08012251023993858</t>
        </is>
      </c>
      <c r="E890" s="16" t="inlineStr">
        <is>
          <t>Delivered</t>
        </is>
      </c>
      <c r="F890" s="16" t="inlineStr">
        <is>
          <t>MB-185N</t>
        </is>
      </c>
      <c r="G890" s="16" t="inlineStr">
        <is>
          <t>Bocina Radio FM/Reproductor, Compatible con Tarjeta TF, USB, Bluetooth, Aplicable para celular, computadora, Ipad y consola.</t>
        </is>
      </c>
      <c r="H890" s="16" t="inlineStr">
        <is>
          <t>NEGRO/MB-185</t>
        </is>
      </c>
      <c r="I890" s="16" t="n">
        <v>1</v>
      </c>
      <c r="J890" s="17" t="n">
        <v>75.5</v>
      </c>
      <c r="K890" s="17" t="n">
        <v>56.91</v>
      </c>
      <c r="L890" s="17" t="n">
        <v>0</v>
      </c>
      <c r="M890" s="17" t="n">
        <v>2.71</v>
      </c>
      <c r="N890" s="17">
        <f>K890*0.08+L890*0.08</f>
        <v/>
      </c>
      <c r="O890" s="17">
        <f>-(K890*0.025+L890*0.025)</f>
        <v/>
      </c>
      <c r="P890" s="17">
        <f>32</f>
        <v/>
      </c>
      <c r="Q890" s="17">
        <f>J890+L890+N890+O890-P890-M890</f>
        <v/>
      </c>
    </row>
    <row r="891">
      <c r="A891" s="16" t="inlineStr">
        <is>
          <t>5.1-5.7</t>
        </is>
      </c>
      <c r="B891" s="16" t="inlineStr">
        <is>
          <t>PO-128-08012129127033858</t>
        </is>
      </c>
      <c r="C891" s="16" t="inlineStr">
        <is>
          <t>Delivered</t>
        </is>
      </c>
      <c r="D891" s="16" t="inlineStr">
        <is>
          <t>128-08012292967033858</t>
        </is>
      </c>
      <c r="E891" s="16" t="inlineStr">
        <is>
          <t>Delivered</t>
        </is>
      </c>
      <c r="F891" s="16" t="inlineStr">
        <is>
          <t>MB-185R</t>
        </is>
      </c>
      <c r="G891" s="16" t="inlineStr">
        <is>
          <t>Bocina Radio FM/Reproductor, Compatible con Tarjeta TF, USB, Bluetooth, Aplicable para celular, computadora, Ipad y consola.</t>
        </is>
      </c>
      <c r="H891" s="16" t="inlineStr">
        <is>
          <t>ROJO/MB-185</t>
        </is>
      </c>
      <c r="I891" s="16" t="n">
        <v>1</v>
      </c>
      <c r="J891" s="17" t="n">
        <v>76</v>
      </c>
      <c r="K891" s="17" t="n">
        <v>57.24</v>
      </c>
      <c r="L891" s="17" t="n">
        <v>0</v>
      </c>
      <c r="M891" s="17" t="n">
        <v>3.03</v>
      </c>
      <c r="N891" s="17">
        <f>K891*0.08+L891*0.08</f>
        <v/>
      </c>
      <c r="O891" s="17">
        <f>-(K891*0.025+L891*0.025)</f>
        <v/>
      </c>
      <c r="P891" s="17">
        <f>32</f>
        <v/>
      </c>
      <c r="Q891" s="17">
        <f>J891+L891+N891+O891-P891-M891</f>
        <v/>
      </c>
    </row>
    <row r="892">
      <c r="A892" s="16" t="inlineStr">
        <is>
          <t>5.1-5.7</t>
        </is>
      </c>
      <c r="B892" s="16" t="inlineStr">
        <is>
          <t>PO-128-07590544251511317</t>
        </is>
      </c>
      <c r="C892" s="16" t="inlineStr">
        <is>
          <t>Delivered</t>
        </is>
      </c>
      <c r="D892" s="16" t="inlineStr">
        <is>
          <t>128-07590649109111317</t>
        </is>
      </c>
      <c r="E892" s="16" t="inlineStr">
        <is>
          <t>Delivered</t>
        </is>
      </c>
      <c r="F892" s="16" t="inlineStr">
        <is>
          <t>KTS-1678N</t>
        </is>
      </c>
      <c r="G892" s="16" t="inlineStr">
        <is>
          <t>Bocina portátil Inalámbrico, de 3 pulgadas, tamaño de bolsillo, 170 g, con asa, compatible con TF, USB y Micro SD, con radio FM y función TWS (True Wireless Stereo), adecuada para relajarse en casa o viajar al aire libre.</t>
        </is>
      </c>
      <c r="H892" s="16" t="inlineStr">
        <is>
          <t>KTS-1678N</t>
        </is>
      </c>
      <c r="I892" s="16" t="n">
        <v>1</v>
      </c>
      <c r="J892" s="17" t="n">
        <v>54.12</v>
      </c>
      <c r="K892" s="17" t="n">
        <v>62.39</v>
      </c>
      <c r="L892" s="17" t="n">
        <v>25.86</v>
      </c>
      <c r="M892" s="17" t="n">
        <v>0</v>
      </c>
      <c r="N892" s="17">
        <f>K892*0.08+L892*0.08</f>
        <v/>
      </c>
      <c r="O892" s="17">
        <f>-(K892*0.025+L892*0.025)</f>
        <v/>
      </c>
      <c r="P892" s="17">
        <f>32</f>
        <v/>
      </c>
      <c r="Q892" s="17">
        <f>J892+L892+N892+O892-P892-M892</f>
        <v/>
      </c>
    </row>
    <row r="893">
      <c r="A893" s="16" t="inlineStr">
        <is>
          <t>5.1-5.7</t>
        </is>
      </c>
      <c r="B893" s="16" t="inlineStr">
        <is>
          <t>PO-128-08220761631352809</t>
        </is>
      </c>
      <c r="C893" s="16" t="inlineStr">
        <is>
          <t>Delivered</t>
        </is>
      </c>
      <c r="D893" s="16" t="inlineStr">
        <is>
          <t>128-08220829788792809</t>
        </is>
      </c>
      <c r="E893" s="16" t="inlineStr">
        <is>
          <t>Delivered</t>
        </is>
      </c>
      <c r="F893" s="16" t="inlineStr">
        <is>
          <t>LB02235-rojo</t>
        </is>
      </c>
      <c r="G893" s="16" t="inlineStr">
        <is>
          <t>Audífonos Inalámbricos para la Cabeza, Recargables y Multifuncionales - Conectan a Varios Dispositivos, soportan Radio FM, Tarjeta TF y AUX - 4 Horas de Reproducción Musical - Ideal para Trabajo Cotidiano, Juegos y Estudio</t>
        </is>
      </c>
      <c r="H893" s="16" t="inlineStr">
        <is>
          <t>ROJO</t>
        </is>
      </c>
      <c r="I893" s="16" t="n">
        <v>2</v>
      </c>
      <c r="J893" s="17" t="n">
        <v>92</v>
      </c>
      <c r="K893" s="17" t="n">
        <v>118.24</v>
      </c>
      <c r="L893" s="17" t="n">
        <v>25.86</v>
      </c>
      <c r="M893" s="17" t="n">
        <v>0</v>
      </c>
      <c r="N893" s="17">
        <f>K893*0.08+L893*0.08</f>
        <v/>
      </c>
      <c r="O893" s="17">
        <f>-(K893*0.025+L893*0.025)</f>
        <v/>
      </c>
      <c r="P893" s="17">
        <f>32</f>
        <v/>
      </c>
      <c r="Q893" s="17">
        <f>J893+L893+N893+O893-P893-M893</f>
        <v/>
      </c>
    </row>
    <row r="894">
      <c r="A894" s="16" t="inlineStr">
        <is>
          <t>5.1-5.7</t>
        </is>
      </c>
      <c r="B894" s="16" t="inlineStr">
        <is>
          <t>PO-128-08002253517434047</t>
        </is>
      </c>
      <c r="C894" s="16" t="inlineStr">
        <is>
          <t>Delivered</t>
        </is>
      </c>
      <c r="D894" s="16" t="inlineStr">
        <is>
          <t>128-08002266624634047</t>
        </is>
      </c>
      <c r="E894" s="16" t="inlineStr">
        <is>
          <t>Delivered</t>
        </is>
      </c>
      <c r="F894" s="16" t="inlineStr">
        <is>
          <t>LB02235-rojo</t>
        </is>
      </c>
      <c r="G894" s="16" t="inlineStr">
        <is>
          <t>Audífonos Inalámbricos para la Cabeza, Recargables y Multifuncionales - Conectan a Varios Dispositivos, soportan Radio FM, Tarjeta TF y AUX - 4 Horas de Reproducción Musical - Ideal para Trabajo Cotidiano, Juegos y Estudio</t>
        </is>
      </c>
      <c r="H894" s="16" t="inlineStr">
        <is>
          <t>ROJO</t>
        </is>
      </c>
      <c r="I894" s="16" t="n">
        <v>1</v>
      </c>
      <c r="J894" s="17" t="n">
        <v>46</v>
      </c>
      <c r="K894" s="17" t="n">
        <v>48.14</v>
      </c>
      <c r="L894" s="17" t="n">
        <v>25.86</v>
      </c>
      <c r="M894" s="17" t="n">
        <v>0</v>
      </c>
      <c r="N894" s="17">
        <f>K894*0.08+L894*0.08</f>
        <v/>
      </c>
      <c r="O894" s="17">
        <f>-(K894*0.025+L894*0.025)</f>
        <v/>
      </c>
      <c r="P894" s="17">
        <f>32</f>
        <v/>
      </c>
      <c r="Q894" s="17">
        <f>J894+L894+N894+O894-P894-M894</f>
        <v/>
      </c>
    </row>
    <row r="895">
      <c r="A895" s="16" t="inlineStr">
        <is>
          <t>5.1-5.7</t>
        </is>
      </c>
      <c r="B895" s="16" t="inlineStr">
        <is>
          <t>PO-128-08093247396472545</t>
        </is>
      </c>
      <c r="C895" s="16" t="inlineStr">
        <is>
          <t>Delivered</t>
        </is>
      </c>
      <c r="D895" s="16" t="inlineStr">
        <is>
          <t>128-08093285407352545</t>
        </is>
      </c>
      <c r="E895" s="16" t="inlineStr">
        <is>
          <t>Delivered</t>
        </is>
      </c>
      <c r="F895" s="16" t="inlineStr">
        <is>
          <t>KTS-1678V</t>
        </is>
      </c>
      <c r="G895" s="16" t="inlineStr">
        <is>
          <t>Bocina portátil Inalámbrico, de 3 pulgadas, tamaño de bolsillo, 170 g, con asa, compatible con TF, USB y Micro SD, con radio FM y función TWS (True Wireless Stereo), adecuada para relajarse en casa o viajar al aire libre.</t>
        </is>
      </c>
      <c r="H895" s="16" t="inlineStr">
        <is>
          <t>KTS-1678V</t>
        </is>
      </c>
      <c r="I895" s="16" t="n">
        <v>2</v>
      </c>
      <c r="J895" s="17" t="n">
        <v>85</v>
      </c>
      <c r="K895" s="17" t="n">
        <v>84.7</v>
      </c>
      <c r="L895" s="17" t="n">
        <v>12.66</v>
      </c>
      <c r="M895" s="17" t="n">
        <v>0</v>
      </c>
      <c r="N895" s="17">
        <f>K895*0.08+L895*0.08</f>
        <v/>
      </c>
      <c r="O895" s="17">
        <f>-(K895*0.025+L895*0.025)</f>
        <v/>
      </c>
      <c r="P895" s="17">
        <f>32</f>
        <v/>
      </c>
      <c r="Q895" s="17">
        <f>J895+L895+N895+O895-P895-M895</f>
        <v/>
      </c>
    </row>
    <row r="896">
      <c r="A896" s="16" t="inlineStr">
        <is>
          <t>5.1-5.7</t>
        </is>
      </c>
      <c r="B896" s="16" t="inlineStr">
        <is>
          <t>PO-128-08093247396472545</t>
        </is>
      </c>
      <c r="C896" s="16" t="inlineStr">
        <is>
          <t>Delivered</t>
        </is>
      </c>
      <c r="D896" s="16" t="inlineStr">
        <is>
          <t>128-08093295893112545</t>
        </is>
      </c>
      <c r="E896" s="16" t="inlineStr">
        <is>
          <t>Delivered</t>
        </is>
      </c>
      <c r="F896" s="16" t="inlineStr">
        <is>
          <t>KTS-1678R</t>
        </is>
      </c>
      <c r="G896" s="16" t="inlineStr">
        <is>
          <t>Bocina portátil Inalámbrico, de 3 pulgadas, tamaño de bolsillo, 170 g, con asa, compatible con TF, USB y Micro SD, con radio FM y función TWS (True Wireless Stereo), adecuada para relajarse en casa o viajar al aire libre.</t>
        </is>
      </c>
      <c r="H896" s="16" t="inlineStr">
        <is>
          <t>KTS-1678R</t>
        </is>
      </c>
      <c r="I896" s="16" t="n">
        <v>2</v>
      </c>
      <c r="J896" s="17" t="n">
        <v>85</v>
      </c>
      <c r="K896" s="17" t="n">
        <v>88.28</v>
      </c>
      <c r="L896" s="17" t="n">
        <v>13.2</v>
      </c>
      <c r="M896" s="17" t="n">
        <v>0</v>
      </c>
      <c r="N896" s="17">
        <f>K896*0.08+L896*0.08</f>
        <v/>
      </c>
      <c r="O896" s="17">
        <f>-(K896*0.025+L896*0.025)</f>
        <v/>
      </c>
      <c r="P896" s="17">
        <f>32</f>
        <v/>
      </c>
      <c r="Q896" s="17">
        <f>J896+L896+N896+O896-P896-M896</f>
        <v/>
      </c>
    </row>
    <row r="897">
      <c r="A897" s="16" t="inlineStr">
        <is>
          <t>5.1-5.7</t>
        </is>
      </c>
      <c r="B897" s="16" t="inlineStr">
        <is>
          <t>PO-128-07796027454070029</t>
        </is>
      </c>
      <c r="C897" s="16" t="inlineStr">
        <is>
          <t>Delivered</t>
        </is>
      </c>
      <c r="D897" s="16" t="inlineStr">
        <is>
          <t>128-07796035973750029</t>
        </is>
      </c>
      <c r="E897" s="16" t="inlineStr">
        <is>
          <t>Delivered</t>
        </is>
      </c>
      <c r="F897" s="16" t="inlineStr">
        <is>
          <t>FA028</t>
        </is>
      </c>
      <c r="G897" s="16" t="inlineStr">
        <is>
          <t>Extractor de agua para garrafas de agua, compatible con carga USB, extractor de agua automático, práctico, con dos modos de toma de agua: manual y programado, ideal para dormitorios, salones, oficinas, uso al aire libre y otros escenarios.</t>
        </is>
      </c>
      <c r="H897" s="16" t="inlineStr">
        <is>
          <t>FA028</t>
        </is>
      </c>
      <c r="I897" s="16" t="n">
        <v>1</v>
      </c>
      <c r="J897" s="17" t="n">
        <v>35.77</v>
      </c>
      <c r="K897" s="17" t="n">
        <v>45.35</v>
      </c>
      <c r="L897" s="17" t="n">
        <v>25.86</v>
      </c>
      <c r="M897" s="17" t="n">
        <v>0</v>
      </c>
      <c r="N897" s="17">
        <f>K897*0.08+L897*0.08</f>
        <v/>
      </c>
      <c r="O897" s="17">
        <f>-(K897*0.025+L897*0.025)</f>
        <v/>
      </c>
      <c r="P897" s="17">
        <f>32</f>
        <v/>
      </c>
      <c r="Q897" s="17">
        <f>J897+L897+N897+O897-P897-M897</f>
        <v/>
      </c>
    </row>
    <row r="898">
      <c r="A898" s="16" t="inlineStr">
        <is>
          <t>5.1-5.7</t>
        </is>
      </c>
      <c r="B898" s="16" t="inlineStr">
        <is>
          <t>PO-128-07750427546230490</t>
        </is>
      </c>
      <c r="C898" s="16" t="inlineStr">
        <is>
          <t>Delivered</t>
        </is>
      </c>
      <c r="D898" s="16" t="inlineStr">
        <is>
          <t>128-07750430167670490</t>
        </is>
      </c>
      <c r="E898" s="16" t="inlineStr">
        <is>
          <t>Delivered</t>
        </is>
      </c>
      <c r="F898" s="16" t="inlineStr">
        <is>
          <t>MCM-001A</t>
        </is>
      </c>
      <c r="G898" s="16" t="inlineStr">
        <is>
          <t>Musicord Altavoz Inalámbrico BT Portátil: ¡Sonido impactante, luces LED multicolores y 4 horas de autonomía! Compatible con TWS, FM, TF y USB – Imprescindible para fiestas y viajes</t>
        </is>
      </c>
      <c r="H898" s="16" t="inlineStr">
        <is>
          <t>AZUL</t>
        </is>
      </c>
      <c r="I898" s="16" t="n">
        <v>10</v>
      </c>
      <c r="J898" s="17" t="n">
        <v>510.7</v>
      </c>
      <c r="K898" s="17" t="n">
        <v>475.91</v>
      </c>
      <c r="L898" s="17" t="n">
        <v>0</v>
      </c>
      <c r="M898" s="17" t="n">
        <v>0.6</v>
      </c>
      <c r="N898" s="17">
        <f>K898*0.08+L898*0.08</f>
        <v/>
      </c>
      <c r="O898" s="17">
        <f>-(K898*0.025+L898*0.025)</f>
        <v/>
      </c>
      <c r="P898" s="17">
        <f>32</f>
        <v/>
      </c>
      <c r="Q898" s="17">
        <f>J898+L898+N898+O898-P898-M898</f>
        <v/>
      </c>
    </row>
    <row r="899">
      <c r="A899" s="16" t="inlineStr">
        <is>
          <t>5.1-5.7</t>
        </is>
      </c>
      <c r="B899" s="16" t="inlineStr">
        <is>
          <t>PO-128-08040905380473753</t>
        </is>
      </c>
      <c r="C899" s="16" t="inlineStr">
        <is>
          <t>Delivered</t>
        </is>
      </c>
      <c r="D899" s="16" t="inlineStr">
        <is>
          <t>128-08040892273273753</t>
        </is>
      </c>
      <c r="E899" s="16" t="inlineStr">
        <is>
          <t>Delivered</t>
        </is>
      </c>
      <c r="F899" s="16" t="inlineStr">
        <is>
          <t>MCM-001R</t>
        </is>
      </c>
      <c r="G899" s="16" t="inlineStr">
        <is>
          <t>Musicord Altavoz Inalámbrico BT Portátil: ¡Sonido impactante, luces LED multicolores y 4 horas de autonomía! Compatible con TWS, FM, TF y USB – Imprescindible para fiestas y viajes</t>
        </is>
      </c>
      <c r="H899" s="16" t="inlineStr">
        <is>
          <t>ROJO</t>
        </is>
      </c>
      <c r="I899" s="16" t="n">
        <v>1</v>
      </c>
      <c r="J899" s="17" t="n">
        <v>66.5</v>
      </c>
      <c r="K899" s="17" t="n">
        <v>70.87</v>
      </c>
      <c r="L899" s="17" t="n">
        <v>25.86</v>
      </c>
      <c r="M899" s="17" t="n">
        <v>0</v>
      </c>
      <c r="N899" s="17">
        <f>K899*0.08+L899*0.08</f>
        <v/>
      </c>
      <c r="O899" s="17">
        <f>-(K899*0.025+L899*0.025)</f>
        <v/>
      </c>
      <c r="P899" s="17">
        <f>32</f>
        <v/>
      </c>
      <c r="Q899" s="17">
        <f>J899+L899+N899+O899-P899-M899</f>
        <v/>
      </c>
    </row>
    <row r="900">
      <c r="A900" s="16" t="inlineStr">
        <is>
          <t>5.1-5.7</t>
        </is>
      </c>
      <c r="B900" s="16" t="inlineStr">
        <is>
          <t>PO-128-07868047227510687</t>
        </is>
      </c>
      <c r="C900" s="16" t="inlineStr">
        <is>
          <t>Delivered</t>
        </is>
      </c>
      <c r="D900" s="16" t="inlineStr">
        <is>
          <t>128-07868068199030687</t>
        </is>
      </c>
      <c r="E900" s="16" t="inlineStr">
        <is>
          <t>Delivered</t>
        </is>
      </c>
      <c r="F900" s="16" t="inlineStr">
        <is>
          <t>MCM-001A</t>
        </is>
      </c>
      <c r="G900" s="16" t="inlineStr">
        <is>
          <t>Musicord Altavoz Inalámbrico BT Portátil: ¡Sonido impactante, luces LED multicolores y 4 horas de autonomía! Compatible con TWS, FM, TF y USB – Imprescindible para fiestas y viajes</t>
        </is>
      </c>
      <c r="H900" s="16" t="inlineStr">
        <is>
          <t>AZUL</t>
        </is>
      </c>
      <c r="I900" s="16" t="n">
        <v>1</v>
      </c>
      <c r="J900" s="17" t="n">
        <v>51.07</v>
      </c>
      <c r="K900" s="17" t="n">
        <v>59.47</v>
      </c>
      <c r="L900" s="17" t="n">
        <v>25.86</v>
      </c>
      <c r="M900" s="17" t="n">
        <v>0</v>
      </c>
      <c r="N900" s="17">
        <f>K900*0.08+L900*0.08</f>
        <v/>
      </c>
      <c r="O900" s="17">
        <f>-(K900*0.025+L900*0.025)</f>
        <v/>
      </c>
      <c r="P900" s="17">
        <f>32</f>
        <v/>
      </c>
      <c r="Q900" s="17">
        <f>J900+L900+N900+O900-P900-M900</f>
        <v/>
      </c>
    </row>
    <row r="901">
      <c r="A901" s="16" t="inlineStr">
        <is>
          <t>5.1-5.7</t>
        </is>
      </c>
      <c r="B901" s="16" t="inlineStr">
        <is>
          <t>PO-128-08146956380792097</t>
        </is>
      </c>
      <c r="C901" s="16" t="inlineStr">
        <is>
          <t>Delivered</t>
        </is>
      </c>
      <c r="D901" s="16" t="inlineStr">
        <is>
          <t>128-08146977352312097</t>
        </is>
      </c>
      <c r="E901" s="16" t="inlineStr">
        <is>
          <t>Delivered</t>
        </is>
      </c>
      <c r="F901" s="16" t="inlineStr">
        <is>
          <t>AIR50W06-2P</t>
        </is>
      </c>
      <c r="G901" s="16" t="inlineStr">
        <is>
          <t>Link Bits Ventilador de piso de 16 pulgadas, 2 unidades, 3 velocidades, motor silencioso, flujo de aire fuerte, altura ajustable, oscilación amplia, ventilador eléctrico para el hogar, ideal para sala, recámara y oficina</t>
        </is>
      </c>
      <c r="H901" s="16" t="inlineStr">
        <is>
          <t>2PZ</t>
        </is>
      </c>
      <c r="I901" s="16" t="n">
        <v>1</v>
      </c>
      <c r="J901" s="17" t="n">
        <v>437.88</v>
      </c>
      <c r="K901" s="17" t="n">
        <v>571</v>
      </c>
      <c r="L901" s="17" t="n">
        <v>0</v>
      </c>
      <c r="M901" s="17" t="n">
        <v>0</v>
      </c>
      <c r="N901" s="17">
        <f>K901*0.08+L901*0.08</f>
        <v/>
      </c>
      <c r="O901" s="17">
        <f>-(K901*0.025+L901*0.025)</f>
        <v/>
      </c>
      <c r="P901" s="17">
        <f>32</f>
        <v/>
      </c>
      <c r="Q901" s="17">
        <f>J901+L901+N901+O901-P901-M901</f>
        <v/>
      </c>
    </row>
    <row r="902">
      <c r="A902" s="16" t="inlineStr">
        <is>
          <t>5.1-5.7</t>
        </is>
      </c>
      <c r="B902" s="16" t="inlineStr">
        <is>
          <t>PO-128-07732894065270405</t>
        </is>
      </c>
      <c r="C902" s="16" t="inlineStr">
        <is>
          <t>Delivered</t>
        </is>
      </c>
      <c r="D902" s="16" t="inlineStr">
        <is>
          <t>128-07732953047670405</t>
        </is>
      </c>
      <c r="E902" s="16" t="inlineStr">
        <is>
          <t>Delivered</t>
        </is>
      </c>
      <c r="F902" s="16" t="inlineStr">
        <is>
          <t>MB-185A</t>
        </is>
      </c>
      <c r="G902" s="16" t="inlineStr">
        <is>
          <t>Bocina Radio FM/Reproductor, Compatible con Tarjeta TF, USB, Bluetooth, Aplicable para celular, computadora, Ipad y consola.</t>
        </is>
      </c>
      <c r="H902" s="16" t="inlineStr">
        <is>
          <t>AZUL/MB-185</t>
        </is>
      </c>
      <c r="I902" s="16" t="n">
        <v>1</v>
      </c>
      <c r="J902" s="17" t="n">
        <v>75.5</v>
      </c>
      <c r="K902" s="17" t="n">
        <v>88.45999999999999</v>
      </c>
      <c r="L902" s="17" t="n">
        <v>25.86</v>
      </c>
      <c r="M902" s="17" t="n">
        <v>0</v>
      </c>
      <c r="N902" s="17">
        <f>K902*0.08+L902*0.08</f>
        <v/>
      </c>
      <c r="O902" s="17">
        <f>-(K902*0.025+L902*0.025)</f>
        <v/>
      </c>
      <c r="P902" s="17">
        <f>32</f>
        <v/>
      </c>
      <c r="Q902" s="17">
        <f>J902+L902+N902+O902-P902-M902</f>
        <v/>
      </c>
    </row>
    <row r="903">
      <c r="A903" s="16" t="inlineStr">
        <is>
          <t>5.1-5.7</t>
        </is>
      </c>
      <c r="B903" s="16" t="inlineStr">
        <is>
          <t>PO-128-08050180721273824</t>
        </is>
      </c>
      <c r="C903" s="16" t="inlineStr">
        <is>
          <t>Delivered</t>
        </is>
      </c>
      <c r="D903" s="16" t="inlineStr">
        <is>
          <t>128-08050138778233824</t>
        </is>
      </c>
      <c r="E903" s="16" t="inlineStr">
        <is>
          <t>Delivered</t>
        </is>
      </c>
      <c r="F903" s="16" t="inlineStr">
        <is>
          <t>LB02235-rojo</t>
        </is>
      </c>
      <c r="G903" s="16" t="inlineStr">
        <is>
          <t>Audífonos Inalámbricos para la Cabeza, Recargables y Multifuncionales - Conectan a Varios Dispositivos, soportan Radio FM, Tarjeta TF y AUX - 4 Horas de Reproducción Musical - Ideal para Trabajo Cotidiano, Juegos y Estudio</t>
        </is>
      </c>
      <c r="H903" s="16" t="inlineStr">
        <is>
          <t>ROJO</t>
        </is>
      </c>
      <c r="I903" s="16" t="n">
        <v>1</v>
      </c>
      <c r="J903" s="17" t="n">
        <v>46</v>
      </c>
      <c r="K903" s="17" t="n">
        <v>59.12</v>
      </c>
      <c r="L903" s="17" t="n">
        <v>0</v>
      </c>
      <c r="M903" s="17" t="n">
        <v>59.12</v>
      </c>
      <c r="N903" s="17">
        <f>K903*0.08+L903*0.08</f>
        <v/>
      </c>
      <c r="O903" s="17">
        <f>-(K903*0.025+L903*0.025)</f>
        <v/>
      </c>
      <c r="P903" s="17">
        <f>32</f>
        <v/>
      </c>
      <c r="Q903" s="17">
        <f>J903+L903+N903+O903-P903-M903</f>
        <v/>
      </c>
    </row>
    <row r="904">
      <c r="A904" s="16" t="inlineStr">
        <is>
          <t>5.1-5.7</t>
        </is>
      </c>
      <c r="B904" s="16" t="inlineStr">
        <is>
          <t>PO-128-07720904807031626</t>
        </is>
      </c>
      <c r="C904" s="16" t="inlineStr">
        <is>
          <t>Delivered</t>
        </is>
      </c>
      <c r="D904" s="16" t="inlineStr">
        <is>
          <t>128-07720910049911626</t>
        </is>
      </c>
      <c r="E904" s="16" t="inlineStr">
        <is>
          <t>Delivered</t>
        </is>
      </c>
      <c r="F904" s="16" t="inlineStr">
        <is>
          <t>BS-22</t>
        </is>
      </c>
      <c r="G904" s="16" t="inlineStr">
        <is>
          <t>link bits Barra de Sonido para TV, 2x2" Altavoces + 2 Membranas de Graves, Sonido Claro ≥80dB, Bluetooth Inalámbrico, Conexiones AUX/USB, Diseño Compacto 76cm, Sonido Envolvente 3D para Cine en Casa, PC, Juegos y Fiestas</t>
        </is>
      </c>
      <c r="H904" s="16" t="inlineStr">
        <is>
          <t>BS-22</t>
        </is>
      </c>
      <c r="I904" s="16" t="n">
        <v>1</v>
      </c>
      <c r="J904" s="17" t="n">
        <v>265</v>
      </c>
      <c r="K904" s="17" t="n">
        <v>243.7</v>
      </c>
      <c r="L904" s="17" t="n">
        <v>0</v>
      </c>
      <c r="M904" s="17" t="n">
        <v>0</v>
      </c>
      <c r="N904" s="17">
        <f>K904*0.08+L904*0.08</f>
        <v/>
      </c>
      <c r="O904" s="17">
        <f>-(K904*0.025+L904*0.025)</f>
        <v/>
      </c>
      <c r="P904" s="17">
        <f>32</f>
        <v/>
      </c>
      <c r="Q904" s="17">
        <f>J904+L904+N904+O904-P904-M904</f>
        <v/>
      </c>
    </row>
    <row r="905">
      <c r="A905" s="16" t="inlineStr">
        <is>
          <t>5.1-5.7</t>
        </is>
      </c>
      <c r="B905" s="16" t="inlineStr">
        <is>
          <t>PO-128-08191847875192853</t>
        </is>
      </c>
      <c r="C905" s="16" t="inlineStr">
        <is>
          <t>Delivered</t>
        </is>
      </c>
      <c r="D905" s="16" t="inlineStr">
        <is>
          <t>128-08191952732792853</t>
        </is>
      </c>
      <c r="E905" s="16" t="inlineStr">
        <is>
          <t>Delivered</t>
        </is>
      </c>
      <c r="F905" s="16" t="inlineStr">
        <is>
          <t>AIR50W06-2P</t>
        </is>
      </c>
      <c r="G905" s="16" t="inlineStr">
        <is>
          <t>Link Bits Ventilador de piso de 16 pulgadas, 2 unidades, 3 velocidades, motor silencioso, flujo de aire fuerte, altura ajustable, oscilación amplia, ventilador eléctrico para el hogar, ideal para sala, recámara y oficina</t>
        </is>
      </c>
      <c r="H905" s="16" t="inlineStr">
        <is>
          <t>2PZ</t>
        </is>
      </c>
      <c r="I905" s="16" t="n">
        <v>1</v>
      </c>
      <c r="J905" s="17" t="n">
        <v>437.88</v>
      </c>
      <c r="K905" s="17" t="n">
        <v>571</v>
      </c>
      <c r="L905" s="17" t="n">
        <v>0</v>
      </c>
      <c r="M905" s="17" t="n">
        <v>0</v>
      </c>
      <c r="N905" s="17">
        <f>K905*0.08+L905*0.08</f>
        <v/>
      </c>
      <c r="O905" s="17">
        <f>-(K905*0.025+L905*0.025)</f>
        <v/>
      </c>
      <c r="P905" s="17">
        <f>32</f>
        <v/>
      </c>
      <c r="Q905" s="17">
        <f>J905+L905+N905+O905-P905-M905</f>
        <v/>
      </c>
    </row>
    <row r="906">
      <c r="A906" s="16" t="inlineStr">
        <is>
          <t>5.1-5.7</t>
        </is>
      </c>
      <c r="B906" s="16" t="inlineStr">
        <is>
          <t>PO-128-07644273367671125</t>
        </is>
      </c>
      <c r="C906" s="16" t="inlineStr">
        <is>
          <t>Delivered</t>
        </is>
      </c>
      <c r="D906" s="16" t="inlineStr">
        <is>
          <t>128-07644252396151125</t>
        </is>
      </c>
      <c r="E906" s="16" t="inlineStr">
        <is>
          <t>Delivered</t>
        </is>
      </c>
      <c r="F906" s="16" t="inlineStr">
        <is>
          <t>LB02235-rojo</t>
        </is>
      </c>
      <c r="G906" s="16" t="inlineStr">
        <is>
          <t>Audífonos Inalámbricos para la Cabeza, Recargables y Multifuncionales - Conectan a Varios Dispositivos, soportan Radio FM, Tarjeta TF y AUX - 4 Horas de Reproducción Musical - Ideal para Trabajo Cotidiano, Juegos y Estudio</t>
        </is>
      </c>
      <c r="H906" s="16" t="inlineStr">
        <is>
          <t>ROJO</t>
        </is>
      </c>
      <c r="I906" s="16" t="n">
        <v>1</v>
      </c>
      <c r="J906" s="17" t="n">
        <v>46</v>
      </c>
      <c r="K906" s="17" t="n">
        <v>59.12</v>
      </c>
      <c r="L906" s="17" t="n">
        <v>25.86</v>
      </c>
      <c r="M906" s="17" t="n">
        <v>0</v>
      </c>
      <c r="N906" s="17">
        <f>K906*0.08+L906*0.08</f>
        <v/>
      </c>
      <c r="O906" s="17">
        <f>-(K906*0.025+L906*0.025)</f>
        <v/>
      </c>
      <c r="P906" s="17">
        <f>32</f>
        <v/>
      </c>
      <c r="Q906" s="17">
        <f>J906+L906+N906+O906-P906-M906</f>
        <v/>
      </c>
    </row>
    <row r="907">
      <c r="A907" s="16" t="inlineStr">
        <is>
          <t>5.1-5.7</t>
        </is>
      </c>
      <c r="B907" s="16" t="inlineStr">
        <is>
          <t>PO-128-08084476017272469</t>
        </is>
      </c>
      <c r="C907" s="16" t="inlineStr">
        <is>
          <t>Delivered</t>
        </is>
      </c>
      <c r="D907" s="16" t="inlineStr">
        <is>
          <t>128-08084496988792469</t>
        </is>
      </c>
      <c r="E907" s="16" t="inlineStr">
        <is>
          <t>Delivered</t>
        </is>
      </c>
      <c r="F907" s="16" t="inlineStr">
        <is>
          <t>LB02235-blanco</t>
        </is>
      </c>
      <c r="G907" s="16" t="inlineStr">
        <is>
          <t>Audífonos Inalámbricos para la Cabeza, Recargables y Multifuncionales - Conectan a Varios Dispositivos, soportan Radio FM, Tarjeta TF y AUX - 4 Horas de Reproducción Musical - Ideal para Trabajo Cotidiano, Juegos y Estudio</t>
        </is>
      </c>
      <c r="H907" s="16" t="inlineStr">
        <is>
          <t>BLANCO</t>
        </is>
      </c>
      <c r="I907" s="16" t="n">
        <v>1</v>
      </c>
      <c r="J907" s="17" t="n">
        <v>45.31</v>
      </c>
      <c r="K907" s="17" t="n">
        <v>58.42</v>
      </c>
      <c r="L907" s="17" t="n">
        <v>25.86</v>
      </c>
      <c r="M907" s="17" t="n">
        <v>0</v>
      </c>
      <c r="N907" s="17">
        <f>K907*0.08+L907*0.08</f>
        <v/>
      </c>
      <c r="O907" s="17">
        <f>-(K907*0.025+L907*0.025)</f>
        <v/>
      </c>
      <c r="P907" s="17">
        <f>32</f>
        <v/>
      </c>
      <c r="Q907" s="17">
        <f>J907+L907+N907+O907-P907-M907</f>
        <v/>
      </c>
    </row>
    <row r="908">
      <c r="A908" s="16" t="inlineStr">
        <is>
          <t>5.1-5.7</t>
        </is>
      </c>
      <c r="B908" s="16" t="inlineStr">
        <is>
          <t>PO-128-08160685251192975</t>
        </is>
      </c>
      <c r="C908" s="16" t="inlineStr">
        <is>
          <t>Delivered</t>
        </is>
      </c>
      <c r="D908" s="16" t="inlineStr">
        <is>
          <t>128-08160727194232975</t>
        </is>
      </c>
      <c r="E908" s="16" t="inlineStr">
        <is>
          <t>Delivered</t>
        </is>
      </c>
      <c r="F908" s="16" t="inlineStr">
        <is>
          <t>BS-22</t>
        </is>
      </c>
      <c r="G908" s="16" t="inlineStr">
        <is>
          <t>link bits Barra de Sonido para TV, 2x2" Altavoces + 2 Membranas de Graves, Sonido Claro ≥80dB, Bluetooth Inalámbrico, Conexiones AUX/USB, Diseño Compacto 76cm, Sonido Envolvente 3D para Cine en Casa, PC, Juegos y Fiestas</t>
        </is>
      </c>
      <c r="H908" s="16" t="inlineStr">
        <is>
          <t>BS-22</t>
        </is>
      </c>
      <c r="I908" s="16" t="n">
        <v>1</v>
      </c>
      <c r="J908" s="17" t="n">
        <v>265</v>
      </c>
      <c r="K908" s="17" t="n">
        <v>304.61</v>
      </c>
      <c r="L908" s="17" t="n">
        <v>0</v>
      </c>
      <c r="M908" s="17" t="n">
        <v>0</v>
      </c>
      <c r="N908" s="17">
        <f>K908*0.08+L908*0.08</f>
        <v/>
      </c>
      <c r="O908" s="17">
        <f>-(K908*0.025+L908*0.025)</f>
        <v/>
      </c>
      <c r="P908" s="17">
        <f>32</f>
        <v/>
      </c>
      <c r="Q908" s="17">
        <f>J908+L908+N908+O908-P908-M908</f>
        <v/>
      </c>
    </row>
    <row r="909">
      <c r="A909" s="16" t="inlineStr">
        <is>
          <t>5.1-5.7</t>
        </is>
      </c>
      <c r="B909" s="16" t="inlineStr">
        <is>
          <t>PO-128-07607452539511153</t>
        </is>
      </c>
      <c r="C909" s="16" t="inlineStr">
        <is>
          <t>Delivered</t>
        </is>
      </c>
      <c r="D909" s="16" t="inlineStr">
        <is>
          <t>128-07607410596471153</t>
        </is>
      </c>
      <c r="E909" s="16" t="inlineStr">
        <is>
          <t>Delivered</t>
        </is>
      </c>
      <c r="F909" s="16" t="inlineStr">
        <is>
          <t>LB02235-blanco</t>
        </is>
      </c>
      <c r="G909" s="16" t="inlineStr">
        <is>
          <t>Audífonos Inalámbricos para la Cabeza, Recargables y Multifuncionales - Conectan a Varios Dispositivos, soportan Radio FM, Tarjeta TF y AUX - 4 Horas de Reproducción Musical - Ideal para Trabajo Cotidiano, Juegos y Estudio</t>
        </is>
      </c>
      <c r="H909" s="16" t="inlineStr">
        <is>
          <t>BLANCO</t>
        </is>
      </c>
      <c r="I909" s="16" t="n">
        <v>1</v>
      </c>
      <c r="J909" s="17" t="n">
        <v>45.31</v>
      </c>
      <c r="K909" s="17" t="n">
        <v>46.74</v>
      </c>
      <c r="L909" s="17" t="n">
        <v>25.86</v>
      </c>
      <c r="M909" s="17" t="n">
        <v>0</v>
      </c>
      <c r="N909" s="17">
        <f>K909*0.08+L909*0.08</f>
        <v/>
      </c>
      <c r="O909" s="17">
        <f>-(K909*0.025+L909*0.025)</f>
        <v/>
      </c>
      <c r="P909" s="17">
        <f>32</f>
        <v/>
      </c>
      <c r="Q909" s="17">
        <f>J909+L909+N909+O909-P909-M909</f>
        <v/>
      </c>
    </row>
    <row r="910">
      <c r="A910" s="16" t="inlineStr">
        <is>
          <t>5.1-5.7</t>
        </is>
      </c>
      <c r="B910" s="16" t="inlineStr">
        <is>
          <t>PO-128-07935306865273420</t>
        </is>
      </c>
      <c r="C910" s="16" t="inlineStr">
        <is>
          <t>Delivered</t>
        </is>
      </c>
      <c r="D910" s="16" t="inlineStr">
        <is>
          <t>128-07935301622393420</t>
        </is>
      </c>
      <c r="E910" s="16" t="inlineStr">
        <is>
          <t>Delivered</t>
        </is>
      </c>
      <c r="F910" s="16" t="inlineStr">
        <is>
          <t>AIR50W06-2P</t>
        </is>
      </c>
      <c r="G910" s="16" t="inlineStr">
        <is>
          <t>Link Bits Ventilador de piso de 16 pulgadas, 2 unidades, 3 velocidades, motor silencioso, flujo de aire fuerte, altura ajustable, oscilación amplia, ventilador eléctrico para el hogar, ideal para sala, recámara y oficina</t>
        </is>
      </c>
      <c r="H910" s="16" t="inlineStr">
        <is>
          <t>2PZ</t>
        </is>
      </c>
      <c r="I910" s="16" t="n">
        <v>1</v>
      </c>
      <c r="J910" s="17" t="n">
        <v>437.88</v>
      </c>
      <c r="K910" s="17" t="n">
        <v>571</v>
      </c>
      <c r="L910" s="17" t="n">
        <v>0</v>
      </c>
      <c r="M910" s="17" t="n">
        <v>571</v>
      </c>
      <c r="N910" s="17">
        <f>K910*0.08+L910*0.08</f>
        <v/>
      </c>
      <c r="O910" s="17">
        <f>-(K910*0.025+L910*0.025)</f>
        <v/>
      </c>
      <c r="P910" s="17">
        <f>32</f>
        <v/>
      </c>
      <c r="Q910" s="17">
        <f>J910+L910+N910+O910-P910-M910</f>
        <v/>
      </c>
    </row>
    <row r="911">
      <c r="A911" s="16" t="inlineStr">
        <is>
          <t>5.1-5.7</t>
        </is>
      </c>
      <c r="B911" s="16" t="inlineStr">
        <is>
          <t>PO-128-07942576200313443</t>
        </is>
      </c>
      <c r="C911" s="16" t="inlineStr">
        <is>
          <t>Delivered</t>
        </is>
      </c>
      <c r="D911" s="16" t="inlineStr">
        <is>
          <t>128-07942523771513443</t>
        </is>
      </c>
      <c r="E911" s="16" t="inlineStr">
        <is>
          <t>Delivered</t>
        </is>
      </c>
      <c r="F911" s="16" t="inlineStr">
        <is>
          <t>KTS-1678Y</t>
        </is>
      </c>
      <c r="G911" s="16" t="inlineStr">
        <is>
          <t>Bocina portátil Inalámbrico, de 3 pulgadas, tamaño de bolsillo, 170 g, con asa, compatible con TF, USB y Micro SD, con radio FM y función TWS (True Wireless Stereo), adecuada para relajarse en casa o viajar al aire libre.</t>
        </is>
      </c>
      <c r="H911" s="16" t="inlineStr">
        <is>
          <t>KTS-1678Y</t>
        </is>
      </c>
      <c r="I911" s="16" t="n">
        <v>1</v>
      </c>
      <c r="J911" s="17" t="n">
        <v>42.5</v>
      </c>
      <c r="K911" s="17" t="n">
        <v>48.72</v>
      </c>
      <c r="L911" s="17" t="n">
        <v>12.66</v>
      </c>
      <c r="M911" s="17" t="n">
        <v>0</v>
      </c>
      <c r="N911" s="17">
        <f>K911*0.08+L911*0.08</f>
        <v/>
      </c>
      <c r="O911" s="17">
        <f>-(K911*0.025+L911*0.025)</f>
        <v/>
      </c>
      <c r="P911" s="17">
        <f>32</f>
        <v/>
      </c>
      <c r="Q911" s="17">
        <f>J911+L911+N911+O911-P911-M911</f>
        <v/>
      </c>
    </row>
    <row r="912">
      <c r="A912" s="16" t="inlineStr">
        <is>
          <t>5.1-5.7</t>
        </is>
      </c>
      <c r="B912" s="16" t="inlineStr">
        <is>
          <t>PO-128-07942576200313443</t>
        </is>
      </c>
      <c r="C912" s="16" t="inlineStr">
        <is>
          <t>Delivered</t>
        </is>
      </c>
      <c r="D912" s="16" t="inlineStr">
        <is>
          <t>128-07942534257273443</t>
        </is>
      </c>
      <c r="E912" s="16" t="inlineStr">
        <is>
          <t>Delivered</t>
        </is>
      </c>
      <c r="F912" s="16" t="inlineStr">
        <is>
          <t>KTS-1678R</t>
        </is>
      </c>
      <c r="G912" s="16" t="inlineStr">
        <is>
          <t>Bocina portátil Inalámbrico, de 3 pulgadas, tamaño de bolsillo, 170 g, con asa, compatible con TF, USB y Micro SD, con radio FM y función TWS (True Wireless Stereo), adecuada para relajarse en casa o viajar al aire libre.</t>
        </is>
      </c>
      <c r="H912" s="16" t="inlineStr">
        <is>
          <t>KTS-1678R</t>
        </is>
      </c>
      <c r="I912" s="16" t="n">
        <v>1</v>
      </c>
      <c r="J912" s="17" t="n">
        <v>42.5</v>
      </c>
      <c r="K912" s="17" t="n">
        <v>50.78</v>
      </c>
      <c r="L912" s="17" t="n">
        <v>13.21</v>
      </c>
      <c r="M912" s="17" t="n">
        <v>0</v>
      </c>
      <c r="N912" s="17">
        <f>K912*0.08+L912*0.08</f>
        <v/>
      </c>
      <c r="O912" s="17">
        <f>-(K912*0.025+L912*0.025)</f>
        <v/>
      </c>
      <c r="P912" s="17">
        <f>32</f>
        <v/>
      </c>
      <c r="Q912" s="17">
        <f>J912+L912+N912+O912-P912-M912</f>
        <v/>
      </c>
    </row>
    <row r="913">
      <c r="A913" s="16" t="inlineStr">
        <is>
          <t>5.1-5.7</t>
        </is>
      </c>
      <c r="B913" s="16" t="inlineStr">
        <is>
          <t>PO-128-07908256307833518</t>
        </is>
      </c>
      <c r="C913" s="16" t="inlineStr">
        <is>
          <t>Delivered</t>
        </is>
      </c>
      <c r="D913" s="16" t="inlineStr">
        <is>
          <t>128-07908214364793518</t>
        </is>
      </c>
      <c r="E913" s="16" t="inlineStr">
        <is>
          <t>Delivered</t>
        </is>
      </c>
      <c r="F913" s="16" t="inlineStr">
        <is>
          <t>SA8056T</t>
        </is>
      </c>
      <c r="G91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913" s="16" t="inlineStr">
        <is>
          <t>SA8056T</t>
        </is>
      </c>
      <c r="I913" s="16" t="n">
        <v>1</v>
      </c>
      <c r="J913" s="17" t="n">
        <v>150.45</v>
      </c>
      <c r="K913" s="17" t="n">
        <v>127.74</v>
      </c>
      <c r="L913" s="17" t="n">
        <v>25.86</v>
      </c>
      <c r="M913" s="17" t="n">
        <v>0</v>
      </c>
      <c r="N913" s="17">
        <f>K913*0.08+L913*0.08</f>
        <v/>
      </c>
      <c r="O913" s="17">
        <f>-(K913*0.025+L913*0.025)</f>
        <v/>
      </c>
      <c r="P913" s="17">
        <f>32</f>
        <v/>
      </c>
      <c r="Q913" s="17">
        <f>J913+L913+N913+O913-P913-M913</f>
        <v/>
      </c>
    </row>
    <row r="914">
      <c r="A914" s="16" t="inlineStr">
        <is>
          <t>5.1-5.7</t>
        </is>
      </c>
      <c r="B914" s="16" t="inlineStr">
        <is>
          <t>PO-128-07966600684153298</t>
        </is>
      </c>
      <c r="C914" s="16" t="inlineStr">
        <is>
          <t>Delivered</t>
        </is>
      </c>
      <c r="D914" s="16" t="inlineStr">
        <is>
          <t>128-07966621655673298</t>
        </is>
      </c>
      <c r="E914" s="16" t="inlineStr">
        <is>
          <t>Delivered</t>
        </is>
      </c>
      <c r="F914" s="16" t="inlineStr">
        <is>
          <t>VB347T</t>
        </is>
      </c>
      <c r="G91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14" s="16" t="inlineStr">
        <is>
          <t>1 pieza</t>
        </is>
      </c>
      <c r="I914" s="16" t="n">
        <v>1</v>
      </c>
      <c r="J914" s="17" t="n">
        <v>79.90000000000001</v>
      </c>
      <c r="K914" s="17" t="n">
        <v>94.51000000000001</v>
      </c>
      <c r="L914" s="17" t="n">
        <v>25.86</v>
      </c>
      <c r="M914" s="17" t="n">
        <v>0</v>
      </c>
      <c r="N914" s="17">
        <f>K914*0.08+L914*0.08</f>
        <v/>
      </c>
      <c r="O914" s="17">
        <f>-(K914*0.025+L914*0.025)</f>
        <v/>
      </c>
      <c r="P914" s="17">
        <f>32</f>
        <v/>
      </c>
      <c r="Q914" s="17">
        <f>J914+L914+N914+O914-P914-M914</f>
        <v/>
      </c>
    </row>
    <row r="915">
      <c r="A915" s="16" t="inlineStr">
        <is>
          <t>5.1-5.7</t>
        </is>
      </c>
      <c r="B915" s="16" t="inlineStr">
        <is>
          <t>PO-128-07809560740470074</t>
        </is>
      </c>
      <c r="C915" s="16" t="inlineStr">
        <is>
          <t>Delivered</t>
        </is>
      </c>
      <c r="D915" s="16" t="inlineStr">
        <is>
          <t>128-07809613169270074</t>
        </is>
      </c>
      <c r="E915" s="16" t="inlineStr">
        <is>
          <t>Delivered</t>
        </is>
      </c>
      <c r="F915" s="16" t="inlineStr">
        <is>
          <t>AIR50W06-2P</t>
        </is>
      </c>
      <c r="G915" s="16" t="inlineStr">
        <is>
          <t>Link Bits Ventilador de piso de 16 pulgadas, 2 unidades, 3 velocidades, motor silencioso, flujo de aire fuerte, altura ajustable, oscilación amplia, ventilador eléctrico para el hogar, ideal para sala, recámara y oficina</t>
        </is>
      </c>
      <c r="H915" s="16" t="inlineStr">
        <is>
          <t>2PZ</t>
        </is>
      </c>
      <c r="I915" s="16" t="n">
        <v>1</v>
      </c>
      <c r="J915" s="17" t="n">
        <v>437.88</v>
      </c>
      <c r="K915" s="17" t="n">
        <v>571</v>
      </c>
      <c r="L915" s="17" t="n">
        <v>0</v>
      </c>
      <c r="M915" s="17" t="n">
        <v>0</v>
      </c>
      <c r="N915" s="17">
        <f>K915*0.08+L915*0.08</f>
        <v/>
      </c>
      <c r="O915" s="17">
        <f>-(K915*0.025+L915*0.025)</f>
        <v/>
      </c>
      <c r="P915" s="17">
        <f>32</f>
        <v/>
      </c>
      <c r="Q915" s="17">
        <f>J915+L915+N915+O915-P915-M915</f>
        <v/>
      </c>
    </row>
    <row r="916">
      <c r="A916" s="16" t="inlineStr">
        <is>
          <t>5.1-5.7</t>
        </is>
      </c>
      <c r="B916" s="16" t="inlineStr">
        <is>
          <t>PO-128-07860643287670667</t>
        </is>
      </c>
      <c r="C916" s="16" t="inlineStr">
        <is>
          <t>Delivered</t>
        </is>
      </c>
      <c r="D916" s="16" t="inlineStr">
        <is>
          <t>128-07860653773430667</t>
        </is>
      </c>
      <c r="E916" s="16" t="inlineStr">
        <is>
          <t>Delivered</t>
        </is>
      </c>
      <c r="F916" s="16" t="inlineStr">
        <is>
          <t>BS-22</t>
        </is>
      </c>
      <c r="G916" s="16" t="inlineStr">
        <is>
          <t>link bits Barra de Sonido para TV, 2x2" Altavoces + 2 Membranas de Graves, Sonido Claro ≥80dB, Bluetooth Inalámbrico, Conexiones AUX/USB, Diseño Compacto 76cm, Sonido Envolvente 3D para Cine en Casa, PC, Juegos y Fiestas</t>
        </is>
      </c>
      <c r="H916" s="16" t="inlineStr">
        <is>
          <t>BS-22</t>
        </is>
      </c>
      <c r="I916" s="16" t="n">
        <v>1</v>
      </c>
      <c r="J916" s="17" t="n">
        <v>265</v>
      </c>
      <c r="K916" s="17" t="n">
        <v>277.56</v>
      </c>
      <c r="L916" s="17" t="n">
        <v>0</v>
      </c>
      <c r="M916" s="17" t="n">
        <v>0</v>
      </c>
      <c r="N916" s="17">
        <f>K916*0.08+L916*0.08</f>
        <v/>
      </c>
      <c r="O916" s="17">
        <f>-(K916*0.025+L916*0.025)</f>
        <v/>
      </c>
      <c r="P916" s="17">
        <f>32</f>
        <v/>
      </c>
      <c r="Q916" s="17">
        <f>J916+L916+N916+O916-P916-M916</f>
        <v/>
      </c>
    </row>
    <row r="917">
      <c r="A917" s="16" t="inlineStr">
        <is>
          <t>5.1-5.7</t>
        </is>
      </c>
      <c r="B917" s="16" t="inlineStr">
        <is>
          <t>PO-128-07733990451830396</t>
        </is>
      </c>
      <c r="C917" s="16" t="inlineStr">
        <is>
          <t>Delivered</t>
        </is>
      </c>
      <c r="D917" s="16" t="inlineStr">
        <is>
          <t>128-07733974723190396</t>
        </is>
      </c>
      <c r="E917" s="16" t="inlineStr">
        <is>
          <t>Delivered</t>
        </is>
      </c>
      <c r="F917" s="16" t="inlineStr">
        <is>
          <t>MCM-001A</t>
        </is>
      </c>
      <c r="G917" s="16" t="inlineStr">
        <is>
          <t>Musicord Altavoz Inalámbrico BT Portátil: ¡Sonido impactante, luces LED multicolores y 4 horas de autonomía! Compatible con TWS, FM, TF y USB – Imprescindible para fiestas y viajes</t>
        </is>
      </c>
      <c r="H917" s="16" t="inlineStr">
        <is>
          <t>AZUL</t>
        </is>
      </c>
      <c r="I917" s="16" t="n">
        <v>1</v>
      </c>
      <c r="J917" s="17" t="n">
        <v>51.07</v>
      </c>
      <c r="K917" s="17" t="n">
        <v>59.47</v>
      </c>
      <c r="L917" s="17" t="n">
        <v>25.86</v>
      </c>
      <c r="M917" s="17" t="n">
        <v>0</v>
      </c>
      <c r="N917" s="17">
        <f>K917*0.08+L917*0.08</f>
        <v/>
      </c>
      <c r="O917" s="17">
        <f>-(K917*0.025+L917*0.025)</f>
        <v/>
      </c>
      <c r="P917" s="17">
        <f>32</f>
        <v/>
      </c>
      <c r="Q917" s="17">
        <f>J917+L917+N917+O917-P917-M917</f>
        <v/>
      </c>
    </row>
    <row r="918">
      <c r="A918" s="16" t="inlineStr">
        <is>
          <t>5.1-5.7</t>
        </is>
      </c>
      <c r="B918" s="16" t="inlineStr">
        <is>
          <t>PO-128-07684845374071907</t>
        </is>
      </c>
      <c r="C918" s="16" t="inlineStr">
        <is>
          <t>Delivered</t>
        </is>
      </c>
      <c r="D918" s="16" t="inlineStr">
        <is>
          <t>128-07684950231671907</t>
        </is>
      </c>
      <c r="E918" s="16" t="inlineStr">
        <is>
          <t>Delivered</t>
        </is>
      </c>
      <c r="F918" s="16" t="inlineStr">
        <is>
          <t>LB02235-negro</t>
        </is>
      </c>
      <c r="G918" s="16" t="inlineStr">
        <is>
          <t>Audífonos Inalámbricos para la Cabeza, Recargables y Multifuncionales - Conectan a Varios Dispositivos, soportan Radio FM, Tarjeta TF y AUX - 4 Horas de Reproducción Musical - Ideal para Trabajo Cotidiano, Juegos y Estudio</t>
        </is>
      </c>
      <c r="H918" s="16" t="inlineStr">
        <is>
          <t>NEGRO</t>
        </is>
      </c>
      <c r="I918" s="16" t="n">
        <v>1</v>
      </c>
      <c r="J918" s="17" t="n">
        <v>45.31</v>
      </c>
      <c r="K918" s="17" t="n">
        <v>46.74</v>
      </c>
      <c r="L918" s="17" t="n">
        <v>25.86</v>
      </c>
      <c r="M918" s="17" t="n">
        <v>0</v>
      </c>
      <c r="N918" s="17">
        <f>K918*0.08+L918*0.08</f>
        <v/>
      </c>
      <c r="O918" s="17">
        <f>-(K918*0.025+L918*0.025)</f>
        <v/>
      </c>
      <c r="P918" s="17">
        <f>32</f>
        <v/>
      </c>
      <c r="Q918" s="17">
        <f>J918+L918+N918+O918-P918-M918</f>
        <v/>
      </c>
    </row>
    <row r="919">
      <c r="A919" s="16" t="inlineStr">
        <is>
          <t>5.1-5.7</t>
        </is>
      </c>
      <c r="B919" s="16" t="inlineStr">
        <is>
          <t>PO-128-07750224568950492</t>
        </is>
      </c>
      <c r="C919" s="16" t="inlineStr">
        <is>
          <t>Delivered</t>
        </is>
      </c>
      <c r="D919" s="16" t="inlineStr">
        <is>
          <t>128-07750182625910492</t>
        </is>
      </c>
      <c r="E919" s="16" t="inlineStr">
        <is>
          <t>Delivered</t>
        </is>
      </c>
      <c r="F919" s="16" t="inlineStr">
        <is>
          <t>AIR50W06-2P</t>
        </is>
      </c>
      <c r="G919" s="16" t="inlineStr">
        <is>
          <t>Link Bits Ventilador de piso de 16 pulgadas, 2 unidades, 3 velocidades, motor silencioso, flujo de aire fuerte, altura ajustable, oscilación amplia, ventilador eléctrico para el hogar, ideal para sala, recámara y oficina</t>
        </is>
      </c>
      <c r="H919" s="16" t="inlineStr">
        <is>
          <t>2PZ</t>
        </is>
      </c>
      <c r="I919" s="16" t="n">
        <v>1</v>
      </c>
      <c r="J919" s="17" t="n">
        <v>437.88</v>
      </c>
      <c r="K919" s="17" t="n">
        <v>571</v>
      </c>
      <c r="L919" s="17" t="n">
        <v>0</v>
      </c>
      <c r="M919" s="17" t="n">
        <v>0</v>
      </c>
      <c r="N919" s="17">
        <f>K919*0.08+L919*0.08</f>
        <v/>
      </c>
      <c r="O919" s="17">
        <f>-(K919*0.025+L919*0.025)</f>
        <v/>
      </c>
      <c r="P919" s="17">
        <f>32</f>
        <v/>
      </c>
      <c r="Q919" s="17">
        <f>J919+L919+N919+O919-P919-M919</f>
        <v/>
      </c>
    </row>
    <row r="920">
      <c r="A920" s="16" t="inlineStr">
        <is>
          <t>5.1-5.7</t>
        </is>
      </c>
      <c r="B920" s="16" t="inlineStr">
        <is>
          <t>PO-128-07866589491830694</t>
        </is>
      </c>
      <c r="C920" s="16" t="inlineStr">
        <is>
          <t>Delivered</t>
        </is>
      </c>
      <c r="D920" s="16" t="inlineStr">
        <is>
          <t>128-07866665513590694</t>
        </is>
      </c>
      <c r="E920" s="16" t="inlineStr">
        <is>
          <t>Delivered</t>
        </is>
      </c>
      <c r="F920" s="16" t="inlineStr">
        <is>
          <t>KTS-1678V</t>
        </is>
      </c>
      <c r="G920" s="16" t="inlineStr">
        <is>
          <t>Bocina portátil Inalámbrico, de 3 pulgadas, tamaño de bolsillo, 170 g, con asa, compatible con TF, USB y Micro SD, con radio FM y función TWS (True Wireless Stereo), adecuada para relajarse en casa o viajar al aire libre.</t>
        </is>
      </c>
      <c r="H920" s="16" t="inlineStr">
        <is>
          <t>KTS-1678V</t>
        </is>
      </c>
      <c r="I920" s="16" t="n">
        <v>1</v>
      </c>
      <c r="J920" s="17" t="n">
        <v>42.5</v>
      </c>
      <c r="K920" s="17" t="n">
        <v>5.62</v>
      </c>
      <c r="L920" s="17" t="n">
        <v>25.86</v>
      </c>
      <c r="M920" s="17" t="n">
        <v>0</v>
      </c>
      <c r="N920" s="17">
        <f>K920*0.08+L920*0.08</f>
        <v/>
      </c>
      <c r="O920" s="17">
        <f>-(K920*0.025+L920*0.025)</f>
        <v/>
      </c>
      <c r="P920" s="17">
        <f>32</f>
        <v/>
      </c>
      <c r="Q920" s="17">
        <f>J920+L920+N920+O920-P920-M920</f>
        <v/>
      </c>
    </row>
    <row r="921">
      <c r="A921" s="16" t="inlineStr">
        <is>
          <t>5.1-5.7</t>
        </is>
      </c>
      <c r="B921" s="16" t="inlineStr">
        <is>
          <t>PO-128-08117217372792400</t>
        </is>
      </c>
      <c r="C921" s="16" t="inlineStr">
        <is>
          <t>Delivered</t>
        </is>
      </c>
      <c r="D921" s="16" t="inlineStr">
        <is>
          <t>128-08117175429752400</t>
        </is>
      </c>
      <c r="E921" s="16" t="inlineStr">
        <is>
          <t>Delivered</t>
        </is>
      </c>
      <c r="F921" s="16" t="inlineStr">
        <is>
          <t>LB02235-rojo</t>
        </is>
      </c>
      <c r="G921" s="16" t="inlineStr">
        <is>
          <t>Audífonos Inalámbricos para la Cabeza, Recargables y Multifuncionales - Conectan a Varios Dispositivos, soportan Radio FM, Tarjeta TF y AUX - 4 Horas de Reproducción Musical - Ideal para Trabajo Cotidiano, Juegos y Estudio</t>
        </is>
      </c>
      <c r="H921" s="16" t="inlineStr">
        <is>
          <t>ROJO</t>
        </is>
      </c>
      <c r="I921" s="16" t="n">
        <v>1</v>
      </c>
      <c r="J921" s="17" t="n">
        <v>46</v>
      </c>
      <c r="K921" s="17" t="n">
        <v>59.12</v>
      </c>
      <c r="L921" s="17" t="n">
        <v>25.86</v>
      </c>
      <c r="M921" s="17" t="n">
        <v>0</v>
      </c>
      <c r="N921" s="17">
        <f>K921*0.08+L921*0.08</f>
        <v/>
      </c>
      <c r="O921" s="17">
        <f>-(K921*0.025+L921*0.025)</f>
        <v/>
      </c>
      <c r="P921" s="17">
        <f>32</f>
        <v/>
      </c>
      <c r="Q921" s="17">
        <f>J921+L921+N921+O921-P921-M921</f>
        <v/>
      </c>
    </row>
    <row r="922">
      <c r="A922" s="16" t="inlineStr">
        <is>
          <t>5.1-5.7</t>
        </is>
      </c>
      <c r="B922" s="16" t="inlineStr">
        <is>
          <t>PO-128-07747006474870449</t>
        </is>
      </c>
      <c r="C922" s="16" t="inlineStr">
        <is>
          <t>Delivered</t>
        </is>
      </c>
      <c r="D922" s="16" t="inlineStr">
        <is>
          <t>128-07747046451830449</t>
        </is>
      </c>
      <c r="E922" s="16" t="inlineStr">
        <is>
          <t>Delivered</t>
        </is>
      </c>
      <c r="F922" s="16" t="inlineStr">
        <is>
          <t>VB347T</t>
        </is>
      </c>
      <c r="G92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2" s="16" t="inlineStr">
        <is>
          <t>1 pieza</t>
        </is>
      </c>
      <c r="I922" s="16" t="n">
        <v>1</v>
      </c>
      <c r="J922" s="17" t="n">
        <v>79.90000000000001</v>
      </c>
      <c r="K922" s="17" t="n">
        <v>94.51000000000001</v>
      </c>
      <c r="L922" s="17" t="n">
        <v>25.86</v>
      </c>
      <c r="M922" s="17" t="n">
        <v>0</v>
      </c>
      <c r="N922" s="17">
        <f>K922*0.08+L922*0.08</f>
        <v/>
      </c>
      <c r="O922" s="17">
        <f>-(K922*0.025+L922*0.025)</f>
        <v/>
      </c>
      <c r="P922" s="17">
        <f>32</f>
        <v/>
      </c>
      <c r="Q922" s="17">
        <f>J922+L922+N922+O922-P922-M922</f>
        <v/>
      </c>
    </row>
    <row r="923">
      <c r="A923" s="16" t="inlineStr">
        <is>
          <t>5.1-5.7</t>
        </is>
      </c>
      <c r="B923" s="16" t="inlineStr">
        <is>
          <t>PO-128-07900407286390620</t>
        </is>
      </c>
      <c r="C923" s="16" t="inlineStr">
        <is>
          <t>Delivered</t>
        </is>
      </c>
      <c r="D923" s="16" t="inlineStr">
        <is>
          <t>128-07900417772150620</t>
        </is>
      </c>
      <c r="E923" s="16" t="inlineStr">
        <is>
          <t>Delivered</t>
        </is>
      </c>
      <c r="F923" s="16" t="inlineStr">
        <is>
          <t>LB02235-negro</t>
        </is>
      </c>
      <c r="G923" s="16" t="inlineStr">
        <is>
          <t>Audífonos Inalámbricos para la Cabeza, Recargables y Multifuncionales - Conectan a Varios Dispositivos, soportan Radio FM, Tarjeta TF y AUX - 4 Horas de Reproducción Musical - Ideal para Trabajo Cotidiano, Juegos y Estudio</t>
        </is>
      </c>
      <c r="H923" s="16" t="inlineStr">
        <is>
          <t>NEGRO</t>
        </is>
      </c>
      <c r="I923" s="16" t="n">
        <v>1</v>
      </c>
      <c r="J923" s="17" t="n">
        <v>45.31</v>
      </c>
      <c r="K923" s="17" t="n">
        <v>48.3</v>
      </c>
      <c r="L923" s="17" t="n">
        <v>25.86</v>
      </c>
      <c r="M923" s="17" t="n">
        <v>0</v>
      </c>
      <c r="N923" s="17">
        <f>K923*0.08+L923*0.08</f>
        <v/>
      </c>
      <c r="O923" s="17">
        <f>-(K923*0.025+L923*0.025)</f>
        <v/>
      </c>
      <c r="P923" s="17">
        <f>32</f>
        <v/>
      </c>
      <c r="Q923" s="17">
        <f>J923+L923+N923+O923-P923-M923</f>
        <v/>
      </c>
    </row>
    <row r="924">
      <c r="A924" s="16" t="inlineStr">
        <is>
          <t>5.1-5.7</t>
        </is>
      </c>
      <c r="B924" s="16" t="inlineStr">
        <is>
          <t>PO-128-08015183790713840</t>
        </is>
      </c>
      <c r="C924" s="16" t="inlineStr">
        <is>
          <t>Delivered</t>
        </is>
      </c>
      <c r="D924" s="16" t="inlineStr">
        <is>
          <t>128-08015162819193840</t>
        </is>
      </c>
      <c r="E924" s="16" t="inlineStr">
        <is>
          <t>Delivered</t>
        </is>
      </c>
      <c r="F924" s="16" t="inlineStr">
        <is>
          <t>MB-185N</t>
        </is>
      </c>
      <c r="G924" s="16" t="inlineStr">
        <is>
          <t>Bocina Radio FM/Reproductor, Compatible con Tarjeta TF, USB, Bluetooth, Aplicable para celular, computadora, Ipad y consola.</t>
        </is>
      </c>
      <c r="H924" s="16" t="inlineStr">
        <is>
          <t>NEGRO/MB-185</t>
        </is>
      </c>
      <c r="I924" s="16" t="n">
        <v>1</v>
      </c>
      <c r="J924" s="17" t="n">
        <v>75.5</v>
      </c>
      <c r="K924" s="17" t="n">
        <v>88.45999999999999</v>
      </c>
      <c r="L924" s="17" t="n">
        <v>25.86</v>
      </c>
      <c r="M924" s="17" t="n">
        <v>0</v>
      </c>
      <c r="N924" s="17">
        <f>K924*0.08+L924*0.08</f>
        <v/>
      </c>
      <c r="O924" s="17">
        <f>-(K924*0.025+L924*0.025)</f>
        <v/>
      </c>
      <c r="P924" s="17">
        <f>32</f>
        <v/>
      </c>
      <c r="Q924" s="17">
        <f>J924+L924+N924+O924-P924-M924</f>
        <v/>
      </c>
    </row>
    <row r="925">
      <c r="A925" s="16" t="inlineStr">
        <is>
          <t>5.1-5.7</t>
        </is>
      </c>
      <c r="B925" s="16" t="inlineStr">
        <is>
          <t>PO-128-08186111867512823</t>
        </is>
      </c>
      <c r="C925" s="16" t="inlineStr">
        <is>
          <t>Delivered</t>
        </is>
      </c>
      <c r="D925" s="16" t="inlineStr">
        <is>
          <t>128-08186187889272823</t>
        </is>
      </c>
      <c r="E925" s="16" t="inlineStr">
        <is>
          <t>Delivered</t>
        </is>
      </c>
      <c r="F925" s="16" t="inlineStr">
        <is>
          <t>VB347T</t>
        </is>
      </c>
      <c r="G92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25" s="16" t="inlineStr">
        <is>
          <t>1 pieza</t>
        </is>
      </c>
      <c r="I925" s="16" t="n">
        <v>1</v>
      </c>
      <c r="J925" s="17" t="n">
        <v>79.90000000000001</v>
      </c>
      <c r="K925" s="17" t="n">
        <v>94.51000000000001</v>
      </c>
      <c r="L925" s="17" t="n">
        <v>25.86</v>
      </c>
      <c r="M925" s="17" t="n">
        <v>0</v>
      </c>
      <c r="N925" s="17">
        <f>K925*0.08+L925*0.08</f>
        <v/>
      </c>
      <c r="O925" s="17">
        <f>-(K925*0.025+L925*0.025)</f>
        <v/>
      </c>
      <c r="P925" s="17">
        <f>32</f>
        <v/>
      </c>
      <c r="Q925" s="17">
        <f>J925+L925+N925+O925-P925-M925</f>
        <v/>
      </c>
    </row>
    <row r="926">
      <c r="A926" s="16" t="inlineStr">
        <is>
          <t>5.1-5.7</t>
        </is>
      </c>
      <c r="B926" s="16" t="inlineStr">
        <is>
          <t>PO-128-08158237665912156</t>
        </is>
      </c>
      <c r="C926" s="16" t="inlineStr">
        <is>
          <t>Delivered</t>
        </is>
      </c>
      <c r="D926" s="16" t="inlineStr">
        <is>
          <t>128-08158195722872156</t>
        </is>
      </c>
      <c r="E926" s="16" t="inlineStr">
        <is>
          <t>Delivered</t>
        </is>
      </c>
      <c r="F926" s="16" t="inlineStr">
        <is>
          <t>AIR50W06-2P</t>
        </is>
      </c>
      <c r="G926" s="16" t="inlineStr">
        <is>
          <t>Link Bits Ventilador de piso de 16 pulgadas, 2 unidades, 3 velocidades, motor silencioso, flujo de aire fuerte, altura ajustable, oscilación amplia, ventilador eléctrico para el hogar, ideal para sala, recámara y oficina</t>
        </is>
      </c>
      <c r="H926" s="16" t="inlineStr">
        <is>
          <t>2PZ</t>
        </is>
      </c>
      <c r="I926" s="16" t="n">
        <v>1</v>
      </c>
      <c r="J926" s="17" t="n">
        <v>437.88</v>
      </c>
      <c r="K926" s="17" t="n">
        <v>571</v>
      </c>
      <c r="L926" s="17" t="n">
        <v>0</v>
      </c>
      <c r="M926" s="17" t="n">
        <v>0</v>
      </c>
      <c r="N926" s="17">
        <f>K926*0.08+L926*0.08</f>
        <v/>
      </c>
      <c r="O926" s="17">
        <f>-(K926*0.025+L926*0.025)</f>
        <v/>
      </c>
      <c r="P926" s="17">
        <f>32</f>
        <v/>
      </c>
      <c r="Q926" s="17">
        <f>J926+L926+N926+O926-P926-M926</f>
        <v/>
      </c>
    </row>
    <row r="927">
      <c r="A927" s="16" t="inlineStr">
        <is>
          <t>5.1-5.7</t>
        </is>
      </c>
      <c r="B927" s="16" t="inlineStr">
        <is>
          <t>PO-128-07800804455030062</t>
        </is>
      </c>
      <c r="C927" s="16" t="inlineStr">
        <is>
          <t>Delivered</t>
        </is>
      </c>
      <c r="D927" s="16" t="inlineStr">
        <is>
          <t>128-07800846398070062</t>
        </is>
      </c>
      <c r="E927" s="16" t="inlineStr">
        <is>
          <t>Delivered</t>
        </is>
      </c>
      <c r="F927" s="16" t="inlineStr">
        <is>
          <t>LB02235-blanco</t>
        </is>
      </c>
      <c r="G927" s="16" t="inlineStr">
        <is>
          <t>Audífonos Inalámbricos para la Cabeza, Recargables y Multifuncionales - Conectan a Varios Dispositivos, soportan Radio FM, Tarjeta TF y AUX - 4 Horas de Reproducción Musical - Ideal para Trabajo Cotidiano, Juegos y Estudio</t>
        </is>
      </c>
      <c r="H927" s="16" t="inlineStr">
        <is>
          <t>BLANCO</t>
        </is>
      </c>
      <c r="I927" s="16" t="n">
        <v>1</v>
      </c>
      <c r="J927" s="17" t="n">
        <v>45.31</v>
      </c>
      <c r="K927" s="17" t="n">
        <v>58.42</v>
      </c>
      <c r="L927" s="17" t="n">
        <v>25.86</v>
      </c>
      <c r="M927" s="17" t="n">
        <v>0</v>
      </c>
      <c r="N927" s="17">
        <f>K927*0.08+L927*0.08</f>
        <v/>
      </c>
      <c r="O927" s="17">
        <f>-(K927*0.025+L927*0.025)</f>
        <v/>
      </c>
      <c r="P927" s="17">
        <f>32</f>
        <v/>
      </c>
      <c r="Q927" s="17">
        <f>J927+L927+N927+O927-P927-M927</f>
        <v/>
      </c>
    </row>
    <row r="928">
      <c r="A928" s="16" t="inlineStr">
        <is>
          <t>5.1-5.7</t>
        </is>
      </c>
      <c r="B928" s="16" t="inlineStr">
        <is>
          <t>PO-128-07837552056950997</t>
        </is>
      </c>
      <c r="C928" s="16" t="inlineStr">
        <is>
          <t>Delivered</t>
        </is>
      </c>
      <c r="D928" s="16" t="inlineStr">
        <is>
          <t>128-07837593999990997</t>
        </is>
      </c>
      <c r="E928" s="16" t="inlineStr">
        <is>
          <t>Delivered</t>
        </is>
      </c>
      <c r="F928" s="16" t="inlineStr">
        <is>
          <t>KTS-1678R</t>
        </is>
      </c>
      <c r="G928" s="16" t="inlineStr">
        <is>
          <t>Bocina portátil Inalámbrico, de 3 pulgadas, tamaño de bolsillo, 170 g, con asa, compatible con TF, USB y Micro SD, con radio FM y función TWS (True Wireless Stereo), adecuada para relajarse en casa o viajar al aire libre.</t>
        </is>
      </c>
      <c r="H928" s="16" t="inlineStr">
        <is>
          <t>KTS-1678R</t>
        </is>
      </c>
      <c r="I928" s="16" t="n">
        <v>1</v>
      </c>
      <c r="J928" s="17" t="n">
        <v>42.5</v>
      </c>
      <c r="K928" s="17" t="n">
        <v>50.78</v>
      </c>
      <c r="L928" s="17" t="n">
        <v>25.86</v>
      </c>
      <c r="M928" s="17" t="n">
        <v>0</v>
      </c>
      <c r="N928" s="17">
        <f>K928*0.08+L928*0.08</f>
        <v/>
      </c>
      <c r="O928" s="17">
        <f>-(K928*0.025+L928*0.025)</f>
        <v/>
      </c>
      <c r="P928" s="17">
        <f>32</f>
        <v/>
      </c>
      <c r="Q928" s="17">
        <f>J928+L928+N928+O928-P928-M928</f>
        <v/>
      </c>
    </row>
    <row r="929">
      <c r="A929" s="16" t="inlineStr">
        <is>
          <t>5.1-5.7</t>
        </is>
      </c>
      <c r="B929" s="16" t="inlineStr">
        <is>
          <t>PO-128-07925261199993352</t>
        </is>
      </c>
      <c r="C929" s="16" t="inlineStr">
        <is>
          <t>Delivered</t>
        </is>
      </c>
      <c r="D929" s="16" t="inlineStr">
        <is>
          <t>128-07925282171513352</t>
        </is>
      </c>
      <c r="E929" s="16" t="inlineStr">
        <is>
          <t>Delivered</t>
        </is>
      </c>
      <c r="F929" s="16" t="inlineStr">
        <is>
          <t>LB02235-blanco</t>
        </is>
      </c>
      <c r="G929" s="16" t="inlineStr">
        <is>
          <t>Audífonos Inalámbricos para la Cabeza, Recargables y Multifuncionales - Conectan a Varios Dispositivos, soportan Radio FM, Tarjeta TF y AUX - 4 Horas de Reproducción Musical - Ideal para Trabajo Cotidiano, Juegos y Estudio</t>
        </is>
      </c>
      <c r="H929" s="16" t="inlineStr">
        <is>
          <t>BLANCO</t>
        </is>
      </c>
      <c r="I929" s="16" t="n">
        <v>1</v>
      </c>
      <c r="J929" s="17" t="n">
        <v>45.31</v>
      </c>
      <c r="K929" s="17" t="n">
        <v>39.85</v>
      </c>
      <c r="L929" s="17" t="n">
        <v>25.86</v>
      </c>
      <c r="M929" s="17" t="n">
        <v>0</v>
      </c>
      <c r="N929" s="17">
        <f>K929*0.08+L929*0.08</f>
        <v/>
      </c>
      <c r="O929" s="17">
        <f>-(K929*0.025+L929*0.025)</f>
        <v/>
      </c>
      <c r="P929" s="17">
        <f>32</f>
        <v/>
      </c>
      <c r="Q929" s="17">
        <f>J929+L929+N929+O929-P929-M929</f>
        <v/>
      </c>
    </row>
    <row r="930">
      <c r="A930" s="16" t="inlineStr">
        <is>
          <t>5.1-5.7</t>
        </is>
      </c>
      <c r="B930" s="16" t="inlineStr">
        <is>
          <t>PO-128-07858632100470871</t>
        </is>
      </c>
      <c r="C930" s="16" t="inlineStr">
        <is>
          <t>Delivered</t>
        </is>
      </c>
      <c r="D930" s="16" t="inlineStr">
        <is>
          <t>128-07858684529270871</t>
        </is>
      </c>
      <c r="E930" s="16" t="inlineStr">
        <is>
          <t>Delivered</t>
        </is>
      </c>
      <c r="F930" s="16" t="inlineStr">
        <is>
          <t>AIR50W06-2P</t>
        </is>
      </c>
      <c r="G930" s="16" t="inlineStr">
        <is>
          <t>Link Bits Ventilador de piso de 16 pulgadas, 2 unidades, 3 velocidades, motor silencioso, flujo de aire fuerte, altura ajustable, oscilación amplia, ventilador eléctrico para el hogar, ideal para sala, recámara y oficina</t>
        </is>
      </c>
      <c r="H930" s="16" t="inlineStr">
        <is>
          <t>2PZ</t>
        </is>
      </c>
      <c r="I930" s="16" t="n">
        <v>1</v>
      </c>
      <c r="J930" s="17" t="n">
        <v>437.88</v>
      </c>
      <c r="K930" s="17" t="n">
        <v>528.11</v>
      </c>
      <c r="L930" s="17" t="n">
        <v>0</v>
      </c>
      <c r="M930" s="17" t="n">
        <v>0</v>
      </c>
      <c r="N930" s="17">
        <f>K930*0.08+L930*0.08</f>
        <v/>
      </c>
      <c r="O930" s="17">
        <f>-(K930*0.025+L930*0.025)</f>
        <v/>
      </c>
      <c r="P930" s="17">
        <f>32</f>
        <v/>
      </c>
      <c r="Q930" s="17">
        <f>J930+L930+N930+O930-P930-M930</f>
        <v/>
      </c>
    </row>
    <row r="931">
      <c r="A931" s="16" t="inlineStr">
        <is>
          <t>5.1-5.7</t>
        </is>
      </c>
      <c r="B931" s="16" t="inlineStr">
        <is>
          <t>PO-128-07691544781431675</t>
        </is>
      </c>
      <c r="C931" s="16" t="inlineStr">
        <is>
          <t>Delivered</t>
        </is>
      </c>
      <c r="D931" s="16" t="inlineStr">
        <is>
          <t>128-07691649639031675</t>
        </is>
      </c>
      <c r="E931" s="16" t="inlineStr">
        <is>
          <t>Delivered</t>
        </is>
      </c>
      <c r="F931" s="16" t="inlineStr">
        <is>
          <t>AIR50W06-2P</t>
        </is>
      </c>
      <c r="G931" s="16" t="inlineStr">
        <is>
          <t>Link Bits Ventilador de piso de 16 pulgadas, 2 unidades, 3 velocidades, motor silencioso, flujo de aire fuerte, altura ajustable, oscilación amplia, ventilador eléctrico para el hogar, ideal para sala, recámara y oficina</t>
        </is>
      </c>
      <c r="H931" s="16" t="inlineStr">
        <is>
          <t>2PZ</t>
        </is>
      </c>
      <c r="I931" s="16" t="n">
        <v>1</v>
      </c>
      <c r="J931" s="17" t="n">
        <v>437.88</v>
      </c>
      <c r="K931" s="17" t="n">
        <v>571</v>
      </c>
      <c r="L931" s="17" t="n">
        <v>0</v>
      </c>
      <c r="M931" s="17" t="n">
        <v>0</v>
      </c>
      <c r="N931" s="17">
        <f>K931*0.08+L931*0.08</f>
        <v/>
      </c>
      <c r="O931" s="17">
        <f>-(K931*0.025+L931*0.025)</f>
        <v/>
      </c>
      <c r="P931" s="17">
        <f>32</f>
        <v/>
      </c>
      <c r="Q931" s="17">
        <f>J931+L931+N931+O931-P931-M931</f>
        <v/>
      </c>
    </row>
    <row r="932">
      <c r="A932" s="16" t="inlineStr">
        <is>
          <t>5.1-5.7</t>
        </is>
      </c>
      <c r="B932" s="16" t="inlineStr">
        <is>
          <t>PO-128-07979128126073161</t>
        </is>
      </c>
      <c r="C932" s="16" t="inlineStr">
        <is>
          <t>Delivered</t>
        </is>
      </c>
      <c r="D932" s="16" t="inlineStr">
        <is>
          <t>128-07979091425913161</t>
        </is>
      </c>
      <c r="E932" s="16" t="inlineStr">
        <is>
          <t>Delivered</t>
        </is>
      </c>
      <c r="F932" s="16" t="inlineStr">
        <is>
          <t>FA028</t>
        </is>
      </c>
      <c r="G932" s="16" t="inlineStr">
        <is>
          <t>Extractor de agua para garrafas de agua, compatible con carga USB, extractor de agua automático, práctico, con dos modos de toma de agua: manual y programado, ideal para dormitorios, salones, oficinas, uso al aire libre y otros escenarios.</t>
        </is>
      </c>
      <c r="H932" s="16" t="inlineStr">
        <is>
          <t>FA028</t>
        </is>
      </c>
      <c r="I932" s="16" t="n">
        <v>1</v>
      </c>
      <c r="J932" s="17" t="n">
        <v>35.77</v>
      </c>
      <c r="K932" s="17" t="n">
        <v>34.19</v>
      </c>
      <c r="L932" s="17" t="n">
        <v>25.86</v>
      </c>
      <c r="M932" s="17" t="n">
        <v>0</v>
      </c>
      <c r="N932" s="17">
        <f>K932*0.08+L932*0.08</f>
        <v/>
      </c>
      <c r="O932" s="17">
        <f>-(K932*0.025+L932*0.025)</f>
        <v/>
      </c>
      <c r="P932" s="17">
        <f>32</f>
        <v/>
      </c>
      <c r="Q932" s="17">
        <f>J932+L932+N932+O932-P932-M932</f>
        <v/>
      </c>
    </row>
    <row r="933">
      <c r="A933" s="16" t="inlineStr">
        <is>
          <t>5.1-5.7</t>
        </is>
      </c>
      <c r="B933" s="16" t="inlineStr">
        <is>
          <t>PO-128-08110361385592379</t>
        </is>
      </c>
      <c r="C933" s="16" t="inlineStr">
        <is>
          <t>Delivered</t>
        </is>
      </c>
      <c r="D933" s="16" t="inlineStr">
        <is>
          <t>128-08110437407352379</t>
        </is>
      </c>
      <c r="E933" s="16" t="inlineStr">
        <is>
          <t>Delivered</t>
        </is>
      </c>
      <c r="F933" s="16" t="inlineStr">
        <is>
          <t>LB02235-negro</t>
        </is>
      </c>
      <c r="G933" s="16" t="inlineStr">
        <is>
          <t>Audífonos Inalámbricos para la Cabeza, Recargables y Multifuncionales - Conectan a Varios Dispositivos, soportan Radio FM, Tarjeta TF y AUX - 4 Horas de Reproducción Musical - Ideal para Trabajo Cotidiano, Juegos y Estudio</t>
        </is>
      </c>
      <c r="H933" s="16" t="inlineStr">
        <is>
          <t>NEGRO</t>
        </is>
      </c>
      <c r="I933" s="16" t="n">
        <v>1</v>
      </c>
      <c r="J933" s="17" t="n">
        <v>45.31</v>
      </c>
      <c r="K933" s="17" t="n">
        <v>58.42</v>
      </c>
      <c r="L933" s="17" t="n">
        <v>25.86</v>
      </c>
      <c r="M933" s="17" t="n">
        <v>0</v>
      </c>
      <c r="N933" s="17">
        <f>K933*0.08+L933*0.08</f>
        <v/>
      </c>
      <c r="O933" s="17">
        <f>-(K933*0.025+L933*0.025)</f>
        <v/>
      </c>
      <c r="P933" s="17">
        <f>32</f>
        <v/>
      </c>
      <c r="Q933" s="17">
        <f>J933+L933+N933+O933-P933-M933</f>
        <v/>
      </c>
    </row>
    <row r="934">
      <c r="A934" s="16" t="inlineStr">
        <is>
          <t>5.1-5.7</t>
        </is>
      </c>
      <c r="B934" s="16" t="inlineStr">
        <is>
          <t>PO-128-07758715372150315</t>
        </is>
      </c>
      <c r="C934" s="16" t="inlineStr">
        <is>
          <t>Delivered</t>
        </is>
      </c>
      <c r="D934" s="16" t="inlineStr">
        <is>
          <t>128-07758783529590315</t>
        </is>
      </c>
      <c r="E934" s="16" t="inlineStr">
        <is>
          <t>Delivered</t>
        </is>
      </c>
      <c r="F934" s="16" t="inlineStr">
        <is>
          <t>MCM-001A</t>
        </is>
      </c>
      <c r="G934" s="16" t="inlineStr">
        <is>
          <t>Musicord Altavoz Inalámbrico BT Portátil: ¡Sonido impactante, luces LED multicolores y 4 horas de autonomía! Compatible con TWS, FM, TF y USB – Imprescindible para fiestas y viajes</t>
        </is>
      </c>
      <c r="H934" s="16" t="inlineStr">
        <is>
          <t>AZUL</t>
        </is>
      </c>
      <c r="I934" s="16" t="n">
        <v>1</v>
      </c>
      <c r="J934" s="17" t="n">
        <v>51.07</v>
      </c>
      <c r="K934" s="17" t="n">
        <v>16.37</v>
      </c>
      <c r="L934" s="17" t="n">
        <v>25.86</v>
      </c>
      <c r="M934" s="17" t="n">
        <v>0</v>
      </c>
      <c r="N934" s="17">
        <f>K934*0.08+L934*0.08</f>
        <v/>
      </c>
      <c r="O934" s="17">
        <f>-(K934*0.025+L934*0.025)</f>
        <v/>
      </c>
      <c r="P934" s="17">
        <f>32</f>
        <v/>
      </c>
      <c r="Q934" s="17">
        <f>J934+L934+N934+O934-P934-M934</f>
        <v/>
      </c>
    </row>
    <row r="935">
      <c r="A935" s="16" t="inlineStr">
        <is>
          <t>5.1-5.7</t>
        </is>
      </c>
      <c r="B935" s="16" t="inlineStr">
        <is>
          <t>PO-128-08218852188792754</t>
        </is>
      </c>
      <c r="C935" s="16" t="inlineStr">
        <is>
          <t>Delivered</t>
        </is>
      </c>
      <c r="D935" s="16" t="inlineStr">
        <is>
          <t>128-08218857431672754</t>
        </is>
      </c>
      <c r="E935" s="16" t="inlineStr">
        <is>
          <t>Delivered</t>
        </is>
      </c>
      <c r="F935" s="16" t="inlineStr">
        <is>
          <t>MCM-001A</t>
        </is>
      </c>
      <c r="G935" s="16" t="inlineStr">
        <is>
          <t>Musicord Altavoz Inalámbrico BT Portátil: ¡Sonido impactante, luces LED multicolores y 4 horas de autonomía! Compatible con TWS, FM, TF y USB – Imprescindible para fiestas y viajes</t>
        </is>
      </c>
      <c r="H935" s="16" t="inlineStr">
        <is>
          <t>AZUL</t>
        </is>
      </c>
      <c r="I935" s="16" t="n">
        <v>1</v>
      </c>
      <c r="J935" s="17" t="n">
        <v>51.07</v>
      </c>
      <c r="K935" s="17" t="n">
        <v>47.99</v>
      </c>
      <c r="L935" s="17" t="n">
        <v>25.86</v>
      </c>
      <c r="M935" s="17" t="n">
        <v>0</v>
      </c>
      <c r="N935" s="17">
        <f>K935*0.08+L935*0.08</f>
        <v/>
      </c>
      <c r="O935" s="17">
        <f>-(K935*0.025+L935*0.025)</f>
        <v/>
      </c>
      <c r="P935" s="17">
        <f>32</f>
        <v/>
      </c>
      <c r="Q935" s="17">
        <f>J935+L935+N935+O935-P935-M935</f>
        <v/>
      </c>
    </row>
    <row r="936">
      <c r="A936" s="16" t="inlineStr">
        <is>
          <t>5.1-5.7</t>
        </is>
      </c>
      <c r="B936" s="16" t="inlineStr">
        <is>
          <t>PO-128-07911066491513503</t>
        </is>
      </c>
      <c r="C936" s="16" t="inlineStr">
        <is>
          <t>Delivered</t>
        </is>
      </c>
      <c r="D936" s="16" t="inlineStr">
        <is>
          <t>128-07911087463033503</t>
        </is>
      </c>
      <c r="E936" s="16" t="inlineStr">
        <is>
          <t>Delivered</t>
        </is>
      </c>
      <c r="F936" s="16" t="inlineStr">
        <is>
          <t>BS-22</t>
        </is>
      </c>
      <c r="G936" s="16" t="inlineStr">
        <is>
          <t>link bits Barra de Sonido para TV, 2x2" Altavoces + 2 Membranas de Graves, Sonido Claro ≥80dB, Bluetooth Inalámbrico, Conexiones AUX/USB, Diseño Compacto 76cm, Sonido Envolvente 3D para Cine en Casa, PC, Juegos y Fiestas</t>
        </is>
      </c>
      <c r="H936" s="16" t="inlineStr">
        <is>
          <t>BS-22</t>
        </is>
      </c>
      <c r="I936" s="16" t="n">
        <v>1</v>
      </c>
      <c r="J936" s="17" t="n">
        <v>265</v>
      </c>
      <c r="K936" s="17" t="n">
        <v>304.61</v>
      </c>
      <c r="L936" s="17" t="n">
        <v>0</v>
      </c>
      <c r="M936" s="17" t="n">
        <v>0</v>
      </c>
      <c r="N936" s="17">
        <f>K936*0.08+L936*0.08</f>
        <v/>
      </c>
      <c r="O936" s="17">
        <f>-(K936*0.025+L936*0.025)</f>
        <v/>
      </c>
      <c r="P936" s="17">
        <f>32</f>
        <v/>
      </c>
      <c r="Q936" s="17">
        <f>J936+L936+N936+O936-P936-M936</f>
        <v/>
      </c>
    </row>
    <row r="937">
      <c r="A937" s="16" t="inlineStr">
        <is>
          <t>5.1-5.7</t>
        </is>
      </c>
      <c r="B937" s="16" t="inlineStr">
        <is>
          <t>PO-128-07731756319350410</t>
        </is>
      </c>
      <c r="C937" s="16" t="inlineStr">
        <is>
          <t>Delivered</t>
        </is>
      </c>
      <c r="D937" s="16" t="inlineStr">
        <is>
          <t>128-07731714376310410</t>
        </is>
      </c>
      <c r="E937" s="16" t="inlineStr">
        <is>
          <t>Delivered</t>
        </is>
      </c>
      <c r="F937" s="16" t="inlineStr">
        <is>
          <t>MCM-001A</t>
        </is>
      </c>
      <c r="G937" s="16" t="inlineStr">
        <is>
          <t>Musicord Altavoz Inalámbrico BT Portátil: ¡Sonido impactante, luces LED multicolores y 4 horas de autonomía! Compatible con TWS, FM, TF y USB – Imprescindible para fiestas y viajes</t>
        </is>
      </c>
      <c r="H937" s="16" t="inlineStr">
        <is>
          <t>AZUL</t>
        </is>
      </c>
      <c r="I937" s="16" t="n">
        <v>1</v>
      </c>
      <c r="J937" s="17" t="n">
        <v>51.07</v>
      </c>
      <c r="K937" s="17" t="n">
        <v>6.02</v>
      </c>
      <c r="L937" s="17" t="n">
        <v>25.86</v>
      </c>
      <c r="M937" s="17" t="n">
        <v>0</v>
      </c>
      <c r="N937" s="17">
        <f>K937*0.08+L937*0.08</f>
        <v/>
      </c>
      <c r="O937" s="17">
        <f>-(K937*0.025+L937*0.025)</f>
        <v/>
      </c>
      <c r="P937" s="17">
        <f>32</f>
        <v/>
      </c>
      <c r="Q937" s="17">
        <f>J937+L937+N937+O937-P937-M937</f>
        <v/>
      </c>
    </row>
    <row r="938">
      <c r="A938" s="16" t="inlineStr">
        <is>
          <t>5.1-5.7</t>
        </is>
      </c>
      <c r="B938" s="16" t="inlineStr">
        <is>
          <t>PO-128-07660488520311986</t>
        </is>
      </c>
      <c r="C938" s="16" t="inlineStr">
        <is>
          <t>Delivered</t>
        </is>
      </c>
      <c r="D938" s="16" t="inlineStr">
        <is>
          <t>128-07660624835191986</t>
        </is>
      </c>
      <c r="E938" s="16" t="inlineStr">
        <is>
          <t>Delivered</t>
        </is>
      </c>
      <c r="F938" s="16" t="inlineStr">
        <is>
          <t>MCM-001R</t>
        </is>
      </c>
      <c r="G938" s="16" t="inlineStr">
        <is>
          <t>Musicord Altavoz Inalámbrico BT Portátil: ¡Sonido impactante, luces LED multicolores y 4 horas de autonomía! Compatible con TWS, FM, TF y USB – Imprescindible para fiestas y viajes</t>
        </is>
      </c>
      <c r="H938" s="16" t="inlineStr">
        <is>
          <t>ROJO</t>
        </is>
      </c>
      <c r="I938" s="16" t="n">
        <v>1</v>
      </c>
      <c r="J938" s="17" t="n">
        <v>66.5</v>
      </c>
      <c r="K938" s="17" t="n">
        <v>77.78</v>
      </c>
      <c r="L938" s="17" t="n">
        <v>25.86</v>
      </c>
      <c r="M938" s="17" t="n">
        <v>0</v>
      </c>
      <c r="N938" s="17">
        <f>K938*0.08+L938*0.08</f>
        <v/>
      </c>
      <c r="O938" s="17">
        <f>-(K938*0.025+L938*0.025)</f>
        <v/>
      </c>
      <c r="P938" s="17">
        <f>32</f>
        <v/>
      </c>
      <c r="Q938" s="17">
        <f>J938+L938+N938+O938-P938-M938</f>
        <v/>
      </c>
    </row>
    <row r="939">
      <c r="A939" s="16" t="inlineStr">
        <is>
          <t>5.1-5.7</t>
        </is>
      </c>
      <c r="B939" s="16" t="inlineStr">
        <is>
          <t>PO-128-08047578870393777</t>
        </is>
      </c>
      <c r="C939" s="16" t="inlineStr">
        <is>
          <t>Delivered</t>
        </is>
      </c>
      <c r="D939" s="16" t="inlineStr">
        <is>
          <t>128-08047542170233777</t>
        </is>
      </c>
      <c r="E939" s="16" t="inlineStr">
        <is>
          <t>Delivered</t>
        </is>
      </c>
      <c r="F939" s="16" t="inlineStr">
        <is>
          <t>BS-22</t>
        </is>
      </c>
      <c r="G939" s="16" t="inlineStr">
        <is>
          <t>link bits Barra de Sonido para TV, 2x2" Altavoces + 2 Membranas de Graves, Sonido Claro ≥80dB, Bluetooth Inalámbrico, Conexiones AUX/USB, Diseño Compacto 76cm, Sonido Envolvente 3D para Cine en Casa, PC, Juegos y Fiestas</t>
        </is>
      </c>
      <c r="H939" s="16" t="inlineStr">
        <is>
          <t>BS-22</t>
        </is>
      </c>
      <c r="I939" s="16" t="n">
        <v>1</v>
      </c>
      <c r="J939" s="17" t="n">
        <v>265</v>
      </c>
      <c r="K939" s="17" t="n">
        <v>258.92</v>
      </c>
      <c r="L939" s="17" t="n">
        <v>0</v>
      </c>
      <c r="M939" s="17" t="n">
        <v>0</v>
      </c>
      <c r="N939" s="17">
        <f>K939*0.08+L939*0.08</f>
        <v/>
      </c>
      <c r="O939" s="17">
        <f>-(K939*0.025+L939*0.025)</f>
        <v/>
      </c>
      <c r="P939" s="17">
        <f>32</f>
        <v/>
      </c>
      <c r="Q939" s="17">
        <f>J939+L939+N939+O939-P939-M939</f>
        <v/>
      </c>
    </row>
    <row r="940">
      <c r="A940" s="16" t="inlineStr">
        <is>
          <t>5.1-5.7</t>
        </is>
      </c>
      <c r="B940" s="16" t="inlineStr">
        <is>
          <t>PO-128-07618697564791276</t>
        </is>
      </c>
      <c r="C940" s="16" t="inlineStr">
        <is>
          <t>Delivered</t>
        </is>
      </c>
      <c r="D940" s="16" t="inlineStr">
        <is>
          <t>128-07618655621751276</t>
        </is>
      </c>
      <c r="E940" s="16" t="inlineStr">
        <is>
          <t>Delivered</t>
        </is>
      </c>
      <c r="F940" s="16" t="inlineStr">
        <is>
          <t>MCM-001A</t>
        </is>
      </c>
      <c r="G940" s="16" t="inlineStr">
        <is>
          <t>Musicord Altavoz Inalámbrico BT Portátil: ¡Sonido impactante, luces LED multicolores y 4 horas de autonomía! Compatible con TWS, FM, TF y USB – Imprescindible para fiestas y viajes</t>
        </is>
      </c>
      <c r="H940" s="16" t="inlineStr">
        <is>
          <t>AZUL</t>
        </is>
      </c>
      <c r="I940" s="16" t="n">
        <v>1</v>
      </c>
      <c r="J940" s="17" t="n">
        <v>51.07</v>
      </c>
      <c r="K940" s="17" t="n">
        <v>6.02</v>
      </c>
      <c r="L940" s="17" t="n">
        <v>25.86</v>
      </c>
      <c r="M940" s="17" t="n">
        <v>0</v>
      </c>
      <c r="N940" s="17">
        <f>K940*0.08+L940*0.08</f>
        <v/>
      </c>
      <c r="O940" s="17">
        <f>-(K940*0.025+L940*0.025)</f>
        <v/>
      </c>
      <c r="P940" s="17">
        <f>32</f>
        <v/>
      </c>
      <c r="Q940" s="17">
        <f>J940+L940+N940+O940-P940-M940</f>
        <v/>
      </c>
    </row>
    <row r="941">
      <c r="A941" s="16" t="inlineStr">
        <is>
          <t>5.1-5.7</t>
        </is>
      </c>
      <c r="B941" s="16" t="inlineStr">
        <is>
          <t>PO-128-07653125550711966</t>
        </is>
      </c>
      <c r="C941" s="16" t="inlineStr">
        <is>
          <t>Delivered</t>
        </is>
      </c>
      <c r="D941" s="16" t="inlineStr">
        <is>
          <t>128-07653230408311966</t>
        </is>
      </c>
      <c r="E941" s="16" t="inlineStr">
        <is>
          <t>Delivered</t>
        </is>
      </c>
      <c r="F941" s="16" t="inlineStr">
        <is>
          <t>AIR50W06-2P</t>
        </is>
      </c>
      <c r="G941" s="16" t="inlineStr">
        <is>
          <t>Link Bits Ventilador de piso de 16 pulgadas, 2 unidades, 3 velocidades, motor silencioso, flujo de aire fuerte, altura ajustable, oscilación amplia, ventilador eléctrico para el hogar, ideal para sala, recámara y oficina</t>
        </is>
      </c>
      <c r="H941" s="16" t="inlineStr">
        <is>
          <t>2PZ</t>
        </is>
      </c>
      <c r="I941" s="16" t="n">
        <v>1</v>
      </c>
      <c r="J941" s="17" t="n">
        <v>437.88</v>
      </c>
      <c r="K941" s="17" t="n">
        <v>571</v>
      </c>
      <c r="L941" s="17" t="n">
        <v>0</v>
      </c>
      <c r="M941" s="17" t="n">
        <v>0</v>
      </c>
      <c r="N941" s="17">
        <f>K941*0.08+L941*0.08</f>
        <v/>
      </c>
      <c r="O941" s="17">
        <f>-(K941*0.025+L941*0.025)</f>
        <v/>
      </c>
      <c r="P941" s="17">
        <f>32</f>
        <v/>
      </c>
      <c r="Q941" s="17">
        <f>J941+L941+N941+O941-P941-M941</f>
        <v/>
      </c>
    </row>
    <row r="942">
      <c r="A942" s="16" t="inlineStr">
        <is>
          <t>5.1-5.7</t>
        </is>
      </c>
      <c r="B942" s="16" t="inlineStr">
        <is>
          <t>PO-128-08067849810553654</t>
        </is>
      </c>
      <c r="C942" s="16" t="inlineStr">
        <is>
          <t>Delivered</t>
        </is>
      </c>
      <c r="D942" s="16" t="inlineStr">
        <is>
          <t>128-08067847844473654</t>
        </is>
      </c>
      <c r="E942" s="16" t="inlineStr">
        <is>
          <t>Delivered</t>
        </is>
      </c>
      <c r="F942" s="16" t="inlineStr">
        <is>
          <t>EM04W36-2PZS</t>
        </is>
      </c>
      <c r="G94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942" s="16" t="inlineStr">
        <is>
          <t>2 piezas</t>
        </is>
      </c>
      <c r="I942" s="16" t="n">
        <v>1</v>
      </c>
      <c r="J942" s="17" t="n">
        <v>175.5</v>
      </c>
      <c r="K942" s="17" t="n">
        <v>181.03</v>
      </c>
      <c r="L942" s="17" t="n">
        <v>25.86</v>
      </c>
      <c r="M942" s="17" t="n">
        <v>0</v>
      </c>
      <c r="N942" s="17">
        <f>K942*0.08+L942*0.08</f>
        <v/>
      </c>
      <c r="O942" s="17">
        <f>-(K942*0.025+L942*0.025)</f>
        <v/>
      </c>
      <c r="P942" s="17">
        <f>32</f>
        <v/>
      </c>
      <c r="Q942" s="17">
        <f>J942+L942+N942+O942-P942-M942</f>
        <v/>
      </c>
    </row>
    <row r="943">
      <c r="A943" s="16" t="inlineStr">
        <is>
          <t>5.1-5.7</t>
        </is>
      </c>
      <c r="B943" s="16" t="inlineStr">
        <is>
          <t>PO-128-07866525799030694</t>
        </is>
      </c>
      <c r="C943" s="16" t="inlineStr">
        <is>
          <t>Delivered</t>
        </is>
      </c>
      <c r="D943" s="16" t="inlineStr">
        <is>
          <t>128-07866546770550694</t>
        </is>
      </c>
      <c r="E943" s="16" t="inlineStr">
        <is>
          <t>Delivered</t>
        </is>
      </c>
      <c r="F943" s="16" t="inlineStr">
        <is>
          <t>AIR50W06-2P</t>
        </is>
      </c>
      <c r="G943" s="16" t="inlineStr">
        <is>
          <t>Link Bits Ventilador de piso de 16 pulgadas, 2 unidades, 3 velocidades, motor silencioso, flujo de aire fuerte, altura ajustable, oscilación amplia, ventilador eléctrico para el hogar, ideal para sala, recámara y oficina</t>
        </is>
      </c>
      <c r="H943" s="16" t="inlineStr">
        <is>
          <t>2PZ</t>
        </is>
      </c>
      <c r="I943" s="16" t="n">
        <v>1</v>
      </c>
      <c r="J943" s="17" t="n">
        <v>437.88</v>
      </c>
      <c r="K943" s="17" t="n">
        <v>477.87</v>
      </c>
      <c r="L943" s="17" t="n">
        <v>0</v>
      </c>
      <c r="M943" s="17" t="n">
        <v>0</v>
      </c>
      <c r="N943" s="17">
        <f>K943*0.08+L943*0.08</f>
        <v/>
      </c>
      <c r="O943" s="17">
        <f>-(K943*0.025+L943*0.025)</f>
        <v/>
      </c>
      <c r="P943" s="17">
        <f>32</f>
        <v/>
      </c>
      <c r="Q943" s="17">
        <f>J943+L943+N943+O943-P943-M943</f>
        <v/>
      </c>
    </row>
    <row r="944">
      <c r="A944" s="16" t="inlineStr">
        <is>
          <t>5.1-5.7</t>
        </is>
      </c>
      <c r="B944" s="16" t="inlineStr">
        <is>
          <t>PO-128-08018457672313887</t>
        </is>
      </c>
      <c r="C944" s="16" t="inlineStr">
        <is>
          <t>Delivered</t>
        </is>
      </c>
      <c r="D944" s="16" t="inlineStr">
        <is>
          <t>128-08018405243513887</t>
        </is>
      </c>
      <c r="E944" s="16" t="inlineStr">
        <is>
          <t>Delivered</t>
        </is>
      </c>
      <c r="F944" s="16" t="inlineStr">
        <is>
          <t>LV64W25</t>
        </is>
      </c>
      <c r="G944" s="16" t="inlineStr">
        <is>
          <t>Ventilador de Techo LED TIANLAI con 5 Aspas, Control Remoto, 3 Colores Luz, 3 Velocidades, Temporizador, Fácil Instalación, E27 para Baño Cocina Dormitorio Salón</t>
        </is>
      </c>
      <c r="H944" s="16" t="inlineStr">
        <is>
          <t>LV64W25</t>
        </is>
      </c>
      <c r="I944" s="16" t="n">
        <v>1</v>
      </c>
      <c r="J944" s="17" t="n">
        <v>156</v>
      </c>
      <c r="K944" s="17" t="n">
        <v>199.12</v>
      </c>
      <c r="L944" s="17" t="n">
        <v>25.86</v>
      </c>
      <c r="M944" s="17" t="n">
        <v>0</v>
      </c>
      <c r="N944" s="17">
        <f>K944*0.08+L944*0.08</f>
        <v/>
      </c>
      <c r="O944" s="17">
        <f>-(K944*0.025+L944*0.025)</f>
        <v/>
      </c>
      <c r="P944" s="17">
        <f>32</f>
        <v/>
      </c>
      <c r="Q944" s="17">
        <f>J944+L944+N944+O944-P944-M944</f>
        <v/>
      </c>
    </row>
    <row r="945">
      <c r="A945" s="16" t="inlineStr">
        <is>
          <t>5.1-5.7</t>
        </is>
      </c>
      <c r="B945" s="16" t="inlineStr">
        <is>
          <t>PO-128-07988543427193169</t>
        </is>
      </c>
      <c r="C945" s="16" t="inlineStr">
        <is>
          <t>Delivered</t>
        </is>
      </c>
      <c r="D945" s="16" t="inlineStr">
        <is>
          <t>128-07988585370233169</t>
        </is>
      </c>
      <c r="E945" s="16" t="inlineStr">
        <is>
          <t>Delivered</t>
        </is>
      </c>
      <c r="F945" s="16" t="inlineStr">
        <is>
          <t>MCM-001R</t>
        </is>
      </c>
      <c r="G945" s="16" t="inlineStr">
        <is>
          <t>Musicord Altavoz Inalámbrico BT Portátil: ¡Sonido impactante, luces LED multicolores y 4 horas de autonomía! Compatible con TWS, FM, TF y USB – Imprescindible para fiestas y viajes</t>
        </is>
      </c>
      <c r="H945" s="16" t="inlineStr">
        <is>
          <t>ROJO</t>
        </is>
      </c>
      <c r="I945" s="16" t="n">
        <v>1</v>
      </c>
      <c r="J945" s="17" t="n">
        <v>66.5</v>
      </c>
      <c r="K945" s="17" t="n">
        <v>77.78</v>
      </c>
      <c r="L945" s="17" t="n">
        <v>25.86</v>
      </c>
      <c r="M945" s="17" t="n">
        <v>0</v>
      </c>
      <c r="N945" s="17">
        <f>K945*0.08+L945*0.08</f>
        <v/>
      </c>
      <c r="O945" s="17">
        <f>-(K945*0.025+L945*0.025)</f>
        <v/>
      </c>
      <c r="P945" s="17">
        <f>32</f>
        <v/>
      </c>
      <c r="Q945" s="17">
        <f>J945+L945+N945+O945-P945-M945</f>
        <v/>
      </c>
    </row>
    <row r="946">
      <c r="A946" s="16" t="inlineStr">
        <is>
          <t>5.1-5.7</t>
        </is>
      </c>
      <c r="B946" s="16" t="inlineStr">
        <is>
          <t>PO-128-07786529935990213</t>
        </is>
      </c>
      <c r="C946" s="16" t="inlineStr">
        <is>
          <t>Delivered</t>
        </is>
      </c>
      <c r="D946" s="16" t="inlineStr">
        <is>
          <t>128-07786498478710213</t>
        </is>
      </c>
      <c r="E946" s="16" t="inlineStr">
        <is>
          <t>Delivered</t>
        </is>
      </c>
      <c r="F946" s="16" t="inlineStr">
        <is>
          <t>MB-185A</t>
        </is>
      </c>
      <c r="G946" s="16" t="inlineStr">
        <is>
          <t>Bocina Radio FM/Reproductor, Compatible con Tarjeta TF, USB, Bluetooth, Aplicable para celular, computadora, Ipad y consola.</t>
        </is>
      </c>
      <c r="H946" s="16" t="inlineStr">
        <is>
          <t>AZUL/MB-185</t>
        </is>
      </c>
      <c r="I946" s="16" t="n">
        <v>1</v>
      </c>
      <c r="J946" s="17" t="n">
        <v>75.5</v>
      </c>
      <c r="K946" s="17" t="n">
        <v>80.45</v>
      </c>
      <c r="L946" s="17" t="n">
        <v>25.86</v>
      </c>
      <c r="M946" s="17" t="n">
        <v>0</v>
      </c>
      <c r="N946" s="17">
        <f>K946*0.08+L946*0.08</f>
        <v/>
      </c>
      <c r="O946" s="17">
        <f>-(K946*0.025+L946*0.025)</f>
        <v/>
      </c>
      <c r="P946" s="17">
        <f>32</f>
        <v/>
      </c>
      <c r="Q946" s="17">
        <f>J946+L946+N946+O946-P946-M946</f>
        <v/>
      </c>
    </row>
    <row r="947">
      <c r="A947" s="16" t="inlineStr">
        <is>
          <t>5.1-5.7</t>
        </is>
      </c>
      <c r="B947" s="16" t="inlineStr">
        <is>
          <t>PO-128-07582368481911300</t>
        </is>
      </c>
      <c r="C947" s="16" t="inlineStr">
        <is>
          <t>Delivered</t>
        </is>
      </c>
      <c r="D947" s="16" t="inlineStr">
        <is>
          <t>128-07582410424951300</t>
        </is>
      </c>
      <c r="E947" s="16" t="inlineStr">
        <is>
          <t>Delivered</t>
        </is>
      </c>
      <c r="F947" s="16" t="inlineStr">
        <is>
          <t>FA028</t>
        </is>
      </c>
      <c r="G947" s="16" t="inlineStr">
        <is>
          <t>Extractor de agua para garrafas de agua, compatible con carga USB, extractor de agua automático, práctico, con dos modos de toma de agua: manual y programado, ideal para dormitorios, salones, oficinas, uso al aire libre y otros escenarios.</t>
        </is>
      </c>
      <c r="H947" s="16" t="inlineStr">
        <is>
          <t>FA028</t>
        </is>
      </c>
      <c r="I947" s="16" t="n">
        <v>2</v>
      </c>
      <c r="J947" s="17" t="n">
        <v>71.54000000000001</v>
      </c>
      <c r="K947" s="17" t="n">
        <v>30.36</v>
      </c>
      <c r="L947" s="17" t="n">
        <v>25.86</v>
      </c>
      <c r="M947" s="17" t="n">
        <v>4.2</v>
      </c>
      <c r="N947" s="17">
        <f>K947*0.08+L947*0.08</f>
        <v/>
      </c>
      <c r="O947" s="17">
        <f>-(K947*0.025+L947*0.025)</f>
        <v/>
      </c>
      <c r="P947" s="17">
        <f>32</f>
        <v/>
      </c>
      <c r="Q947" s="17">
        <f>J947+L947+N947+O947-P947-M947</f>
        <v/>
      </c>
    </row>
    <row r="948">
      <c r="A948" s="16" t="inlineStr">
        <is>
          <t>5.1-5.7</t>
        </is>
      </c>
      <c r="B948" s="16" t="inlineStr">
        <is>
          <t>PO-128-08151123763832134</t>
        </is>
      </c>
      <c r="C948" s="16" t="inlineStr">
        <is>
          <t>Delivered</t>
        </is>
      </c>
      <c r="D948" s="16" t="inlineStr">
        <is>
          <t>128-08151144735352134</t>
        </is>
      </c>
      <c r="E948" s="16" t="inlineStr">
        <is>
          <t>Delivered</t>
        </is>
      </c>
      <c r="F948" s="16" t="inlineStr">
        <is>
          <t>MCM-001A</t>
        </is>
      </c>
      <c r="G948" s="16" t="inlineStr">
        <is>
          <t>Musicord Altavoz Inalámbrico BT Portátil: ¡Sonido impactante, luces LED multicolores y 4 horas de autonomía! Compatible con TWS, FM, TF y USB – Imprescindible para fiestas y viajes</t>
        </is>
      </c>
      <c r="H948" s="16" t="inlineStr">
        <is>
          <t>AZUL</t>
        </is>
      </c>
      <c r="I948" s="16" t="n">
        <v>1</v>
      </c>
      <c r="J948" s="17" t="n">
        <v>51.07</v>
      </c>
      <c r="K948" s="17" t="n">
        <v>59.47</v>
      </c>
      <c r="L948" s="17" t="n">
        <v>25.86</v>
      </c>
      <c r="M948" s="17" t="n">
        <v>0</v>
      </c>
      <c r="N948" s="17">
        <f>K948*0.08+L948*0.08</f>
        <v/>
      </c>
      <c r="O948" s="17">
        <f>-(K948*0.025+L948*0.025)</f>
        <v/>
      </c>
      <c r="P948" s="17">
        <f>32</f>
        <v/>
      </c>
      <c r="Q948" s="17">
        <f>J948+L948+N948+O948-P948-M948</f>
        <v/>
      </c>
    </row>
    <row r="949">
      <c r="A949" s="16" t="inlineStr">
        <is>
          <t>5.1-5.7</t>
        </is>
      </c>
      <c r="B949" s="16" t="inlineStr">
        <is>
          <t>PO-128-07931275367033380</t>
        </is>
      </c>
      <c r="C949" s="16" t="inlineStr">
        <is>
          <t>Delivered</t>
        </is>
      </c>
      <c r="D949" s="16" t="inlineStr">
        <is>
          <t>128-07931411681913380</t>
        </is>
      </c>
      <c r="E949" s="16" t="inlineStr">
        <is>
          <t>Delivered</t>
        </is>
      </c>
      <c r="F949" s="16" t="inlineStr">
        <is>
          <t>VB347T</t>
        </is>
      </c>
      <c r="G94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49" s="16" t="inlineStr">
        <is>
          <t>1 pieza</t>
        </is>
      </c>
      <c r="I949" s="16" t="n">
        <v>1</v>
      </c>
      <c r="J949" s="17" t="n">
        <v>79.90000000000001</v>
      </c>
      <c r="K949" s="17" t="n">
        <v>94.51000000000001</v>
      </c>
      <c r="L949" s="17" t="n">
        <v>25.86</v>
      </c>
      <c r="M949" s="17" t="n">
        <v>2</v>
      </c>
      <c r="N949" s="17">
        <f>K949*0.08+L949*0.08</f>
        <v/>
      </c>
      <c r="O949" s="17">
        <f>-(K949*0.025+L949*0.025)</f>
        <v/>
      </c>
      <c r="P949" s="17">
        <f>32</f>
        <v/>
      </c>
      <c r="Q949" s="17">
        <f>J949+L949+N949+O949-P949-M949</f>
        <v/>
      </c>
    </row>
    <row r="950">
      <c r="A950" s="16" t="inlineStr">
        <is>
          <t>5.1-5.7</t>
        </is>
      </c>
      <c r="B950" s="16" t="inlineStr">
        <is>
          <t>PO-128-08109604792952383</t>
        </is>
      </c>
      <c r="C950" s="16" t="inlineStr">
        <is>
          <t>Delivered</t>
        </is>
      </c>
      <c r="D950" s="16" t="inlineStr">
        <is>
          <t>128-08109642803832383</t>
        </is>
      </c>
      <c r="E950" s="16" t="inlineStr">
        <is>
          <t>Delivered</t>
        </is>
      </c>
      <c r="F950" s="16" t="inlineStr">
        <is>
          <t>MCM-001R</t>
        </is>
      </c>
      <c r="G950" s="16" t="inlineStr">
        <is>
          <t>Musicord Altavoz Inalámbrico BT Portátil: ¡Sonido impactante, luces LED multicolores y 4 horas de autonomía! Compatible con TWS, FM, TF y USB – Imprescindible para fiestas y viajes</t>
        </is>
      </c>
      <c r="H950" s="16" t="inlineStr">
        <is>
          <t>ROJO</t>
        </is>
      </c>
      <c r="I950" s="16" t="n">
        <v>1</v>
      </c>
      <c r="J950" s="17" t="n">
        <v>66.5</v>
      </c>
      <c r="K950" s="17" t="n">
        <v>66.47</v>
      </c>
      <c r="L950" s="17" t="n">
        <v>25.86</v>
      </c>
      <c r="M950" s="17" t="n">
        <v>0</v>
      </c>
      <c r="N950" s="17">
        <f>K950*0.08+L950*0.08</f>
        <v/>
      </c>
      <c r="O950" s="17">
        <f>-(K950*0.025+L950*0.025)</f>
        <v/>
      </c>
      <c r="P950" s="17">
        <f>32</f>
        <v/>
      </c>
      <c r="Q950" s="17">
        <f>J950+L950+N950+O950-P950-M950</f>
        <v/>
      </c>
    </row>
    <row r="951">
      <c r="A951" s="16" t="inlineStr">
        <is>
          <t>5.1-5.7</t>
        </is>
      </c>
      <c r="B951" s="16" t="inlineStr">
        <is>
          <t>PO-128-07681443646071862</t>
        </is>
      </c>
      <c r="C951" s="16" t="inlineStr">
        <is>
          <t>Delivered</t>
        </is>
      </c>
      <c r="D951" s="16" t="inlineStr">
        <is>
          <t>128-07681401703031862</t>
        </is>
      </c>
      <c r="E951" s="16" t="inlineStr">
        <is>
          <t>Delivered</t>
        </is>
      </c>
      <c r="F951" s="16" t="inlineStr">
        <is>
          <t>FA028</t>
        </is>
      </c>
      <c r="G951" s="16" t="inlineStr">
        <is>
          <t>Extractor de agua para garrafas de agua, compatible con carga USB, extractor de agua automático, práctico, con dos modos de toma de agua: manual y programado, ideal para dormitorios, salones, oficinas, uso al aire libre y otros escenarios.</t>
        </is>
      </c>
      <c r="H951" s="16" t="inlineStr">
        <is>
          <t>FA028</t>
        </is>
      </c>
      <c r="I951" s="16" t="n">
        <v>1</v>
      </c>
      <c r="J951" s="17" t="n">
        <v>35.77</v>
      </c>
      <c r="K951" s="17" t="n">
        <v>2.25</v>
      </c>
      <c r="L951" s="17" t="n">
        <v>25.86</v>
      </c>
      <c r="M951" s="17" t="n">
        <v>0</v>
      </c>
      <c r="N951" s="17">
        <f>K951*0.08+L951*0.08</f>
        <v/>
      </c>
      <c r="O951" s="17">
        <f>-(K951*0.025+L951*0.025)</f>
        <v/>
      </c>
      <c r="P951" s="17">
        <f>32</f>
        <v/>
      </c>
      <c r="Q951" s="17">
        <f>J951+L951+N951+O951-P951-M951</f>
        <v/>
      </c>
    </row>
    <row r="952">
      <c r="A952" s="16" t="inlineStr">
        <is>
          <t>5.1-5.7</t>
        </is>
      </c>
      <c r="B952" s="16" t="inlineStr">
        <is>
          <t>PO-128-08126445271672219</t>
        </is>
      </c>
      <c r="C952" s="16" t="inlineStr">
        <is>
          <t>Delivered</t>
        </is>
      </c>
      <c r="D952" s="16" t="inlineStr">
        <is>
          <t>128-08126403328632219</t>
        </is>
      </c>
      <c r="E952" s="16" t="inlineStr">
        <is>
          <t>Delivered</t>
        </is>
      </c>
      <c r="F952" s="16" t="inlineStr">
        <is>
          <t>KTS-1678N</t>
        </is>
      </c>
      <c r="G952" s="16" t="inlineStr">
        <is>
          <t>Bocina portátil Inalámbrico, de 3 pulgadas, tamaño de bolsillo, 170 g, con asa, compatible con TF, USB y Micro SD, con radio FM y función TWS (True Wireless Stereo), adecuada para relajarse en casa o viajar al aire libre.</t>
        </is>
      </c>
      <c r="H952" s="16" t="inlineStr">
        <is>
          <t>KTS-1678N</t>
        </is>
      </c>
      <c r="I952" s="16" t="n">
        <v>2</v>
      </c>
      <c r="J952" s="17" t="n">
        <v>108.24</v>
      </c>
      <c r="K952" s="17" t="n">
        <v>124.78</v>
      </c>
      <c r="L952" s="17" t="n">
        <v>25.86</v>
      </c>
      <c r="M952" s="17" t="n">
        <v>0</v>
      </c>
      <c r="N952" s="17">
        <f>K952*0.08+L952*0.08</f>
        <v/>
      </c>
      <c r="O952" s="17">
        <f>-(K952*0.025+L952*0.025)</f>
        <v/>
      </c>
      <c r="P952" s="17">
        <f>32</f>
        <v/>
      </c>
      <c r="Q952" s="17">
        <f>J952+L952+N952+O952-P952-M952</f>
        <v/>
      </c>
    </row>
    <row r="953">
      <c r="A953" s="16" t="inlineStr">
        <is>
          <t>5.1-5.7</t>
        </is>
      </c>
      <c r="B953" s="16" t="inlineStr">
        <is>
          <t>PO-128-07886162381430515</t>
        </is>
      </c>
      <c r="C953" s="16" t="inlineStr">
        <is>
          <t>Delivered</t>
        </is>
      </c>
      <c r="D953" s="16" t="inlineStr">
        <is>
          <t>128-07886267239030515</t>
        </is>
      </c>
      <c r="E953" s="16" t="inlineStr">
        <is>
          <t>Delivered</t>
        </is>
      </c>
      <c r="F953" s="16" t="inlineStr">
        <is>
          <t>MCM-001A</t>
        </is>
      </c>
      <c r="G953" s="16" t="inlineStr">
        <is>
          <t>Musicord Altavoz Inalámbrico BT Portátil: ¡Sonido impactante, luces LED multicolores y 4 horas de autonomía! Compatible con TWS, FM, TF y USB – Imprescindible para fiestas y viajes</t>
        </is>
      </c>
      <c r="H953" s="16" t="inlineStr">
        <is>
          <t>AZUL</t>
        </is>
      </c>
      <c r="I953" s="16" t="n">
        <v>1</v>
      </c>
      <c r="J953" s="17" t="n">
        <v>51.07</v>
      </c>
      <c r="K953" s="17" t="n">
        <v>16.37</v>
      </c>
      <c r="L953" s="17" t="n">
        <v>25.86</v>
      </c>
      <c r="M953" s="17" t="n">
        <v>0</v>
      </c>
      <c r="N953" s="17">
        <f>K953*0.08+L953*0.08</f>
        <v/>
      </c>
      <c r="O953" s="17">
        <f>-(K953*0.025+L953*0.025)</f>
        <v/>
      </c>
      <c r="P953" s="17">
        <f>32</f>
        <v/>
      </c>
      <c r="Q953" s="17">
        <f>J953+L953+N953+O953-P953-M953</f>
        <v/>
      </c>
    </row>
    <row r="954">
      <c r="A954" s="16" t="inlineStr">
        <is>
          <t>5.1-5.7</t>
        </is>
      </c>
      <c r="B954" s="16" t="inlineStr">
        <is>
          <t>PO-128-07591701269111372</t>
        </is>
      </c>
      <c r="C954" s="16" t="inlineStr">
        <is>
          <t>Delivered</t>
        </is>
      </c>
      <c r="D954" s="16" t="inlineStr">
        <is>
          <t>128-07591837583991372</t>
        </is>
      </c>
      <c r="E954" s="16" t="inlineStr">
        <is>
          <t>Delivered</t>
        </is>
      </c>
      <c r="F954" s="16" t="inlineStr">
        <is>
          <t>LB02235-azul</t>
        </is>
      </c>
      <c r="G954" s="16" t="inlineStr">
        <is>
          <t>Audífonos Inalámbricos para la Cabeza, Recargables y Multifuncionales - Conectan a Varios Dispositivos, soportan Radio FM, Tarjeta TF y AUX - 4 Horas de Reproducción Musical - Ideal para Trabajo Cotidiano, Juegos y Estudio</t>
        </is>
      </c>
      <c r="H954" s="16" t="inlineStr">
        <is>
          <t>AZUL</t>
        </is>
      </c>
      <c r="I954" s="16" t="n">
        <v>1</v>
      </c>
      <c r="J954" s="17" t="n">
        <v>37.73</v>
      </c>
      <c r="K954" s="17" t="n">
        <v>7.74</v>
      </c>
      <c r="L954" s="17" t="n">
        <v>25.86</v>
      </c>
      <c r="M954" s="17" t="n">
        <v>0</v>
      </c>
      <c r="N954" s="17">
        <f>K954*0.08+L954*0.08</f>
        <v/>
      </c>
      <c r="O954" s="17">
        <f>-(K954*0.025+L954*0.025)</f>
        <v/>
      </c>
      <c r="P954" s="17">
        <f>32</f>
        <v/>
      </c>
      <c r="Q954" s="17">
        <f>J954+L954+N954+O954-P954-M954</f>
        <v/>
      </c>
    </row>
    <row r="955">
      <c r="A955" s="16" t="inlineStr">
        <is>
          <t>5.1-5.7</t>
        </is>
      </c>
      <c r="B955" s="16" t="inlineStr">
        <is>
          <t>PO-128-07994370611834028</t>
        </is>
      </c>
      <c r="C955" s="16" t="inlineStr">
        <is>
          <t>Delivered</t>
        </is>
      </c>
      <c r="D955" s="16" t="inlineStr">
        <is>
          <t>128-07994391583354028</t>
        </is>
      </c>
      <c r="E955" s="16" t="inlineStr">
        <is>
          <t>Delivered</t>
        </is>
      </c>
      <c r="F955" s="16" t="inlineStr">
        <is>
          <t>LB02235-blanco</t>
        </is>
      </c>
      <c r="G955" s="16" t="inlineStr">
        <is>
          <t>Audífonos Inalámbricos para la Cabeza, Recargables y Multifuncionales - Conectan a Varios Dispositivos, soportan Radio FM, Tarjeta TF y AUX - 4 Horas de Reproducción Musical - Ideal para Trabajo Cotidiano, Juegos y Estudio</t>
        </is>
      </c>
      <c r="H955" s="16" t="inlineStr">
        <is>
          <t>BLANCO</t>
        </is>
      </c>
      <c r="I955" s="16" t="n">
        <v>1</v>
      </c>
      <c r="J955" s="17" t="n">
        <v>45.31</v>
      </c>
      <c r="K955" s="17" t="n">
        <v>58.42</v>
      </c>
      <c r="L955" s="17" t="n">
        <v>25.86</v>
      </c>
      <c r="M955" s="17" t="n">
        <v>0</v>
      </c>
      <c r="N955" s="17">
        <f>K955*0.08+L955*0.08</f>
        <v/>
      </c>
      <c r="O955" s="17">
        <f>-(K955*0.025+L955*0.025)</f>
        <v/>
      </c>
      <c r="P955" s="17">
        <f>32</f>
        <v/>
      </c>
      <c r="Q955" s="17">
        <f>J955+L955+N955+O955-P955-M955</f>
        <v/>
      </c>
    </row>
    <row r="956">
      <c r="A956" s="16" t="inlineStr">
        <is>
          <t>5.1-5.7</t>
        </is>
      </c>
      <c r="B956" s="16" t="inlineStr">
        <is>
          <t>PO-128-07725979638391660</t>
        </is>
      </c>
      <c r="C956" s="16" t="inlineStr">
        <is>
          <t>Delivered</t>
        </is>
      </c>
      <c r="D956" s="16" t="inlineStr">
        <is>
          <t>128-07725937695351660</t>
        </is>
      </c>
      <c r="E956" s="16" t="inlineStr">
        <is>
          <t>Delivered</t>
        </is>
      </c>
      <c r="F956" s="16" t="inlineStr">
        <is>
          <t>LB02235-blanco</t>
        </is>
      </c>
      <c r="G956" s="16" t="inlineStr">
        <is>
          <t>Audífonos Inalámbricos para la Cabeza, Recargables y Multifuncionales - Conectan a Varios Dispositivos, soportan Radio FM, Tarjeta TF y AUX - 4 Horas de Reproducción Musical - Ideal para Trabajo Cotidiano, Juegos y Estudio</t>
        </is>
      </c>
      <c r="H956" s="16" t="inlineStr">
        <is>
          <t>BLANCO</t>
        </is>
      </c>
      <c r="I956" s="16" t="n">
        <v>1</v>
      </c>
      <c r="J956" s="17" t="n">
        <v>45.31</v>
      </c>
      <c r="K956" s="17" t="n">
        <v>54.87</v>
      </c>
      <c r="L956" s="17" t="n">
        <v>25.86</v>
      </c>
      <c r="M956" s="17" t="n">
        <v>0</v>
      </c>
      <c r="N956" s="17">
        <f>K956*0.08+L956*0.08</f>
        <v/>
      </c>
      <c r="O956" s="17">
        <f>-(K956*0.025+L956*0.025)</f>
        <v/>
      </c>
      <c r="P956" s="17">
        <f>32</f>
        <v/>
      </c>
      <c r="Q956" s="17">
        <f>J956+L956+N956+O956-P956-M956</f>
        <v/>
      </c>
    </row>
    <row r="957">
      <c r="A957" s="16" t="inlineStr">
        <is>
          <t>5.1-5.7</t>
        </is>
      </c>
      <c r="B957" s="16" t="inlineStr">
        <is>
          <t>PO-128-07846153042550816</t>
        </is>
      </c>
      <c r="C957" s="16" t="inlineStr">
        <is>
          <t>Delivered</t>
        </is>
      </c>
      <c r="D957" s="16" t="inlineStr">
        <is>
          <t>128-07846071777910816</t>
        </is>
      </c>
      <c r="E957" s="16" t="inlineStr">
        <is>
          <t>Delivered</t>
        </is>
      </c>
      <c r="F957" s="16" t="inlineStr">
        <is>
          <t>LB02235-negro</t>
        </is>
      </c>
      <c r="G957" s="16" t="inlineStr">
        <is>
          <t>Audífonos Inalámbricos para la Cabeza, Recargables y Multifuncionales - Conectan a Varios Dispositivos, soportan Radio FM, Tarjeta TF y AUX - 4 Horas de Reproducción Musical - Ideal para Trabajo Cotidiano, Juegos y Estudio</t>
        </is>
      </c>
      <c r="H957" s="16" t="inlineStr">
        <is>
          <t>NEGRO</t>
        </is>
      </c>
      <c r="I957" s="16" t="n">
        <v>1</v>
      </c>
      <c r="J957" s="17" t="n">
        <v>45.31</v>
      </c>
      <c r="K957" s="17" t="n">
        <v>58.42</v>
      </c>
      <c r="L957" s="17" t="n">
        <v>25.86</v>
      </c>
      <c r="M957" s="17" t="n">
        <v>0</v>
      </c>
      <c r="N957" s="17">
        <f>K957*0.08+L957*0.08</f>
        <v/>
      </c>
      <c r="O957" s="17">
        <f>-(K957*0.025+L957*0.025)</f>
        <v/>
      </c>
      <c r="P957" s="17">
        <f>32</f>
        <v/>
      </c>
      <c r="Q957" s="17">
        <f>J957+L957+N957+O957-P957-M957</f>
        <v/>
      </c>
    </row>
    <row r="958">
      <c r="A958" s="16" t="inlineStr">
        <is>
          <t>5.1-5.7</t>
        </is>
      </c>
      <c r="B958" s="16" t="inlineStr">
        <is>
          <t>PO-128-08213494159992722</t>
        </is>
      </c>
      <c r="C958" s="16" t="inlineStr">
        <is>
          <t>Delivered</t>
        </is>
      </c>
      <c r="D958" s="16" t="inlineStr">
        <is>
          <t>128-08213467945592722</t>
        </is>
      </c>
      <c r="E958" s="16" t="inlineStr">
        <is>
          <t>Delivered</t>
        </is>
      </c>
      <c r="F958" s="16" t="inlineStr">
        <is>
          <t>EM04W36</t>
        </is>
      </c>
      <c r="G95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958" s="16" t="inlineStr">
        <is>
          <t>1 pieza</t>
        </is>
      </c>
      <c r="I958" s="16" t="n">
        <v>1</v>
      </c>
      <c r="J958" s="17" t="n">
        <v>89.5</v>
      </c>
      <c r="K958" s="17" t="n">
        <v>108.97</v>
      </c>
      <c r="L958" s="17" t="n">
        <v>25.86</v>
      </c>
      <c r="M958" s="17" t="n">
        <v>0</v>
      </c>
      <c r="N958" s="17">
        <f>K958*0.08+L958*0.08</f>
        <v/>
      </c>
      <c r="O958" s="17">
        <f>-(K958*0.025+L958*0.025)</f>
        <v/>
      </c>
      <c r="P958" s="17">
        <f>32</f>
        <v/>
      </c>
      <c r="Q958" s="17">
        <f>J958+L958+N958+O958-P958-M958</f>
        <v/>
      </c>
    </row>
    <row r="959">
      <c r="A959" s="16" t="inlineStr">
        <is>
          <t>5.1-5.7</t>
        </is>
      </c>
      <c r="B959" s="16" t="inlineStr">
        <is>
          <t>PO-128-07847410063990808</t>
        </is>
      </c>
      <c r="C959" s="16" t="inlineStr">
        <is>
          <t>Delivered</t>
        </is>
      </c>
      <c r="D959" s="16" t="inlineStr">
        <is>
          <t>128-07847389092470808</t>
        </is>
      </c>
      <c r="E959" s="16" t="inlineStr">
        <is>
          <t>Delivered</t>
        </is>
      </c>
      <c r="F959" s="16" t="inlineStr">
        <is>
          <t>KTS-1678R</t>
        </is>
      </c>
      <c r="G959" s="16" t="inlineStr">
        <is>
          <t>Bocina portátil Inalámbrico, de 3 pulgadas, tamaño de bolsillo, 170 g, con asa, compatible con TF, USB y Micro SD, con radio FM y función TWS (True Wireless Stereo), adecuada para relajarse en casa o viajar al aire libre.</t>
        </is>
      </c>
      <c r="H959" s="16" t="inlineStr">
        <is>
          <t>KTS-1678R</t>
        </is>
      </c>
      <c r="I959" s="16" t="n">
        <v>1</v>
      </c>
      <c r="J959" s="17" t="n">
        <v>42.5</v>
      </c>
      <c r="K959" s="17" t="n">
        <v>50.78</v>
      </c>
      <c r="L959" s="17" t="n">
        <v>25.86</v>
      </c>
      <c r="M959" s="17" t="n">
        <v>0</v>
      </c>
      <c r="N959" s="17">
        <f>K959*0.08+L959*0.08</f>
        <v/>
      </c>
      <c r="O959" s="17">
        <f>-(K959*0.025+L959*0.025)</f>
        <v/>
      </c>
      <c r="P959" s="17">
        <f>32</f>
        <v/>
      </c>
      <c r="Q959" s="17">
        <f>J959+L959+N959+O959-P959-M959</f>
        <v/>
      </c>
    </row>
    <row r="960">
      <c r="A960" s="16" t="inlineStr">
        <is>
          <t>5.1-5.7</t>
        </is>
      </c>
      <c r="B960" s="16" t="inlineStr">
        <is>
          <t>PO-128-07830792755830973</t>
        </is>
      </c>
      <c r="C960" s="16" t="inlineStr">
        <is>
          <t>Delivered</t>
        </is>
      </c>
      <c r="D960" s="16" t="inlineStr">
        <is>
          <t>128-07830777027190973</t>
        </is>
      </c>
      <c r="E960" s="16" t="inlineStr">
        <is>
          <t>Delivered</t>
        </is>
      </c>
      <c r="F960" s="16" t="inlineStr">
        <is>
          <t>SA316T</t>
        </is>
      </c>
      <c r="G960" s="16" t="inlineStr">
        <is>
          <t>Linkbits Máquina Portátil de Karaoke y Altavoz para Karaoke，Altavoz Inalámbrico de 3" con TWS, micrófono incluido, radio FM, tarjeta Micro SD y puerto USB, luces RGB, recargable, potencia de 10W</t>
        </is>
      </c>
      <c r="H960" s="16" t="inlineStr">
        <is>
          <t>SA316T</t>
        </is>
      </c>
      <c r="I960" s="16" t="n">
        <v>1</v>
      </c>
      <c r="J960" s="17" t="n">
        <v>220</v>
      </c>
      <c r="K960" s="17" t="n">
        <v>232.9</v>
      </c>
      <c r="L960" s="17" t="n">
        <v>25.86</v>
      </c>
      <c r="M960" s="17" t="n">
        <v>0</v>
      </c>
      <c r="N960" s="17">
        <f>K960*0.08+L960*0.08</f>
        <v/>
      </c>
      <c r="O960" s="17">
        <f>-(K960*0.025+L960*0.025)</f>
        <v/>
      </c>
      <c r="P960" s="17">
        <f>32</f>
        <v/>
      </c>
      <c r="Q960" s="17">
        <f>J960+L960+N960+O960-P960-M960</f>
        <v/>
      </c>
    </row>
    <row r="961">
      <c r="A961" s="16" t="inlineStr">
        <is>
          <t>5.1-5.7</t>
        </is>
      </c>
      <c r="B961" s="16" t="inlineStr">
        <is>
          <t>PO-128-08090862101112559</t>
        </is>
      </c>
      <c r="C961" s="16" t="inlineStr">
        <is>
          <t>Delivered</t>
        </is>
      </c>
      <c r="D961" s="16" t="inlineStr">
        <is>
          <t>128-08090904044152559</t>
        </is>
      </c>
      <c r="E961" s="16" t="inlineStr">
        <is>
          <t>Delivered</t>
        </is>
      </c>
      <c r="F961" s="16" t="inlineStr">
        <is>
          <t>MCM-001A</t>
        </is>
      </c>
      <c r="G961" s="16" t="inlineStr">
        <is>
          <t>Musicord Altavoz Inalámbrico BT Portátil: ¡Sonido impactante, luces LED multicolores y 4 horas de autonomía! Compatible con TWS, FM, TF y USB – Imprescindible para fiestas y viajes</t>
        </is>
      </c>
      <c r="H961" s="16" t="inlineStr">
        <is>
          <t>AZUL</t>
        </is>
      </c>
      <c r="I961" s="16" t="n">
        <v>1</v>
      </c>
      <c r="J961" s="17" t="n">
        <v>51.07</v>
      </c>
      <c r="K961" s="17" t="n">
        <v>16.37</v>
      </c>
      <c r="L961" s="17" t="n">
        <v>25.86</v>
      </c>
      <c r="M961" s="17" t="n">
        <v>0</v>
      </c>
      <c r="N961" s="17">
        <f>K961*0.08+L961*0.08</f>
        <v/>
      </c>
      <c r="O961" s="17">
        <f>-(K961*0.025+L961*0.025)</f>
        <v/>
      </c>
      <c r="P961" s="17">
        <f>32</f>
        <v/>
      </c>
      <c r="Q961" s="17">
        <f>J961+L961+N961+O961-P961-M961</f>
        <v/>
      </c>
    </row>
    <row r="962">
      <c r="A962" s="16" t="inlineStr">
        <is>
          <t>5.1-5.7</t>
        </is>
      </c>
      <c r="B962" s="16" t="inlineStr">
        <is>
          <t>PO-128-08092824248952546</t>
        </is>
      </c>
      <c r="C962" s="16" t="inlineStr">
        <is>
          <t>Delivered</t>
        </is>
      </c>
      <c r="D962" s="16" t="inlineStr">
        <is>
          <t>128-08092782305912546</t>
        </is>
      </c>
      <c r="E962" s="16" t="inlineStr">
        <is>
          <t>Delivered</t>
        </is>
      </c>
      <c r="F962" s="16" t="inlineStr">
        <is>
          <t>KTS-1678R</t>
        </is>
      </c>
      <c r="G962" s="16" t="inlineStr">
        <is>
          <t>Bocina portátil Inalámbrico, de 3 pulgadas, tamaño de bolsillo, 170 g, con asa, compatible con TF, USB y Micro SD, con radio FM y función TWS (True Wireless Stereo), adecuada para relajarse en casa o viajar al aire libre.</t>
        </is>
      </c>
      <c r="H962" s="16" t="inlineStr">
        <is>
          <t>KTS-1678R</t>
        </is>
      </c>
      <c r="I962" s="16" t="n">
        <v>1</v>
      </c>
      <c r="J962" s="17" t="n">
        <v>42.5</v>
      </c>
      <c r="K962" s="17" t="n">
        <v>50.78</v>
      </c>
      <c r="L962" s="17" t="n">
        <v>25.86</v>
      </c>
      <c r="M962" s="17" t="n">
        <v>0</v>
      </c>
      <c r="N962" s="17">
        <f>K962*0.08+L962*0.08</f>
        <v/>
      </c>
      <c r="O962" s="17">
        <f>-(K962*0.025+L962*0.025)</f>
        <v/>
      </c>
      <c r="P962" s="17">
        <f>32</f>
        <v/>
      </c>
      <c r="Q962" s="17">
        <f>J962+L962+N962+O962-P962-M962</f>
        <v/>
      </c>
    </row>
    <row r="963">
      <c r="A963" s="16" t="inlineStr">
        <is>
          <t>5.1-5.7</t>
        </is>
      </c>
      <c r="B963" s="16" t="inlineStr">
        <is>
          <t>PO-128-07823128935030955</t>
        </is>
      </c>
      <c r="C963" s="16" t="inlineStr">
        <is>
          <t>Delivered</t>
        </is>
      </c>
      <c r="D963" s="16" t="inlineStr">
        <is>
          <t>128-07823076506230955</t>
        </is>
      </c>
      <c r="E963" s="16" t="inlineStr">
        <is>
          <t>Delivered</t>
        </is>
      </c>
      <c r="F963" s="16" t="inlineStr">
        <is>
          <t>MCM-001A</t>
        </is>
      </c>
      <c r="G963" s="16" t="inlineStr">
        <is>
          <t>Musicord Altavoz Inalámbrico BT Portátil: ¡Sonido impactante, luces LED multicolores y 4 horas de autonomía! Compatible con TWS, FM, TF y USB – Imprescindible para fiestas y viajes</t>
        </is>
      </c>
      <c r="H963" s="16" t="inlineStr">
        <is>
          <t>AZUL</t>
        </is>
      </c>
      <c r="I963" s="16" t="n">
        <v>1</v>
      </c>
      <c r="J963" s="17" t="n">
        <v>51.07</v>
      </c>
      <c r="K963" s="17" t="n">
        <v>41.63</v>
      </c>
      <c r="L963" s="17" t="n">
        <v>25.86</v>
      </c>
      <c r="M963" s="17" t="n">
        <v>0</v>
      </c>
      <c r="N963" s="17">
        <f>K963*0.08+L963*0.08</f>
        <v/>
      </c>
      <c r="O963" s="17">
        <f>-(K963*0.025+L963*0.025)</f>
        <v/>
      </c>
      <c r="P963" s="17">
        <f>32</f>
        <v/>
      </c>
      <c r="Q963" s="17">
        <f>J963+L963+N963+O963-P963-M963</f>
        <v/>
      </c>
    </row>
    <row r="964">
      <c r="A964" s="16" t="inlineStr">
        <is>
          <t>5.1-5.7</t>
        </is>
      </c>
      <c r="B964" s="16" t="inlineStr">
        <is>
          <t>PO-128-08177183703673069</t>
        </is>
      </c>
      <c r="C964" s="16" t="inlineStr">
        <is>
          <t>Delivered</t>
        </is>
      </c>
      <c r="D964" s="16" t="inlineStr">
        <is>
          <t>128-08177141760633069</t>
        </is>
      </c>
      <c r="E964" s="16" t="inlineStr">
        <is>
          <t>Delivered</t>
        </is>
      </c>
      <c r="F964" s="16" t="inlineStr">
        <is>
          <t>SA323T</t>
        </is>
      </c>
      <c r="G964" s="16" t="inlineStr">
        <is>
          <t>Linkbits Bocina Portátil Parlantes BT Portátiles con Iluminación de Ambiente | 1 Hora de Duración, FM, TWS, TF/Micro SD | Ideal para Hogar, Fiestas y Viajes</t>
        </is>
      </c>
      <c r="H964" s="16" t="inlineStr">
        <is>
          <t>SA323T</t>
        </is>
      </c>
      <c r="I964" s="16" t="n">
        <v>1</v>
      </c>
      <c r="J964" s="17" t="n">
        <v>46.8</v>
      </c>
      <c r="K964" s="17" t="n">
        <v>12.75</v>
      </c>
      <c r="L964" s="17" t="n">
        <v>25.86</v>
      </c>
      <c r="M964" s="17" t="n">
        <v>0</v>
      </c>
      <c r="N964" s="17">
        <f>K964*0.08+L964*0.08</f>
        <v/>
      </c>
      <c r="O964" s="17">
        <f>-(K964*0.025+L964*0.025)</f>
        <v/>
      </c>
      <c r="P964" s="17">
        <f>32</f>
        <v/>
      </c>
      <c r="Q964" s="17">
        <f>J964+L964+N964+O964-P964-M964</f>
        <v/>
      </c>
    </row>
    <row r="965">
      <c r="A965" s="16" t="inlineStr">
        <is>
          <t>5.1-5.7</t>
        </is>
      </c>
      <c r="B965" s="16" t="inlineStr">
        <is>
          <t>PO-128-08076956734072448</t>
        </is>
      </c>
      <c r="C965" s="16" t="inlineStr">
        <is>
          <t>Delivered</t>
        </is>
      </c>
      <c r="D965" s="16" t="inlineStr">
        <is>
          <t>128-08076998677112448</t>
        </is>
      </c>
      <c r="E965" s="16" t="inlineStr">
        <is>
          <t>Delivered</t>
        </is>
      </c>
      <c r="F965" s="16" t="inlineStr">
        <is>
          <t>AIR50W06-2P</t>
        </is>
      </c>
      <c r="G965" s="16" t="inlineStr">
        <is>
          <t>Link Bits Ventilador de piso de 16 pulgadas, 2 unidades, 3 velocidades, motor silencioso, flujo de aire fuerte, altura ajustable, oscilación amplia, ventilador eléctrico para el hogar, ideal para sala, recámara y oficina</t>
        </is>
      </c>
      <c r="H965" s="16" t="inlineStr">
        <is>
          <t>2PZ</t>
        </is>
      </c>
      <c r="I965" s="16" t="n">
        <v>1</v>
      </c>
      <c r="J965" s="17" t="n">
        <v>437.88</v>
      </c>
      <c r="K965" s="17" t="n">
        <v>571</v>
      </c>
      <c r="L965" s="17" t="n">
        <v>0</v>
      </c>
      <c r="M965" s="17" t="n">
        <v>0</v>
      </c>
      <c r="N965" s="17">
        <f>K965*0.08+L965*0.08</f>
        <v/>
      </c>
      <c r="O965" s="17">
        <f>-(K965*0.025+L965*0.025)</f>
        <v/>
      </c>
      <c r="P965" s="17">
        <f>32</f>
        <v/>
      </c>
      <c r="Q965" s="17">
        <f>J965+L965+N965+O965-P965-M965</f>
        <v/>
      </c>
    </row>
    <row r="966">
      <c r="A966" s="16" t="inlineStr">
        <is>
          <t>5.1-5.7</t>
        </is>
      </c>
      <c r="B966" s="16" t="inlineStr">
        <is>
          <t>PO-128-08220452352632811</t>
        </is>
      </c>
      <c r="C966" s="16" t="inlineStr">
        <is>
          <t>Delivered</t>
        </is>
      </c>
      <c r="D966" s="16" t="inlineStr">
        <is>
          <t>128-08220483809912811</t>
        </is>
      </c>
      <c r="E966" s="16" t="inlineStr">
        <is>
          <t>Delivered</t>
        </is>
      </c>
      <c r="F966" s="16" t="inlineStr">
        <is>
          <t>AIR50W06-2P</t>
        </is>
      </c>
      <c r="G966" s="16" t="inlineStr">
        <is>
          <t>Link Bits Ventilador de piso de 16 pulgadas, 2 unidades, 3 velocidades, motor silencioso, flujo de aire fuerte, altura ajustable, oscilación amplia, ventilador eléctrico para el hogar, ideal para sala, recámara y oficina</t>
        </is>
      </c>
      <c r="H966" s="16" t="inlineStr">
        <is>
          <t>2PZ</t>
        </is>
      </c>
      <c r="I966" s="16" t="n">
        <v>1</v>
      </c>
      <c r="J966" s="17" t="n">
        <v>437.88</v>
      </c>
      <c r="K966" s="17" t="n">
        <v>399.71</v>
      </c>
      <c r="L966" s="17" t="n">
        <v>0</v>
      </c>
      <c r="M966" s="17" t="n">
        <v>0</v>
      </c>
      <c r="N966" s="17">
        <f>K966*0.08+L966*0.08</f>
        <v/>
      </c>
      <c r="O966" s="17">
        <f>-(K966*0.025+L966*0.025)</f>
        <v/>
      </c>
      <c r="P966" s="17">
        <f>32</f>
        <v/>
      </c>
      <c r="Q966" s="17">
        <f>J966+L966+N966+O966-P966-M966</f>
        <v/>
      </c>
    </row>
    <row r="967">
      <c r="A967" s="16" t="inlineStr">
        <is>
          <t>5.1-5.7</t>
        </is>
      </c>
      <c r="B967" s="16" t="inlineStr">
        <is>
          <t>PO-128-08178635141753058</t>
        </is>
      </c>
      <c r="C967" s="16" t="inlineStr">
        <is>
          <t>Delivered</t>
        </is>
      </c>
      <c r="D967" s="16" t="inlineStr">
        <is>
          <t>128-08178677084793058</t>
        </is>
      </c>
      <c r="E967" s="16" t="inlineStr">
        <is>
          <t>Delivered</t>
        </is>
      </c>
      <c r="F967" s="16" t="inlineStr">
        <is>
          <t>VB347T</t>
        </is>
      </c>
      <c r="G96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967" s="16" t="inlineStr">
        <is>
          <t>1 pieza</t>
        </is>
      </c>
      <c r="I967" s="16" t="n">
        <v>1</v>
      </c>
      <c r="J967" s="17" t="n">
        <v>79.90000000000001</v>
      </c>
      <c r="K967" s="17" t="n">
        <v>94.51000000000001</v>
      </c>
      <c r="L967" s="17" t="n">
        <v>25.86</v>
      </c>
      <c r="M967" s="17" t="n">
        <v>0</v>
      </c>
      <c r="N967" s="17">
        <f>K967*0.08+L967*0.08</f>
        <v/>
      </c>
      <c r="O967" s="17">
        <f>-(K967*0.025+L967*0.025)</f>
        <v/>
      </c>
      <c r="P967" s="17">
        <f>32</f>
        <v/>
      </c>
      <c r="Q967" s="17">
        <f>J967+L967+N967+O967-P967-M967</f>
        <v/>
      </c>
    </row>
    <row r="968">
      <c r="A968" s="16" t="inlineStr">
        <is>
          <t>5.1-5.7</t>
        </is>
      </c>
      <c r="B968" s="16" t="inlineStr">
        <is>
          <t>PO-128-07824558080630944</t>
        </is>
      </c>
      <c r="C968" s="16" t="inlineStr">
        <is>
          <t>Delivered</t>
        </is>
      </c>
      <c r="D968" s="16" t="inlineStr">
        <is>
          <t>128-07824578806390944</t>
        </is>
      </c>
      <c r="E968" s="16" t="inlineStr">
        <is>
          <t>Delivered</t>
        </is>
      </c>
      <c r="F968" s="16" t="inlineStr">
        <is>
          <t>FA028</t>
        </is>
      </c>
      <c r="G968" s="16" t="inlineStr">
        <is>
          <t>Extractor de agua para garrafas de agua, compatible con carga USB, extractor de agua automático, práctico, con dos modos de toma de agua: manual y programado, ideal para dormitorios, salones, oficinas, uso al aire libre y otros escenarios.</t>
        </is>
      </c>
      <c r="H968" s="16" t="inlineStr">
        <is>
          <t>FA028</t>
        </is>
      </c>
      <c r="I968" s="16" t="n">
        <v>1</v>
      </c>
      <c r="J968" s="17" t="n">
        <v>35.77</v>
      </c>
      <c r="K968" s="17" t="n">
        <v>45.35</v>
      </c>
      <c r="L968" s="17" t="n">
        <v>25.86</v>
      </c>
      <c r="M968" s="17" t="n">
        <v>0</v>
      </c>
      <c r="N968" s="17">
        <f>K968*0.08+L968*0.08</f>
        <v/>
      </c>
      <c r="O968" s="17">
        <f>-(K968*0.025+L968*0.025)</f>
        <v/>
      </c>
      <c r="P968" s="17">
        <f>32</f>
        <v/>
      </c>
      <c r="Q968" s="17">
        <f>J968+L968+N968+O968-P968-M968</f>
        <v/>
      </c>
    </row>
    <row r="969">
      <c r="A969" s="16" t="inlineStr">
        <is>
          <t>5.1-5.7</t>
        </is>
      </c>
      <c r="B969" s="16" t="inlineStr">
        <is>
          <t>PO-128-07841414441590780</t>
        </is>
      </c>
      <c r="C969" s="16" t="inlineStr">
        <is>
          <t>Delivered</t>
        </is>
      </c>
      <c r="D969" s="16" t="inlineStr">
        <is>
          <t>128-07841362012790780</t>
        </is>
      </c>
      <c r="E969" s="16" t="inlineStr">
        <is>
          <t>Delivered</t>
        </is>
      </c>
      <c r="F969" s="16" t="inlineStr">
        <is>
          <t>MCM-001A</t>
        </is>
      </c>
      <c r="G969" s="16" t="inlineStr">
        <is>
          <t>Musicord Altavoz Inalámbrico BT Portátil: ¡Sonido impactante, luces LED multicolores y 4 horas de autonomía! Compatible con TWS, FM, TF y USB – Imprescindible para fiestas y viajes</t>
        </is>
      </c>
      <c r="H969" s="16" t="inlineStr">
        <is>
          <t>AZUL</t>
        </is>
      </c>
      <c r="I969" s="16" t="n">
        <v>1</v>
      </c>
      <c r="J969" s="17" t="n">
        <v>51.07</v>
      </c>
      <c r="K969" s="17" t="n">
        <v>47.58</v>
      </c>
      <c r="L969" s="17" t="n">
        <v>25.86</v>
      </c>
      <c r="M969" s="17" t="n">
        <v>0</v>
      </c>
      <c r="N969" s="17">
        <f>K969*0.08+L969*0.08</f>
        <v/>
      </c>
      <c r="O969" s="17">
        <f>-(K969*0.025+L969*0.025)</f>
        <v/>
      </c>
      <c r="P969" s="17">
        <f>32</f>
        <v/>
      </c>
      <c r="Q969" s="17">
        <f>J969+L969+N969+O969-P969-M969</f>
        <v/>
      </c>
    </row>
    <row r="970">
      <c r="A970" s="16" t="inlineStr">
        <is>
          <t>5.1-5.7</t>
        </is>
      </c>
      <c r="B970" s="16" t="inlineStr">
        <is>
          <t>PO-128-13507023631994066</t>
        </is>
      </c>
      <c r="C970" s="16" t="inlineStr">
        <is>
          <t>Delivered</t>
        </is>
      </c>
      <c r="D970" s="16" t="inlineStr">
        <is>
          <t>128-13507009214074066</t>
        </is>
      </c>
      <c r="E970" s="16" t="inlineStr">
        <is>
          <t>Delivered</t>
        </is>
      </c>
      <c r="F970" s="16" t="inlineStr">
        <is>
          <t>MCM-001G</t>
        </is>
      </c>
      <c r="G970" s="16" t="inlineStr">
        <is>
          <t>Musicord Altavoz Inalámbrico BT Portátil: ¡Sonido impactante, luces LED multicolores y 4 horas de autonomía! Compatible con TWS, FM, TF y USB – Imprescindible para fiestas y viajes</t>
        </is>
      </c>
      <c r="H970" s="16" t="inlineStr">
        <is>
          <t>GRIS</t>
        </is>
      </c>
      <c r="I970" s="16" t="n">
        <v>1</v>
      </c>
      <c r="J970" s="17" t="n">
        <v>51.07</v>
      </c>
      <c r="K970" s="17" t="n">
        <v>57.08</v>
      </c>
      <c r="L970" s="17" t="n">
        <v>25.86</v>
      </c>
      <c r="M970" s="17" t="n">
        <v>0</v>
      </c>
      <c r="N970" s="17">
        <f>K970*0.08+L970*0.08</f>
        <v/>
      </c>
      <c r="O970" s="17">
        <f>-(K970*0.025+L970*0.025)</f>
        <v/>
      </c>
      <c r="P970" s="17">
        <f>32</f>
        <v/>
      </c>
      <c r="Q970" s="17">
        <f>J970+L970+N970+O970-P970-M970</f>
        <v/>
      </c>
    </row>
    <row r="971">
      <c r="A971" s="16" t="inlineStr">
        <is>
          <t>5.1-5.7</t>
        </is>
      </c>
      <c r="B971" s="16" t="inlineStr">
        <is>
          <t>PO-128-13467627935353087</t>
        </is>
      </c>
      <c r="C971" s="16" t="inlineStr">
        <is>
          <t>Delivered</t>
        </is>
      </c>
      <c r="D971" s="16" t="inlineStr">
        <is>
          <t>128-13467617449593087</t>
        </is>
      </c>
      <c r="E971" s="16" t="inlineStr">
        <is>
          <t>Delivered</t>
        </is>
      </c>
      <c r="F971" s="16" t="inlineStr">
        <is>
          <t>LB02235-azul</t>
        </is>
      </c>
      <c r="G971" s="16" t="inlineStr">
        <is>
          <t>Audífonos Inalámbricos para la Cabeza, Recargables y Multifuncionales - Conectan a Varios Dispositivos, soportan Radio FM, Tarjeta TF y AUX - 4 Horas de Reproducción Musical - Ideal para Trabajo Cotidiano, Juegos y Estudio</t>
        </is>
      </c>
      <c r="H971" s="16" t="inlineStr">
        <is>
          <t>AZUL</t>
        </is>
      </c>
      <c r="I971" s="16" t="n">
        <v>1</v>
      </c>
      <c r="J971" s="17" t="n">
        <v>37.73</v>
      </c>
      <c r="K971" s="17" t="n">
        <v>50.84</v>
      </c>
      <c r="L971" s="17" t="n">
        <v>25.86</v>
      </c>
      <c r="M971" s="17" t="n">
        <v>0</v>
      </c>
      <c r="N971" s="17">
        <f>K971*0.08+L971*0.08</f>
        <v/>
      </c>
      <c r="O971" s="17">
        <f>-(K971*0.025+L971*0.025)</f>
        <v/>
      </c>
      <c r="P971" s="17">
        <f>32</f>
        <v/>
      </c>
      <c r="Q971" s="17">
        <f>J971+L971+N971+O971-P971-M971</f>
        <v/>
      </c>
    </row>
    <row r="972">
      <c r="A972" s="16" t="inlineStr">
        <is>
          <t>5.1-5.7</t>
        </is>
      </c>
      <c r="B972" s="16" t="inlineStr">
        <is>
          <t>PO-128-02293660124790249</t>
        </is>
      </c>
      <c r="C972" s="16" t="inlineStr">
        <is>
          <t>Delivered</t>
        </is>
      </c>
      <c r="D972" s="16" t="inlineStr">
        <is>
          <t>128-02293715175030249</t>
        </is>
      </c>
      <c r="E972" s="16" t="inlineStr">
        <is>
          <t>Delivered</t>
        </is>
      </c>
      <c r="F972" s="16" t="inlineStr">
        <is>
          <t>LB02235-azul</t>
        </is>
      </c>
      <c r="G972" s="16" t="inlineStr">
        <is>
          <t>Audífonos Inalámbricos para la Cabeza, Recargables y Multifuncionales - Conectan a Varios Dispositivos, soportan Radio FM, Tarjeta TF y AUX - 4 Horas de Reproducción Musical - Ideal para Trabajo Cotidiano, Juegos y Estudio</t>
        </is>
      </c>
      <c r="H972" s="16" t="inlineStr">
        <is>
          <t>AZUL</t>
        </is>
      </c>
      <c r="I972" s="16" t="n">
        <v>1</v>
      </c>
      <c r="J972" s="17" t="n">
        <v>37.73</v>
      </c>
      <c r="K972" s="17" t="n">
        <v>50.84</v>
      </c>
      <c r="L972" s="17" t="n">
        <v>25.86</v>
      </c>
      <c r="M972" s="17" t="n">
        <v>0</v>
      </c>
      <c r="N972" s="17">
        <f>K972*0.08+L972*0.08</f>
        <v/>
      </c>
      <c r="O972" s="17">
        <f>-(K972*0.025+L972*0.025)</f>
        <v/>
      </c>
      <c r="P972" s="17">
        <f>32</f>
        <v/>
      </c>
      <c r="Q972" s="17">
        <f>J972+L972+N972+O972-P972-M972</f>
        <v/>
      </c>
    </row>
    <row r="973">
      <c r="A973" s="16" t="inlineStr">
        <is>
          <t>5.15-5.21</t>
        </is>
      </c>
      <c r="B973" s="16" t="inlineStr">
        <is>
          <t>PO-128-08984670351993246</t>
        </is>
      </c>
      <c r="C973" s="16" t="inlineStr">
        <is>
          <t>Shipped</t>
        </is>
      </c>
      <c r="D973" s="16" t="inlineStr">
        <is>
          <t>128-08984628408953246</t>
        </is>
      </c>
      <c r="E973" s="16" t="inlineStr">
        <is>
          <t>Shipped</t>
        </is>
      </c>
      <c r="F973" s="16" t="inlineStr">
        <is>
          <t>MCM-001N</t>
        </is>
      </c>
      <c r="G973" s="16" t="inlineStr">
        <is>
          <t>Musicord Altavoz Inalámbrico BT Portátil: ¡Sonido impactante, luces LED multicolores y 4 horas de autonomía! Compatible con TWS, FM, TF y USB – Imprescindible para fiestas y viajes</t>
        </is>
      </c>
      <c r="H973" s="16" t="inlineStr">
        <is>
          <t>NEGRO</t>
        </is>
      </c>
      <c r="I973" s="16" t="n">
        <v>1</v>
      </c>
      <c r="J973" s="17" t="n">
        <v>61</v>
      </c>
      <c r="K973" s="17" t="n">
        <v>25.69</v>
      </c>
      <c r="L973" s="17" t="n">
        <v>25.86</v>
      </c>
      <c r="M973" s="17" t="n">
        <v>0</v>
      </c>
      <c r="N973" s="17">
        <f>K973*0.08+L973*0.08</f>
        <v/>
      </c>
      <c r="O973" s="17">
        <f>-(K973*0.025+L973*0.025)</f>
        <v/>
      </c>
      <c r="P973" s="17">
        <f>32</f>
        <v/>
      </c>
      <c r="Q973" s="17">
        <f>J973+L973+N973+O973-P973-M973</f>
        <v/>
      </c>
    </row>
    <row r="974">
      <c r="A974" s="16" t="inlineStr">
        <is>
          <t>5.15-5.21</t>
        </is>
      </c>
      <c r="B974" s="16" t="inlineStr">
        <is>
          <t>PO-128-09275052918392669</t>
        </is>
      </c>
      <c r="C974" s="16" t="inlineStr">
        <is>
          <t>Shipped</t>
        </is>
      </c>
      <c r="D974" s="16" t="inlineStr">
        <is>
          <t>128-09275105347192669</t>
        </is>
      </c>
      <c r="E974" s="16" t="inlineStr">
        <is>
          <t>Shipped</t>
        </is>
      </c>
      <c r="F974" s="16" t="inlineStr">
        <is>
          <t>LB02235-negro</t>
        </is>
      </c>
      <c r="G974" s="16" t="inlineStr">
        <is>
          <t>Audífonos Inalámbricos para la Cabeza, Recargables y Multifuncionales - Conectan a Varios Dispositivos, soportan Radio FM, Tarjeta TF y AUX - 4 Horas de Reproducción Musical - Ideal para Trabajo Cotidiano, Juegos y Estudio</t>
        </is>
      </c>
      <c r="H974" s="16" t="inlineStr">
        <is>
          <t>NEGRO</t>
        </is>
      </c>
      <c r="I974" s="16" t="n">
        <v>1</v>
      </c>
      <c r="J974" s="17" t="n">
        <v>36.8</v>
      </c>
      <c r="K974" s="17" t="n">
        <v>49.91</v>
      </c>
      <c r="L974" s="17" t="n">
        <v>25.86</v>
      </c>
      <c r="M974" s="17" t="n">
        <v>0</v>
      </c>
      <c r="N974" s="17">
        <f>K974*0.08+L974*0.08</f>
        <v/>
      </c>
      <c r="O974" s="17">
        <f>-(K974*0.025+L974*0.025)</f>
        <v/>
      </c>
      <c r="P974" s="17">
        <f>32</f>
        <v/>
      </c>
      <c r="Q974" s="17">
        <f>J974+L974+N974+O974-P974-M974</f>
        <v/>
      </c>
    </row>
    <row r="975">
      <c r="A975" s="16" t="inlineStr">
        <is>
          <t>5.15-5.21</t>
        </is>
      </c>
      <c r="B975" s="16" t="inlineStr">
        <is>
          <t>PO-128-09169882506872078</t>
        </is>
      </c>
      <c r="C975" s="16" t="inlineStr">
        <is>
          <t>Shipped</t>
        </is>
      </c>
      <c r="D975" s="16" t="inlineStr">
        <is>
          <t>128-09169852360312078</t>
        </is>
      </c>
      <c r="E975" s="16" t="inlineStr">
        <is>
          <t>Shipped</t>
        </is>
      </c>
      <c r="F975" s="16" t="inlineStr">
        <is>
          <t>SA325T</t>
        </is>
      </c>
      <c r="G975" s="16" t="inlineStr">
        <is>
          <t>Subwoofer Portátil Inalámbrico con Luces RGB, Sonido de Alta Potencia y Batería Duradera, TWS TF USB, Perfecto para Campamento Fiestas y Entretenimiento en Casa</t>
        </is>
      </c>
      <c r="H975" s="16" t="inlineStr">
        <is>
          <t>NEGRO</t>
        </is>
      </c>
      <c r="I975" s="16" t="n">
        <v>2</v>
      </c>
      <c r="J975" s="17" t="n">
        <v>76</v>
      </c>
      <c r="K975" s="17" t="n">
        <v>94.08</v>
      </c>
      <c r="L975" s="17" t="n">
        <v>25.86</v>
      </c>
      <c r="M975" s="17" t="n">
        <v>0</v>
      </c>
      <c r="N975" s="17">
        <f>K975*0.08+L975*0.08</f>
        <v/>
      </c>
      <c r="O975" s="17">
        <f>-(K975*0.025+L975*0.025)</f>
        <v/>
      </c>
      <c r="P975" s="17">
        <f>32</f>
        <v/>
      </c>
      <c r="Q975" s="17">
        <f>J975+L975+N975+O975-P975-M975</f>
        <v/>
      </c>
    </row>
    <row r="976">
      <c r="A976" s="16" t="inlineStr">
        <is>
          <t>5.15-5.21</t>
        </is>
      </c>
      <c r="B976" s="16" t="inlineStr">
        <is>
          <t>PO-128-09318391480951387</t>
        </is>
      </c>
      <c r="C976" s="16" t="inlineStr">
        <is>
          <t>Shipped</t>
        </is>
      </c>
      <c r="D976" s="16" t="inlineStr">
        <is>
          <t>128-09318400000631387</t>
        </is>
      </c>
      <c r="E976" s="16" t="inlineStr">
        <is>
          <t>Shipped</t>
        </is>
      </c>
      <c r="F976" s="16" t="inlineStr">
        <is>
          <t>VA384T-A</t>
        </is>
      </c>
      <c r="G976" s="16" t="inlineStr">
        <is>
          <t>Bocina Portátil Bluetooth de 3 Pulgadas con Radio FM, USB TF TWS, Sonido Estéreo 5W, Bocina Recargable para Hogar Exterior Viaje Fiesta Camping</t>
        </is>
      </c>
      <c r="H976" s="16" t="inlineStr">
        <is>
          <t>AZUL</t>
        </is>
      </c>
      <c r="I976" s="16" t="n">
        <v>1</v>
      </c>
      <c r="J976" s="17" t="n">
        <v>47.99</v>
      </c>
      <c r="K976" s="17" t="n">
        <v>58.7</v>
      </c>
      <c r="L976" s="17" t="n">
        <v>25.86</v>
      </c>
      <c r="M976" s="17" t="n">
        <v>0</v>
      </c>
      <c r="N976" s="17">
        <f>K976*0.08+L976*0.08</f>
        <v/>
      </c>
      <c r="O976" s="17">
        <f>-(K976*0.025+L976*0.025)</f>
        <v/>
      </c>
      <c r="P976" s="17">
        <f>32</f>
        <v/>
      </c>
      <c r="Q976" s="17">
        <f>J976+L976+N976+O976-P976-M976</f>
        <v/>
      </c>
    </row>
    <row r="977">
      <c r="A977" s="16" t="inlineStr">
        <is>
          <t>5.15-5.21</t>
        </is>
      </c>
      <c r="B977" s="16" t="inlineStr">
        <is>
          <t>PO-128-09181938872952134</t>
        </is>
      </c>
      <c r="C977" s="16" t="inlineStr">
        <is>
          <t>Shipped</t>
        </is>
      </c>
      <c r="D977" s="16" t="inlineStr">
        <is>
          <t>128-09181991301752134</t>
        </is>
      </c>
      <c r="E977" s="16" t="inlineStr">
        <is>
          <t>Shipped</t>
        </is>
      </c>
      <c r="F977" s="16" t="inlineStr">
        <is>
          <t>LB02235-blanco</t>
        </is>
      </c>
      <c r="G977" s="16" t="inlineStr">
        <is>
          <t>Audífonos Inalámbricos para la Cabeza, Recargables y Multifuncionales - Conectan a Varios Dispositivos, soportan Radio FM, Tarjeta TF y AUX - 4 Horas de Reproducción Musical - Ideal para Trabajo Cotidiano, Juegos y Estudio</t>
        </is>
      </c>
      <c r="H977" s="16" t="inlineStr">
        <is>
          <t>BLANCO</t>
        </is>
      </c>
      <c r="I977" s="16" t="n">
        <v>1</v>
      </c>
      <c r="J977" s="17" t="n">
        <v>36.8</v>
      </c>
      <c r="K977" s="17" t="n">
        <v>49.91</v>
      </c>
      <c r="L977" s="17" t="n">
        <v>25.86</v>
      </c>
      <c r="M977" s="17" t="n">
        <v>0</v>
      </c>
      <c r="N977" s="17">
        <f>K977*0.08+L977*0.08</f>
        <v/>
      </c>
      <c r="O977" s="17">
        <f>-(K977*0.025+L977*0.025)</f>
        <v/>
      </c>
      <c r="P977" s="17">
        <f>32</f>
        <v/>
      </c>
      <c r="Q977" s="17">
        <f>J977+L977+N977+O977-P977-M977</f>
        <v/>
      </c>
    </row>
    <row r="978">
      <c r="A978" s="16" t="inlineStr">
        <is>
          <t>5.15-5.21</t>
        </is>
      </c>
      <c r="B978" s="16" t="inlineStr">
        <is>
          <t>PO-128-09378995436151985</t>
        </is>
      </c>
      <c r="C978" s="16" t="inlineStr">
        <is>
          <t>Shipped</t>
        </is>
      </c>
      <c r="D978" s="16" t="inlineStr">
        <is>
          <t>128-09379016407671985</t>
        </is>
      </c>
      <c r="E978" s="16" t="inlineStr">
        <is>
          <t>Shipped</t>
        </is>
      </c>
      <c r="F978" s="16" t="inlineStr">
        <is>
          <t>EM04W36</t>
        </is>
      </c>
      <c r="G97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978" s="16" t="inlineStr">
        <is>
          <t>1 pieza</t>
        </is>
      </c>
      <c r="I978" s="16" t="n">
        <v>1</v>
      </c>
      <c r="J978" s="17" t="n">
        <v>62</v>
      </c>
      <c r="K978" s="17" t="n">
        <v>71.29000000000001</v>
      </c>
      <c r="L978" s="17" t="n">
        <v>7.88</v>
      </c>
      <c r="M978" s="17" t="n">
        <v>0</v>
      </c>
      <c r="N978" s="17">
        <f>K978*0.08+L978*0.08</f>
        <v/>
      </c>
      <c r="O978" s="17">
        <f>-(K978*0.025+L978*0.025)</f>
        <v/>
      </c>
      <c r="P978" s="17">
        <f>32</f>
        <v/>
      </c>
      <c r="Q978" s="17">
        <f>J978+L978+N978+O978-P978-M978</f>
        <v/>
      </c>
    </row>
    <row r="979">
      <c r="A979" s="16" t="inlineStr">
        <is>
          <t>5.15-5.21</t>
        </is>
      </c>
      <c r="B979" s="16" t="inlineStr">
        <is>
          <t>PO-128-09378995436151985</t>
        </is>
      </c>
      <c r="C979" s="16" t="inlineStr">
        <is>
          <t>Shipped</t>
        </is>
      </c>
      <c r="D979" s="16" t="inlineStr">
        <is>
          <t>128-09379000679031985</t>
        </is>
      </c>
      <c r="E979" s="16" t="inlineStr">
        <is>
          <t>Shipped</t>
        </is>
      </c>
      <c r="F979" s="16" t="inlineStr">
        <is>
          <t>EM04W36-2PZS</t>
        </is>
      </c>
      <c r="G979"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979" s="16" t="inlineStr">
        <is>
          <t>2 piezas</t>
        </is>
      </c>
      <c r="I979" s="16" t="n">
        <v>1</v>
      </c>
      <c r="J979" s="17" t="n">
        <v>125</v>
      </c>
      <c r="K979" s="17" t="n">
        <v>162.46</v>
      </c>
      <c r="L979" s="17" t="n">
        <v>17.98</v>
      </c>
      <c r="M979" s="17" t="n">
        <v>0</v>
      </c>
      <c r="N979" s="17">
        <f>K979*0.08+L979*0.08</f>
        <v/>
      </c>
      <c r="O979" s="17">
        <f>-(K979*0.025+L979*0.025)</f>
        <v/>
      </c>
      <c r="P979" s="17">
        <f>32</f>
        <v/>
      </c>
      <c r="Q979" s="17">
        <f>J979+L979+N979+O979-P979-M979</f>
        <v/>
      </c>
    </row>
    <row r="980">
      <c r="A980" s="16" t="inlineStr">
        <is>
          <t>5.15-5.21</t>
        </is>
      </c>
      <c r="B980" s="16" t="inlineStr">
        <is>
          <t>PO-128-09021349074553989</t>
        </is>
      </c>
      <c r="C980" s="16" t="inlineStr">
        <is>
          <t>Shipped</t>
        </is>
      </c>
      <c r="D980" s="16" t="inlineStr">
        <is>
          <t>128-09021438203513989</t>
        </is>
      </c>
      <c r="E980" s="16" t="inlineStr">
        <is>
          <t>Shipped</t>
        </is>
      </c>
      <c r="F980" s="16" t="inlineStr">
        <is>
          <t>KTS-1678V</t>
        </is>
      </c>
      <c r="G980" s="16" t="inlineStr">
        <is>
          <t>Bocina portátil Inalámbrico, de 3 pulgadas, tamaño de bolsillo, 170 g, con asa, compatible con TF, USB y Micro SD, con radio FM y función TWS (True Wireless Stereo), adecuada para relajarse en casa o viajar al aire libre.</t>
        </is>
      </c>
      <c r="H980" s="16" t="inlineStr">
        <is>
          <t>KTS-1678V</t>
        </is>
      </c>
      <c r="I980" s="16" t="n">
        <v>5</v>
      </c>
      <c r="J980" s="17" t="n">
        <v>212.5</v>
      </c>
      <c r="K980" s="17" t="n">
        <v>246.35</v>
      </c>
      <c r="L980" s="17" t="n">
        <v>0</v>
      </c>
      <c r="M980" s="17" t="n">
        <v>0</v>
      </c>
      <c r="N980" s="17">
        <f>K980*0.08+L980*0.08</f>
        <v/>
      </c>
      <c r="O980" s="17">
        <f>-(K980*0.025+L980*0.025)</f>
        <v/>
      </c>
      <c r="P980" s="17">
        <f>32</f>
        <v/>
      </c>
      <c r="Q980" s="17">
        <f>J980+L980+N980+O980-P980-M980</f>
        <v/>
      </c>
    </row>
    <row r="981">
      <c r="A981" s="16" t="inlineStr">
        <is>
          <t>5.15-5.21</t>
        </is>
      </c>
      <c r="B981" s="16" t="inlineStr">
        <is>
          <t>PO-128-09021349074553989</t>
        </is>
      </c>
      <c r="C981" s="16" t="inlineStr">
        <is>
          <t>Shipped</t>
        </is>
      </c>
      <c r="D981" s="16" t="inlineStr">
        <is>
          <t>128-09021411989113989</t>
        </is>
      </c>
      <c r="E981" s="16" t="inlineStr">
        <is>
          <t>Shipped</t>
        </is>
      </c>
      <c r="F981" s="16" t="inlineStr">
        <is>
          <t>LB02235-rojo</t>
        </is>
      </c>
      <c r="G981" s="16" t="inlineStr">
        <is>
          <t>Audífonos Inalámbricos para la Cabeza, Recargables y Multifuncionales - Conectan a Varios Dispositivos, soportan Radio FM, Tarjeta TF y AUX - 4 Horas de Reproducción Musical - Ideal para Trabajo Cotidiano, Juegos y Estudio</t>
        </is>
      </c>
      <c r="H981" s="16" t="inlineStr">
        <is>
          <t>ROJO</t>
        </is>
      </c>
      <c r="I981" s="16" t="n">
        <v>7</v>
      </c>
      <c r="J981" s="17" t="n">
        <v>257.6</v>
      </c>
      <c r="K981" s="17" t="n">
        <v>339.01</v>
      </c>
      <c r="L981" s="17" t="n">
        <v>0</v>
      </c>
      <c r="M981" s="17" t="n">
        <v>0</v>
      </c>
      <c r="N981" s="17">
        <f>K981*0.08+L981*0.08</f>
        <v/>
      </c>
      <c r="O981" s="17">
        <f>-(K981*0.025+L981*0.025)</f>
        <v/>
      </c>
      <c r="P981" s="17">
        <f>32</f>
        <v/>
      </c>
      <c r="Q981" s="17">
        <f>J981+L981+N981+O981-P981-M981</f>
        <v/>
      </c>
    </row>
    <row r="982">
      <c r="A982" s="16" t="inlineStr">
        <is>
          <t>5.15-5.21</t>
        </is>
      </c>
      <c r="B982" s="16" t="inlineStr">
        <is>
          <t>PO-128-09021349074553989</t>
        </is>
      </c>
      <c r="C982" s="16" t="inlineStr">
        <is>
          <t>Shipped</t>
        </is>
      </c>
      <c r="D982" s="16" t="inlineStr">
        <is>
          <t>128-09021370046073989</t>
        </is>
      </c>
      <c r="E982" s="16" t="inlineStr">
        <is>
          <t>Shipped</t>
        </is>
      </c>
      <c r="F982" s="16" t="inlineStr">
        <is>
          <t>KTS-1678Y</t>
        </is>
      </c>
      <c r="G982" s="16" t="inlineStr">
        <is>
          <t>Bocina portátil Inalámbrico, de 3 pulgadas, tamaño de bolsillo, 170 g, con asa, compatible con TF, USB y Micro SD, con radio FM y función TWS (True Wireless Stereo), adecuada para relajarse en casa o viajar al aire libre.</t>
        </is>
      </c>
      <c r="H982" s="16" t="inlineStr">
        <is>
          <t>KTS-1678Y</t>
        </is>
      </c>
      <c r="I982" s="16" t="n">
        <v>5</v>
      </c>
      <c r="J982" s="17" t="n">
        <v>212.5</v>
      </c>
      <c r="K982" s="17" t="n">
        <v>236.34</v>
      </c>
      <c r="L982" s="17" t="n">
        <v>0</v>
      </c>
      <c r="M982" s="17" t="n">
        <v>0</v>
      </c>
      <c r="N982" s="17">
        <f>K982*0.08+L982*0.08</f>
        <v/>
      </c>
      <c r="O982" s="17">
        <f>-(K982*0.025+L982*0.025)</f>
        <v/>
      </c>
      <c r="P982" s="17">
        <f>32</f>
        <v/>
      </c>
      <c r="Q982" s="17">
        <f>J982+L982+N982+O982-P982-M982</f>
        <v/>
      </c>
    </row>
    <row r="983">
      <c r="A983" s="16" t="inlineStr">
        <is>
          <t>5.15-5.21</t>
        </is>
      </c>
      <c r="B983" s="16" t="inlineStr">
        <is>
          <t>PO-128-09021349074553989</t>
        </is>
      </c>
      <c r="C983" s="16" t="inlineStr">
        <is>
          <t>Shipped</t>
        </is>
      </c>
      <c r="D983" s="16" t="inlineStr">
        <is>
          <t>128-09021391017593989</t>
        </is>
      </c>
      <c r="E983" s="16" t="inlineStr">
        <is>
          <t>Shipped</t>
        </is>
      </c>
      <c r="F983" s="16" t="inlineStr">
        <is>
          <t>LB02235-blanco</t>
        </is>
      </c>
      <c r="G983" s="16" t="inlineStr">
        <is>
          <t>Audífonos Inalámbricos para la Cabeza, Recargables y Multifuncionales - Conectan a Varios Dispositivos, soportan Radio FM, Tarjeta TF y AUX - 4 Horas de Reproducción Musical - Ideal para Trabajo Cotidiano, Juegos y Estudio</t>
        </is>
      </c>
      <c r="H983" s="16" t="inlineStr">
        <is>
          <t>BLANCO</t>
        </is>
      </c>
      <c r="I983" s="16" t="n">
        <v>7</v>
      </c>
      <c r="J983" s="17" t="n">
        <v>257.6</v>
      </c>
      <c r="K983" s="17" t="n">
        <v>339.01</v>
      </c>
      <c r="L983" s="17" t="n">
        <v>0</v>
      </c>
      <c r="M983" s="17" t="n">
        <v>0</v>
      </c>
      <c r="N983" s="17">
        <f>K983*0.08+L983*0.08</f>
        <v/>
      </c>
      <c r="O983" s="17">
        <f>-(K983*0.025+L983*0.025)</f>
        <v/>
      </c>
      <c r="P983" s="17">
        <f>32</f>
        <v/>
      </c>
      <c r="Q983" s="17">
        <f>J983+L983+N983+O983-P983-M983</f>
        <v/>
      </c>
    </row>
    <row r="984">
      <c r="A984" s="16" t="inlineStr">
        <is>
          <t>5.15-5.21</t>
        </is>
      </c>
      <c r="B984" s="16" t="inlineStr">
        <is>
          <t>PO-128-09021349074553989</t>
        </is>
      </c>
      <c r="C984" s="16" t="inlineStr">
        <is>
          <t>Shipped</t>
        </is>
      </c>
      <c r="D984" s="16" t="inlineStr">
        <is>
          <t>128-09021328103033989</t>
        </is>
      </c>
      <c r="E984" s="16" t="inlineStr">
        <is>
          <t>Shipped</t>
        </is>
      </c>
      <c r="F984" s="16" t="inlineStr">
        <is>
          <t>KTS-1678R</t>
        </is>
      </c>
      <c r="G984" s="16" t="inlineStr">
        <is>
          <t>Bocina portátil Inalámbrico, de 3 pulgadas, tamaño de bolsillo, 170 g, con asa, compatible con TF, USB y Micro SD, con radio FM y función TWS (True Wireless Stereo), adecuada para relajarse en casa o viajar al aire libre.</t>
        </is>
      </c>
      <c r="H984" s="16" t="inlineStr">
        <is>
          <t>KTS-1678R</t>
        </is>
      </c>
      <c r="I984" s="16" t="n">
        <v>5</v>
      </c>
      <c r="J984" s="17" t="n">
        <v>212.5</v>
      </c>
      <c r="K984" s="17" t="n">
        <v>246.34</v>
      </c>
      <c r="L984" s="17" t="n">
        <v>0</v>
      </c>
      <c r="M984" s="17" t="n">
        <v>0</v>
      </c>
      <c r="N984" s="17">
        <f>K984*0.08+L984*0.08</f>
        <v/>
      </c>
      <c r="O984" s="17">
        <f>-(K984*0.025+L984*0.025)</f>
        <v/>
      </c>
      <c r="P984" s="17">
        <f>32</f>
        <v/>
      </c>
      <c r="Q984" s="17">
        <f>J984+L984+N984+O984-P984-M984</f>
        <v/>
      </c>
    </row>
    <row r="985">
      <c r="A985" s="16" t="inlineStr">
        <is>
          <t>5.15-5.21</t>
        </is>
      </c>
      <c r="B985" s="16" t="inlineStr">
        <is>
          <t>PO-128-09279853537911422</t>
        </is>
      </c>
      <c r="C985" s="16" t="inlineStr">
        <is>
          <t>Shipped</t>
        </is>
      </c>
      <c r="D985" s="16" t="inlineStr">
        <is>
          <t>128-09279958395511422</t>
        </is>
      </c>
      <c r="E985" s="16" t="inlineStr">
        <is>
          <t>Shipped</t>
        </is>
      </c>
      <c r="F985" s="16" t="inlineStr">
        <is>
          <t>MB-185N</t>
        </is>
      </c>
      <c r="G985" s="16" t="inlineStr">
        <is>
          <t>Bocina Radio FM/Reproductor, Compatible con Tarjeta TF, USB, Bluetooth, Aplicable para celular, computadora, Ipad y consola.</t>
        </is>
      </c>
      <c r="H985" s="16" t="inlineStr">
        <is>
          <t>NEGRO/MB-185</t>
        </is>
      </c>
      <c r="I985" s="16" t="n">
        <v>1</v>
      </c>
      <c r="J985" s="17" t="n">
        <v>75.5</v>
      </c>
      <c r="K985" s="17" t="n">
        <v>5.68</v>
      </c>
      <c r="L985" s="17" t="n">
        <v>25.86</v>
      </c>
      <c r="M985" s="17" t="n">
        <v>0</v>
      </c>
      <c r="N985" s="17">
        <f>K985*0.08+L985*0.08</f>
        <v/>
      </c>
      <c r="O985" s="17">
        <f>-(K985*0.025+L985*0.025)</f>
        <v/>
      </c>
      <c r="P985" s="17">
        <f>32</f>
        <v/>
      </c>
      <c r="Q985" s="17">
        <f>J985+L985+N985+O985-P985-M985</f>
        <v/>
      </c>
    </row>
    <row r="986">
      <c r="A986" s="16" t="inlineStr">
        <is>
          <t>5.15-5.21</t>
        </is>
      </c>
      <c r="B986" s="16" t="inlineStr">
        <is>
          <t>PO-128-09250692137592812</t>
        </is>
      </c>
      <c r="C986" s="16" t="inlineStr">
        <is>
          <t>Shipped</t>
        </is>
      </c>
      <c r="D986" s="16" t="inlineStr">
        <is>
          <t>128-09250734080632812</t>
        </is>
      </c>
      <c r="E986" s="16" t="inlineStr">
        <is>
          <t>Shipped</t>
        </is>
      </c>
      <c r="F986" s="16" t="inlineStr">
        <is>
          <t>SA325T</t>
        </is>
      </c>
      <c r="G986" s="16" t="inlineStr">
        <is>
          <t>Subwoofer Portátil Inalámbrico con Luces RGB, Sonido de Alta Potencia y Batería Duradera, TWS TF USB, Perfecto para Campamento Fiestas y Entretenimiento en Casa</t>
        </is>
      </c>
      <c r="H986" s="16" t="inlineStr">
        <is>
          <t>NEGRO</t>
        </is>
      </c>
      <c r="I986" s="16" t="n">
        <v>1</v>
      </c>
      <c r="J986" s="17" t="n">
        <v>38</v>
      </c>
      <c r="K986" s="17" t="n">
        <v>3.94</v>
      </c>
      <c r="L986" s="17" t="n">
        <v>25.86</v>
      </c>
      <c r="M986" s="17" t="n">
        <v>0</v>
      </c>
      <c r="N986" s="17">
        <f>K986*0.08+L986*0.08</f>
        <v/>
      </c>
      <c r="O986" s="17">
        <f>-(K986*0.025+L986*0.025)</f>
        <v/>
      </c>
      <c r="P986" s="17">
        <f>32</f>
        <v/>
      </c>
      <c r="Q986" s="17">
        <f>J986+L986+N986+O986-P986-M986</f>
        <v/>
      </c>
    </row>
    <row r="987">
      <c r="A987" s="16" t="inlineStr">
        <is>
          <t>5.15-5.21</t>
        </is>
      </c>
      <c r="B987" s="16" t="inlineStr">
        <is>
          <t>PO-128-08976431032953425</t>
        </is>
      </c>
      <c r="C987" s="16" t="inlineStr">
        <is>
          <t>Shipped</t>
        </is>
      </c>
      <c r="D987" s="16" t="inlineStr">
        <is>
          <t>128-08976441518713425</t>
        </is>
      </c>
      <c r="E987" s="16" t="inlineStr">
        <is>
          <t>Shipped</t>
        </is>
      </c>
      <c r="F987" s="16" t="inlineStr">
        <is>
          <t>EM04W36</t>
        </is>
      </c>
      <c r="G98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987" s="16" t="inlineStr">
        <is>
          <t>1 pieza</t>
        </is>
      </c>
      <c r="I987" s="16" t="n">
        <v>2</v>
      </c>
      <c r="J987" s="17" t="n">
        <v>124</v>
      </c>
      <c r="K987" s="17" t="n">
        <v>122.54</v>
      </c>
      <c r="L987" s="17" t="n">
        <v>25.86</v>
      </c>
      <c r="M987" s="17" t="n">
        <v>0</v>
      </c>
      <c r="N987" s="17">
        <f>K987*0.08+L987*0.08</f>
        <v/>
      </c>
      <c r="O987" s="17">
        <f>-(K987*0.025+L987*0.025)</f>
        <v/>
      </c>
      <c r="P987" s="17">
        <f>32</f>
        <v/>
      </c>
      <c r="Q987" s="17">
        <f>J987+L987+N987+O987-P987-M987</f>
        <v/>
      </c>
    </row>
    <row r="988">
      <c r="A988" s="16" t="inlineStr">
        <is>
          <t>5.15-5.21</t>
        </is>
      </c>
      <c r="B988" s="16" t="inlineStr">
        <is>
          <t>PO-128-09577645240950865</t>
        </is>
      </c>
      <c r="C988" s="16" t="inlineStr">
        <is>
          <t>Shipped</t>
        </is>
      </c>
      <c r="D988" s="16" t="inlineStr">
        <is>
          <t>128-09577624269430865</t>
        </is>
      </c>
      <c r="E988" s="16" t="inlineStr">
        <is>
          <t>Shipped</t>
        </is>
      </c>
      <c r="F988" s="16" t="inlineStr">
        <is>
          <t>KTS-1678V</t>
        </is>
      </c>
      <c r="G988" s="16" t="inlineStr">
        <is>
          <t>Bocina portátil Inalámbrico, de 3 pulgadas, tamaño de bolsillo, 170 g, con asa, compatible con TF, USB y Micro SD, con radio FM y función TWS (True Wireless Stereo), adecuada para relajarse en casa o viajar al aire libre.</t>
        </is>
      </c>
      <c r="H988" s="16" t="inlineStr">
        <is>
          <t>KTS-1678V</t>
        </is>
      </c>
      <c r="I988" s="16" t="n">
        <v>1</v>
      </c>
      <c r="J988" s="17" t="n">
        <v>42.5</v>
      </c>
      <c r="K988" s="17" t="n">
        <v>50.78</v>
      </c>
      <c r="L988" s="17" t="n">
        <v>25.86</v>
      </c>
      <c r="M988" s="17" t="n">
        <v>0</v>
      </c>
      <c r="N988" s="17">
        <f>K988*0.08+L988*0.08</f>
        <v/>
      </c>
      <c r="O988" s="17">
        <f>-(K988*0.025+L988*0.025)</f>
        <v/>
      </c>
      <c r="P988" s="17">
        <f>32</f>
        <v/>
      </c>
      <c r="Q988" s="17">
        <f>J988+L988+N988+O988-P988-M988</f>
        <v/>
      </c>
    </row>
    <row r="989">
      <c r="A989" s="16" t="inlineStr">
        <is>
          <t>5.15-5.21</t>
        </is>
      </c>
      <c r="B989" s="16" t="inlineStr">
        <is>
          <t>PO-128-09437649941111570</t>
        </is>
      </c>
      <c r="C989" s="16" t="inlineStr">
        <is>
          <t>Shipped</t>
        </is>
      </c>
      <c r="D989" s="16" t="inlineStr">
        <is>
          <t>128-09437566055031570</t>
        </is>
      </c>
      <c r="E989" s="16" t="inlineStr">
        <is>
          <t>Shipped</t>
        </is>
      </c>
      <c r="F989" s="16" t="inlineStr">
        <is>
          <t>S09W18IB-8PZS</t>
        </is>
      </c>
      <c r="G98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989" s="16" t="inlineStr">
        <is>
          <t>8 piezas</t>
        </is>
      </c>
      <c r="I989" s="16" t="n">
        <v>2</v>
      </c>
      <c r="J989" s="17" t="n">
        <v>500</v>
      </c>
      <c r="K989" s="17" t="n">
        <v>575.9400000000001</v>
      </c>
      <c r="L989" s="17" t="n">
        <v>0</v>
      </c>
      <c r="M989" s="17" t="n">
        <v>0</v>
      </c>
      <c r="N989" s="17">
        <f>K989*0.08+L989*0.08</f>
        <v/>
      </c>
      <c r="O989" s="17">
        <f>-(K989*0.025+L989*0.025)</f>
        <v/>
      </c>
      <c r="P989" s="17">
        <f>32</f>
        <v/>
      </c>
      <c r="Q989" s="17">
        <f>J989+L989+N989+O989-P989-M989</f>
        <v/>
      </c>
    </row>
    <row r="990">
      <c r="A990" s="16" t="inlineStr">
        <is>
          <t>5.15-5.21</t>
        </is>
      </c>
      <c r="B990" s="16" t="inlineStr">
        <is>
          <t>PO-128-09437649941111570</t>
        </is>
      </c>
      <c r="C990" s="16" t="inlineStr">
        <is>
          <t>Shipped</t>
        </is>
      </c>
      <c r="D990" s="16" t="inlineStr">
        <is>
          <t>128-09437607998071570</t>
        </is>
      </c>
      <c r="E990" s="16" t="inlineStr">
        <is>
          <t>Shipped</t>
        </is>
      </c>
      <c r="F990" s="16" t="inlineStr">
        <is>
          <t>S09W18IB</t>
        </is>
      </c>
      <c r="G99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990" s="16" t="inlineStr">
        <is>
          <t>1 pieza</t>
        </is>
      </c>
      <c r="I990" s="16" t="n">
        <v>4</v>
      </c>
      <c r="J990" s="17" t="n">
        <v>104</v>
      </c>
      <c r="K990" s="17" t="n">
        <v>146.56</v>
      </c>
      <c r="L990" s="17" t="n">
        <v>0</v>
      </c>
      <c r="M990" s="17" t="n">
        <v>0</v>
      </c>
      <c r="N990" s="17">
        <f>K990*0.08+L990*0.08</f>
        <v/>
      </c>
      <c r="O990" s="17">
        <f>-(K990*0.025+L990*0.025)</f>
        <v/>
      </c>
      <c r="P990" s="17">
        <f>32</f>
        <v/>
      </c>
      <c r="Q990" s="17">
        <f>J990+L990+N990+O990-P990-M990</f>
        <v/>
      </c>
    </row>
    <row r="991">
      <c r="A991" s="16" t="inlineStr">
        <is>
          <t>5.15-5.21</t>
        </is>
      </c>
      <c r="B991" s="16" t="inlineStr">
        <is>
          <t>PO-128-09174653548152051</t>
        </is>
      </c>
      <c r="C991" s="16" t="inlineStr">
        <is>
          <t>Shipped</t>
        </is>
      </c>
      <c r="D991" s="16" t="inlineStr">
        <is>
          <t>128-09174674519672051</t>
        </is>
      </c>
      <c r="E991" s="16" t="inlineStr">
        <is>
          <t>Shipped</t>
        </is>
      </c>
      <c r="F991" s="16" t="inlineStr">
        <is>
          <t>LB02235-negro</t>
        </is>
      </c>
      <c r="G991" s="16" t="inlineStr">
        <is>
          <t>Audífonos Inalámbricos para la Cabeza, Recargables y Multifuncionales - Conectan a Varios Dispositivos, soportan Radio FM, Tarjeta TF y AUX - 4 Horas de Reproducción Musical - Ideal para Trabajo Cotidiano, Juegos y Estudio</t>
        </is>
      </c>
      <c r="H991" s="16" t="inlineStr">
        <is>
          <t>NEGRO</t>
        </is>
      </c>
      <c r="I991" s="16" t="n">
        <v>1</v>
      </c>
      <c r="J991" s="17" t="n">
        <v>36.8</v>
      </c>
      <c r="K991" s="17" t="n">
        <v>42.43</v>
      </c>
      <c r="L991" s="17" t="n">
        <v>25.86</v>
      </c>
      <c r="M991" s="17" t="n">
        <v>0</v>
      </c>
      <c r="N991" s="17">
        <f>K991*0.08+L991*0.08</f>
        <v/>
      </c>
      <c r="O991" s="17">
        <f>-(K991*0.025+L991*0.025)</f>
        <v/>
      </c>
      <c r="P991" s="17">
        <f>32</f>
        <v/>
      </c>
      <c r="Q991" s="17">
        <f>J991+L991+N991+O991-P991-M991</f>
        <v/>
      </c>
    </row>
    <row r="992">
      <c r="A992" s="16" t="inlineStr">
        <is>
          <t>5.15-5.21</t>
        </is>
      </c>
      <c r="B992" s="16" t="inlineStr">
        <is>
          <t>PO-128-09194753459832955</t>
        </is>
      </c>
      <c r="C992" s="16" t="inlineStr">
        <is>
          <t>Shipped</t>
        </is>
      </c>
      <c r="D992" s="16" t="inlineStr">
        <is>
          <t>128-09194763454072955</t>
        </is>
      </c>
      <c r="E992" s="16" t="inlineStr">
        <is>
          <t>Shipped</t>
        </is>
      </c>
      <c r="F992" s="16" t="inlineStr">
        <is>
          <t>LB02235-negro</t>
        </is>
      </c>
      <c r="G992" s="16" t="inlineStr">
        <is>
          <t>Audífonos Inalámbricos para la Cabeza, Recargables y Multifuncionales - Conectan a Varios Dispositivos, soportan Radio FM, Tarjeta TF y AUX - 4 Horas de Reproducción Musical - Ideal para Trabajo Cotidiano, Juegos y Estudio</t>
        </is>
      </c>
      <c r="H992" s="16" t="inlineStr">
        <is>
          <t>NEGRO</t>
        </is>
      </c>
      <c r="I992" s="16" t="n">
        <v>1</v>
      </c>
      <c r="J992" s="17" t="n">
        <v>36.8</v>
      </c>
      <c r="K992" s="17" t="n">
        <v>49.91</v>
      </c>
      <c r="L992" s="17" t="n">
        <v>25.86</v>
      </c>
      <c r="M992" s="17" t="n">
        <v>0</v>
      </c>
      <c r="N992" s="17">
        <f>K992*0.08+L992*0.08</f>
        <v/>
      </c>
      <c r="O992" s="17">
        <f>-(K992*0.025+L992*0.025)</f>
        <v/>
      </c>
      <c r="P992" s="17">
        <f>32</f>
        <v/>
      </c>
      <c r="Q992" s="17">
        <f>J992+L992+N992+O992-P992-M992</f>
        <v/>
      </c>
    </row>
    <row r="993">
      <c r="A993" s="16" t="inlineStr">
        <is>
          <t>5.15-5.21</t>
        </is>
      </c>
      <c r="B993" s="16" t="inlineStr">
        <is>
          <t>PO-128-09267750820472646</t>
        </is>
      </c>
      <c r="C993" s="16" t="inlineStr">
        <is>
          <t>Shipped</t>
        </is>
      </c>
      <c r="D993" s="16" t="inlineStr">
        <is>
          <t>128-09267745577592646</t>
        </is>
      </c>
      <c r="E993" s="16" t="inlineStr">
        <is>
          <t>Shipped</t>
        </is>
      </c>
      <c r="F993" s="16" t="inlineStr">
        <is>
          <t>LB02235-blanco</t>
        </is>
      </c>
      <c r="G993" s="16" t="inlineStr">
        <is>
          <t>Audífonos Inalámbricos para la Cabeza, Recargables y Multifuncionales - Conectan a Varios Dispositivos, soportan Radio FM, Tarjeta TF y AUX - 4 Horas de Reproducción Musical - Ideal para Trabajo Cotidiano, Juegos y Estudio</t>
        </is>
      </c>
      <c r="H993" s="16" t="inlineStr">
        <is>
          <t>BLANCO</t>
        </is>
      </c>
      <c r="I993" s="16" t="n">
        <v>1</v>
      </c>
      <c r="J993" s="17" t="n">
        <v>36.8</v>
      </c>
      <c r="K993" s="17" t="n">
        <v>49.91</v>
      </c>
      <c r="L993" s="17" t="n">
        <v>25.86</v>
      </c>
      <c r="M993" s="17" t="n">
        <v>0</v>
      </c>
      <c r="N993" s="17">
        <f>K993*0.08+L993*0.08</f>
        <v/>
      </c>
      <c r="O993" s="17">
        <f>-(K993*0.025+L993*0.025)</f>
        <v/>
      </c>
      <c r="P993" s="17">
        <f>32</f>
        <v/>
      </c>
      <c r="Q993" s="17">
        <f>J993+L993+N993+O993-P993-M993</f>
        <v/>
      </c>
    </row>
    <row r="994">
      <c r="A994" s="16" t="inlineStr">
        <is>
          <t>5.15-5.21</t>
        </is>
      </c>
      <c r="B994" s="16" t="inlineStr">
        <is>
          <t>PO-128-09611740365430596</t>
        </is>
      </c>
      <c r="C994" s="16" t="inlineStr">
        <is>
          <t>Shipped</t>
        </is>
      </c>
      <c r="D994" s="16" t="inlineStr">
        <is>
          <t>128-09611761336950596</t>
        </is>
      </c>
      <c r="E994" s="16" t="inlineStr">
        <is>
          <t>Shipped</t>
        </is>
      </c>
      <c r="F994" s="16" t="inlineStr">
        <is>
          <t>FA028</t>
        </is>
      </c>
      <c r="G994" s="16" t="inlineStr">
        <is>
          <t>Extractor de agua para garrafas de agua, compatible con carga USB, extractor de agua automático, práctico, con dos modos de toma de agua: manual y programado, ideal para dormitorios, salones, oficinas, uso al aire libre y otros escenarios.</t>
        </is>
      </c>
      <c r="H994" s="16" t="inlineStr">
        <is>
          <t>FA028</t>
        </is>
      </c>
      <c r="I994" s="16" t="n">
        <v>1</v>
      </c>
      <c r="J994" s="17" t="n">
        <v>28</v>
      </c>
      <c r="K994" s="17" t="n">
        <v>37.58</v>
      </c>
      <c r="L994" s="17" t="n">
        <v>25.86</v>
      </c>
      <c r="M994" s="17" t="n">
        <v>0</v>
      </c>
      <c r="N994" s="17">
        <f>K994*0.08+L994*0.08</f>
        <v/>
      </c>
      <c r="O994" s="17">
        <f>-(K994*0.025+L994*0.025)</f>
        <v/>
      </c>
      <c r="P994" s="17">
        <f>32</f>
        <v/>
      </c>
      <c r="Q994" s="17">
        <f>J994+L994+N994+O994-P994-M994</f>
        <v/>
      </c>
    </row>
    <row r="995">
      <c r="A995" s="16" t="inlineStr">
        <is>
          <t>5.15-5.21</t>
        </is>
      </c>
      <c r="B995" s="16" t="inlineStr">
        <is>
          <t>PO-128-09125650381432535</t>
        </is>
      </c>
      <c r="C995" s="16" t="inlineStr">
        <is>
          <t>Shipped</t>
        </is>
      </c>
      <c r="D995" s="16" t="inlineStr">
        <is>
          <t>128-09125702810232535</t>
        </is>
      </c>
      <c r="E995" s="16" t="inlineStr">
        <is>
          <t>Shipped</t>
        </is>
      </c>
      <c r="F995" s="16" t="inlineStr">
        <is>
          <t>FA028</t>
        </is>
      </c>
      <c r="G995" s="16" t="inlineStr">
        <is>
          <t>Extractor de agua para garrafas de agua, compatible con carga USB, extractor de agua automático, práctico, con dos modos de toma de agua: manual y programado, ideal para dormitorios, salones, oficinas, uso al aire libre y otros escenarios.</t>
        </is>
      </c>
      <c r="H995" s="16" t="inlineStr">
        <is>
          <t>FA028</t>
        </is>
      </c>
      <c r="I995" s="16" t="n">
        <v>1</v>
      </c>
      <c r="J995" s="17" t="n">
        <v>28</v>
      </c>
      <c r="K995" s="17" t="n">
        <v>37.58</v>
      </c>
      <c r="L995" s="17" t="n">
        <v>25.86</v>
      </c>
      <c r="M995" s="17" t="n">
        <v>0</v>
      </c>
      <c r="N995" s="17">
        <f>K995*0.08+L995*0.08</f>
        <v/>
      </c>
      <c r="O995" s="17">
        <f>-(K995*0.025+L995*0.025)</f>
        <v/>
      </c>
      <c r="P995" s="17">
        <f>32</f>
        <v/>
      </c>
      <c r="Q995" s="17">
        <f>J995+L995+N995+O995-P995-M995</f>
        <v/>
      </c>
    </row>
    <row r="996">
      <c r="A996" s="16" t="inlineStr">
        <is>
          <t>5.15-5.21</t>
        </is>
      </c>
      <c r="B996" s="16" t="inlineStr">
        <is>
          <t>PO-128-09479415040630299</t>
        </is>
      </c>
      <c r="C996" s="16" t="inlineStr">
        <is>
          <t>Shipped</t>
        </is>
      </c>
      <c r="D996" s="16" t="inlineStr">
        <is>
          <t>128-09479394069110299</t>
        </is>
      </c>
      <c r="E996" s="16" t="inlineStr">
        <is>
          <t>Shipped</t>
        </is>
      </c>
      <c r="F996" s="16" t="inlineStr">
        <is>
          <t>SA325T</t>
        </is>
      </c>
      <c r="G996" s="16" t="inlineStr">
        <is>
          <t>Subwoofer Portátil Inalámbrico con Luces RGB, Sonido de Alta Potencia y Batería Duradera, TWS TF USB, Perfecto para Campamento Fiestas y Entretenimiento en Casa</t>
        </is>
      </c>
      <c r="H996" s="16" t="inlineStr">
        <is>
          <t>NEGRO</t>
        </is>
      </c>
      <c r="I996" s="16" t="n">
        <v>1</v>
      </c>
      <c r="J996" s="17" t="n">
        <v>38</v>
      </c>
      <c r="K996" s="17" t="n">
        <v>47.04</v>
      </c>
      <c r="L996" s="17" t="n">
        <v>25.86</v>
      </c>
      <c r="M996" s="17" t="n">
        <v>0</v>
      </c>
      <c r="N996" s="17">
        <f>K996*0.08+L996*0.08</f>
        <v/>
      </c>
      <c r="O996" s="17">
        <f>-(K996*0.025+L996*0.025)</f>
        <v/>
      </c>
      <c r="P996" s="17">
        <f>32</f>
        <v/>
      </c>
      <c r="Q996" s="17">
        <f>J996+L996+N996+O996-P996-M996</f>
        <v/>
      </c>
    </row>
    <row r="997">
      <c r="A997" s="16" t="inlineStr">
        <is>
          <t>5.15-5.21</t>
        </is>
      </c>
      <c r="B997" s="16" t="inlineStr">
        <is>
          <t>PO-128-09196311614072944</t>
        </is>
      </c>
      <c r="C997" s="16" t="inlineStr">
        <is>
          <t>Shipped</t>
        </is>
      </c>
      <c r="D997" s="16" t="inlineStr">
        <is>
          <t>128-09196274913912944</t>
        </is>
      </c>
      <c r="E997" s="16" t="inlineStr">
        <is>
          <t>Shipped</t>
        </is>
      </c>
      <c r="F997" s="16" t="inlineStr">
        <is>
          <t>FA028</t>
        </is>
      </c>
      <c r="G997" s="16" t="inlineStr">
        <is>
          <t>Extractor de agua para garrafas de agua, compatible con carga USB, extractor de agua automático, práctico, con dos modos de toma de agua: manual y programado, ideal para dormitorios, salones, oficinas, uso al aire libre y otros escenarios.</t>
        </is>
      </c>
      <c r="H997" s="16" t="inlineStr">
        <is>
          <t>FA028</t>
        </is>
      </c>
      <c r="I997" s="16" t="n">
        <v>1</v>
      </c>
      <c r="J997" s="17" t="n">
        <v>28</v>
      </c>
      <c r="K997" s="17" t="n">
        <v>37.58</v>
      </c>
      <c r="L997" s="17" t="n">
        <v>25.86</v>
      </c>
      <c r="M997" s="17" t="n">
        <v>0</v>
      </c>
      <c r="N997" s="17">
        <f>K997*0.08+L997*0.08</f>
        <v/>
      </c>
      <c r="O997" s="17">
        <f>-(K997*0.025+L997*0.025)</f>
        <v/>
      </c>
      <c r="P997" s="17">
        <f>32</f>
        <v/>
      </c>
      <c r="Q997" s="17">
        <f>J997+L997+N997+O997-P997-M997</f>
        <v/>
      </c>
    </row>
    <row r="998">
      <c r="A998" s="16" t="inlineStr">
        <is>
          <t>5.15-5.21</t>
        </is>
      </c>
      <c r="B998" s="16" t="inlineStr">
        <is>
          <t>PO-128-09220429773432864</t>
        </is>
      </c>
      <c r="C998" s="16" t="inlineStr">
        <is>
          <t>Shipped</t>
        </is>
      </c>
      <c r="D998" s="16" t="inlineStr">
        <is>
          <t>128-09220581816952864</t>
        </is>
      </c>
      <c r="E998" s="16" t="inlineStr">
        <is>
          <t>Shipped</t>
        </is>
      </c>
      <c r="F998" s="16" t="inlineStr">
        <is>
          <t>SA323T</t>
        </is>
      </c>
      <c r="G998" s="16" t="inlineStr">
        <is>
          <t>Linkbits Bocina Portátil Parlantes BT Portátiles con Iluminación de Ambiente | 1 Hora de Duración, FM, TWS, TF/Micro SD | Ideal para Hogar, Fiestas y Viajes</t>
        </is>
      </c>
      <c r="H998" s="16" t="inlineStr">
        <is>
          <t>SA323T</t>
        </is>
      </c>
      <c r="I998" s="16" t="n">
        <v>1</v>
      </c>
      <c r="J998" s="17" t="n">
        <v>46</v>
      </c>
      <c r="K998" s="17" t="n">
        <v>11.96</v>
      </c>
      <c r="L998" s="17" t="n">
        <v>25.86</v>
      </c>
      <c r="M998" s="17" t="n">
        <v>0</v>
      </c>
      <c r="N998" s="17">
        <f>K998*0.08+L998*0.08</f>
        <v/>
      </c>
      <c r="O998" s="17">
        <f>-(K998*0.025+L998*0.025)</f>
        <v/>
      </c>
      <c r="P998" s="17">
        <f>32</f>
        <v/>
      </c>
      <c r="Q998" s="17">
        <f>J998+L998+N998+O998-P998-M998</f>
        <v/>
      </c>
    </row>
    <row r="999">
      <c r="A999" s="16" t="inlineStr">
        <is>
          <t>5.15-5.21</t>
        </is>
      </c>
      <c r="B999" s="16" t="inlineStr">
        <is>
          <t>PO-128-09511239419510237</t>
        </is>
      </c>
      <c r="C999" s="16" t="inlineStr">
        <is>
          <t>Shipped</t>
        </is>
      </c>
      <c r="D999" s="16" t="inlineStr">
        <is>
          <t>128-09511281362550237</t>
        </is>
      </c>
      <c r="E999" s="16" t="inlineStr">
        <is>
          <t>Shipped</t>
        </is>
      </c>
      <c r="F999" s="16" t="inlineStr">
        <is>
          <t>MB-185A</t>
        </is>
      </c>
      <c r="G999" s="16" t="inlineStr">
        <is>
          <t>Bocina Radio FM/Reproductor, Compatible con Tarjeta TF, USB, Bluetooth, Aplicable para celular, computadora, Ipad y consola.</t>
        </is>
      </c>
      <c r="H999" s="16" t="inlineStr">
        <is>
          <t>AZUL/MB-185</t>
        </is>
      </c>
      <c r="I999" s="16" t="n">
        <v>1</v>
      </c>
      <c r="J999" s="17" t="n">
        <v>75.5</v>
      </c>
      <c r="K999" s="17" t="n">
        <v>70.76000000000001</v>
      </c>
      <c r="L999" s="17" t="n">
        <v>25.86</v>
      </c>
      <c r="M999" s="17" t="n">
        <v>0</v>
      </c>
      <c r="N999" s="17">
        <f>K999*0.08+L999*0.08</f>
        <v/>
      </c>
      <c r="O999" s="17">
        <f>-(K999*0.025+L999*0.025)</f>
        <v/>
      </c>
      <c r="P999" s="17">
        <f>32</f>
        <v/>
      </c>
      <c r="Q999" s="17">
        <f>J999+L999+N999+O999-P999-M999</f>
        <v/>
      </c>
    </row>
    <row r="1000">
      <c r="A1000" s="16" t="inlineStr">
        <is>
          <t>5.15-5.21</t>
        </is>
      </c>
      <c r="B1000" s="16" t="inlineStr">
        <is>
          <t>PO-128-09425796245111768</t>
        </is>
      </c>
      <c r="C1000" s="16" t="inlineStr">
        <is>
          <t>Shipped</t>
        </is>
      </c>
      <c r="D1000" s="16" t="inlineStr">
        <is>
          <t>128-09425848673911768</t>
        </is>
      </c>
      <c r="E1000" s="16" t="inlineStr">
        <is>
          <t>Shipped</t>
        </is>
      </c>
      <c r="F1000" s="16" t="inlineStr">
        <is>
          <t>LB02235-azul</t>
        </is>
      </c>
      <c r="G1000" s="16" t="inlineStr">
        <is>
          <t>Audífonos Inalámbricos para la Cabeza, Recargables y Multifuncionales - Conectan a Varios Dispositivos, soportan Radio FM, Tarjeta TF y AUX - 4 Horas de Reproducción Musical - Ideal para Trabajo Cotidiano, Juegos y Estudio</t>
        </is>
      </c>
      <c r="H1000" s="16" t="inlineStr">
        <is>
          <t>AZUL</t>
        </is>
      </c>
      <c r="I1000" s="16" t="n">
        <v>1</v>
      </c>
      <c r="J1000" s="17" t="n">
        <v>36.8</v>
      </c>
      <c r="K1000" s="17" t="n">
        <v>49.91</v>
      </c>
      <c r="L1000" s="17" t="n">
        <v>25.86</v>
      </c>
      <c r="M1000" s="17" t="n">
        <v>0</v>
      </c>
      <c r="N1000" s="17">
        <f>K1000*0.08+L1000*0.08</f>
        <v/>
      </c>
      <c r="O1000" s="17">
        <f>-(K1000*0.025+L1000*0.025)</f>
        <v/>
      </c>
      <c r="P1000" s="17">
        <f>32</f>
        <v/>
      </c>
      <c r="Q1000" s="17">
        <f>J1000+L1000+N1000+O1000-P1000-M1000</f>
        <v/>
      </c>
    </row>
    <row r="1001">
      <c r="A1001" s="16" t="inlineStr">
        <is>
          <t>5.15-5.21</t>
        </is>
      </c>
      <c r="B1001" s="16" t="inlineStr">
        <is>
          <t>PO-128-09012434575993144</t>
        </is>
      </c>
      <c r="C1001" s="16" t="inlineStr">
        <is>
          <t>Shipped</t>
        </is>
      </c>
      <c r="D1001" s="16" t="inlineStr">
        <is>
          <t>128-09012476519033144</t>
        </is>
      </c>
      <c r="E1001" s="16" t="inlineStr">
        <is>
          <t>Shipped</t>
        </is>
      </c>
      <c r="F1001" s="16" t="inlineStr">
        <is>
          <t>SA323T</t>
        </is>
      </c>
      <c r="G1001" s="16" t="inlineStr">
        <is>
          <t>Linkbits Bocina Portátil Parlantes BT Portátiles con Iluminación de Ambiente | 1 Hora de Duración, FM, TWS, TF/Micro SD | Ideal para Hogar, Fiestas y Viajes</t>
        </is>
      </c>
      <c r="H1001" s="16" t="inlineStr">
        <is>
          <t>SA323T</t>
        </is>
      </c>
      <c r="I1001" s="16" t="n">
        <v>1</v>
      </c>
      <c r="J1001" s="17" t="n">
        <v>46</v>
      </c>
      <c r="K1001" s="17" t="n">
        <v>11.96</v>
      </c>
      <c r="L1001" s="17" t="n">
        <v>25.86</v>
      </c>
      <c r="M1001" s="17" t="n">
        <v>0</v>
      </c>
      <c r="N1001" s="17">
        <f>K1001*0.08+L1001*0.08</f>
        <v/>
      </c>
      <c r="O1001" s="17">
        <f>-(K1001*0.025+L1001*0.025)</f>
        <v/>
      </c>
      <c r="P1001" s="17">
        <f>32</f>
        <v/>
      </c>
      <c r="Q1001" s="17">
        <f>J1001+L1001+N1001+O1001-P1001-M1001</f>
        <v/>
      </c>
    </row>
    <row r="1002">
      <c r="A1002" s="16" t="inlineStr">
        <is>
          <t>5.15-5.21</t>
        </is>
      </c>
      <c r="B1002" s="16" t="inlineStr">
        <is>
          <t>PO-128-09125256054392536</t>
        </is>
      </c>
      <c r="C1002" s="16" t="inlineStr">
        <is>
          <t>Shipped</t>
        </is>
      </c>
      <c r="D1002" s="16" t="inlineStr">
        <is>
          <t>128-09125214111352536</t>
        </is>
      </c>
      <c r="E1002" s="16" t="inlineStr">
        <is>
          <t>Shipped</t>
        </is>
      </c>
      <c r="F1002" s="16" t="inlineStr">
        <is>
          <t>SA8056T</t>
        </is>
      </c>
      <c r="G100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002" s="16" t="inlineStr">
        <is>
          <t>SA8056T</t>
        </is>
      </c>
      <c r="I1002" s="16" t="n">
        <v>2</v>
      </c>
      <c r="J1002" s="17" t="n">
        <v>282</v>
      </c>
      <c r="K1002" s="17" t="n">
        <v>258.2</v>
      </c>
      <c r="L1002" s="17" t="n">
        <v>0</v>
      </c>
      <c r="M1002" s="17" t="n">
        <v>0</v>
      </c>
      <c r="N1002" s="17">
        <f>K1002*0.08+L1002*0.08</f>
        <v/>
      </c>
      <c r="O1002" s="17">
        <f>-(K1002*0.025+L1002*0.025)</f>
        <v/>
      </c>
      <c r="P1002" s="17">
        <f>32</f>
        <v/>
      </c>
      <c r="Q1002" s="17">
        <f>J1002+L1002+N1002+O1002-P1002-M1002</f>
        <v/>
      </c>
    </row>
    <row r="1003">
      <c r="A1003" s="16" t="inlineStr">
        <is>
          <t>5.15-5.21</t>
        </is>
      </c>
      <c r="B1003" s="16" t="inlineStr">
        <is>
          <t>PO-128-09073990543993803</t>
        </is>
      </c>
      <c r="C1003" s="16" t="inlineStr">
        <is>
          <t>Shipped</t>
        </is>
      </c>
      <c r="D1003" s="16" t="inlineStr">
        <is>
          <t>128-09074095401593803</t>
        </is>
      </c>
      <c r="E1003" s="16" t="inlineStr">
        <is>
          <t>Shipped</t>
        </is>
      </c>
      <c r="F1003" s="16" t="inlineStr">
        <is>
          <t>SA323T</t>
        </is>
      </c>
      <c r="G1003" s="16" t="inlineStr">
        <is>
          <t>Linkbits Bocina Portátil Parlantes BT Portátiles con Iluminación de Ambiente | 1 Hora de Duración, FM, TWS, TF/Micro SD | Ideal para Hogar, Fiestas y Viajes</t>
        </is>
      </c>
      <c r="H1003" s="16" t="inlineStr">
        <is>
          <t>SA323T</t>
        </is>
      </c>
      <c r="I1003" s="16" t="n">
        <v>1</v>
      </c>
      <c r="J1003" s="17" t="n">
        <v>46</v>
      </c>
      <c r="K1003" s="17" t="n">
        <v>55.06</v>
      </c>
      <c r="L1003" s="17" t="n">
        <v>25.86</v>
      </c>
      <c r="M1003" s="17" t="n">
        <v>0</v>
      </c>
      <c r="N1003" s="17">
        <f>K1003*0.08+L1003*0.08</f>
        <v/>
      </c>
      <c r="O1003" s="17">
        <f>-(K1003*0.025+L1003*0.025)</f>
        <v/>
      </c>
      <c r="P1003" s="17">
        <f>32</f>
        <v/>
      </c>
      <c r="Q1003" s="17">
        <f>J1003+L1003+N1003+O1003-P1003-M1003</f>
        <v/>
      </c>
    </row>
    <row r="1004">
      <c r="A1004" s="16" t="inlineStr">
        <is>
          <t>5.15-5.21</t>
        </is>
      </c>
      <c r="B1004" s="16" t="inlineStr">
        <is>
          <t>PO-128-08992493322873265</t>
        </is>
      </c>
      <c r="C1004" s="16" t="inlineStr">
        <is>
          <t>Shipped</t>
        </is>
      </c>
      <c r="D1004" s="16" t="inlineStr">
        <is>
          <t>128-08992451379833265</t>
        </is>
      </c>
      <c r="E1004" s="16" t="inlineStr">
        <is>
          <t>Shipped</t>
        </is>
      </c>
      <c r="F1004" s="16" t="inlineStr">
        <is>
          <t>KTS-1678Y</t>
        </is>
      </c>
      <c r="G1004" s="16" t="inlineStr">
        <is>
          <t>Bocina portátil Inalámbrico, de 3 pulgadas, tamaño de bolsillo, 170 g, con asa, compatible con TF, USB y Micro SD, con radio FM y función TWS (True Wireless Stereo), adecuada para relajarse en casa o viajar al aire libre.</t>
        </is>
      </c>
      <c r="H1004" s="16" t="inlineStr">
        <is>
          <t>KTS-1678Y</t>
        </is>
      </c>
      <c r="I1004" s="16" t="n">
        <v>1</v>
      </c>
      <c r="J1004" s="17" t="n">
        <v>42.5</v>
      </c>
      <c r="K1004" s="17" t="n">
        <v>48.72</v>
      </c>
      <c r="L1004" s="17" t="n">
        <v>25.86</v>
      </c>
      <c r="M1004" s="17" t="n">
        <v>0</v>
      </c>
      <c r="N1004" s="17">
        <f>K1004*0.08+L1004*0.08</f>
        <v/>
      </c>
      <c r="O1004" s="17">
        <f>-(K1004*0.025+L1004*0.025)</f>
        <v/>
      </c>
      <c r="P1004" s="17">
        <f>32</f>
        <v/>
      </c>
      <c r="Q1004" s="17">
        <f>J1004+L1004+N1004+O1004-P1004-M1004</f>
        <v/>
      </c>
    </row>
    <row r="1005">
      <c r="A1005" s="16" t="inlineStr">
        <is>
          <t>5.15-5.21</t>
        </is>
      </c>
      <c r="B1005" s="16" t="inlineStr">
        <is>
          <t>PO-128-09281538360951412</t>
        </is>
      </c>
      <c r="C1005" s="16" t="inlineStr">
        <is>
          <t>Shipped</t>
        </is>
      </c>
      <c r="D1005" s="16" t="inlineStr">
        <is>
          <t>128-09281572439671412</t>
        </is>
      </c>
      <c r="E1005" s="16" t="inlineStr">
        <is>
          <t>Shipped</t>
        </is>
      </c>
      <c r="F1005" s="16" t="inlineStr">
        <is>
          <t>KTS-1678N</t>
        </is>
      </c>
      <c r="G1005" s="16" t="inlineStr">
        <is>
          <t>Bocina portátil Inalámbrico, de 3 pulgadas, tamaño de bolsillo, 170 g, con asa, compatible con TF, USB y Micro SD, con radio FM y función TWS (True Wireless Stereo), adecuada para relajarse en casa o viajar al aire libre.</t>
        </is>
      </c>
      <c r="H1005" s="16" t="inlineStr">
        <is>
          <t>KTS-1678N</t>
        </is>
      </c>
      <c r="I1005" s="16" t="n">
        <v>1</v>
      </c>
      <c r="J1005" s="17" t="n">
        <v>43</v>
      </c>
      <c r="K1005" s="17" t="n">
        <v>43.58</v>
      </c>
      <c r="L1005" s="17" t="n">
        <v>25.86</v>
      </c>
      <c r="M1005" s="17" t="n">
        <v>0</v>
      </c>
      <c r="N1005" s="17">
        <f>K1005*0.08+L1005*0.08</f>
        <v/>
      </c>
      <c r="O1005" s="17">
        <f>-(K1005*0.025+L1005*0.025)</f>
        <v/>
      </c>
      <c r="P1005" s="17">
        <f>32</f>
        <v/>
      </c>
      <c r="Q1005" s="17">
        <f>J1005+L1005+N1005+O1005-P1005-M1005</f>
        <v/>
      </c>
    </row>
    <row r="1006">
      <c r="A1006" s="16" t="inlineStr">
        <is>
          <t>5.15-5.21</t>
        </is>
      </c>
      <c r="B1006" s="16" t="inlineStr">
        <is>
          <t>PO-128-09131631396472306</t>
        </is>
      </c>
      <c r="C1006" s="16" t="inlineStr">
        <is>
          <t>Shipped</t>
        </is>
      </c>
      <c r="D1006" s="16" t="inlineStr">
        <is>
          <t>128-09131589453432306</t>
        </is>
      </c>
      <c r="E1006" s="16" t="inlineStr">
        <is>
          <t>Shipped</t>
        </is>
      </c>
      <c r="F1006" s="16" t="inlineStr">
        <is>
          <t>LB02235-azul</t>
        </is>
      </c>
      <c r="G1006" s="16" t="inlineStr">
        <is>
          <t>Audífonos Inalámbricos para la Cabeza, Recargables y Multifuncionales - Conectan a Varios Dispositivos, soportan Radio FM, Tarjeta TF y AUX - 4 Horas de Reproducción Musical - Ideal para Trabajo Cotidiano, Juegos y Estudio</t>
        </is>
      </c>
      <c r="H1006" s="16" t="inlineStr">
        <is>
          <t>AZUL</t>
        </is>
      </c>
      <c r="I1006" s="16" t="n">
        <v>1</v>
      </c>
      <c r="J1006" s="17" t="n">
        <v>36.8</v>
      </c>
      <c r="K1006" s="17" t="n">
        <v>49.91</v>
      </c>
      <c r="L1006" s="17" t="n">
        <v>25.86</v>
      </c>
      <c r="M1006" s="17" t="n">
        <v>0</v>
      </c>
      <c r="N1006" s="17">
        <f>K1006*0.08+L1006*0.08</f>
        <v/>
      </c>
      <c r="O1006" s="17">
        <f>-(K1006*0.025+L1006*0.025)</f>
        <v/>
      </c>
      <c r="P1006" s="17">
        <f>32</f>
        <v/>
      </c>
      <c r="Q1006" s="17">
        <f>J1006+L1006+N1006+O1006-P1006-M1006</f>
        <v/>
      </c>
    </row>
    <row r="1007">
      <c r="A1007" s="16" t="inlineStr">
        <is>
          <t>5.15-5.21</t>
        </is>
      </c>
      <c r="B1007" s="16" t="inlineStr">
        <is>
          <t>PO-128-09320802550391178</t>
        </is>
      </c>
      <c r="C1007" s="16" t="inlineStr">
        <is>
          <t>Shipped</t>
        </is>
      </c>
      <c r="D1007" s="16" t="inlineStr">
        <is>
          <t>128-09320771093111178</t>
        </is>
      </c>
      <c r="E1007" s="16" t="inlineStr">
        <is>
          <t>Shipped</t>
        </is>
      </c>
      <c r="F1007" s="16" t="inlineStr">
        <is>
          <t>LB02235-azul</t>
        </is>
      </c>
      <c r="G1007" s="16" t="inlineStr">
        <is>
          <t>Audífonos Inalámbricos para la Cabeza, Recargables y Multifuncionales - Conectan a Varios Dispositivos, soportan Radio FM, Tarjeta TF y AUX - 4 Horas de Reproducción Musical - Ideal para Trabajo Cotidiano, Juegos y Estudio</t>
        </is>
      </c>
      <c r="H1007" s="16" t="inlineStr">
        <is>
          <t>AZUL</t>
        </is>
      </c>
      <c r="I1007" s="16" t="n">
        <v>2</v>
      </c>
      <c r="J1007" s="17" t="n">
        <v>73.59999999999999</v>
      </c>
      <c r="K1007" s="17" t="n">
        <v>99.81999999999999</v>
      </c>
      <c r="L1007" s="17" t="n">
        <v>25.86</v>
      </c>
      <c r="M1007" s="17" t="n">
        <v>0</v>
      </c>
      <c r="N1007" s="17">
        <f>K1007*0.08+L1007*0.08</f>
        <v/>
      </c>
      <c r="O1007" s="17">
        <f>-(K1007*0.025+L1007*0.025)</f>
        <v/>
      </c>
      <c r="P1007" s="17">
        <f>32</f>
        <v/>
      </c>
      <c r="Q1007" s="17">
        <f>J1007+L1007+N1007+O1007-P1007-M1007</f>
        <v/>
      </c>
    </row>
    <row r="1008">
      <c r="A1008" s="16" t="inlineStr">
        <is>
          <t>5.15-5.21</t>
        </is>
      </c>
      <c r="B1008" s="16" t="inlineStr">
        <is>
          <t>PO-128-09141457982072377</t>
        </is>
      </c>
      <c r="C1008" s="16" t="inlineStr">
        <is>
          <t>Shipped</t>
        </is>
      </c>
      <c r="D1008" s="16" t="inlineStr">
        <is>
          <t>128-09141429146232377</t>
        </is>
      </c>
      <c r="E1008" s="16" t="inlineStr">
        <is>
          <t>Shipped</t>
        </is>
      </c>
      <c r="F1008" s="16" t="inlineStr">
        <is>
          <t>SA325T</t>
        </is>
      </c>
      <c r="G1008" s="16" t="inlineStr">
        <is>
          <t>Subwoofer Portátil Inalámbrico con Luces RGB, Sonido de Alta Potencia y Batería Duradera, TWS TF USB, Perfecto para Campamento Fiestas y Entretenimiento en Casa</t>
        </is>
      </c>
      <c r="H1008" s="16" t="inlineStr">
        <is>
          <t>NEGRO</t>
        </is>
      </c>
      <c r="I1008" s="16" t="n">
        <v>1</v>
      </c>
      <c r="J1008" s="17" t="n">
        <v>38</v>
      </c>
      <c r="K1008" s="17" t="n">
        <v>47.04</v>
      </c>
      <c r="L1008" s="17" t="n">
        <v>25.86</v>
      </c>
      <c r="M1008" s="17" t="n">
        <v>0</v>
      </c>
      <c r="N1008" s="17">
        <f>K1008*0.08+L1008*0.08</f>
        <v/>
      </c>
      <c r="O1008" s="17">
        <f>-(K1008*0.025+L1008*0.025)</f>
        <v/>
      </c>
      <c r="P1008" s="17">
        <f>32</f>
        <v/>
      </c>
      <c r="Q1008" s="17">
        <f>J1008+L1008+N1008+O1008-P1008-M1008</f>
        <v/>
      </c>
    </row>
    <row r="1009">
      <c r="A1009" s="16" t="inlineStr">
        <is>
          <t>5.15-5.21</t>
        </is>
      </c>
      <c r="B1009" s="16" t="inlineStr">
        <is>
          <t>PO-128-09131057480312311</t>
        </is>
      </c>
      <c r="C1009" s="16" t="inlineStr">
        <is>
          <t>Shipped</t>
        </is>
      </c>
      <c r="D1009" s="16" t="inlineStr">
        <is>
          <t>128-09131015537272311</t>
        </is>
      </c>
      <c r="E1009" s="16" t="inlineStr">
        <is>
          <t>Shipped</t>
        </is>
      </c>
      <c r="F1009" s="16" t="inlineStr">
        <is>
          <t>LB02235-negro</t>
        </is>
      </c>
      <c r="G1009" s="16" t="inlineStr">
        <is>
          <t>Audífonos Inalámbricos para la Cabeza, Recargables y Multifuncionales - Conectan a Varios Dispositivos, soportan Radio FM, Tarjeta TF y AUX - 4 Horas de Reproducción Musical - Ideal para Trabajo Cotidiano, Juegos y Estudio</t>
        </is>
      </c>
      <c r="H1009" s="16" t="inlineStr">
        <is>
          <t>NEGRO</t>
        </is>
      </c>
      <c r="I1009" s="16" t="n">
        <v>1</v>
      </c>
      <c r="J1009" s="17" t="n">
        <v>36.8</v>
      </c>
      <c r="K1009" s="17" t="n">
        <v>49.91</v>
      </c>
      <c r="L1009" s="17" t="n">
        <v>25.86</v>
      </c>
      <c r="M1009" s="17" t="n">
        <v>0</v>
      </c>
      <c r="N1009" s="17">
        <f>K1009*0.08+L1009*0.08</f>
        <v/>
      </c>
      <c r="O1009" s="17">
        <f>-(K1009*0.025+L1009*0.025)</f>
        <v/>
      </c>
      <c r="P1009" s="17">
        <f>32</f>
        <v/>
      </c>
      <c r="Q1009" s="17">
        <f>J1009+L1009+N1009+O1009-P1009-M1009</f>
        <v/>
      </c>
    </row>
    <row r="1010">
      <c r="A1010" s="16" t="inlineStr">
        <is>
          <t>5.15-5.21</t>
        </is>
      </c>
      <c r="B1010" s="16" t="inlineStr">
        <is>
          <t>PO-128-09200900327032983</t>
        </is>
      </c>
      <c r="C1010" s="16" t="inlineStr">
        <is>
          <t>Shipped</t>
        </is>
      </c>
      <c r="D1010" s="16" t="inlineStr">
        <is>
          <t>128-09200921298552983</t>
        </is>
      </c>
      <c r="E1010" s="16" t="inlineStr">
        <is>
          <t>Shipped</t>
        </is>
      </c>
      <c r="F1010" s="16" t="inlineStr">
        <is>
          <t>FA028</t>
        </is>
      </c>
      <c r="G1010" s="16" t="inlineStr">
        <is>
          <t>Extractor de agua para garrafas de agua, compatible con carga USB, extractor de agua automático, práctico, con dos modos de toma de agua: manual y programado, ideal para dormitorios, salones, oficinas, uso al aire libre y otros escenarios.</t>
        </is>
      </c>
      <c r="H1010" s="16" t="inlineStr">
        <is>
          <t>FA028</t>
        </is>
      </c>
      <c r="I1010" s="16" t="n">
        <v>1</v>
      </c>
      <c r="J1010" s="17" t="n">
        <v>28</v>
      </c>
      <c r="K1010" s="17" t="n">
        <v>37.58</v>
      </c>
      <c r="L1010" s="17" t="n">
        <v>25.86</v>
      </c>
      <c r="M1010" s="17" t="n">
        <v>0</v>
      </c>
      <c r="N1010" s="17">
        <f>K1010*0.08+L1010*0.08</f>
        <v/>
      </c>
      <c r="O1010" s="17">
        <f>-(K1010*0.025+L1010*0.025)</f>
        <v/>
      </c>
      <c r="P1010" s="17">
        <f>32</f>
        <v/>
      </c>
      <c r="Q1010" s="17">
        <f>J1010+L1010+N1010+O1010-P1010-M1010</f>
        <v/>
      </c>
    </row>
    <row r="1011">
      <c r="A1011" s="16" t="inlineStr">
        <is>
          <t>5.15-5.21</t>
        </is>
      </c>
      <c r="B1011" s="16" t="inlineStr">
        <is>
          <t>PO-128-09354208062071109</t>
        </is>
      </c>
      <c r="C1011" s="16" t="inlineStr">
        <is>
          <t>Shipped</t>
        </is>
      </c>
      <c r="D1011" s="16" t="inlineStr">
        <is>
          <t>128-09354187090551109</t>
        </is>
      </c>
      <c r="E1011" s="16" t="inlineStr">
        <is>
          <t>Shipped</t>
        </is>
      </c>
      <c r="F1011" s="16" t="inlineStr">
        <is>
          <t>LB02235-negro</t>
        </is>
      </c>
      <c r="G1011" s="16" t="inlineStr">
        <is>
          <t>Audífonos Inalámbricos para la Cabeza, Recargables y Multifuncionales - Conectan a Varios Dispositivos, soportan Radio FM, Tarjeta TF y AUX - 4 Horas de Reproducción Musical - Ideal para Trabajo Cotidiano, Juegos y Estudio</t>
        </is>
      </c>
      <c r="H1011" s="16" t="inlineStr">
        <is>
          <t>NEGRO</t>
        </is>
      </c>
      <c r="I1011" s="16" t="n">
        <v>1</v>
      </c>
      <c r="J1011" s="17" t="n">
        <v>36.8</v>
      </c>
      <c r="K1011" s="17" t="n">
        <v>49.91</v>
      </c>
      <c r="L1011" s="17" t="n">
        <v>25.86</v>
      </c>
      <c r="M1011" s="17" t="n">
        <v>0</v>
      </c>
      <c r="N1011" s="17">
        <f>K1011*0.08+L1011*0.08</f>
        <v/>
      </c>
      <c r="O1011" s="17">
        <f>-(K1011*0.025+L1011*0.025)</f>
        <v/>
      </c>
      <c r="P1011" s="17">
        <f>32</f>
        <v/>
      </c>
      <c r="Q1011" s="17">
        <f>J1011+L1011+N1011+O1011-P1011-M1011</f>
        <v/>
      </c>
    </row>
    <row r="1012">
      <c r="A1012" s="16" t="inlineStr">
        <is>
          <t>5.15-5.21</t>
        </is>
      </c>
      <c r="B1012" s="16" t="inlineStr">
        <is>
          <t>PO-128-09535638902390922</t>
        </is>
      </c>
      <c r="C1012" s="16" t="inlineStr">
        <is>
          <t>Shipped</t>
        </is>
      </c>
      <c r="D1012" s="16" t="inlineStr">
        <is>
          <t>128-09535596959350922</t>
        </is>
      </c>
      <c r="E1012" s="16" t="inlineStr">
        <is>
          <t>Shipped</t>
        </is>
      </c>
      <c r="F1012" s="16" t="inlineStr">
        <is>
          <t>VB347T</t>
        </is>
      </c>
      <c r="G101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012" s="16" t="inlineStr">
        <is>
          <t>1 pieza</t>
        </is>
      </c>
      <c r="I1012" s="16" t="n">
        <v>1</v>
      </c>
      <c r="J1012" s="17" t="n">
        <v>79.90000000000001</v>
      </c>
      <c r="K1012" s="17" t="n">
        <v>94.5</v>
      </c>
      <c r="L1012" s="17" t="n">
        <v>25.86</v>
      </c>
      <c r="M1012" s="17" t="n">
        <v>0</v>
      </c>
      <c r="N1012" s="17">
        <f>K1012*0.08+L1012*0.08</f>
        <v/>
      </c>
      <c r="O1012" s="17">
        <f>-(K1012*0.025+L1012*0.025)</f>
        <v/>
      </c>
      <c r="P1012" s="17">
        <f>32</f>
        <v/>
      </c>
      <c r="Q1012" s="17">
        <f>J1012+L1012+N1012+O1012-P1012-M1012</f>
        <v/>
      </c>
    </row>
    <row r="1013">
      <c r="A1013" s="16" t="inlineStr">
        <is>
          <t>5.15-5.21</t>
        </is>
      </c>
      <c r="B1013" s="16" t="inlineStr">
        <is>
          <t>PO-128-09370045839991975</t>
        </is>
      </c>
      <c r="C1013" s="16" t="inlineStr">
        <is>
          <t>Shipped</t>
        </is>
      </c>
      <c r="D1013" s="16" t="inlineStr">
        <is>
          <t>128-09370003896951975</t>
        </is>
      </c>
      <c r="E1013" s="16" t="inlineStr">
        <is>
          <t>Shipped</t>
        </is>
      </c>
      <c r="F1013" s="16" t="inlineStr">
        <is>
          <t>S09W18IB-8PZS</t>
        </is>
      </c>
      <c r="G101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013" s="16" t="inlineStr">
        <is>
          <t>8 piezas</t>
        </is>
      </c>
      <c r="I1013" s="16" t="n">
        <v>3</v>
      </c>
      <c r="J1013" s="17" t="n">
        <v>750</v>
      </c>
      <c r="K1013" s="17" t="n">
        <v>812.1900000000001</v>
      </c>
      <c r="L1013" s="17" t="n">
        <v>0</v>
      </c>
      <c r="M1013" s="17" t="n">
        <v>0</v>
      </c>
      <c r="N1013" s="17">
        <f>K1013*0.08+L1013*0.08</f>
        <v/>
      </c>
      <c r="O1013" s="17">
        <f>-(K1013*0.025+L1013*0.025)</f>
        <v/>
      </c>
      <c r="P1013" s="17">
        <f>32</f>
        <v/>
      </c>
      <c r="Q1013" s="17">
        <f>J1013+L1013+N1013+O1013-P1013-M1013</f>
        <v/>
      </c>
    </row>
    <row r="1014">
      <c r="A1014" s="16" t="inlineStr">
        <is>
          <t>5.15-5.21</t>
        </is>
      </c>
      <c r="B1014" s="16" t="inlineStr">
        <is>
          <t>PO-128-09311496274551362</t>
        </is>
      </c>
      <c r="C1014" s="16" t="inlineStr">
        <is>
          <t>Shipped</t>
        </is>
      </c>
      <c r="D1014" s="16" t="inlineStr">
        <is>
          <t>128-09311454331511362</t>
        </is>
      </c>
      <c r="E1014" s="16" t="inlineStr">
        <is>
          <t>Shipped</t>
        </is>
      </c>
      <c r="F1014" s="16" t="inlineStr">
        <is>
          <t>KTS-1678V</t>
        </is>
      </c>
      <c r="G1014" s="16" t="inlineStr">
        <is>
          <t>Bocina portátil Inalámbrico, de 3 pulgadas, tamaño de bolsillo, 170 g, con asa, compatible con TF, USB y Micro SD, con radio FM y función TWS (True Wireless Stereo), adecuada para relajarse en casa o viajar al aire libre.</t>
        </is>
      </c>
      <c r="H1014" s="16" t="inlineStr">
        <is>
          <t>KTS-1678V</t>
        </is>
      </c>
      <c r="I1014" s="16" t="n">
        <v>18</v>
      </c>
      <c r="J1014" s="17" t="n">
        <v>765</v>
      </c>
      <c r="K1014" s="17" t="n">
        <v>914.04</v>
      </c>
      <c r="L1014" s="17" t="n">
        <v>0</v>
      </c>
      <c r="M1014" s="17" t="n">
        <v>0</v>
      </c>
      <c r="N1014" s="17">
        <f>K1014*0.08+L1014*0.08</f>
        <v/>
      </c>
      <c r="O1014" s="17">
        <f>-(K1014*0.025+L1014*0.025)</f>
        <v/>
      </c>
      <c r="P1014" s="17">
        <f>32</f>
        <v/>
      </c>
      <c r="Q1014" s="17">
        <f>J1014+L1014+N1014+O1014-P1014-M1014</f>
        <v/>
      </c>
    </row>
    <row r="1015">
      <c r="A1015" s="16" t="inlineStr">
        <is>
          <t>5.15-5.21</t>
        </is>
      </c>
      <c r="B1015" s="16" t="inlineStr">
        <is>
          <t>PO-128-09311496274551362</t>
        </is>
      </c>
      <c r="C1015" s="16" t="inlineStr">
        <is>
          <t>Shipped</t>
        </is>
      </c>
      <c r="D1015" s="16" t="inlineStr">
        <is>
          <t>128-09311446549111362</t>
        </is>
      </c>
      <c r="E1015" s="16" t="inlineStr">
        <is>
          <t>Shipped</t>
        </is>
      </c>
      <c r="F1015" s="16" t="inlineStr">
        <is>
          <t>LB02235-blanco</t>
        </is>
      </c>
      <c r="G1015" s="16" t="inlineStr">
        <is>
          <t>Audífonos Inalámbricos para la Cabeza, Recargables y Multifuncionales - Conectan a Varios Dispositivos, soportan Radio FM, Tarjeta TF y AUX - 4 Horas de Reproducción Musical - Ideal para Trabajo Cotidiano, Juegos y Estudio</t>
        </is>
      </c>
      <c r="H1015" s="16" t="inlineStr">
        <is>
          <t>BLANCO</t>
        </is>
      </c>
      <c r="I1015" s="16" t="n">
        <v>9</v>
      </c>
      <c r="J1015" s="17" t="n">
        <v>331.2</v>
      </c>
      <c r="K1015" s="17" t="n">
        <v>449.19</v>
      </c>
      <c r="L1015" s="17" t="n">
        <v>0</v>
      </c>
      <c r="M1015" s="17" t="n">
        <v>0</v>
      </c>
      <c r="N1015" s="17">
        <f>K1015*0.08+L1015*0.08</f>
        <v/>
      </c>
      <c r="O1015" s="17">
        <f>-(K1015*0.025+L1015*0.025)</f>
        <v/>
      </c>
      <c r="P1015" s="17">
        <f>32</f>
        <v/>
      </c>
      <c r="Q1015" s="17">
        <f>J1015+L1015+N1015+O1015-P1015-M1015</f>
        <v/>
      </c>
    </row>
    <row r="1016">
      <c r="A1016" s="16" t="inlineStr">
        <is>
          <t>5.15-5.21</t>
        </is>
      </c>
      <c r="B1016" s="16" t="inlineStr">
        <is>
          <t>PO-128-09338575196791264</t>
        </is>
      </c>
      <c r="C1016" s="16" t="inlineStr">
        <is>
          <t>Shipped</t>
        </is>
      </c>
      <c r="D1016" s="16" t="inlineStr">
        <is>
          <t>128-09338564711031264</t>
        </is>
      </c>
      <c r="E1016" s="16" t="inlineStr">
        <is>
          <t>Shipped</t>
        </is>
      </c>
      <c r="F1016" s="16" t="inlineStr">
        <is>
          <t>LB02235-negro</t>
        </is>
      </c>
      <c r="G1016" s="16" t="inlineStr">
        <is>
          <t>Audífonos Inalámbricos para la Cabeza, Recargables y Multifuncionales - Conectan a Varios Dispositivos, soportan Radio FM, Tarjeta TF y AUX - 4 Horas de Reproducción Musical - Ideal para Trabajo Cotidiano, Juegos y Estudio</t>
        </is>
      </c>
      <c r="H1016" s="16" t="inlineStr">
        <is>
          <t>NEGRO</t>
        </is>
      </c>
      <c r="I1016" s="16" t="n">
        <v>1</v>
      </c>
      <c r="J1016" s="17" t="n">
        <v>36.8</v>
      </c>
      <c r="K1016" s="17" t="n">
        <v>49.91</v>
      </c>
      <c r="L1016" s="17" t="n">
        <v>25.86</v>
      </c>
      <c r="M1016" s="17" t="n">
        <v>0</v>
      </c>
      <c r="N1016" s="17">
        <f>K1016*0.08+L1016*0.08</f>
        <v/>
      </c>
      <c r="O1016" s="17">
        <f>-(K1016*0.025+L1016*0.025)</f>
        <v/>
      </c>
      <c r="P1016" s="17">
        <f>32</f>
        <v/>
      </c>
      <c r="Q1016" s="17">
        <f>J1016+L1016+N1016+O1016-P1016-M1016</f>
        <v/>
      </c>
    </row>
    <row r="1017">
      <c r="A1017" s="16" t="inlineStr">
        <is>
          <t>5.15-5.21</t>
        </is>
      </c>
      <c r="B1017" s="16" t="inlineStr">
        <is>
          <t>PO-128-14513236160633191</t>
        </is>
      </c>
      <c r="C1017" s="16" t="inlineStr">
        <is>
          <t>Shipped</t>
        </is>
      </c>
      <c r="D1017" s="16" t="inlineStr">
        <is>
          <t>128-14513257132153191</t>
        </is>
      </c>
      <c r="E1017" s="16" t="inlineStr">
        <is>
          <t>Shipped</t>
        </is>
      </c>
      <c r="F1017" s="16" t="inlineStr">
        <is>
          <t>KTS-1678Y</t>
        </is>
      </c>
      <c r="G1017" s="16" t="inlineStr">
        <is>
          <t>Bocina portátil Inalámbrico, de 3 pulgadas, tamaño de bolsillo, 170 g, con asa, compatible con TF, USB y Micro SD, con radio FM y función TWS (True Wireless Stereo), adecuada para relajarse en casa o viajar al aire libre.</t>
        </is>
      </c>
      <c r="H1017" s="16" t="inlineStr">
        <is>
          <t>KTS-1678Y</t>
        </is>
      </c>
      <c r="I1017" s="16" t="n">
        <v>1</v>
      </c>
      <c r="J1017" s="17" t="n">
        <v>42.5</v>
      </c>
      <c r="K1017" s="17" t="n">
        <v>48.72</v>
      </c>
      <c r="L1017" s="17" t="n">
        <v>25.86</v>
      </c>
      <c r="M1017" s="17" t="n">
        <v>0</v>
      </c>
      <c r="N1017" s="17">
        <f>K1017*0.08+L1017*0.08</f>
        <v/>
      </c>
      <c r="O1017" s="17">
        <f>-(K1017*0.025+L1017*0.025)</f>
        <v/>
      </c>
      <c r="P1017" s="17">
        <f>32</f>
        <v/>
      </c>
      <c r="Q1017" s="17">
        <f>J1017+L1017+N1017+O1017-P1017-M1017</f>
        <v/>
      </c>
    </row>
    <row r="1018">
      <c r="A1018" s="16" t="inlineStr">
        <is>
          <t>5.15-5.21</t>
        </is>
      </c>
      <c r="B1018" s="16" t="inlineStr">
        <is>
          <t>PO-128-15100119606390525</t>
        </is>
      </c>
      <c r="C1018" s="16" t="inlineStr">
        <is>
          <t>Shipped</t>
        </is>
      </c>
      <c r="D1018" s="16" t="inlineStr">
        <is>
          <t>128-15100140577910525</t>
        </is>
      </c>
      <c r="E1018" s="16" t="inlineStr">
        <is>
          <t>Shipped</t>
        </is>
      </c>
      <c r="F1018" s="16" t="inlineStr">
        <is>
          <t>MCM-001N</t>
        </is>
      </c>
      <c r="G1018" s="16" t="inlineStr">
        <is>
          <t>Musicord Altavoz Inalámbrico BT Portátil: ¡Sonido impactante, luces LED multicolores y 4 horas de autonomía! Compatible con TWS, FM, TF y USB – Imprescindible para fiestas y viajes</t>
        </is>
      </c>
      <c r="H1018" s="16" t="inlineStr">
        <is>
          <t>NEGRO</t>
        </is>
      </c>
      <c r="I1018" s="16" t="n">
        <v>1</v>
      </c>
      <c r="J1018" s="17" t="n">
        <v>61</v>
      </c>
      <c r="K1018" s="17" t="n">
        <v>68.79000000000001</v>
      </c>
      <c r="L1018" s="17" t="n">
        <v>25.86</v>
      </c>
      <c r="M1018" s="17" t="n">
        <v>0</v>
      </c>
      <c r="N1018" s="17">
        <f>K1018*0.08+L1018*0.08</f>
        <v/>
      </c>
      <c r="O1018" s="17">
        <f>-(K1018*0.025+L1018*0.025)</f>
        <v/>
      </c>
      <c r="P1018" s="17">
        <f>32</f>
        <v/>
      </c>
      <c r="Q1018" s="17">
        <f>J1018+L1018+N1018+O1018-P1018-M1018</f>
        <v/>
      </c>
    </row>
    <row r="1019">
      <c r="A1019" s="16" t="inlineStr">
        <is>
          <t>5.15-5.21</t>
        </is>
      </c>
      <c r="B1019" s="16" t="inlineStr">
        <is>
          <t>PO-128-14567241654393765</t>
        </is>
      </c>
      <c r="C1019" s="16" t="inlineStr">
        <is>
          <t>Shipped</t>
        </is>
      </c>
      <c r="D1019" s="16" t="inlineStr">
        <is>
          <t>128-14567317676153765</t>
        </is>
      </c>
      <c r="E1019" s="16" t="inlineStr">
        <is>
          <t>Shipped</t>
        </is>
      </c>
      <c r="F1019" s="16" t="inlineStr">
        <is>
          <t>LB02235-azul</t>
        </is>
      </c>
      <c r="G1019" s="16" t="inlineStr">
        <is>
          <t>Audífonos Inalámbricos para la Cabeza, Recargables y Multifuncionales - Conectan a Varios Dispositivos, soportan Radio FM, Tarjeta TF y AUX - 4 Horas de Reproducción Musical - Ideal para Trabajo Cotidiano, Juegos y Estudio</t>
        </is>
      </c>
      <c r="H1019" s="16" t="inlineStr">
        <is>
          <t>AZUL</t>
        </is>
      </c>
      <c r="I1019" s="16" t="n">
        <v>1</v>
      </c>
      <c r="J1019" s="17" t="n">
        <v>36.8</v>
      </c>
      <c r="K1019" s="17" t="n">
        <v>49.91</v>
      </c>
      <c r="L1019" s="17" t="n">
        <v>25.86</v>
      </c>
      <c r="M1019" s="17" t="n">
        <v>0</v>
      </c>
      <c r="N1019" s="17">
        <f>K1019*0.08+L1019*0.08</f>
        <v/>
      </c>
      <c r="O1019" s="17">
        <f>-(K1019*0.025+L1019*0.025)</f>
        <v/>
      </c>
      <c r="P1019" s="17">
        <f>32</f>
        <v/>
      </c>
      <c r="Q1019" s="17">
        <f>J1019+L1019+N1019+O1019-P1019-M1019</f>
        <v/>
      </c>
    </row>
    <row r="1020">
      <c r="A1020" s="16" t="inlineStr">
        <is>
          <t>5.15-5.21</t>
        </is>
      </c>
      <c r="B1020" s="16" t="inlineStr">
        <is>
          <t>PO-128-14532233674874036</t>
        </is>
      </c>
      <c r="C1020" s="16" t="inlineStr">
        <is>
          <t>Shipped</t>
        </is>
      </c>
      <c r="D1020" s="16" t="inlineStr">
        <is>
          <t>128-14532191731834036</t>
        </is>
      </c>
      <c r="E1020" s="16" t="inlineStr">
        <is>
          <t>Shipped</t>
        </is>
      </c>
      <c r="F1020" s="16" t="inlineStr">
        <is>
          <t>MB-185N</t>
        </is>
      </c>
      <c r="G1020" s="16" t="inlineStr">
        <is>
          <t>Bocina Radio FM/Reproductor, Compatible con Tarjeta TF, USB, Bluetooth, Aplicable para celular, computadora, Ipad y consola.</t>
        </is>
      </c>
      <c r="H1020" s="16" t="inlineStr">
        <is>
          <t>NEGRO/MB-185</t>
        </is>
      </c>
      <c r="I1020" s="16" t="n">
        <v>1</v>
      </c>
      <c r="J1020" s="17" t="n">
        <v>75.5</v>
      </c>
      <c r="K1020" s="17" t="n">
        <v>88.44</v>
      </c>
      <c r="L1020" s="17" t="n">
        <v>25.86</v>
      </c>
      <c r="M1020" s="17" t="n">
        <v>0</v>
      </c>
      <c r="N1020" s="17">
        <f>K1020*0.08+L1020*0.08</f>
        <v/>
      </c>
      <c r="O1020" s="17">
        <f>-(K1020*0.025+L1020*0.025)</f>
        <v/>
      </c>
      <c r="P1020" s="17">
        <f>32</f>
        <v/>
      </c>
      <c r="Q1020" s="17">
        <f>J1020+L1020+N1020+O1020-P1020-M1020</f>
        <v/>
      </c>
    </row>
    <row r="1021">
      <c r="A1021" s="16" t="inlineStr">
        <is>
          <t>5.15-5.21</t>
        </is>
      </c>
      <c r="B1021" s="16" t="inlineStr">
        <is>
          <t>PO-128-15003203720310204</t>
        </is>
      </c>
      <c r="C1021" s="16" t="inlineStr">
        <is>
          <t>Shipped</t>
        </is>
      </c>
      <c r="D1021" s="16" t="inlineStr">
        <is>
          <t>128-15003235177590204</t>
        </is>
      </c>
      <c r="E1021" s="16" t="inlineStr">
        <is>
          <t>Shipped</t>
        </is>
      </c>
      <c r="F1021" s="16" t="inlineStr">
        <is>
          <t>MCM-001R</t>
        </is>
      </c>
      <c r="G1021" s="16" t="inlineStr">
        <is>
          <t>Musicord Altavoz Inalámbrico BT Portátil: ¡Sonido impactante, luces LED multicolores y 4 horas de autonomía! Compatible con TWS, FM, TF y USB – Imprescindible para fiestas y viajes</t>
        </is>
      </c>
      <c r="H1021" s="16" t="inlineStr">
        <is>
          <t>ROJO</t>
        </is>
      </c>
      <c r="I1021" s="16" t="n">
        <v>1</v>
      </c>
      <c r="J1021" s="17" t="n">
        <v>66.5</v>
      </c>
      <c r="K1021" s="17" t="n">
        <v>59.43</v>
      </c>
      <c r="L1021" s="17" t="n">
        <v>25.86</v>
      </c>
      <c r="M1021" s="17" t="n">
        <v>0</v>
      </c>
      <c r="N1021" s="17">
        <f>K1021*0.08+L1021*0.08</f>
        <v/>
      </c>
      <c r="O1021" s="17">
        <f>-(K1021*0.025+L1021*0.025)</f>
        <v/>
      </c>
      <c r="P1021" s="17">
        <f>32</f>
        <v/>
      </c>
      <c r="Q1021" s="17">
        <f>J1021+L1021+N1021+O1021-P1021-M1021</f>
        <v/>
      </c>
    </row>
    <row r="1022">
      <c r="A1022" s="16" t="inlineStr">
        <is>
          <t>5.15-5.21</t>
        </is>
      </c>
      <c r="B1022" s="16" t="inlineStr">
        <is>
          <t>PO-128-14622700250232536</t>
        </is>
      </c>
      <c r="C1022" s="16" t="inlineStr">
        <is>
          <t>Shipped</t>
        </is>
      </c>
      <c r="D1022" s="16" t="inlineStr">
        <is>
          <t>128-14622836565112536</t>
        </is>
      </c>
      <c r="E1022" s="16" t="inlineStr">
        <is>
          <t>Shipped</t>
        </is>
      </c>
      <c r="F1022" s="16" t="inlineStr">
        <is>
          <t>SA8056T</t>
        </is>
      </c>
      <c r="G102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022" s="16" t="inlineStr">
        <is>
          <t>SA8056T</t>
        </is>
      </c>
      <c r="I1022" s="16" t="n">
        <v>1</v>
      </c>
      <c r="J1022" s="17" t="n">
        <v>141</v>
      </c>
      <c r="K1022" s="17" t="n">
        <v>101.04</v>
      </c>
      <c r="L1022" s="17" t="n">
        <v>25.86</v>
      </c>
      <c r="M1022" s="17" t="n">
        <v>0</v>
      </c>
      <c r="N1022" s="17">
        <f>K1022*0.08+L1022*0.08</f>
        <v/>
      </c>
      <c r="O1022" s="17">
        <f>-(K1022*0.025+L1022*0.025)</f>
        <v/>
      </c>
      <c r="P1022" s="17">
        <f>32</f>
        <v/>
      </c>
      <c r="Q1022" s="17">
        <f>J1022+L1022+N1022+O1022-P1022-M1022</f>
        <v/>
      </c>
    </row>
    <row r="1023">
      <c r="A1023" s="16" t="inlineStr">
        <is>
          <t>5.15-5.21</t>
        </is>
      </c>
      <c r="B1023" s="16" t="inlineStr">
        <is>
          <t>PO-128-14644197077112408</t>
        </is>
      </c>
      <c r="C1023" s="16" t="inlineStr">
        <is>
          <t>Shipped</t>
        </is>
      </c>
      <c r="D1023" s="16" t="inlineStr">
        <is>
          <t>128-14644186591352408</t>
        </is>
      </c>
      <c r="E1023" s="16" t="inlineStr">
        <is>
          <t>Shipped</t>
        </is>
      </c>
      <c r="F1023" s="16" t="inlineStr">
        <is>
          <t>VB347T</t>
        </is>
      </c>
      <c r="G102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023" s="16" t="inlineStr">
        <is>
          <t>1 pieza</t>
        </is>
      </c>
      <c r="I1023" s="16" t="n">
        <v>1</v>
      </c>
      <c r="J1023" s="17" t="n">
        <v>79.90000000000001</v>
      </c>
      <c r="K1023" s="17" t="n">
        <v>94.5</v>
      </c>
      <c r="L1023" s="17" t="n">
        <v>25.86</v>
      </c>
      <c r="M1023" s="17" t="n">
        <v>0</v>
      </c>
      <c r="N1023" s="17">
        <f>K1023*0.08+L1023*0.08</f>
        <v/>
      </c>
      <c r="O1023" s="17">
        <f>-(K1023*0.025+L1023*0.025)</f>
        <v/>
      </c>
      <c r="P1023" s="17">
        <f>32</f>
        <v/>
      </c>
      <c r="Q1023" s="17">
        <f>J1023+L1023+N1023+O1023-P1023-M1023</f>
        <v/>
      </c>
    </row>
    <row r="1024">
      <c r="A1024" s="16" t="inlineStr">
        <is>
          <t>5.15-5.21</t>
        </is>
      </c>
      <c r="B1024" s="16" t="inlineStr">
        <is>
          <t>PO-128-14655543570552215</t>
        </is>
      </c>
      <c r="C1024" s="16" t="inlineStr">
        <is>
          <t>Shipped</t>
        </is>
      </c>
      <c r="D1024" s="16" t="inlineStr">
        <is>
          <t>128-14655554056312215</t>
        </is>
      </c>
      <c r="E1024" s="16" t="inlineStr">
        <is>
          <t>Shipped</t>
        </is>
      </c>
      <c r="F1024" s="16" t="inlineStr">
        <is>
          <t>MB-185N</t>
        </is>
      </c>
      <c r="G1024" s="16" t="inlineStr">
        <is>
          <t>Bocina Radio FM/Reproductor, Compatible con Tarjeta TF, USB, Bluetooth, Aplicable para celular, computadora, Ipad y consola.</t>
        </is>
      </c>
      <c r="H1024" s="16" t="inlineStr">
        <is>
          <t>NEGRO/MB-185</t>
        </is>
      </c>
      <c r="I1024" s="16" t="n">
        <v>1</v>
      </c>
      <c r="J1024" s="17" t="n">
        <v>75.5</v>
      </c>
      <c r="K1024" s="17" t="n">
        <v>88.44</v>
      </c>
      <c r="L1024" s="17" t="n">
        <v>0</v>
      </c>
      <c r="M1024" s="17" t="n">
        <v>0</v>
      </c>
      <c r="N1024" s="17">
        <f>K1024*0.08+L1024*0.08</f>
        <v/>
      </c>
      <c r="O1024" s="17">
        <f>-(K1024*0.025+L1024*0.025)</f>
        <v/>
      </c>
      <c r="P1024" s="17">
        <f>32</f>
        <v/>
      </c>
      <c r="Q1024" s="17">
        <f>J1024+L1024+N1024+O1024-P1024-M1024</f>
        <v/>
      </c>
    </row>
    <row r="1025">
      <c r="A1025" s="16" t="inlineStr">
        <is>
          <t>5.15-5.21</t>
        </is>
      </c>
      <c r="B1025" s="16" t="inlineStr">
        <is>
          <t>PO-128-14655543570552215</t>
        </is>
      </c>
      <c r="C1025" s="16" t="inlineStr">
        <is>
          <t>Shipped</t>
        </is>
      </c>
      <c r="D1025" s="16" t="inlineStr">
        <is>
          <t>128-14655501627512215</t>
        </is>
      </c>
      <c r="E1025" s="16" t="inlineStr">
        <is>
          <t>Shipped</t>
        </is>
      </c>
      <c r="F1025" s="16" t="inlineStr">
        <is>
          <t>MB-185R</t>
        </is>
      </c>
      <c r="G1025" s="16" t="inlineStr">
        <is>
          <t>Bocina Radio FM/Reproductor, Compatible con Tarjeta TF, USB, Bluetooth, Aplicable para celular, computadora, Ipad y consola.</t>
        </is>
      </c>
      <c r="H1025" s="16" t="inlineStr">
        <is>
          <t>ROJO/MB-185</t>
        </is>
      </c>
      <c r="I1025" s="16" t="n">
        <v>1</v>
      </c>
      <c r="J1025" s="17" t="n">
        <v>74</v>
      </c>
      <c r="K1025" s="17" t="n">
        <v>86.94</v>
      </c>
      <c r="L1025" s="17" t="n">
        <v>0</v>
      </c>
      <c r="M1025" s="17" t="n">
        <v>0</v>
      </c>
      <c r="N1025" s="17">
        <f>K1025*0.08+L1025*0.08</f>
        <v/>
      </c>
      <c r="O1025" s="17">
        <f>-(K1025*0.025+L1025*0.025)</f>
        <v/>
      </c>
      <c r="P1025" s="17">
        <f>32</f>
        <v/>
      </c>
      <c r="Q1025" s="17">
        <f>J1025+L1025+N1025+O1025-P1025-M1025</f>
        <v/>
      </c>
    </row>
    <row r="1026">
      <c r="A1026" s="16" t="inlineStr">
        <is>
          <t>5.15-5.21</t>
        </is>
      </c>
      <c r="B1026" s="16" t="inlineStr">
        <is>
          <t>PO-128-14655543570552215</t>
        </is>
      </c>
      <c r="C1026" s="16" t="inlineStr">
        <is>
          <t>Shipped</t>
        </is>
      </c>
      <c r="D1026" s="16" t="inlineStr">
        <is>
          <t>128-14655512113272215</t>
        </is>
      </c>
      <c r="E1026" s="16" t="inlineStr">
        <is>
          <t>Shipped</t>
        </is>
      </c>
      <c r="F1026" s="16" t="inlineStr">
        <is>
          <t>MB-185A</t>
        </is>
      </c>
      <c r="G1026" s="16" t="inlineStr">
        <is>
          <t>Bocina Radio FM/Reproductor, Compatible con Tarjeta TF, USB, Bluetooth, Aplicable para celular, computadora, Ipad y consola.</t>
        </is>
      </c>
      <c r="H1026" s="16" t="inlineStr">
        <is>
          <t>AZUL/MB-185</t>
        </is>
      </c>
      <c r="I1026" s="16" t="n">
        <v>1</v>
      </c>
      <c r="J1026" s="17" t="n">
        <v>75.5</v>
      </c>
      <c r="K1026" s="17" t="n">
        <v>88.44</v>
      </c>
      <c r="L1026" s="17" t="n">
        <v>0</v>
      </c>
      <c r="M1026" s="17" t="n">
        <v>0</v>
      </c>
      <c r="N1026" s="17">
        <f>K1026*0.08+L1026*0.08</f>
        <v/>
      </c>
      <c r="O1026" s="17">
        <f>-(K1026*0.025+L1026*0.025)</f>
        <v/>
      </c>
      <c r="P1026" s="17">
        <f>32</f>
        <v/>
      </c>
      <c r="Q1026" s="17">
        <f>J1026+L1026+N1026+O1026-P1026-M1026</f>
        <v/>
      </c>
    </row>
    <row r="1027">
      <c r="A1027" s="16" t="inlineStr">
        <is>
          <t>5.15-5.21</t>
        </is>
      </c>
      <c r="B1027" s="16" t="inlineStr">
        <is>
          <t>PO-128-14525712950394013</t>
        </is>
      </c>
      <c r="C1027" s="16" t="inlineStr">
        <is>
          <t>Shipped</t>
        </is>
      </c>
      <c r="D1027" s="16" t="inlineStr">
        <is>
          <t>128-14525671007354013</t>
        </is>
      </c>
      <c r="E1027" s="16" t="inlineStr">
        <is>
          <t>Shipped</t>
        </is>
      </c>
      <c r="F1027" s="16" t="inlineStr">
        <is>
          <t>SA325T</t>
        </is>
      </c>
      <c r="G1027" s="16" t="inlineStr">
        <is>
          <t>Subwoofer Portátil Inalámbrico con Luces RGB, Sonido de Alta Potencia y Batería Duradera, TWS TF USB, Perfecto para Campamento Fiestas y Entretenimiento en Casa</t>
        </is>
      </c>
      <c r="H1027" s="16" t="inlineStr">
        <is>
          <t>NEGRO</t>
        </is>
      </c>
      <c r="I1027" s="16" t="n">
        <v>1</v>
      </c>
      <c r="J1027" s="17" t="n">
        <v>38</v>
      </c>
      <c r="K1027" s="17" t="n">
        <v>47.04</v>
      </c>
      <c r="L1027" s="17" t="n">
        <v>25.86</v>
      </c>
      <c r="M1027" s="17" t="n">
        <v>0</v>
      </c>
      <c r="N1027" s="17">
        <f>K1027*0.08+L1027*0.08</f>
        <v/>
      </c>
      <c r="O1027" s="17">
        <f>-(K1027*0.025+L1027*0.025)</f>
        <v/>
      </c>
      <c r="P1027" s="17">
        <f>32</f>
        <v/>
      </c>
      <c r="Q1027" s="17">
        <f>J1027+L1027+N1027+O1027-P1027-M1027</f>
        <v/>
      </c>
    </row>
    <row r="1028">
      <c r="A1028" s="16" t="inlineStr">
        <is>
          <t>5.15-5.21</t>
        </is>
      </c>
      <c r="B1028" s="16" t="inlineStr">
        <is>
          <t>PO-128-14882926026871819</t>
        </is>
      </c>
      <c r="C1028" s="16" t="inlineStr">
        <is>
          <t>Shipped</t>
        </is>
      </c>
      <c r="D1028" s="16" t="inlineStr">
        <is>
          <t>128-14883030884471819</t>
        </is>
      </c>
      <c r="E1028" s="16" t="inlineStr">
        <is>
          <t>Shipped</t>
        </is>
      </c>
      <c r="F1028" s="16" t="inlineStr">
        <is>
          <t>LB02235-negro</t>
        </is>
      </c>
      <c r="G1028" s="16" t="inlineStr">
        <is>
          <t>Audífonos Inalámbricos para la Cabeza, Recargables y Multifuncionales - Conectan a Varios Dispositivos, soportan Radio FM, Tarjeta TF y AUX - 4 Horas de Reproducción Musical - Ideal para Trabajo Cotidiano, Juegos y Estudio</t>
        </is>
      </c>
      <c r="H1028" s="16" t="inlineStr">
        <is>
          <t>NEGRO</t>
        </is>
      </c>
      <c r="I1028" s="16" t="n">
        <v>1</v>
      </c>
      <c r="J1028" s="17" t="n">
        <v>36.8</v>
      </c>
      <c r="K1028" s="17" t="n">
        <v>49.91</v>
      </c>
      <c r="L1028" s="17" t="n">
        <v>25.86</v>
      </c>
      <c r="M1028" s="17" t="n">
        <v>0</v>
      </c>
      <c r="N1028" s="17">
        <f>K1028*0.08+L1028*0.08</f>
        <v/>
      </c>
      <c r="O1028" s="17">
        <f>-(K1028*0.025+L1028*0.025)</f>
        <v/>
      </c>
      <c r="P1028" s="17">
        <f>32</f>
        <v/>
      </c>
      <c r="Q1028" s="17">
        <f>J1028+L1028+N1028+O1028-P1028-M1028</f>
        <v/>
      </c>
    </row>
    <row r="1029">
      <c r="A1029" s="16" t="inlineStr">
        <is>
          <t>5.15-5.21</t>
        </is>
      </c>
      <c r="B1029" s="16" t="inlineStr">
        <is>
          <t>PO-128-14640421338232369</t>
        </is>
      </c>
      <c r="C1029" s="16" t="inlineStr">
        <is>
          <t>Shipped</t>
        </is>
      </c>
      <c r="D1029" s="16" t="inlineStr">
        <is>
          <t>128-14640442309752369</t>
        </is>
      </c>
      <c r="E1029" s="16" t="inlineStr">
        <is>
          <t>Shipped</t>
        </is>
      </c>
      <c r="F1029" s="16" t="inlineStr">
        <is>
          <t>LB02235-negro</t>
        </is>
      </c>
      <c r="G1029" s="16" t="inlineStr">
        <is>
          <t>Audífonos Inalámbricos para la Cabeza, Recargables y Multifuncionales - Conectan a Varios Dispositivos, soportan Radio FM, Tarjeta TF y AUX - 4 Horas de Reproducción Musical - Ideal para Trabajo Cotidiano, Juegos y Estudio</t>
        </is>
      </c>
      <c r="H1029" s="16" t="inlineStr">
        <is>
          <t>NEGRO</t>
        </is>
      </c>
      <c r="I1029" s="16" t="n">
        <v>2</v>
      </c>
      <c r="J1029" s="17" t="n">
        <v>73.59999999999999</v>
      </c>
      <c r="K1029" s="17" t="n">
        <v>79.14</v>
      </c>
      <c r="L1029" s="17" t="n">
        <v>10.34</v>
      </c>
      <c r="M1029" s="17" t="n">
        <v>0</v>
      </c>
      <c r="N1029" s="17">
        <f>K1029*0.08+L1029*0.08</f>
        <v/>
      </c>
      <c r="O1029" s="17">
        <f>-(K1029*0.025+L1029*0.025)</f>
        <v/>
      </c>
      <c r="P1029" s="17">
        <f>32</f>
        <v/>
      </c>
      <c r="Q1029" s="17">
        <f>J1029+L1029+N1029+O1029-P1029-M1029</f>
        <v/>
      </c>
    </row>
    <row r="1030">
      <c r="A1030" s="16" t="inlineStr">
        <is>
          <t>5.15-5.21</t>
        </is>
      </c>
      <c r="B1030" s="16" t="inlineStr">
        <is>
          <t>PO-128-14640421338232369</t>
        </is>
      </c>
      <c r="C1030" s="16" t="inlineStr">
        <is>
          <t>Shipped</t>
        </is>
      </c>
      <c r="D1030" s="16" t="inlineStr">
        <is>
          <t>128-14640358423672369</t>
        </is>
      </c>
      <c r="E1030" s="16" t="inlineStr">
        <is>
          <t>Shipped</t>
        </is>
      </c>
      <c r="F1030" s="16" t="inlineStr">
        <is>
          <t>LB02235-rojo</t>
        </is>
      </c>
      <c r="G1030" s="16" t="inlineStr">
        <is>
          <t>Audífonos Inalámbricos para la Cabeza, Recargables y Multifuncionales - Conectan a Varios Dispositivos, soportan Radio FM, Tarjeta TF y AUX - 4 Horas de Reproducción Musical - Ideal para Trabajo Cotidiano, Juegos y Estudio</t>
        </is>
      </c>
      <c r="H1030" s="16" t="inlineStr">
        <is>
          <t>ROJO</t>
        </is>
      </c>
      <c r="I1030" s="16" t="n">
        <v>1</v>
      </c>
      <c r="J1030" s="17" t="n">
        <v>36.8</v>
      </c>
      <c r="K1030" s="17" t="n">
        <v>39.57</v>
      </c>
      <c r="L1030" s="17" t="n">
        <v>5.17</v>
      </c>
      <c r="M1030" s="17" t="n">
        <v>0</v>
      </c>
      <c r="N1030" s="17">
        <f>K1030*0.08+L1030*0.08</f>
        <v/>
      </c>
      <c r="O1030" s="17">
        <f>-(K1030*0.025+L1030*0.025)</f>
        <v/>
      </c>
      <c r="P1030" s="17">
        <f>32</f>
        <v/>
      </c>
      <c r="Q1030" s="17">
        <f>J1030+L1030+N1030+O1030-P1030-M1030</f>
        <v/>
      </c>
    </row>
    <row r="1031">
      <c r="A1031" s="16" t="inlineStr">
        <is>
          <t>5.15-5.21</t>
        </is>
      </c>
      <c r="B1031" s="16" t="inlineStr">
        <is>
          <t>PO-128-14640421338232369</t>
        </is>
      </c>
      <c r="C1031" s="16" t="inlineStr">
        <is>
          <t>Shipped</t>
        </is>
      </c>
      <c r="D1031" s="16" t="inlineStr">
        <is>
          <t>128-14640337452152369</t>
        </is>
      </c>
      <c r="E1031" s="16" t="inlineStr">
        <is>
          <t>Shipped</t>
        </is>
      </c>
      <c r="F1031" s="16" t="inlineStr">
        <is>
          <t>LB02235-blanco</t>
        </is>
      </c>
      <c r="G1031" s="16" t="inlineStr">
        <is>
          <t>Audífonos Inalámbricos para la Cabeza, Recargables y Multifuncionales - Conectan a Varios Dispositivos, soportan Radio FM, Tarjeta TF y AUX - 4 Horas de Reproducción Musical - Ideal para Trabajo Cotidiano, Juegos y Estudio</t>
        </is>
      </c>
      <c r="H1031" s="16" t="inlineStr">
        <is>
          <t>BLANCO</t>
        </is>
      </c>
      <c r="I1031" s="16" t="n">
        <v>1</v>
      </c>
      <c r="J1031" s="17" t="n">
        <v>36.8</v>
      </c>
      <c r="K1031" s="17" t="n">
        <v>39.57</v>
      </c>
      <c r="L1031" s="17" t="n">
        <v>5.17</v>
      </c>
      <c r="M1031" s="17" t="n">
        <v>0</v>
      </c>
      <c r="N1031" s="17">
        <f>K1031*0.08+L1031*0.08</f>
        <v/>
      </c>
      <c r="O1031" s="17">
        <f>-(K1031*0.025+L1031*0.025)</f>
        <v/>
      </c>
      <c r="P1031" s="17">
        <f>32</f>
        <v/>
      </c>
      <c r="Q1031" s="17">
        <f>J1031+L1031+N1031+O1031-P1031-M1031</f>
        <v/>
      </c>
    </row>
    <row r="1032">
      <c r="A1032" s="16" t="inlineStr">
        <is>
          <t>5.15-5.21</t>
        </is>
      </c>
      <c r="B1032" s="16" t="inlineStr">
        <is>
          <t>PO-128-14640421338232369</t>
        </is>
      </c>
      <c r="C1032" s="16" t="inlineStr">
        <is>
          <t>Shipped</t>
        </is>
      </c>
      <c r="D1032" s="16" t="inlineStr">
        <is>
          <t>128-14640400366712369</t>
        </is>
      </c>
      <c r="E1032" s="16" t="inlineStr">
        <is>
          <t>Shipped</t>
        </is>
      </c>
      <c r="F1032" s="16" t="inlineStr">
        <is>
          <t>LB02235-azul</t>
        </is>
      </c>
      <c r="G1032" s="16" t="inlineStr">
        <is>
          <t>Audífonos Inalámbricos para la Cabeza, Recargables y Multifuncionales - Conectan a Varios Dispositivos, soportan Radio FM, Tarjeta TF y AUX - 4 Horas de Reproducción Musical - Ideal para Trabajo Cotidiano, Juegos y Estudio</t>
        </is>
      </c>
      <c r="H1032" s="16" t="inlineStr">
        <is>
          <t>AZUL</t>
        </is>
      </c>
      <c r="I1032" s="16" t="n">
        <v>1</v>
      </c>
      <c r="J1032" s="17" t="n">
        <v>36.8</v>
      </c>
      <c r="K1032" s="17" t="n">
        <v>39.57</v>
      </c>
      <c r="L1032" s="17" t="n">
        <v>5.17</v>
      </c>
      <c r="M1032" s="17" t="n">
        <v>0</v>
      </c>
      <c r="N1032" s="17">
        <f>K1032*0.08+L1032*0.08</f>
        <v/>
      </c>
      <c r="O1032" s="17">
        <f>-(K1032*0.025+L1032*0.025)</f>
        <v/>
      </c>
      <c r="P1032" s="17">
        <f>32</f>
        <v/>
      </c>
      <c r="Q1032" s="17">
        <f>J1032+L1032+N1032+O1032-P1032-M1032</f>
        <v/>
      </c>
    </row>
    <row r="1033">
      <c r="A1033" s="16" t="inlineStr">
        <is>
          <t>5.15-5.21</t>
        </is>
      </c>
      <c r="B1033" s="16" t="inlineStr">
        <is>
          <t>PO-128-14787566389111490</t>
        </is>
      </c>
      <c r="C1033" s="16" t="inlineStr">
        <is>
          <t>Shipped</t>
        </is>
      </c>
      <c r="D1033" s="16" t="inlineStr">
        <is>
          <t>128-14787524446071490</t>
        </is>
      </c>
      <c r="E1033" s="16" t="inlineStr">
        <is>
          <t>Shipped</t>
        </is>
      </c>
      <c r="F1033" s="16" t="inlineStr">
        <is>
          <t>SA325T</t>
        </is>
      </c>
      <c r="G1033" s="16" t="inlineStr">
        <is>
          <t>Subwoofer Portátil Inalámbrico con Luces RGB, Sonido de Alta Potencia y Batería Duradera, TWS TF USB, Perfecto para Campamento Fiestas y Entretenimiento en Casa</t>
        </is>
      </c>
      <c r="H1033" s="16" t="inlineStr">
        <is>
          <t>NEGRO</t>
        </is>
      </c>
      <c r="I1033" s="16" t="n">
        <v>1</v>
      </c>
      <c r="J1033" s="17" t="n">
        <v>38</v>
      </c>
      <c r="K1033" s="17" t="n">
        <v>47.04</v>
      </c>
      <c r="L1033" s="17" t="n">
        <v>25.86</v>
      </c>
      <c r="M1033" s="17" t="n">
        <v>0</v>
      </c>
      <c r="N1033" s="17">
        <f>K1033*0.08+L1033*0.08</f>
        <v/>
      </c>
      <c r="O1033" s="17">
        <f>-(K1033*0.025+L1033*0.025)</f>
        <v/>
      </c>
      <c r="P1033" s="17">
        <f>32</f>
        <v/>
      </c>
      <c r="Q1033" s="17">
        <f>J1033+L1033+N1033+O1033-P1033-M1033</f>
        <v/>
      </c>
    </row>
    <row r="1034">
      <c r="A1034" s="16" t="inlineStr">
        <is>
          <t>5.15-5.21</t>
        </is>
      </c>
      <c r="B1034" s="16" t="inlineStr">
        <is>
          <t>PO-128-14467617129593399</t>
        </is>
      </c>
      <c r="C1034" s="16" t="inlineStr">
        <is>
          <t>Shipped</t>
        </is>
      </c>
      <c r="D1034" s="16" t="inlineStr">
        <is>
          <t>128-14467661694073399</t>
        </is>
      </c>
      <c r="E1034" s="16" t="inlineStr">
        <is>
          <t>Shipped</t>
        </is>
      </c>
      <c r="F1034" s="16" t="inlineStr">
        <is>
          <t>MB-185A</t>
        </is>
      </c>
      <c r="G1034" s="16" t="inlineStr">
        <is>
          <t>Bocina Radio FM/Reproductor, Compatible con Tarjeta TF, USB, Bluetooth, Aplicable para celular, computadora, Ipad y consola.</t>
        </is>
      </c>
      <c r="H1034" s="16" t="inlineStr">
        <is>
          <t>AZUL/MB-185</t>
        </is>
      </c>
      <c r="I1034" s="16" t="n">
        <v>1</v>
      </c>
      <c r="J1034" s="17" t="n">
        <v>75.5</v>
      </c>
      <c r="K1034" s="17" t="n">
        <v>88.44</v>
      </c>
      <c r="L1034" s="17" t="n">
        <v>25.86</v>
      </c>
      <c r="M1034" s="17" t="n">
        <v>0</v>
      </c>
      <c r="N1034" s="17">
        <f>K1034*0.08+L1034*0.08</f>
        <v/>
      </c>
      <c r="O1034" s="17">
        <f>-(K1034*0.025+L1034*0.025)</f>
        <v/>
      </c>
      <c r="P1034" s="17">
        <f>32</f>
        <v/>
      </c>
      <c r="Q1034" s="17">
        <f>J1034+L1034+N1034+O1034-P1034-M1034</f>
        <v/>
      </c>
    </row>
    <row r="1035">
      <c r="A1035" s="16" t="inlineStr">
        <is>
          <t>5.15-5.21</t>
        </is>
      </c>
      <c r="B1035" s="16" t="inlineStr">
        <is>
          <t>PO-128-14735003328632701</t>
        </is>
      </c>
      <c r="C1035" s="16" t="inlineStr">
        <is>
          <t>Shipped</t>
        </is>
      </c>
      <c r="D1035" s="16" t="inlineStr">
        <is>
          <t>128-14734953521272701</t>
        </is>
      </c>
      <c r="E1035" s="16" t="inlineStr">
        <is>
          <t>Shipped</t>
        </is>
      </c>
      <c r="F1035" s="16" t="inlineStr">
        <is>
          <t>LB02235-negro</t>
        </is>
      </c>
      <c r="G1035" s="16" t="inlineStr">
        <is>
          <t>Audífonos Inalámbricos para la Cabeza, Recargables y Multifuncionales - Conectan a Varios Dispositivos, soportan Radio FM, Tarjeta TF y AUX - 4 Horas de Reproducción Musical - Ideal para Trabajo Cotidiano, Juegos y Estudio</t>
        </is>
      </c>
      <c r="H1035" s="16" t="inlineStr">
        <is>
          <t>NEGRO</t>
        </is>
      </c>
      <c r="I1035" s="16" t="n">
        <v>1</v>
      </c>
      <c r="J1035" s="17" t="n">
        <v>36.8</v>
      </c>
      <c r="K1035" s="17" t="n">
        <v>49.91</v>
      </c>
      <c r="L1035" s="17" t="n">
        <v>12.93</v>
      </c>
      <c r="M1035" s="17" t="n">
        <v>0</v>
      </c>
      <c r="N1035" s="17">
        <f>K1035*0.08+L1035*0.08</f>
        <v/>
      </c>
      <c r="O1035" s="17">
        <f>-(K1035*0.025+L1035*0.025)</f>
        <v/>
      </c>
      <c r="P1035" s="17">
        <f>32</f>
        <v/>
      </c>
      <c r="Q1035" s="17">
        <f>J1035+L1035+N1035+O1035-P1035-M1035</f>
        <v/>
      </c>
    </row>
    <row r="1036">
      <c r="A1036" s="16" t="inlineStr">
        <is>
          <t>5.15-5.21</t>
        </is>
      </c>
      <c r="B1036" s="16" t="inlineStr">
        <is>
          <t>PO-128-14735003328632701</t>
        </is>
      </c>
      <c r="C1036" s="16" t="inlineStr">
        <is>
          <t>Shipped</t>
        </is>
      </c>
      <c r="D1036" s="16" t="inlineStr">
        <is>
          <t>128-14734950899832701</t>
        </is>
      </c>
      <c r="E1036" s="16" t="inlineStr">
        <is>
          <t>Shipped</t>
        </is>
      </c>
      <c r="F1036" s="16" t="inlineStr">
        <is>
          <t>LB02235-blanco</t>
        </is>
      </c>
      <c r="G1036" s="16" t="inlineStr">
        <is>
          <t>Audífonos Inalámbricos para la Cabeza, Recargables y Multifuncionales - Conectan a Varios Dispositivos, soportan Radio FM, Tarjeta TF y AUX - 4 Horas de Reproducción Musical - Ideal para Trabajo Cotidiano, Juegos y Estudio</t>
        </is>
      </c>
      <c r="H1036" s="16" t="inlineStr">
        <is>
          <t>BLANCO</t>
        </is>
      </c>
      <c r="I1036" s="16" t="n">
        <v>1</v>
      </c>
      <c r="J1036" s="17" t="n">
        <v>36.8</v>
      </c>
      <c r="K1036" s="17" t="n">
        <v>49.91</v>
      </c>
      <c r="L1036" s="17" t="n">
        <v>12.93</v>
      </c>
      <c r="M1036" s="17" t="n">
        <v>0</v>
      </c>
      <c r="N1036" s="17">
        <f>K1036*0.08+L1036*0.08</f>
        <v/>
      </c>
      <c r="O1036" s="17">
        <f>-(K1036*0.025+L1036*0.025)</f>
        <v/>
      </c>
      <c r="P1036" s="17">
        <f>32</f>
        <v/>
      </c>
      <c r="Q1036" s="17">
        <f>J1036+L1036+N1036+O1036-P1036-M1036</f>
        <v/>
      </c>
    </row>
    <row r="1037">
      <c r="A1037" s="16" t="inlineStr">
        <is>
          <t>5.15-5.21</t>
        </is>
      </c>
      <c r="B1037" s="16" t="inlineStr">
        <is>
          <t>PO-128-14600854812793693</t>
        </is>
      </c>
      <c r="C1037" s="16" t="inlineStr">
        <is>
          <t>Shipped</t>
        </is>
      </c>
      <c r="D1037" s="16" t="inlineStr">
        <is>
          <t>128-14600812869753693</t>
        </is>
      </c>
      <c r="E1037" s="16" t="inlineStr">
        <is>
          <t>Shipped</t>
        </is>
      </c>
      <c r="F1037" s="16" t="inlineStr">
        <is>
          <t>SA323T</t>
        </is>
      </c>
      <c r="G1037" s="16" t="inlineStr">
        <is>
          <t>Linkbits Bocina Portátil Parlantes BT Portátiles con Iluminación de Ambiente | 1 Hora de Duración, FM, TWS, TF/Micro SD | Ideal para Hogar, Fiestas y Viajes</t>
        </is>
      </c>
      <c r="H1037" s="16" t="inlineStr">
        <is>
          <t>SA323T</t>
        </is>
      </c>
      <c r="I1037" s="16" t="n">
        <v>1</v>
      </c>
      <c r="J1037" s="17" t="n">
        <v>46</v>
      </c>
      <c r="K1037" s="17" t="n">
        <v>55.06</v>
      </c>
      <c r="L1037" s="17" t="n">
        <v>25.86</v>
      </c>
      <c r="M1037" s="17" t="n">
        <v>0</v>
      </c>
      <c r="N1037" s="17">
        <f>K1037*0.08+L1037*0.08</f>
        <v/>
      </c>
      <c r="O1037" s="17">
        <f>-(K1037*0.025+L1037*0.025)</f>
        <v/>
      </c>
      <c r="P1037" s="17">
        <f>32</f>
        <v/>
      </c>
      <c r="Q1037" s="17">
        <f>J1037+L1037+N1037+O1037-P1037-M1037</f>
        <v/>
      </c>
    </row>
    <row r="1038">
      <c r="A1038" s="16" t="inlineStr">
        <is>
          <t>5.15-5.21</t>
        </is>
      </c>
      <c r="B1038" s="16" t="inlineStr">
        <is>
          <t>PO-128-14985796923510372</t>
        </is>
      </c>
      <c r="C1038" s="16" t="inlineStr">
        <is>
          <t>Shipped</t>
        </is>
      </c>
      <c r="D1038" s="16" t="inlineStr">
        <is>
          <t>128-14985838866550372</t>
        </is>
      </c>
      <c r="E1038" s="16" t="inlineStr">
        <is>
          <t>Shipped</t>
        </is>
      </c>
      <c r="F1038" s="16" t="inlineStr">
        <is>
          <t>KTS-1678Y</t>
        </is>
      </c>
      <c r="G1038" s="16" t="inlineStr">
        <is>
          <t>Bocina portátil Inalámbrico, de 3 pulgadas, tamaño de bolsillo, 170 g, con asa, compatible con TF, USB y Micro SD, con radio FM y función TWS (True Wireless Stereo), adecuada para relajarse en casa o viajar al aire libre.</t>
        </is>
      </c>
      <c r="H1038" s="16" t="inlineStr">
        <is>
          <t>KTS-1678Y</t>
        </is>
      </c>
      <c r="I1038" s="16" t="n">
        <v>1</v>
      </c>
      <c r="J1038" s="17" t="n">
        <v>42.5</v>
      </c>
      <c r="K1038" s="17" t="n">
        <v>5.62</v>
      </c>
      <c r="L1038" s="17" t="n">
        <v>25.86</v>
      </c>
      <c r="M1038" s="17" t="n">
        <v>0</v>
      </c>
      <c r="N1038" s="17">
        <f>K1038*0.08+L1038*0.08</f>
        <v/>
      </c>
      <c r="O1038" s="17">
        <f>-(K1038*0.025+L1038*0.025)</f>
        <v/>
      </c>
      <c r="P1038" s="17">
        <f>32</f>
        <v/>
      </c>
      <c r="Q1038" s="17">
        <f>J1038+L1038+N1038+O1038-P1038-M1038</f>
        <v/>
      </c>
    </row>
    <row r="1039">
      <c r="A1039" s="16" t="inlineStr">
        <is>
          <t>5.15-5.21</t>
        </is>
      </c>
      <c r="B1039" s="16" t="inlineStr">
        <is>
          <t>PO-128-14996424676470183</t>
        </is>
      </c>
      <c r="C1039" s="16" t="inlineStr">
        <is>
          <t>Shipped</t>
        </is>
      </c>
      <c r="D1039" s="16" t="inlineStr">
        <is>
          <t>128-14996445647990183</t>
        </is>
      </c>
      <c r="E1039" s="16" t="inlineStr">
        <is>
          <t>Shipped</t>
        </is>
      </c>
      <c r="F1039" s="16" t="inlineStr">
        <is>
          <t>SA8056T</t>
        </is>
      </c>
      <c r="G103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039" s="16" t="inlineStr">
        <is>
          <t>SA8056T</t>
        </is>
      </c>
      <c r="I1039" s="16" t="n">
        <v>1</v>
      </c>
      <c r="J1039" s="17" t="n">
        <v>141</v>
      </c>
      <c r="K1039" s="17" t="n">
        <v>161.38</v>
      </c>
      <c r="L1039" s="17" t="n">
        <v>25.86</v>
      </c>
      <c r="M1039" s="17" t="n">
        <v>0</v>
      </c>
      <c r="N1039" s="17">
        <f>K1039*0.08+L1039*0.08</f>
        <v/>
      </c>
      <c r="O1039" s="17">
        <f>-(K1039*0.025+L1039*0.025)</f>
        <v/>
      </c>
      <c r="P1039" s="17">
        <f>32</f>
        <v/>
      </c>
      <c r="Q1039" s="17">
        <f>J1039+L1039+N1039+O1039-P1039-M1039</f>
        <v/>
      </c>
    </row>
    <row r="1040">
      <c r="A1040" s="16" t="inlineStr">
        <is>
          <t>5.15-5.21</t>
        </is>
      </c>
      <c r="B1040" s="16" t="inlineStr">
        <is>
          <t>PO-128-14834438602871274</t>
        </is>
      </c>
      <c r="C1040" s="16" t="inlineStr">
        <is>
          <t>Shipped</t>
        </is>
      </c>
      <c r="D1040" s="16" t="inlineStr">
        <is>
          <t>128-14834430738551274</t>
        </is>
      </c>
      <c r="E1040" s="16" t="inlineStr">
        <is>
          <t>Shipped</t>
        </is>
      </c>
      <c r="F1040" s="16" t="inlineStr">
        <is>
          <t>LV34W04</t>
        </is>
      </c>
      <c r="G1040"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040" s="16" t="inlineStr">
        <is>
          <t>LV34W04</t>
        </is>
      </c>
      <c r="I1040" s="16" t="n">
        <v>1</v>
      </c>
      <c r="J1040" s="17" t="n">
        <v>279</v>
      </c>
      <c r="K1040" s="17" t="n">
        <v>337.82</v>
      </c>
      <c r="L1040" s="17" t="n">
        <v>0</v>
      </c>
      <c r="M1040" s="17" t="n">
        <v>0</v>
      </c>
      <c r="N1040" s="17">
        <f>K1040*0.08+L1040*0.08</f>
        <v/>
      </c>
      <c r="O1040" s="17">
        <f>-(K1040*0.025+L1040*0.025)</f>
        <v/>
      </c>
      <c r="P1040" s="17">
        <f>32</f>
        <v/>
      </c>
      <c r="Q1040" s="17">
        <f>J1040+L1040+N1040+O1040-P1040-M1040</f>
        <v/>
      </c>
    </row>
    <row r="1041">
      <c r="A1041" s="16" t="inlineStr">
        <is>
          <t>5.15-5.21</t>
        </is>
      </c>
      <c r="B1041" s="16" t="inlineStr">
        <is>
          <t>PO-128-14903276572791888</t>
        </is>
      </c>
      <c r="C1041" s="16" t="inlineStr">
        <is>
          <t>Shipped</t>
        </is>
      </c>
      <c r="D1041" s="16" t="inlineStr">
        <is>
          <t>128-14903318515831888</t>
        </is>
      </c>
      <c r="E1041" s="16" t="inlineStr">
        <is>
          <t>Shipped</t>
        </is>
      </c>
      <c r="F1041" s="16" t="inlineStr">
        <is>
          <t>LB02235-negro</t>
        </is>
      </c>
      <c r="G1041" s="16" t="inlineStr">
        <is>
          <t>Audífonos Inalámbricos para la Cabeza, Recargables y Multifuncionales - Conectan a Varios Dispositivos, soportan Radio FM, Tarjeta TF y AUX - 4 Horas de Reproducción Musical - Ideal para Trabajo Cotidiano, Juegos y Estudio</t>
        </is>
      </c>
      <c r="H1041" s="16" t="inlineStr">
        <is>
          <t>NEGRO</t>
        </is>
      </c>
      <c r="I1041" s="16" t="n">
        <v>1</v>
      </c>
      <c r="J1041" s="17" t="n">
        <v>36.8</v>
      </c>
      <c r="K1041" s="17" t="n">
        <v>49.91</v>
      </c>
      <c r="L1041" s="17" t="n">
        <v>25.86</v>
      </c>
      <c r="M1041" s="17" t="n">
        <v>0</v>
      </c>
      <c r="N1041" s="17">
        <f>K1041*0.08+L1041*0.08</f>
        <v/>
      </c>
      <c r="O1041" s="17">
        <f>-(K1041*0.025+L1041*0.025)</f>
        <v/>
      </c>
      <c r="P1041" s="17">
        <f>32</f>
        <v/>
      </c>
      <c r="Q1041" s="17">
        <f>J1041+L1041+N1041+O1041-P1041-M1041</f>
        <v/>
      </c>
    </row>
    <row r="1042">
      <c r="A1042" s="16" t="inlineStr">
        <is>
          <t>5.15-5.21</t>
        </is>
      </c>
      <c r="B1042" s="16" t="inlineStr">
        <is>
          <t>PO-128-14841832251511038</t>
        </is>
      </c>
      <c r="C1042" s="16" t="inlineStr">
        <is>
          <t>Shipped</t>
        </is>
      </c>
      <c r="D1042" s="16" t="inlineStr">
        <is>
          <t>128-14841937109111038</t>
        </is>
      </c>
      <c r="E1042" s="16" t="inlineStr">
        <is>
          <t>Shipped</t>
        </is>
      </c>
      <c r="F1042" s="16" t="inlineStr">
        <is>
          <t>KTS-1678Y</t>
        </is>
      </c>
      <c r="G1042" s="16" t="inlineStr">
        <is>
          <t>Bocina portátil Inalámbrico, de 3 pulgadas, tamaño de bolsillo, 170 g, con asa, compatible con TF, USB y Micro SD, con radio FM y función TWS (True Wireless Stereo), adecuada para relajarse en casa o viajar al aire libre.</t>
        </is>
      </c>
      <c r="H1042" s="16" t="inlineStr">
        <is>
          <t>KTS-1678Y</t>
        </is>
      </c>
      <c r="I1042" s="16" t="n">
        <v>1</v>
      </c>
      <c r="J1042" s="17" t="n">
        <v>42.5</v>
      </c>
      <c r="K1042" s="17" t="n">
        <v>48.72</v>
      </c>
      <c r="L1042" s="17" t="n">
        <v>25.86</v>
      </c>
      <c r="M1042" s="17" t="n">
        <v>0</v>
      </c>
      <c r="N1042" s="17">
        <f>K1042*0.08+L1042*0.08</f>
        <v/>
      </c>
      <c r="O1042" s="17">
        <f>-(K1042*0.025+L1042*0.025)</f>
        <v/>
      </c>
      <c r="P1042" s="17">
        <f>32</f>
        <v/>
      </c>
      <c r="Q1042" s="17">
        <f>J1042+L1042+N1042+O1042-P1042-M1042</f>
        <v/>
      </c>
    </row>
    <row r="1043">
      <c r="A1043" s="16" t="inlineStr">
        <is>
          <t>5.15-5.21</t>
        </is>
      </c>
      <c r="B1043" s="16" t="inlineStr">
        <is>
          <t>PO-128-15086001718390673</t>
        </is>
      </c>
      <c r="C1043" s="16" t="inlineStr">
        <is>
          <t>Shipped</t>
        </is>
      </c>
      <c r="D1043" s="16" t="inlineStr">
        <is>
          <t>128-15085970261110673</t>
        </is>
      </c>
      <c r="E1043" s="16" t="inlineStr">
        <is>
          <t>Shipped</t>
        </is>
      </c>
      <c r="F1043" s="16" t="inlineStr">
        <is>
          <t>LB02235-rojo</t>
        </is>
      </c>
      <c r="G1043" s="16" t="inlineStr">
        <is>
          <t>Audífonos Inalámbricos para la Cabeza, Recargables y Multifuncionales - Conectan a Varios Dispositivos, soportan Radio FM, Tarjeta TF y AUX - 4 Horas de Reproducción Musical - Ideal para Trabajo Cotidiano, Juegos y Estudio</t>
        </is>
      </c>
      <c r="H1043" s="16" t="inlineStr">
        <is>
          <t>ROJO</t>
        </is>
      </c>
      <c r="I1043" s="16" t="n">
        <v>1</v>
      </c>
      <c r="J1043" s="17" t="n">
        <v>36.8</v>
      </c>
      <c r="K1043" s="17" t="n">
        <v>49.91</v>
      </c>
      <c r="L1043" s="17" t="n">
        <v>25.86</v>
      </c>
      <c r="M1043" s="17" t="n">
        <v>0</v>
      </c>
      <c r="N1043" s="17">
        <f>K1043*0.08+L1043*0.08</f>
        <v/>
      </c>
      <c r="O1043" s="17">
        <f>-(K1043*0.025+L1043*0.025)</f>
        <v/>
      </c>
      <c r="P1043" s="17">
        <f>32</f>
        <v/>
      </c>
      <c r="Q1043" s="17">
        <f>J1043+L1043+N1043+O1043-P1043-M1043</f>
        <v/>
      </c>
    </row>
    <row r="1044">
      <c r="A1044" s="16" t="inlineStr">
        <is>
          <t>5.15-5.21</t>
        </is>
      </c>
      <c r="B1044" s="16" t="inlineStr">
        <is>
          <t>PO-128-14478826115193202</t>
        </is>
      </c>
      <c r="C1044" s="16" t="inlineStr">
        <is>
          <t>Shipped</t>
        </is>
      </c>
      <c r="D1044" s="16" t="inlineStr">
        <is>
          <t>128-14478902136953202</t>
        </is>
      </c>
      <c r="E1044" s="16" t="inlineStr">
        <is>
          <t>Shipped</t>
        </is>
      </c>
      <c r="F1044" s="16" t="inlineStr">
        <is>
          <t>KTS-1678V</t>
        </is>
      </c>
      <c r="G1044" s="16" t="inlineStr">
        <is>
          <t>Bocina portátil Inalámbrico, de 3 pulgadas, tamaño de bolsillo, 170 g, con asa, compatible con TF, USB y Micro SD, con radio FM y función TWS (True Wireless Stereo), adecuada para relajarse en casa o viajar al aire libre.</t>
        </is>
      </c>
      <c r="H1044" s="16" t="inlineStr">
        <is>
          <t>KTS-1678V</t>
        </is>
      </c>
      <c r="I1044" s="16" t="n">
        <v>1</v>
      </c>
      <c r="J1044" s="17" t="n">
        <v>42.5</v>
      </c>
      <c r="K1044" s="17" t="n">
        <v>50.78</v>
      </c>
      <c r="L1044" s="17" t="n">
        <v>25.86</v>
      </c>
      <c r="M1044" s="17" t="n">
        <v>0</v>
      </c>
      <c r="N1044" s="17">
        <f>K1044*0.08+L1044*0.08</f>
        <v/>
      </c>
      <c r="O1044" s="17">
        <f>-(K1044*0.025+L1044*0.025)</f>
        <v/>
      </c>
      <c r="P1044" s="17">
        <f>32</f>
        <v/>
      </c>
      <c r="Q1044" s="17">
        <f>J1044+L1044+N1044+O1044-P1044-M1044</f>
        <v/>
      </c>
    </row>
    <row r="1045">
      <c r="A1045" s="16" t="inlineStr">
        <is>
          <t>5.15-5.21</t>
        </is>
      </c>
      <c r="B1045" s="16" t="inlineStr">
        <is>
          <t>PO-128-14641535399032424</t>
        </is>
      </c>
      <c r="C1045" s="16" t="inlineStr">
        <is>
          <t>Shipped</t>
        </is>
      </c>
      <c r="D1045" s="16" t="inlineStr">
        <is>
          <t>128-14641587827832424</t>
        </is>
      </c>
      <c r="E1045" s="16" t="inlineStr">
        <is>
          <t>Shipped</t>
        </is>
      </c>
      <c r="F1045" s="16" t="inlineStr">
        <is>
          <t>SA325T</t>
        </is>
      </c>
      <c r="G1045" s="16" t="inlineStr">
        <is>
          <t>Subwoofer Portátil Inalámbrico con Luces RGB, Sonido de Alta Potencia y Batería Duradera, TWS TF USB, Perfecto para Campamento Fiestas y Entretenimiento en Casa</t>
        </is>
      </c>
      <c r="H1045" s="16" t="inlineStr">
        <is>
          <t>NEGRO</t>
        </is>
      </c>
      <c r="I1045" s="16" t="n">
        <v>6</v>
      </c>
      <c r="J1045" s="17" t="n">
        <v>228</v>
      </c>
      <c r="K1045" s="17" t="n">
        <v>282.24</v>
      </c>
      <c r="L1045" s="17" t="n">
        <v>0</v>
      </c>
      <c r="M1045" s="17" t="n">
        <v>0</v>
      </c>
      <c r="N1045" s="17">
        <f>K1045*0.08+L1045*0.08</f>
        <v/>
      </c>
      <c r="O1045" s="17">
        <f>-(K1045*0.025+L1045*0.025)</f>
        <v/>
      </c>
      <c r="P1045" s="17">
        <f>32</f>
        <v/>
      </c>
      <c r="Q1045" s="17">
        <f>J1045+L1045+N1045+O1045-P1045-M1045</f>
        <v/>
      </c>
    </row>
    <row r="1046">
      <c r="A1046" s="16" t="inlineStr">
        <is>
          <t>5.15-5.21</t>
        </is>
      </c>
      <c r="B1046" s="16" t="inlineStr">
        <is>
          <t>PO-128-14756092306552575</t>
        </is>
      </c>
      <c r="C1046" s="16" t="inlineStr">
        <is>
          <t>Shipped</t>
        </is>
      </c>
      <c r="D1046" s="16" t="inlineStr">
        <is>
          <t>128-14756097549432575</t>
        </is>
      </c>
      <c r="E1046" s="16" t="inlineStr">
        <is>
          <t>Shipped</t>
        </is>
      </c>
      <c r="F1046" s="16" t="inlineStr">
        <is>
          <t>SA325T</t>
        </is>
      </c>
      <c r="G1046" s="16" t="inlineStr">
        <is>
          <t>Subwoofer Portátil Inalámbrico con Luces RGB, Sonido de Alta Potencia y Batería Duradera, TWS TF USB, Perfecto para Campamento Fiestas y Entretenimiento en Casa</t>
        </is>
      </c>
      <c r="H1046" s="16" t="inlineStr">
        <is>
          <t>NEGRO</t>
        </is>
      </c>
      <c r="I1046" s="16" t="n">
        <v>1</v>
      </c>
      <c r="J1046" s="17" t="n">
        <v>38</v>
      </c>
      <c r="K1046" s="17" t="n">
        <v>47.04</v>
      </c>
      <c r="L1046" s="17" t="n">
        <v>25.86</v>
      </c>
      <c r="M1046" s="17" t="n">
        <v>0</v>
      </c>
      <c r="N1046" s="17">
        <f>K1046*0.08+L1046*0.08</f>
        <v/>
      </c>
      <c r="O1046" s="17">
        <f>-(K1046*0.025+L1046*0.025)</f>
        <v/>
      </c>
      <c r="P1046" s="17">
        <f>32</f>
        <v/>
      </c>
      <c r="Q1046" s="17">
        <f>J1046+L1046+N1046+O1046-P1046-M1046</f>
        <v/>
      </c>
    </row>
    <row r="1047">
      <c r="A1047" s="16" t="inlineStr">
        <is>
          <t>5.15-5.21</t>
        </is>
      </c>
      <c r="B1047" s="16" t="inlineStr">
        <is>
          <t>PO-128-14947378701430411</t>
        </is>
      </c>
      <c r="C1047" s="16" t="inlineStr">
        <is>
          <t>Shipped</t>
        </is>
      </c>
      <c r="D1047" s="16" t="inlineStr">
        <is>
          <t>128-14947389187190411</t>
        </is>
      </c>
      <c r="E1047" s="16" t="inlineStr">
        <is>
          <t>Shipped</t>
        </is>
      </c>
      <c r="F1047" s="16" t="inlineStr">
        <is>
          <t>LB02235-negro</t>
        </is>
      </c>
      <c r="G1047" s="16" t="inlineStr">
        <is>
          <t>Audífonos Inalámbricos para la Cabeza, Recargables y Multifuncionales - Conectan a Varios Dispositivos, soportan Radio FM, Tarjeta TF y AUX - 4 Horas de Reproducción Musical - Ideal para Trabajo Cotidiano, Juegos y Estudio</t>
        </is>
      </c>
      <c r="H1047" s="16" t="inlineStr">
        <is>
          <t>NEGRO</t>
        </is>
      </c>
      <c r="I1047" s="16" t="n">
        <v>1</v>
      </c>
      <c r="J1047" s="17" t="n">
        <v>36.8</v>
      </c>
      <c r="K1047" s="17" t="n">
        <v>39.94</v>
      </c>
      <c r="L1047" s="17" t="n">
        <v>25.86</v>
      </c>
      <c r="M1047" s="17" t="n">
        <v>0</v>
      </c>
      <c r="N1047" s="17">
        <f>K1047*0.08+L1047*0.08</f>
        <v/>
      </c>
      <c r="O1047" s="17">
        <f>-(K1047*0.025+L1047*0.025)</f>
        <v/>
      </c>
      <c r="P1047" s="17">
        <f>32</f>
        <v/>
      </c>
      <c r="Q1047" s="17">
        <f>J1047+L1047+N1047+O1047-P1047-M1047</f>
        <v/>
      </c>
    </row>
    <row r="1048">
      <c r="A1048" s="16" t="inlineStr">
        <is>
          <t>5.15-5.21</t>
        </is>
      </c>
      <c r="B1048" s="16" t="inlineStr">
        <is>
          <t>PO-128-14807962698871368</t>
        </is>
      </c>
      <c r="C1048" s="16" t="inlineStr">
        <is>
          <t>Shipped</t>
        </is>
      </c>
      <c r="D1048" s="16" t="inlineStr">
        <is>
          <t>128-14807952213111368</t>
        </is>
      </c>
      <c r="E1048" s="16" t="inlineStr">
        <is>
          <t>Shipped</t>
        </is>
      </c>
      <c r="F1048" s="16" t="inlineStr">
        <is>
          <t>LB02235-negro</t>
        </is>
      </c>
      <c r="G1048" s="16" t="inlineStr">
        <is>
          <t>Audífonos Inalámbricos para la Cabeza, Recargables y Multifuncionales - Conectan a Varios Dispositivos, soportan Radio FM, Tarjeta TF y AUX - 4 Horas de Reproducción Musical - Ideal para Trabajo Cotidiano, Juegos y Estudio</t>
        </is>
      </c>
      <c r="H1048" s="16" t="inlineStr">
        <is>
          <t>NEGRO</t>
        </is>
      </c>
      <c r="I1048" s="16" t="n">
        <v>1</v>
      </c>
      <c r="J1048" s="17" t="n">
        <v>36.8</v>
      </c>
      <c r="K1048" s="17" t="n">
        <v>49.91</v>
      </c>
      <c r="L1048" s="17" t="n">
        <v>25.86</v>
      </c>
      <c r="M1048" s="17" t="n">
        <v>0</v>
      </c>
      <c r="N1048" s="17">
        <f>K1048*0.08+L1048*0.08</f>
        <v/>
      </c>
      <c r="O1048" s="17">
        <f>-(K1048*0.025+L1048*0.025)</f>
        <v/>
      </c>
      <c r="P1048" s="17">
        <f>32</f>
        <v/>
      </c>
      <c r="Q1048" s="17">
        <f>J1048+L1048+N1048+O1048-P1048-M1048</f>
        <v/>
      </c>
    </row>
    <row r="1049">
      <c r="A1049" s="16" t="inlineStr">
        <is>
          <t>5.15-5.21</t>
        </is>
      </c>
      <c r="B1049" s="16" t="inlineStr">
        <is>
          <t>PO-128-14538395758714065</t>
        </is>
      </c>
      <c r="C1049" s="16" t="inlineStr">
        <is>
          <t>Shipped</t>
        </is>
      </c>
      <c r="D1049" s="16" t="inlineStr">
        <is>
          <t>128-14538335465594065</t>
        </is>
      </c>
      <c r="E1049" s="16" t="inlineStr">
        <is>
          <t>Shipped</t>
        </is>
      </c>
      <c r="F1049" s="16" t="inlineStr">
        <is>
          <t>FA028</t>
        </is>
      </c>
      <c r="G1049" s="16" t="inlineStr">
        <is>
          <t>Extractor de agua para garrafas de agua, compatible con carga USB, extractor de agua automático, práctico, con dos modos de toma de agua: manual y programado, ideal para dormitorios, salones, oficinas, uso al aire libre y otros escenarios.</t>
        </is>
      </c>
      <c r="H1049" s="16" t="inlineStr">
        <is>
          <t>FA028</t>
        </is>
      </c>
      <c r="I1049" s="16" t="n">
        <v>1</v>
      </c>
      <c r="J1049" s="17" t="n">
        <v>28</v>
      </c>
      <c r="K1049" s="17" t="n">
        <v>37.58</v>
      </c>
      <c r="L1049" s="17" t="n">
        <v>25.86</v>
      </c>
      <c r="M1049" s="17" t="n">
        <v>0</v>
      </c>
      <c r="N1049" s="17">
        <f>K1049*0.08+L1049*0.08</f>
        <v/>
      </c>
      <c r="O1049" s="17">
        <f>-(K1049*0.025+L1049*0.025)</f>
        <v/>
      </c>
      <c r="P1049" s="17">
        <f>32</f>
        <v/>
      </c>
      <c r="Q1049" s="17">
        <f>J1049+L1049+N1049+O1049-P1049-M1049</f>
        <v/>
      </c>
    </row>
    <row r="1050">
      <c r="A1050" s="16" t="inlineStr">
        <is>
          <t>5.15-5.21</t>
        </is>
      </c>
      <c r="B1050" s="16" t="inlineStr">
        <is>
          <t>PO-128-14546331108473888</t>
        </is>
      </c>
      <c r="C1050" s="16" t="inlineStr">
        <is>
          <t>Shipped</t>
        </is>
      </c>
      <c r="D1050" s="16" t="inlineStr">
        <is>
          <t>128-14546289165433888</t>
        </is>
      </c>
      <c r="E1050" s="16" t="inlineStr">
        <is>
          <t>Shipped</t>
        </is>
      </c>
      <c r="F1050" s="16" t="inlineStr">
        <is>
          <t>MCM-001N</t>
        </is>
      </c>
      <c r="G1050" s="16" t="inlineStr">
        <is>
          <t>Musicord Altavoz Inalámbrico BT Portátil: ¡Sonido impactante, luces LED multicolores y 4 horas de autonomía! Compatible con TWS, FM, TF y USB – Imprescindible para fiestas y viajes</t>
        </is>
      </c>
      <c r="H1050" s="16" t="inlineStr">
        <is>
          <t>NEGRO</t>
        </is>
      </c>
      <c r="I1050" s="16" t="n">
        <v>1</v>
      </c>
      <c r="J1050" s="17" t="n">
        <v>61</v>
      </c>
      <c r="K1050" s="17" t="n">
        <v>68.79000000000001</v>
      </c>
      <c r="L1050" s="17" t="n">
        <v>25.86</v>
      </c>
      <c r="M1050" s="17" t="n">
        <v>0</v>
      </c>
      <c r="N1050" s="17">
        <f>K1050*0.08+L1050*0.08</f>
        <v/>
      </c>
      <c r="O1050" s="17">
        <f>-(K1050*0.025+L1050*0.025)</f>
        <v/>
      </c>
      <c r="P1050" s="17">
        <f>32</f>
        <v/>
      </c>
      <c r="Q1050" s="17">
        <f>J1050+L1050+N1050+O1050-P1050-M1050</f>
        <v/>
      </c>
    </row>
    <row r="1051">
      <c r="A1051" s="16" t="inlineStr">
        <is>
          <t>5.15-5.21</t>
        </is>
      </c>
      <c r="B1051" s="16" t="inlineStr">
        <is>
          <t>PO-128-14476625288313217</t>
        </is>
      </c>
      <c r="C1051" s="16" t="inlineStr">
        <is>
          <t>Shipped</t>
        </is>
      </c>
      <c r="D1051" s="16" t="inlineStr">
        <is>
          <t>128-14476583345273217</t>
        </is>
      </c>
      <c r="E1051" s="16" t="inlineStr">
        <is>
          <t>Shipped</t>
        </is>
      </c>
      <c r="F1051" s="16" t="inlineStr">
        <is>
          <t>KTS-1678Y</t>
        </is>
      </c>
      <c r="G1051" s="16" t="inlineStr">
        <is>
          <t>Bocina portátil Inalámbrico, de 3 pulgadas, tamaño de bolsillo, 170 g, con asa, compatible con TF, USB y Micro SD, con radio FM y función TWS (True Wireless Stereo), adecuada para relajarse en casa o viajar al aire libre.</t>
        </is>
      </c>
      <c r="H1051" s="16" t="inlineStr">
        <is>
          <t>KTS-1678Y</t>
        </is>
      </c>
      <c r="I1051" s="16" t="n">
        <v>2</v>
      </c>
      <c r="J1051" s="17" t="n">
        <v>85</v>
      </c>
      <c r="K1051" s="17" t="n">
        <v>97.44</v>
      </c>
      <c r="L1051" s="17" t="n">
        <v>25.86</v>
      </c>
      <c r="M1051" s="17" t="n">
        <v>0</v>
      </c>
      <c r="N1051" s="17">
        <f>K1051*0.08+L1051*0.08</f>
        <v/>
      </c>
      <c r="O1051" s="17">
        <f>-(K1051*0.025+L1051*0.025)</f>
        <v/>
      </c>
      <c r="P1051" s="17">
        <f>32</f>
        <v/>
      </c>
      <c r="Q1051" s="17">
        <f>J1051+L1051+N1051+O1051-P1051-M1051</f>
        <v/>
      </c>
    </row>
    <row r="1052">
      <c r="A1052" s="16" t="inlineStr">
        <is>
          <t>5.15-5.21</t>
        </is>
      </c>
      <c r="B1052" s="16" t="inlineStr">
        <is>
          <t>PO-128-14781657920631463</t>
        </is>
      </c>
      <c r="C1052" s="16" t="inlineStr">
        <is>
          <t>Shipped</t>
        </is>
      </c>
      <c r="D1052" s="16" t="inlineStr">
        <is>
          <t>128-14781726078071463</t>
        </is>
      </c>
      <c r="E1052" s="16" t="inlineStr">
        <is>
          <t>Shipped</t>
        </is>
      </c>
      <c r="F1052" s="16" t="inlineStr">
        <is>
          <t>LB02235-rojo</t>
        </is>
      </c>
      <c r="G1052" s="16" t="inlineStr">
        <is>
          <t>Audífonos Inalámbricos para la Cabeza, Recargables y Multifuncionales - Conectan a Varios Dispositivos, soportan Radio FM, Tarjeta TF y AUX - 4 Horas de Reproducción Musical - Ideal para Trabajo Cotidiano, Juegos y Estudio</t>
        </is>
      </c>
      <c r="H1052" s="16" t="inlineStr">
        <is>
          <t>ROJO</t>
        </is>
      </c>
      <c r="I1052" s="16" t="n">
        <v>1</v>
      </c>
      <c r="J1052" s="17" t="n">
        <v>36.8</v>
      </c>
      <c r="K1052" s="17" t="n">
        <v>49.91</v>
      </c>
      <c r="L1052" s="17" t="n">
        <v>25.86</v>
      </c>
      <c r="M1052" s="17" t="n">
        <v>0</v>
      </c>
      <c r="N1052" s="17">
        <f>K1052*0.08+L1052*0.08</f>
        <v/>
      </c>
      <c r="O1052" s="17">
        <f>-(K1052*0.025+L1052*0.025)</f>
        <v/>
      </c>
      <c r="P1052" s="17">
        <f>32</f>
        <v/>
      </c>
      <c r="Q1052" s="17">
        <f>J1052+L1052+N1052+O1052-P1052-M1052</f>
        <v/>
      </c>
    </row>
    <row r="1053">
      <c r="A1053" s="16" t="inlineStr">
        <is>
          <t>5.15-5.21</t>
        </is>
      </c>
      <c r="B1053" s="16" t="inlineStr">
        <is>
          <t>PO-128-15084508808310680</t>
        </is>
      </c>
      <c r="C1053" s="16" t="inlineStr">
        <is>
          <t>Shipped</t>
        </is>
      </c>
      <c r="D1053" s="16" t="inlineStr">
        <is>
          <t>128-15084529779830680</t>
        </is>
      </c>
      <c r="E1053" s="16" t="inlineStr">
        <is>
          <t>Shipped</t>
        </is>
      </c>
      <c r="F1053" s="16" t="inlineStr">
        <is>
          <t>MB-185A</t>
        </is>
      </c>
      <c r="G1053" s="16" t="inlineStr">
        <is>
          <t>Bocina Radio FM/Reproductor, Compatible con Tarjeta TF, USB, Bluetooth, Aplicable para celular, computadora, Ipad y consola.</t>
        </is>
      </c>
      <c r="H1053" s="16" t="inlineStr">
        <is>
          <t>AZUL/MB-185</t>
        </is>
      </c>
      <c r="I1053" s="16" t="n">
        <v>1</v>
      </c>
      <c r="J1053" s="17" t="n">
        <v>75.5</v>
      </c>
      <c r="K1053" s="17" t="n">
        <v>45.34</v>
      </c>
      <c r="L1053" s="17" t="n">
        <v>25.86</v>
      </c>
      <c r="M1053" s="17" t="n">
        <v>0</v>
      </c>
      <c r="N1053" s="17">
        <f>K1053*0.08+L1053*0.08</f>
        <v/>
      </c>
      <c r="O1053" s="17">
        <f>-(K1053*0.025+L1053*0.025)</f>
        <v/>
      </c>
      <c r="P1053" s="17">
        <f>32</f>
        <v/>
      </c>
      <c r="Q1053" s="17">
        <f>J1053+L1053+N1053+O1053-P1053-M1053</f>
        <v/>
      </c>
    </row>
    <row r="1054">
      <c r="A1054" s="16" t="inlineStr">
        <is>
          <t>5.15-5.21</t>
        </is>
      </c>
      <c r="B1054" s="16" t="inlineStr">
        <is>
          <t>PO-128-15032227244150097</t>
        </is>
      </c>
      <c r="C1054" s="16" t="inlineStr">
        <is>
          <t>Shipped</t>
        </is>
      </c>
      <c r="D1054" s="16" t="inlineStr">
        <is>
          <t>128-15032379287670097</t>
        </is>
      </c>
      <c r="E1054" s="16" t="inlineStr">
        <is>
          <t>Shipped</t>
        </is>
      </c>
      <c r="F1054" s="16" t="inlineStr">
        <is>
          <t>LB02235-rojo</t>
        </is>
      </c>
      <c r="G1054" s="16" t="inlineStr">
        <is>
          <t>Audífonos Inalámbricos para la Cabeza, Recargables y Multifuncionales - Conectan a Varios Dispositivos, soportan Radio FM, Tarjeta TF y AUX - 4 Horas de Reproducción Musical - Ideal para Trabajo Cotidiano, Juegos y Estudio</t>
        </is>
      </c>
      <c r="H1054" s="16" t="inlineStr">
        <is>
          <t>ROJO</t>
        </is>
      </c>
      <c r="I1054" s="16" t="n">
        <v>1</v>
      </c>
      <c r="J1054" s="17" t="n">
        <v>36.8</v>
      </c>
      <c r="K1054" s="17" t="n">
        <v>49.91</v>
      </c>
      <c r="L1054" s="17" t="n">
        <v>25.86</v>
      </c>
      <c r="M1054" s="17" t="n">
        <v>0</v>
      </c>
      <c r="N1054" s="17">
        <f>K1054*0.08+L1054*0.08</f>
        <v/>
      </c>
      <c r="O1054" s="17">
        <f>-(K1054*0.025+L1054*0.025)</f>
        <v/>
      </c>
      <c r="P1054" s="17">
        <f>32</f>
        <v/>
      </c>
      <c r="Q1054" s="17">
        <f>J1054+L1054+N1054+O1054-P1054-M1054</f>
        <v/>
      </c>
    </row>
    <row r="1055">
      <c r="A1055" s="16" t="inlineStr">
        <is>
          <t>5.15-5.21</t>
        </is>
      </c>
      <c r="B1055" s="16" t="inlineStr">
        <is>
          <t>PO-128-14519597806713985</t>
        </is>
      </c>
      <c r="C1055" s="16" t="inlineStr">
        <is>
          <t>Shipped</t>
        </is>
      </c>
      <c r="D1055" s="16" t="inlineStr">
        <is>
          <t>128-14519665964153985</t>
        </is>
      </c>
      <c r="E1055" s="16" t="inlineStr">
        <is>
          <t>Shipped</t>
        </is>
      </c>
      <c r="F1055" s="16" t="inlineStr">
        <is>
          <t>SA325T</t>
        </is>
      </c>
      <c r="G1055" s="16" t="inlineStr">
        <is>
          <t>Subwoofer Portátil Inalámbrico con Luces RGB, Sonido de Alta Potencia y Batería Duradera, TWS TF USB, Perfecto para Campamento Fiestas y Entretenimiento en Casa</t>
        </is>
      </c>
      <c r="H1055" s="16" t="inlineStr">
        <is>
          <t>NEGRO</t>
        </is>
      </c>
      <c r="I1055" s="16" t="n">
        <v>8</v>
      </c>
      <c r="J1055" s="17" t="n">
        <v>304</v>
      </c>
      <c r="K1055" s="17" t="n">
        <v>376.32</v>
      </c>
      <c r="L1055" s="17" t="n">
        <v>0</v>
      </c>
      <c r="M1055" s="17" t="n">
        <v>0</v>
      </c>
      <c r="N1055" s="17">
        <f>K1055*0.08+L1055*0.08</f>
        <v/>
      </c>
      <c r="O1055" s="17">
        <f>-(K1055*0.025+L1055*0.025)</f>
        <v/>
      </c>
      <c r="P1055" s="17">
        <f>32</f>
        <v/>
      </c>
      <c r="Q1055" s="17">
        <f>J1055+L1055+N1055+O1055-P1055-M1055</f>
        <v/>
      </c>
    </row>
    <row r="1056">
      <c r="A1056" s="16" t="inlineStr">
        <is>
          <t>5.15-5.21</t>
        </is>
      </c>
      <c r="B1056" s="16" t="inlineStr">
        <is>
          <t>PO-128-14564014308473718</t>
        </is>
      </c>
      <c r="C1056" s="16" t="inlineStr">
        <is>
          <t>Shipped</t>
        </is>
      </c>
      <c r="D1056" s="16" t="inlineStr">
        <is>
          <t>128-14564056251513718</t>
        </is>
      </c>
      <c r="E1056" s="16" t="inlineStr">
        <is>
          <t>Shipped</t>
        </is>
      </c>
      <c r="F1056" s="16" t="inlineStr">
        <is>
          <t>MB-185N</t>
        </is>
      </c>
      <c r="G1056" s="16" t="inlineStr">
        <is>
          <t>Bocina Radio FM/Reproductor, Compatible con Tarjeta TF, USB, Bluetooth, Aplicable para celular, computadora, Ipad y consola.</t>
        </is>
      </c>
      <c r="H1056" s="16" t="inlineStr">
        <is>
          <t>NEGRO/MB-185</t>
        </is>
      </c>
      <c r="I1056" s="16" t="n">
        <v>1</v>
      </c>
      <c r="J1056" s="17" t="n">
        <v>75.5</v>
      </c>
      <c r="K1056" s="17" t="n">
        <v>88.44</v>
      </c>
      <c r="L1056" s="17" t="n">
        <v>25.86</v>
      </c>
      <c r="M1056" s="17" t="n">
        <v>0</v>
      </c>
      <c r="N1056" s="17">
        <f>K1056*0.08+L1056*0.08</f>
        <v/>
      </c>
      <c r="O1056" s="17">
        <f>-(K1056*0.025+L1056*0.025)</f>
        <v/>
      </c>
      <c r="P1056" s="17">
        <f>32</f>
        <v/>
      </c>
      <c r="Q1056" s="17">
        <f>J1056+L1056+N1056+O1056-P1056-M1056</f>
        <v/>
      </c>
    </row>
    <row r="1057">
      <c r="A1057" s="16" t="inlineStr">
        <is>
          <t>5.15-5.21</t>
        </is>
      </c>
      <c r="B1057" s="16" t="inlineStr">
        <is>
          <t>PO-128-14447476687993583</t>
        </is>
      </c>
      <c r="C1057" s="16" t="inlineStr">
        <is>
          <t>Shipped</t>
        </is>
      </c>
      <c r="D1057" s="16" t="inlineStr">
        <is>
          <t>128-14447404598393583</t>
        </is>
      </c>
      <c r="E1057" s="16" t="inlineStr">
        <is>
          <t>Shipped</t>
        </is>
      </c>
      <c r="F1057" s="16" t="inlineStr">
        <is>
          <t>SA325T</t>
        </is>
      </c>
      <c r="G1057" s="16" t="inlineStr">
        <is>
          <t>Subwoofer Portátil Inalámbrico con Luces RGB, Sonido de Alta Potencia y Batería Duradera, TWS TF USB, Perfecto para Campamento Fiestas y Entretenimiento en Casa</t>
        </is>
      </c>
      <c r="H1057" s="16" t="inlineStr">
        <is>
          <t>NEGRO</t>
        </is>
      </c>
      <c r="I1057" s="16" t="n">
        <v>1</v>
      </c>
      <c r="J1057" s="17" t="n">
        <v>38</v>
      </c>
      <c r="K1057" s="17" t="n">
        <v>47.04</v>
      </c>
      <c r="L1057" s="17" t="n">
        <v>25.86</v>
      </c>
      <c r="M1057" s="17" t="n">
        <v>0</v>
      </c>
      <c r="N1057" s="17">
        <f>K1057*0.08+L1057*0.08</f>
        <v/>
      </c>
      <c r="O1057" s="17">
        <f>-(K1057*0.025+L1057*0.025)</f>
        <v/>
      </c>
      <c r="P1057" s="17">
        <f>32</f>
        <v/>
      </c>
      <c r="Q1057" s="17">
        <f>J1057+L1057+N1057+O1057-P1057-M1057</f>
        <v/>
      </c>
    </row>
    <row r="1058">
      <c r="A1058" s="16" t="inlineStr">
        <is>
          <t>5.15-5.21</t>
        </is>
      </c>
      <c r="B1058" s="16" t="inlineStr">
        <is>
          <t>PO-128-14693259164792948</t>
        </is>
      </c>
      <c r="C1058" s="16" t="inlineStr">
        <is>
          <t>Shipped</t>
        </is>
      </c>
      <c r="D1058" s="16" t="inlineStr">
        <is>
          <t>128-14693219843192948</t>
        </is>
      </c>
      <c r="E1058" s="16" t="inlineStr">
        <is>
          <t>Shipped</t>
        </is>
      </c>
      <c r="F1058" s="16" t="inlineStr">
        <is>
          <t>FA028</t>
        </is>
      </c>
      <c r="G1058" s="16" t="inlineStr">
        <is>
          <t>Extractor de agua para garrafas de agua, compatible con carga USB, extractor de agua automático, práctico, con dos modos de toma de agua: manual y programado, ideal para dormitorios, salones, oficinas, uso al aire libre y otros escenarios.</t>
        </is>
      </c>
      <c r="H1058" s="16" t="inlineStr">
        <is>
          <t>FA028</t>
        </is>
      </c>
      <c r="I1058" s="16" t="n">
        <v>1</v>
      </c>
      <c r="J1058" s="17" t="n">
        <v>28</v>
      </c>
      <c r="K1058" s="17" t="n">
        <v>37.58</v>
      </c>
      <c r="L1058" s="17" t="n">
        <v>25.86</v>
      </c>
      <c r="M1058" s="17" t="n">
        <v>0</v>
      </c>
      <c r="N1058" s="17">
        <f>K1058*0.08+L1058*0.08</f>
        <v/>
      </c>
      <c r="O1058" s="17">
        <f>-(K1058*0.025+L1058*0.025)</f>
        <v/>
      </c>
      <c r="P1058" s="17">
        <f>32</f>
        <v/>
      </c>
      <c r="Q1058" s="17">
        <f>J1058+L1058+N1058+O1058-P1058-M1058</f>
        <v/>
      </c>
    </row>
    <row r="1059">
      <c r="A1059" s="16" t="inlineStr">
        <is>
          <t>5.15-5.21</t>
        </is>
      </c>
      <c r="B1059" s="16" t="inlineStr">
        <is>
          <t>PO-128-14982235308150331</t>
        </is>
      </c>
      <c r="C1059" s="16" t="inlineStr">
        <is>
          <t>Shipped</t>
        </is>
      </c>
      <c r="D1059" s="16" t="inlineStr">
        <is>
          <t>128-14982287736950331</t>
        </is>
      </c>
      <c r="E1059" s="16" t="inlineStr">
        <is>
          <t>Shipped</t>
        </is>
      </c>
      <c r="F1059" s="16" t="inlineStr">
        <is>
          <t>KTS-1943-N</t>
        </is>
      </c>
      <c r="G1059" s="16" t="inlineStr">
        <is>
          <t>Altavoz Mini Karaoke Portátil BT con Micrófono Inalámbrico, Función TWS, Radio FM, USB/TF, Batería de Larga Duración, Perfecto para Casa, Exterior y Regalos Especiales</t>
        </is>
      </c>
      <c r="H1059" s="16" t="inlineStr">
        <is>
          <t>NEGRO</t>
        </is>
      </c>
      <c r="I1059" s="16" t="n">
        <v>1</v>
      </c>
      <c r="J1059" s="17" t="n">
        <v>67.5</v>
      </c>
      <c r="K1059" s="17" t="n">
        <v>83.09999999999999</v>
      </c>
      <c r="L1059" s="17" t="n">
        <v>25.86</v>
      </c>
      <c r="M1059" s="17" t="n">
        <v>0</v>
      </c>
      <c r="N1059" s="17">
        <f>K1059*0.08+L1059*0.08</f>
        <v/>
      </c>
      <c r="O1059" s="17">
        <f>-(K1059*0.025+L1059*0.025)</f>
        <v/>
      </c>
      <c r="P1059" s="17">
        <f>32</f>
        <v/>
      </c>
      <c r="Q1059" s="17">
        <f>J1059+L1059+N1059+O1059-P1059-M1059</f>
        <v/>
      </c>
    </row>
    <row r="1060">
      <c r="A1060" s="16" t="inlineStr">
        <is>
          <t>5.15-5.21</t>
        </is>
      </c>
      <c r="B1060" s="16" t="inlineStr">
        <is>
          <t>PO-128-15079066099830648</t>
        </is>
      </c>
      <c r="C1060" s="16" t="inlineStr">
        <is>
          <t>Shipped</t>
        </is>
      </c>
      <c r="D1060" s="16" t="inlineStr">
        <is>
          <t>128-15079170957430648</t>
        </is>
      </c>
      <c r="E1060" s="16" t="inlineStr">
        <is>
          <t>Shipped</t>
        </is>
      </c>
      <c r="F1060" s="16" t="inlineStr">
        <is>
          <t>SA8056T</t>
        </is>
      </c>
      <c r="G106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060" s="16" t="inlineStr">
        <is>
          <t>SA8056T</t>
        </is>
      </c>
      <c r="I1060" s="16" t="n">
        <v>2</v>
      </c>
      <c r="J1060" s="17" t="n">
        <v>282</v>
      </c>
      <c r="K1060" s="17" t="n">
        <v>322.76</v>
      </c>
      <c r="L1060" s="17" t="n">
        <v>0</v>
      </c>
      <c r="M1060" s="17" t="n">
        <v>0</v>
      </c>
      <c r="N1060" s="17">
        <f>K1060*0.08+L1060*0.08</f>
        <v/>
      </c>
      <c r="O1060" s="17">
        <f>-(K1060*0.025+L1060*0.025)</f>
        <v/>
      </c>
      <c r="P1060" s="17">
        <f>32</f>
        <v/>
      </c>
      <c r="Q1060" s="17">
        <f>J1060+L1060+N1060+O1060-P1060-M1060</f>
        <v/>
      </c>
    </row>
    <row r="1061">
      <c r="A1061" s="16" t="inlineStr">
        <is>
          <t>5.15-5.21</t>
        </is>
      </c>
      <c r="B1061" s="16" t="inlineStr">
        <is>
          <t>PO-128-14541214728313854</t>
        </is>
      </c>
      <c r="C1061" s="16" t="inlineStr">
        <is>
          <t>Shipped</t>
        </is>
      </c>
      <c r="D1061" s="16" t="inlineStr">
        <is>
          <t>128-14541193756793854</t>
        </is>
      </c>
      <c r="E1061" s="16" t="inlineStr">
        <is>
          <t>Shipped</t>
        </is>
      </c>
      <c r="F1061" s="16" t="inlineStr">
        <is>
          <t>KTS-1678Y</t>
        </is>
      </c>
      <c r="G1061" s="16" t="inlineStr">
        <is>
          <t>Bocina portátil Inalámbrico, de 3 pulgadas, tamaño de bolsillo, 170 g, con asa, compatible con TF, USB y Micro SD, con radio FM y función TWS (True Wireless Stereo), adecuada para relajarse en casa o viajar al aire libre.</t>
        </is>
      </c>
      <c r="H1061" s="16" t="inlineStr">
        <is>
          <t>KTS-1678Y</t>
        </is>
      </c>
      <c r="I1061" s="16" t="n">
        <v>1</v>
      </c>
      <c r="J1061" s="17" t="n">
        <v>42.5</v>
      </c>
      <c r="K1061" s="17" t="n">
        <v>48.72</v>
      </c>
      <c r="L1061" s="17" t="n">
        <v>25.86</v>
      </c>
      <c r="M1061" s="17" t="n">
        <v>0</v>
      </c>
      <c r="N1061" s="17">
        <f>K1061*0.08+L1061*0.08</f>
        <v/>
      </c>
      <c r="O1061" s="17">
        <f>-(K1061*0.025+L1061*0.025)</f>
        <v/>
      </c>
      <c r="P1061" s="17">
        <f>32</f>
        <v/>
      </c>
      <c r="Q1061" s="17">
        <f>J1061+L1061+N1061+O1061-P1061-M1061</f>
        <v/>
      </c>
    </row>
    <row r="1062">
      <c r="A1062" s="16" t="inlineStr">
        <is>
          <t>5.15-5.21</t>
        </is>
      </c>
      <c r="B1062" s="16" t="inlineStr">
        <is>
          <t>PO-128-14761139233912609</t>
        </is>
      </c>
      <c r="C1062" s="16" t="inlineStr">
        <is>
          <t>Shipped</t>
        </is>
      </c>
      <c r="D1062" s="16" t="inlineStr">
        <is>
          <t>128-14761149719672609</t>
        </is>
      </c>
      <c r="E1062" s="16" t="inlineStr">
        <is>
          <t>Shipped</t>
        </is>
      </c>
      <c r="F1062" s="16" t="inlineStr">
        <is>
          <t>S09W18IB-8PZS</t>
        </is>
      </c>
      <c r="G106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062" s="16" t="inlineStr">
        <is>
          <t>8 piezas</t>
        </is>
      </c>
      <c r="I1062" s="16" t="n">
        <v>1</v>
      </c>
      <c r="J1062" s="17" t="n">
        <v>250</v>
      </c>
      <c r="K1062" s="17" t="n">
        <v>259.34</v>
      </c>
      <c r="L1062" s="17" t="n">
        <v>0</v>
      </c>
      <c r="M1062" s="17" t="n">
        <v>0</v>
      </c>
      <c r="N1062" s="17">
        <f>K1062*0.08+L1062*0.08</f>
        <v/>
      </c>
      <c r="O1062" s="17">
        <f>-(K1062*0.025+L1062*0.025)</f>
        <v/>
      </c>
      <c r="P1062" s="17">
        <f>32</f>
        <v/>
      </c>
      <c r="Q1062" s="17">
        <f>J1062+L1062+N1062+O1062-P1062-M1062</f>
        <v/>
      </c>
    </row>
    <row r="1063">
      <c r="A1063" s="16" t="inlineStr">
        <is>
          <t>5.15-5.21</t>
        </is>
      </c>
      <c r="B1063" s="16" t="inlineStr">
        <is>
          <t>PO-128-14787432128631493</t>
        </is>
      </c>
      <c r="C1063" s="16" t="inlineStr">
        <is>
          <t>Shipped</t>
        </is>
      </c>
      <c r="D1063" s="16" t="inlineStr">
        <is>
          <t>128-14787390185591493</t>
        </is>
      </c>
      <c r="E1063" s="16" t="inlineStr">
        <is>
          <t>Shipped</t>
        </is>
      </c>
      <c r="F1063" s="16" t="inlineStr">
        <is>
          <t>S39W48</t>
        </is>
      </c>
      <c r="G106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063" s="16" t="inlineStr">
        <is>
          <t>1 pieza</t>
        </is>
      </c>
      <c r="I1063" s="16" t="n">
        <v>2</v>
      </c>
      <c r="J1063" s="17" t="n">
        <v>60</v>
      </c>
      <c r="K1063" s="17" t="n">
        <v>2.4</v>
      </c>
      <c r="L1063" s="17" t="n">
        <v>25.86</v>
      </c>
      <c r="M1063" s="17" t="n">
        <v>0</v>
      </c>
      <c r="N1063" s="17">
        <f>K1063*0.08+L1063*0.08</f>
        <v/>
      </c>
      <c r="O1063" s="17">
        <f>-(K1063*0.025+L1063*0.025)</f>
        <v/>
      </c>
      <c r="P1063" s="17">
        <f>32</f>
        <v/>
      </c>
      <c r="Q1063" s="17">
        <f>J1063+L1063+N1063+O1063-P1063-M1063</f>
        <v/>
      </c>
    </row>
    <row r="1064">
      <c r="A1064" s="16" t="inlineStr">
        <is>
          <t>5.15-5.21</t>
        </is>
      </c>
      <c r="B1064" s="16" t="inlineStr">
        <is>
          <t>PO-128-14762961375352596</t>
        </is>
      </c>
      <c r="C1064" s="16" t="inlineStr">
        <is>
          <t>Shipped</t>
        </is>
      </c>
      <c r="D1064" s="16" t="inlineStr">
        <is>
          <t>128-14762971861112596</t>
        </is>
      </c>
      <c r="E1064" s="16" t="inlineStr">
        <is>
          <t>Shipped</t>
        </is>
      </c>
      <c r="F1064" s="16" t="inlineStr">
        <is>
          <t>MCM-001R</t>
        </is>
      </c>
      <c r="G1064" s="16" t="inlineStr">
        <is>
          <t>Musicord Altavoz Inalámbrico BT Portátil: ¡Sonido impactante, luces LED multicolores y 4 horas de autonomía! Compatible con TWS, FM, TF y USB – Imprescindible para fiestas y viajes</t>
        </is>
      </c>
      <c r="H1064" s="16" t="inlineStr">
        <is>
          <t>ROJO</t>
        </is>
      </c>
      <c r="I1064" s="16" t="n">
        <v>1</v>
      </c>
      <c r="J1064" s="17" t="n">
        <v>66.5</v>
      </c>
      <c r="K1064" s="17" t="n">
        <v>74.29000000000001</v>
      </c>
      <c r="L1064" s="17" t="n">
        <v>25.86</v>
      </c>
      <c r="M1064" s="17" t="n">
        <v>0</v>
      </c>
      <c r="N1064" s="17">
        <f>K1064*0.08+L1064*0.08</f>
        <v/>
      </c>
      <c r="O1064" s="17">
        <f>-(K1064*0.025+L1064*0.025)</f>
        <v/>
      </c>
      <c r="P1064" s="17">
        <f>32</f>
        <v/>
      </c>
      <c r="Q1064" s="17">
        <f>J1064+L1064+N1064+O1064-P1064-M1064</f>
        <v/>
      </c>
    </row>
    <row r="1065">
      <c r="A1065" s="16" t="inlineStr">
        <is>
          <t>5.15-5.21</t>
        </is>
      </c>
      <c r="B1065" s="16" t="inlineStr">
        <is>
          <t>PO-128-14580869932153810</t>
        </is>
      </c>
      <c r="C1065" s="16" t="inlineStr">
        <is>
          <t>Shipped</t>
        </is>
      </c>
      <c r="D1065" s="16" t="inlineStr">
        <is>
          <t>128-14580827989113810</t>
        </is>
      </c>
      <c r="E1065" s="16" t="inlineStr">
        <is>
          <t>Shipped</t>
        </is>
      </c>
      <c r="F1065" s="16" t="inlineStr">
        <is>
          <t>MCM-001R</t>
        </is>
      </c>
      <c r="G1065" s="16" t="inlineStr">
        <is>
          <t>Musicord Altavoz Inalámbrico BT Portátil: ¡Sonido impactante, luces LED multicolores y 4 horas de autonomía! Compatible con TWS, FM, TF y USB – Imprescindible para fiestas y viajes</t>
        </is>
      </c>
      <c r="H1065" s="16" t="inlineStr">
        <is>
          <t>ROJO</t>
        </is>
      </c>
      <c r="I1065" s="16" t="n">
        <v>1</v>
      </c>
      <c r="J1065" s="17" t="n">
        <v>66.5</v>
      </c>
      <c r="K1065" s="17" t="n">
        <v>74.29000000000001</v>
      </c>
      <c r="L1065" s="17" t="n">
        <v>25.86</v>
      </c>
      <c r="M1065" s="17" t="n">
        <v>0</v>
      </c>
      <c r="N1065" s="17">
        <f>K1065*0.08+L1065*0.08</f>
        <v/>
      </c>
      <c r="O1065" s="17">
        <f>-(K1065*0.025+L1065*0.025)</f>
        <v/>
      </c>
      <c r="P1065" s="17">
        <f>32</f>
        <v/>
      </c>
      <c r="Q1065" s="17">
        <f>J1065+L1065+N1065+O1065-P1065-M1065</f>
        <v/>
      </c>
    </row>
    <row r="1066">
      <c r="A1066" s="16" t="inlineStr">
        <is>
          <t>5.15-5.21</t>
        </is>
      </c>
      <c r="B1066" s="16" t="inlineStr">
        <is>
          <t>PO-128-14866885000311979</t>
        </is>
      </c>
      <c r="C1066" s="16" t="inlineStr">
        <is>
          <t>Shipped</t>
        </is>
      </c>
      <c r="D1066" s="16" t="inlineStr">
        <is>
          <t>128-14866953157751979</t>
        </is>
      </c>
      <c r="E1066" s="16" t="inlineStr">
        <is>
          <t>Shipped</t>
        </is>
      </c>
      <c r="F1066" s="16" t="inlineStr">
        <is>
          <t>MB-185N</t>
        </is>
      </c>
      <c r="G1066" s="16" t="inlineStr">
        <is>
          <t>Bocina Radio FM/Reproductor, Compatible con Tarjeta TF, USB, Bluetooth, Aplicable para celular, computadora, Ipad y consola.</t>
        </is>
      </c>
      <c r="H1066" s="16" t="inlineStr">
        <is>
          <t>NEGRO/MB-185</t>
        </is>
      </c>
      <c r="I1066" s="16" t="n">
        <v>1</v>
      </c>
      <c r="J1066" s="17" t="n">
        <v>75.5</v>
      </c>
      <c r="K1066" s="17" t="n">
        <v>88.44</v>
      </c>
      <c r="L1066" s="17" t="n">
        <v>25.86</v>
      </c>
      <c r="M1066" s="17" t="n">
        <v>0</v>
      </c>
      <c r="N1066" s="17">
        <f>K1066*0.08+L1066*0.08</f>
        <v/>
      </c>
      <c r="O1066" s="17">
        <f>-(K1066*0.025+L1066*0.025)</f>
        <v/>
      </c>
      <c r="P1066" s="17">
        <f>32</f>
        <v/>
      </c>
      <c r="Q1066" s="17">
        <f>J1066+L1066+N1066+O1066-P1066-M1066</f>
        <v/>
      </c>
    </row>
    <row r="1067">
      <c r="A1067" s="16" t="inlineStr">
        <is>
          <t>5.15-5.21</t>
        </is>
      </c>
      <c r="B1067" s="16" t="inlineStr">
        <is>
          <t>PO-128-14738395077752745</t>
        </is>
      </c>
      <c r="C1067" s="16" t="inlineStr">
        <is>
          <t>Shipped</t>
        </is>
      </c>
      <c r="D1067" s="16" t="inlineStr">
        <is>
          <t>128-14738416049272745</t>
        </is>
      </c>
      <c r="E1067" s="16" t="inlineStr">
        <is>
          <t>Shipped</t>
        </is>
      </c>
      <c r="F1067" s="16" t="inlineStr">
        <is>
          <t>LB02235-rojo</t>
        </is>
      </c>
      <c r="G1067" s="16" t="inlineStr">
        <is>
          <t>Audífonos Inalámbricos para la Cabeza, Recargables y Multifuncionales - Conectan a Varios Dispositivos, soportan Radio FM, Tarjeta TF y AUX - 4 Horas de Reproducción Musical - Ideal para Trabajo Cotidiano, Juegos y Estudio</t>
        </is>
      </c>
      <c r="H1067" s="16" t="inlineStr">
        <is>
          <t>ROJO</t>
        </is>
      </c>
      <c r="I1067" s="16" t="n">
        <v>1</v>
      </c>
      <c r="J1067" s="17" t="n">
        <v>36.8</v>
      </c>
      <c r="K1067" s="17" t="n">
        <v>49.91</v>
      </c>
      <c r="L1067" s="17" t="n">
        <v>25.86</v>
      </c>
      <c r="M1067" s="17" t="n">
        <v>0</v>
      </c>
      <c r="N1067" s="17">
        <f>K1067*0.08+L1067*0.08</f>
        <v/>
      </c>
      <c r="O1067" s="17">
        <f>-(K1067*0.025+L1067*0.025)</f>
        <v/>
      </c>
      <c r="P1067" s="17">
        <f>32</f>
        <v/>
      </c>
      <c r="Q1067" s="17">
        <f>J1067+L1067+N1067+O1067-P1067-M1067</f>
        <v/>
      </c>
    </row>
    <row r="1068">
      <c r="A1068" s="16" t="inlineStr">
        <is>
          <t>5.15-5.21</t>
        </is>
      </c>
      <c r="B1068" s="16" t="inlineStr">
        <is>
          <t>PO-128-14779185426551412</t>
        </is>
      </c>
      <c r="C1068" s="16" t="inlineStr">
        <is>
          <t>Shipped</t>
        </is>
      </c>
      <c r="D1068" s="16" t="inlineStr">
        <is>
          <t>128-14779143483511412</t>
        </is>
      </c>
      <c r="E1068" s="16" t="inlineStr">
        <is>
          <t>Shipped</t>
        </is>
      </c>
      <c r="F1068" s="16" t="inlineStr">
        <is>
          <t>KTS-1943-R</t>
        </is>
      </c>
      <c r="G1068" s="16" t="inlineStr">
        <is>
          <t>Altavoz Mini Karaoke Portátil BT con Micrófono Inalámbrico, Función TWS, Radio FM, USB/TF, Batería de Larga Duración, Perfecto para Casa, Exterior y Regalos Especiales</t>
        </is>
      </c>
      <c r="H1068" s="16" t="inlineStr">
        <is>
          <t>ROJO</t>
        </is>
      </c>
      <c r="I1068" s="16" t="n">
        <v>1</v>
      </c>
      <c r="J1068" s="17" t="n">
        <v>75</v>
      </c>
      <c r="K1068" s="17" t="n">
        <v>90.59999999999999</v>
      </c>
      <c r="L1068" s="17" t="n">
        <v>25.86</v>
      </c>
      <c r="M1068" s="17" t="n">
        <v>0</v>
      </c>
      <c r="N1068" s="17">
        <f>K1068*0.08+L1068*0.08</f>
        <v/>
      </c>
      <c r="O1068" s="17">
        <f>-(K1068*0.025+L1068*0.025)</f>
        <v/>
      </c>
      <c r="P1068" s="17">
        <f>32</f>
        <v/>
      </c>
      <c r="Q1068" s="17">
        <f>J1068+L1068+N1068+O1068-P1068-M1068</f>
        <v/>
      </c>
    </row>
    <row r="1069">
      <c r="A1069" s="16" t="inlineStr">
        <is>
          <t>5.15-5.21</t>
        </is>
      </c>
      <c r="B1069" s="16" t="inlineStr">
        <is>
          <t>PO-128-14812579054711407</t>
        </is>
      </c>
      <c r="C1069" s="16" t="inlineStr">
        <is>
          <t>Shipped</t>
        </is>
      </c>
      <c r="D1069" s="16" t="inlineStr">
        <is>
          <t>128-14812537111671407</t>
        </is>
      </c>
      <c r="E1069" s="16" t="inlineStr">
        <is>
          <t>Shipped</t>
        </is>
      </c>
      <c r="F1069" s="16" t="inlineStr">
        <is>
          <t>SA325T</t>
        </is>
      </c>
      <c r="G1069" s="16" t="inlineStr">
        <is>
          <t>Subwoofer Portátil Inalámbrico con Luces RGB, Sonido de Alta Potencia y Batería Duradera, TWS TF USB, Perfecto para Campamento Fiestas y Entretenimiento en Casa</t>
        </is>
      </c>
      <c r="H1069" s="16" t="inlineStr">
        <is>
          <t>NEGRO</t>
        </is>
      </c>
      <c r="I1069" s="16" t="n">
        <v>4</v>
      </c>
      <c r="J1069" s="17" t="n">
        <v>152</v>
      </c>
      <c r="K1069" s="17" t="n">
        <v>150.52</v>
      </c>
      <c r="L1069" s="17" t="n">
        <v>25.88</v>
      </c>
      <c r="M1069" s="17" t="n">
        <v>0</v>
      </c>
      <c r="N1069" s="17">
        <f>K1069*0.08+L1069*0.08</f>
        <v/>
      </c>
      <c r="O1069" s="17">
        <f>-(K1069*0.025+L1069*0.025)</f>
        <v/>
      </c>
      <c r="P1069" s="17">
        <f>32</f>
        <v/>
      </c>
      <c r="Q1069" s="17">
        <f>J1069+L1069+N1069+O1069-P1069-M1069</f>
        <v/>
      </c>
    </row>
    <row r="1070">
      <c r="A1070" s="16" t="inlineStr">
        <is>
          <t>5.15-5.21</t>
        </is>
      </c>
      <c r="B1070" s="16" t="inlineStr">
        <is>
          <t>PO-128-14919186133111731</t>
        </is>
      </c>
      <c r="C1070" s="16" t="inlineStr">
        <is>
          <t>Shipped</t>
        </is>
      </c>
      <c r="D1070" s="16" t="inlineStr">
        <is>
          <t>128-14919220211831731</t>
        </is>
      </c>
      <c r="E1070" s="16" t="inlineStr">
        <is>
          <t>Shipped</t>
        </is>
      </c>
      <c r="F1070" s="16" t="inlineStr">
        <is>
          <t>FA028</t>
        </is>
      </c>
      <c r="G1070" s="16" t="inlineStr">
        <is>
          <t>Extractor de agua para garrafas de agua, compatible con carga USB, extractor de agua automático, práctico, con dos modos de toma de agua: manual y programado, ideal para dormitorios, salones, oficinas, uso al aire libre y otros escenarios.</t>
        </is>
      </c>
      <c r="H1070" s="16" t="inlineStr">
        <is>
          <t>FA028</t>
        </is>
      </c>
      <c r="I1070" s="16" t="n">
        <v>1</v>
      </c>
      <c r="J1070" s="17" t="n">
        <v>28</v>
      </c>
      <c r="K1070" s="17" t="n">
        <v>37.58</v>
      </c>
      <c r="L1070" s="17" t="n">
        <v>25.86</v>
      </c>
      <c r="M1070" s="17" t="n">
        <v>0</v>
      </c>
      <c r="N1070" s="17">
        <f>K1070*0.08+L1070*0.08</f>
        <v/>
      </c>
      <c r="O1070" s="17">
        <f>-(K1070*0.025+L1070*0.025)</f>
        <v/>
      </c>
      <c r="P1070" s="17">
        <f>32</f>
        <v/>
      </c>
      <c r="Q1070" s="17">
        <f>J1070+L1070+N1070+O1070-P1070-M1070</f>
        <v/>
      </c>
    </row>
    <row r="1071">
      <c r="A1071" s="16" t="inlineStr">
        <is>
          <t>5.15-5.21</t>
        </is>
      </c>
      <c r="B1071" s="16" t="inlineStr">
        <is>
          <t>PO-128-14525214180474015</t>
        </is>
      </c>
      <c r="C1071" s="16" t="inlineStr">
        <is>
          <t>Shipped</t>
        </is>
      </c>
      <c r="D1071" s="16" t="inlineStr">
        <is>
          <t>128-14525374088314015</t>
        </is>
      </c>
      <c r="E1071" s="16" t="inlineStr">
        <is>
          <t>Shipped</t>
        </is>
      </c>
      <c r="F1071" s="16" t="inlineStr">
        <is>
          <t>SA325T</t>
        </is>
      </c>
      <c r="G1071" s="16" t="inlineStr">
        <is>
          <t>Subwoofer Portátil Inalámbrico con Luces RGB, Sonido de Alta Potencia y Batería Duradera, TWS TF USB, Perfecto para Campamento Fiestas y Entretenimiento en Casa</t>
        </is>
      </c>
      <c r="H1071" s="16" t="inlineStr">
        <is>
          <t>NEGRO</t>
        </is>
      </c>
      <c r="I1071" s="16" t="n">
        <v>2</v>
      </c>
      <c r="J1071" s="17" t="n">
        <v>76</v>
      </c>
      <c r="K1071" s="17" t="n">
        <v>11.32</v>
      </c>
      <c r="L1071" s="17" t="n">
        <v>25.86</v>
      </c>
      <c r="M1071" s="17" t="n">
        <v>0</v>
      </c>
      <c r="N1071" s="17">
        <f>K1071*0.08+L1071*0.08</f>
        <v/>
      </c>
      <c r="O1071" s="17">
        <f>-(K1071*0.025+L1071*0.025)</f>
        <v/>
      </c>
      <c r="P1071" s="17">
        <f>32</f>
        <v/>
      </c>
      <c r="Q1071" s="17">
        <f>J1071+L1071+N1071+O1071-P1071-M1071</f>
        <v/>
      </c>
    </row>
    <row r="1072">
      <c r="A1072" s="16" t="inlineStr">
        <is>
          <t>5.15-5.21</t>
        </is>
      </c>
      <c r="B1072" s="16" t="inlineStr">
        <is>
          <t>PO-128-14513948521593187</t>
        </is>
      </c>
      <c r="C1072" s="16" t="inlineStr">
        <is>
          <t>Shipped</t>
        </is>
      </c>
      <c r="D1072" s="16" t="inlineStr">
        <is>
          <t>128-14513906578553187</t>
        </is>
      </c>
      <c r="E1072" s="16" t="inlineStr">
        <is>
          <t>Shipped</t>
        </is>
      </c>
      <c r="F1072" s="16" t="inlineStr">
        <is>
          <t>S58W60</t>
        </is>
      </c>
      <c r="G107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072" s="16" t="inlineStr">
        <is>
          <t>1 pieza</t>
        </is>
      </c>
      <c r="I1072" s="16" t="n">
        <v>2</v>
      </c>
      <c r="J1072" s="17" t="n">
        <v>118</v>
      </c>
      <c r="K1072" s="17" t="n">
        <v>153.06</v>
      </c>
      <c r="L1072" s="17" t="n">
        <v>25.86</v>
      </c>
      <c r="M1072" s="17" t="n">
        <v>0</v>
      </c>
      <c r="N1072" s="17">
        <f>K1072*0.08+L1072*0.08</f>
        <v/>
      </c>
      <c r="O1072" s="17">
        <f>-(K1072*0.025+L1072*0.025)</f>
        <v/>
      </c>
      <c r="P1072" s="17">
        <f>32</f>
        <v/>
      </c>
      <c r="Q1072" s="17">
        <f>J1072+L1072+N1072+O1072-P1072-M1072</f>
        <v/>
      </c>
    </row>
    <row r="1073">
      <c r="A1073" s="16" t="inlineStr">
        <is>
          <t>5.15-5.21</t>
        </is>
      </c>
      <c r="B1073" s="16" t="inlineStr">
        <is>
          <t>PO-128-14806564263031312</t>
        </is>
      </c>
      <c r="C1073" s="16" t="inlineStr">
        <is>
          <t>Shipped</t>
        </is>
      </c>
      <c r="D1073" s="16" t="inlineStr">
        <is>
          <t>128-14806627054711312</t>
        </is>
      </c>
      <c r="E1073" s="16" t="inlineStr">
        <is>
          <t>Shipped</t>
        </is>
      </c>
      <c r="F1073" s="16" t="inlineStr">
        <is>
          <t>S09W18IB</t>
        </is>
      </c>
      <c r="G107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073" s="16" t="inlineStr">
        <is>
          <t>1 pieza</t>
        </is>
      </c>
      <c r="I1073" s="16" t="n">
        <v>3</v>
      </c>
      <c r="J1073" s="17" t="n">
        <v>78</v>
      </c>
      <c r="K1073" s="17" t="n">
        <v>109.92</v>
      </c>
      <c r="L1073" s="17" t="n">
        <v>25.86</v>
      </c>
      <c r="M1073" s="17" t="n">
        <v>0</v>
      </c>
      <c r="N1073" s="17">
        <f>K1073*0.08+L1073*0.08</f>
        <v/>
      </c>
      <c r="O1073" s="17">
        <f>-(K1073*0.025+L1073*0.025)</f>
        <v/>
      </c>
      <c r="P1073" s="17">
        <f>32</f>
        <v/>
      </c>
      <c r="Q1073" s="17">
        <f>J1073+L1073+N1073+O1073-P1073-M1073</f>
        <v/>
      </c>
    </row>
    <row r="1074">
      <c r="A1074" s="16" t="inlineStr">
        <is>
          <t>5.15-5.21</t>
        </is>
      </c>
      <c r="B1074" s="16" t="inlineStr">
        <is>
          <t>PO-128-14685614561912163</t>
        </is>
      </c>
      <c r="C1074" s="16" t="inlineStr">
        <is>
          <t>Shipped</t>
        </is>
      </c>
      <c r="D1074" s="16" t="inlineStr">
        <is>
          <t>128-14685708933752163</t>
        </is>
      </c>
      <c r="E1074" s="16" t="inlineStr">
        <is>
          <t>Shipped</t>
        </is>
      </c>
      <c r="F1074" s="16" t="inlineStr">
        <is>
          <t>SA325T</t>
        </is>
      </c>
      <c r="G1074" s="16" t="inlineStr">
        <is>
          <t>Subwoofer Portátil Inalámbrico con Luces RGB, Sonido de Alta Potencia y Batería Duradera, TWS TF USB, Perfecto para Campamento Fiestas y Entretenimiento en Casa</t>
        </is>
      </c>
      <c r="H1074" s="16" t="inlineStr">
        <is>
          <t>NEGRO</t>
        </is>
      </c>
      <c r="I1074" s="16" t="n">
        <v>1</v>
      </c>
      <c r="J1074" s="17" t="n">
        <v>38</v>
      </c>
      <c r="K1074" s="17" t="n">
        <v>47.04</v>
      </c>
      <c r="L1074" s="17" t="n">
        <v>5.79</v>
      </c>
      <c r="M1074" s="17" t="n">
        <v>0</v>
      </c>
      <c r="N1074" s="17">
        <f>K1074*0.08+L1074*0.08</f>
        <v/>
      </c>
      <c r="O1074" s="17">
        <f>-(K1074*0.025+L1074*0.025)</f>
        <v/>
      </c>
      <c r="P1074" s="17">
        <f>32</f>
        <v/>
      </c>
      <c r="Q1074" s="17">
        <f>J1074+L1074+N1074+O1074-P1074-M1074</f>
        <v/>
      </c>
    </row>
    <row r="1075">
      <c r="A1075" s="16" t="inlineStr">
        <is>
          <t>5.15-5.21</t>
        </is>
      </c>
      <c r="B1075" s="16" t="inlineStr">
        <is>
          <t>PO-128-14685614561912163</t>
        </is>
      </c>
      <c r="C1075" s="16" t="inlineStr">
        <is>
          <t>Shipped</t>
        </is>
      </c>
      <c r="D1075" s="16" t="inlineStr">
        <is>
          <t>128-14685750876792163</t>
        </is>
      </c>
      <c r="E1075" s="16" t="inlineStr">
        <is>
          <t>Shipped</t>
        </is>
      </c>
      <c r="F1075" s="16" t="inlineStr">
        <is>
          <t>EM04W36</t>
        </is>
      </c>
      <c r="G107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1075" s="16" t="inlineStr">
        <is>
          <t>1 pieza</t>
        </is>
      </c>
      <c r="I1075" s="16" t="n">
        <v>2</v>
      </c>
      <c r="J1075" s="17" t="n">
        <v>124</v>
      </c>
      <c r="K1075" s="17" t="n">
        <v>162.92</v>
      </c>
      <c r="L1075" s="17" t="n">
        <v>20.06</v>
      </c>
      <c r="M1075" s="17" t="n">
        <v>0</v>
      </c>
      <c r="N1075" s="17">
        <f>K1075*0.08+L1075*0.08</f>
        <v/>
      </c>
      <c r="O1075" s="17">
        <f>-(K1075*0.025+L1075*0.025)</f>
        <v/>
      </c>
      <c r="P1075" s="17">
        <f>32</f>
        <v/>
      </c>
      <c r="Q1075" s="17">
        <f>J1075+L1075+N1075+O1075-P1075-M1075</f>
        <v/>
      </c>
    </row>
    <row r="1076">
      <c r="A1076" s="16" t="inlineStr">
        <is>
          <t>5.15-5.21</t>
        </is>
      </c>
      <c r="B1076" s="16" t="inlineStr">
        <is>
          <t>PO-128-14470588913273445</t>
        </is>
      </c>
      <c r="C1076" s="16" t="inlineStr">
        <is>
          <t>Shipped</t>
        </is>
      </c>
      <c r="D1076" s="16" t="inlineStr">
        <is>
          <t>128-14470546970233445</t>
        </is>
      </c>
      <c r="E1076" s="16" t="inlineStr">
        <is>
          <t>Shipped</t>
        </is>
      </c>
      <c r="F1076" s="16" t="inlineStr">
        <is>
          <t>LB02235-rojo</t>
        </is>
      </c>
      <c r="G1076" s="16" t="inlineStr">
        <is>
          <t>Audífonos Inalámbricos para la Cabeza, Recargables y Multifuncionales - Conectan a Varios Dispositivos, soportan Radio FM, Tarjeta TF y AUX - 4 Horas de Reproducción Musical - Ideal para Trabajo Cotidiano, Juegos y Estudio</t>
        </is>
      </c>
      <c r="H1076" s="16" t="inlineStr">
        <is>
          <t>ROJO</t>
        </is>
      </c>
      <c r="I1076" s="16" t="n">
        <v>1</v>
      </c>
      <c r="J1076" s="17" t="n">
        <v>36.8</v>
      </c>
      <c r="K1076" s="17" t="n">
        <v>49.91</v>
      </c>
      <c r="L1076" s="17" t="n">
        <v>25.86</v>
      </c>
      <c r="M1076" s="17" t="n">
        <v>0</v>
      </c>
      <c r="N1076" s="17">
        <f>K1076*0.08+L1076*0.08</f>
        <v/>
      </c>
      <c r="O1076" s="17">
        <f>-(K1076*0.025+L1076*0.025)</f>
        <v/>
      </c>
      <c r="P1076" s="17">
        <f>32</f>
        <v/>
      </c>
      <c r="Q1076" s="17">
        <f>J1076+L1076+N1076+O1076-P1076-M1076</f>
        <v/>
      </c>
    </row>
    <row r="1077">
      <c r="A1077" s="16" t="inlineStr">
        <is>
          <t>5.15-5.21</t>
        </is>
      </c>
      <c r="B1077" s="16" t="inlineStr">
        <is>
          <t>PO-128-14976637235830301</t>
        </is>
      </c>
      <c r="C1077" s="16" t="inlineStr">
        <is>
          <t>Shipped</t>
        </is>
      </c>
      <c r="D1077" s="16" t="inlineStr">
        <is>
          <t>128-14976658207350301</t>
        </is>
      </c>
      <c r="E1077" s="16" t="inlineStr">
        <is>
          <t>Shipped</t>
        </is>
      </c>
      <c r="F1077" s="16" t="inlineStr">
        <is>
          <t>VA384T-R</t>
        </is>
      </c>
      <c r="G1077" s="16" t="inlineStr">
        <is>
          <t>Bocina Portátil Bluetooth de 3 Pulgadas con Radio FM, USB TF TWS, Sonido Estéreo 5W, Bocina Recargable para Hogar Exterior Viaje Fiesta Camping</t>
        </is>
      </c>
      <c r="H1077" s="16" t="inlineStr">
        <is>
          <t>ROJO</t>
        </is>
      </c>
      <c r="I1077" s="16" t="n">
        <v>1</v>
      </c>
      <c r="J1077" s="17" t="n">
        <v>50</v>
      </c>
      <c r="K1077" s="17" t="n">
        <v>60.72</v>
      </c>
      <c r="L1077" s="17" t="n">
        <v>25.86</v>
      </c>
      <c r="M1077" s="17" t="n">
        <v>0</v>
      </c>
      <c r="N1077" s="17">
        <f>K1077*0.08+L1077*0.08</f>
        <v/>
      </c>
      <c r="O1077" s="17">
        <f>-(K1077*0.025+L1077*0.025)</f>
        <v/>
      </c>
      <c r="P1077" s="17">
        <f>32</f>
        <v/>
      </c>
      <c r="Q1077" s="17">
        <f>J1077+L1077+N1077+O1077-P1077-M1077</f>
        <v/>
      </c>
    </row>
    <row r="1078">
      <c r="A1078" s="16" t="inlineStr">
        <is>
          <t>5.15-5.21</t>
        </is>
      </c>
      <c r="B1078" s="16" t="inlineStr">
        <is>
          <t>PO-128-15023401185910084</t>
        </is>
      </c>
      <c r="C1078" s="16" t="inlineStr">
        <is>
          <t>Shipped</t>
        </is>
      </c>
      <c r="D1078" s="16" t="inlineStr">
        <is>
          <t>128-15023422157430084</t>
        </is>
      </c>
      <c r="E1078" s="16" t="inlineStr">
        <is>
          <t>Shipped</t>
        </is>
      </c>
      <c r="F1078" s="16" t="inlineStr">
        <is>
          <t>KTS-1678V</t>
        </is>
      </c>
      <c r="G1078" s="16" t="inlineStr">
        <is>
          <t>Bocina portátil Inalámbrico, de 3 pulgadas, tamaño de bolsillo, 170 g, con asa, compatible con TF, USB y Micro SD, con radio FM y función TWS (True Wireless Stereo), adecuada para relajarse en casa o viajar al aire libre.</t>
        </is>
      </c>
      <c r="H1078" s="16" t="inlineStr">
        <is>
          <t>KTS-1678V</t>
        </is>
      </c>
      <c r="I1078" s="16" t="n">
        <v>2</v>
      </c>
      <c r="J1078" s="17" t="n">
        <v>85</v>
      </c>
      <c r="K1078" s="17" t="n">
        <v>86.34</v>
      </c>
      <c r="L1078" s="17" t="n">
        <v>13.2</v>
      </c>
      <c r="M1078" s="17" t="n">
        <v>0</v>
      </c>
      <c r="N1078" s="17">
        <f>K1078*0.08+L1078*0.08</f>
        <v/>
      </c>
      <c r="O1078" s="17">
        <f>-(K1078*0.025+L1078*0.025)</f>
        <v/>
      </c>
      <c r="P1078" s="17">
        <f>32</f>
        <v/>
      </c>
      <c r="Q1078" s="17">
        <f>J1078+L1078+N1078+O1078-P1078-M1078</f>
        <v/>
      </c>
    </row>
    <row r="1079">
      <c r="A1079" s="16" t="inlineStr">
        <is>
          <t>5.15-5.21</t>
        </is>
      </c>
      <c r="B1079" s="16" t="inlineStr">
        <is>
          <t>PO-128-15023401185910084</t>
        </is>
      </c>
      <c r="C1079" s="16" t="inlineStr">
        <is>
          <t>Shipped</t>
        </is>
      </c>
      <c r="D1079" s="16" t="inlineStr">
        <is>
          <t>128-15023380214390084</t>
        </is>
      </c>
      <c r="E1079" s="16" t="inlineStr">
        <is>
          <t>Shipped</t>
        </is>
      </c>
      <c r="F1079" s="16" t="inlineStr">
        <is>
          <t>KTS-1678Y</t>
        </is>
      </c>
      <c r="G1079" s="16" t="inlineStr">
        <is>
          <t>Bocina portátil Inalámbrico, de 3 pulgadas, tamaño de bolsillo, 170 g, con asa, compatible con TF, USB y Micro SD, con radio FM y función TWS (True Wireless Stereo), adecuada para relajarse en casa o viajar al aire libre.</t>
        </is>
      </c>
      <c r="H1079" s="16" t="inlineStr">
        <is>
          <t>KTS-1678Y</t>
        </is>
      </c>
      <c r="I1079" s="16" t="n">
        <v>2</v>
      </c>
      <c r="J1079" s="17" t="n">
        <v>85</v>
      </c>
      <c r="K1079" s="17" t="n">
        <v>82.83</v>
      </c>
      <c r="L1079" s="17" t="n">
        <v>12.66</v>
      </c>
      <c r="M1079" s="17" t="n">
        <v>0</v>
      </c>
      <c r="N1079" s="17">
        <f>K1079*0.08+L1079*0.08</f>
        <v/>
      </c>
      <c r="O1079" s="17">
        <f>-(K1079*0.025+L1079*0.025)</f>
        <v/>
      </c>
      <c r="P1079" s="17">
        <f>32</f>
        <v/>
      </c>
      <c r="Q1079" s="17">
        <f>J1079+L1079+N1079+O1079-P1079-M1079</f>
        <v/>
      </c>
    </row>
    <row r="1080">
      <c r="A1080" s="16" t="inlineStr">
        <is>
          <t>5.15-5.21</t>
        </is>
      </c>
      <c r="B1080" s="16" t="inlineStr">
        <is>
          <t>PO-128-15013649726070014</t>
        </is>
      </c>
      <c r="C1080" s="16" t="inlineStr">
        <is>
          <t>Shipped</t>
        </is>
      </c>
      <c r="D1080" s="16" t="inlineStr">
        <is>
          <t>128-15013607783030014</t>
        </is>
      </c>
      <c r="E1080" s="16" t="inlineStr">
        <is>
          <t>Shipped</t>
        </is>
      </c>
      <c r="F1080" s="16" t="inlineStr">
        <is>
          <t>LB02235-rojo</t>
        </is>
      </c>
      <c r="G1080" s="16" t="inlineStr">
        <is>
          <t>Audífonos Inalámbricos para la Cabeza, Recargables y Multifuncionales - Conectan a Varios Dispositivos, soportan Radio FM, Tarjeta TF y AUX - 4 Horas de Reproducción Musical - Ideal para Trabajo Cotidiano, Juegos y Estudio</t>
        </is>
      </c>
      <c r="H1080" s="16" t="inlineStr">
        <is>
          <t>ROJO</t>
        </is>
      </c>
      <c r="I1080" s="16" t="n">
        <v>1</v>
      </c>
      <c r="J1080" s="17" t="n">
        <v>36.8</v>
      </c>
      <c r="K1080" s="17" t="n">
        <v>49.91</v>
      </c>
      <c r="L1080" s="17" t="n">
        <v>25.86</v>
      </c>
      <c r="M1080" s="17" t="n">
        <v>0</v>
      </c>
      <c r="N1080" s="17">
        <f>K1080*0.08+L1080*0.08</f>
        <v/>
      </c>
      <c r="O1080" s="17">
        <f>-(K1080*0.025+L1080*0.025)</f>
        <v/>
      </c>
      <c r="P1080" s="17">
        <f>32</f>
        <v/>
      </c>
      <c r="Q1080" s="17">
        <f>J1080+L1080+N1080+O1080-P1080-M1080</f>
        <v/>
      </c>
    </row>
    <row r="1081">
      <c r="A1081" s="16" t="inlineStr">
        <is>
          <t>5.15-5.21</t>
        </is>
      </c>
      <c r="B1081" s="16" t="inlineStr">
        <is>
          <t>PO-128-15072873298550879</t>
        </is>
      </c>
      <c r="C1081" s="16" t="inlineStr">
        <is>
          <t>Shipped</t>
        </is>
      </c>
      <c r="D1081" s="16" t="inlineStr">
        <is>
          <t>128-15072915241590879</t>
        </is>
      </c>
      <c r="E1081" s="16" t="inlineStr">
        <is>
          <t>Shipped</t>
        </is>
      </c>
      <c r="F1081" s="16" t="inlineStr">
        <is>
          <t>LB02235-azul</t>
        </is>
      </c>
      <c r="G1081" s="16" t="inlineStr">
        <is>
          <t>Audífonos Inalámbricos para la Cabeza, Recargables y Multifuncionales - Conectan a Varios Dispositivos, soportan Radio FM, Tarjeta TF y AUX - 4 Horas de Reproducción Musical - Ideal para Trabajo Cotidiano, Juegos y Estudio</t>
        </is>
      </c>
      <c r="H1081" s="16" t="inlineStr">
        <is>
          <t>AZUL</t>
        </is>
      </c>
      <c r="I1081" s="16" t="n">
        <v>1</v>
      </c>
      <c r="J1081" s="17" t="n">
        <v>36.8</v>
      </c>
      <c r="K1081" s="17" t="n">
        <v>49.91</v>
      </c>
      <c r="L1081" s="17" t="n">
        <v>25.86</v>
      </c>
      <c r="M1081" s="17" t="n">
        <v>0</v>
      </c>
      <c r="N1081" s="17">
        <f>K1081*0.08+L1081*0.08</f>
        <v/>
      </c>
      <c r="O1081" s="17">
        <f>-(K1081*0.025+L1081*0.025)</f>
        <v/>
      </c>
      <c r="P1081" s="17">
        <f>32</f>
        <v/>
      </c>
      <c r="Q1081" s="17">
        <f>J1081+L1081+N1081+O1081-P1081-M1081</f>
        <v/>
      </c>
    </row>
    <row r="1082">
      <c r="A1082" s="16" t="inlineStr">
        <is>
          <t>5.15-5.21</t>
        </is>
      </c>
      <c r="B1082" s="16" t="inlineStr">
        <is>
          <t>PO-128-14998704896630169</t>
        </is>
      </c>
      <c r="C1082" s="16" t="inlineStr">
        <is>
          <t>Shipped</t>
        </is>
      </c>
      <c r="D1082" s="16" t="inlineStr">
        <is>
          <t>128-14998694410870169</t>
        </is>
      </c>
      <c r="E1082" s="16" t="inlineStr">
        <is>
          <t>Shipped</t>
        </is>
      </c>
      <c r="F1082" s="16" t="inlineStr">
        <is>
          <t>S39W48</t>
        </is>
      </c>
      <c r="G108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082" s="16" t="inlineStr">
        <is>
          <t>1 pieza</t>
        </is>
      </c>
      <c r="I1082" s="16" t="n">
        <v>2</v>
      </c>
      <c r="J1082" s="17" t="n">
        <v>60</v>
      </c>
      <c r="K1082" s="17" t="n">
        <v>59.61</v>
      </c>
      <c r="L1082" s="17" t="n">
        <v>25.86</v>
      </c>
      <c r="M1082" s="17" t="n">
        <v>0</v>
      </c>
      <c r="N1082" s="17">
        <f>K1082*0.08+L1082*0.08</f>
        <v/>
      </c>
      <c r="O1082" s="17">
        <f>-(K1082*0.025+L1082*0.025)</f>
        <v/>
      </c>
      <c r="P1082" s="17">
        <f>32</f>
        <v/>
      </c>
      <c r="Q1082" s="17">
        <f>J1082+L1082+N1082+O1082-P1082-M1082</f>
        <v/>
      </c>
    </row>
    <row r="1083">
      <c r="A1083" s="16" t="inlineStr">
        <is>
          <t>5.15-5.21</t>
        </is>
      </c>
      <c r="B1083" s="16" t="inlineStr">
        <is>
          <t>PO-128-14623628498552533</t>
        </is>
      </c>
      <c r="C1083" s="16" t="inlineStr">
        <is>
          <t>Shipped</t>
        </is>
      </c>
      <c r="D1083" s="16" t="inlineStr">
        <is>
          <t>128-14623680927352533</t>
        </is>
      </c>
      <c r="E1083" s="16" t="inlineStr">
        <is>
          <t>Shipped</t>
        </is>
      </c>
      <c r="F1083" s="16" t="inlineStr">
        <is>
          <t>LB02235-rojo</t>
        </is>
      </c>
      <c r="G1083" s="16" t="inlineStr">
        <is>
          <t>Audífonos Inalámbricos para la Cabeza, Recargables y Multifuncionales - Conectan a Varios Dispositivos, soportan Radio FM, Tarjeta TF y AUX - 4 Horas de Reproducción Musical - Ideal para Trabajo Cotidiano, Juegos y Estudio</t>
        </is>
      </c>
      <c r="H1083" s="16" t="inlineStr">
        <is>
          <t>ROJO</t>
        </is>
      </c>
      <c r="I1083" s="16" t="n">
        <v>1</v>
      </c>
      <c r="J1083" s="17" t="n">
        <v>36.8</v>
      </c>
      <c r="K1083" s="17" t="n">
        <v>49.91</v>
      </c>
      <c r="L1083" s="17" t="n">
        <v>25.86</v>
      </c>
      <c r="M1083" s="17" t="n">
        <v>0</v>
      </c>
      <c r="N1083" s="17">
        <f>K1083*0.08+L1083*0.08</f>
        <v/>
      </c>
      <c r="O1083" s="17">
        <f>-(K1083*0.025+L1083*0.025)</f>
        <v/>
      </c>
      <c r="P1083" s="17">
        <f>32</f>
        <v/>
      </c>
      <c r="Q1083" s="17">
        <f>J1083+L1083+N1083+O1083-P1083-M1083</f>
        <v/>
      </c>
    </row>
    <row r="1084">
      <c r="A1084" s="16" t="inlineStr">
        <is>
          <t>5.15-5.21</t>
        </is>
      </c>
      <c r="B1084" s="16" t="inlineStr">
        <is>
          <t>PO-128-14516221256313173</t>
        </is>
      </c>
      <c r="C1084" s="16" t="inlineStr">
        <is>
          <t>Shipped</t>
        </is>
      </c>
      <c r="D1084" s="16" t="inlineStr">
        <is>
          <t>128-14516263199353173</t>
        </is>
      </c>
      <c r="E1084" s="16" t="inlineStr">
        <is>
          <t>Shipped</t>
        </is>
      </c>
      <c r="F1084" s="16" t="inlineStr">
        <is>
          <t>SA323T</t>
        </is>
      </c>
      <c r="G1084" s="16" t="inlineStr">
        <is>
          <t>Linkbits Bocina Portátil Parlantes BT Portátiles con Iluminación de Ambiente | 1 Hora de Duración, FM, TWS, TF/Micro SD | Ideal para Hogar, Fiestas y Viajes</t>
        </is>
      </c>
      <c r="H1084" s="16" t="inlineStr">
        <is>
          <t>SA323T</t>
        </is>
      </c>
      <c r="I1084" s="16" t="n">
        <v>1</v>
      </c>
      <c r="J1084" s="17" t="n">
        <v>46</v>
      </c>
      <c r="K1084" s="17" t="n">
        <v>3.34</v>
      </c>
      <c r="L1084" s="17" t="n">
        <v>25.86</v>
      </c>
      <c r="M1084" s="17" t="n">
        <v>0</v>
      </c>
      <c r="N1084" s="17">
        <f>K1084*0.08+L1084*0.08</f>
        <v/>
      </c>
      <c r="O1084" s="17">
        <f>-(K1084*0.025+L1084*0.025)</f>
        <v/>
      </c>
      <c r="P1084" s="17">
        <f>32</f>
        <v/>
      </c>
      <c r="Q1084" s="17">
        <f>J1084+L1084+N1084+O1084-P1084-M1084</f>
        <v/>
      </c>
    </row>
    <row r="1085">
      <c r="A1085" s="16" t="inlineStr">
        <is>
          <t>5.15-5.21</t>
        </is>
      </c>
      <c r="B1085" s="16" t="inlineStr">
        <is>
          <t>PO-128-14948470308470405</t>
        </is>
      </c>
      <c r="C1085" s="16" t="inlineStr">
        <is>
          <t>Shipped</t>
        </is>
      </c>
      <c r="D1085" s="16" t="inlineStr">
        <is>
          <t>128-14948428365430405</t>
        </is>
      </c>
      <c r="E1085" s="16" t="inlineStr">
        <is>
          <t>Shipped</t>
        </is>
      </c>
      <c r="F1085" s="16" t="inlineStr">
        <is>
          <t>MB-185R</t>
        </is>
      </c>
      <c r="G1085" s="16" t="inlineStr">
        <is>
          <t>Bocina Radio FM/Reproductor, Compatible con Tarjeta TF, USB, Bluetooth, Aplicable para celular, computadora, Ipad y consola.</t>
        </is>
      </c>
      <c r="H1085" s="16" t="inlineStr">
        <is>
          <t>ROJO/MB-185</t>
        </is>
      </c>
      <c r="I1085" s="16" t="n">
        <v>1</v>
      </c>
      <c r="J1085" s="17" t="n">
        <v>74</v>
      </c>
      <c r="K1085" s="17" t="n">
        <v>86.94</v>
      </c>
      <c r="L1085" s="17" t="n">
        <v>25.86</v>
      </c>
      <c r="M1085" s="17" t="n">
        <v>0</v>
      </c>
      <c r="N1085" s="17">
        <f>K1085*0.08+L1085*0.08</f>
        <v/>
      </c>
      <c r="O1085" s="17">
        <f>-(K1085*0.025+L1085*0.025)</f>
        <v/>
      </c>
      <c r="P1085" s="17">
        <f>32</f>
        <v/>
      </c>
      <c r="Q1085" s="17">
        <f>J1085+L1085+N1085+O1085-P1085-M1085</f>
        <v/>
      </c>
    </row>
    <row r="1086">
      <c r="A1086" s="16" t="inlineStr">
        <is>
          <t>5.15-5.21</t>
        </is>
      </c>
      <c r="B1086" s="16" t="inlineStr">
        <is>
          <t>PO-128-14613004943992466</t>
        </is>
      </c>
      <c r="C1086" s="16" t="inlineStr">
        <is>
          <t>Shipped</t>
        </is>
      </c>
      <c r="D1086" s="16" t="inlineStr">
        <is>
          <t>128-14613046887032466</t>
        </is>
      </c>
      <c r="E1086" s="16" t="inlineStr">
        <is>
          <t>Shipped</t>
        </is>
      </c>
      <c r="F1086" s="16" t="inlineStr">
        <is>
          <t>SA325T</t>
        </is>
      </c>
      <c r="G1086" s="16" t="inlineStr">
        <is>
          <t>Subwoofer Portátil Inalámbrico con Luces RGB, Sonido de Alta Potencia y Batería Duradera, TWS TF USB, Perfecto para Campamento Fiestas y Entretenimiento en Casa</t>
        </is>
      </c>
      <c r="H1086" s="16" t="inlineStr">
        <is>
          <t>NEGRO</t>
        </is>
      </c>
      <c r="I1086" s="16" t="n">
        <v>2</v>
      </c>
      <c r="J1086" s="17" t="n">
        <v>76</v>
      </c>
      <c r="K1086" s="17" t="n">
        <v>7.88</v>
      </c>
      <c r="L1086" s="17" t="n">
        <v>25.86</v>
      </c>
      <c r="M1086" s="17" t="n">
        <v>0</v>
      </c>
      <c r="N1086" s="17">
        <f>K1086*0.08+L1086*0.08</f>
        <v/>
      </c>
      <c r="O1086" s="17">
        <f>-(K1086*0.025+L1086*0.025)</f>
        <v/>
      </c>
      <c r="P1086" s="17">
        <f>32</f>
        <v/>
      </c>
      <c r="Q1086" s="17">
        <f>J1086+L1086+N1086+O1086-P1086-M1086</f>
        <v/>
      </c>
    </row>
    <row r="1087">
      <c r="A1087" s="16" t="inlineStr">
        <is>
          <t>5.15-5.21</t>
        </is>
      </c>
      <c r="B1087" s="16" t="inlineStr">
        <is>
          <t>PO-128-14597733955193711</t>
        </is>
      </c>
      <c r="C1087" s="16" t="inlineStr">
        <is>
          <t>Shipped</t>
        </is>
      </c>
      <c r="D1087" s="16" t="inlineStr">
        <is>
          <t>128-14597726090873711</t>
        </is>
      </c>
      <c r="E1087" s="16" t="inlineStr">
        <is>
          <t>Shipped</t>
        </is>
      </c>
      <c r="F1087" s="16" t="inlineStr">
        <is>
          <t>KTS-1678Y</t>
        </is>
      </c>
      <c r="G1087" s="16" t="inlineStr">
        <is>
          <t>Bocina portátil Inalámbrico, de 3 pulgadas, tamaño de bolsillo, 170 g, con asa, compatible con TF, USB y Micro SD, con radio FM y función TWS (True Wireless Stereo), adecuada para relajarse en casa o viajar al aire libre.</t>
        </is>
      </c>
      <c r="H1087" s="16" t="inlineStr">
        <is>
          <t>KTS-1678Y</t>
        </is>
      </c>
      <c r="I1087" s="16" t="n">
        <v>1</v>
      </c>
      <c r="J1087" s="17" t="n">
        <v>42.5</v>
      </c>
      <c r="K1087" s="17" t="n">
        <v>38.98</v>
      </c>
      <c r="L1087" s="17" t="n">
        <v>25.86</v>
      </c>
      <c r="M1087" s="17" t="n">
        <v>0</v>
      </c>
      <c r="N1087" s="17">
        <f>K1087*0.08+L1087*0.08</f>
        <v/>
      </c>
      <c r="O1087" s="17">
        <f>-(K1087*0.025+L1087*0.025)</f>
        <v/>
      </c>
      <c r="P1087" s="17">
        <f>32</f>
        <v/>
      </c>
      <c r="Q1087" s="17">
        <f>J1087+L1087+N1087+O1087-P1087-M1087</f>
        <v/>
      </c>
    </row>
    <row r="1088">
      <c r="A1088" s="16" t="inlineStr">
        <is>
          <t>5.15-5.21</t>
        </is>
      </c>
      <c r="B1088" s="16" t="inlineStr">
        <is>
          <t>PO-128-14621396798072544</t>
        </is>
      </c>
      <c r="C1088" s="16" t="inlineStr">
        <is>
          <t>Shipped</t>
        </is>
      </c>
      <c r="D1088" s="16" t="inlineStr">
        <is>
          <t>128-14621354855032544</t>
        </is>
      </c>
      <c r="E1088" s="16" t="inlineStr">
        <is>
          <t>Shipped</t>
        </is>
      </c>
      <c r="F1088" s="16" t="inlineStr">
        <is>
          <t>LB02235-azul</t>
        </is>
      </c>
      <c r="G1088" s="16" t="inlineStr">
        <is>
          <t>Audífonos Inalámbricos para la Cabeza, Recargables y Multifuncionales - Conectan a Varios Dispositivos, soportan Radio FM, Tarjeta TF y AUX - 4 Horas de Reproducción Musical - Ideal para Trabajo Cotidiano, Juegos y Estudio</t>
        </is>
      </c>
      <c r="H1088" s="16" t="inlineStr">
        <is>
          <t>AZUL</t>
        </is>
      </c>
      <c r="I1088" s="16" t="n">
        <v>1</v>
      </c>
      <c r="J1088" s="17" t="n">
        <v>36.8</v>
      </c>
      <c r="K1088" s="17" t="n">
        <v>49.91</v>
      </c>
      <c r="L1088" s="17" t="n">
        <v>25.86</v>
      </c>
      <c r="M1088" s="17" t="n">
        <v>0</v>
      </c>
      <c r="N1088" s="17">
        <f>K1088*0.08+L1088*0.08</f>
        <v/>
      </c>
      <c r="O1088" s="17">
        <f>-(K1088*0.025+L1088*0.025)</f>
        <v/>
      </c>
      <c r="P1088" s="17">
        <f>32</f>
        <v/>
      </c>
      <c r="Q1088" s="17">
        <f>J1088+L1088+N1088+O1088-P1088-M1088</f>
        <v/>
      </c>
    </row>
    <row r="1089">
      <c r="A1089" s="16" t="inlineStr">
        <is>
          <t>5.15-5.21</t>
        </is>
      </c>
      <c r="B1089" s="16" t="inlineStr">
        <is>
          <t>PO-128-14691587492472958</t>
        </is>
      </c>
      <c r="C1089" s="16" t="inlineStr">
        <is>
          <t>Shipped</t>
        </is>
      </c>
      <c r="D1089" s="16" t="inlineStr">
        <is>
          <t>128-14691608463992958</t>
        </is>
      </c>
      <c r="E1089" s="16" t="inlineStr">
        <is>
          <t>Shipped</t>
        </is>
      </c>
      <c r="F1089" s="16" t="inlineStr">
        <is>
          <t>LB02235-blanco</t>
        </is>
      </c>
      <c r="G1089" s="16" t="inlineStr">
        <is>
          <t>Audífonos Inalámbricos para la Cabeza, Recargables y Multifuncionales - Conectan a Varios Dispositivos, soportan Radio FM, Tarjeta TF y AUX - 4 Horas de Reproducción Musical - Ideal para Trabajo Cotidiano, Juegos y Estudio</t>
        </is>
      </c>
      <c r="H1089" s="16" t="inlineStr">
        <is>
          <t>BLANCO</t>
        </is>
      </c>
      <c r="I1089" s="16" t="n">
        <v>1</v>
      </c>
      <c r="J1089" s="17" t="n">
        <v>36.8</v>
      </c>
      <c r="K1089" s="17" t="n">
        <v>49.91</v>
      </c>
      <c r="L1089" s="17" t="n">
        <v>25.86</v>
      </c>
      <c r="M1089" s="17" t="n">
        <v>0</v>
      </c>
      <c r="N1089" s="17">
        <f>K1089*0.08+L1089*0.08</f>
        <v/>
      </c>
      <c r="O1089" s="17">
        <f>-(K1089*0.025+L1089*0.025)</f>
        <v/>
      </c>
      <c r="P1089" s="17">
        <f>32</f>
        <v/>
      </c>
      <c r="Q1089" s="17">
        <f>J1089+L1089+N1089+O1089-P1089-M1089</f>
        <v/>
      </c>
    </row>
    <row r="1090">
      <c r="A1090" s="16" t="inlineStr">
        <is>
          <t>5.15-5.21</t>
        </is>
      </c>
      <c r="B1090" s="16" t="inlineStr">
        <is>
          <t>PO-128-14483788744313236</t>
        </is>
      </c>
      <c r="C1090" s="16" t="inlineStr">
        <is>
          <t>Shipped</t>
        </is>
      </c>
      <c r="D1090" s="16" t="inlineStr">
        <is>
          <t>128-14483841173113236</t>
        </is>
      </c>
      <c r="E1090" s="16" t="inlineStr">
        <is>
          <t>Shipped</t>
        </is>
      </c>
      <c r="F1090" s="16" t="inlineStr">
        <is>
          <t>T2835CM16A</t>
        </is>
      </c>
      <c r="G1090" s="16" t="inlineStr">
        <is>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is>
      </c>
      <c r="H1090" s="16" t="inlineStr">
        <is>
          <t>T2835CM16A</t>
        </is>
      </c>
      <c r="I1090" s="16" t="n">
        <v>1</v>
      </c>
      <c r="J1090" s="17" t="n">
        <v>72</v>
      </c>
      <c r="K1090" s="17" t="n">
        <v>93.94</v>
      </c>
      <c r="L1090" s="17" t="n">
        <v>25.86</v>
      </c>
      <c r="M1090" s="17" t="n">
        <v>0</v>
      </c>
      <c r="N1090" s="17">
        <f>K1090*0.08+L1090*0.08</f>
        <v/>
      </c>
      <c r="O1090" s="17">
        <f>-(K1090*0.025+L1090*0.025)</f>
        <v/>
      </c>
      <c r="P1090" s="17">
        <f>32</f>
        <v/>
      </c>
      <c r="Q1090" s="17">
        <f>J1090+L1090+N1090+O1090-P1090-M1090</f>
        <v/>
      </c>
    </row>
    <row r="1091">
      <c r="A1091" s="16" t="inlineStr">
        <is>
          <t>5.15-5.21</t>
        </is>
      </c>
      <c r="B1091" s="16" t="inlineStr">
        <is>
          <t>PO-128-15107284859510544</t>
        </is>
      </c>
      <c r="C1091" s="16" t="inlineStr">
        <is>
          <t>Shipped</t>
        </is>
      </c>
      <c r="D1091" s="16" t="inlineStr">
        <is>
          <t>128-15107326802550544</t>
        </is>
      </c>
      <c r="E1091" s="16" t="inlineStr">
        <is>
          <t>Shipped</t>
        </is>
      </c>
      <c r="F1091" s="16" t="inlineStr">
        <is>
          <t>LB02235-rojo</t>
        </is>
      </c>
      <c r="G1091" s="16" t="inlineStr">
        <is>
          <t>Audífonos Inalámbricos para la Cabeza, Recargables y Multifuncionales - Conectan a Varios Dispositivos, soportan Radio FM, Tarjeta TF y AUX - 4 Horas de Reproducción Musical - Ideal para Trabajo Cotidiano, Juegos y Estudio</t>
        </is>
      </c>
      <c r="H1091" s="16" t="inlineStr">
        <is>
          <t>ROJO</t>
        </is>
      </c>
      <c r="I1091" s="16" t="n">
        <v>1</v>
      </c>
      <c r="J1091" s="17" t="n">
        <v>36.8</v>
      </c>
      <c r="K1091" s="17" t="n">
        <v>49.91</v>
      </c>
      <c r="L1091" s="17" t="n">
        <v>25.86</v>
      </c>
      <c r="M1091" s="17" t="n">
        <v>0</v>
      </c>
      <c r="N1091" s="17">
        <f>K1091*0.08+L1091*0.08</f>
        <v/>
      </c>
      <c r="O1091" s="17">
        <f>-(K1091*0.025+L1091*0.025)</f>
        <v/>
      </c>
      <c r="P1091" s="17">
        <f>32</f>
        <v/>
      </c>
      <c r="Q1091" s="17">
        <f>J1091+L1091+N1091+O1091-P1091-M1091</f>
        <v/>
      </c>
    </row>
    <row r="1092">
      <c r="A1092" s="16" t="inlineStr">
        <is>
          <t>5.15-5.21</t>
        </is>
      </c>
      <c r="B1092" s="16" t="inlineStr">
        <is>
          <t>PO-128-14520353807993978</t>
        </is>
      </c>
      <c r="C1092" s="16" t="inlineStr">
        <is>
          <t>Shipped</t>
        </is>
      </c>
      <c r="D1092" s="16" t="inlineStr">
        <is>
          <t>128-14520359050873978</t>
        </is>
      </c>
      <c r="E1092" s="16" t="inlineStr">
        <is>
          <t>Shipped</t>
        </is>
      </c>
      <c r="F1092" s="16" t="inlineStr">
        <is>
          <t>SA323T</t>
        </is>
      </c>
      <c r="G1092" s="16" t="inlineStr">
        <is>
          <t>Linkbits Bocina Portátil Parlantes BT Portátiles con Iluminación de Ambiente | 1 Hora de Duración, FM, TWS, TF/Micro SD | Ideal para Hogar, Fiestas y Viajes</t>
        </is>
      </c>
      <c r="H1092" s="16" t="inlineStr">
        <is>
          <t>SA323T</t>
        </is>
      </c>
      <c r="I1092" s="16" t="n">
        <v>1</v>
      </c>
      <c r="J1092" s="17" t="n">
        <v>46</v>
      </c>
      <c r="K1092" s="17" t="n">
        <v>55.06</v>
      </c>
      <c r="L1092" s="17" t="n">
        <v>25.86</v>
      </c>
      <c r="M1092" s="17" t="n">
        <v>0</v>
      </c>
      <c r="N1092" s="17">
        <f>K1092*0.08+L1092*0.08</f>
        <v/>
      </c>
      <c r="O1092" s="17">
        <f>-(K1092*0.025+L1092*0.025)</f>
        <v/>
      </c>
      <c r="P1092" s="17">
        <f>32</f>
        <v/>
      </c>
      <c r="Q1092" s="17">
        <f>J1092+L1092+N1092+O1092-P1092-M1092</f>
        <v/>
      </c>
    </row>
    <row r="1093">
      <c r="A1093" s="16" t="inlineStr">
        <is>
          <t>5.15-5.21</t>
        </is>
      </c>
      <c r="B1093" s="16" t="inlineStr">
        <is>
          <t>PO-128-14969019730550280</t>
        </is>
      </c>
      <c r="C1093" s="16" t="inlineStr">
        <is>
          <t>Shipped</t>
        </is>
      </c>
      <c r="D1093" s="16" t="inlineStr">
        <is>
          <t>128-14969061673590280</t>
        </is>
      </c>
      <c r="E1093" s="16" t="inlineStr">
        <is>
          <t>Shipped</t>
        </is>
      </c>
      <c r="F1093" s="16" t="inlineStr">
        <is>
          <t>MCM-001G</t>
        </is>
      </c>
      <c r="G1093" s="16" t="inlineStr">
        <is>
          <t>Musicord Altavoz Inalámbrico BT Portátil: ¡Sonido impactante, luces LED multicolores y 4 horas de autonomía! Compatible con TWS, FM, TF y USB – Imprescindible para fiestas y viajes</t>
        </is>
      </c>
      <c r="H1093" s="16" t="inlineStr">
        <is>
          <t>GRIS</t>
        </is>
      </c>
      <c r="I1093" s="16" t="n">
        <v>1</v>
      </c>
      <c r="J1093" s="17" t="n">
        <v>51.07</v>
      </c>
      <c r="K1093" s="17" t="n">
        <v>58.86</v>
      </c>
      <c r="L1093" s="17" t="n">
        <v>25.86</v>
      </c>
      <c r="M1093" s="17" t="n">
        <v>0</v>
      </c>
      <c r="N1093" s="17">
        <f>K1093*0.08+L1093*0.08</f>
        <v/>
      </c>
      <c r="O1093" s="17">
        <f>-(K1093*0.025+L1093*0.025)</f>
        <v/>
      </c>
      <c r="P1093" s="17">
        <f>32</f>
        <v/>
      </c>
      <c r="Q1093" s="17">
        <f>J1093+L1093+N1093+O1093-P1093-M1093</f>
        <v/>
      </c>
    </row>
    <row r="1094">
      <c r="A1094" s="16" t="inlineStr">
        <is>
          <t>5.15-5.21</t>
        </is>
      </c>
      <c r="B1094" s="16" t="inlineStr">
        <is>
          <t>PO-128-14811752484471346</t>
        </is>
      </c>
      <c r="C1094" s="16" t="inlineStr">
        <is>
          <t>Shipped</t>
        </is>
      </c>
      <c r="D1094" s="16" t="inlineStr">
        <is>
          <t>128-14811731512951346</t>
        </is>
      </c>
      <c r="E1094" s="16" t="inlineStr">
        <is>
          <t>Shipped</t>
        </is>
      </c>
      <c r="F1094" s="16" t="inlineStr">
        <is>
          <t>LB02235-negro</t>
        </is>
      </c>
      <c r="G1094" s="16" t="inlineStr">
        <is>
          <t>Audífonos Inalámbricos para la Cabeza, Recargables y Multifuncionales - Conectan a Varios Dispositivos, soportan Radio FM, Tarjeta TF y AUX - 4 Horas de Reproducción Musical - Ideal para Trabajo Cotidiano, Juegos y Estudio</t>
        </is>
      </c>
      <c r="H1094" s="16" t="inlineStr">
        <is>
          <t>NEGRO</t>
        </is>
      </c>
      <c r="I1094" s="16" t="n">
        <v>1</v>
      </c>
      <c r="J1094" s="17" t="n">
        <v>36.8</v>
      </c>
      <c r="K1094" s="17" t="n">
        <v>49.91</v>
      </c>
      <c r="L1094" s="17" t="n">
        <v>25.86</v>
      </c>
      <c r="M1094" s="17" t="n">
        <v>0</v>
      </c>
      <c r="N1094" s="17">
        <f>K1094*0.08+L1094*0.08</f>
        <v/>
      </c>
      <c r="O1094" s="17">
        <f>-(K1094*0.025+L1094*0.025)</f>
        <v/>
      </c>
      <c r="P1094" s="17">
        <f>32</f>
        <v/>
      </c>
      <c r="Q1094" s="17">
        <f>J1094+L1094+N1094+O1094-P1094-M1094</f>
        <v/>
      </c>
    </row>
    <row r="1095">
      <c r="A1095" s="16" t="inlineStr">
        <is>
          <t>5.15-5.21</t>
        </is>
      </c>
      <c r="B1095" s="16" t="inlineStr">
        <is>
          <t>PO-128-14802988836471334</t>
        </is>
      </c>
      <c r="C1095" s="16" t="inlineStr">
        <is>
          <t>Shipped</t>
        </is>
      </c>
      <c r="D1095" s="16" t="inlineStr">
        <is>
          <t>128-14803009807991334</t>
        </is>
      </c>
      <c r="E1095" s="16" t="inlineStr">
        <is>
          <t>Shipped</t>
        </is>
      </c>
      <c r="F1095" s="16" t="inlineStr">
        <is>
          <t>LB02235-blanco</t>
        </is>
      </c>
      <c r="G1095" s="16" t="inlineStr">
        <is>
          <t>Audífonos Inalámbricos para la Cabeza, Recargables y Multifuncionales - Conectan a Varios Dispositivos, soportan Radio FM, Tarjeta TF y AUX - 4 Horas de Reproducción Musical - Ideal para Trabajo Cotidiano, Juegos y Estudio</t>
        </is>
      </c>
      <c r="H1095" s="16" t="inlineStr">
        <is>
          <t>BLANCO</t>
        </is>
      </c>
      <c r="I1095" s="16" t="n">
        <v>1</v>
      </c>
      <c r="J1095" s="17" t="n">
        <v>36.8</v>
      </c>
      <c r="K1095" s="17" t="n">
        <v>49.91</v>
      </c>
      <c r="L1095" s="17" t="n">
        <v>25.86</v>
      </c>
      <c r="M1095" s="17" t="n">
        <v>0</v>
      </c>
      <c r="N1095" s="17">
        <f>K1095*0.08+L1095*0.08</f>
        <v/>
      </c>
      <c r="O1095" s="17">
        <f>-(K1095*0.025+L1095*0.025)</f>
        <v/>
      </c>
      <c r="P1095" s="17">
        <f>32</f>
        <v/>
      </c>
      <c r="Q1095" s="17">
        <f>J1095+L1095+N1095+O1095-P1095-M1095</f>
        <v/>
      </c>
    </row>
    <row r="1096">
      <c r="A1096" s="16" t="inlineStr">
        <is>
          <t>5.15-5.21</t>
        </is>
      </c>
      <c r="B1096" s="16" t="inlineStr">
        <is>
          <t>PO-128-14463251108473361</t>
        </is>
      </c>
      <c r="C1096" s="16" t="inlineStr">
        <is>
          <t>Shipped</t>
        </is>
      </c>
      <c r="D1096" s="16" t="inlineStr">
        <is>
          <t>128-14463272079993361</t>
        </is>
      </c>
      <c r="E1096" s="16" t="inlineStr">
        <is>
          <t>Shipped</t>
        </is>
      </c>
      <c r="F1096" s="16" t="inlineStr">
        <is>
          <t>LB02235-rojo</t>
        </is>
      </c>
      <c r="G1096" s="16" t="inlineStr">
        <is>
          <t>Audífonos Inalámbricos para la Cabeza, Recargables y Multifuncionales - Conectan a Varios Dispositivos, soportan Radio FM, Tarjeta TF y AUX - 4 Horas de Reproducción Musical - Ideal para Trabajo Cotidiano, Juegos y Estudio</t>
        </is>
      </c>
      <c r="H1096" s="16" t="inlineStr">
        <is>
          <t>ROJO</t>
        </is>
      </c>
      <c r="I1096" s="16" t="n">
        <v>1</v>
      </c>
      <c r="J1096" s="17" t="n">
        <v>36.8</v>
      </c>
      <c r="K1096" s="17" t="n">
        <v>49.91</v>
      </c>
      <c r="L1096" s="17" t="n">
        <v>8.619999999999999</v>
      </c>
      <c r="M1096" s="17" t="n">
        <v>0</v>
      </c>
      <c r="N1096" s="17">
        <f>K1096*0.08+L1096*0.08</f>
        <v/>
      </c>
      <c r="O1096" s="17">
        <f>-(K1096*0.025+L1096*0.025)</f>
        <v/>
      </c>
      <c r="P1096" s="17">
        <f>32</f>
        <v/>
      </c>
      <c r="Q1096" s="17">
        <f>J1096+L1096+N1096+O1096-P1096-M1096</f>
        <v/>
      </c>
    </row>
    <row r="1097">
      <c r="A1097" s="16" t="inlineStr">
        <is>
          <t>5.15-5.21</t>
        </is>
      </c>
      <c r="B1097" s="16" t="inlineStr">
        <is>
          <t>PO-128-14463251108473361</t>
        </is>
      </c>
      <c r="C1097" s="16" t="inlineStr">
        <is>
          <t>Shipped</t>
        </is>
      </c>
      <c r="D1097" s="16" t="inlineStr">
        <is>
          <t>128-14463188193913361</t>
        </is>
      </c>
      <c r="E1097" s="16" t="inlineStr">
        <is>
          <t>Shipped</t>
        </is>
      </c>
      <c r="F1097" s="16" t="inlineStr">
        <is>
          <t>LB02235-azul</t>
        </is>
      </c>
      <c r="G1097" s="16" t="inlineStr">
        <is>
          <t>Audífonos Inalámbricos para la Cabeza, Recargables y Multifuncionales - Conectan a Varios Dispositivos, soportan Radio FM, Tarjeta TF y AUX - 4 Horas de Reproducción Musical - Ideal para Trabajo Cotidiano, Juegos y Estudio</t>
        </is>
      </c>
      <c r="H1097" s="16" t="inlineStr">
        <is>
          <t>AZUL</t>
        </is>
      </c>
      <c r="I1097" s="16" t="n">
        <v>1</v>
      </c>
      <c r="J1097" s="17" t="n">
        <v>36.8</v>
      </c>
      <c r="K1097" s="17" t="n">
        <v>49.91</v>
      </c>
      <c r="L1097" s="17" t="n">
        <v>8.619999999999999</v>
      </c>
      <c r="M1097" s="17" t="n">
        <v>0</v>
      </c>
      <c r="N1097" s="17">
        <f>K1097*0.08+L1097*0.08</f>
        <v/>
      </c>
      <c r="O1097" s="17">
        <f>-(K1097*0.025+L1097*0.025)</f>
        <v/>
      </c>
      <c r="P1097" s="17">
        <f>32</f>
        <v/>
      </c>
      <c r="Q1097" s="17">
        <f>J1097+L1097+N1097+O1097-P1097-M1097</f>
        <v/>
      </c>
    </row>
    <row r="1098">
      <c r="A1098" s="16" t="inlineStr">
        <is>
          <t>5.15-5.21</t>
        </is>
      </c>
      <c r="B1098" s="16" t="inlineStr">
        <is>
          <t>PO-128-14463251108473361</t>
        </is>
      </c>
      <c r="C1098" s="16" t="inlineStr">
        <is>
          <t>Shipped</t>
        </is>
      </c>
      <c r="D1098" s="16" t="inlineStr">
        <is>
          <t>128-14463230136953361</t>
        </is>
      </c>
      <c r="E1098" s="16" t="inlineStr">
        <is>
          <t>Shipped</t>
        </is>
      </c>
      <c r="F1098" s="16" t="inlineStr">
        <is>
          <t>LB02235-blanco</t>
        </is>
      </c>
      <c r="G1098" s="16" t="inlineStr">
        <is>
          <t>Audífonos Inalámbricos para la Cabeza, Recargables y Multifuncionales - Conectan a Varios Dispositivos, soportan Radio FM, Tarjeta TF y AUX - 4 Horas de Reproducción Musical - Ideal para Trabajo Cotidiano, Juegos y Estudio</t>
        </is>
      </c>
      <c r="H1098" s="16" t="inlineStr">
        <is>
          <t>BLANCO</t>
        </is>
      </c>
      <c r="I1098" s="16" t="n">
        <v>1</v>
      </c>
      <c r="J1098" s="17" t="n">
        <v>36.8</v>
      </c>
      <c r="K1098" s="17" t="n">
        <v>49.91</v>
      </c>
      <c r="L1098" s="17" t="n">
        <v>8.619999999999999</v>
      </c>
      <c r="M1098" s="17" t="n">
        <v>0</v>
      </c>
      <c r="N1098" s="17">
        <f>K1098*0.08+L1098*0.08</f>
        <v/>
      </c>
      <c r="O1098" s="17">
        <f>-(K1098*0.025+L1098*0.025)</f>
        <v/>
      </c>
      <c r="P1098" s="17">
        <f>32</f>
        <v/>
      </c>
      <c r="Q1098" s="17">
        <f>J1098+L1098+N1098+O1098-P1098-M1098</f>
        <v/>
      </c>
    </row>
    <row r="1099">
      <c r="A1099" s="16" t="inlineStr">
        <is>
          <t>5.15-5.21</t>
        </is>
      </c>
      <c r="B1099" s="16" t="inlineStr">
        <is>
          <t>PO-128-14689741215352971</t>
        </is>
      </c>
      <c r="C1099" s="16" t="inlineStr">
        <is>
          <t>Shipped</t>
        </is>
      </c>
      <c r="D1099" s="16" t="inlineStr">
        <is>
          <t>128-14689762186872971</t>
        </is>
      </c>
      <c r="E1099" s="16" t="inlineStr">
        <is>
          <t>Shipped</t>
        </is>
      </c>
      <c r="F1099" s="16" t="inlineStr">
        <is>
          <t>MCM-001G</t>
        </is>
      </c>
      <c r="G1099" s="16" t="inlineStr">
        <is>
          <t>Musicord Altavoz Inalámbrico BT Portátil: ¡Sonido impactante, luces LED multicolores y 4 horas de autonomía! Compatible con TWS, FM, TF y USB – Imprescindible para fiestas y viajes</t>
        </is>
      </c>
      <c r="H1099" s="16" t="inlineStr">
        <is>
          <t>GRIS</t>
        </is>
      </c>
      <c r="I1099" s="16" t="n">
        <v>1</v>
      </c>
      <c r="J1099" s="17" t="n">
        <v>51.07</v>
      </c>
      <c r="K1099" s="17" t="n">
        <v>15.76</v>
      </c>
      <c r="L1099" s="17" t="n">
        <v>25.86</v>
      </c>
      <c r="M1099" s="17" t="n">
        <v>0</v>
      </c>
      <c r="N1099" s="17">
        <f>K1099*0.08+L1099*0.08</f>
        <v/>
      </c>
      <c r="O1099" s="17">
        <f>-(K1099*0.025+L1099*0.025)</f>
        <v/>
      </c>
      <c r="P1099" s="17">
        <f>32</f>
        <v/>
      </c>
      <c r="Q1099" s="17">
        <f>J1099+L1099+N1099+O1099-P1099-M1099</f>
        <v/>
      </c>
    </row>
    <row r="1100">
      <c r="A1100" s="16" t="inlineStr">
        <is>
          <t>5.15-5.21</t>
        </is>
      </c>
      <c r="B1100" s="16" t="inlineStr">
        <is>
          <t>PO-128-14912356014711706</t>
        </is>
      </c>
      <c r="C1100" s="16" t="inlineStr">
        <is>
          <t>Shipped</t>
        </is>
      </c>
      <c r="D1100" s="16" t="inlineStr">
        <is>
          <t>128-14912408443511706</t>
        </is>
      </c>
      <c r="E1100" s="16" t="inlineStr">
        <is>
          <t>Shipped</t>
        </is>
      </c>
      <c r="F1100" s="16" t="inlineStr">
        <is>
          <t>LB02235-negro</t>
        </is>
      </c>
      <c r="G1100" s="16" t="inlineStr">
        <is>
          <t>Audífonos Inalámbricos para la Cabeza, Recargables y Multifuncionales - Conectan a Varios Dispositivos, soportan Radio FM, Tarjeta TF y AUX - 4 Horas de Reproducción Musical - Ideal para Trabajo Cotidiano, Juegos y Estudio</t>
        </is>
      </c>
      <c r="H1100" s="16" t="inlineStr">
        <is>
          <t>NEGRO</t>
        </is>
      </c>
      <c r="I1100" s="16" t="n">
        <v>1</v>
      </c>
      <c r="J1100" s="17" t="n">
        <v>36.8</v>
      </c>
      <c r="K1100" s="17" t="n">
        <v>6.81</v>
      </c>
      <c r="L1100" s="17" t="n">
        <v>25.86</v>
      </c>
      <c r="M1100" s="17" t="n">
        <v>0</v>
      </c>
      <c r="N1100" s="17">
        <f>K1100*0.08+L1100*0.08</f>
        <v/>
      </c>
      <c r="O1100" s="17">
        <f>-(K1100*0.025+L1100*0.025)</f>
        <v/>
      </c>
      <c r="P1100" s="17">
        <f>32</f>
        <v/>
      </c>
      <c r="Q1100" s="17">
        <f>J1100+L1100+N1100+O1100-P1100-M1100</f>
        <v/>
      </c>
    </row>
    <row r="1101">
      <c r="A1101" s="16" t="inlineStr">
        <is>
          <t>5.15-5.21</t>
        </is>
      </c>
      <c r="B1101" s="16" t="inlineStr">
        <is>
          <t>PO-128-14624091285112528</t>
        </is>
      </c>
      <c r="C1101" s="16" t="inlineStr">
        <is>
          <t>Shipped</t>
        </is>
      </c>
      <c r="D1101" s="16" t="inlineStr">
        <is>
          <t>128-14624048850552528</t>
        </is>
      </c>
      <c r="E1101" s="16" t="inlineStr">
        <is>
          <t>Shipped</t>
        </is>
      </c>
      <c r="F1101" s="16" t="inlineStr">
        <is>
          <t>EM04W36</t>
        </is>
      </c>
      <c r="G110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1101" s="16" t="inlineStr">
        <is>
          <t>1 pieza</t>
        </is>
      </c>
      <c r="I1101" s="16" t="n">
        <v>1</v>
      </c>
      <c r="J1101" s="17" t="n">
        <v>62</v>
      </c>
      <c r="K1101" s="17" t="n">
        <v>65.18000000000001</v>
      </c>
      <c r="L1101" s="17" t="n">
        <v>8.630000000000001</v>
      </c>
      <c r="M1101" s="17" t="n">
        <v>8.140000000000001</v>
      </c>
      <c r="N1101" s="17">
        <f>K1101*0.08+L1101*0.08</f>
        <v/>
      </c>
      <c r="O1101" s="17">
        <f>-(K1101*0.025+L1101*0.025)</f>
        <v/>
      </c>
      <c r="P1101" s="17">
        <f>32</f>
        <v/>
      </c>
      <c r="Q1101" s="17">
        <f>J1101+L1101+N1101+O1101-P1101-M1101</f>
        <v/>
      </c>
    </row>
    <row r="1102">
      <c r="A1102" s="16" t="inlineStr">
        <is>
          <t>5.15-5.21</t>
        </is>
      </c>
      <c r="B1102" s="16" t="inlineStr">
        <is>
          <t>PO-128-14624091285112528</t>
        </is>
      </c>
      <c r="C1102" s="16" t="inlineStr">
        <is>
          <t>Shipped</t>
        </is>
      </c>
      <c r="D1102" s="16" t="inlineStr">
        <is>
          <t>128-14624049342072528</t>
        </is>
      </c>
      <c r="E1102" s="16" t="inlineStr">
        <is>
          <t>Shipped</t>
        </is>
      </c>
      <c r="F1102" s="16" t="inlineStr">
        <is>
          <t>EM04W36-2PZS</t>
        </is>
      </c>
      <c r="G110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1102" s="16" t="inlineStr">
        <is>
          <t>2 piezas</t>
        </is>
      </c>
      <c r="I1102" s="16" t="n">
        <v>1</v>
      </c>
      <c r="J1102" s="17" t="n">
        <v>125</v>
      </c>
      <c r="K1102" s="17" t="n">
        <v>129.97</v>
      </c>
      <c r="L1102" s="17" t="n">
        <v>17.23</v>
      </c>
      <c r="M1102" s="17" t="n">
        <v>0</v>
      </c>
      <c r="N1102" s="17">
        <f>K1102*0.08+L1102*0.08</f>
        <v/>
      </c>
      <c r="O1102" s="17">
        <f>-(K1102*0.025+L1102*0.025)</f>
        <v/>
      </c>
      <c r="P1102" s="17">
        <f>32</f>
        <v/>
      </c>
      <c r="Q1102" s="17">
        <f>J1102+L1102+N1102+O1102-P1102-M1102</f>
        <v/>
      </c>
    </row>
    <row r="1103">
      <c r="A1103" s="16" t="inlineStr">
        <is>
          <t>5.15-5.21</t>
        </is>
      </c>
      <c r="B1103" s="16" t="inlineStr">
        <is>
          <t>PO-128-15058390451830773</t>
        </is>
      </c>
      <c r="C1103" s="16" t="inlineStr">
        <is>
          <t>Shipped</t>
        </is>
      </c>
      <c r="D1103" s="16" t="inlineStr">
        <is>
          <t>128-15058473846390773</t>
        </is>
      </c>
      <c r="E1103" s="16" t="inlineStr">
        <is>
          <t>Shipped</t>
        </is>
      </c>
      <c r="F1103" s="16" t="inlineStr">
        <is>
          <t>SA325T</t>
        </is>
      </c>
      <c r="G1103" s="16" t="inlineStr">
        <is>
          <t>Subwoofer Portátil Inalámbrico con Luces RGB, Sonido de Alta Potencia y Batería Duradera, TWS TF USB, Perfecto para Campamento Fiestas y Entretenimiento en Casa</t>
        </is>
      </c>
      <c r="H1103" s="16" t="inlineStr">
        <is>
          <t>NEGRO</t>
        </is>
      </c>
      <c r="I1103" s="16" t="n">
        <v>1</v>
      </c>
      <c r="J1103" s="17" t="n">
        <v>38</v>
      </c>
      <c r="K1103" s="17" t="n">
        <v>37.63</v>
      </c>
      <c r="L1103" s="17" t="n">
        <v>25.86</v>
      </c>
      <c r="M1103" s="17" t="n">
        <v>0</v>
      </c>
      <c r="N1103" s="17">
        <f>K1103*0.08+L1103*0.08</f>
        <v/>
      </c>
      <c r="O1103" s="17">
        <f>-(K1103*0.025+L1103*0.025)</f>
        <v/>
      </c>
      <c r="P1103" s="17">
        <f>32</f>
        <v/>
      </c>
      <c r="Q1103" s="17">
        <f>J1103+L1103+N1103+O1103-P1103-M1103</f>
        <v/>
      </c>
    </row>
    <row r="1104">
      <c r="A1104" s="16" t="inlineStr">
        <is>
          <t>5.15-5.21</t>
        </is>
      </c>
      <c r="B1104" s="16" t="inlineStr">
        <is>
          <t>PO-128-14454916383353344</t>
        </is>
      </c>
      <c r="C1104" s="16" t="inlineStr">
        <is>
          <t>Shipped</t>
        </is>
      </c>
      <c r="D1104" s="16" t="inlineStr">
        <is>
          <t>128-14454971433593344</t>
        </is>
      </c>
      <c r="E1104" s="16" t="inlineStr">
        <is>
          <t>Shipped</t>
        </is>
      </c>
      <c r="F1104" s="16" t="inlineStr">
        <is>
          <t>EM04W36</t>
        </is>
      </c>
      <c r="G110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1104" s="16" t="inlineStr">
        <is>
          <t>1 pieza</t>
        </is>
      </c>
      <c r="I1104" s="16" t="n">
        <v>1</v>
      </c>
      <c r="J1104" s="17" t="n">
        <v>62</v>
      </c>
      <c r="K1104" s="17" t="n">
        <v>81.45999999999999</v>
      </c>
      <c r="L1104" s="17" t="n">
        <v>25.86</v>
      </c>
      <c r="M1104" s="17" t="n">
        <v>0</v>
      </c>
      <c r="N1104" s="17">
        <f>K1104*0.08+L1104*0.08</f>
        <v/>
      </c>
      <c r="O1104" s="17">
        <f>-(K1104*0.025+L1104*0.025)</f>
        <v/>
      </c>
      <c r="P1104" s="17">
        <f>32</f>
        <v/>
      </c>
      <c r="Q1104" s="17">
        <f>J1104+L1104+N1104+O1104-P1104-M1104</f>
        <v/>
      </c>
    </row>
    <row r="1105">
      <c r="A1105" s="16" t="inlineStr">
        <is>
          <t>5.15-5.21</t>
        </is>
      </c>
      <c r="B1105" s="16" t="inlineStr">
        <is>
          <t>PO-128-14701207475833028</t>
        </is>
      </c>
      <c r="C1105" s="16" t="inlineStr">
        <is>
          <t>Shipped</t>
        </is>
      </c>
      <c r="D1105" s="16" t="inlineStr">
        <is>
          <t>128-14701241554553028</t>
        </is>
      </c>
      <c r="E1105" s="16" t="inlineStr">
        <is>
          <t>Shipped</t>
        </is>
      </c>
      <c r="F1105" s="16" t="inlineStr">
        <is>
          <t>FA028</t>
        </is>
      </c>
      <c r="G1105" s="16" t="inlineStr">
        <is>
          <t>Extractor de agua para garrafas de agua, compatible con carga USB, extractor de agua automático, práctico, con dos modos de toma de agua: manual y programado, ideal para dormitorios, salones, oficinas, uso al aire libre y otros escenarios.</t>
        </is>
      </c>
      <c r="H1105" s="16" t="inlineStr">
        <is>
          <t>FA028</t>
        </is>
      </c>
      <c r="I1105" s="16" t="n">
        <v>1</v>
      </c>
      <c r="J1105" s="17" t="n">
        <v>33</v>
      </c>
      <c r="K1105" s="17" t="n">
        <v>34.24</v>
      </c>
      <c r="L1105" s="17" t="n">
        <v>25.86</v>
      </c>
      <c r="M1105" s="17" t="n">
        <v>0</v>
      </c>
      <c r="N1105" s="17">
        <f>K1105*0.08+L1105*0.08</f>
        <v/>
      </c>
      <c r="O1105" s="17">
        <f>-(K1105*0.025+L1105*0.025)</f>
        <v/>
      </c>
      <c r="P1105" s="17">
        <f>32</f>
        <v/>
      </c>
      <c r="Q1105" s="17">
        <f>J1105+L1105+N1105+O1105-P1105-M1105</f>
        <v/>
      </c>
    </row>
    <row r="1106">
      <c r="A1106" s="16" t="inlineStr">
        <is>
          <t>5.15-5.21</t>
        </is>
      </c>
      <c r="B1106" s="16" t="inlineStr">
        <is>
          <t>PO-128-14769899295352685</t>
        </is>
      </c>
      <c r="C1106" s="16" t="inlineStr">
        <is>
          <t>Shipped</t>
        </is>
      </c>
      <c r="D1106" s="16" t="inlineStr">
        <is>
          <t>128-14769878323832685</t>
        </is>
      </c>
      <c r="E1106" s="16" t="inlineStr">
        <is>
          <t>Shipped</t>
        </is>
      </c>
      <c r="F1106" s="16" t="inlineStr">
        <is>
          <t>LB02235-negro</t>
        </is>
      </c>
      <c r="G1106" s="16" t="inlineStr">
        <is>
          <t>Audífonos Inalámbricos para la Cabeza, Recargables y Multifuncionales - Conectan a Varios Dispositivos, soportan Radio FM, Tarjeta TF y AUX - 4 Horas de Reproducción Musical - Ideal para Trabajo Cotidiano, Juegos y Estudio</t>
        </is>
      </c>
      <c r="H1106" s="16" t="inlineStr">
        <is>
          <t>NEGRO</t>
        </is>
      </c>
      <c r="I1106" s="16" t="n">
        <v>2</v>
      </c>
      <c r="J1106" s="17" t="n">
        <v>73.59999999999999</v>
      </c>
      <c r="K1106" s="17" t="n">
        <v>78.09</v>
      </c>
      <c r="L1106" s="17" t="n">
        <v>25.86</v>
      </c>
      <c r="M1106" s="17" t="n">
        <v>0</v>
      </c>
      <c r="N1106" s="17">
        <f>K1106*0.08+L1106*0.08</f>
        <v/>
      </c>
      <c r="O1106" s="17">
        <f>-(K1106*0.025+L1106*0.025)</f>
        <v/>
      </c>
      <c r="P1106" s="17">
        <f>32</f>
        <v/>
      </c>
      <c r="Q1106" s="17">
        <f>J1106+L1106+N1106+O1106-P1106-M1106</f>
        <v/>
      </c>
    </row>
    <row r="1107">
      <c r="A1107" s="16" t="inlineStr">
        <is>
          <t>5.15-5.21</t>
        </is>
      </c>
      <c r="B1107" s="16" t="inlineStr">
        <is>
          <t>PO-128-14642518385272418</t>
        </is>
      </c>
      <c r="C1107" s="16" t="inlineStr">
        <is>
          <t>Shipped</t>
        </is>
      </c>
      <c r="D1107" s="16" t="inlineStr">
        <is>
          <t>128-14642549842552418</t>
        </is>
      </c>
      <c r="E1107" s="16" t="inlineStr">
        <is>
          <t>Shipped</t>
        </is>
      </c>
      <c r="F1107" s="16" t="inlineStr">
        <is>
          <t>LB02235-rojo</t>
        </is>
      </c>
      <c r="G1107" s="16" t="inlineStr">
        <is>
          <t>Audífonos Inalámbricos para la Cabeza, Recargables y Multifuncionales - Conectan a Varios Dispositivos, soportan Radio FM, Tarjeta TF y AUX - 4 Horas de Reproducción Musical - Ideal para Trabajo Cotidiano, Juegos y Estudio</t>
        </is>
      </c>
      <c r="H1107" s="16" t="inlineStr">
        <is>
          <t>ROJO</t>
        </is>
      </c>
      <c r="I1107" s="16" t="n">
        <v>8</v>
      </c>
      <c r="J1107" s="17" t="n">
        <v>294.4</v>
      </c>
      <c r="K1107" s="17" t="n">
        <v>279.52</v>
      </c>
      <c r="L1107" s="17" t="n">
        <v>0</v>
      </c>
      <c r="M1107" s="17" t="n">
        <v>0</v>
      </c>
      <c r="N1107" s="17">
        <f>K1107*0.08+L1107*0.08</f>
        <v/>
      </c>
      <c r="O1107" s="17">
        <f>-(K1107*0.025+L1107*0.025)</f>
        <v/>
      </c>
      <c r="P1107" s="17">
        <f>32</f>
        <v/>
      </c>
      <c r="Q1107" s="17">
        <f>J1107+L1107+N1107+O1107-P1107-M1107</f>
        <v/>
      </c>
    </row>
    <row r="1108">
      <c r="A1108" s="16" t="inlineStr">
        <is>
          <t>5.15-5.21</t>
        </is>
      </c>
      <c r="B1108" s="16" t="inlineStr">
        <is>
          <t>PO-128-14642518385272418</t>
        </is>
      </c>
      <c r="C1108" s="16" t="inlineStr">
        <is>
          <t>Shipped</t>
        </is>
      </c>
      <c r="D1108" s="16" t="inlineStr">
        <is>
          <t>128-14642581299832418</t>
        </is>
      </c>
      <c r="E1108" s="16" t="inlineStr">
        <is>
          <t>Shipped</t>
        </is>
      </c>
      <c r="F1108" s="16" t="inlineStr">
        <is>
          <t>LB02235-blanco</t>
        </is>
      </c>
      <c r="G1108" s="16" t="inlineStr">
        <is>
          <t>Audífonos Inalámbricos para la Cabeza, Recargables y Multifuncionales - Conectan a Varios Dispositivos, soportan Radio FM, Tarjeta TF y AUX - 4 Horas de Reproducción Musical - Ideal para Trabajo Cotidiano, Juegos y Estudio</t>
        </is>
      </c>
      <c r="H1108" s="16" t="inlineStr">
        <is>
          <t>BLANCO</t>
        </is>
      </c>
      <c r="I1108" s="16" t="n">
        <v>9</v>
      </c>
      <c r="J1108" s="17" t="n">
        <v>331.2</v>
      </c>
      <c r="K1108" s="17" t="n">
        <v>314.46</v>
      </c>
      <c r="L1108" s="17" t="n">
        <v>0</v>
      </c>
      <c r="M1108" s="17" t="n">
        <v>0</v>
      </c>
      <c r="N1108" s="17">
        <f>K1108*0.08+L1108*0.08</f>
        <v/>
      </c>
      <c r="O1108" s="17">
        <f>-(K1108*0.025+L1108*0.025)</f>
        <v/>
      </c>
      <c r="P1108" s="17">
        <f>32</f>
        <v/>
      </c>
      <c r="Q1108" s="17">
        <f>J1108+L1108+N1108+O1108-P1108-M1108</f>
        <v/>
      </c>
    </row>
    <row r="1109">
      <c r="A1109" s="16" t="inlineStr">
        <is>
          <t>5.15-5.21</t>
        </is>
      </c>
      <c r="B1109" s="16" t="inlineStr">
        <is>
          <t>PO-128-14642518385272418</t>
        </is>
      </c>
      <c r="C1109" s="16" t="inlineStr">
        <is>
          <t>Shipped</t>
        </is>
      </c>
      <c r="D1109" s="16" t="inlineStr">
        <is>
          <t>128-14642539356792418</t>
        </is>
      </c>
      <c r="E1109" s="16" t="inlineStr">
        <is>
          <t>Shipped</t>
        </is>
      </c>
      <c r="F1109" s="16" t="inlineStr">
        <is>
          <t>LB02235-azul</t>
        </is>
      </c>
      <c r="G1109" s="16" t="inlineStr">
        <is>
          <t>Audífonos Inalámbricos para la Cabeza, Recargables y Multifuncionales - Conectan a Varios Dispositivos, soportan Radio FM, Tarjeta TF y AUX - 4 Horas de Reproducción Musical - Ideal para Trabajo Cotidiano, Juegos y Estudio</t>
        </is>
      </c>
      <c r="H1109" s="16" t="inlineStr">
        <is>
          <t>AZUL</t>
        </is>
      </c>
      <c r="I1109" s="16" t="n">
        <v>10</v>
      </c>
      <c r="J1109" s="17" t="n">
        <v>368</v>
      </c>
      <c r="K1109" s="17" t="n">
        <v>349.4</v>
      </c>
      <c r="L1109" s="17" t="n">
        <v>0</v>
      </c>
      <c r="M1109" s="17" t="n">
        <v>0</v>
      </c>
      <c r="N1109" s="17">
        <f>K1109*0.08+L1109*0.08</f>
        <v/>
      </c>
      <c r="O1109" s="17">
        <f>-(K1109*0.025+L1109*0.025)</f>
        <v/>
      </c>
      <c r="P1109" s="17">
        <f>32</f>
        <v/>
      </c>
      <c r="Q1109" s="17">
        <f>J1109+L1109+N1109+O1109-P1109-M1109</f>
        <v/>
      </c>
    </row>
    <row r="1110">
      <c r="A1110" s="16" t="inlineStr">
        <is>
          <t>5.15-5.21</t>
        </is>
      </c>
      <c r="B1110" s="16" t="inlineStr">
        <is>
          <t>PO-128-14663431854712294</t>
        </is>
      </c>
      <c r="C1110" s="16" t="inlineStr">
        <is>
          <t>Shipped</t>
        </is>
      </c>
      <c r="D1110" s="16" t="inlineStr">
        <is>
          <t>128-14663442340472294</t>
        </is>
      </c>
      <c r="E1110" s="16" t="inlineStr">
        <is>
          <t>Shipped</t>
        </is>
      </c>
      <c r="F1110" s="16" t="inlineStr">
        <is>
          <t>S58W60</t>
        </is>
      </c>
      <c r="G1110"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110" s="16" t="inlineStr">
        <is>
          <t>1 pieza</t>
        </is>
      </c>
      <c r="I1110" s="16" t="n">
        <v>3</v>
      </c>
      <c r="J1110" s="17" t="n">
        <v>177</v>
      </c>
      <c r="K1110" s="17" t="n">
        <v>229.59</v>
      </c>
      <c r="L1110" s="17" t="n">
        <v>25.86</v>
      </c>
      <c r="M1110" s="17" t="n">
        <v>0</v>
      </c>
      <c r="N1110" s="17">
        <f>K1110*0.08+L1110*0.08</f>
        <v/>
      </c>
      <c r="O1110" s="17">
        <f>-(K1110*0.025+L1110*0.025)</f>
        <v/>
      </c>
      <c r="P1110" s="17">
        <f>32</f>
        <v/>
      </c>
      <c r="Q1110" s="17">
        <f>J1110+L1110+N1110+O1110-P1110-M1110</f>
        <v/>
      </c>
    </row>
    <row r="1111">
      <c r="A1111" s="16" t="inlineStr">
        <is>
          <t>5.15-5.21</t>
        </is>
      </c>
      <c r="B1111" s="16" t="inlineStr">
        <is>
          <t>PO-128-14711374259832840</t>
        </is>
      </c>
      <c r="C1111" s="16" t="inlineStr">
        <is>
          <t>Shipped</t>
        </is>
      </c>
      <c r="D1111" s="16" t="inlineStr">
        <is>
          <t>128-14711426688632840</t>
        </is>
      </c>
      <c r="E1111" s="16" t="inlineStr">
        <is>
          <t>Shipped</t>
        </is>
      </c>
      <c r="F1111" s="16" t="inlineStr">
        <is>
          <t>LB02235-negro</t>
        </is>
      </c>
      <c r="G1111" s="16" t="inlineStr">
        <is>
          <t>Audífonos Inalámbricos para la Cabeza, Recargables y Multifuncionales - Conectan a Varios Dispositivos, soportan Radio FM, Tarjeta TF y AUX - 4 Horas de Reproducción Musical - Ideal para Trabajo Cotidiano, Juegos y Estudio</t>
        </is>
      </c>
      <c r="H1111" s="16" t="inlineStr">
        <is>
          <t>NEGRO</t>
        </is>
      </c>
      <c r="I1111" s="16" t="n">
        <v>2</v>
      </c>
      <c r="J1111" s="17" t="n">
        <v>73.59999999999999</v>
      </c>
      <c r="K1111" s="17" t="n">
        <v>79.87</v>
      </c>
      <c r="L1111" s="17" t="n">
        <v>25.86</v>
      </c>
      <c r="M1111" s="17" t="n">
        <v>0</v>
      </c>
      <c r="N1111" s="17">
        <f>K1111*0.08+L1111*0.08</f>
        <v/>
      </c>
      <c r="O1111" s="17">
        <f>-(K1111*0.025+L1111*0.025)</f>
        <v/>
      </c>
      <c r="P1111" s="17">
        <f>32</f>
        <v/>
      </c>
      <c r="Q1111" s="17">
        <f>J1111+L1111+N1111+O1111-P1111-M1111</f>
        <v/>
      </c>
    </row>
    <row r="1112">
      <c r="A1112" s="16" t="inlineStr">
        <is>
          <t>5.15-5.21</t>
        </is>
      </c>
      <c r="B1112" s="16" t="inlineStr">
        <is>
          <t>PO-128-14850980199031112</t>
        </is>
      </c>
      <c r="C1112" s="16" t="inlineStr">
        <is>
          <t>Shipped</t>
        </is>
      </c>
      <c r="D1112" s="16" t="inlineStr">
        <is>
          <t>128-14851001170551112</t>
        </is>
      </c>
      <c r="E1112" s="16" t="inlineStr">
        <is>
          <t>Shipped</t>
        </is>
      </c>
      <c r="F1112" s="16" t="inlineStr">
        <is>
          <t>VB347T</t>
        </is>
      </c>
      <c r="G111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112" s="16" t="inlineStr">
        <is>
          <t>1 pieza</t>
        </is>
      </c>
      <c r="I1112" s="16" t="n">
        <v>1</v>
      </c>
      <c r="J1112" s="17" t="n">
        <v>79.90000000000001</v>
      </c>
      <c r="K1112" s="17" t="n">
        <v>94.5</v>
      </c>
      <c r="L1112" s="17" t="n">
        <v>25.86</v>
      </c>
      <c r="M1112" s="17" t="n">
        <v>0</v>
      </c>
      <c r="N1112" s="17">
        <f>K1112*0.08+L1112*0.08</f>
        <v/>
      </c>
      <c r="O1112" s="17">
        <f>-(K1112*0.025+L1112*0.025)</f>
        <v/>
      </c>
      <c r="P1112" s="17">
        <f>32</f>
        <v/>
      </c>
      <c r="Q1112" s="17">
        <f>J1112+L1112+N1112+O1112-P1112-M1112</f>
        <v/>
      </c>
    </row>
    <row r="1113">
      <c r="A1113" s="16" t="inlineStr">
        <is>
          <t>5.15-5.21</t>
        </is>
      </c>
      <c r="B1113" s="16" t="inlineStr">
        <is>
          <t>PO-128-14882915210871819</t>
        </is>
      </c>
      <c r="C1113" s="16" t="inlineStr">
        <is>
          <t>Shipped</t>
        </is>
      </c>
      <c r="D1113" s="16" t="inlineStr">
        <is>
          <t>128-14882925696631819</t>
        </is>
      </c>
      <c r="E1113" s="16" t="inlineStr">
        <is>
          <t>Shipped</t>
        </is>
      </c>
      <c r="F1113" s="16" t="inlineStr">
        <is>
          <t>SA325T</t>
        </is>
      </c>
      <c r="G1113" s="16" t="inlineStr">
        <is>
          <t>Subwoofer Portátil Inalámbrico con Luces RGB, Sonido de Alta Potencia y Batería Duradera, TWS TF USB, Perfecto para Campamento Fiestas y Entretenimiento en Casa</t>
        </is>
      </c>
      <c r="H1113" s="16" t="inlineStr">
        <is>
          <t>NEGRO</t>
        </is>
      </c>
      <c r="I1113" s="16" t="n">
        <v>1</v>
      </c>
      <c r="J1113" s="17" t="n">
        <v>38</v>
      </c>
      <c r="K1113" s="17" t="n">
        <v>47.04</v>
      </c>
      <c r="L1113" s="17" t="n">
        <v>25.86</v>
      </c>
      <c r="M1113" s="17" t="n">
        <v>0</v>
      </c>
      <c r="N1113" s="17">
        <f>K1113*0.08+L1113*0.08</f>
        <v/>
      </c>
      <c r="O1113" s="17">
        <f>-(K1113*0.025+L1113*0.025)</f>
        <v/>
      </c>
      <c r="P1113" s="17">
        <f>32</f>
        <v/>
      </c>
      <c r="Q1113" s="17">
        <f>J1113+L1113+N1113+O1113-P1113-M1113</f>
        <v/>
      </c>
    </row>
    <row r="1114">
      <c r="A1114" s="16" t="inlineStr">
        <is>
          <t>5.15-5.21</t>
        </is>
      </c>
      <c r="B1114" s="16" t="inlineStr">
        <is>
          <t>PO-128-14605096059512451</t>
        </is>
      </c>
      <c r="C1114" s="16" t="inlineStr">
        <is>
          <t>Shipped</t>
        </is>
      </c>
      <c r="D1114" s="16" t="inlineStr">
        <is>
          <t>128-14605101302392451</t>
        </is>
      </c>
      <c r="E1114" s="16" t="inlineStr">
        <is>
          <t>Shipped</t>
        </is>
      </c>
      <c r="F1114" s="16" t="inlineStr">
        <is>
          <t>S39W48</t>
        </is>
      </c>
      <c r="G111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114" s="16" t="inlineStr">
        <is>
          <t>1 pieza</t>
        </is>
      </c>
      <c r="I1114" s="16" t="n">
        <v>2</v>
      </c>
      <c r="J1114" s="17" t="n">
        <v>60</v>
      </c>
      <c r="K1114" s="17" t="n">
        <v>85.16</v>
      </c>
      <c r="L1114" s="17" t="n">
        <v>25.86</v>
      </c>
      <c r="M1114" s="17" t="n">
        <v>0</v>
      </c>
      <c r="N1114" s="17">
        <f>K1114*0.08+L1114*0.08</f>
        <v/>
      </c>
      <c r="O1114" s="17">
        <f>-(K1114*0.025+L1114*0.025)</f>
        <v/>
      </c>
      <c r="P1114" s="17">
        <f>32</f>
        <v/>
      </c>
      <c r="Q1114" s="17">
        <f>J1114+L1114+N1114+O1114-P1114-M1114</f>
        <v/>
      </c>
    </row>
    <row r="1115">
      <c r="A1115" s="16" t="inlineStr">
        <is>
          <t>5.15-5.21</t>
        </is>
      </c>
      <c r="B1115" s="16" t="inlineStr">
        <is>
          <t>PO-128-15107115858550547</t>
        </is>
      </c>
      <c r="C1115" s="16" t="inlineStr">
        <is>
          <t>Shipped</t>
        </is>
      </c>
      <c r="D1115" s="16" t="inlineStr">
        <is>
          <t>128-15107094887030547</t>
        </is>
      </c>
      <c r="E1115" s="16" t="inlineStr">
        <is>
          <t>Shipped</t>
        </is>
      </c>
      <c r="F1115" s="16" t="inlineStr">
        <is>
          <t>MB-185R</t>
        </is>
      </c>
      <c r="G1115" s="16" t="inlineStr">
        <is>
          <t>Bocina Radio FM/Reproductor, Compatible con Tarjeta TF, USB, Bluetooth, Aplicable para celular, computadora, Ipad y consola.</t>
        </is>
      </c>
      <c r="H1115" s="16" t="inlineStr">
        <is>
          <t>ROJO/MB-185</t>
        </is>
      </c>
      <c r="I1115" s="16" t="n">
        <v>1</v>
      </c>
      <c r="J1115" s="17" t="n">
        <v>74</v>
      </c>
      <c r="K1115" s="17" t="n">
        <v>86.94</v>
      </c>
      <c r="L1115" s="17" t="n">
        <v>25.86</v>
      </c>
      <c r="M1115" s="17" t="n">
        <v>0</v>
      </c>
      <c r="N1115" s="17">
        <f>K1115*0.08+L1115*0.08</f>
        <v/>
      </c>
      <c r="O1115" s="17">
        <f>-(K1115*0.025+L1115*0.025)</f>
        <v/>
      </c>
      <c r="P1115" s="17">
        <f>32</f>
        <v/>
      </c>
      <c r="Q1115" s="17">
        <f>J1115+L1115+N1115+O1115-P1115-M1115</f>
        <v/>
      </c>
    </row>
    <row r="1116">
      <c r="A1116" s="16" t="inlineStr">
        <is>
          <t>5.15-5.21</t>
        </is>
      </c>
      <c r="B1116" s="16" t="inlineStr">
        <is>
          <t>PO-128-14741757860472725</t>
        </is>
      </c>
      <c r="C1116" s="16" t="inlineStr">
        <is>
          <t>Shipped</t>
        </is>
      </c>
      <c r="D1116" s="16" t="inlineStr">
        <is>
          <t>128-14741736888952725</t>
        </is>
      </c>
      <c r="E1116" s="16" t="inlineStr">
        <is>
          <t>Shipped</t>
        </is>
      </c>
      <c r="F1116" s="16" t="inlineStr">
        <is>
          <t>LB02235-blanco</t>
        </is>
      </c>
      <c r="G1116" s="16" t="inlineStr">
        <is>
          <t>Audífonos Inalámbricos para la Cabeza, Recargables y Multifuncionales - Conectan a Varios Dispositivos, soportan Radio FM, Tarjeta TF y AUX - 4 Horas de Reproducción Musical - Ideal para Trabajo Cotidiano, Juegos y Estudio</t>
        </is>
      </c>
      <c r="H1116" s="16" t="inlineStr">
        <is>
          <t>BLANCO</t>
        </is>
      </c>
      <c r="I1116" s="16" t="n">
        <v>1</v>
      </c>
      <c r="J1116" s="17" t="n">
        <v>36.8</v>
      </c>
      <c r="K1116" s="17" t="n">
        <v>49.91</v>
      </c>
      <c r="L1116" s="17" t="n">
        <v>6.66</v>
      </c>
      <c r="M1116" s="17" t="n">
        <v>0</v>
      </c>
      <c r="N1116" s="17">
        <f>K1116*0.08+L1116*0.08</f>
        <v/>
      </c>
      <c r="O1116" s="17">
        <f>-(K1116*0.025+L1116*0.025)</f>
        <v/>
      </c>
      <c r="P1116" s="17">
        <f>32</f>
        <v/>
      </c>
      <c r="Q1116" s="17">
        <f>J1116+L1116+N1116+O1116-P1116-M1116</f>
        <v/>
      </c>
    </row>
    <row r="1117">
      <c r="A1117" s="16" t="inlineStr">
        <is>
          <t>5.15-5.21</t>
        </is>
      </c>
      <c r="B1117" s="16" t="inlineStr">
        <is>
          <t>PO-128-14741757860472725</t>
        </is>
      </c>
      <c r="C1117" s="16" t="inlineStr">
        <is>
          <t>Shipped</t>
        </is>
      </c>
      <c r="D1117" s="16" t="inlineStr">
        <is>
          <t>128-14741778831992725</t>
        </is>
      </c>
      <c r="E1117" s="16" t="inlineStr">
        <is>
          <t>Shipped</t>
        </is>
      </c>
      <c r="F1117" s="16" t="inlineStr">
        <is>
          <t>SA325T</t>
        </is>
      </c>
      <c r="G1117" s="16" t="inlineStr">
        <is>
          <t>Subwoofer Portátil Inalámbrico con Luces RGB, Sonido de Alta Potencia y Batería Duradera, TWS TF USB, Perfecto para Campamento Fiestas y Entretenimiento en Casa</t>
        </is>
      </c>
      <c r="H1117" s="16" t="inlineStr">
        <is>
          <t>NEGRO</t>
        </is>
      </c>
      <c r="I1117" s="16" t="n">
        <v>2</v>
      </c>
      <c r="J1117" s="17" t="n">
        <v>76</v>
      </c>
      <c r="K1117" s="17" t="n">
        <v>94.08</v>
      </c>
      <c r="L1117" s="17" t="n">
        <v>12.56</v>
      </c>
      <c r="M1117" s="17" t="n">
        <v>0</v>
      </c>
      <c r="N1117" s="17">
        <f>K1117*0.08+L1117*0.08</f>
        <v/>
      </c>
      <c r="O1117" s="17">
        <f>-(K1117*0.025+L1117*0.025)</f>
        <v/>
      </c>
      <c r="P1117" s="17">
        <f>32</f>
        <v/>
      </c>
      <c r="Q1117" s="17">
        <f>J1117+L1117+N1117+O1117-P1117-M1117</f>
        <v/>
      </c>
    </row>
    <row r="1118">
      <c r="A1118" s="16" t="inlineStr">
        <is>
          <t>5.15-5.21</t>
        </is>
      </c>
      <c r="B1118" s="16" t="inlineStr">
        <is>
          <t>PO-128-14741757860472725</t>
        </is>
      </c>
      <c r="C1118" s="16" t="inlineStr">
        <is>
          <t>Shipped</t>
        </is>
      </c>
      <c r="D1118" s="16" t="inlineStr">
        <is>
          <t>128-14741694945912725</t>
        </is>
      </c>
      <c r="E1118" s="16" t="inlineStr">
        <is>
          <t>Shipped</t>
        </is>
      </c>
      <c r="F1118" s="16" t="inlineStr">
        <is>
          <t>LB02235-rojo</t>
        </is>
      </c>
      <c r="G1118" s="16" t="inlineStr">
        <is>
          <t>Audífonos Inalámbricos para la Cabeza, Recargables y Multifuncionales - Conectan a Varios Dispositivos, soportan Radio FM, Tarjeta TF y AUX - 4 Horas de Reproducción Musical - Ideal para Trabajo Cotidiano, Juegos y Estudio</t>
        </is>
      </c>
      <c r="H1118" s="16" t="inlineStr">
        <is>
          <t>ROJO</t>
        </is>
      </c>
      <c r="I1118" s="16" t="n">
        <v>1</v>
      </c>
      <c r="J1118" s="17" t="n">
        <v>36.8</v>
      </c>
      <c r="K1118" s="17" t="n">
        <v>49.91</v>
      </c>
      <c r="L1118" s="17" t="n">
        <v>6.66</v>
      </c>
      <c r="M1118" s="17" t="n">
        <v>0</v>
      </c>
      <c r="N1118" s="17">
        <f>K1118*0.08+L1118*0.08</f>
        <v/>
      </c>
      <c r="O1118" s="17">
        <f>-(K1118*0.025+L1118*0.025)</f>
        <v/>
      </c>
      <c r="P1118" s="17">
        <f>32</f>
        <v/>
      </c>
      <c r="Q1118" s="17">
        <f>J1118+L1118+N1118+O1118-P1118-M1118</f>
        <v/>
      </c>
    </row>
    <row r="1119">
      <c r="A1119" s="16" t="inlineStr">
        <is>
          <t>5.15-5.21</t>
        </is>
      </c>
      <c r="B1119" s="16" t="inlineStr">
        <is>
          <t>PO-128-14486586824313284</t>
        </is>
      </c>
      <c r="C1119" s="16" t="inlineStr">
        <is>
          <t>Shipped</t>
        </is>
      </c>
      <c r="D1119" s="16" t="inlineStr">
        <is>
          <t>128-14486560609913284</t>
        </is>
      </c>
      <c r="E1119" s="16" t="inlineStr">
        <is>
          <t>Shipped</t>
        </is>
      </c>
      <c r="F1119" s="16" t="inlineStr">
        <is>
          <t>LB02235-rojo</t>
        </is>
      </c>
      <c r="G1119" s="16" t="inlineStr">
        <is>
          <t>Audífonos Inalámbricos para la Cabeza, Recargables y Multifuncionales - Conectan a Varios Dispositivos, soportan Radio FM, Tarjeta TF y AUX - 4 Horas de Reproducción Musical - Ideal para Trabajo Cotidiano, Juegos y Estudio</t>
        </is>
      </c>
      <c r="H1119" s="16" t="inlineStr">
        <is>
          <t>ROJO</t>
        </is>
      </c>
      <c r="I1119" s="16" t="n">
        <v>1</v>
      </c>
      <c r="J1119" s="17" t="n">
        <v>36.8</v>
      </c>
      <c r="K1119" s="17" t="n">
        <v>49.91</v>
      </c>
      <c r="L1119" s="17" t="n">
        <v>0</v>
      </c>
      <c r="M1119" s="17" t="n">
        <v>0</v>
      </c>
      <c r="N1119" s="17">
        <f>K1119*0.08+L1119*0.08</f>
        <v/>
      </c>
      <c r="O1119" s="17">
        <f>-(K1119*0.025+L1119*0.025)</f>
        <v/>
      </c>
      <c r="P1119" s="17">
        <f>32</f>
        <v/>
      </c>
      <c r="Q1119" s="17">
        <f>J1119+L1119+N1119+O1119-P1119-M1119</f>
        <v/>
      </c>
    </row>
    <row r="1120">
      <c r="A1120" s="16" t="inlineStr">
        <is>
          <t>5.15-5.21</t>
        </is>
      </c>
      <c r="B1120" s="16" t="inlineStr">
        <is>
          <t>PO-128-14486586824313284</t>
        </is>
      </c>
      <c r="C1120" s="16" t="inlineStr">
        <is>
          <t>Shipped</t>
        </is>
      </c>
      <c r="D1120" s="16" t="inlineStr">
        <is>
          <t>128-14486569129593284</t>
        </is>
      </c>
      <c r="E1120" s="16" t="inlineStr">
        <is>
          <t>Shipped</t>
        </is>
      </c>
      <c r="F1120" s="16" t="inlineStr">
        <is>
          <t>LB02235-blanco</t>
        </is>
      </c>
      <c r="G1120" s="16" t="inlineStr">
        <is>
          <t>Audífonos Inalámbricos para la Cabeza, Recargables y Multifuncionales - Conectan a Varios Dispositivos, soportan Radio FM, Tarjeta TF y AUX - 4 Horas de Reproducción Musical - Ideal para Trabajo Cotidiano, Juegos y Estudio</t>
        </is>
      </c>
      <c r="H1120" s="16" t="inlineStr">
        <is>
          <t>BLANCO</t>
        </is>
      </c>
      <c r="I1120" s="16" t="n">
        <v>1</v>
      </c>
      <c r="J1120" s="17" t="n">
        <v>36.8</v>
      </c>
      <c r="K1120" s="17" t="n">
        <v>49.91</v>
      </c>
      <c r="L1120" s="17" t="n">
        <v>0</v>
      </c>
      <c r="M1120" s="17" t="n">
        <v>0</v>
      </c>
      <c r="N1120" s="17">
        <f>K1120*0.08+L1120*0.08</f>
        <v/>
      </c>
      <c r="O1120" s="17">
        <f>-(K1120*0.025+L1120*0.025)</f>
        <v/>
      </c>
      <c r="P1120" s="17">
        <f>32</f>
        <v/>
      </c>
      <c r="Q1120" s="17">
        <f>J1120+L1120+N1120+O1120-P1120-M1120</f>
        <v/>
      </c>
    </row>
    <row r="1121">
      <c r="A1121" s="16" t="inlineStr">
        <is>
          <t>5.15-5.21</t>
        </is>
      </c>
      <c r="B1121" s="16" t="inlineStr">
        <is>
          <t>PO-128-14486586824313284</t>
        </is>
      </c>
      <c r="C1121" s="16" t="inlineStr">
        <is>
          <t>Shipped</t>
        </is>
      </c>
      <c r="D1121" s="16" t="inlineStr">
        <is>
          <t>128-14486574372473284</t>
        </is>
      </c>
      <c r="E1121" s="16" t="inlineStr">
        <is>
          <t>Shipped</t>
        </is>
      </c>
      <c r="F1121" s="16" t="inlineStr">
        <is>
          <t>SA325T</t>
        </is>
      </c>
      <c r="G1121" s="16" t="inlineStr">
        <is>
          <t>Subwoofer Portátil Inalámbrico con Luces RGB, Sonido de Alta Potencia y Batería Duradera, TWS TF USB, Perfecto para Campamento Fiestas y Entretenimiento en Casa</t>
        </is>
      </c>
      <c r="H1121" s="16" t="inlineStr">
        <is>
          <t>NEGRO</t>
        </is>
      </c>
      <c r="I1121" s="16" t="n">
        <v>3</v>
      </c>
      <c r="J1121" s="17" t="n">
        <v>114</v>
      </c>
      <c r="K1121" s="17" t="n">
        <v>127</v>
      </c>
      <c r="L1121" s="17" t="n">
        <v>0</v>
      </c>
      <c r="M1121" s="17" t="n">
        <v>0</v>
      </c>
      <c r="N1121" s="17">
        <f>K1121*0.08+L1121*0.08</f>
        <v/>
      </c>
      <c r="O1121" s="17">
        <f>-(K1121*0.025+L1121*0.025)</f>
        <v/>
      </c>
      <c r="P1121" s="17">
        <f>32</f>
        <v/>
      </c>
      <c r="Q1121" s="17">
        <f>J1121+L1121+N1121+O1121-P1121-M1121</f>
        <v/>
      </c>
    </row>
    <row r="1122">
      <c r="A1122" s="16" t="inlineStr">
        <is>
          <t>5.15-5.21</t>
        </is>
      </c>
      <c r="B1122" s="16" t="inlineStr">
        <is>
          <t>PO-128-14486586824313284</t>
        </is>
      </c>
      <c r="C1122" s="16" t="inlineStr">
        <is>
          <t>Shipped</t>
        </is>
      </c>
      <c r="D1122" s="16" t="inlineStr">
        <is>
          <t>128-14486558643833284</t>
        </is>
      </c>
      <c r="E1122" s="16" t="inlineStr">
        <is>
          <t>Shipped</t>
        </is>
      </c>
      <c r="F1122" s="16" t="inlineStr">
        <is>
          <t>LB02235-negro</t>
        </is>
      </c>
      <c r="G1122" s="16" t="inlineStr">
        <is>
          <t>Audífonos Inalámbricos para la Cabeza, Recargables y Multifuncionales - Conectan a Varios Dispositivos, soportan Radio FM, Tarjeta TF y AUX - 4 Horas de Reproducción Musical - Ideal para Trabajo Cotidiano, Juegos y Estudio</t>
        </is>
      </c>
      <c r="H1122" s="16" t="inlineStr">
        <is>
          <t>NEGRO</t>
        </is>
      </c>
      <c r="I1122" s="16" t="n">
        <v>1</v>
      </c>
      <c r="J1122" s="17" t="n">
        <v>36.8</v>
      </c>
      <c r="K1122" s="17" t="n">
        <v>49.91</v>
      </c>
      <c r="L1122" s="17" t="n">
        <v>0</v>
      </c>
      <c r="M1122" s="17" t="n">
        <v>0</v>
      </c>
      <c r="N1122" s="17">
        <f>K1122*0.08+L1122*0.08</f>
        <v/>
      </c>
      <c r="O1122" s="17">
        <f>-(K1122*0.025+L1122*0.025)</f>
        <v/>
      </c>
      <c r="P1122" s="17">
        <f>32</f>
        <v/>
      </c>
      <c r="Q1122" s="17">
        <f>J1122+L1122+N1122+O1122-P1122-M1122</f>
        <v/>
      </c>
    </row>
    <row r="1123">
      <c r="A1123" s="16" t="inlineStr">
        <is>
          <t>5.15-5.21</t>
        </is>
      </c>
      <c r="B1123" s="16" t="inlineStr">
        <is>
          <t>PO-128-14867761546871972</t>
        </is>
      </c>
      <c r="C1123" s="16" t="inlineStr">
        <is>
          <t>Shipped</t>
        </is>
      </c>
      <c r="D1123" s="16" t="inlineStr">
        <is>
          <t>128-14867719603831972</t>
        </is>
      </c>
      <c r="E1123" s="16" t="inlineStr">
        <is>
          <t>Shipped</t>
        </is>
      </c>
      <c r="F1123" s="16" t="inlineStr">
        <is>
          <t>LB02235-rojo</t>
        </is>
      </c>
      <c r="G1123" s="16" t="inlineStr">
        <is>
          <t>Audífonos Inalámbricos para la Cabeza, Recargables y Multifuncionales - Conectan a Varios Dispositivos, soportan Radio FM, Tarjeta TF y AUX - 4 Horas de Reproducción Musical - Ideal para Trabajo Cotidiano, Juegos y Estudio</t>
        </is>
      </c>
      <c r="H1123" s="16" t="inlineStr">
        <is>
          <t>ROJO</t>
        </is>
      </c>
      <c r="I1123" s="16" t="n">
        <v>1</v>
      </c>
      <c r="J1123" s="17" t="n">
        <v>36.8</v>
      </c>
      <c r="K1123" s="17" t="n">
        <v>49.91</v>
      </c>
      <c r="L1123" s="17" t="n">
        <v>25.86</v>
      </c>
      <c r="M1123" s="17" t="n">
        <v>0</v>
      </c>
      <c r="N1123" s="17">
        <f>K1123*0.08+L1123*0.08</f>
        <v/>
      </c>
      <c r="O1123" s="17">
        <f>-(K1123*0.025+L1123*0.025)</f>
        <v/>
      </c>
      <c r="P1123" s="17">
        <f>32</f>
        <v/>
      </c>
      <c r="Q1123" s="17">
        <f>J1123+L1123+N1123+O1123-P1123-M1123</f>
        <v/>
      </c>
    </row>
    <row r="1124">
      <c r="A1124" s="16" t="inlineStr">
        <is>
          <t>5.15-5.21</t>
        </is>
      </c>
      <c r="B1124" s="16" t="inlineStr">
        <is>
          <t>PO-128-14647911957112194</t>
        </is>
      </c>
      <c r="C1124" s="16" t="inlineStr">
        <is>
          <t>Shipped</t>
        </is>
      </c>
      <c r="D1124" s="16" t="inlineStr">
        <is>
          <t>128-14647880499832194</t>
        </is>
      </c>
      <c r="E1124" s="16" t="inlineStr">
        <is>
          <t>Shipped</t>
        </is>
      </c>
      <c r="F1124" s="16" t="inlineStr">
        <is>
          <t>LB02235-rojo</t>
        </is>
      </c>
      <c r="G1124" s="16" t="inlineStr">
        <is>
          <t>Audífonos Inalámbricos para la Cabeza, Recargables y Multifuncionales - Conectan a Varios Dispositivos, soportan Radio FM, Tarjeta TF y AUX - 4 Horas de Reproducción Musical - Ideal para Trabajo Cotidiano, Juegos y Estudio</t>
        </is>
      </c>
      <c r="H1124" s="16" t="inlineStr">
        <is>
          <t>ROJO</t>
        </is>
      </c>
      <c r="I1124" s="16" t="n">
        <v>1</v>
      </c>
      <c r="J1124" s="17" t="n">
        <v>36.8</v>
      </c>
      <c r="K1124" s="17" t="n">
        <v>49.91</v>
      </c>
      <c r="L1124" s="17" t="n">
        <v>25.86</v>
      </c>
      <c r="M1124" s="17" t="n">
        <v>0</v>
      </c>
      <c r="N1124" s="17">
        <f>K1124*0.08+L1124*0.08</f>
        <v/>
      </c>
      <c r="O1124" s="17">
        <f>-(K1124*0.025+L1124*0.025)</f>
        <v/>
      </c>
      <c r="P1124" s="17">
        <f>32</f>
        <v/>
      </c>
      <c r="Q1124" s="17">
        <f>J1124+L1124+N1124+O1124-P1124-M1124</f>
        <v/>
      </c>
    </row>
    <row r="1125">
      <c r="A1125" s="16" t="inlineStr">
        <is>
          <t>5.15-5.21</t>
        </is>
      </c>
      <c r="B1125" s="16" t="inlineStr">
        <is>
          <t>PO-128-14550695178873926</t>
        </is>
      </c>
      <c r="C1125" s="16" t="inlineStr">
        <is>
          <t>Shipped</t>
        </is>
      </c>
      <c r="D1125" s="16" t="inlineStr">
        <is>
          <t>128-14550708286073926</t>
        </is>
      </c>
      <c r="E1125" s="16" t="inlineStr">
        <is>
          <t>Shipped</t>
        </is>
      </c>
      <c r="F1125" s="16" t="inlineStr">
        <is>
          <t>MB-185N</t>
        </is>
      </c>
      <c r="G1125" s="16" t="inlineStr">
        <is>
          <t>Bocina Radio FM/Reproductor, Compatible con Tarjeta TF, USB, Bluetooth, Aplicable para celular, computadora, Ipad y consola.</t>
        </is>
      </c>
      <c r="H1125" s="16" t="inlineStr">
        <is>
          <t>NEGRO/MB-185</t>
        </is>
      </c>
      <c r="I1125" s="16" t="n">
        <v>1</v>
      </c>
      <c r="J1125" s="17" t="n">
        <v>75.5</v>
      </c>
      <c r="K1125" s="17" t="n">
        <v>88.44</v>
      </c>
      <c r="L1125" s="17" t="n">
        <v>25.86</v>
      </c>
      <c r="M1125" s="17" t="n">
        <v>0</v>
      </c>
      <c r="N1125" s="17">
        <f>K1125*0.08+L1125*0.08</f>
        <v/>
      </c>
      <c r="O1125" s="17">
        <f>-(K1125*0.025+L1125*0.025)</f>
        <v/>
      </c>
      <c r="P1125" s="17">
        <f>32</f>
        <v/>
      </c>
      <c r="Q1125" s="17">
        <f>J1125+L1125+N1125+O1125-P1125-M1125</f>
        <v/>
      </c>
    </row>
    <row r="1126">
      <c r="A1126" s="16" t="inlineStr">
        <is>
          <t>5.15-5.21</t>
        </is>
      </c>
      <c r="B1126" s="16" t="inlineStr">
        <is>
          <t>PO-128-14733716931192709</t>
        </is>
      </c>
      <c r="C1126" s="16" t="inlineStr">
        <is>
          <t>Shipped</t>
        </is>
      </c>
      <c r="D1126" s="16" t="inlineStr">
        <is>
          <t>128-14733674988152709</t>
        </is>
      </c>
      <c r="E1126" s="16" t="inlineStr">
        <is>
          <t>Shipped</t>
        </is>
      </c>
      <c r="F1126" s="16" t="inlineStr">
        <is>
          <t>LB02235-negro</t>
        </is>
      </c>
      <c r="G1126" s="16" t="inlineStr">
        <is>
          <t>Audífonos Inalámbricos para la Cabeza, Recargables y Multifuncionales - Conectan a Varios Dispositivos, soportan Radio FM, Tarjeta TF y AUX - 4 Horas de Reproducción Musical - Ideal para Trabajo Cotidiano, Juegos y Estudio</t>
        </is>
      </c>
      <c r="H1126" s="16" t="inlineStr">
        <is>
          <t>NEGRO</t>
        </is>
      </c>
      <c r="I1126" s="16" t="n">
        <v>1</v>
      </c>
      <c r="J1126" s="17" t="n">
        <v>36.8</v>
      </c>
      <c r="K1126" s="17" t="n">
        <v>49.91</v>
      </c>
      <c r="L1126" s="17" t="n">
        <v>25.86</v>
      </c>
      <c r="M1126" s="17" t="n">
        <v>0</v>
      </c>
      <c r="N1126" s="17">
        <f>K1126*0.08+L1126*0.08</f>
        <v/>
      </c>
      <c r="O1126" s="17">
        <f>-(K1126*0.025+L1126*0.025)</f>
        <v/>
      </c>
      <c r="P1126" s="17">
        <f>32</f>
        <v/>
      </c>
      <c r="Q1126" s="17">
        <f>J1126+L1126+N1126+O1126-P1126-M1126</f>
        <v/>
      </c>
    </row>
    <row r="1127">
      <c r="A1127" s="16" t="inlineStr">
        <is>
          <t>5.15-5.21</t>
        </is>
      </c>
      <c r="B1127" s="16" t="inlineStr">
        <is>
          <t>PO-128-15021941002870095</t>
        </is>
      </c>
      <c r="C1127" s="16" t="inlineStr">
        <is>
          <t>Shipped</t>
        </is>
      </c>
      <c r="D1127" s="16" t="inlineStr">
        <is>
          <t>128-15021878088310095</t>
        </is>
      </c>
      <c r="E1127" s="16" t="inlineStr">
        <is>
          <t>Shipped</t>
        </is>
      </c>
      <c r="F1127" s="16" t="inlineStr">
        <is>
          <t>MB-185R</t>
        </is>
      </c>
      <c r="G1127" s="16" t="inlineStr">
        <is>
          <t>Bocina Radio FM/Reproductor, Compatible con Tarjeta TF, USB, Bluetooth, Aplicable para celular, computadora, Ipad y consola.</t>
        </is>
      </c>
      <c r="H1127" s="16" t="inlineStr">
        <is>
          <t>ROJO/MB-185</t>
        </is>
      </c>
      <c r="I1127" s="16" t="n">
        <v>1</v>
      </c>
      <c r="J1127" s="17" t="n">
        <v>74</v>
      </c>
      <c r="K1127" s="17" t="n">
        <v>86.94</v>
      </c>
      <c r="L1127" s="17" t="n">
        <v>25.86</v>
      </c>
      <c r="M1127" s="17" t="n">
        <v>0</v>
      </c>
      <c r="N1127" s="17">
        <f>K1127*0.08+L1127*0.08</f>
        <v/>
      </c>
      <c r="O1127" s="17">
        <f>-(K1127*0.025+L1127*0.025)</f>
        <v/>
      </c>
      <c r="P1127" s="17">
        <f>32</f>
        <v/>
      </c>
      <c r="Q1127" s="17">
        <f>J1127+L1127+N1127+O1127-P1127-M1127</f>
        <v/>
      </c>
    </row>
    <row r="1128">
      <c r="A1128" s="16" t="inlineStr">
        <is>
          <t>5.15-5.21</t>
        </is>
      </c>
      <c r="B1128" s="16" t="inlineStr">
        <is>
          <t>PO-128-15007536906870245</t>
        </is>
      </c>
      <c r="C1128" s="16" t="inlineStr">
        <is>
          <t>Shipped</t>
        </is>
      </c>
      <c r="D1128" s="16" t="inlineStr">
        <is>
          <t>128-15007550014070245</t>
        </is>
      </c>
      <c r="E1128" s="16" t="inlineStr">
        <is>
          <t>Shipped</t>
        </is>
      </c>
      <c r="F1128" s="16" t="inlineStr">
        <is>
          <t>LB02235-blanco</t>
        </is>
      </c>
      <c r="G1128" s="16" t="inlineStr">
        <is>
          <t>Audífonos Inalámbricos para la Cabeza, Recargables y Multifuncionales - Conectan a Varios Dispositivos, soportan Radio FM, Tarjeta TF y AUX - 4 Horas de Reproducción Musical - Ideal para Trabajo Cotidiano, Juegos y Estudio</t>
        </is>
      </c>
      <c r="H1128" s="16" t="inlineStr">
        <is>
          <t>BLANCO</t>
        </is>
      </c>
      <c r="I1128" s="16" t="n">
        <v>1</v>
      </c>
      <c r="J1128" s="17" t="n">
        <v>36.8</v>
      </c>
      <c r="K1128" s="17" t="n">
        <v>49.91</v>
      </c>
      <c r="L1128" s="17" t="n">
        <v>25.86</v>
      </c>
      <c r="M1128" s="17" t="n">
        <v>0</v>
      </c>
      <c r="N1128" s="17">
        <f>K1128*0.08+L1128*0.08</f>
        <v/>
      </c>
      <c r="O1128" s="17">
        <f>-(K1128*0.025+L1128*0.025)</f>
        <v/>
      </c>
      <c r="P1128" s="17">
        <f>32</f>
        <v/>
      </c>
      <c r="Q1128" s="17">
        <f>J1128+L1128+N1128+O1128-P1128-M1128</f>
        <v/>
      </c>
    </row>
    <row r="1129">
      <c r="A1129" s="16" t="inlineStr">
        <is>
          <t>5.15-5.21</t>
        </is>
      </c>
      <c r="B1129" s="16" t="inlineStr">
        <is>
          <t>PO-128-14567580631673763</t>
        </is>
      </c>
      <c r="C1129" s="16" t="inlineStr">
        <is>
          <t>Shipped</t>
        </is>
      </c>
      <c r="D1129" s="16" t="inlineStr">
        <is>
          <t>128-14567575388793763</t>
        </is>
      </c>
      <c r="E1129" s="16" t="inlineStr">
        <is>
          <t>Shipped</t>
        </is>
      </c>
      <c r="F1129" s="16" t="inlineStr">
        <is>
          <t>MB-183R</t>
        </is>
      </c>
      <c r="G1129" s="16" t="inlineStr">
        <is>
          <t>Linkbits Altavoz Bluetooth Portátil con Stereo Inalámbrico TWS Impermeable y a Prueba de Polvo IP65 Altavoz de Graves de Rango Completo de 52mm con Doble Unidad Ligero de 215g para Camping Senderismo y Fiestas al Aire Libre</t>
        </is>
      </c>
      <c r="H1129" s="16" t="inlineStr">
        <is>
          <t>ROJO/MB-183</t>
        </is>
      </c>
      <c r="I1129" s="16" t="n">
        <v>1</v>
      </c>
      <c r="J1129" s="17" t="n">
        <v>84.90000000000001</v>
      </c>
      <c r="K1129" s="17" t="n">
        <v>98.97</v>
      </c>
      <c r="L1129" s="17" t="n">
        <v>0</v>
      </c>
      <c r="M1129" s="17" t="n">
        <v>0</v>
      </c>
      <c r="N1129" s="17">
        <f>K1129*0.08+L1129*0.08</f>
        <v/>
      </c>
      <c r="O1129" s="17">
        <f>-(K1129*0.025+L1129*0.025)</f>
        <v/>
      </c>
      <c r="P1129" s="17">
        <f>32</f>
        <v/>
      </c>
      <c r="Q1129" s="17">
        <f>J1129+L1129+N1129+O1129-P1129-M1129</f>
        <v/>
      </c>
    </row>
    <row r="1130">
      <c r="A1130" s="16" t="inlineStr">
        <is>
          <t>5.15-5.21</t>
        </is>
      </c>
      <c r="B1130" s="16" t="inlineStr">
        <is>
          <t>PO-128-14567580631673763</t>
        </is>
      </c>
      <c r="C1130" s="16" t="inlineStr">
        <is>
          <t>Shipped</t>
        </is>
      </c>
      <c r="D1130" s="16" t="inlineStr">
        <is>
          <t>128-14567572767353763</t>
        </is>
      </c>
      <c r="E1130" s="16" t="inlineStr">
        <is>
          <t>Shipped</t>
        </is>
      </c>
      <c r="F1130" s="16" t="inlineStr">
        <is>
          <t>MB-185A</t>
        </is>
      </c>
      <c r="G1130" s="16" t="inlineStr">
        <is>
          <t>Bocina Radio FM/Reproductor, Compatible con Tarjeta TF, USB, Bluetooth, Aplicable para celular, computadora, Ipad y consola.</t>
        </is>
      </c>
      <c r="H1130" s="16" t="inlineStr">
        <is>
          <t>AZUL/MB-185</t>
        </is>
      </c>
      <c r="I1130" s="16" t="n">
        <v>1</v>
      </c>
      <c r="J1130" s="17" t="n">
        <v>75.5</v>
      </c>
      <c r="K1130" s="17" t="n">
        <v>85.58</v>
      </c>
      <c r="L1130" s="17" t="n">
        <v>0</v>
      </c>
      <c r="M1130" s="17" t="n">
        <v>0</v>
      </c>
      <c r="N1130" s="17">
        <f>K1130*0.08+L1130*0.08</f>
        <v/>
      </c>
      <c r="O1130" s="17">
        <f>-(K1130*0.025+L1130*0.025)</f>
        <v/>
      </c>
      <c r="P1130" s="17">
        <f>32</f>
        <v/>
      </c>
      <c r="Q1130" s="17">
        <f>J1130+L1130+N1130+O1130-P1130-M1130</f>
        <v/>
      </c>
    </row>
    <row r="1131">
      <c r="A1131" s="16" t="inlineStr">
        <is>
          <t>5.15-5.21</t>
        </is>
      </c>
      <c r="B1131" s="16" t="inlineStr">
        <is>
          <t>PO-128-14567580631673763</t>
        </is>
      </c>
      <c r="C1131" s="16" t="inlineStr">
        <is>
          <t>Shipped</t>
        </is>
      </c>
      <c r="D1131" s="16" t="inlineStr">
        <is>
          <t>128-14567567524473763</t>
        </is>
      </c>
      <c r="E1131" s="16" t="inlineStr">
        <is>
          <t>Shipped</t>
        </is>
      </c>
      <c r="F1131" s="16" t="inlineStr">
        <is>
          <t>MCM-001R</t>
        </is>
      </c>
      <c r="G1131" s="16" t="inlineStr">
        <is>
          <t>Musicord Altavoz Inalámbrico BT Portátil: ¡Sonido impactante, luces LED multicolores y 4 horas de autonomía! Compatible con TWS, FM, TF y USB – Imprescindible para fiestas y viajes</t>
        </is>
      </c>
      <c r="H1131" s="16" t="inlineStr">
        <is>
          <t>ROJO</t>
        </is>
      </c>
      <c r="I1131" s="16" t="n">
        <v>1</v>
      </c>
      <c r="J1131" s="17" t="n">
        <v>66.5</v>
      </c>
      <c r="K1131" s="17" t="n">
        <v>71.88</v>
      </c>
      <c r="L1131" s="17" t="n">
        <v>0</v>
      </c>
      <c r="M1131" s="17" t="n">
        <v>0</v>
      </c>
      <c r="N1131" s="17">
        <f>K1131*0.08+L1131*0.08</f>
        <v/>
      </c>
      <c r="O1131" s="17">
        <f>-(K1131*0.025+L1131*0.025)</f>
        <v/>
      </c>
      <c r="P1131" s="17">
        <f>32</f>
        <v/>
      </c>
      <c r="Q1131" s="17">
        <f>J1131+L1131+N1131+O1131-P1131-M1131</f>
        <v/>
      </c>
    </row>
    <row r="1132">
      <c r="A1132" s="16" t="inlineStr">
        <is>
          <t>5.15-5.21</t>
        </is>
      </c>
      <c r="B1132" s="16" t="inlineStr">
        <is>
          <t>PO-128-04014874540150228</t>
        </is>
      </c>
      <c r="C1132" s="16" t="inlineStr">
        <is>
          <t>Shipped</t>
        </is>
      </c>
      <c r="D1132" s="16" t="inlineStr">
        <is>
          <t>128-04014950561910228</t>
        </is>
      </c>
      <c r="E1132" s="16" t="inlineStr">
        <is>
          <t>Shipped</t>
        </is>
      </c>
      <c r="F1132" s="16" t="inlineStr">
        <is>
          <t>MB-185N</t>
        </is>
      </c>
      <c r="G1132" s="16" t="inlineStr">
        <is>
          <t>Bocina Radio FM/Reproductor, Compatible con Tarjeta TF, USB, Bluetooth, Aplicable para celular, computadora, Ipad y consola.</t>
        </is>
      </c>
      <c r="H1132" s="16" t="inlineStr">
        <is>
          <t>NEGRO/MB-185</t>
        </is>
      </c>
      <c r="I1132" s="16" t="n">
        <v>1</v>
      </c>
      <c r="J1132" s="17" t="n">
        <v>75.5</v>
      </c>
      <c r="K1132" s="17" t="n">
        <v>45.34</v>
      </c>
      <c r="L1132" s="17" t="n">
        <v>25.86</v>
      </c>
      <c r="M1132" s="17" t="n">
        <v>0</v>
      </c>
      <c r="N1132" s="17">
        <f>K1132*0.08+L1132*0.08</f>
        <v/>
      </c>
      <c r="O1132" s="17">
        <f>-(K1132*0.025+L1132*0.025)</f>
        <v/>
      </c>
      <c r="P1132" s="17">
        <f>32</f>
        <v/>
      </c>
      <c r="Q1132" s="17">
        <f>J1132+L1132+N1132+O1132-P1132-M1132</f>
        <v/>
      </c>
    </row>
    <row r="1133">
      <c r="A1133" s="16" t="inlineStr">
        <is>
          <t>5.15-5.21</t>
        </is>
      </c>
      <c r="B1133" s="16" t="inlineStr">
        <is>
          <t>PO-128-03663430098552261</t>
        </is>
      </c>
      <c r="C1133" s="16" t="inlineStr">
        <is>
          <t>Shipped</t>
        </is>
      </c>
      <c r="D1133" s="16" t="inlineStr">
        <is>
          <t>128-03663451070072261</t>
        </is>
      </c>
      <c r="E1133" s="16" t="inlineStr">
        <is>
          <t>Shipped</t>
        </is>
      </c>
      <c r="F1133" s="16" t="inlineStr">
        <is>
          <t>FA028</t>
        </is>
      </c>
      <c r="G1133" s="16" t="inlineStr">
        <is>
          <t>Extractor de agua para garrafas de agua, compatible con carga USB, extractor de agua automático, práctico, con dos modos de toma de agua: manual y programado, ideal para dormitorios, salones, oficinas, uso al aire libre y otros escenarios.</t>
        </is>
      </c>
      <c r="H1133" s="16" t="inlineStr">
        <is>
          <t>FA028</t>
        </is>
      </c>
      <c r="I1133" s="16" t="n">
        <v>1</v>
      </c>
      <c r="J1133" s="17" t="n">
        <v>33</v>
      </c>
      <c r="K1133" s="17" t="n">
        <v>42.58</v>
      </c>
      <c r="L1133" s="17" t="n">
        <v>25.86</v>
      </c>
      <c r="M1133" s="17" t="n">
        <v>0</v>
      </c>
      <c r="N1133" s="17">
        <f>K1133*0.08+L1133*0.08</f>
        <v/>
      </c>
      <c r="O1133" s="17">
        <f>-(K1133*0.025+L1133*0.025)</f>
        <v/>
      </c>
      <c r="P1133" s="17">
        <f>32</f>
        <v/>
      </c>
      <c r="Q1133" s="17">
        <f>J1133+L1133+N1133+O1133-P1133-M1133</f>
        <v/>
      </c>
    </row>
    <row r="1134">
      <c r="A1134" s="16" t="inlineStr">
        <is>
          <t>5.15-5.21</t>
        </is>
      </c>
      <c r="B1134" s="16" t="inlineStr">
        <is>
          <t>PO-128-03611754698872441</t>
        </is>
      </c>
      <c r="C1134" s="16" t="inlineStr">
        <is>
          <t>Shipped</t>
        </is>
      </c>
      <c r="D1134" s="16" t="inlineStr">
        <is>
          <t>128-03611744213112441</t>
        </is>
      </c>
      <c r="E1134" s="16" t="inlineStr">
        <is>
          <t>Shipped</t>
        </is>
      </c>
      <c r="F1134" s="16" t="inlineStr">
        <is>
          <t>FA028</t>
        </is>
      </c>
      <c r="G1134" s="16" t="inlineStr">
        <is>
          <t>Extractor de agua para garrafas de agua, compatible con carga USB, extractor de agua automático, práctico, con dos modos de toma de agua: manual y programado, ideal para dormitorios, salones, oficinas, uso al aire libre y otros escenarios.</t>
        </is>
      </c>
      <c r="H1134" s="16" t="inlineStr">
        <is>
          <t>FA028</t>
        </is>
      </c>
      <c r="I1134" s="16" t="n">
        <v>1</v>
      </c>
      <c r="J1134" s="17" t="n">
        <v>33</v>
      </c>
      <c r="K1134" s="17" t="n">
        <v>42.58</v>
      </c>
      <c r="L1134" s="17" t="n">
        <v>25.86</v>
      </c>
      <c r="M1134" s="17" t="n">
        <v>0</v>
      </c>
      <c r="N1134" s="17">
        <f>K1134*0.08+L1134*0.08</f>
        <v/>
      </c>
      <c r="O1134" s="17">
        <f>-(K1134*0.025+L1134*0.025)</f>
        <v/>
      </c>
      <c r="P1134" s="17">
        <f>32</f>
        <v/>
      </c>
      <c r="Q1134" s="17">
        <f>J1134+L1134+N1134+O1134-P1134-M1134</f>
        <v/>
      </c>
    </row>
    <row r="1135">
      <c r="A1135" s="16" t="inlineStr">
        <is>
          <t>5.15-5.21</t>
        </is>
      </c>
      <c r="B1135" s="16" t="inlineStr">
        <is>
          <t>PO-128-03574634919033748</t>
        </is>
      </c>
      <c r="C1135" s="16" t="inlineStr">
        <is>
          <t>Shipped</t>
        </is>
      </c>
      <c r="D1135" s="16" t="inlineStr">
        <is>
          <t>128-03574676862073748</t>
        </is>
      </c>
      <c r="E1135" s="16" t="inlineStr">
        <is>
          <t>Shipped</t>
        </is>
      </c>
      <c r="F1135" s="16" t="inlineStr">
        <is>
          <t>SA325T</t>
        </is>
      </c>
      <c r="G1135" s="16" t="inlineStr">
        <is>
          <t>Subwoofer Portátil Inalámbrico con Luces RGB, Sonido de Alta Potencia y Batería Duradera, TWS TF USB, Perfecto para Campamento Fiestas y Entretenimiento en Casa</t>
        </is>
      </c>
      <c r="H1135" s="16" t="inlineStr">
        <is>
          <t>NEGRO</t>
        </is>
      </c>
      <c r="I1135" s="16" t="n">
        <v>1</v>
      </c>
      <c r="J1135" s="17" t="n">
        <v>38</v>
      </c>
      <c r="K1135" s="17" t="n">
        <v>47.04</v>
      </c>
      <c r="L1135" s="17" t="n">
        <v>25.86</v>
      </c>
      <c r="M1135" s="17" t="n">
        <v>0</v>
      </c>
      <c r="N1135" s="17">
        <f>K1135*0.08+L1135*0.08</f>
        <v/>
      </c>
      <c r="O1135" s="17">
        <f>-(K1135*0.025+L1135*0.025)</f>
        <v/>
      </c>
      <c r="P1135" s="17">
        <f>32</f>
        <v/>
      </c>
      <c r="Q1135" s="17">
        <f>J1135+L1135+N1135+O1135-P1135-M1135</f>
        <v/>
      </c>
    </row>
    <row r="1136">
      <c r="A1136" s="16" t="inlineStr">
        <is>
          <t>5.15-5.21</t>
        </is>
      </c>
      <c r="B1136" s="16" t="inlineStr">
        <is>
          <t>PO-128-03440344264313460</t>
        </is>
      </c>
      <c r="C1136" s="16" t="inlineStr">
        <is>
          <t>Shipped</t>
        </is>
      </c>
      <c r="D1136" s="16" t="inlineStr">
        <is>
          <t>128-03440391450233460</t>
        </is>
      </c>
      <c r="E1136" s="16" t="inlineStr">
        <is>
          <t>Shipped</t>
        </is>
      </c>
      <c r="F1136" s="16" t="inlineStr">
        <is>
          <t>MCM-001G</t>
        </is>
      </c>
      <c r="G1136" s="16" t="inlineStr">
        <is>
          <t>Musicord Altavoz Inalámbrico BT Portátil: ¡Sonido impactante, luces LED multicolores y 4 horas de autonomía! Compatible con TWS, FM, TF y USB – Imprescindible para fiestas y viajes</t>
        </is>
      </c>
      <c r="H1136" s="16" t="inlineStr">
        <is>
          <t>GRIS</t>
        </is>
      </c>
      <c r="I1136" s="16" t="n">
        <v>1</v>
      </c>
      <c r="J1136" s="17" t="n">
        <v>51.07</v>
      </c>
      <c r="K1136" s="17" t="n">
        <v>58.86</v>
      </c>
      <c r="L1136" s="17" t="n">
        <v>25.86</v>
      </c>
      <c r="M1136" s="17" t="n">
        <v>0</v>
      </c>
      <c r="N1136" s="17">
        <f>K1136*0.08+L1136*0.08</f>
        <v/>
      </c>
      <c r="O1136" s="17">
        <f>-(K1136*0.025+L1136*0.025)</f>
        <v/>
      </c>
      <c r="P1136" s="17">
        <f>32</f>
        <v/>
      </c>
      <c r="Q1136" s="17">
        <f>J1136+L1136+N1136+O1136-P1136-M1136</f>
        <v/>
      </c>
    </row>
    <row r="1137">
      <c r="A1137" s="16" t="inlineStr">
        <is>
          <t>5.15-5.21</t>
        </is>
      </c>
      <c r="B1137" s="16" t="inlineStr">
        <is>
          <t>PO-128-03887869745271819</t>
        </is>
      </c>
      <c r="C1137" s="16" t="inlineStr">
        <is>
          <t>Shipped</t>
        </is>
      </c>
      <c r="D1137" s="16" t="inlineStr">
        <is>
          <t>128-03887949699191819</t>
        </is>
      </c>
      <c r="E1137" s="16" t="inlineStr">
        <is>
          <t>Shipped</t>
        </is>
      </c>
      <c r="F1137" s="16" t="inlineStr">
        <is>
          <t>MCM-001G</t>
        </is>
      </c>
      <c r="G1137" s="16" t="inlineStr">
        <is>
          <t>Musicord Altavoz Inalámbrico BT Portátil: ¡Sonido impactante, luces LED multicolores y 4 horas de autonomía! Compatible con TWS, FM, TF y USB – Imprescindible para fiestas y viajes</t>
        </is>
      </c>
      <c r="H1137" s="16" t="inlineStr">
        <is>
          <t>GRIS</t>
        </is>
      </c>
      <c r="I1137" s="16" t="n">
        <v>1</v>
      </c>
      <c r="J1137" s="17" t="n">
        <v>51.07</v>
      </c>
      <c r="K1137" s="17" t="n">
        <v>58.86</v>
      </c>
      <c r="L1137" s="17" t="n">
        <v>25.86</v>
      </c>
      <c r="M1137" s="17" t="n">
        <v>0</v>
      </c>
      <c r="N1137" s="17">
        <f>K1137*0.08+L1137*0.08</f>
        <v/>
      </c>
      <c r="O1137" s="17">
        <f>-(K1137*0.025+L1137*0.025)</f>
        <v/>
      </c>
      <c r="P1137" s="17">
        <f>32</f>
        <v/>
      </c>
      <c r="Q1137" s="17">
        <f>J1137+L1137+N1137+O1137-P1137-M1137</f>
        <v/>
      </c>
    </row>
    <row r="1138">
      <c r="A1138" s="16" t="inlineStr">
        <is>
          <t>5.15-5.21</t>
        </is>
      </c>
      <c r="B1138" s="16" t="inlineStr">
        <is>
          <t>PO-128-03993819175030355</t>
        </is>
      </c>
      <c r="C1138" s="16" t="inlineStr">
        <is>
          <t>Shipped</t>
        </is>
      </c>
      <c r="D1138" s="16" t="inlineStr">
        <is>
          <t>128-03993979082870355</t>
        </is>
      </c>
      <c r="E1138" s="16" t="inlineStr">
        <is>
          <t>Shipped</t>
        </is>
      </c>
      <c r="F1138" s="16" t="inlineStr">
        <is>
          <t>SA323T</t>
        </is>
      </c>
      <c r="G1138" s="16" t="inlineStr">
        <is>
          <t>Linkbits Bocina Portátil Parlantes BT Portátiles con Iluminación de Ambiente | 1 Hora de Duración, FM, TWS, TF/Micro SD | Ideal para Hogar, Fiestas y Viajes</t>
        </is>
      </c>
      <c r="H1138" s="16" t="inlineStr">
        <is>
          <t>SA323T</t>
        </is>
      </c>
      <c r="I1138" s="16" t="n">
        <v>1</v>
      </c>
      <c r="J1138" s="17" t="n">
        <v>46</v>
      </c>
      <c r="K1138" s="17" t="n">
        <v>55.06</v>
      </c>
      <c r="L1138" s="17" t="n">
        <v>25.86</v>
      </c>
      <c r="M1138" s="17" t="n">
        <v>0</v>
      </c>
      <c r="N1138" s="17">
        <f>K1138*0.08+L1138*0.08</f>
        <v/>
      </c>
      <c r="O1138" s="17">
        <f>-(K1138*0.025+L1138*0.025)</f>
        <v/>
      </c>
      <c r="P1138" s="17">
        <f>32</f>
        <v/>
      </c>
      <c r="Q1138" s="17">
        <f>J1138+L1138+N1138+O1138-P1138-M1138</f>
        <v/>
      </c>
    </row>
    <row r="1139">
      <c r="A1139" s="16" t="inlineStr">
        <is>
          <t>5.15-5.21</t>
        </is>
      </c>
      <c r="B1139" s="16" t="inlineStr">
        <is>
          <t>PO-128-04052698107510965</t>
        </is>
      </c>
      <c r="C1139" s="16" t="inlineStr">
        <is>
          <t>Shipped</t>
        </is>
      </c>
      <c r="D1139" s="16" t="inlineStr">
        <is>
          <t>128-04052656164470965</t>
        </is>
      </c>
      <c r="E1139" s="16" t="inlineStr">
        <is>
          <t>Shipped</t>
        </is>
      </c>
      <c r="F1139" s="16" t="inlineStr">
        <is>
          <t>LV64W25</t>
        </is>
      </c>
      <c r="G1139" s="16" t="inlineStr">
        <is>
          <t>Ventilador de Techo LED TIANLAI con 5 Aspas, Control Remoto, 3 Colores Luz, 3 Velocidades, Temporizador, Fácil Instalación, E27 para Baño Cocina Dormitorio Salón</t>
        </is>
      </c>
      <c r="H1139" s="16" t="inlineStr">
        <is>
          <t>LV64W25</t>
        </is>
      </c>
      <c r="I1139" s="16" t="n">
        <v>2</v>
      </c>
      <c r="J1139" s="17" t="n">
        <v>250</v>
      </c>
      <c r="K1139" s="17" t="n">
        <v>260.57</v>
      </c>
      <c r="L1139" s="17" t="n">
        <v>0</v>
      </c>
      <c r="M1139" s="17" t="n">
        <v>0</v>
      </c>
      <c r="N1139" s="17">
        <f>K1139*0.08+L1139*0.08</f>
        <v/>
      </c>
      <c r="O1139" s="17">
        <f>-(K1139*0.025+L1139*0.025)</f>
        <v/>
      </c>
      <c r="P1139" s="17">
        <f>32</f>
        <v/>
      </c>
      <c r="Q1139" s="17">
        <f>J1139+L1139+N1139+O1139-P1139-M1139</f>
        <v/>
      </c>
    </row>
    <row r="1140">
      <c r="A1140" s="16" t="inlineStr">
        <is>
          <t>5.15-5.21</t>
        </is>
      </c>
      <c r="B1140" s="16" t="inlineStr">
        <is>
          <t>PO-128-03872415247991975</t>
        </is>
      </c>
      <c r="C1140" s="16" t="inlineStr">
        <is>
          <t>Shipped</t>
        </is>
      </c>
      <c r="D1140" s="16" t="inlineStr">
        <is>
          <t>128-03872373304951975</t>
        </is>
      </c>
      <c r="E1140" s="16" t="inlineStr">
        <is>
          <t>Shipped</t>
        </is>
      </c>
      <c r="F1140" s="16" t="inlineStr">
        <is>
          <t>KTS-1678Y</t>
        </is>
      </c>
      <c r="G1140" s="16" t="inlineStr">
        <is>
          <t>Bocina portátil Inalámbrico, de 3 pulgadas, tamaño de bolsillo, 170 g, con asa, compatible con TF, USB y Micro SD, con radio FM y función TWS (True Wireless Stereo), adecuada para relajarse en casa o viajar al aire libre.</t>
        </is>
      </c>
      <c r="H1140" s="16" t="inlineStr">
        <is>
          <t>KTS-1678Y</t>
        </is>
      </c>
      <c r="I1140" s="16" t="n">
        <v>1</v>
      </c>
      <c r="J1140" s="17" t="n">
        <v>42.5</v>
      </c>
      <c r="K1140" s="17" t="n">
        <v>48.72</v>
      </c>
      <c r="L1140" s="17" t="n">
        <v>25.86</v>
      </c>
      <c r="M1140" s="17" t="n">
        <v>0</v>
      </c>
      <c r="N1140" s="17">
        <f>K1140*0.08+L1140*0.08</f>
        <v/>
      </c>
      <c r="O1140" s="17">
        <f>-(K1140*0.025+L1140*0.025)</f>
        <v/>
      </c>
      <c r="P1140" s="17">
        <f>32</f>
        <v/>
      </c>
      <c r="Q1140" s="17">
        <f>J1140+L1140+N1140+O1140-P1140-M1140</f>
        <v/>
      </c>
    </row>
    <row r="1141">
      <c r="A1141" s="16" t="inlineStr">
        <is>
          <t>5.15-5.21</t>
        </is>
      </c>
      <c r="B1141" s="16" t="inlineStr">
        <is>
          <t>PO-128-04077073923190883</t>
        </is>
      </c>
      <c r="C1141" s="16" t="inlineStr">
        <is>
          <t>Shipped</t>
        </is>
      </c>
      <c r="D1141" s="16" t="inlineStr">
        <is>
          <t>128-04077113900150883</t>
        </is>
      </c>
      <c r="E1141" s="16" t="inlineStr">
        <is>
          <t>Shipped</t>
        </is>
      </c>
      <c r="F1141" s="16" t="inlineStr">
        <is>
          <t>LB02235-negro</t>
        </is>
      </c>
      <c r="G1141" s="16" t="inlineStr">
        <is>
          <t>Audífonos Inalámbricos para la Cabeza, Recargables y Multifuncionales - Conectan a Varios Dispositivos, soportan Radio FM, Tarjeta TF y AUX - 4 Horas de Reproducción Musical - Ideal para Trabajo Cotidiano, Juegos y Estudio</t>
        </is>
      </c>
      <c r="H1141" s="16" t="inlineStr">
        <is>
          <t>NEGRO</t>
        </is>
      </c>
      <c r="I1141" s="16" t="n">
        <v>1</v>
      </c>
      <c r="J1141" s="17" t="n">
        <v>36.8</v>
      </c>
      <c r="K1141" s="17" t="n">
        <v>49.91</v>
      </c>
      <c r="L1141" s="17" t="n">
        <v>25.86</v>
      </c>
      <c r="M1141" s="17" t="n">
        <v>0</v>
      </c>
      <c r="N1141" s="17">
        <f>K1141*0.08+L1141*0.08</f>
        <v/>
      </c>
      <c r="O1141" s="17">
        <f>-(K1141*0.025+L1141*0.025)</f>
        <v/>
      </c>
      <c r="P1141" s="17">
        <f>32</f>
        <v/>
      </c>
      <c r="Q1141" s="17">
        <f>J1141+L1141+N1141+O1141-P1141-M1141</f>
        <v/>
      </c>
    </row>
    <row r="1142">
      <c r="A1142" s="16" t="inlineStr">
        <is>
          <t>5.15-5.21</t>
        </is>
      </c>
      <c r="B1142" s="16" t="inlineStr">
        <is>
          <t>PO-128-03569805942393715</t>
        </is>
      </c>
      <c r="C1142" s="16" t="inlineStr">
        <is>
          <t>Shipped</t>
        </is>
      </c>
      <c r="D1142" s="16" t="inlineStr">
        <is>
          <t>128-03569711570553715</t>
        </is>
      </c>
      <c r="E1142" s="16" t="inlineStr">
        <is>
          <t>Shipped</t>
        </is>
      </c>
      <c r="F1142" s="16" t="inlineStr">
        <is>
          <t>LB02235-negro</t>
        </is>
      </c>
      <c r="G1142" s="16" t="inlineStr">
        <is>
          <t>Audífonos Inalámbricos para la Cabeza, Recargables y Multifuncionales - Conectan a Varios Dispositivos, soportan Radio FM, Tarjeta TF y AUX - 4 Horas de Reproducción Musical - Ideal para Trabajo Cotidiano, Juegos y Estudio</t>
        </is>
      </c>
      <c r="H1142" s="16" t="inlineStr">
        <is>
          <t>NEGRO</t>
        </is>
      </c>
      <c r="I1142" s="16" t="n">
        <v>1</v>
      </c>
      <c r="J1142" s="17" t="n">
        <v>36.8</v>
      </c>
      <c r="K1142" s="17" t="n">
        <v>39.94</v>
      </c>
      <c r="L1142" s="17" t="n">
        <v>25.86</v>
      </c>
      <c r="M1142" s="17" t="n">
        <v>0</v>
      </c>
      <c r="N1142" s="17">
        <f>K1142*0.08+L1142*0.08</f>
        <v/>
      </c>
      <c r="O1142" s="17">
        <f>-(K1142*0.025+L1142*0.025)</f>
        <v/>
      </c>
      <c r="P1142" s="17">
        <f>32</f>
        <v/>
      </c>
      <c r="Q1142" s="17">
        <f>J1142+L1142+N1142+O1142-P1142-M1142</f>
        <v/>
      </c>
    </row>
    <row r="1143">
      <c r="A1143" s="16" t="inlineStr">
        <is>
          <t>5.15-5.21</t>
        </is>
      </c>
      <c r="B1143" s="16" t="inlineStr">
        <is>
          <t>PO-128-03750095178872766</t>
        </is>
      </c>
      <c r="C1143" s="16" t="inlineStr">
        <is>
          <t>Shipped</t>
        </is>
      </c>
      <c r="D1143" s="16" t="inlineStr">
        <is>
          <t>128-03750121393272766</t>
        </is>
      </c>
      <c r="E1143" s="16" t="inlineStr">
        <is>
          <t>Shipped</t>
        </is>
      </c>
      <c r="F1143" s="16" t="inlineStr">
        <is>
          <t>MCM-001N</t>
        </is>
      </c>
      <c r="G1143" s="16" t="inlineStr">
        <is>
          <t>Musicord Altavoz Inalámbrico BT Portátil: ¡Sonido impactante, luces LED multicolores y 4 horas de autonomía! Compatible con TWS, FM, TF y USB – Imprescindible para fiestas y viajes</t>
        </is>
      </c>
      <c r="H1143" s="16" t="inlineStr">
        <is>
          <t>NEGRO</t>
        </is>
      </c>
      <c r="I1143" s="16" t="n">
        <v>1</v>
      </c>
      <c r="J1143" s="17" t="n">
        <v>61</v>
      </c>
      <c r="K1143" s="17" t="n">
        <v>61.91</v>
      </c>
      <c r="L1143" s="17" t="n">
        <v>25.86</v>
      </c>
      <c r="M1143" s="17" t="n">
        <v>0</v>
      </c>
      <c r="N1143" s="17">
        <f>K1143*0.08+L1143*0.08</f>
        <v/>
      </c>
      <c r="O1143" s="17">
        <f>-(K1143*0.025+L1143*0.025)</f>
        <v/>
      </c>
      <c r="P1143" s="17">
        <f>32</f>
        <v/>
      </c>
      <c r="Q1143" s="17">
        <f>J1143+L1143+N1143+O1143-P1143-M1143</f>
        <v/>
      </c>
    </row>
    <row r="1144">
      <c r="A1144" s="16" t="inlineStr">
        <is>
          <t>5.15-5.21</t>
        </is>
      </c>
      <c r="B1144" s="16" t="inlineStr">
        <is>
          <t>PO-128-04072761265270845</t>
        </is>
      </c>
      <c r="C1144" s="16" t="inlineStr">
        <is>
          <t>Shipped</t>
        </is>
      </c>
      <c r="D1144" s="16" t="inlineStr">
        <is>
          <t>128-04072700972150845</t>
        </is>
      </c>
      <c r="E1144" s="16" t="inlineStr">
        <is>
          <t>Shipped</t>
        </is>
      </c>
      <c r="F1144" s="16" t="inlineStr">
        <is>
          <t>KTS-1678V</t>
        </is>
      </c>
      <c r="G1144" s="16" t="inlineStr">
        <is>
          <t>Bocina portátil Inalámbrico, de 3 pulgadas, tamaño de bolsillo, 170 g, con asa, compatible con TF, USB y Micro SD, con radio FM y función TWS (True Wireless Stereo), adecuada para relajarse en casa o viajar al aire libre.</t>
        </is>
      </c>
      <c r="H1144" s="16" t="inlineStr">
        <is>
          <t>KTS-1678V</t>
        </is>
      </c>
      <c r="I1144" s="16" t="n">
        <v>1</v>
      </c>
      <c r="J1144" s="17" t="n">
        <v>42.5</v>
      </c>
      <c r="K1144" s="17" t="n">
        <v>50.78</v>
      </c>
      <c r="L1144" s="17" t="n">
        <v>25.86</v>
      </c>
      <c r="M1144" s="17" t="n">
        <v>0</v>
      </c>
      <c r="N1144" s="17">
        <f>K1144*0.08+L1144*0.08</f>
        <v/>
      </c>
      <c r="O1144" s="17">
        <f>-(K1144*0.025+L1144*0.025)</f>
        <v/>
      </c>
      <c r="P1144" s="17">
        <f>32</f>
        <v/>
      </c>
      <c r="Q1144" s="17">
        <f>J1144+L1144+N1144+O1144-P1144-M1144</f>
        <v/>
      </c>
    </row>
    <row r="1145">
      <c r="A1145" s="16" t="inlineStr">
        <is>
          <t>5.15-5.21</t>
        </is>
      </c>
      <c r="B1145" s="16" t="inlineStr">
        <is>
          <t>PO-128-03765996457592609</t>
        </is>
      </c>
      <c r="C1145" s="16" t="inlineStr">
        <is>
          <t>Shipped</t>
        </is>
      </c>
      <c r="D1145" s="16" t="inlineStr">
        <is>
          <t>128-03766006943352609</t>
        </is>
      </c>
      <c r="E1145" s="16" t="inlineStr">
        <is>
          <t>Shipped</t>
        </is>
      </c>
      <c r="F1145" s="16" t="inlineStr">
        <is>
          <t>MB-185A</t>
        </is>
      </c>
      <c r="G1145" s="16" t="inlineStr">
        <is>
          <t>Bocina Radio FM/Reproductor, Compatible con Tarjeta TF, USB, Bluetooth, Aplicable para celular, computadora, Ipad y consola.</t>
        </is>
      </c>
      <c r="H1145" s="16" t="inlineStr">
        <is>
          <t>AZUL/MB-185</t>
        </is>
      </c>
      <c r="I1145" s="16" t="n">
        <v>1</v>
      </c>
      <c r="J1145" s="17" t="n">
        <v>75.5</v>
      </c>
      <c r="K1145" s="17" t="n">
        <v>88.44</v>
      </c>
      <c r="L1145" s="17" t="n">
        <v>25.86</v>
      </c>
      <c r="M1145" s="17" t="n">
        <v>0</v>
      </c>
      <c r="N1145" s="17">
        <f>K1145*0.08+L1145*0.08</f>
        <v/>
      </c>
      <c r="O1145" s="17">
        <f>-(K1145*0.025+L1145*0.025)</f>
        <v/>
      </c>
      <c r="P1145" s="17">
        <f>32</f>
        <v/>
      </c>
      <c r="Q1145" s="17">
        <f>J1145+L1145+N1145+O1145-P1145-M1145</f>
        <v/>
      </c>
    </row>
    <row r="1146">
      <c r="A1146" s="16" t="inlineStr">
        <is>
          <t>5.15-5.21</t>
        </is>
      </c>
      <c r="B1146" s="16" t="inlineStr">
        <is>
          <t>PO-128-03582483827833831</t>
        </is>
      </c>
      <c r="C1146" s="16" t="inlineStr">
        <is>
          <t>Shipped</t>
        </is>
      </c>
      <c r="D1146" s="16" t="inlineStr">
        <is>
          <t>128-03582481206393831</t>
        </is>
      </c>
      <c r="E1146" s="16" t="inlineStr">
        <is>
          <t>Shipped</t>
        </is>
      </c>
      <c r="F1146" s="16" t="inlineStr">
        <is>
          <t>LB02235-negro</t>
        </is>
      </c>
      <c r="G1146" s="16" t="inlineStr">
        <is>
          <t>Audífonos Inalámbricos para la Cabeza, Recargables y Multifuncionales - Conectan a Varios Dispositivos, soportan Radio FM, Tarjeta TF y AUX - 4 Horas de Reproducción Musical - Ideal para Trabajo Cotidiano, Juegos y Estudio</t>
        </is>
      </c>
      <c r="H1146" s="16" t="inlineStr">
        <is>
          <t>NEGRO</t>
        </is>
      </c>
      <c r="I1146" s="16" t="n">
        <v>1</v>
      </c>
      <c r="J1146" s="17" t="n">
        <v>36.8</v>
      </c>
      <c r="K1146" s="17" t="n">
        <v>47.81</v>
      </c>
      <c r="L1146" s="17" t="n">
        <v>25.86</v>
      </c>
      <c r="M1146" s="17" t="n">
        <v>0</v>
      </c>
      <c r="N1146" s="17">
        <f>K1146*0.08+L1146*0.08</f>
        <v/>
      </c>
      <c r="O1146" s="17">
        <f>-(K1146*0.025+L1146*0.025)</f>
        <v/>
      </c>
      <c r="P1146" s="17">
        <f>32</f>
        <v/>
      </c>
      <c r="Q1146" s="17">
        <f>J1146+L1146+N1146+O1146-P1146-M1146</f>
        <v/>
      </c>
    </row>
    <row r="1147">
      <c r="A1147" s="16" t="inlineStr">
        <is>
          <t>5.15-5.21</t>
        </is>
      </c>
      <c r="B1147" s="16" t="inlineStr">
        <is>
          <t>PO-128-03993785613430354</t>
        </is>
      </c>
      <c r="C1147" s="16" t="inlineStr">
        <is>
          <t>Shipped</t>
        </is>
      </c>
      <c r="D1147" s="16" t="inlineStr">
        <is>
          <t>128-03993775127670354</t>
        </is>
      </c>
      <c r="E1147" s="16" t="inlineStr">
        <is>
          <t>Shipped</t>
        </is>
      </c>
      <c r="F1147" s="16" t="inlineStr">
        <is>
          <t>FA028</t>
        </is>
      </c>
      <c r="G1147" s="16" t="inlineStr">
        <is>
          <t>Extractor de agua para garrafas de agua, compatible con carga USB, extractor de agua automático, práctico, con dos modos de toma de agua: manual y programado, ideal para dormitorios, salones, oficinas, uso al aire libre y otros escenarios.</t>
        </is>
      </c>
      <c r="H1147" s="16" t="inlineStr">
        <is>
          <t>FA028</t>
        </is>
      </c>
      <c r="I1147" s="16" t="n">
        <v>1</v>
      </c>
      <c r="J1147" s="17" t="n">
        <v>33</v>
      </c>
      <c r="K1147" s="17" t="n">
        <v>42.58</v>
      </c>
      <c r="L1147" s="17" t="n">
        <v>25.86</v>
      </c>
      <c r="M1147" s="17" t="n">
        <v>0</v>
      </c>
      <c r="N1147" s="17">
        <f>K1147*0.08+L1147*0.08</f>
        <v/>
      </c>
      <c r="O1147" s="17">
        <f>-(K1147*0.025+L1147*0.025)</f>
        <v/>
      </c>
      <c r="P1147" s="17">
        <f>32</f>
        <v/>
      </c>
      <c r="Q1147" s="17">
        <f>J1147+L1147+N1147+O1147-P1147-M1147</f>
        <v/>
      </c>
    </row>
    <row r="1148">
      <c r="A1148" s="16" t="inlineStr">
        <is>
          <t>5.15-5.21</t>
        </is>
      </c>
      <c r="B1148" s="16" t="inlineStr">
        <is>
          <t>PO-128-03871266855031980</t>
        </is>
      </c>
      <c r="C1148" s="16" t="inlineStr">
        <is>
          <t>Shipped</t>
        </is>
      </c>
      <c r="D1148" s="16" t="inlineStr">
        <is>
          <t>128-03871251126391980</t>
        </is>
      </c>
      <c r="E1148" s="16" t="inlineStr">
        <is>
          <t>Shipped</t>
        </is>
      </c>
      <c r="F1148" s="16" t="inlineStr">
        <is>
          <t>MCM-001R</t>
        </is>
      </c>
      <c r="G1148" s="16" t="inlineStr">
        <is>
          <t>Musicord Altavoz Inalámbrico BT Portátil: ¡Sonido impactante, luces LED multicolores y 4 horas de autonomía! Compatible con TWS, FM, TF y USB – Imprescindible para fiestas y viajes</t>
        </is>
      </c>
      <c r="H1148" s="16" t="inlineStr">
        <is>
          <t>ROJO</t>
        </is>
      </c>
      <c r="I1148" s="16" t="n">
        <v>1</v>
      </c>
      <c r="J1148" s="17" t="n">
        <v>66.5</v>
      </c>
      <c r="K1148" s="17" t="n">
        <v>74.29000000000001</v>
      </c>
      <c r="L1148" s="17" t="n">
        <v>25.86</v>
      </c>
      <c r="M1148" s="17" t="n">
        <v>0</v>
      </c>
      <c r="N1148" s="17">
        <f>K1148*0.08+L1148*0.08</f>
        <v/>
      </c>
      <c r="O1148" s="17">
        <f>-(K1148*0.025+L1148*0.025)</f>
        <v/>
      </c>
      <c r="P1148" s="17">
        <f>32</f>
        <v/>
      </c>
      <c r="Q1148" s="17">
        <f>J1148+L1148+N1148+O1148-P1148-M1148</f>
        <v/>
      </c>
    </row>
    <row r="1149">
      <c r="A1149" s="16" t="inlineStr">
        <is>
          <t>5.15-5.21</t>
        </is>
      </c>
      <c r="B1149" s="16" t="inlineStr">
        <is>
          <t>PO-128-04072914281590842</t>
        </is>
      </c>
      <c r="C1149" s="16" t="inlineStr">
        <is>
          <t>Shipped</t>
        </is>
      </c>
      <c r="D1149" s="16" t="inlineStr">
        <is>
          <t>128-04072861852790842</t>
        </is>
      </c>
      <c r="E1149" s="16" t="inlineStr">
        <is>
          <t>Shipped</t>
        </is>
      </c>
      <c r="F1149" s="16" t="inlineStr">
        <is>
          <t>MB-185A</t>
        </is>
      </c>
      <c r="G1149" s="16" t="inlineStr">
        <is>
          <t>Bocina Radio FM/Reproductor, Compatible con Tarjeta TF, USB, Bluetooth, Aplicable para celular, computadora, Ipad y consola.</t>
        </is>
      </c>
      <c r="H1149" s="16" t="inlineStr">
        <is>
          <t>AZUL/MB-185</t>
        </is>
      </c>
      <c r="I1149" s="16" t="n">
        <v>1</v>
      </c>
      <c r="J1149" s="17" t="n">
        <v>75.5</v>
      </c>
      <c r="K1149" s="17" t="n">
        <v>88.44</v>
      </c>
      <c r="L1149" s="17" t="n">
        <v>25.86</v>
      </c>
      <c r="M1149" s="17" t="n">
        <v>0</v>
      </c>
      <c r="N1149" s="17">
        <f>K1149*0.08+L1149*0.08</f>
        <v/>
      </c>
      <c r="O1149" s="17">
        <f>-(K1149*0.025+L1149*0.025)</f>
        <v/>
      </c>
      <c r="P1149" s="17">
        <f>32</f>
        <v/>
      </c>
      <c r="Q1149" s="17">
        <f>J1149+L1149+N1149+O1149-P1149-M1149</f>
        <v/>
      </c>
    </row>
    <row r="1150">
      <c r="A1150" s="16" t="inlineStr">
        <is>
          <t>5.15-5.21</t>
        </is>
      </c>
      <c r="B1150" s="16" t="inlineStr">
        <is>
          <t>PO-128-03886838963832017</t>
        </is>
      </c>
      <c r="C1150" s="16" t="inlineStr">
        <is>
          <t>Shipped</t>
        </is>
      </c>
      <c r="D1150" s="16" t="inlineStr">
        <is>
          <t>128-03886880906872017</t>
        </is>
      </c>
      <c r="E1150" s="16" t="inlineStr">
        <is>
          <t>Shipped</t>
        </is>
      </c>
      <c r="F1150" s="16" t="inlineStr">
        <is>
          <t>LB02235-azul</t>
        </is>
      </c>
      <c r="G1150" s="16" t="inlineStr">
        <is>
          <t>Audífonos Inalámbricos para la Cabeza, Recargables y Multifuncionales - Conectan a Varios Dispositivos, soportan Radio FM, Tarjeta TF y AUX - 4 Horas de Reproducción Musical - Ideal para Trabajo Cotidiano, Juegos y Estudio</t>
        </is>
      </c>
      <c r="H1150" s="16" t="inlineStr">
        <is>
          <t>AZUL</t>
        </is>
      </c>
      <c r="I1150" s="16" t="n">
        <v>1</v>
      </c>
      <c r="J1150" s="17" t="n">
        <v>36.8</v>
      </c>
      <c r="K1150" s="17" t="n">
        <v>49.91</v>
      </c>
      <c r="L1150" s="17" t="n">
        <v>25.86</v>
      </c>
      <c r="M1150" s="17" t="n">
        <v>0</v>
      </c>
      <c r="N1150" s="17">
        <f>K1150*0.08+L1150*0.08</f>
        <v/>
      </c>
      <c r="O1150" s="17">
        <f>-(K1150*0.025+L1150*0.025)</f>
        <v/>
      </c>
      <c r="P1150" s="17">
        <f>32</f>
        <v/>
      </c>
      <c r="Q1150" s="17">
        <f>J1150+L1150+N1150+O1150-P1150-M1150</f>
        <v/>
      </c>
    </row>
    <row r="1151">
      <c r="A1151" s="16" t="inlineStr">
        <is>
          <t>5.15-5.21</t>
        </is>
      </c>
      <c r="B1151" s="16" t="inlineStr">
        <is>
          <t>PO-128-03912207055991672</t>
        </is>
      </c>
      <c r="C1151" s="16" t="inlineStr">
        <is>
          <t>Shipped</t>
        </is>
      </c>
      <c r="D1151" s="16" t="inlineStr">
        <is>
          <t>128-03912217541751672</t>
        </is>
      </c>
      <c r="E1151" s="16" t="inlineStr">
        <is>
          <t>Shipped</t>
        </is>
      </c>
      <c r="F1151" s="16" t="inlineStr">
        <is>
          <t>LB02235-azul</t>
        </is>
      </c>
      <c r="G1151" s="16" t="inlineStr">
        <is>
          <t>Audífonos Inalámbricos para la Cabeza, Recargables y Multifuncionales - Conectan a Varios Dispositivos, soportan Radio FM, Tarjeta TF y AUX - 4 Horas de Reproducción Musical - Ideal para Trabajo Cotidiano, Juegos y Estudio</t>
        </is>
      </c>
      <c r="H1151" s="16" t="inlineStr">
        <is>
          <t>AZUL</t>
        </is>
      </c>
      <c r="I1151" s="16" t="n">
        <v>1</v>
      </c>
      <c r="J1151" s="17" t="n">
        <v>36.8</v>
      </c>
      <c r="K1151" s="17" t="n">
        <v>49.91</v>
      </c>
      <c r="L1151" s="17" t="n">
        <v>25.86</v>
      </c>
      <c r="M1151" s="17" t="n">
        <v>0</v>
      </c>
      <c r="N1151" s="17">
        <f>K1151*0.08+L1151*0.08</f>
        <v/>
      </c>
      <c r="O1151" s="17">
        <f>-(K1151*0.025+L1151*0.025)</f>
        <v/>
      </c>
      <c r="P1151" s="17">
        <f>32</f>
        <v/>
      </c>
      <c r="Q1151" s="17">
        <f>J1151+L1151+N1151+O1151-P1151-M1151</f>
        <v/>
      </c>
    </row>
    <row r="1152">
      <c r="A1152" s="16" t="inlineStr">
        <is>
          <t>5.15-5.21</t>
        </is>
      </c>
      <c r="B1152" s="16" t="inlineStr">
        <is>
          <t>PO-128-03463500672633386</t>
        </is>
      </c>
      <c r="C1152" s="16" t="inlineStr">
        <is>
          <t>Shipped</t>
        </is>
      </c>
      <c r="D1152" s="16" t="inlineStr">
        <is>
          <t>128-03463553101433386</t>
        </is>
      </c>
      <c r="E1152" s="16" t="inlineStr">
        <is>
          <t>Shipped</t>
        </is>
      </c>
      <c r="F1152" s="16" t="inlineStr">
        <is>
          <t>LB02235-negro</t>
        </is>
      </c>
      <c r="G1152" s="16" t="inlineStr">
        <is>
          <t>Audífonos Inalámbricos para la Cabeza, Recargables y Multifuncionales - Conectan a Varios Dispositivos, soportan Radio FM, Tarjeta TF y AUX - 4 Horas de Reproducción Musical - Ideal para Trabajo Cotidiano, Juegos y Estudio</t>
        </is>
      </c>
      <c r="H1152" s="16" t="inlineStr">
        <is>
          <t>NEGRO</t>
        </is>
      </c>
      <c r="I1152" s="16" t="n">
        <v>1</v>
      </c>
      <c r="J1152" s="17" t="n">
        <v>36.8</v>
      </c>
      <c r="K1152" s="17" t="n">
        <v>49.91</v>
      </c>
      <c r="L1152" s="17" t="n">
        <v>25.86</v>
      </c>
      <c r="M1152" s="17" t="n">
        <v>0</v>
      </c>
      <c r="N1152" s="17">
        <f>K1152*0.08+L1152*0.08</f>
        <v/>
      </c>
      <c r="O1152" s="17">
        <f>-(K1152*0.025+L1152*0.025)</f>
        <v/>
      </c>
      <c r="P1152" s="17">
        <f>32</f>
        <v/>
      </c>
      <c r="Q1152" s="17">
        <f>J1152+L1152+N1152+O1152-P1152-M1152</f>
        <v/>
      </c>
    </row>
    <row r="1153">
      <c r="A1153" s="16" t="inlineStr">
        <is>
          <t>5.15-5.21</t>
        </is>
      </c>
      <c r="B1153" s="16" t="inlineStr">
        <is>
          <t>PO-128-03610550602872446</t>
        </is>
      </c>
      <c r="C1153" s="16" t="inlineStr">
        <is>
          <t>Shipped</t>
        </is>
      </c>
      <c r="D1153" s="16" t="inlineStr">
        <is>
          <t>128-03610618760312446</t>
        </is>
      </c>
      <c r="E1153" s="16" t="inlineStr">
        <is>
          <t>Shipped</t>
        </is>
      </c>
      <c r="F1153" s="16" t="inlineStr">
        <is>
          <t>S58W60</t>
        </is>
      </c>
      <c r="G1153"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153" s="16" t="inlineStr">
        <is>
          <t>1 pieza</t>
        </is>
      </c>
      <c r="I1153" s="16" t="n">
        <v>2</v>
      </c>
      <c r="J1153" s="17" t="n">
        <v>118</v>
      </c>
      <c r="K1153" s="17" t="n">
        <v>67.88</v>
      </c>
      <c r="L1153" s="17" t="n">
        <v>25.86</v>
      </c>
      <c r="M1153" s="17" t="n">
        <v>0</v>
      </c>
      <c r="N1153" s="17">
        <f>K1153*0.08+L1153*0.08</f>
        <v/>
      </c>
      <c r="O1153" s="17">
        <f>-(K1153*0.025+L1153*0.025)</f>
        <v/>
      </c>
      <c r="P1153" s="17">
        <f>32</f>
        <v/>
      </c>
      <c r="Q1153" s="17">
        <f>J1153+L1153+N1153+O1153-P1153-M1153</f>
        <v/>
      </c>
    </row>
    <row r="1154">
      <c r="A1154" s="16" t="inlineStr">
        <is>
          <t>5.15-5.21</t>
        </is>
      </c>
      <c r="B1154" s="16" t="inlineStr">
        <is>
          <t>PO-128-04082114517110661</t>
        </is>
      </c>
      <c r="C1154" s="16" t="inlineStr">
        <is>
          <t>Shipped</t>
        </is>
      </c>
      <c r="D1154" s="16" t="inlineStr">
        <is>
          <t>128-04082199652470661</t>
        </is>
      </c>
      <c r="E1154" s="16" t="inlineStr">
        <is>
          <t>Shipped</t>
        </is>
      </c>
      <c r="F1154" s="16" t="inlineStr">
        <is>
          <t>MCM-001N</t>
        </is>
      </c>
      <c r="G1154" s="16" t="inlineStr">
        <is>
          <t>Musicord Altavoz Inalámbrico BT Portátil: ¡Sonido impactante, luces LED multicolores y 4 horas de autonomía! Compatible con TWS, FM, TF y USB – Imprescindible para fiestas y viajes</t>
        </is>
      </c>
      <c r="H1154" s="16" t="inlineStr">
        <is>
          <t>NEGRO</t>
        </is>
      </c>
      <c r="I1154" s="16" t="n">
        <v>1</v>
      </c>
      <c r="J1154" s="17" t="n">
        <v>61</v>
      </c>
      <c r="K1154" s="17" t="n">
        <v>68.79000000000001</v>
      </c>
      <c r="L1154" s="17" t="n">
        <v>14.99</v>
      </c>
      <c r="M1154" s="17" t="n">
        <v>0</v>
      </c>
      <c r="N1154" s="17">
        <f>K1154*0.08+L1154*0.08</f>
        <v/>
      </c>
      <c r="O1154" s="17">
        <f>-(K1154*0.025+L1154*0.025)</f>
        <v/>
      </c>
      <c r="P1154" s="17">
        <f>32</f>
        <v/>
      </c>
      <c r="Q1154" s="17">
        <f>J1154+L1154+N1154+O1154-P1154-M1154</f>
        <v/>
      </c>
    </row>
    <row r="1155">
      <c r="A1155" s="16" t="inlineStr">
        <is>
          <t>5.15-5.21</t>
        </is>
      </c>
      <c r="B1155" s="16" t="inlineStr">
        <is>
          <t>PO-128-04082114517110661</t>
        </is>
      </c>
      <c r="C1155" s="16" t="inlineStr">
        <is>
          <t>Shipped</t>
        </is>
      </c>
      <c r="D1155" s="16" t="inlineStr">
        <is>
          <t>128-04082156460150661</t>
        </is>
      </c>
      <c r="E1155" s="16" t="inlineStr">
        <is>
          <t>Shipped</t>
        </is>
      </c>
      <c r="F1155" s="16" t="inlineStr">
        <is>
          <t>LB02235-azul</t>
        </is>
      </c>
      <c r="G1155" s="16" t="inlineStr">
        <is>
          <t>Audífonos Inalámbricos para la Cabeza, Recargables y Multifuncionales - Conectan a Varios Dispositivos, soportan Radio FM, Tarjeta TF y AUX - 4 Horas de Reproducción Musical - Ideal para Trabajo Cotidiano, Juegos y Estudio</t>
        </is>
      </c>
      <c r="H1155" s="16" t="inlineStr">
        <is>
          <t>AZUL</t>
        </is>
      </c>
      <c r="I1155" s="16" t="n">
        <v>1</v>
      </c>
      <c r="J1155" s="17" t="n">
        <v>36.8</v>
      </c>
      <c r="K1155" s="17" t="n">
        <v>49.91</v>
      </c>
      <c r="L1155" s="17" t="n">
        <v>10.87</v>
      </c>
      <c r="M1155" s="17" t="n">
        <v>0</v>
      </c>
      <c r="N1155" s="17">
        <f>K1155*0.08+L1155*0.08</f>
        <v/>
      </c>
      <c r="O1155" s="17">
        <f>-(K1155*0.025+L1155*0.025)</f>
        <v/>
      </c>
      <c r="P1155" s="17">
        <f>32</f>
        <v/>
      </c>
      <c r="Q1155" s="17">
        <f>J1155+L1155+N1155+O1155-P1155-M1155</f>
        <v/>
      </c>
    </row>
    <row r="1156">
      <c r="A1156" s="16" t="inlineStr">
        <is>
          <t>5.15-5.21</t>
        </is>
      </c>
      <c r="B1156" s="16" t="inlineStr">
        <is>
          <t>PO-128-03572724288633761</t>
        </is>
      </c>
      <c r="C1156" s="16" t="inlineStr">
        <is>
          <t>Shipped</t>
        </is>
      </c>
      <c r="D1156" s="16" t="inlineStr">
        <is>
          <t>128-03572734774393761</t>
        </is>
      </c>
      <c r="E1156" s="16" t="inlineStr">
        <is>
          <t>Shipped</t>
        </is>
      </c>
      <c r="F1156" s="16" t="inlineStr">
        <is>
          <t>MB-178-N</t>
        </is>
      </c>
      <c r="G1156" s="16" t="inlineStr">
        <is>
          <t>Bocina de Barra Bluetooth LINK BITS con dos altavoces, sonido de alta calidad y multifuncional (Bluetooth, Radio FM, USB, TF, AUX, TWS), ideal para juegos, reuniones, oficina y cine en casa.</t>
        </is>
      </c>
      <c r="H1156" s="16" t="inlineStr">
        <is>
          <t>NEGRO</t>
        </is>
      </c>
      <c r="I1156" s="16" t="n">
        <v>1</v>
      </c>
      <c r="J1156" s="17" t="n">
        <v>135</v>
      </c>
      <c r="K1156" s="17" t="n">
        <v>154.34</v>
      </c>
      <c r="L1156" s="17" t="n">
        <v>25.86</v>
      </c>
      <c r="M1156" s="17" t="n">
        <v>0</v>
      </c>
      <c r="N1156" s="17">
        <f>K1156*0.08+L1156*0.08</f>
        <v/>
      </c>
      <c r="O1156" s="17">
        <f>-(K1156*0.025+L1156*0.025)</f>
        <v/>
      </c>
      <c r="P1156" s="17">
        <f>32</f>
        <v/>
      </c>
      <c r="Q1156" s="17">
        <f>J1156+L1156+N1156+O1156-P1156-M1156</f>
        <v/>
      </c>
    </row>
    <row r="1157">
      <c r="A1157" s="16" t="inlineStr">
        <is>
          <t>5.15-5.21</t>
        </is>
      </c>
      <c r="B1157" s="16" t="inlineStr">
        <is>
          <t>PO-128-03544977467513863</t>
        </is>
      </c>
      <c r="C1157" s="16" t="inlineStr">
        <is>
          <t>Shipped</t>
        </is>
      </c>
      <c r="D1157" s="16" t="inlineStr">
        <is>
          <t>128-03545008924793863</t>
        </is>
      </c>
      <c r="E1157" s="16" t="inlineStr">
        <is>
          <t>Shipped</t>
        </is>
      </c>
      <c r="F1157" s="16" t="inlineStr">
        <is>
          <t>LB02235-negro</t>
        </is>
      </c>
      <c r="G1157" s="16" t="inlineStr">
        <is>
          <t>Audífonos Inalámbricos para la Cabeza, Recargables y Multifuncionales - Conectan a Varios Dispositivos, soportan Radio FM, Tarjeta TF y AUX - 4 Horas de Reproducción Musical - Ideal para Trabajo Cotidiano, Juegos y Estudio</t>
        </is>
      </c>
      <c r="H1157" s="16" t="inlineStr">
        <is>
          <t>NEGRO</t>
        </is>
      </c>
      <c r="I1157" s="16" t="n">
        <v>1</v>
      </c>
      <c r="J1157" s="17" t="n">
        <v>36.8</v>
      </c>
      <c r="K1157" s="17" t="n">
        <v>49.91</v>
      </c>
      <c r="L1157" s="17" t="n">
        <v>25.86</v>
      </c>
      <c r="M1157" s="17" t="n">
        <v>0</v>
      </c>
      <c r="N1157" s="17">
        <f>K1157*0.08+L1157*0.08</f>
        <v/>
      </c>
      <c r="O1157" s="17">
        <f>-(K1157*0.025+L1157*0.025)</f>
        <v/>
      </c>
      <c r="P1157" s="17">
        <f>32</f>
        <v/>
      </c>
      <c r="Q1157" s="17">
        <f>J1157+L1157+N1157+O1157-P1157-M1157</f>
        <v/>
      </c>
    </row>
    <row r="1158">
      <c r="A1158" s="16" t="inlineStr">
        <is>
          <t>5.15-5.21</t>
        </is>
      </c>
      <c r="B1158" s="16" t="inlineStr">
        <is>
          <t>PO-128-03688442939512174</t>
        </is>
      </c>
      <c r="C1158" s="16" t="inlineStr">
        <is>
          <t>Shipped</t>
        </is>
      </c>
      <c r="D1158" s="16" t="inlineStr">
        <is>
          <t>128-03688453425272174</t>
        </is>
      </c>
      <c r="E1158" s="16" t="inlineStr">
        <is>
          <t>Shipped</t>
        </is>
      </c>
      <c r="F1158" s="16" t="inlineStr">
        <is>
          <t>SA325T</t>
        </is>
      </c>
      <c r="G1158" s="16" t="inlineStr">
        <is>
          <t>Subwoofer Portátil Inalámbrico con Luces RGB, Sonido de Alta Potencia y Batería Duradera, TWS TF USB, Perfecto para Campamento Fiestas y Entretenimiento en Casa</t>
        </is>
      </c>
      <c r="H1158" s="16" t="inlineStr">
        <is>
          <t>NEGRO</t>
        </is>
      </c>
      <c r="I1158" s="16" t="n">
        <v>1</v>
      </c>
      <c r="J1158" s="17" t="n">
        <v>38</v>
      </c>
      <c r="K1158" s="17" t="n">
        <v>47.04</v>
      </c>
      <c r="L1158" s="17" t="n">
        <v>25.86</v>
      </c>
      <c r="M1158" s="17" t="n">
        <v>0</v>
      </c>
      <c r="N1158" s="17">
        <f>K1158*0.08+L1158*0.08</f>
        <v/>
      </c>
      <c r="O1158" s="17">
        <f>-(K1158*0.025+L1158*0.025)</f>
        <v/>
      </c>
      <c r="P1158" s="17">
        <f>32</f>
        <v/>
      </c>
      <c r="Q1158" s="17">
        <f>J1158+L1158+N1158+O1158-P1158-M1158</f>
        <v/>
      </c>
    </row>
    <row r="1159">
      <c r="A1159" s="16" t="inlineStr">
        <is>
          <t>5.15-5.21</t>
        </is>
      </c>
      <c r="B1159" s="16" t="inlineStr">
        <is>
          <t>PO-128-04120764757110623</t>
        </is>
      </c>
      <c r="C1159" s="16" t="inlineStr">
        <is>
          <t>Shipped</t>
        </is>
      </c>
      <c r="D1159" s="16" t="inlineStr">
        <is>
          <t>128-04120790971510623</t>
        </is>
      </c>
      <c r="E1159" s="16" t="inlineStr">
        <is>
          <t>Shipped</t>
        </is>
      </c>
      <c r="F1159" s="16" t="inlineStr">
        <is>
          <t>LB02235-blanco</t>
        </is>
      </c>
      <c r="G1159" s="16" t="inlineStr">
        <is>
          <t>Audífonos Inalámbricos para la Cabeza, Recargables y Multifuncionales - Conectan a Varios Dispositivos, soportan Radio FM, Tarjeta TF y AUX - 4 Horas de Reproducción Musical - Ideal para Trabajo Cotidiano, Juegos y Estudio</t>
        </is>
      </c>
      <c r="H1159" s="16" t="inlineStr">
        <is>
          <t>BLANCO</t>
        </is>
      </c>
      <c r="I1159" s="16" t="n">
        <v>1</v>
      </c>
      <c r="J1159" s="17" t="n">
        <v>36.8</v>
      </c>
      <c r="K1159" s="17" t="n">
        <v>40.12</v>
      </c>
      <c r="L1159" s="17" t="n">
        <v>6.46</v>
      </c>
      <c r="M1159" s="17" t="n">
        <v>0</v>
      </c>
      <c r="N1159" s="17">
        <f>K1159*0.08+L1159*0.08</f>
        <v/>
      </c>
      <c r="O1159" s="17">
        <f>-(K1159*0.025+L1159*0.025)</f>
        <v/>
      </c>
      <c r="P1159" s="17">
        <f>32</f>
        <v/>
      </c>
      <c r="Q1159" s="17">
        <f>J1159+L1159+N1159+O1159-P1159-M1159</f>
        <v/>
      </c>
    </row>
    <row r="1160">
      <c r="A1160" s="16" t="inlineStr">
        <is>
          <t>5.15-5.21</t>
        </is>
      </c>
      <c r="B1160" s="16" t="inlineStr">
        <is>
          <t>PO-128-04120764757110623</t>
        </is>
      </c>
      <c r="C1160" s="16" t="inlineStr">
        <is>
          <t>Shipped</t>
        </is>
      </c>
      <c r="D1160" s="16" t="inlineStr">
        <is>
          <t>128-04120785728630623</t>
        </is>
      </c>
      <c r="E1160" s="16" t="inlineStr">
        <is>
          <t>Shipped</t>
        </is>
      </c>
      <c r="F1160" s="16" t="inlineStr">
        <is>
          <t>LB02235-rojo</t>
        </is>
      </c>
      <c r="G1160" s="16" t="inlineStr">
        <is>
          <t>Audífonos Inalámbricos para la Cabeza, Recargables y Multifuncionales - Conectan a Varios Dispositivos, soportan Radio FM, Tarjeta TF y AUX - 4 Horas de Reproducción Musical - Ideal para Trabajo Cotidiano, Juegos y Estudio</t>
        </is>
      </c>
      <c r="H1160" s="16" t="inlineStr">
        <is>
          <t>ROJO</t>
        </is>
      </c>
      <c r="I1160" s="16" t="n">
        <v>1</v>
      </c>
      <c r="J1160" s="17" t="n">
        <v>36.8</v>
      </c>
      <c r="K1160" s="17" t="n">
        <v>40.13</v>
      </c>
      <c r="L1160" s="17" t="n">
        <v>6.47</v>
      </c>
      <c r="M1160" s="17" t="n">
        <v>0</v>
      </c>
      <c r="N1160" s="17">
        <f>K1160*0.08+L1160*0.08</f>
        <v/>
      </c>
      <c r="O1160" s="17">
        <f>-(K1160*0.025+L1160*0.025)</f>
        <v/>
      </c>
      <c r="P1160" s="17">
        <f>32</f>
        <v/>
      </c>
      <c r="Q1160" s="17">
        <f>J1160+L1160+N1160+O1160-P1160-M1160</f>
        <v/>
      </c>
    </row>
    <row r="1161">
      <c r="A1161" s="16" t="inlineStr">
        <is>
          <t>5.15-5.21</t>
        </is>
      </c>
      <c r="B1161" s="16" t="inlineStr">
        <is>
          <t>PO-128-04120764757110623</t>
        </is>
      </c>
      <c r="C1161" s="16" t="inlineStr">
        <is>
          <t>Shipped</t>
        </is>
      </c>
      <c r="D1161" s="16" t="inlineStr">
        <is>
          <t>128-04120769999990623</t>
        </is>
      </c>
      <c r="E1161" s="16" t="inlineStr">
        <is>
          <t>Shipped</t>
        </is>
      </c>
      <c r="F1161" s="16" t="inlineStr">
        <is>
          <t>LB02235-azul</t>
        </is>
      </c>
      <c r="G1161" s="16" t="inlineStr">
        <is>
          <t>Audífonos Inalámbricos para la Cabeza, Recargables y Multifuncionales - Conectan a Varios Dispositivos, soportan Radio FM, Tarjeta TF y AUX - 4 Horas de Reproducción Musical - Ideal para Trabajo Cotidiano, Juegos y Estudio</t>
        </is>
      </c>
      <c r="H1161" s="16" t="inlineStr">
        <is>
          <t>AZUL</t>
        </is>
      </c>
      <c r="I1161" s="16" t="n">
        <v>1</v>
      </c>
      <c r="J1161" s="17" t="n">
        <v>36.8</v>
      </c>
      <c r="K1161" s="17" t="n">
        <v>40.13</v>
      </c>
      <c r="L1161" s="17" t="n">
        <v>6.47</v>
      </c>
      <c r="M1161" s="17" t="n">
        <v>0</v>
      </c>
      <c r="N1161" s="17">
        <f>K1161*0.08+L1161*0.08</f>
        <v/>
      </c>
      <c r="O1161" s="17">
        <f>-(K1161*0.025+L1161*0.025)</f>
        <v/>
      </c>
      <c r="P1161" s="17">
        <f>32</f>
        <v/>
      </c>
      <c r="Q1161" s="17">
        <f>J1161+L1161+N1161+O1161-P1161-M1161</f>
        <v/>
      </c>
    </row>
    <row r="1162">
      <c r="A1162" s="16" t="inlineStr">
        <is>
          <t>5.15-5.21</t>
        </is>
      </c>
      <c r="B1162" s="16" t="inlineStr">
        <is>
          <t>PO-128-04120764757110623</t>
        </is>
      </c>
      <c r="C1162" s="16" t="inlineStr">
        <is>
          <t>Shipped</t>
        </is>
      </c>
      <c r="D1162" s="16" t="inlineStr">
        <is>
          <t>128-04120811943030623</t>
        </is>
      </c>
      <c r="E1162" s="16" t="inlineStr">
        <is>
          <t>Shipped</t>
        </is>
      </c>
      <c r="F1162" s="16" t="inlineStr">
        <is>
          <t>LB02235-negro</t>
        </is>
      </c>
      <c r="G1162" s="16" t="inlineStr">
        <is>
          <t>Audífonos Inalámbricos para la Cabeza, Recargables y Multifuncionales - Conectan a Varios Dispositivos, soportan Radio FM, Tarjeta TF y AUX - 4 Horas de Reproducción Musical - Ideal para Trabajo Cotidiano, Juegos y Estudio</t>
        </is>
      </c>
      <c r="H1162" s="16" t="inlineStr">
        <is>
          <t>NEGRO</t>
        </is>
      </c>
      <c r="I1162" s="16" t="n">
        <v>1</v>
      </c>
      <c r="J1162" s="17" t="n">
        <v>36.8</v>
      </c>
      <c r="K1162" s="17" t="n">
        <v>40.13</v>
      </c>
      <c r="L1162" s="17" t="n">
        <v>6.47</v>
      </c>
      <c r="M1162" s="17" t="n">
        <v>0</v>
      </c>
      <c r="N1162" s="17">
        <f>K1162*0.08+L1162*0.08</f>
        <v/>
      </c>
      <c r="O1162" s="17">
        <f>-(K1162*0.025+L1162*0.025)</f>
        <v/>
      </c>
      <c r="P1162" s="17">
        <f>32</f>
        <v/>
      </c>
      <c r="Q1162" s="17">
        <f>J1162+L1162+N1162+O1162-P1162-M1162</f>
        <v/>
      </c>
    </row>
    <row r="1163">
      <c r="A1163" s="16" t="inlineStr">
        <is>
          <t>5.15-5.21</t>
        </is>
      </c>
      <c r="B1163" s="16" t="inlineStr">
        <is>
          <t>PO-128-03835323896951234</t>
        </is>
      </c>
      <c r="C1163" s="16" t="inlineStr">
        <is>
          <t>Shipped</t>
        </is>
      </c>
      <c r="D1163" s="16" t="inlineStr">
        <is>
          <t>128-03835365839991234</t>
        </is>
      </c>
      <c r="E1163" s="16" t="inlineStr">
        <is>
          <t>Shipped</t>
        </is>
      </c>
      <c r="F1163" s="16" t="inlineStr">
        <is>
          <t>LB02235-negro</t>
        </is>
      </c>
      <c r="G1163" s="16" t="inlineStr">
        <is>
          <t>Audífonos Inalámbricos para la Cabeza, Recargables y Multifuncionales - Conectan a Varios Dispositivos, soportan Radio FM, Tarjeta TF y AUX - 4 Horas de Reproducción Musical - Ideal para Trabajo Cotidiano, Juegos y Estudio</t>
        </is>
      </c>
      <c r="H1163" s="16" t="inlineStr">
        <is>
          <t>NEGRO</t>
        </is>
      </c>
      <c r="I1163" s="16" t="n">
        <v>1</v>
      </c>
      <c r="J1163" s="17" t="n">
        <v>36.8</v>
      </c>
      <c r="K1163" s="17" t="n">
        <v>49.91</v>
      </c>
      <c r="L1163" s="17" t="n">
        <v>25.86</v>
      </c>
      <c r="M1163" s="17" t="n">
        <v>0</v>
      </c>
      <c r="N1163" s="17">
        <f>K1163*0.08+L1163*0.08</f>
        <v/>
      </c>
      <c r="O1163" s="17">
        <f>-(K1163*0.025+L1163*0.025)</f>
        <v/>
      </c>
      <c r="P1163" s="17">
        <f>32</f>
        <v/>
      </c>
      <c r="Q1163" s="17">
        <f>J1163+L1163+N1163+O1163-P1163-M1163</f>
        <v/>
      </c>
    </row>
    <row r="1164">
      <c r="A1164" s="16" t="inlineStr">
        <is>
          <t>5.15-5.21</t>
        </is>
      </c>
      <c r="B1164" s="16" t="inlineStr">
        <is>
          <t>PO-128-03707504389753020</t>
        </is>
      </c>
      <c r="C1164" s="16" t="inlineStr">
        <is>
          <t>Shipped</t>
        </is>
      </c>
      <c r="D1164" s="16" t="inlineStr">
        <is>
          <t>128-03707546332793020</t>
        </is>
      </c>
      <c r="E1164" s="16" t="inlineStr">
        <is>
          <t>Shipped</t>
        </is>
      </c>
      <c r="F1164" s="16" t="inlineStr">
        <is>
          <t>KTS-1943-Y</t>
        </is>
      </c>
      <c r="G1164" s="16" t="inlineStr">
        <is>
          <t>Altavoz Mini Karaoke Portátil BT con Micrófono Inalámbrico, Función TWS, Radio FM, USB/TF, Batería de Larga Duración, Perfecto para Casa, Exterior y Regalos Especiales</t>
        </is>
      </c>
      <c r="H1164" s="16" t="inlineStr">
        <is>
          <t>AMARILLO</t>
        </is>
      </c>
      <c r="I1164" s="16" t="n">
        <v>1</v>
      </c>
      <c r="J1164" s="17" t="n">
        <v>67.5</v>
      </c>
      <c r="K1164" s="17" t="n">
        <v>83.09999999999999</v>
      </c>
      <c r="L1164" s="17" t="n">
        <v>25.86</v>
      </c>
      <c r="M1164" s="17" t="n">
        <v>0</v>
      </c>
      <c r="N1164" s="17">
        <f>K1164*0.08+L1164*0.08</f>
        <v/>
      </c>
      <c r="O1164" s="17">
        <f>-(K1164*0.025+L1164*0.025)</f>
        <v/>
      </c>
      <c r="P1164" s="17">
        <f>32</f>
        <v/>
      </c>
      <c r="Q1164" s="17">
        <f>J1164+L1164+N1164+O1164-P1164-M1164</f>
        <v/>
      </c>
    </row>
    <row r="1165">
      <c r="A1165" s="16" t="inlineStr">
        <is>
          <t>5.15-5.21</t>
        </is>
      </c>
      <c r="B1165" s="16" t="inlineStr">
        <is>
          <t>PO-128-03478599212153424</t>
        </is>
      </c>
      <c r="C1165" s="16" t="inlineStr">
        <is>
          <t>Shipped</t>
        </is>
      </c>
      <c r="D1165" s="16" t="inlineStr">
        <is>
          <t>128-03478651640953424</t>
        </is>
      </c>
      <c r="E1165" s="16" t="inlineStr">
        <is>
          <t>Shipped</t>
        </is>
      </c>
      <c r="F1165" s="16" t="inlineStr">
        <is>
          <t>SA325T</t>
        </is>
      </c>
      <c r="G1165" s="16" t="inlineStr">
        <is>
          <t>Subwoofer Portátil Inalámbrico con Luces RGB, Sonido de Alta Potencia y Batería Duradera, TWS TF USB, Perfecto para Campamento Fiestas y Entretenimiento en Casa</t>
        </is>
      </c>
      <c r="H1165" s="16" t="inlineStr">
        <is>
          <t>NEGRO</t>
        </is>
      </c>
      <c r="I1165" s="16" t="n">
        <v>1</v>
      </c>
      <c r="J1165" s="17" t="n">
        <v>38</v>
      </c>
      <c r="K1165" s="17" t="n">
        <v>47.04</v>
      </c>
      <c r="L1165" s="17" t="n">
        <v>25.86</v>
      </c>
      <c r="M1165" s="17" t="n">
        <v>0</v>
      </c>
      <c r="N1165" s="17">
        <f>K1165*0.08+L1165*0.08</f>
        <v/>
      </c>
      <c r="O1165" s="17">
        <f>-(K1165*0.025+L1165*0.025)</f>
        <v/>
      </c>
      <c r="P1165" s="17">
        <f>32</f>
        <v/>
      </c>
      <c r="Q1165" s="17">
        <f>J1165+L1165+N1165+O1165-P1165-M1165</f>
        <v/>
      </c>
    </row>
    <row r="1166">
      <c r="A1166" s="16" t="inlineStr">
        <is>
          <t>5.15-5.21</t>
        </is>
      </c>
      <c r="B1166" s="16" t="inlineStr">
        <is>
          <t>PO-128-03786307157111462</t>
        </is>
      </c>
      <c r="C1166" s="16" t="inlineStr">
        <is>
          <t>Shipped</t>
        </is>
      </c>
      <c r="D1166" s="16" t="inlineStr">
        <is>
          <t>128-03786320264311462</t>
        </is>
      </c>
      <c r="E1166" s="16" t="inlineStr">
        <is>
          <t>Shipped</t>
        </is>
      </c>
      <c r="F1166" s="16" t="inlineStr">
        <is>
          <t>SA325T</t>
        </is>
      </c>
      <c r="G1166" s="16" t="inlineStr">
        <is>
          <t>Subwoofer Portátil Inalámbrico con Luces RGB, Sonido de Alta Potencia y Batería Duradera, TWS TF USB, Perfecto para Campamento Fiestas y Entretenimiento en Casa</t>
        </is>
      </c>
      <c r="H1166" s="16" t="inlineStr">
        <is>
          <t>NEGRO</t>
        </is>
      </c>
      <c r="I1166" s="16" t="n">
        <v>1</v>
      </c>
      <c r="J1166" s="17" t="n">
        <v>38</v>
      </c>
      <c r="K1166" s="17" t="n">
        <v>47.04</v>
      </c>
      <c r="L1166" s="17" t="n">
        <v>25.86</v>
      </c>
      <c r="M1166" s="17" t="n">
        <v>0</v>
      </c>
      <c r="N1166" s="17">
        <f>K1166*0.08+L1166*0.08</f>
        <v/>
      </c>
      <c r="O1166" s="17">
        <f>-(K1166*0.025+L1166*0.025)</f>
        <v/>
      </c>
      <c r="P1166" s="17">
        <f>32</f>
        <v/>
      </c>
      <c r="Q1166" s="17">
        <f>J1166+L1166+N1166+O1166-P1166-M1166</f>
        <v/>
      </c>
    </row>
    <row r="1167">
      <c r="A1167" s="16" t="inlineStr">
        <is>
          <t>5.15-5.21</t>
        </is>
      </c>
      <c r="B1167" s="16" t="inlineStr">
        <is>
          <t>PO-128-03837668493431220</t>
        </is>
      </c>
      <c r="C1167" s="16" t="inlineStr">
        <is>
          <t>Shipped</t>
        </is>
      </c>
      <c r="D1167" s="16" t="inlineStr">
        <is>
          <t>128-03837710436471220</t>
        </is>
      </c>
      <c r="E1167" s="16" t="inlineStr">
        <is>
          <t>Shipped</t>
        </is>
      </c>
      <c r="F1167" s="16" t="inlineStr">
        <is>
          <t>MB-185R</t>
        </is>
      </c>
      <c r="G1167" s="16" t="inlineStr">
        <is>
          <t>Bocina Radio FM/Reproductor, Compatible con Tarjeta TF, USB, Bluetooth, Aplicable para celular, computadora, Ipad y consola.</t>
        </is>
      </c>
      <c r="H1167" s="16" t="inlineStr">
        <is>
          <t>ROJO/MB-185</t>
        </is>
      </c>
      <c r="I1167" s="16" t="n">
        <v>1</v>
      </c>
      <c r="J1167" s="17" t="n">
        <v>74</v>
      </c>
      <c r="K1167" s="17" t="n">
        <v>86.94</v>
      </c>
      <c r="L1167" s="17" t="n">
        <v>25.86</v>
      </c>
      <c r="M1167" s="17" t="n">
        <v>0</v>
      </c>
      <c r="N1167" s="17">
        <f>K1167*0.08+L1167*0.08</f>
        <v/>
      </c>
      <c r="O1167" s="17">
        <f>-(K1167*0.025+L1167*0.025)</f>
        <v/>
      </c>
      <c r="P1167" s="17">
        <f>32</f>
        <v/>
      </c>
      <c r="Q1167" s="17">
        <f>J1167+L1167+N1167+O1167-P1167-M1167</f>
        <v/>
      </c>
    </row>
    <row r="1168">
      <c r="A1168" s="16" t="inlineStr">
        <is>
          <t>5.15-5.21</t>
        </is>
      </c>
      <c r="B1168" s="16" t="inlineStr">
        <is>
          <t>PO-128-03707144236153022</t>
        </is>
      </c>
      <c r="C1168" s="16" t="inlineStr">
        <is>
          <t>Shipped</t>
        </is>
      </c>
      <c r="D1168" s="16" t="inlineStr">
        <is>
          <t>128-03707186179193022</t>
        </is>
      </c>
      <c r="E1168" s="16" t="inlineStr">
        <is>
          <t>Shipped</t>
        </is>
      </c>
      <c r="F1168" s="16" t="inlineStr">
        <is>
          <t>LB02235-negro</t>
        </is>
      </c>
      <c r="G1168" s="16" t="inlineStr">
        <is>
          <t>Audífonos Inalámbricos para la Cabeza, Recargables y Multifuncionales - Conectan a Varios Dispositivos, soportan Radio FM, Tarjeta TF y AUX - 4 Horas de Reproducción Musical - Ideal para Trabajo Cotidiano, Juegos y Estudio</t>
        </is>
      </c>
      <c r="H1168" s="16" t="inlineStr">
        <is>
          <t>NEGRO</t>
        </is>
      </c>
      <c r="I1168" s="16" t="n">
        <v>1</v>
      </c>
      <c r="J1168" s="17" t="n">
        <v>36.8</v>
      </c>
      <c r="K1168" s="17" t="n">
        <v>49.91</v>
      </c>
      <c r="L1168" s="17" t="n">
        <v>25.86</v>
      </c>
      <c r="M1168" s="17" t="n">
        <v>0</v>
      </c>
      <c r="N1168" s="17">
        <f>K1168*0.08+L1168*0.08</f>
        <v/>
      </c>
      <c r="O1168" s="17">
        <f>-(K1168*0.025+L1168*0.025)</f>
        <v/>
      </c>
      <c r="P1168" s="17">
        <f>32</f>
        <v/>
      </c>
      <c r="Q1168" s="17">
        <f>J1168+L1168+N1168+O1168-P1168-M1168</f>
        <v/>
      </c>
    </row>
    <row r="1169">
      <c r="A1169" s="16" t="inlineStr">
        <is>
          <t>5.15-5.21</t>
        </is>
      </c>
      <c r="B1169" s="16" t="inlineStr">
        <is>
          <t>PO-128-03804827848311288</t>
        </is>
      </c>
      <c r="C1169" s="16" t="inlineStr">
        <is>
          <t>Shipped</t>
        </is>
      </c>
      <c r="D1169" s="16" t="inlineStr">
        <is>
          <t>128-03804896005751288</t>
        </is>
      </c>
      <c r="E1169" s="16" t="inlineStr">
        <is>
          <t>Shipped</t>
        </is>
      </c>
      <c r="F1169" s="16" t="inlineStr">
        <is>
          <t>MCM-001N</t>
        </is>
      </c>
      <c r="G1169" s="16" t="inlineStr">
        <is>
          <t>Musicord Altavoz Inalámbrico BT Portátil: ¡Sonido impactante, luces LED multicolores y 4 horas de autonomía! Compatible con TWS, FM, TF y USB – Imprescindible para fiestas y viajes</t>
        </is>
      </c>
      <c r="H1169" s="16" t="inlineStr">
        <is>
          <t>NEGRO</t>
        </is>
      </c>
      <c r="I1169" s="16" t="n">
        <v>1</v>
      </c>
      <c r="J1169" s="17" t="n">
        <v>61</v>
      </c>
      <c r="K1169" s="17" t="n">
        <v>68.79000000000001</v>
      </c>
      <c r="L1169" s="17" t="n">
        <v>25.86</v>
      </c>
      <c r="M1169" s="17" t="n">
        <v>0</v>
      </c>
      <c r="N1169" s="17">
        <f>K1169*0.08+L1169*0.08</f>
        <v/>
      </c>
      <c r="O1169" s="17">
        <f>-(K1169*0.025+L1169*0.025)</f>
        <v/>
      </c>
      <c r="P1169" s="17">
        <f>32</f>
        <v/>
      </c>
      <c r="Q1169" s="17">
        <f>J1169+L1169+N1169+O1169-P1169-M1169</f>
        <v/>
      </c>
    </row>
    <row r="1170">
      <c r="A1170" s="16" t="inlineStr">
        <is>
          <t>5.15-5.21</t>
        </is>
      </c>
      <c r="B1170" s="16" t="inlineStr">
        <is>
          <t>PO-128-03985141312630343</t>
        </is>
      </c>
      <c r="C1170" s="16" t="inlineStr">
        <is>
          <t>Shipped</t>
        </is>
      </c>
      <c r="D1170" s="16" t="inlineStr">
        <is>
          <t>128-03985183255670343</t>
        </is>
      </c>
      <c r="E1170" s="16" t="inlineStr">
        <is>
          <t>Shipped</t>
        </is>
      </c>
      <c r="F1170" s="16" t="inlineStr">
        <is>
          <t>KTS-1678Y</t>
        </is>
      </c>
      <c r="G1170" s="16" t="inlineStr">
        <is>
          <t>Bocina portátil Inalámbrico, de 3 pulgadas, tamaño de bolsillo, 170 g, con asa, compatible con TF, USB y Micro SD, con radio FM y función TWS (True Wireless Stereo), adecuada para relajarse en casa o viajar al aire libre.</t>
        </is>
      </c>
      <c r="H1170" s="16" t="inlineStr">
        <is>
          <t>KTS-1678Y</t>
        </is>
      </c>
      <c r="I1170" s="16" t="n">
        <v>1</v>
      </c>
      <c r="J1170" s="17" t="n">
        <v>42.5</v>
      </c>
      <c r="K1170" s="17" t="n">
        <v>48.72</v>
      </c>
      <c r="L1170" s="17" t="n">
        <v>25.86</v>
      </c>
      <c r="M1170" s="17" t="n">
        <v>0</v>
      </c>
      <c r="N1170" s="17">
        <f>K1170*0.08+L1170*0.08</f>
        <v/>
      </c>
      <c r="O1170" s="17">
        <f>-(K1170*0.025+L1170*0.025)</f>
        <v/>
      </c>
      <c r="P1170" s="17">
        <f>32</f>
        <v/>
      </c>
      <c r="Q1170" s="17">
        <f>J1170+L1170+N1170+O1170-P1170-M1170</f>
        <v/>
      </c>
    </row>
    <row r="1171">
      <c r="A1171" s="16" t="inlineStr">
        <is>
          <t>5.15-5.21</t>
        </is>
      </c>
      <c r="B1171" s="16" t="inlineStr">
        <is>
          <t>PO-128-04093084388470722</t>
        </is>
      </c>
      <c r="C1171" s="16" t="inlineStr">
        <is>
          <t>Shipped</t>
        </is>
      </c>
      <c r="D1171" s="16" t="inlineStr">
        <is>
          <t>128-04093105359990722</t>
        </is>
      </c>
      <c r="E1171" s="16" t="inlineStr">
        <is>
          <t>Shipped</t>
        </is>
      </c>
      <c r="F1171" s="16" t="inlineStr">
        <is>
          <t>LB02235-blanco</t>
        </is>
      </c>
      <c r="G1171" s="16" t="inlineStr">
        <is>
          <t>Audífonos Inalámbricos para la Cabeza, Recargables y Multifuncionales - Conectan a Varios Dispositivos, soportan Radio FM, Tarjeta TF y AUX - 4 Horas de Reproducción Musical - Ideal para Trabajo Cotidiano, Juegos y Estudio</t>
        </is>
      </c>
      <c r="H1171" s="16" t="inlineStr">
        <is>
          <t>BLANCO</t>
        </is>
      </c>
      <c r="I1171" s="16" t="n">
        <v>2</v>
      </c>
      <c r="J1171" s="17" t="n">
        <v>73.59999999999999</v>
      </c>
      <c r="K1171" s="17" t="n">
        <v>84.86</v>
      </c>
      <c r="L1171" s="17" t="n">
        <v>25.86</v>
      </c>
      <c r="M1171" s="17" t="n">
        <v>0</v>
      </c>
      <c r="N1171" s="17">
        <f>K1171*0.08+L1171*0.08</f>
        <v/>
      </c>
      <c r="O1171" s="17">
        <f>-(K1171*0.025+L1171*0.025)</f>
        <v/>
      </c>
      <c r="P1171" s="17">
        <f>32</f>
        <v/>
      </c>
      <c r="Q1171" s="17">
        <f>J1171+L1171+N1171+O1171-P1171-M1171</f>
        <v/>
      </c>
    </row>
    <row r="1172">
      <c r="A1172" s="16" t="inlineStr">
        <is>
          <t>5.15-5.21</t>
        </is>
      </c>
      <c r="B1172" s="16" t="inlineStr">
        <is>
          <t>PO-128-03445889879673493</t>
        </is>
      </c>
      <c r="C1172" s="16" t="inlineStr">
        <is>
          <t>Shipped</t>
        </is>
      </c>
      <c r="D1172" s="16" t="inlineStr">
        <is>
          <t>128-03445900365433493</t>
        </is>
      </c>
      <c r="E1172" s="16" t="inlineStr">
        <is>
          <t>Shipped</t>
        </is>
      </c>
      <c r="F1172" s="16" t="inlineStr">
        <is>
          <t>LB02235-negro</t>
        </is>
      </c>
      <c r="G1172" s="16" t="inlineStr">
        <is>
          <t>Audífonos Inalámbricos para la Cabeza, Recargables y Multifuncionales - Conectan a Varios Dispositivos, soportan Radio FM, Tarjeta TF y AUX - 4 Horas de Reproducción Musical - Ideal para Trabajo Cotidiano, Juegos y Estudio</t>
        </is>
      </c>
      <c r="H1172" s="16" t="inlineStr">
        <is>
          <t>NEGRO</t>
        </is>
      </c>
      <c r="I1172" s="16" t="n">
        <v>1</v>
      </c>
      <c r="J1172" s="17" t="n">
        <v>36.8</v>
      </c>
      <c r="K1172" s="17" t="n">
        <v>49.91</v>
      </c>
      <c r="L1172" s="17" t="n">
        <v>25.86</v>
      </c>
      <c r="M1172" s="17" t="n">
        <v>0</v>
      </c>
      <c r="N1172" s="17">
        <f>K1172*0.08+L1172*0.08</f>
        <v/>
      </c>
      <c r="O1172" s="17">
        <f>-(K1172*0.025+L1172*0.025)</f>
        <v/>
      </c>
      <c r="P1172" s="17">
        <f>32</f>
        <v/>
      </c>
      <c r="Q1172" s="17">
        <f>J1172+L1172+N1172+O1172-P1172-M1172</f>
        <v/>
      </c>
    </row>
    <row r="1173">
      <c r="A1173" s="16" t="inlineStr">
        <is>
          <t>5.15-5.21</t>
        </is>
      </c>
      <c r="B1173" s="16" t="inlineStr">
        <is>
          <t>PO-128-03782671519351420</t>
        </is>
      </c>
      <c r="C1173" s="16" t="inlineStr">
        <is>
          <t>Shipped</t>
        </is>
      </c>
      <c r="D1173" s="16" t="inlineStr">
        <is>
          <t>128-03782629576311420</t>
        </is>
      </c>
      <c r="E1173" s="16" t="inlineStr">
        <is>
          <t>Shipped</t>
        </is>
      </c>
      <c r="F1173" s="16" t="inlineStr">
        <is>
          <t>VB347T</t>
        </is>
      </c>
      <c r="G117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173" s="16" t="inlineStr">
        <is>
          <t>1 pieza</t>
        </is>
      </c>
      <c r="I1173" s="16" t="n">
        <v>1</v>
      </c>
      <c r="J1173" s="17" t="n">
        <v>79.90000000000001</v>
      </c>
      <c r="K1173" s="17" t="n">
        <v>94.5</v>
      </c>
      <c r="L1173" s="17" t="n">
        <v>25.86</v>
      </c>
      <c r="M1173" s="17" t="n">
        <v>0</v>
      </c>
      <c r="N1173" s="17">
        <f>K1173*0.08+L1173*0.08</f>
        <v/>
      </c>
      <c r="O1173" s="17">
        <f>-(K1173*0.025+L1173*0.025)</f>
        <v/>
      </c>
      <c r="P1173" s="17">
        <f>32</f>
        <v/>
      </c>
      <c r="Q1173" s="17">
        <f>J1173+L1173+N1173+O1173-P1173-M1173</f>
        <v/>
      </c>
    </row>
    <row r="1174">
      <c r="A1174" s="16" t="inlineStr">
        <is>
          <t>5.15-5.21</t>
        </is>
      </c>
      <c r="B1174" s="16" t="inlineStr">
        <is>
          <t>PO-128-04054958072951015</t>
        </is>
      </c>
      <c r="C1174" s="16" t="inlineStr">
        <is>
          <t>Shipped</t>
        </is>
      </c>
      <c r="D1174" s="16" t="inlineStr">
        <is>
          <t>128-04054916129911015</t>
        </is>
      </c>
      <c r="E1174" s="16" t="inlineStr">
        <is>
          <t>Shipped</t>
        </is>
      </c>
      <c r="F1174" s="16" t="inlineStr">
        <is>
          <t>LB02235-azul</t>
        </is>
      </c>
      <c r="G1174" s="16" t="inlineStr">
        <is>
          <t>Audífonos Inalámbricos para la Cabeza, Recargables y Multifuncionales - Conectan a Varios Dispositivos, soportan Radio FM, Tarjeta TF y AUX - 4 Horas de Reproducción Musical - Ideal para Trabajo Cotidiano, Juegos y Estudio</t>
        </is>
      </c>
      <c r="H1174" s="16" t="inlineStr">
        <is>
          <t>AZUL</t>
        </is>
      </c>
      <c r="I1174" s="16" t="n">
        <v>1</v>
      </c>
      <c r="J1174" s="17" t="n">
        <v>36.8</v>
      </c>
      <c r="K1174" s="17" t="n">
        <v>49.91</v>
      </c>
      <c r="L1174" s="17" t="n">
        <v>25.86</v>
      </c>
      <c r="M1174" s="17" t="n">
        <v>0</v>
      </c>
      <c r="N1174" s="17">
        <f>K1174*0.08+L1174*0.08</f>
        <v/>
      </c>
      <c r="O1174" s="17">
        <f>-(K1174*0.025+L1174*0.025)</f>
        <v/>
      </c>
      <c r="P1174" s="17">
        <f>32</f>
        <v/>
      </c>
      <c r="Q1174" s="17">
        <f>J1174+L1174+N1174+O1174-P1174-M1174</f>
        <v/>
      </c>
    </row>
    <row r="1175">
      <c r="A1175" s="16" t="inlineStr">
        <is>
          <t>5.15-5.21</t>
        </is>
      </c>
      <c r="B1175" s="16" t="inlineStr">
        <is>
          <t>PO-128-03991173788790371</t>
        </is>
      </c>
      <c r="C1175" s="16" t="inlineStr">
        <is>
          <t>Shipped</t>
        </is>
      </c>
      <c r="D1175" s="16" t="inlineStr">
        <is>
          <t>128-03991278646390371</t>
        </is>
      </c>
      <c r="E1175" s="16" t="inlineStr">
        <is>
          <t>Shipped</t>
        </is>
      </c>
      <c r="F1175" s="16" t="inlineStr">
        <is>
          <t>LB02235-blanco</t>
        </is>
      </c>
      <c r="G1175" s="16" t="inlineStr">
        <is>
          <t>Audífonos Inalámbricos para la Cabeza, Recargables y Multifuncionales - Conectan a Varios Dispositivos, soportan Radio FM, Tarjeta TF y AUX - 4 Horas de Reproducción Musical - Ideal para Trabajo Cotidiano, Juegos y Estudio</t>
        </is>
      </c>
      <c r="H1175" s="16" t="inlineStr">
        <is>
          <t>BLANCO</t>
        </is>
      </c>
      <c r="I1175" s="16" t="n">
        <v>1</v>
      </c>
      <c r="J1175" s="17" t="n">
        <v>36.8</v>
      </c>
      <c r="K1175" s="17" t="n">
        <v>49.91</v>
      </c>
      <c r="L1175" s="17" t="n">
        <v>25.86</v>
      </c>
      <c r="M1175" s="17" t="n">
        <v>0</v>
      </c>
      <c r="N1175" s="17">
        <f>K1175*0.08+L1175*0.08</f>
        <v/>
      </c>
      <c r="O1175" s="17">
        <f>-(K1175*0.025+L1175*0.025)</f>
        <v/>
      </c>
      <c r="P1175" s="17">
        <f>32</f>
        <v/>
      </c>
      <c r="Q1175" s="17">
        <f>J1175+L1175+N1175+O1175-P1175-M1175</f>
        <v/>
      </c>
    </row>
    <row r="1176">
      <c r="A1176" s="16" t="inlineStr">
        <is>
          <t>5.15-5.21</t>
        </is>
      </c>
      <c r="B1176" s="16" t="inlineStr">
        <is>
          <t>PO-128-04092011784310728</t>
        </is>
      </c>
      <c r="C1176" s="16" t="inlineStr">
        <is>
          <t>Shipped</t>
        </is>
      </c>
      <c r="D1176" s="16" t="inlineStr">
        <is>
          <t>128-04091996055670728</t>
        </is>
      </c>
      <c r="E1176" s="16" t="inlineStr">
        <is>
          <t>Shipped</t>
        </is>
      </c>
      <c r="F1176" s="16" t="inlineStr">
        <is>
          <t>S09W18IB</t>
        </is>
      </c>
      <c r="G117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176" s="16" t="inlineStr">
        <is>
          <t>1 pieza</t>
        </is>
      </c>
      <c r="I1176" s="16" t="n">
        <v>1</v>
      </c>
      <c r="J1176" s="17" t="n">
        <v>26</v>
      </c>
      <c r="K1176" s="17" t="n">
        <v>31.7</v>
      </c>
      <c r="L1176" s="17" t="n">
        <v>25.86</v>
      </c>
      <c r="M1176" s="17" t="n">
        <v>0</v>
      </c>
      <c r="N1176" s="17">
        <f>K1176*0.08+L1176*0.08</f>
        <v/>
      </c>
      <c r="O1176" s="17">
        <f>-(K1176*0.025+L1176*0.025)</f>
        <v/>
      </c>
      <c r="P1176" s="17">
        <f>32</f>
        <v/>
      </c>
      <c r="Q1176" s="17">
        <f>J1176+L1176+N1176+O1176-P1176-M1176</f>
        <v/>
      </c>
    </row>
    <row r="1177">
      <c r="A1177" s="16" t="inlineStr">
        <is>
          <t>5.15-5.21</t>
        </is>
      </c>
      <c r="B1177" s="16" t="inlineStr">
        <is>
          <t>PO-128-03926706199671778</t>
        </is>
      </c>
      <c r="C1177" s="16" t="inlineStr">
        <is>
          <t>Shipped</t>
        </is>
      </c>
      <c r="D1177" s="16" t="inlineStr">
        <is>
          <t>128-03926685228151778</t>
        </is>
      </c>
      <c r="E1177" s="16" t="inlineStr">
        <is>
          <t>Shipped</t>
        </is>
      </c>
      <c r="F1177" s="16" t="inlineStr">
        <is>
          <t>SA8056T</t>
        </is>
      </c>
      <c r="G117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177" s="16" t="inlineStr">
        <is>
          <t>SA8056T</t>
        </is>
      </c>
      <c r="I1177" s="16" t="n">
        <v>1</v>
      </c>
      <c r="J1177" s="17" t="n">
        <v>141</v>
      </c>
      <c r="K1177" s="17" t="n">
        <v>161.38</v>
      </c>
      <c r="L1177" s="17" t="n">
        <v>25.86</v>
      </c>
      <c r="M1177" s="17" t="n">
        <v>0</v>
      </c>
      <c r="N1177" s="17">
        <f>K1177*0.08+L1177*0.08</f>
        <v/>
      </c>
      <c r="O1177" s="17">
        <f>-(K1177*0.025+L1177*0.025)</f>
        <v/>
      </c>
      <c r="P1177" s="17">
        <f>32</f>
        <v/>
      </c>
      <c r="Q1177" s="17">
        <f>J1177+L1177+N1177+O1177-P1177-M1177</f>
        <v/>
      </c>
    </row>
    <row r="1178">
      <c r="A1178" s="16" t="inlineStr">
        <is>
          <t>5.15-5.21</t>
        </is>
      </c>
      <c r="B1178" s="16" t="inlineStr">
        <is>
          <t>PO-128-03704563011193038</t>
        </is>
      </c>
      <c r="C1178" s="16" t="inlineStr">
        <is>
          <t>Shipped</t>
        </is>
      </c>
      <c r="D1178" s="16" t="inlineStr">
        <is>
          <t>128-03704521068153038</t>
        </is>
      </c>
      <c r="E1178" s="16" t="inlineStr">
        <is>
          <t>Shipped</t>
        </is>
      </c>
      <c r="F1178" s="16" t="inlineStr">
        <is>
          <t>LB02235-negro</t>
        </is>
      </c>
      <c r="G1178" s="16" t="inlineStr">
        <is>
          <t>Audífonos Inalámbricos para la Cabeza, Recargables y Multifuncionales - Conectan a Varios Dispositivos, soportan Radio FM, Tarjeta TF y AUX - 4 Horas de Reproducción Musical - Ideal para Trabajo Cotidiano, Juegos y Estudio</t>
        </is>
      </c>
      <c r="H1178" s="16" t="inlineStr">
        <is>
          <t>NEGRO</t>
        </is>
      </c>
      <c r="I1178" s="16" t="n">
        <v>1</v>
      </c>
      <c r="J1178" s="17" t="n">
        <v>36.8</v>
      </c>
      <c r="K1178" s="17" t="n">
        <v>49.91</v>
      </c>
      <c r="L1178" s="17" t="n">
        <v>25.86</v>
      </c>
      <c r="M1178" s="17" t="n">
        <v>0</v>
      </c>
      <c r="N1178" s="17">
        <f>K1178*0.08+L1178*0.08</f>
        <v/>
      </c>
      <c r="O1178" s="17">
        <f>-(K1178*0.025+L1178*0.025)</f>
        <v/>
      </c>
      <c r="P1178" s="17">
        <f>32</f>
        <v/>
      </c>
      <c r="Q1178" s="17">
        <f>J1178+L1178+N1178+O1178-P1178-M1178</f>
        <v/>
      </c>
    </row>
    <row r="1179">
      <c r="A1179" s="16" t="inlineStr">
        <is>
          <t>5.15-5.21</t>
        </is>
      </c>
      <c r="B1179" s="16" t="inlineStr">
        <is>
          <t>PO-128-03486096991353252</t>
        </is>
      </c>
      <c r="C1179" s="16" t="inlineStr">
        <is>
          <t>Shipped</t>
        </is>
      </c>
      <c r="D1179" s="16" t="inlineStr">
        <is>
          <t>128-03486055048313252</t>
        </is>
      </c>
      <c r="E1179" s="16" t="inlineStr">
        <is>
          <t>Shipped</t>
        </is>
      </c>
      <c r="F1179" s="16" t="inlineStr">
        <is>
          <t>LB02235-blanco</t>
        </is>
      </c>
      <c r="G1179" s="16" t="inlineStr">
        <is>
          <t>Audífonos Inalámbricos para la Cabeza, Recargables y Multifuncionales - Conectan a Varios Dispositivos, soportan Radio FM, Tarjeta TF y AUX - 4 Horas de Reproducción Musical - Ideal para Trabajo Cotidiano, Juegos y Estudio</t>
        </is>
      </c>
      <c r="H1179" s="16" t="inlineStr">
        <is>
          <t>BLANCO</t>
        </is>
      </c>
      <c r="I1179" s="16" t="n">
        <v>1</v>
      </c>
      <c r="J1179" s="17" t="n">
        <v>36.8</v>
      </c>
      <c r="K1179" s="17" t="n">
        <v>39.94</v>
      </c>
      <c r="L1179" s="17" t="n">
        <v>25.86</v>
      </c>
      <c r="M1179" s="17" t="n">
        <v>0</v>
      </c>
      <c r="N1179" s="17">
        <f>K1179*0.08+L1179*0.08</f>
        <v/>
      </c>
      <c r="O1179" s="17">
        <f>-(K1179*0.025+L1179*0.025)</f>
        <v/>
      </c>
      <c r="P1179" s="17">
        <f>32</f>
        <v/>
      </c>
      <c r="Q1179" s="17">
        <f>J1179+L1179+N1179+O1179-P1179-M1179</f>
        <v/>
      </c>
    </row>
    <row r="1180">
      <c r="A1180" s="16" t="inlineStr">
        <is>
          <t>5.15-5.21</t>
        </is>
      </c>
      <c r="B1180" s="16" t="inlineStr">
        <is>
          <t>PO-128-04020456021110005</t>
        </is>
      </c>
      <c r="C1180" s="16" t="inlineStr">
        <is>
          <t>Shipped</t>
        </is>
      </c>
      <c r="D1180" s="16" t="inlineStr">
        <is>
          <t>128-04020482235510005</t>
        </is>
      </c>
      <c r="E1180" s="16" t="inlineStr">
        <is>
          <t>Shipped</t>
        </is>
      </c>
      <c r="F1180" s="16" t="inlineStr">
        <is>
          <t>LB02235-negro</t>
        </is>
      </c>
      <c r="G1180" s="16" t="inlineStr">
        <is>
          <t>Audífonos Inalámbricos para la Cabeza, Recargables y Multifuncionales - Conectan a Varios Dispositivos, soportan Radio FM, Tarjeta TF y AUX - 4 Horas de Reproducción Musical - Ideal para Trabajo Cotidiano, Juegos y Estudio</t>
        </is>
      </c>
      <c r="H1180" s="16" t="inlineStr">
        <is>
          <t>NEGRO</t>
        </is>
      </c>
      <c r="I1180" s="16" t="n">
        <v>1</v>
      </c>
      <c r="J1180" s="17" t="n">
        <v>36.8</v>
      </c>
      <c r="K1180" s="17" t="n">
        <v>49.91</v>
      </c>
      <c r="L1180" s="17" t="n">
        <v>25.86</v>
      </c>
      <c r="M1180" s="17" t="n">
        <v>0</v>
      </c>
      <c r="N1180" s="17">
        <f>K1180*0.08+L1180*0.08</f>
        <v/>
      </c>
      <c r="O1180" s="17">
        <f>-(K1180*0.025+L1180*0.025)</f>
        <v/>
      </c>
      <c r="P1180" s="17">
        <f>32</f>
        <v/>
      </c>
      <c r="Q1180" s="17">
        <f>J1180+L1180+N1180+O1180-P1180-M1180</f>
        <v/>
      </c>
    </row>
    <row r="1181">
      <c r="A1181" s="16" t="inlineStr">
        <is>
          <t>5.15-5.21</t>
        </is>
      </c>
      <c r="B1181" s="16" t="inlineStr">
        <is>
          <t>PO-128-03859449703031090</t>
        </is>
      </c>
      <c r="C1181" s="16" t="inlineStr">
        <is>
          <t>Shipped</t>
        </is>
      </c>
      <c r="D1181" s="16" t="inlineStr">
        <is>
          <t>128-03859586017911090</t>
        </is>
      </c>
      <c r="E1181" s="16" t="inlineStr">
        <is>
          <t>Shipped</t>
        </is>
      </c>
      <c r="F1181" s="16" t="inlineStr">
        <is>
          <t>SA323T</t>
        </is>
      </c>
      <c r="G1181" s="16" t="inlineStr">
        <is>
          <t>Linkbits Bocina Portátil Parlantes BT Portátiles con Iluminación de Ambiente | 1 Hora de Duración, FM, TWS, TF/Micro SD | Ideal para Hogar, Fiestas y Viajes</t>
        </is>
      </c>
      <c r="H1181" s="16" t="inlineStr">
        <is>
          <t>SA323T</t>
        </is>
      </c>
      <c r="I1181" s="16" t="n">
        <v>1</v>
      </c>
      <c r="J1181" s="17" t="n">
        <v>46</v>
      </c>
      <c r="K1181" s="17" t="n">
        <v>55.06</v>
      </c>
      <c r="L1181" s="17" t="n">
        <v>25.86</v>
      </c>
      <c r="M1181" s="17" t="n">
        <v>0</v>
      </c>
      <c r="N1181" s="17">
        <f>K1181*0.08+L1181*0.08</f>
        <v/>
      </c>
      <c r="O1181" s="17">
        <f>-(K1181*0.025+L1181*0.025)</f>
        <v/>
      </c>
      <c r="P1181" s="17">
        <f>32</f>
        <v/>
      </c>
      <c r="Q1181" s="17">
        <f>J1181+L1181+N1181+O1181-P1181-M1181</f>
        <v/>
      </c>
    </row>
    <row r="1182">
      <c r="A1182" s="16" t="inlineStr">
        <is>
          <t>5.15-5.21</t>
        </is>
      </c>
      <c r="B1182" s="16" t="inlineStr">
        <is>
          <t>PO-128-03795705764471534</t>
        </is>
      </c>
      <c r="C1182" s="16" t="inlineStr">
        <is>
          <t>Shipped</t>
        </is>
      </c>
      <c r="D1182" s="16" t="inlineStr">
        <is>
          <t>128-03795810622071534</t>
        </is>
      </c>
      <c r="E1182" s="16" t="inlineStr">
        <is>
          <t>Shipped</t>
        </is>
      </c>
      <c r="F1182" s="16" t="inlineStr">
        <is>
          <t>LB02235-negro</t>
        </is>
      </c>
      <c r="G1182" s="16" t="inlineStr">
        <is>
          <t>Audífonos Inalámbricos para la Cabeza, Recargables y Multifuncionales - Conectan a Varios Dispositivos, soportan Radio FM, Tarjeta TF y AUX - 4 Horas de Reproducción Musical - Ideal para Trabajo Cotidiano, Juegos y Estudio</t>
        </is>
      </c>
      <c r="H1182" s="16" t="inlineStr">
        <is>
          <t>NEGRO</t>
        </is>
      </c>
      <c r="I1182" s="16" t="n">
        <v>1</v>
      </c>
      <c r="J1182" s="17" t="n">
        <v>36.8</v>
      </c>
      <c r="K1182" s="17" t="n">
        <v>6.81</v>
      </c>
      <c r="L1182" s="17" t="n">
        <v>25.86</v>
      </c>
      <c r="M1182" s="17" t="n">
        <v>0</v>
      </c>
      <c r="N1182" s="17">
        <f>K1182*0.08+L1182*0.08</f>
        <v/>
      </c>
      <c r="O1182" s="17">
        <f>-(K1182*0.025+L1182*0.025)</f>
        <v/>
      </c>
      <c r="P1182" s="17">
        <f>32</f>
        <v/>
      </c>
      <c r="Q1182" s="17">
        <f>J1182+L1182+N1182+O1182-P1182-M1182</f>
        <v/>
      </c>
    </row>
    <row r="1183">
      <c r="A1183" s="16" t="inlineStr">
        <is>
          <t>5.15-5.21</t>
        </is>
      </c>
      <c r="B1183" s="16" t="inlineStr">
        <is>
          <t>PO-128-03982414679670295</t>
        </is>
      </c>
      <c r="C1183" s="16" t="inlineStr">
        <is>
          <t>Shipped</t>
        </is>
      </c>
      <c r="D1183" s="16" t="inlineStr">
        <is>
          <t>128-03982566723190295</t>
        </is>
      </c>
      <c r="E1183" s="16" t="inlineStr">
        <is>
          <t>Shipped</t>
        </is>
      </c>
      <c r="F1183" s="16" t="inlineStr">
        <is>
          <t>SA325T</t>
        </is>
      </c>
      <c r="G1183" s="16" t="inlineStr">
        <is>
          <t>Subwoofer Portátil Inalámbrico con Luces RGB, Sonido de Alta Potencia y Batería Duradera, TWS TF USB, Perfecto para Campamento Fiestas y Entretenimiento en Casa</t>
        </is>
      </c>
      <c r="H1183" s="16" t="inlineStr">
        <is>
          <t>NEGRO</t>
        </is>
      </c>
      <c r="I1183" s="16" t="n">
        <v>1</v>
      </c>
      <c r="J1183" s="17" t="n">
        <v>38</v>
      </c>
      <c r="K1183" s="17" t="n">
        <v>3.94</v>
      </c>
      <c r="L1183" s="17" t="n">
        <v>25.86</v>
      </c>
      <c r="M1183" s="17" t="n">
        <v>0</v>
      </c>
      <c r="N1183" s="17">
        <f>K1183*0.08+L1183*0.08</f>
        <v/>
      </c>
      <c r="O1183" s="17">
        <f>-(K1183*0.025+L1183*0.025)</f>
        <v/>
      </c>
      <c r="P1183" s="17">
        <f>32</f>
        <v/>
      </c>
      <c r="Q1183" s="17">
        <f>J1183+L1183+N1183+O1183-P1183-M1183</f>
        <v/>
      </c>
    </row>
    <row r="1184">
      <c r="A1184" s="16" t="inlineStr">
        <is>
          <t>5.15-5.21</t>
        </is>
      </c>
      <c r="B1184" s="16" t="inlineStr">
        <is>
          <t>PO-128-03607741153913681</t>
        </is>
      </c>
      <c r="C1184" s="16" t="inlineStr">
        <is>
          <t>Shipped</t>
        </is>
      </c>
      <c r="D1184" s="16" t="inlineStr">
        <is>
          <t>128-03607699210873681</t>
        </is>
      </c>
      <c r="E1184" s="16" t="inlineStr">
        <is>
          <t>Shipped</t>
        </is>
      </c>
      <c r="F1184" s="16" t="inlineStr">
        <is>
          <t>SA323T</t>
        </is>
      </c>
      <c r="G1184" s="16" t="inlineStr">
        <is>
          <t>Linkbits Bocina Portátil Parlantes BT Portátiles con Iluminación de Ambiente | 1 Hora de Duración, FM, TWS, TF/Micro SD | Ideal para Hogar, Fiestas y Viajes</t>
        </is>
      </c>
      <c r="H1184" s="16" t="inlineStr">
        <is>
          <t>SA323T</t>
        </is>
      </c>
      <c r="I1184" s="16" t="n">
        <v>1</v>
      </c>
      <c r="J1184" s="17" t="n">
        <v>46</v>
      </c>
      <c r="K1184" s="17" t="n">
        <v>3.34</v>
      </c>
      <c r="L1184" s="17" t="n">
        <v>25.86</v>
      </c>
      <c r="M1184" s="17" t="n">
        <v>0</v>
      </c>
      <c r="N1184" s="17">
        <f>K1184*0.08+L1184*0.08</f>
        <v/>
      </c>
      <c r="O1184" s="17">
        <f>-(K1184*0.025+L1184*0.025)</f>
        <v/>
      </c>
      <c r="P1184" s="17">
        <f>32</f>
        <v/>
      </c>
      <c r="Q1184" s="17">
        <f>J1184+L1184+N1184+O1184-P1184-M1184</f>
        <v/>
      </c>
    </row>
    <row r="1185">
      <c r="A1185" s="16" t="inlineStr">
        <is>
          <t>5.15-5.21</t>
        </is>
      </c>
      <c r="B1185" s="16" t="inlineStr">
        <is>
          <t>PO-128-03833320510071246</t>
        </is>
      </c>
      <c r="C1185" s="16" t="inlineStr">
        <is>
          <t>Shipped</t>
        </is>
      </c>
      <c r="D1185" s="16" t="inlineStr">
        <is>
          <t>128-03833362453111246</t>
        </is>
      </c>
      <c r="E1185" s="16" t="inlineStr">
        <is>
          <t>Shipped</t>
        </is>
      </c>
      <c r="F1185" s="16" t="inlineStr">
        <is>
          <t>MB-185N</t>
        </is>
      </c>
      <c r="G1185" s="16" t="inlineStr">
        <is>
          <t>Bocina Radio FM/Reproductor, Compatible con Tarjeta TF, USB, Bluetooth, Aplicable para celular, computadora, Ipad y consola.</t>
        </is>
      </c>
      <c r="H1185" s="16" t="inlineStr">
        <is>
          <t>NEGRO/MB-185</t>
        </is>
      </c>
      <c r="I1185" s="16" t="n">
        <v>1</v>
      </c>
      <c r="J1185" s="17" t="n">
        <v>75.5</v>
      </c>
      <c r="K1185" s="17" t="n">
        <v>88.44</v>
      </c>
      <c r="L1185" s="17" t="n">
        <v>25.86</v>
      </c>
      <c r="M1185" s="17" t="n">
        <v>0</v>
      </c>
      <c r="N1185" s="17">
        <f>K1185*0.08+L1185*0.08</f>
        <v/>
      </c>
      <c r="O1185" s="17">
        <f>-(K1185*0.025+L1185*0.025)</f>
        <v/>
      </c>
      <c r="P1185" s="17">
        <f>32</f>
        <v/>
      </c>
      <c r="Q1185" s="17">
        <f>J1185+L1185+N1185+O1185-P1185-M1185</f>
        <v/>
      </c>
    </row>
    <row r="1186">
      <c r="A1186" s="16" t="inlineStr">
        <is>
          <t>5.15-5.21</t>
        </is>
      </c>
      <c r="B1186" s="16" t="inlineStr">
        <is>
          <t>PO-128-03852500204151068</t>
        </is>
      </c>
      <c r="C1186" s="16" t="inlineStr">
        <is>
          <t>Shipped</t>
        </is>
      </c>
      <c r="D1186" s="16" t="inlineStr">
        <is>
          <t>128-03852525435511068</t>
        </is>
      </c>
      <c r="E1186" s="16" t="inlineStr">
        <is>
          <t>Shipped</t>
        </is>
      </c>
      <c r="F1186" s="16" t="inlineStr">
        <is>
          <t>VA384T-A</t>
        </is>
      </c>
      <c r="G1186" s="16" t="inlineStr">
        <is>
          <t>Bocina Portátil Bluetooth de 3 Pulgadas con Radio FM, USB TF TWS, Sonido Estéreo 5W, Bocina Recargable para Hogar Exterior Viaje Fiesta Camping</t>
        </is>
      </c>
      <c r="H1186" s="16" t="inlineStr">
        <is>
          <t>AZUL</t>
        </is>
      </c>
      <c r="I1186" s="16" t="n">
        <v>1</v>
      </c>
      <c r="J1186" s="17" t="n">
        <v>47.99</v>
      </c>
      <c r="K1186" s="17" t="n">
        <v>58.7</v>
      </c>
      <c r="L1186" s="17" t="n">
        <v>14.36</v>
      </c>
      <c r="M1186" s="17" t="n">
        <v>0</v>
      </c>
      <c r="N1186" s="17">
        <f>K1186*0.08+L1186*0.08</f>
        <v/>
      </c>
      <c r="O1186" s="17">
        <f>-(K1186*0.025+L1186*0.025)</f>
        <v/>
      </c>
      <c r="P1186" s="17">
        <f>32</f>
        <v/>
      </c>
      <c r="Q1186" s="17">
        <f>J1186+L1186+N1186+O1186-P1186-M1186</f>
        <v/>
      </c>
    </row>
    <row r="1187">
      <c r="A1187" s="16" t="inlineStr">
        <is>
          <t>5.15-5.21</t>
        </is>
      </c>
      <c r="B1187" s="16" t="inlineStr">
        <is>
          <t>PO-128-03852500204151068</t>
        </is>
      </c>
      <c r="C1187" s="16" t="inlineStr">
        <is>
          <t>Shipped</t>
        </is>
      </c>
      <c r="D1187" s="16" t="inlineStr">
        <is>
          <t>128-03852528056951068</t>
        </is>
      </c>
      <c r="E1187" s="16" t="inlineStr">
        <is>
          <t>Shipped</t>
        </is>
      </c>
      <c r="F1187" s="16" t="inlineStr">
        <is>
          <t>SA325T</t>
        </is>
      </c>
      <c r="G1187" s="16" t="inlineStr">
        <is>
          <t>Subwoofer Portátil Inalámbrico con Luces RGB, Sonido de Alta Potencia y Batería Duradera, TWS TF USB, Perfecto para Campamento Fiestas y Entretenimiento en Casa</t>
        </is>
      </c>
      <c r="H1187" s="16" t="inlineStr">
        <is>
          <t>NEGRO</t>
        </is>
      </c>
      <c r="I1187" s="16" t="n">
        <v>1</v>
      </c>
      <c r="J1187" s="17" t="n">
        <v>38</v>
      </c>
      <c r="K1187" s="17" t="n">
        <v>47.04</v>
      </c>
      <c r="L1187" s="17" t="n">
        <v>11.5</v>
      </c>
      <c r="M1187" s="17" t="n">
        <v>0</v>
      </c>
      <c r="N1187" s="17">
        <f>K1187*0.08+L1187*0.08</f>
        <v/>
      </c>
      <c r="O1187" s="17">
        <f>-(K1187*0.025+L1187*0.025)</f>
        <v/>
      </c>
      <c r="P1187" s="17">
        <f>32</f>
        <v/>
      </c>
      <c r="Q1187" s="17">
        <f>J1187+L1187+N1187+O1187-P1187-M1187</f>
        <v/>
      </c>
    </row>
    <row r="1188">
      <c r="A1188" s="16" t="inlineStr">
        <is>
          <t>5.15-5.21</t>
        </is>
      </c>
      <c r="B1188" s="16" t="inlineStr">
        <is>
          <t>PO-128-03683141289592143</t>
        </is>
      </c>
      <c r="C1188" s="16" t="inlineStr">
        <is>
          <t>Shipped</t>
        </is>
      </c>
      <c r="D1188" s="16" t="inlineStr">
        <is>
          <t>128-03683246147192143</t>
        </is>
      </c>
      <c r="E1188" s="16" t="inlineStr">
        <is>
          <t>Shipped</t>
        </is>
      </c>
      <c r="F1188" s="16" t="inlineStr">
        <is>
          <t>LV25W22</t>
        </is>
      </c>
      <c r="G11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188" s="16" t="inlineStr">
        <is>
          <t>LV25W32</t>
        </is>
      </c>
      <c r="I1188" s="16" t="n">
        <v>1</v>
      </c>
      <c r="J1188" s="17" t="n">
        <v>90.43000000000001</v>
      </c>
      <c r="K1188" s="17" t="n">
        <v>100.84</v>
      </c>
      <c r="L1188" s="17" t="n">
        <v>25.86</v>
      </c>
      <c r="M1188" s="17" t="n">
        <v>0</v>
      </c>
      <c r="N1188" s="17">
        <f>K1188*0.08+L1188*0.08</f>
        <v/>
      </c>
      <c r="O1188" s="17">
        <f>-(K1188*0.025+L1188*0.025)</f>
        <v/>
      </c>
      <c r="P1188" s="17">
        <f>32</f>
        <v/>
      </c>
      <c r="Q1188" s="17">
        <f>J1188+L1188+N1188+O1188-P1188-M1188</f>
        <v/>
      </c>
    </row>
    <row r="1189">
      <c r="A1189" s="16" t="inlineStr">
        <is>
          <t>5.15-5.21</t>
        </is>
      </c>
      <c r="B1189" s="16" t="inlineStr">
        <is>
          <t>PO-128-03988595610230323</t>
        </is>
      </c>
      <c r="C1189" s="16" t="inlineStr">
        <is>
          <t>Shipped</t>
        </is>
      </c>
      <c r="D1189" s="16" t="inlineStr">
        <is>
          <t>128-03988553667190323</t>
        </is>
      </c>
      <c r="E1189" s="16" t="inlineStr">
        <is>
          <t>Shipped</t>
        </is>
      </c>
      <c r="F1189" s="16" t="inlineStr">
        <is>
          <t>LV25W22</t>
        </is>
      </c>
      <c r="G11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189" s="16" t="inlineStr">
        <is>
          <t>LV25W32</t>
        </is>
      </c>
      <c r="I1189" s="16" t="n">
        <v>1</v>
      </c>
      <c r="J1189" s="17" t="n">
        <v>90.43000000000001</v>
      </c>
      <c r="K1189" s="17" t="n">
        <v>100.84</v>
      </c>
      <c r="L1189" s="17" t="n">
        <v>25.86</v>
      </c>
      <c r="M1189" s="17" t="n">
        <v>0</v>
      </c>
      <c r="N1189" s="17">
        <f>K1189*0.08+L1189*0.08</f>
        <v/>
      </c>
      <c r="O1189" s="17">
        <f>-(K1189*0.025+L1189*0.025)</f>
        <v/>
      </c>
      <c r="P1189" s="17">
        <f>32</f>
        <v/>
      </c>
      <c r="Q1189" s="17">
        <f>J1189+L1189+N1189+O1189-P1189-M1189</f>
        <v/>
      </c>
    </row>
    <row r="1190">
      <c r="A1190" s="16" t="inlineStr">
        <is>
          <t>5.15-5.21</t>
        </is>
      </c>
      <c r="B1190" s="16" t="inlineStr">
        <is>
          <t>PO-128-03508662375033119</t>
        </is>
      </c>
      <c r="C1190" s="16" t="inlineStr">
        <is>
          <t>Shipped</t>
        </is>
      </c>
      <c r="D1190" s="16" t="inlineStr">
        <is>
          <t>128-03508704318073119</t>
        </is>
      </c>
      <c r="E1190" s="16" t="inlineStr">
        <is>
          <t>Shipped</t>
        </is>
      </c>
      <c r="F1190" s="16" t="inlineStr">
        <is>
          <t>MB-185N</t>
        </is>
      </c>
      <c r="G1190" s="16" t="inlineStr">
        <is>
          <t>Bocina Radio FM/Reproductor, Compatible con Tarjeta TF, USB, Bluetooth, Aplicable para celular, computadora, Ipad y consola.</t>
        </is>
      </c>
      <c r="H1190" s="16" t="inlineStr">
        <is>
          <t>NEGRO/MB-185</t>
        </is>
      </c>
      <c r="I1190" s="16" t="n">
        <v>1</v>
      </c>
      <c r="J1190" s="17" t="n">
        <v>75.5</v>
      </c>
      <c r="K1190" s="17" t="n">
        <v>19.47</v>
      </c>
      <c r="L1190" s="17" t="n">
        <v>25.86</v>
      </c>
      <c r="M1190" s="17" t="n">
        <v>0</v>
      </c>
      <c r="N1190" s="17">
        <f>K1190*0.08+L1190*0.08</f>
        <v/>
      </c>
      <c r="O1190" s="17">
        <f>-(K1190*0.025+L1190*0.025)</f>
        <v/>
      </c>
      <c r="P1190" s="17">
        <f>32</f>
        <v/>
      </c>
      <c r="Q1190" s="17">
        <f>J1190+L1190+N1190+O1190-P1190-M1190</f>
        <v/>
      </c>
    </row>
    <row r="1191">
      <c r="A1191" s="16" t="inlineStr">
        <is>
          <t>5.15-5.21</t>
        </is>
      </c>
      <c r="B1191" s="16" t="inlineStr">
        <is>
          <t>PO-128-03863677732471131</t>
        </is>
      </c>
      <c r="C1191" s="16" t="inlineStr">
        <is>
          <t>Shipped</t>
        </is>
      </c>
      <c r="D1191" s="16" t="inlineStr">
        <is>
          <t>128-03863635789431131</t>
        </is>
      </c>
      <c r="E1191" s="16" t="inlineStr">
        <is>
          <t>Shipped</t>
        </is>
      </c>
      <c r="F1191" s="16" t="inlineStr">
        <is>
          <t>MCM-001A</t>
        </is>
      </c>
      <c r="G1191" s="16" t="inlineStr">
        <is>
          <t>Musicord Altavoz Inalámbrico BT Portátil: ¡Sonido impactante, luces LED multicolores y 4 horas de autonomía! Compatible con TWS, FM, TF y USB – Imprescindible para fiestas y viajes</t>
        </is>
      </c>
      <c r="H1191" s="16" t="inlineStr">
        <is>
          <t>AZUL</t>
        </is>
      </c>
      <c r="I1191" s="16" t="n">
        <v>2</v>
      </c>
      <c r="J1191" s="17" t="n">
        <v>102.14</v>
      </c>
      <c r="K1191" s="17" t="n">
        <v>89.22</v>
      </c>
      <c r="L1191" s="17" t="n">
        <v>25.86</v>
      </c>
      <c r="M1191" s="17" t="n">
        <v>0</v>
      </c>
      <c r="N1191" s="17">
        <f>K1191*0.08+L1191*0.08</f>
        <v/>
      </c>
      <c r="O1191" s="17">
        <f>-(K1191*0.025+L1191*0.025)</f>
        <v/>
      </c>
      <c r="P1191" s="17">
        <f>32</f>
        <v/>
      </c>
      <c r="Q1191" s="17">
        <f>J1191+L1191+N1191+O1191-P1191-M1191</f>
        <v/>
      </c>
    </row>
    <row r="1192">
      <c r="A1192" s="16" t="inlineStr">
        <is>
          <t>5.15-5.21</t>
        </is>
      </c>
      <c r="B1192" s="16" t="inlineStr">
        <is>
          <t>PO-128-04041755710070900</t>
        </is>
      </c>
      <c r="C1192" s="16" t="inlineStr">
        <is>
          <t>Shipped</t>
        </is>
      </c>
      <c r="D1192" s="16" t="inlineStr">
        <is>
          <t>128-04041776681590900</t>
        </is>
      </c>
      <c r="E1192" s="16" t="inlineStr">
        <is>
          <t>Shipped</t>
        </is>
      </c>
      <c r="F1192" s="16" t="inlineStr">
        <is>
          <t>LV25W22</t>
        </is>
      </c>
      <c r="G11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192" s="16" t="inlineStr">
        <is>
          <t>LV25W32</t>
        </is>
      </c>
      <c r="I1192" s="16" t="n">
        <v>1</v>
      </c>
      <c r="J1192" s="17" t="n">
        <v>90.43000000000001</v>
      </c>
      <c r="K1192" s="17" t="n">
        <v>100.84</v>
      </c>
      <c r="L1192" s="17" t="n">
        <v>25.86</v>
      </c>
      <c r="M1192" s="17" t="n">
        <v>0</v>
      </c>
      <c r="N1192" s="17">
        <f>K1192*0.08+L1192*0.08</f>
        <v/>
      </c>
      <c r="O1192" s="17">
        <f>-(K1192*0.025+L1192*0.025)</f>
        <v/>
      </c>
      <c r="P1192" s="17">
        <f>32</f>
        <v/>
      </c>
      <c r="Q1192" s="17">
        <f>J1192+L1192+N1192+O1192-P1192-M1192</f>
        <v/>
      </c>
    </row>
    <row r="1193">
      <c r="A1193" s="16" t="inlineStr">
        <is>
          <t>5.15-5.21</t>
        </is>
      </c>
      <c r="B1193" s="16" t="inlineStr">
        <is>
          <t>PO-128-03925770097271785</t>
        </is>
      </c>
      <c r="C1193" s="16" t="inlineStr">
        <is>
          <t>Shipped</t>
        </is>
      </c>
      <c r="D1193" s="16" t="inlineStr">
        <is>
          <t>128-03925775340151785</t>
        </is>
      </c>
      <c r="E1193" s="16" t="inlineStr">
        <is>
          <t>Shipped</t>
        </is>
      </c>
      <c r="F1193" s="16" t="inlineStr">
        <is>
          <t>SA325T</t>
        </is>
      </c>
      <c r="G1193" s="16" t="inlineStr">
        <is>
          <t>Subwoofer Portátil Inalámbrico con Luces RGB, Sonido de Alta Potencia y Batería Duradera, TWS TF USB, Perfecto para Campamento Fiestas y Entretenimiento en Casa</t>
        </is>
      </c>
      <c r="H1193" s="16" t="inlineStr">
        <is>
          <t>NEGRO</t>
        </is>
      </c>
      <c r="I1193" s="16" t="n">
        <v>1</v>
      </c>
      <c r="J1193" s="17" t="n">
        <v>38</v>
      </c>
      <c r="K1193" s="17" t="n">
        <v>47.04</v>
      </c>
      <c r="L1193" s="17" t="n">
        <v>25.86</v>
      </c>
      <c r="M1193" s="17" t="n">
        <v>0</v>
      </c>
      <c r="N1193" s="17">
        <f>K1193*0.08+L1193*0.08</f>
        <v/>
      </c>
      <c r="O1193" s="17">
        <f>-(K1193*0.025+L1193*0.025)</f>
        <v/>
      </c>
      <c r="P1193" s="17">
        <f>32</f>
        <v/>
      </c>
      <c r="Q1193" s="17">
        <f>J1193+L1193+N1193+O1193-P1193-M1193</f>
        <v/>
      </c>
    </row>
    <row r="1194">
      <c r="A1194" s="16" t="inlineStr">
        <is>
          <t>5.15-5.21</t>
        </is>
      </c>
      <c r="B1194" s="16" t="inlineStr">
        <is>
          <t>PO-128-03876562878072012</t>
        </is>
      </c>
      <c r="C1194" s="16" t="inlineStr">
        <is>
          <t>Shipped</t>
        </is>
      </c>
      <c r="D1194" s="16" t="inlineStr">
        <is>
          <t>128-03876594335352012</t>
        </is>
      </c>
      <c r="E1194" s="16" t="inlineStr">
        <is>
          <t>Shipped</t>
        </is>
      </c>
      <c r="F1194" s="16" t="inlineStr">
        <is>
          <t>MB-185N</t>
        </is>
      </c>
      <c r="G1194" s="16" t="inlineStr">
        <is>
          <t>Bocina Radio FM/Reproductor, Compatible con Tarjeta TF, USB, Bluetooth, Aplicable para celular, computadora, Ipad y consola.</t>
        </is>
      </c>
      <c r="H1194" s="16" t="inlineStr">
        <is>
          <t>NEGRO/MB-185</t>
        </is>
      </c>
      <c r="I1194" s="16" t="n">
        <v>1</v>
      </c>
      <c r="J1194" s="17" t="n">
        <v>75.5</v>
      </c>
      <c r="K1194" s="17" t="n">
        <v>88.44</v>
      </c>
      <c r="L1194" s="17" t="n">
        <v>25.86</v>
      </c>
      <c r="M1194" s="17" t="n">
        <v>0</v>
      </c>
      <c r="N1194" s="17">
        <f>K1194*0.08+L1194*0.08</f>
        <v/>
      </c>
      <c r="O1194" s="17">
        <f>-(K1194*0.025+L1194*0.025)</f>
        <v/>
      </c>
      <c r="P1194" s="17">
        <f>32</f>
        <v/>
      </c>
      <c r="Q1194" s="17">
        <f>J1194+L1194+N1194+O1194-P1194-M1194</f>
        <v/>
      </c>
    </row>
    <row r="1195">
      <c r="A1195" s="16" t="inlineStr">
        <is>
          <t>5.15-5.21</t>
        </is>
      </c>
      <c r="B1195" s="16" t="inlineStr">
        <is>
          <t>PO-128-03605957038713691</t>
        </is>
      </c>
      <c r="C1195" s="16" t="inlineStr">
        <is>
          <t>Shipped</t>
        </is>
      </c>
      <c r="D1195" s="16" t="inlineStr">
        <is>
          <t>128-03605941310073691</t>
        </is>
      </c>
      <c r="E1195" s="16" t="inlineStr">
        <is>
          <t>Shipped</t>
        </is>
      </c>
      <c r="F1195" s="16" t="inlineStr">
        <is>
          <t>KTS-1678V</t>
        </is>
      </c>
      <c r="G1195" s="16" t="inlineStr">
        <is>
          <t>Bocina portátil Inalámbrico, de 3 pulgadas, tamaño de bolsillo, 170 g, con asa, compatible con TF, USB y Micro SD, con radio FM y función TWS (True Wireless Stereo), adecuada para relajarse en casa o viajar al aire libre.</t>
        </is>
      </c>
      <c r="H1195" s="16" t="inlineStr">
        <is>
          <t>KTS-1678V</t>
        </is>
      </c>
      <c r="I1195" s="16" t="n">
        <v>1</v>
      </c>
      <c r="J1195" s="17" t="n">
        <v>42.5</v>
      </c>
      <c r="K1195" s="17" t="n">
        <v>50.78</v>
      </c>
      <c r="L1195" s="17" t="n">
        <v>25.86</v>
      </c>
      <c r="M1195" s="17" t="n">
        <v>0</v>
      </c>
      <c r="N1195" s="17">
        <f>K1195*0.08+L1195*0.08</f>
        <v/>
      </c>
      <c r="O1195" s="17">
        <f>-(K1195*0.025+L1195*0.025)</f>
        <v/>
      </c>
      <c r="P1195" s="17">
        <f>32</f>
        <v/>
      </c>
      <c r="Q1195" s="17">
        <f>J1195+L1195+N1195+O1195-P1195-M1195</f>
        <v/>
      </c>
    </row>
    <row r="1196">
      <c r="A1196" s="16" t="inlineStr">
        <is>
          <t>5.15-5.21</t>
        </is>
      </c>
      <c r="B1196" s="16" t="inlineStr">
        <is>
          <t>PO-128-03887971866231816</t>
        </is>
      </c>
      <c r="C1196" s="16" t="inlineStr">
        <is>
          <t>Shipped</t>
        </is>
      </c>
      <c r="D1196" s="16" t="inlineStr">
        <is>
          <t>128-03888108181111816</t>
        </is>
      </c>
      <c r="E1196" s="16" t="inlineStr">
        <is>
          <t>Shipped</t>
        </is>
      </c>
      <c r="F1196" s="16" t="inlineStr">
        <is>
          <t>LV25W22</t>
        </is>
      </c>
      <c r="G11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196" s="16" t="inlineStr">
        <is>
          <t>LV25W32</t>
        </is>
      </c>
      <c r="I1196" s="16" t="n">
        <v>1</v>
      </c>
      <c r="J1196" s="17" t="n">
        <v>90.43000000000001</v>
      </c>
      <c r="K1196" s="17" t="n">
        <v>100.84</v>
      </c>
      <c r="L1196" s="17" t="n">
        <v>25.86</v>
      </c>
      <c r="M1196" s="17" t="n">
        <v>0</v>
      </c>
      <c r="N1196" s="17">
        <f>K1196*0.08+L1196*0.08</f>
        <v/>
      </c>
      <c r="O1196" s="17">
        <f>-(K1196*0.025+L1196*0.025)</f>
        <v/>
      </c>
      <c r="P1196" s="17">
        <f>32</f>
        <v/>
      </c>
      <c r="Q1196" s="17">
        <f>J1196+L1196+N1196+O1196-P1196-M1196</f>
        <v/>
      </c>
    </row>
    <row r="1197">
      <c r="A1197" s="16" t="inlineStr">
        <is>
          <t>5.15-5.21</t>
        </is>
      </c>
      <c r="B1197" s="16" t="inlineStr">
        <is>
          <t>PO-128-03679345623672100</t>
        </is>
      </c>
      <c r="C1197" s="16" t="inlineStr">
        <is>
          <t>Shipped</t>
        </is>
      </c>
      <c r="D1197" s="16" t="inlineStr">
        <is>
          <t>128-03679398052472100</t>
        </is>
      </c>
      <c r="E1197" s="16" t="inlineStr">
        <is>
          <t>Shipped</t>
        </is>
      </c>
      <c r="F1197" s="16" t="inlineStr">
        <is>
          <t>LB02235-negro</t>
        </is>
      </c>
      <c r="G1197" s="16" t="inlineStr">
        <is>
          <t>Audífonos Inalámbricos para la Cabeza, Recargables y Multifuncionales - Conectan a Varios Dispositivos, soportan Radio FM, Tarjeta TF y AUX - 4 Horas de Reproducción Musical - Ideal para Trabajo Cotidiano, Juegos y Estudio</t>
        </is>
      </c>
      <c r="H1197" s="16" t="inlineStr">
        <is>
          <t>NEGRO</t>
        </is>
      </c>
      <c r="I1197" s="16" t="n">
        <v>1</v>
      </c>
      <c r="J1197" s="17" t="n">
        <v>36.8</v>
      </c>
      <c r="K1197" s="17" t="n">
        <v>49.91</v>
      </c>
      <c r="L1197" s="17" t="n">
        <v>25.86</v>
      </c>
      <c r="M1197" s="17" t="n">
        <v>0</v>
      </c>
      <c r="N1197" s="17">
        <f>K1197*0.08+L1197*0.08</f>
        <v/>
      </c>
      <c r="O1197" s="17">
        <f>-(K1197*0.025+L1197*0.025)</f>
        <v/>
      </c>
      <c r="P1197" s="17">
        <f>32</f>
        <v/>
      </c>
      <c r="Q1197" s="17">
        <f>J1197+L1197+N1197+O1197-P1197-M1197</f>
        <v/>
      </c>
    </row>
    <row r="1198">
      <c r="A1198" s="16" t="inlineStr">
        <is>
          <t>5.15-5.21</t>
        </is>
      </c>
      <c r="B1198" s="16" t="inlineStr">
        <is>
          <t>PO-128-03749456159352770</t>
        </is>
      </c>
      <c r="C1198" s="16" t="inlineStr">
        <is>
          <t>Shipped</t>
        </is>
      </c>
      <c r="D1198" s="16" t="inlineStr">
        <is>
          <t>128-03749539922552770</t>
        </is>
      </c>
      <c r="E1198" s="16" t="inlineStr">
        <is>
          <t>Shipped</t>
        </is>
      </c>
      <c r="F1198" s="16" t="inlineStr">
        <is>
          <t>MCM-001A</t>
        </is>
      </c>
      <c r="G1198" s="16" t="inlineStr">
        <is>
          <t>Musicord Altavoz Inalámbrico BT Portátil: ¡Sonido impactante, luces LED multicolores y 4 horas de autonomía! Compatible con TWS, FM, TF y USB – Imprescindible para fiestas y viajes</t>
        </is>
      </c>
      <c r="H1198" s="16" t="inlineStr">
        <is>
          <t>AZUL</t>
        </is>
      </c>
      <c r="I1198" s="16" t="n">
        <v>1</v>
      </c>
      <c r="J1198" s="17" t="n">
        <v>51.07</v>
      </c>
      <c r="K1198" s="17" t="n">
        <v>13.4</v>
      </c>
      <c r="L1198" s="17" t="n">
        <v>25.86</v>
      </c>
      <c r="M1198" s="17" t="n">
        <v>0</v>
      </c>
      <c r="N1198" s="17">
        <f>K1198*0.08+L1198*0.08</f>
        <v/>
      </c>
      <c r="O1198" s="17">
        <f>-(K1198*0.025+L1198*0.025)</f>
        <v/>
      </c>
      <c r="P1198" s="17">
        <f>32</f>
        <v/>
      </c>
      <c r="Q1198" s="17">
        <f>J1198+L1198+N1198+O1198-P1198-M1198</f>
        <v/>
      </c>
    </row>
    <row r="1199">
      <c r="A1199" s="16" t="inlineStr">
        <is>
          <t>5.15-5.21</t>
        </is>
      </c>
      <c r="B1199" s="16" t="inlineStr">
        <is>
          <t>PO-128-04063354148470773</t>
        </is>
      </c>
      <c r="C1199" s="16" t="inlineStr">
        <is>
          <t>Shipped</t>
        </is>
      </c>
      <c r="D1199" s="16" t="inlineStr">
        <is>
          <t>128-04063333176950773</t>
        </is>
      </c>
      <c r="E1199" s="16" t="inlineStr">
        <is>
          <t>Shipped</t>
        </is>
      </c>
      <c r="F1199" s="16" t="inlineStr">
        <is>
          <t>MB-185N</t>
        </is>
      </c>
      <c r="G1199" s="16" t="inlineStr">
        <is>
          <t>Bocina Radio FM/Reproductor, Compatible con Tarjeta TF, USB, Bluetooth, Aplicable para celular, computadora, Ipad y consola.</t>
        </is>
      </c>
      <c r="H1199" s="16" t="inlineStr">
        <is>
          <t>NEGRO/MB-185</t>
        </is>
      </c>
      <c r="I1199" s="16" t="n">
        <v>1</v>
      </c>
      <c r="J1199" s="17" t="n">
        <v>75.5</v>
      </c>
      <c r="K1199" s="17" t="n">
        <v>88.44</v>
      </c>
      <c r="L1199" s="17" t="n">
        <v>25.86</v>
      </c>
      <c r="M1199" s="17" t="n">
        <v>0</v>
      </c>
      <c r="N1199" s="17">
        <f>K1199*0.08+L1199*0.08</f>
        <v/>
      </c>
      <c r="O1199" s="17">
        <f>-(K1199*0.025+L1199*0.025)</f>
        <v/>
      </c>
      <c r="P1199" s="17">
        <f>32</f>
        <v/>
      </c>
      <c r="Q1199" s="17">
        <f>J1199+L1199+N1199+O1199-P1199-M1199</f>
        <v/>
      </c>
    </row>
    <row r="1200">
      <c r="A1200" s="16" t="inlineStr">
        <is>
          <t>5.15-5.21</t>
        </is>
      </c>
      <c r="B1200" s="16" t="inlineStr">
        <is>
          <t>PO-128-03913419203191667</t>
        </is>
      </c>
      <c r="C1200" s="16" t="inlineStr">
        <is>
          <t>Shipped</t>
        </is>
      </c>
      <c r="D1200" s="16" t="inlineStr">
        <is>
          <t>128-03913424446071667</t>
        </is>
      </c>
      <c r="E1200" s="16" t="inlineStr">
        <is>
          <t>Shipped</t>
        </is>
      </c>
      <c r="F1200" s="16" t="inlineStr">
        <is>
          <t>FA028</t>
        </is>
      </c>
      <c r="G1200" s="16" t="inlineStr">
        <is>
          <t>Extractor de agua para garrafas de agua, compatible con carga USB, extractor de agua automático, práctico, con dos modos de toma de agua: manual y programado, ideal para dormitorios, salones, oficinas, uso al aire libre y otros escenarios.</t>
        </is>
      </c>
      <c r="H1200" s="16" t="inlineStr">
        <is>
          <t>FA028</t>
        </is>
      </c>
      <c r="I1200" s="16" t="n">
        <v>1</v>
      </c>
      <c r="J1200" s="17" t="n">
        <v>33</v>
      </c>
      <c r="K1200" s="17" t="n">
        <v>42.58</v>
      </c>
      <c r="L1200" s="17" t="n">
        <v>25.86</v>
      </c>
      <c r="M1200" s="17" t="n">
        <v>0</v>
      </c>
      <c r="N1200" s="17">
        <f>K1200*0.08+L1200*0.08</f>
        <v/>
      </c>
      <c r="O1200" s="17">
        <f>-(K1200*0.025+L1200*0.025)</f>
        <v/>
      </c>
      <c r="P1200" s="17">
        <f>32</f>
        <v/>
      </c>
      <c r="Q1200" s="17">
        <f>J1200+L1200+N1200+O1200-P1200-M1200</f>
        <v/>
      </c>
    </row>
    <row r="1201">
      <c r="A1201" s="16" t="inlineStr">
        <is>
          <t>5.15-5.21</t>
        </is>
      </c>
      <c r="B1201" s="16" t="inlineStr">
        <is>
          <t>PO-128-03988666660470320</t>
        </is>
      </c>
      <c r="C1201" s="16" t="inlineStr">
        <is>
          <t>Shipped</t>
        </is>
      </c>
      <c r="D1201" s="16" t="inlineStr">
        <is>
          <t>128-03988640446070320</t>
        </is>
      </c>
      <c r="E1201" s="16" t="inlineStr">
        <is>
          <t>Shipped</t>
        </is>
      </c>
      <c r="F1201" s="16" t="inlineStr">
        <is>
          <t>LB02235-negro</t>
        </is>
      </c>
      <c r="G1201" s="16" t="inlineStr">
        <is>
          <t>Audífonos Inalámbricos para la Cabeza, Recargables y Multifuncionales - Conectan a Varios Dispositivos, soportan Radio FM, Tarjeta TF y AUX - 4 Horas de Reproducción Musical - Ideal para Trabajo Cotidiano, Juegos y Estudio</t>
        </is>
      </c>
      <c r="H1201" s="16" t="inlineStr">
        <is>
          <t>NEGRO</t>
        </is>
      </c>
      <c r="I1201" s="16" t="n">
        <v>1</v>
      </c>
      <c r="J1201" s="17" t="n">
        <v>36.8</v>
      </c>
      <c r="K1201" s="17" t="n">
        <v>36.85</v>
      </c>
      <c r="L1201" s="17" t="n">
        <v>25.86</v>
      </c>
      <c r="M1201" s="17" t="n">
        <v>0</v>
      </c>
      <c r="N1201" s="17">
        <f>K1201*0.08+L1201*0.08</f>
        <v/>
      </c>
      <c r="O1201" s="17">
        <f>-(K1201*0.025+L1201*0.025)</f>
        <v/>
      </c>
      <c r="P1201" s="17">
        <f>32</f>
        <v/>
      </c>
      <c r="Q1201" s="17">
        <f>J1201+L1201+N1201+O1201-P1201-M1201</f>
        <v/>
      </c>
    </row>
    <row r="1202">
      <c r="A1202" s="16" t="inlineStr">
        <is>
          <t>5.15-5.21</t>
        </is>
      </c>
      <c r="B1202" s="16" t="inlineStr">
        <is>
          <t>PO-128-03502311998073093</t>
        </is>
      </c>
      <c r="C1202" s="16" t="inlineStr">
        <is>
          <t>Shipped</t>
        </is>
      </c>
      <c r="D1202" s="16" t="inlineStr">
        <is>
          <t>128-03502353941113093</t>
        </is>
      </c>
      <c r="E1202" s="16" t="inlineStr">
        <is>
          <t>Shipped</t>
        </is>
      </c>
      <c r="F1202" s="16" t="inlineStr">
        <is>
          <t>S39W48</t>
        </is>
      </c>
      <c r="G120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202" s="16" t="inlineStr">
        <is>
          <t>1 pieza</t>
        </is>
      </c>
      <c r="I1202" s="16" t="n">
        <v>2</v>
      </c>
      <c r="J1202" s="17" t="n">
        <v>60</v>
      </c>
      <c r="K1202" s="17" t="n">
        <v>85.16</v>
      </c>
      <c r="L1202" s="17" t="n">
        <v>25.86</v>
      </c>
      <c r="M1202" s="17" t="n">
        <v>0</v>
      </c>
      <c r="N1202" s="17">
        <f>K1202*0.08+L1202*0.08</f>
        <v/>
      </c>
      <c r="O1202" s="17">
        <f>-(K1202*0.025+L1202*0.025)</f>
        <v/>
      </c>
      <c r="P1202" s="17">
        <f>32</f>
        <v/>
      </c>
      <c r="Q1202" s="17">
        <f>J1202+L1202+N1202+O1202-P1202-M1202</f>
        <v/>
      </c>
    </row>
    <row r="1203">
      <c r="A1203" s="16" t="inlineStr">
        <is>
          <t>5.15-5.21</t>
        </is>
      </c>
      <c r="B1203" s="16" t="inlineStr">
        <is>
          <t>PO-128-03465070367353379</t>
        </is>
      </c>
      <c r="C1203" s="16" t="inlineStr">
        <is>
          <t>Shipped</t>
        </is>
      </c>
      <c r="D1203" s="16" t="inlineStr">
        <is>
          <t>128-03465049395833379</t>
        </is>
      </c>
      <c r="E1203" s="16" t="inlineStr">
        <is>
          <t>Shipped</t>
        </is>
      </c>
      <c r="F1203" s="16" t="inlineStr">
        <is>
          <t>LB02235-negro</t>
        </is>
      </c>
      <c r="G1203" s="16" t="inlineStr">
        <is>
          <t>Audífonos Inalámbricos para la Cabeza, Recargables y Multifuncionales - Conectan a Varios Dispositivos, soportan Radio FM, Tarjeta TF y AUX - 4 Horas de Reproducción Musical - Ideal para Trabajo Cotidiano, Juegos y Estudio</t>
        </is>
      </c>
      <c r="H1203" s="16" t="inlineStr">
        <is>
          <t>NEGRO</t>
        </is>
      </c>
      <c r="I1203" s="16" t="n">
        <v>1</v>
      </c>
      <c r="J1203" s="17" t="n">
        <v>36.8</v>
      </c>
      <c r="K1203" s="17" t="n">
        <v>39.93</v>
      </c>
      <c r="L1203" s="17" t="n">
        <v>25.86</v>
      </c>
      <c r="M1203" s="17" t="n">
        <v>0</v>
      </c>
      <c r="N1203" s="17">
        <f>K1203*0.08+L1203*0.08</f>
        <v/>
      </c>
      <c r="O1203" s="17">
        <f>-(K1203*0.025+L1203*0.025)</f>
        <v/>
      </c>
      <c r="P1203" s="17">
        <f>32</f>
        <v/>
      </c>
      <c r="Q1203" s="17">
        <f>J1203+L1203+N1203+O1203-P1203-M1203</f>
        <v/>
      </c>
    </row>
    <row r="1204">
      <c r="A1204" s="16" t="inlineStr">
        <is>
          <t>5.15-5.21</t>
        </is>
      </c>
      <c r="B1204" s="16" t="inlineStr">
        <is>
          <t>PO-128-04044693054070946</t>
        </is>
      </c>
      <c r="C1204" s="16" t="inlineStr">
        <is>
          <t>Shipped</t>
        </is>
      </c>
      <c r="D1204" s="16" t="inlineStr">
        <is>
          <t>128-04044664218230946</t>
        </is>
      </c>
      <c r="E1204" s="16" t="inlineStr">
        <is>
          <t>Shipped</t>
        </is>
      </c>
      <c r="F1204" s="16" t="inlineStr">
        <is>
          <t>SA325T</t>
        </is>
      </c>
      <c r="G1204" s="16" t="inlineStr">
        <is>
          <t>Subwoofer Portátil Inalámbrico con Luces RGB, Sonido de Alta Potencia y Batería Duradera, TWS TF USB, Perfecto para Campamento Fiestas y Entretenimiento en Casa</t>
        </is>
      </c>
      <c r="H1204" s="16" t="inlineStr">
        <is>
          <t>NEGRO</t>
        </is>
      </c>
      <c r="I1204" s="16" t="n">
        <v>1</v>
      </c>
      <c r="J1204" s="17" t="n">
        <v>38</v>
      </c>
      <c r="K1204" s="17" t="n">
        <v>45.42</v>
      </c>
      <c r="L1204" s="17" t="n">
        <v>25.86</v>
      </c>
      <c r="M1204" s="17" t="n">
        <v>0</v>
      </c>
      <c r="N1204" s="17">
        <f>K1204*0.08+L1204*0.08</f>
        <v/>
      </c>
      <c r="O1204" s="17">
        <f>-(K1204*0.025+L1204*0.025)</f>
        <v/>
      </c>
      <c r="P1204" s="17">
        <f>32</f>
        <v/>
      </c>
      <c r="Q1204" s="17">
        <f>J1204+L1204+N1204+O1204-P1204-M1204</f>
        <v/>
      </c>
    </row>
    <row r="1205">
      <c r="A1205" s="16" t="inlineStr">
        <is>
          <t>5.15-5.21</t>
        </is>
      </c>
      <c r="B1205" s="16" t="inlineStr">
        <is>
          <t>PO-128-03777522335352669</t>
        </is>
      </c>
      <c r="C1205" s="16" t="inlineStr">
        <is>
          <t>Shipped</t>
        </is>
      </c>
      <c r="D1205" s="16" t="inlineStr">
        <is>
          <t>128-03777480392312669</t>
        </is>
      </c>
      <c r="E1205" s="16" t="inlineStr">
        <is>
          <t>Shipped</t>
        </is>
      </c>
      <c r="F1205" s="16" t="inlineStr">
        <is>
          <t>KTS-1678V</t>
        </is>
      </c>
      <c r="G1205" s="16" t="inlineStr">
        <is>
          <t>Bocina portátil Inalámbrico, de 3 pulgadas, tamaño de bolsillo, 170 g, con asa, compatible con TF, USB y Micro SD, con radio FM y función TWS (True Wireless Stereo), adecuada para relajarse en casa o viajar al aire libre.</t>
        </is>
      </c>
      <c r="H1205" s="16" t="inlineStr">
        <is>
          <t>KTS-1678V</t>
        </is>
      </c>
      <c r="I1205" s="16" t="n">
        <v>1</v>
      </c>
      <c r="J1205" s="17" t="n">
        <v>42.5</v>
      </c>
      <c r="K1205" s="17" t="n">
        <v>7.68</v>
      </c>
      <c r="L1205" s="17" t="n">
        <v>25.86</v>
      </c>
      <c r="M1205" s="17" t="n">
        <v>0</v>
      </c>
      <c r="N1205" s="17">
        <f>K1205*0.08+L1205*0.08</f>
        <v/>
      </c>
      <c r="O1205" s="17">
        <f>-(K1205*0.025+L1205*0.025)</f>
        <v/>
      </c>
      <c r="P1205" s="17">
        <f>32</f>
        <v/>
      </c>
      <c r="Q1205" s="17">
        <f>J1205+L1205+N1205+O1205-P1205-M1205</f>
        <v/>
      </c>
    </row>
    <row r="1206">
      <c r="A1206" s="16" t="inlineStr">
        <is>
          <t>5.15-5.21</t>
        </is>
      </c>
      <c r="B1206" s="16" t="inlineStr">
        <is>
          <t>PO-128-03556593976953920</t>
        </is>
      </c>
      <c r="C1206" s="16" t="inlineStr">
        <is>
          <t>Shipped</t>
        </is>
      </c>
      <c r="D1206" s="16" t="inlineStr">
        <is>
          <t>128-03556573005433920</t>
        </is>
      </c>
      <c r="E1206" s="16" t="inlineStr">
        <is>
          <t>Shipped</t>
        </is>
      </c>
      <c r="F1206" s="16" t="inlineStr">
        <is>
          <t>MCM-001A</t>
        </is>
      </c>
      <c r="G1206" s="16" t="inlineStr">
        <is>
          <t>Musicord Altavoz Inalámbrico BT Portátil: ¡Sonido impactante, luces LED multicolores y 4 horas de autonomía! Compatible con TWS, FM, TF y USB – Imprescindible para fiestas y viajes</t>
        </is>
      </c>
      <c r="H1206" s="16" t="inlineStr">
        <is>
          <t>AZUL</t>
        </is>
      </c>
      <c r="I1206" s="16" t="n">
        <v>1</v>
      </c>
      <c r="J1206" s="17" t="n">
        <v>51.07</v>
      </c>
      <c r="K1206" s="17" t="n">
        <v>59.47</v>
      </c>
      <c r="L1206" s="17" t="n">
        <v>25.86</v>
      </c>
      <c r="M1206" s="17" t="n">
        <v>0</v>
      </c>
      <c r="N1206" s="17">
        <f>K1206*0.08+L1206*0.08</f>
        <v/>
      </c>
      <c r="O1206" s="17">
        <f>-(K1206*0.025+L1206*0.025)</f>
        <v/>
      </c>
      <c r="P1206" s="17">
        <f>32</f>
        <v/>
      </c>
      <c r="Q1206" s="17">
        <f>J1206+L1206+N1206+O1206-P1206-M1206</f>
        <v/>
      </c>
    </row>
    <row r="1207">
      <c r="A1207" s="16" t="inlineStr">
        <is>
          <t>5.15-5.21</t>
        </is>
      </c>
      <c r="B1207" s="16" t="inlineStr">
        <is>
          <t>PO-128-03787643633271454</t>
        </is>
      </c>
      <c r="C1207" s="16" t="inlineStr">
        <is>
          <t>Shipped</t>
        </is>
      </c>
      <c r="D1207" s="16" t="inlineStr">
        <is>
          <t>128-03787779948151454</t>
        </is>
      </c>
      <c r="E1207" s="16" t="inlineStr">
        <is>
          <t>Shipped</t>
        </is>
      </c>
      <c r="F1207" s="16" t="inlineStr">
        <is>
          <t>LV34W04</t>
        </is>
      </c>
      <c r="G120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207" s="16" t="inlineStr">
        <is>
          <t>LV34W04</t>
        </is>
      </c>
      <c r="I1207" s="16" t="n">
        <v>1</v>
      </c>
      <c r="J1207" s="17" t="n">
        <v>279</v>
      </c>
      <c r="K1207" s="17" t="n">
        <v>337.82</v>
      </c>
      <c r="L1207" s="17" t="n">
        <v>0</v>
      </c>
      <c r="M1207" s="17" t="n">
        <v>0</v>
      </c>
      <c r="N1207" s="17">
        <f>K1207*0.08+L1207*0.08</f>
        <v/>
      </c>
      <c r="O1207" s="17">
        <f>-(K1207*0.025+L1207*0.025)</f>
        <v/>
      </c>
      <c r="P1207" s="17">
        <f>32</f>
        <v/>
      </c>
      <c r="Q1207" s="17">
        <f>J1207+L1207+N1207+O1207-P1207-M1207</f>
        <v/>
      </c>
    </row>
    <row r="1208">
      <c r="A1208" s="16" t="inlineStr">
        <is>
          <t>5.15-5.21</t>
        </is>
      </c>
      <c r="B1208" s="16" t="inlineStr">
        <is>
          <t>PO-128-03664946325112250</t>
        </is>
      </c>
      <c r="C1208" s="16" t="inlineStr">
        <is>
          <t>Shipped</t>
        </is>
      </c>
      <c r="D1208" s="16" t="inlineStr">
        <is>
          <t>128-03664904382072250</t>
        </is>
      </c>
      <c r="E1208" s="16" t="inlineStr">
        <is>
          <t>Shipped</t>
        </is>
      </c>
      <c r="F1208" s="16" t="inlineStr">
        <is>
          <t>SA325T</t>
        </is>
      </c>
      <c r="G1208" s="16" t="inlineStr">
        <is>
          <t>Subwoofer Portátil Inalámbrico con Luces RGB, Sonido de Alta Potencia y Batería Duradera, TWS TF USB, Perfecto para Campamento Fiestas y Entretenimiento en Casa</t>
        </is>
      </c>
      <c r="H1208" s="16" t="inlineStr">
        <is>
          <t>NEGRO</t>
        </is>
      </c>
      <c r="I1208" s="16" t="n">
        <v>1</v>
      </c>
      <c r="J1208" s="17" t="n">
        <v>38</v>
      </c>
      <c r="K1208" s="17" t="n">
        <v>47.04</v>
      </c>
      <c r="L1208" s="17" t="n">
        <v>25.86</v>
      </c>
      <c r="M1208" s="17" t="n">
        <v>0</v>
      </c>
      <c r="N1208" s="17">
        <f>K1208*0.08+L1208*0.08</f>
        <v/>
      </c>
      <c r="O1208" s="17">
        <f>-(K1208*0.025+L1208*0.025)</f>
        <v/>
      </c>
      <c r="P1208" s="17">
        <f>32</f>
        <v/>
      </c>
      <c r="Q1208" s="17">
        <f>J1208+L1208+N1208+O1208-P1208-M1208</f>
        <v/>
      </c>
    </row>
    <row r="1209">
      <c r="A1209" s="16" t="inlineStr">
        <is>
          <t>5.15-5.21</t>
        </is>
      </c>
      <c r="B1209" s="16" t="inlineStr">
        <is>
          <t>PO-128-03542531943034069</t>
        </is>
      </c>
      <c r="C1209" s="16" t="inlineStr">
        <is>
          <t>Shipped</t>
        </is>
      </c>
      <c r="D1209" s="16" t="inlineStr">
        <is>
          <t>128-03542528010874069</t>
        </is>
      </c>
      <c r="E1209" s="16" t="inlineStr">
        <is>
          <t>Shipped</t>
        </is>
      </c>
      <c r="F1209" s="16" t="inlineStr">
        <is>
          <t>LB02235-blanco</t>
        </is>
      </c>
      <c r="G1209" s="16" t="inlineStr">
        <is>
          <t>Audífonos Inalámbricos para la Cabeza, Recargables y Multifuncionales - Conectan a Varios Dispositivos, soportan Radio FM, Tarjeta TF y AUX - 4 Horas de Reproducción Musical - Ideal para Trabajo Cotidiano, Juegos y Estudio</t>
        </is>
      </c>
      <c r="H1209" s="16" t="inlineStr">
        <is>
          <t>BLANCO</t>
        </is>
      </c>
      <c r="I1209" s="16" t="n">
        <v>1</v>
      </c>
      <c r="J1209" s="17" t="n">
        <v>36.8</v>
      </c>
      <c r="K1209" s="17" t="n">
        <v>39.93</v>
      </c>
      <c r="L1209" s="17" t="n">
        <v>25.86</v>
      </c>
      <c r="M1209" s="17" t="n">
        <v>0</v>
      </c>
      <c r="N1209" s="17">
        <f>K1209*0.08+L1209*0.08</f>
        <v/>
      </c>
      <c r="O1209" s="17">
        <f>-(K1209*0.025+L1209*0.025)</f>
        <v/>
      </c>
      <c r="P1209" s="17">
        <f>32</f>
        <v/>
      </c>
      <c r="Q1209" s="17">
        <f>J1209+L1209+N1209+O1209-P1209-M1209</f>
        <v/>
      </c>
    </row>
    <row r="1210">
      <c r="A1210" s="16" t="inlineStr">
        <is>
          <t>5.15-5.21</t>
        </is>
      </c>
      <c r="B1210" s="16" t="inlineStr">
        <is>
          <t>PO-128-03754574689912805</t>
        </is>
      </c>
      <c r="C1210" s="16" t="inlineStr">
        <is>
          <t>Shipped</t>
        </is>
      </c>
      <c r="D1210" s="16" t="inlineStr">
        <is>
          <t>128-03754738529912805</t>
        </is>
      </c>
      <c r="E1210" s="16" t="inlineStr">
        <is>
          <t>Shipped</t>
        </is>
      </c>
      <c r="F1210" s="16" t="inlineStr">
        <is>
          <t>MCM-001R</t>
        </is>
      </c>
      <c r="G1210" s="16" t="inlineStr">
        <is>
          <t>Musicord Altavoz Inalámbrico BT Portátil: ¡Sonido impactante, luces LED multicolores y 4 horas de autonomía! Compatible con TWS, FM, TF y USB – Imprescindible para fiestas y viajes</t>
        </is>
      </c>
      <c r="H1210" s="16" t="inlineStr">
        <is>
          <t>ROJO</t>
        </is>
      </c>
      <c r="I1210" s="16" t="n">
        <v>1</v>
      </c>
      <c r="J1210" s="17" t="n">
        <v>66.5</v>
      </c>
      <c r="K1210" s="17" t="n">
        <v>52.26</v>
      </c>
      <c r="L1210" s="17" t="n">
        <v>25.86</v>
      </c>
      <c r="M1210" s="17" t="n">
        <v>0</v>
      </c>
      <c r="N1210" s="17">
        <f>K1210*0.08+L1210*0.08</f>
        <v/>
      </c>
      <c r="O1210" s="17">
        <f>-(K1210*0.025+L1210*0.025)</f>
        <v/>
      </c>
      <c r="P1210" s="17">
        <f>32</f>
        <v/>
      </c>
      <c r="Q1210" s="17">
        <f>J1210+L1210+N1210+O1210-P1210-M1210</f>
        <v/>
      </c>
    </row>
    <row r="1211">
      <c r="A1211" s="16" t="inlineStr">
        <is>
          <t>5.15-5.21</t>
        </is>
      </c>
      <c r="B1211" s="16" t="inlineStr">
        <is>
          <t>PO-128-03822407496311377</t>
        </is>
      </c>
      <c r="C1211" s="16" t="inlineStr">
        <is>
          <t>Shipped</t>
        </is>
      </c>
      <c r="D1211" s="16" t="inlineStr">
        <is>
          <t>128-03822449439351377</t>
        </is>
      </c>
      <c r="E1211" s="16" t="inlineStr">
        <is>
          <t>Shipped</t>
        </is>
      </c>
      <c r="F1211" s="16" t="inlineStr">
        <is>
          <t>LB02235-negro</t>
        </is>
      </c>
      <c r="G1211" s="16" t="inlineStr">
        <is>
          <t>Audífonos Inalámbricos para la Cabeza, Recargables y Multifuncionales - Conectan a Varios Dispositivos, soportan Radio FM, Tarjeta TF y AUX - 4 Horas de Reproducción Musical - Ideal para Trabajo Cotidiano, Juegos y Estudio</t>
        </is>
      </c>
      <c r="H1211" s="16" t="inlineStr">
        <is>
          <t>NEGRO</t>
        </is>
      </c>
      <c r="I1211" s="16" t="n">
        <v>1</v>
      </c>
      <c r="J1211" s="17" t="n">
        <v>36.8</v>
      </c>
      <c r="K1211" s="17" t="n">
        <v>49.91</v>
      </c>
      <c r="L1211" s="17" t="n">
        <v>25.86</v>
      </c>
      <c r="M1211" s="17" t="n">
        <v>0</v>
      </c>
      <c r="N1211" s="17">
        <f>K1211*0.08+L1211*0.08</f>
        <v/>
      </c>
      <c r="O1211" s="17">
        <f>-(K1211*0.025+L1211*0.025)</f>
        <v/>
      </c>
      <c r="P1211" s="17">
        <f>32</f>
        <v/>
      </c>
      <c r="Q1211" s="17">
        <f>J1211+L1211+N1211+O1211-P1211-M1211</f>
        <v/>
      </c>
    </row>
    <row r="1212">
      <c r="A1212" s="16" t="inlineStr">
        <is>
          <t>5.15-5.21</t>
        </is>
      </c>
      <c r="B1212" s="16" t="inlineStr">
        <is>
          <t>PO-128-03546507853433852</t>
        </is>
      </c>
      <c r="C1212" s="16" t="inlineStr">
        <is>
          <t>Shipped</t>
        </is>
      </c>
      <c r="D1212" s="16" t="inlineStr">
        <is>
          <t>128-03546465910393852</t>
        </is>
      </c>
      <c r="E1212" s="16" t="inlineStr">
        <is>
          <t>Shipped</t>
        </is>
      </c>
      <c r="F1212" s="16" t="inlineStr">
        <is>
          <t>SA325T</t>
        </is>
      </c>
      <c r="G1212" s="16" t="inlineStr">
        <is>
          <t>Subwoofer Portátil Inalámbrico con Luces RGB, Sonido de Alta Potencia y Batería Duradera, TWS TF USB, Perfecto para Campamento Fiestas y Entretenimiento en Casa</t>
        </is>
      </c>
      <c r="H1212" s="16" t="inlineStr">
        <is>
          <t>NEGRO</t>
        </is>
      </c>
      <c r="I1212" s="16" t="n">
        <v>1</v>
      </c>
      <c r="J1212" s="17" t="n">
        <v>38</v>
      </c>
      <c r="K1212" s="17" t="n">
        <v>47.04</v>
      </c>
      <c r="L1212" s="17" t="n">
        <v>25.86</v>
      </c>
      <c r="M1212" s="17" t="n">
        <v>0</v>
      </c>
      <c r="N1212" s="17">
        <f>K1212*0.08+L1212*0.08</f>
        <v/>
      </c>
      <c r="O1212" s="17">
        <f>-(K1212*0.025+L1212*0.025)</f>
        <v/>
      </c>
      <c r="P1212" s="17">
        <f>32</f>
        <v/>
      </c>
      <c r="Q1212" s="17">
        <f>J1212+L1212+N1212+O1212-P1212-M1212</f>
        <v/>
      </c>
    </row>
    <row r="1213">
      <c r="A1213" s="16" t="inlineStr">
        <is>
          <t>5.15-5.21</t>
        </is>
      </c>
      <c r="B1213" s="16" t="inlineStr">
        <is>
          <t>PO-128-03785237320311471</t>
        </is>
      </c>
      <c r="C1213" s="16" t="inlineStr">
        <is>
          <t>Shipped</t>
        </is>
      </c>
      <c r="D1213" s="16" t="inlineStr">
        <is>
          <t>128-03785271399031471</t>
        </is>
      </c>
      <c r="E1213" s="16" t="inlineStr">
        <is>
          <t>Shipped</t>
        </is>
      </c>
      <c r="F1213" s="16" t="inlineStr">
        <is>
          <t>LB02235-rojo</t>
        </is>
      </c>
      <c r="G1213" s="16" t="inlineStr">
        <is>
          <t>Audífonos Inalámbricos para la Cabeza, Recargables y Multifuncionales - Conectan a Varios Dispositivos, soportan Radio FM, Tarjeta TF y AUX - 4 Horas de Reproducción Musical - Ideal para Trabajo Cotidiano, Juegos y Estudio</t>
        </is>
      </c>
      <c r="H1213" s="16" t="inlineStr">
        <is>
          <t>ROJO</t>
        </is>
      </c>
      <c r="I1213" s="16" t="n">
        <v>1</v>
      </c>
      <c r="J1213" s="17" t="n">
        <v>36.8</v>
      </c>
      <c r="K1213" s="17" t="n">
        <v>49.91</v>
      </c>
      <c r="L1213" s="17" t="n">
        <v>25.86</v>
      </c>
      <c r="M1213" s="17" t="n">
        <v>0</v>
      </c>
      <c r="N1213" s="17">
        <f>K1213*0.08+L1213*0.08</f>
        <v/>
      </c>
      <c r="O1213" s="17">
        <f>-(K1213*0.025+L1213*0.025)</f>
        <v/>
      </c>
      <c r="P1213" s="17">
        <f>32</f>
        <v/>
      </c>
      <c r="Q1213" s="17">
        <f>J1213+L1213+N1213+O1213-P1213-M1213</f>
        <v/>
      </c>
    </row>
    <row r="1214">
      <c r="A1214" s="16" t="inlineStr">
        <is>
          <t>5.15-5.21</t>
        </is>
      </c>
      <c r="B1214" s="16" t="inlineStr">
        <is>
          <t>PO-128-03630103035512331</t>
        </is>
      </c>
      <c r="C1214" s="16" t="inlineStr">
        <is>
          <t>Shipped</t>
        </is>
      </c>
      <c r="D1214" s="16" t="inlineStr">
        <is>
          <t>128-03630155464312331</t>
        </is>
      </c>
      <c r="E1214" s="16" t="inlineStr">
        <is>
          <t>Shipped</t>
        </is>
      </c>
      <c r="F1214" s="16" t="inlineStr">
        <is>
          <t>LB02235-blanco</t>
        </is>
      </c>
      <c r="G1214" s="16" t="inlineStr">
        <is>
          <t>Audífonos Inalámbricos para la Cabeza, Recargables y Multifuncionales - Conectan a Varios Dispositivos, soportan Radio FM, Tarjeta TF y AUX - 4 Horas de Reproducción Musical - Ideal para Trabajo Cotidiano, Juegos y Estudio</t>
        </is>
      </c>
      <c r="H1214" s="16" t="inlineStr">
        <is>
          <t>BLANCO</t>
        </is>
      </c>
      <c r="I1214" s="16" t="n">
        <v>1</v>
      </c>
      <c r="J1214" s="17" t="n">
        <v>36.8</v>
      </c>
      <c r="K1214" s="17" t="n">
        <v>49.91</v>
      </c>
      <c r="L1214" s="17" t="n">
        <v>25.86</v>
      </c>
      <c r="M1214" s="17" t="n">
        <v>0</v>
      </c>
      <c r="N1214" s="17">
        <f>K1214*0.08+L1214*0.08</f>
        <v/>
      </c>
      <c r="O1214" s="17">
        <f>-(K1214*0.025+L1214*0.025)</f>
        <v/>
      </c>
      <c r="P1214" s="17">
        <f>32</f>
        <v/>
      </c>
      <c r="Q1214" s="17">
        <f>J1214+L1214+N1214+O1214-P1214-M1214</f>
        <v/>
      </c>
    </row>
    <row r="1215">
      <c r="A1215" s="16" t="inlineStr">
        <is>
          <t>5.15-5.21</t>
        </is>
      </c>
      <c r="B1215" s="16" t="inlineStr">
        <is>
          <t>PO-128-04107618058870573</t>
        </is>
      </c>
      <c r="C1215" s="16" t="inlineStr">
        <is>
          <t>Shipped</t>
        </is>
      </c>
      <c r="D1215" s="16" t="inlineStr">
        <is>
          <t>128-04107660001910573</t>
        </is>
      </c>
      <c r="E1215" s="16" t="inlineStr">
        <is>
          <t>Shipped</t>
        </is>
      </c>
      <c r="F1215" s="16" t="inlineStr">
        <is>
          <t>LV25W22</t>
        </is>
      </c>
      <c r="G12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15" s="16" t="inlineStr">
        <is>
          <t>LV25W32</t>
        </is>
      </c>
      <c r="I1215" s="16" t="n">
        <v>1</v>
      </c>
      <c r="J1215" s="17" t="n">
        <v>90.43000000000001</v>
      </c>
      <c r="K1215" s="17" t="n">
        <v>57.74</v>
      </c>
      <c r="L1215" s="17" t="n">
        <v>25.86</v>
      </c>
      <c r="M1215" s="17" t="n">
        <v>0</v>
      </c>
      <c r="N1215" s="17">
        <f>K1215*0.08+L1215*0.08</f>
        <v/>
      </c>
      <c r="O1215" s="17">
        <f>-(K1215*0.025+L1215*0.025)</f>
        <v/>
      </c>
      <c r="P1215" s="17">
        <f>32</f>
        <v/>
      </c>
      <c r="Q1215" s="17">
        <f>J1215+L1215+N1215+O1215-P1215-M1215</f>
        <v/>
      </c>
    </row>
    <row r="1216">
      <c r="A1216" s="16" t="inlineStr">
        <is>
          <t>5.15-5.21</t>
        </is>
      </c>
      <c r="B1216" s="16" t="inlineStr">
        <is>
          <t>PO-128-03809777613431322</t>
        </is>
      </c>
      <c r="C1216" s="16" t="inlineStr">
        <is>
          <t>Shipped</t>
        </is>
      </c>
      <c r="D1216" s="16" t="inlineStr">
        <is>
          <t>128-03809929656951322</t>
        </is>
      </c>
      <c r="E1216" s="16" t="inlineStr">
        <is>
          <t>Shipped</t>
        </is>
      </c>
      <c r="F1216" s="16" t="inlineStr">
        <is>
          <t>MCM-001G</t>
        </is>
      </c>
      <c r="G1216" s="16" t="inlineStr">
        <is>
          <t>Musicord Altavoz Inalámbrico BT Portátil: ¡Sonido impactante, luces LED multicolores y 4 horas de autonomía! Compatible con TWS, FM, TF y USB – Imprescindible para fiestas y viajes</t>
        </is>
      </c>
      <c r="H1216" s="16" t="inlineStr">
        <is>
          <t>GRIS</t>
        </is>
      </c>
      <c r="I1216" s="16" t="n">
        <v>1</v>
      </c>
      <c r="J1216" s="17" t="n">
        <v>51.07</v>
      </c>
      <c r="K1216" s="17" t="n">
        <v>47.09</v>
      </c>
      <c r="L1216" s="17" t="n">
        <v>25.86</v>
      </c>
      <c r="M1216" s="17" t="n">
        <v>0</v>
      </c>
      <c r="N1216" s="17">
        <f>K1216*0.08+L1216*0.08</f>
        <v/>
      </c>
      <c r="O1216" s="17">
        <f>-(K1216*0.025+L1216*0.025)</f>
        <v/>
      </c>
      <c r="P1216" s="17">
        <f>32</f>
        <v/>
      </c>
      <c r="Q1216" s="17">
        <f>J1216+L1216+N1216+O1216-P1216-M1216</f>
        <v/>
      </c>
    </row>
    <row r="1217">
      <c r="A1217" s="16" t="inlineStr">
        <is>
          <t>5.15-5.21</t>
        </is>
      </c>
      <c r="B1217" s="16" t="inlineStr">
        <is>
          <t>PO-128-04109628406390561</t>
        </is>
      </c>
      <c r="C1217" s="16" t="inlineStr">
        <is>
          <t>Shipped</t>
        </is>
      </c>
      <c r="D1217" s="16" t="inlineStr">
        <is>
          <t>128-04109654620790561</t>
        </is>
      </c>
      <c r="E1217" s="16" t="inlineStr">
        <is>
          <t>Shipped</t>
        </is>
      </c>
      <c r="F1217" s="16" t="inlineStr">
        <is>
          <t>LV25W22</t>
        </is>
      </c>
      <c r="G12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17" s="16" t="inlineStr">
        <is>
          <t>LV25W32</t>
        </is>
      </c>
      <c r="I1217" s="16" t="n">
        <v>1</v>
      </c>
      <c r="J1217" s="17" t="n">
        <v>90.43000000000001</v>
      </c>
      <c r="K1217" s="17" t="n">
        <v>100.84</v>
      </c>
      <c r="L1217" s="17" t="n">
        <v>25.86</v>
      </c>
      <c r="M1217" s="17" t="n">
        <v>0</v>
      </c>
      <c r="N1217" s="17">
        <f>K1217*0.08+L1217*0.08</f>
        <v/>
      </c>
      <c r="O1217" s="17">
        <f>-(K1217*0.025+L1217*0.025)</f>
        <v/>
      </c>
      <c r="P1217" s="17">
        <f>32</f>
        <v/>
      </c>
      <c r="Q1217" s="17">
        <f>J1217+L1217+N1217+O1217-P1217-M1217</f>
        <v/>
      </c>
    </row>
    <row r="1218">
      <c r="A1218" s="16" t="inlineStr">
        <is>
          <t>5.15-5.21</t>
        </is>
      </c>
      <c r="B1218" s="16" t="inlineStr">
        <is>
          <t>PO-128-03824199240311172</t>
        </is>
      </c>
      <c r="C1218" s="16" t="inlineStr">
        <is>
          <t>Shipped</t>
        </is>
      </c>
      <c r="D1218" s="16" t="inlineStr">
        <is>
          <t>128-03824366029431172</t>
        </is>
      </c>
      <c r="E1218" s="16" t="inlineStr">
        <is>
          <t>Shipped</t>
        </is>
      </c>
      <c r="F1218" s="16" t="inlineStr">
        <is>
          <t>MCM-001R</t>
        </is>
      </c>
      <c r="G1218" s="16" t="inlineStr">
        <is>
          <t>Musicord Altavoz Inalámbrico BT Portátil: ¡Sonido impactante, luces LED multicolores y 4 horas de autonomía! Compatible con TWS, FM, TF y USB – Imprescindible para fiestas y viajes</t>
        </is>
      </c>
      <c r="H1218" s="16" t="inlineStr">
        <is>
          <t>ROJO</t>
        </is>
      </c>
      <c r="I1218" s="16" t="n">
        <v>1</v>
      </c>
      <c r="J1218" s="17" t="n">
        <v>66.5</v>
      </c>
      <c r="K1218" s="17" t="n">
        <v>74.29000000000001</v>
      </c>
      <c r="L1218" s="17" t="n">
        <v>25.86</v>
      </c>
      <c r="M1218" s="17" t="n">
        <v>0</v>
      </c>
      <c r="N1218" s="17">
        <f>K1218*0.08+L1218*0.08</f>
        <v/>
      </c>
      <c r="O1218" s="17">
        <f>-(K1218*0.025+L1218*0.025)</f>
        <v/>
      </c>
      <c r="P1218" s="17">
        <f>32</f>
        <v/>
      </c>
      <c r="Q1218" s="17">
        <f>J1218+L1218+N1218+O1218-P1218-M1218</f>
        <v/>
      </c>
    </row>
    <row r="1219">
      <c r="A1219" s="16" t="inlineStr">
        <is>
          <t>5.15-5.21</t>
        </is>
      </c>
      <c r="B1219" s="16" t="inlineStr">
        <is>
          <t>PO-128-04052138337910966</t>
        </is>
      </c>
      <c r="C1219" s="16" t="inlineStr">
        <is>
          <t>Shipped</t>
        </is>
      </c>
      <c r="D1219" s="16" t="inlineStr">
        <is>
          <t>128-04052159309430966</t>
        </is>
      </c>
      <c r="E1219" s="16" t="inlineStr">
        <is>
          <t>Shipped</t>
        </is>
      </c>
      <c r="F1219" s="16" t="inlineStr">
        <is>
          <t>SA323T</t>
        </is>
      </c>
      <c r="G1219" s="16" t="inlineStr">
        <is>
          <t>Linkbits Bocina Portátil Parlantes BT Portátiles con Iluminación de Ambiente | 1 Hora de Duración, FM, TWS, TF/Micro SD | Ideal para Hogar, Fiestas y Viajes</t>
        </is>
      </c>
      <c r="H1219" s="16" t="inlineStr">
        <is>
          <t>SA323T</t>
        </is>
      </c>
      <c r="I1219" s="16" t="n">
        <v>1</v>
      </c>
      <c r="J1219" s="17" t="n">
        <v>46</v>
      </c>
      <c r="K1219" s="17" t="n">
        <v>55.06</v>
      </c>
      <c r="L1219" s="17" t="n">
        <v>25.86</v>
      </c>
      <c r="M1219" s="17" t="n">
        <v>0</v>
      </c>
      <c r="N1219" s="17">
        <f>K1219*0.08+L1219*0.08</f>
        <v/>
      </c>
      <c r="O1219" s="17">
        <f>-(K1219*0.025+L1219*0.025)</f>
        <v/>
      </c>
      <c r="P1219" s="17">
        <f>32</f>
        <v/>
      </c>
      <c r="Q1219" s="17">
        <f>J1219+L1219+N1219+O1219-P1219-M1219</f>
        <v/>
      </c>
    </row>
    <row r="1220">
      <c r="A1220" s="16" t="inlineStr">
        <is>
          <t>5.15-5.21</t>
        </is>
      </c>
      <c r="B1220" s="16" t="inlineStr">
        <is>
          <t>PO-128-03649938683512405</t>
        </is>
      </c>
      <c r="C1220" s="16" t="inlineStr">
        <is>
          <t>Shipped</t>
        </is>
      </c>
      <c r="D1220" s="16" t="inlineStr">
        <is>
          <t>128-03649907226232405</t>
        </is>
      </c>
      <c r="E1220" s="16" t="inlineStr">
        <is>
          <t>Shipped</t>
        </is>
      </c>
      <c r="F1220" s="16" t="inlineStr">
        <is>
          <t>KTS-1678Y</t>
        </is>
      </c>
      <c r="G1220" s="16" t="inlineStr">
        <is>
          <t>Bocina portátil Inalámbrico, de 3 pulgadas, tamaño de bolsillo, 170 g, con asa, compatible con TF, USB y Micro SD, con radio FM y función TWS (True Wireless Stereo), adecuada para relajarse en casa o viajar al aire libre.</t>
        </is>
      </c>
      <c r="H1220" s="16" t="inlineStr">
        <is>
          <t>KTS-1678Y</t>
        </is>
      </c>
      <c r="I1220" s="16" t="n">
        <v>1</v>
      </c>
      <c r="J1220" s="17" t="n">
        <v>42.5</v>
      </c>
      <c r="K1220" s="17" t="n">
        <v>41.85</v>
      </c>
      <c r="L1220" s="17" t="n">
        <v>25.86</v>
      </c>
      <c r="M1220" s="17" t="n">
        <v>0</v>
      </c>
      <c r="N1220" s="17">
        <f>K1220*0.08+L1220*0.08</f>
        <v/>
      </c>
      <c r="O1220" s="17">
        <f>-(K1220*0.025+L1220*0.025)</f>
        <v/>
      </c>
      <c r="P1220" s="17">
        <f>32</f>
        <v/>
      </c>
      <c r="Q1220" s="17">
        <f>J1220+L1220+N1220+O1220-P1220-M1220</f>
        <v/>
      </c>
    </row>
    <row r="1221">
      <c r="A1221" s="16" t="inlineStr">
        <is>
          <t>5.15-5.21</t>
        </is>
      </c>
      <c r="B1221" s="16" t="inlineStr">
        <is>
          <t>PO-128-03726166528632911</t>
        </is>
      </c>
      <c r="C1221" s="16" t="inlineStr">
        <is>
          <t>Shipped</t>
        </is>
      </c>
      <c r="D1221" s="16" t="inlineStr">
        <is>
          <t>128-03726187500152911</t>
        </is>
      </c>
      <c r="E1221" s="16" t="inlineStr">
        <is>
          <t>Shipped</t>
        </is>
      </c>
      <c r="F1221" s="16" t="inlineStr">
        <is>
          <t>FA028</t>
        </is>
      </c>
      <c r="G1221" s="16" t="inlineStr">
        <is>
          <t>Extractor de agua para garrafas de agua, compatible con carga USB, extractor de agua automático, práctico, con dos modos de toma de agua: manual y programado, ideal para dormitorios, salones, oficinas, uso al aire libre y otros escenarios.</t>
        </is>
      </c>
      <c r="H1221" s="16" t="inlineStr">
        <is>
          <t>FA028</t>
        </is>
      </c>
      <c r="I1221" s="16" t="n">
        <v>1</v>
      </c>
      <c r="J1221" s="17" t="n">
        <v>33</v>
      </c>
      <c r="K1221" s="17" t="n">
        <v>42.58</v>
      </c>
      <c r="L1221" s="17" t="n">
        <v>25.86</v>
      </c>
      <c r="M1221" s="17" t="n">
        <v>0</v>
      </c>
      <c r="N1221" s="17">
        <f>K1221*0.08+L1221*0.08</f>
        <v/>
      </c>
      <c r="O1221" s="17">
        <f>-(K1221*0.025+L1221*0.025)</f>
        <v/>
      </c>
      <c r="P1221" s="17">
        <f>32</f>
        <v/>
      </c>
      <c r="Q1221" s="17">
        <f>J1221+L1221+N1221+O1221-P1221-M1221</f>
        <v/>
      </c>
    </row>
    <row r="1222">
      <c r="A1222" s="16" t="inlineStr">
        <is>
          <t>5.15-5.21</t>
        </is>
      </c>
      <c r="B1222" s="16" t="inlineStr">
        <is>
          <t>PO-128-03976147543670269</t>
        </is>
      </c>
      <c r="C1222" s="16" t="inlineStr">
        <is>
          <t>Shipped</t>
        </is>
      </c>
      <c r="D1222" s="16" t="inlineStr">
        <is>
          <t>128-03976168515190269</t>
        </is>
      </c>
      <c r="E1222" s="16" t="inlineStr">
        <is>
          <t>Shipped</t>
        </is>
      </c>
      <c r="F1222" s="16" t="inlineStr">
        <is>
          <t>VA384T-N</t>
        </is>
      </c>
      <c r="G1222" s="16" t="inlineStr">
        <is>
          <t>Bocina Portátil Bluetooth de 3 Pulgadas con Radio FM, USB TF TWS, Sonido Estéreo 5W, Bocina Recargable para Hogar Exterior Viaje Fiesta Camping</t>
        </is>
      </c>
      <c r="H1222" s="16" t="inlineStr">
        <is>
          <t>NEGRO</t>
        </is>
      </c>
      <c r="I1222" s="16" t="n">
        <v>2</v>
      </c>
      <c r="J1222" s="17" t="n">
        <v>100</v>
      </c>
      <c r="K1222" s="17" t="n">
        <v>69.73999999999999</v>
      </c>
      <c r="L1222" s="17" t="n">
        <v>25.86</v>
      </c>
      <c r="M1222" s="17" t="n">
        <v>0</v>
      </c>
      <c r="N1222" s="17">
        <f>K1222*0.08+L1222*0.08</f>
        <v/>
      </c>
      <c r="O1222" s="17">
        <f>-(K1222*0.025+L1222*0.025)</f>
        <v/>
      </c>
      <c r="P1222" s="17">
        <f>32</f>
        <v/>
      </c>
      <c r="Q1222" s="17">
        <f>J1222+L1222+N1222+O1222-P1222-M1222</f>
        <v/>
      </c>
    </row>
    <row r="1223">
      <c r="A1223" s="16" t="inlineStr">
        <is>
          <t>5.15-5.21</t>
        </is>
      </c>
      <c r="B1223" s="16" t="inlineStr">
        <is>
          <t>PO-128-03649172255352408</t>
        </is>
      </c>
      <c r="C1223" s="16" t="inlineStr">
        <is>
          <t>Shipped</t>
        </is>
      </c>
      <c r="D1223" s="16" t="inlineStr">
        <is>
          <t>128-03649130312312408</t>
        </is>
      </c>
      <c r="E1223" s="16" t="inlineStr">
        <is>
          <t>Shipped</t>
        </is>
      </c>
      <c r="F1223" s="16" t="inlineStr">
        <is>
          <t>VA384T-R</t>
        </is>
      </c>
      <c r="G1223" s="16" t="inlineStr">
        <is>
          <t>Bocina Portátil Bluetooth de 3 Pulgadas con Radio FM, USB TF TWS, Sonido Estéreo 5W, Bocina Recargable para Hogar Exterior Viaje Fiesta Camping</t>
        </is>
      </c>
      <c r="H1223" s="16" t="inlineStr">
        <is>
          <t>ROJO</t>
        </is>
      </c>
      <c r="I1223" s="16" t="n">
        <v>1</v>
      </c>
      <c r="J1223" s="17" t="n">
        <v>50</v>
      </c>
      <c r="K1223" s="17" t="n">
        <v>60.72</v>
      </c>
      <c r="L1223" s="17" t="n">
        <v>25.86</v>
      </c>
      <c r="M1223" s="17" t="n">
        <v>0</v>
      </c>
      <c r="N1223" s="17">
        <f>K1223*0.08+L1223*0.08</f>
        <v/>
      </c>
      <c r="O1223" s="17">
        <f>-(K1223*0.025+L1223*0.025)</f>
        <v/>
      </c>
      <c r="P1223" s="17">
        <f>32</f>
        <v/>
      </c>
      <c r="Q1223" s="17">
        <f>J1223+L1223+N1223+O1223-P1223-M1223</f>
        <v/>
      </c>
    </row>
    <row r="1224">
      <c r="A1224" s="16" t="inlineStr">
        <is>
          <t>5.15-5.21</t>
        </is>
      </c>
      <c r="B1224" s="16" t="inlineStr">
        <is>
          <t>PO-128-03551621120633887</t>
        </is>
      </c>
      <c r="C1224" s="16" t="inlineStr">
        <is>
          <t>Shipped</t>
        </is>
      </c>
      <c r="D1224" s="16" t="inlineStr">
        <is>
          <t>128-03551647335033887</t>
        </is>
      </c>
      <c r="E1224" s="16" t="inlineStr">
        <is>
          <t>Shipped</t>
        </is>
      </c>
      <c r="F1224" s="16" t="inlineStr">
        <is>
          <t>LB02235-blanco</t>
        </is>
      </c>
      <c r="G1224" s="16" t="inlineStr">
        <is>
          <t>Audífonos Inalámbricos para la Cabeza, Recargables y Multifuncionales - Conectan a Varios Dispositivos, soportan Radio FM, Tarjeta TF y AUX - 4 Horas de Reproducción Musical - Ideal para Trabajo Cotidiano, Juegos y Estudio</t>
        </is>
      </c>
      <c r="H1224" s="16" t="inlineStr">
        <is>
          <t>BLANCO</t>
        </is>
      </c>
      <c r="I1224" s="16" t="n">
        <v>2</v>
      </c>
      <c r="J1224" s="17" t="n">
        <v>73.59999999999999</v>
      </c>
      <c r="K1224" s="17" t="n">
        <v>83.52</v>
      </c>
      <c r="L1224" s="17" t="n">
        <v>25.86</v>
      </c>
      <c r="M1224" s="17" t="n">
        <v>0</v>
      </c>
      <c r="N1224" s="17">
        <f>K1224*0.08+L1224*0.08</f>
        <v/>
      </c>
      <c r="O1224" s="17">
        <f>-(K1224*0.025+L1224*0.025)</f>
        <v/>
      </c>
      <c r="P1224" s="17">
        <f>32</f>
        <v/>
      </c>
      <c r="Q1224" s="17">
        <f>J1224+L1224+N1224+O1224-P1224-M1224</f>
        <v/>
      </c>
    </row>
    <row r="1225">
      <c r="A1225" s="16" t="inlineStr">
        <is>
          <t>5.15-5.21</t>
        </is>
      </c>
      <c r="B1225" s="16" t="inlineStr">
        <is>
          <t>PO-128-03551505941113886</t>
        </is>
      </c>
      <c r="C1225" s="16" t="inlineStr">
        <is>
          <t>Shipped</t>
        </is>
      </c>
      <c r="D1225" s="16" t="inlineStr">
        <is>
          <t>128-03551526912633886</t>
        </is>
      </c>
      <c r="E1225" s="16" t="inlineStr">
        <is>
          <t>Shipped</t>
        </is>
      </c>
      <c r="F1225" s="16" t="inlineStr">
        <is>
          <t>LV25W22</t>
        </is>
      </c>
      <c r="G12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25" s="16" t="inlineStr">
        <is>
          <t>LV25W32</t>
        </is>
      </c>
      <c r="I1225" s="16" t="n">
        <v>1</v>
      </c>
      <c r="J1225" s="17" t="n">
        <v>90.43000000000001</v>
      </c>
      <c r="K1225" s="17" t="n">
        <v>100.84</v>
      </c>
      <c r="L1225" s="17" t="n">
        <v>25.86</v>
      </c>
      <c r="M1225" s="17" t="n">
        <v>0</v>
      </c>
      <c r="N1225" s="17">
        <f>K1225*0.08+L1225*0.08</f>
        <v/>
      </c>
      <c r="O1225" s="17">
        <f>-(K1225*0.025+L1225*0.025)</f>
        <v/>
      </c>
      <c r="P1225" s="17">
        <f>32</f>
        <v/>
      </c>
      <c r="Q1225" s="17">
        <f>J1225+L1225+N1225+O1225-P1225-M1225</f>
        <v/>
      </c>
    </row>
    <row r="1226">
      <c r="A1226" s="16" t="inlineStr">
        <is>
          <t>5.15-5.21</t>
        </is>
      </c>
      <c r="B1226" s="16" t="inlineStr">
        <is>
          <t>PO-128-18482853545590968</t>
        </is>
      </c>
      <c r="C1226" s="16" t="inlineStr">
        <is>
          <t>Shipped</t>
        </is>
      </c>
      <c r="D1226" s="16" t="inlineStr">
        <is>
          <t>128-18482832574070968</t>
        </is>
      </c>
      <c r="E1226" s="16" t="inlineStr">
        <is>
          <t>Shipped</t>
        </is>
      </c>
      <c r="F1226" s="16" t="inlineStr">
        <is>
          <t>SA325T</t>
        </is>
      </c>
      <c r="G1226" s="16" t="inlineStr">
        <is>
          <t>Subwoofer Portátil Inalámbrico con Luces RGB, Sonido de Alta Potencia y Batería Duradera, TWS TF USB, Perfecto para Campamento Fiestas y Entretenimiento en Casa</t>
        </is>
      </c>
      <c r="H1226" s="16" t="inlineStr">
        <is>
          <t>NEGRO</t>
        </is>
      </c>
      <c r="I1226" s="16" t="n">
        <v>8</v>
      </c>
      <c r="J1226" s="17" t="n">
        <v>304</v>
      </c>
      <c r="K1226" s="17" t="n">
        <v>338.67</v>
      </c>
      <c r="L1226" s="17" t="n">
        <v>0</v>
      </c>
      <c r="M1226" s="17" t="n">
        <v>0</v>
      </c>
      <c r="N1226" s="17">
        <f>K1226*0.08+L1226*0.08</f>
        <v/>
      </c>
      <c r="O1226" s="17">
        <f>-(K1226*0.025+L1226*0.025)</f>
        <v/>
      </c>
      <c r="P1226" s="17">
        <f>32</f>
        <v/>
      </c>
      <c r="Q1226" s="17">
        <f>J1226+L1226+N1226+O1226-P1226-M1226</f>
        <v/>
      </c>
    </row>
    <row r="1227">
      <c r="A1227" s="16" t="inlineStr">
        <is>
          <t>5.15-5.21</t>
        </is>
      </c>
      <c r="B1227" s="16" t="inlineStr">
        <is>
          <t>PO-128-18401145964150497</t>
        </is>
      </c>
      <c r="C1227" s="16" t="inlineStr">
        <is>
          <t>Shipped</t>
        </is>
      </c>
      <c r="D1227" s="16" t="inlineStr">
        <is>
          <t>128-18401104021110497</t>
        </is>
      </c>
      <c r="E1227" s="16" t="inlineStr">
        <is>
          <t>Shipped</t>
        </is>
      </c>
      <c r="F1227" s="16" t="inlineStr">
        <is>
          <t>SA325T</t>
        </is>
      </c>
      <c r="G1227" s="16" t="inlineStr">
        <is>
          <t>Subwoofer Portátil Inalámbrico con Luces RGB, Sonido de Alta Potencia y Batería Duradera, TWS TF USB, Perfecto para Campamento Fiestas y Entretenimiento en Casa</t>
        </is>
      </c>
      <c r="H1227" s="16" t="inlineStr">
        <is>
          <t>NEGRO</t>
        </is>
      </c>
      <c r="I1227" s="16" t="n">
        <v>1</v>
      </c>
      <c r="J1227" s="17" t="n">
        <v>38</v>
      </c>
      <c r="K1227" s="17" t="n">
        <v>47.04</v>
      </c>
      <c r="L1227" s="17" t="n">
        <v>25.86</v>
      </c>
      <c r="M1227" s="17" t="n">
        <v>0</v>
      </c>
      <c r="N1227" s="17">
        <f>K1227*0.08+L1227*0.08</f>
        <v/>
      </c>
      <c r="O1227" s="17">
        <f>-(K1227*0.025+L1227*0.025)</f>
        <v/>
      </c>
      <c r="P1227" s="17">
        <f>32</f>
        <v/>
      </c>
      <c r="Q1227" s="17">
        <f>J1227+L1227+N1227+O1227-P1227-M1227</f>
        <v/>
      </c>
    </row>
    <row r="1228">
      <c r="A1228" s="16" t="inlineStr">
        <is>
          <t>5.15-5.21</t>
        </is>
      </c>
      <c r="B1228" s="16" t="inlineStr">
        <is>
          <t>PO-128-18060412191352334</t>
        </is>
      </c>
      <c r="C1228" s="16" t="inlineStr">
        <is>
          <t>Shipped</t>
        </is>
      </c>
      <c r="D1228" s="16" t="inlineStr">
        <is>
          <t>128-18060489854072334</t>
        </is>
      </c>
      <c r="E1228" s="16" t="inlineStr">
        <is>
          <t>Shipped</t>
        </is>
      </c>
      <c r="F1228" s="16" t="inlineStr">
        <is>
          <t>VB347T</t>
        </is>
      </c>
      <c r="G122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28" s="16" t="inlineStr">
        <is>
          <t>1 pieza</t>
        </is>
      </c>
      <c r="I1228" s="16" t="n">
        <v>3</v>
      </c>
      <c r="J1228" s="17" t="n">
        <v>239.7</v>
      </c>
      <c r="K1228" s="17" t="n">
        <v>283.5</v>
      </c>
      <c r="L1228" s="17" t="n">
        <v>0</v>
      </c>
      <c r="M1228" s="17" t="n">
        <v>0</v>
      </c>
      <c r="N1228" s="17">
        <f>K1228*0.08+L1228*0.08</f>
        <v/>
      </c>
      <c r="O1228" s="17">
        <f>-(K1228*0.025+L1228*0.025)</f>
        <v/>
      </c>
      <c r="P1228" s="17">
        <f>32</f>
        <v/>
      </c>
      <c r="Q1228" s="17">
        <f>J1228+L1228+N1228+O1228-P1228-M1228</f>
        <v/>
      </c>
    </row>
    <row r="1229">
      <c r="A1229" s="16" t="inlineStr">
        <is>
          <t>5.15-5.21</t>
        </is>
      </c>
      <c r="B1229" s="16" t="inlineStr">
        <is>
          <t>PO-128-18060412191352334</t>
        </is>
      </c>
      <c r="C1229" s="16" t="inlineStr">
        <is>
          <t>Shipped</t>
        </is>
      </c>
      <c r="D1229" s="16" t="inlineStr">
        <is>
          <t>128-18060454134392334</t>
        </is>
      </c>
      <c r="E1229" s="16" t="inlineStr">
        <is>
          <t>Shipped</t>
        </is>
      </c>
      <c r="F1229" s="16" t="inlineStr">
        <is>
          <t>VB347T</t>
        </is>
      </c>
      <c r="G122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29" s="16" t="inlineStr">
        <is>
          <t>1 pieza</t>
        </is>
      </c>
      <c r="I1229" s="16" t="n">
        <v>1</v>
      </c>
      <c r="J1229" s="17" t="n">
        <v>79.90000000000001</v>
      </c>
      <c r="K1229" s="17" t="n">
        <v>94.5</v>
      </c>
      <c r="L1229" s="17" t="n">
        <v>0</v>
      </c>
      <c r="M1229" s="17" t="n">
        <v>0</v>
      </c>
      <c r="N1229" s="17">
        <f>K1229*0.08+L1229*0.08</f>
        <v/>
      </c>
      <c r="O1229" s="17">
        <f>-(K1229*0.025+L1229*0.025)</f>
        <v/>
      </c>
      <c r="P1229" s="17">
        <f>32</f>
        <v/>
      </c>
      <c r="Q1229" s="17">
        <f>J1229+L1229+N1229+O1229-P1229-M1229</f>
        <v/>
      </c>
    </row>
    <row r="1230">
      <c r="A1230" s="16" t="inlineStr">
        <is>
          <t>5.15-5.21</t>
        </is>
      </c>
      <c r="B1230" s="16" t="inlineStr">
        <is>
          <t>PO-128-18103197983352273</t>
        </is>
      </c>
      <c r="C1230" s="16" t="inlineStr">
        <is>
          <t>Shipped</t>
        </is>
      </c>
      <c r="D1230" s="16" t="inlineStr">
        <is>
          <t>128-18103145554552273</t>
        </is>
      </c>
      <c r="E1230" s="16" t="inlineStr">
        <is>
          <t>Shipped</t>
        </is>
      </c>
      <c r="F1230" s="16" t="inlineStr">
        <is>
          <t>KTS-1678V</t>
        </is>
      </c>
      <c r="G1230" s="16" t="inlineStr">
        <is>
          <t>Bocina portátil Inalámbrico, de 3 pulgadas, tamaño de bolsillo, 170 g, con asa, compatible con TF, USB y Micro SD, con radio FM y función TWS (True Wireless Stereo), adecuada para relajarse en casa o viajar al aire libre.</t>
        </is>
      </c>
      <c r="H1230" s="16" t="inlineStr">
        <is>
          <t>KTS-1678V</t>
        </is>
      </c>
      <c r="I1230" s="16" t="n">
        <v>1</v>
      </c>
      <c r="J1230" s="17" t="n">
        <v>42.5</v>
      </c>
      <c r="K1230" s="17" t="n">
        <v>50.78</v>
      </c>
      <c r="L1230" s="17" t="n">
        <v>25.86</v>
      </c>
      <c r="M1230" s="17" t="n">
        <v>0</v>
      </c>
      <c r="N1230" s="17">
        <f>K1230*0.08+L1230*0.08</f>
        <v/>
      </c>
      <c r="O1230" s="17">
        <f>-(K1230*0.025+L1230*0.025)</f>
        <v/>
      </c>
      <c r="P1230" s="17">
        <f>32</f>
        <v/>
      </c>
      <c r="Q1230" s="17">
        <f>J1230+L1230+N1230+O1230-P1230-M1230</f>
        <v/>
      </c>
    </row>
    <row r="1231">
      <c r="A1231" s="16" t="inlineStr">
        <is>
          <t>5.15-5.21</t>
        </is>
      </c>
      <c r="B1231" s="16" t="inlineStr">
        <is>
          <t>PO-128-18360453560951762</t>
        </is>
      </c>
      <c r="C1231" s="16" t="inlineStr">
        <is>
          <t>Shipped</t>
        </is>
      </c>
      <c r="D1231" s="16" t="inlineStr">
        <is>
          <t>128-18360411617911762</t>
        </is>
      </c>
      <c r="E1231" s="16" t="inlineStr">
        <is>
          <t>Shipped</t>
        </is>
      </c>
      <c r="F1231" s="16" t="inlineStr">
        <is>
          <t>LB02235-azul</t>
        </is>
      </c>
      <c r="G1231" s="16" t="inlineStr">
        <is>
          <t>Audífonos Inalámbricos para la Cabeza, Recargables y Multifuncionales - Conectan a Varios Dispositivos, soportan Radio FM, Tarjeta TF y AUX - 4 Horas de Reproducción Musical - Ideal para Trabajo Cotidiano, Juegos y Estudio</t>
        </is>
      </c>
      <c r="H1231" s="16" t="inlineStr">
        <is>
          <t>AZUL</t>
        </is>
      </c>
      <c r="I1231" s="16" t="n">
        <v>1</v>
      </c>
      <c r="J1231" s="17" t="n">
        <v>36.8</v>
      </c>
      <c r="K1231" s="17" t="n">
        <v>49.91</v>
      </c>
      <c r="L1231" s="17" t="n">
        <v>25.86</v>
      </c>
      <c r="M1231" s="17" t="n">
        <v>0</v>
      </c>
      <c r="N1231" s="17">
        <f>K1231*0.08+L1231*0.08</f>
        <v/>
      </c>
      <c r="O1231" s="17">
        <f>-(K1231*0.025+L1231*0.025)</f>
        <v/>
      </c>
      <c r="P1231" s="17">
        <f>32</f>
        <v/>
      </c>
      <c r="Q1231" s="17">
        <f>J1231+L1231+N1231+O1231-P1231-M1231</f>
        <v/>
      </c>
    </row>
    <row r="1232">
      <c r="A1232" s="16" t="inlineStr">
        <is>
          <t>5.15-5.21</t>
        </is>
      </c>
      <c r="B1232" s="16" t="inlineStr">
        <is>
          <t>PO-128-18182378660472761</t>
        </is>
      </c>
      <c r="C1232" s="16" t="inlineStr">
        <is>
          <t>Shipped</t>
        </is>
      </c>
      <c r="D1232" s="16" t="inlineStr">
        <is>
          <t>128-18182420603512761</t>
        </is>
      </c>
      <c r="E1232" s="16" t="inlineStr">
        <is>
          <t>Shipped</t>
        </is>
      </c>
      <c r="F1232" s="16" t="inlineStr">
        <is>
          <t>LB02235-azul</t>
        </is>
      </c>
      <c r="G1232" s="16" t="inlineStr">
        <is>
          <t>Audífonos Inalámbricos para la Cabeza, Recargables y Multifuncionales - Conectan a Varios Dispositivos, soportan Radio FM, Tarjeta TF y AUX - 4 Horas de Reproducción Musical - Ideal para Trabajo Cotidiano, Juegos y Estudio</t>
        </is>
      </c>
      <c r="H1232" s="16" t="inlineStr">
        <is>
          <t>AZUL</t>
        </is>
      </c>
      <c r="I1232" s="16" t="n">
        <v>1</v>
      </c>
      <c r="J1232" s="17" t="n">
        <v>36.8</v>
      </c>
      <c r="K1232" s="17" t="n">
        <v>42.43</v>
      </c>
      <c r="L1232" s="17" t="n">
        <v>25.86</v>
      </c>
      <c r="M1232" s="17" t="n">
        <v>0</v>
      </c>
      <c r="N1232" s="17">
        <f>K1232*0.08+L1232*0.08</f>
        <v/>
      </c>
      <c r="O1232" s="17">
        <f>-(K1232*0.025+L1232*0.025)</f>
        <v/>
      </c>
      <c r="P1232" s="17">
        <f>32</f>
        <v/>
      </c>
      <c r="Q1232" s="17">
        <f>J1232+L1232+N1232+O1232-P1232-M1232</f>
        <v/>
      </c>
    </row>
    <row r="1233">
      <c r="A1233" s="16" t="inlineStr">
        <is>
          <t>5.15-5.21</t>
        </is>
      </c>
      <c r="B1233" s="16" t="inlineStr">
        <is>
          <t>PO-128-18532726221430737</t>
        </is>
      </c>
      <c r="C1233" s="16" t="inlineStr">
        <is>
          <t>Shipped</t>
        </is>
      </c>
      <c r="D1233" s="16" t="inlineStr">
        <is>
          <t>128-18532710462070737</t>
        </is>
      </c>
      <c r="E1233" s="16" t="inlineStr">
        <is>
          <t>Shipped</t>
        </is>
      </c>
      <c r="F1233" s="16" t="inlineStr">
        <is>
          <t>MCM-001N</t>
        </is>
      </c>
      <c r="G1233" s="16" t="inlineStr">
        <is>
          <t>Musicord Altavoz Inalámbrico BT Portátil: ¡Sonido impactante, luces LED multicolores y 4 horas de autonomía! Compatible con TWS, FM, TF y USB – Imprescindible para fiestas y viajes</t>
        </is>
      </c>
      <c r="H1233" s="16" t="inlineStr">
        <is>
          <t>NEGRO</t>
        </is>
      </c>
      <c r="I1233" s="16" t="n">
        <v>1</v>
      </c>
      <c r="J1233" s="17" t="n">
        <v>61</v>
      </c>
      <c r="K1233" s="17" t="n">
        <v>68.79000000000001</v>
      </c>
      <c r="L1233" s="17" t="n">
        <v>7.72</v>
      </c>
      <c r="M1233" s="17" t="n">
        <v>0</v>
      </c>
      <c r="N1233" s="17">
        <f>K1233*0.08+L1233*0.08</f>
        <v/>
      </c>
      <c r="O1233" s="17">
        <f>-(K1233*0.025+L1233*0.025)</f>
        <v/>
      </c>
      <c r="P1233" s="17">
        <f>32</f>
        <v/>
      </c>
      <c r="Q1233" s="17">
        <f>J1233+L1233+N1233+O1233-P1233-M1233</f>
        <v/>
      </c>
    </row>
    <row r="1234">
      <c r="A1234" s="16" t="inlineStr">
        <is>
          <t>5.15-5.21</t>
        </is>
      </c>
      <c r="B1234" s="16" t="inlineStr">
        <is>
          <t>PO-128-18532726221430737</t>
        </is>
      </c>
      <c r="C1234" s="16" t="inlineStr">
        <is>
          <t>Shipped</t>
        </is>
      </c>
      <c r="D1234" s="16" t="inlineStr">
        <is>
          <t>128-18532710492790737</t>
        </is>
      </c>
      <c r="E1234" s="16" t="inlineStr">
        <is>
          <t>Shipped</t>
        </is>
      </c>
      <c r="F1234" s="16" t="inlineStr">
        <is>
          <t>SA8056T</t>
        </is>
      </c>
      <c r="G123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234" s="16" t="inlineStr">
        <is>
          <t>SA8056T</t>
        </is>
      </c>
      <c r="I1234" s="16" t="n">
        <v>1</v>
      </c>
      <c r="J1234" s="17" t="n">
        <v>141</v>
      </c>
      <c r="K1234" s="17" t="n">
        <v>161.38</v>
      </c>
      <c r="L1234" s="17" t="n">
        <v>18.14</v>
      </c>
      <c r="M1234" s="17" t="n">
        <v>0</v>
      </c>
      <c r="N1234" s="17">
        <f>K1234*0.08+L1234*0.08</f>
        <v/>
      </c>
      <c r="O1234" s="17">
        <f>-(K1234*0.025+L1234*0.025)</f>
        <v/>
      </c>
      <c r="P1234" s="17">
        <f>32</f>
        <v/>
      </c>
      <c r="Q1234" s="17">
        <f>J1234+L1234+N1234+O1234-P1234-M1234</f>
        <v/>
      </c>
    </row>
    <row r="1235">
      <c r="A1235" s="16" t="inlineStr">
        <is>
          <t>5.15-5.21</t>
        </is>
      </c>
      <c r="B1235" s="16" t="inlineStr">
        <is>
          <t>PO-128-18441717637750255</t>
        </is>
      </c>
      <c r="C1235" s="16" t="inlineStr">
        <is>
          <t>Shipped</t>
        </is>
      </c>
      <c r="D1235" s="16" t="inlineStr">
        <is>
          <t>128-18441822495350255</t>
        </is>
      </c>
      <c r="E1235" s="16" t="inlineStr">
        <is>
          <t>Shipped</t>
        </is>
      </c>
      <c r="F1235" s="16" t="inlineStr">
        <is>
          <t>LB02235-blanco</t>
        </is>
      </c>
      <c r="G1235" s="16" t="inlineStr">
        <is>
          <t>Audífonos Inalámbricos para la Cabeza, Recargables y Multifuncionales - Conectan a Varios Dispositivos, soportan Radio FM, Tarjeta TF y AUX - 4 Horas de Reproducción Musical - Ideal para Trabajo Cotidiano, Juegos y Estudio</t>
        </is>
      </c>
      <c r="H1235" s="16" t="inlineStr">
        <is>
          <t>BLANCO</t>
        </is>
      </c>
      <c r="I1235" s="16" t="n">
        <v>1</v>
      </c>
      <c r="J1235" s="17" t="n">
        <v>36.8</v>
      </c>
      <c r="K1235" s="17" t="n">
        <v>49.91</v>
      </c>
      <c r="L1235" s="17" t="n">
        <v>25.86</v>
      </c>
      <c r="M1235" s="17" t="n">
        <v>0</v>
      </c>
      <c r="N1235" s="17">
        <f>K1235*0.08+L1235*0.08</f>
        <v/>
      </c>
      <c r="O1235" s="17">
        <f>-(K1235*0.025+L1235*0.025)</f>
        <v/>
      </c>
      <c r="P1235" s="17">
        <f>32</f>
        <v/>
      </c>
      <c r="Q1235" s="17">
        <f>J1235+L1235+N1235+O1235-P1235-M1235</f>
        <v/>
      </c>
    </row>
    <row r="1236">
      <c r="A1236" s="16" t="inlineStr">
        <is>
          <t>5.15-5.21</t>
        </is>
      </c>
      <c r="B1236" s="16" t="inlineStr">
        <is>
          <t>PO-128-18021143603833592</t>
        </is>
      </c>
      <c r="C1236" s="16" t="inlineStr">
        <is>
          <t>Shipped</t>
        </is>
      </c>
      <c r="D1236" s="16" t="inlineStr">
        <is>
          <t>128-18021122632313592</t>
        </is>
      </c>
      <c r="E1236" s="16" t="inlineStr">
        <is>
          <t>Shipped</t>
        </is>
      </c>
      <c r="F1236" s="16" t="inlineStr">
        <is>
          <t>MCM-001N</t>
        </is>
      </c>
      <c r="G1236" s="16" t="inlineStr">
        <is>
          <t>Musicord Altavoz Inalámbrico BT Portátil: ¡Sonido impactante, luces LED multicolores y 4 horas de autonomía! Compatible con TWS, FM, TF y USB – Imprescindible para fiestas y viajes</t>
        </is>
      </c>
      <c r="H1236" s="16" t="inlineStr">
        <is>
          <t>NEGRO</t>
        </is>
      </c>
      <c r="I1236" s="16" t="n">
        <v>1</v>
      </c>
      <c r="J1236" s="17" t="n">
        <v>61</v>
      </c>
      <c r="K1236" s="17" t="n">
        <v>68.79000000000001</v>
      </c>
      <c r="L1236" s="17" t="n">
        <v>25.86</v>
      </c>
      <c r="M1236" s="17" t="n">
        <v>0</v>
      </c>
      <c r="N1236" s="17">
        <f>K1236*0.08+L1236*0.08</f>
        <v/>
      </c>
      <c r="O1236" s="17">
        <f>-(K1236*0.025+L1236*0.025)</f>
        <v/>
      </c>
      <c r="P1236" s="17">
        <f>32</f>
        <v/>
      </c>
      <c r="Q1236" s="17">
        <f>J1236+L1236+N1236+O1236-P1236-M1236</f>
        <v/>
      </c>
    </row>
    <row r="1237">
      <c r="A1237" s="16" t="inlineStr">
        <is>
          <t>5.15-5.21</t>
        </is>
      </c>
      <c r="B1237" s="16" t="inlineStr">
        <is>
          <t>PO-128-18130822380153002</t>
        </is>
      </c>
      <c r="C1237" s="16" t="inlineStr">
        <is>
          <t>Shipped</t>
        </is>
      </c>
      <c r="D1237" s="16" t="inlineStr">
        <is>
          <t>128-18130874808953002</t>
        </is>
      </c>
      <c r="E1237" s="16" t="inlineStr">
        <is>
          <t>Shipped</t>
        </is>
      </c>
      <c r="F1237" s="16" t="inlineStr">
        <is>
          <t>LV25W22</t>
        </is>
      </c>
      <c r="G12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37" s="16" t="inlineStr">
        <is>
          <t>LV25W32</t>
        </is>
      </c>
      <c r="I1237" s="16" t="n">
        <v>1</v>
      </c>
      <c r="J1237" s="17" t="n">
        <v>90.43000000000001</v>
      </c>
      <c r="K1237" s="17" t="n">
        <v>85.72</v>
      </c>
      <c r="L1237" s="17" t="n">
        <v>25.86</v>
      </c>
      <c r="M1237" s="17" t="n">
        <v>0</v>
      </c>
      <c r="N1237" s="17">
        <f>K1237*0.08+L1237*0.08</f>
        <v/>
      </c>
      <c r="O1237" s="17">
        <f>-(K1237*0.025+L1237*0.025)</f>
        <v/>
      </c>
      <c r="P1237" s="17">
        <f>32</f>
        <v/>
      </c>
      <c r="Q1237" s="17">
        <f>J1237+L1237+N1237+O1237-P1237-M1237</f>
        <v/>
      </c>
    </row>
    <row r="1238">
      <c r="A1238" s="16" t="inlineStr">
        <is>
          <t>5.15-5.21</t>
        </is>
      </c>
      <c r="B1238" s="16" t="inlineStr">
        <is>
          <t>PO-128-18137539861113026</t>
        </is>
      </c>
      <c r="C1238" s="16" t="inlineStr">
        <is>
          <t>Shipped</t>
        </is>
      </c>
      <c r="D1238" s="16" t="inlineStr">
        <is>
          <t>128-18137560832633026</t>
        </is>
      </c>
      <c r="E1238" s="16" t="inlineStr">
        <is>
          <t>Shipped</t>
        </is>
      </c>
      <c r="F1238" s="16" t="inlineStr">
        <is>
          <t>LB02235-azul</t>
        </is>
      </c>
      <c r="G1238" s="16" t="inlineStr">
        <is>
          <t>Audífonos Inalámbricos para la Cabeza, Recargables y Multifuncionales - Conectan a Varios Dispositivos, soportan Radio FM, Tarjeta TF y AUX - 4 Horas de Reproducción Musical - Ideal para Trabajo Cotidiano, Juegos y Estudio</t>
        </is>
      </c>
      <c r="H1238" s="16" t="inlineStr">
        <is>
          <t>AZUL</t>
        </is>
      </c>
      <c r="I1238" s="16" t="n">
        <v>1</v>
      </c>
      <c r="J1238" s="17" t="n">
        <v>36.8</v>
      </c>
      <c r="K1238" s="17" t="n">
        <v>49.91</v>
      </c>
      <c r="L1238" s="17" t="n">
        <v>25.86</v>
      </c>
      <c r="M1238" s="17" t="n">
        <v>0</v>
      </c>
      <c r="N1238" s="17">
        <f>K1238*0.08+L1238*0.08</f>
        <v/>
      </c>
      <c r="O1238" s="17">
        <f>-(K1238*0.025+L1238*0.025)</f>
        <v/>
      </c>
      <c r="P1238" s="17">
        <f>32</f>
        <v/>
      </c>
      <c r="Q1238" s="17">
        <f>J1238+L1238+N1238+O1238-P1238-M1238</f>
        <v/>
      </c>
    </row>
    <row r="1239">
      <c r="A1239" s="16" t="inlineStr">
        <is>
          <t>5.15-5.21</t>
        </is>
      </c>
      <c r="B1239" s="16" t="inlineStr">
        <is>
          <t>PO-128-18330062725751881</t>
        </is>
      </c>
      <c r="C1239" s="16" t="inlineStr">
        <is>
          <t>Shipped</t>
        </is>
      </c>
      <c r="D1239" s="16" t="inlineStr">
        <is>
          <t>128-18330083697271881</t>
        </is>
      </c>
      <c r="E1239" s="16" t="inlineStr">
        <is>
          <t>Shipped</t>
        </is>
      </c>
      <c r="F1239" s="16" t="inlineStr">
        <is>
          <t>LB02235-rojo</t>
        </is>
      </c>
      <c r="G1239" s="16" t="inlineStr">
        <is>
          <t>Audífonos Inalámbricos para la Cabeza, Recargables y Multifuncionales - Conectan a Varios Dispositivos, soportan Radio FM, Tarjeta TF y AUX - 4 Horas de Reproducción Musical - Ideal para Trabajo Cotidiano, Juegos y Estudio</t>
        </is>
      </c>
      <c r="H1239" s="16" t="inlineStr">
        <is>
          <t>ROJO</t>
        </is>
      </c>
      <c r="I1239" s="16" t="n">
        <v>1</v>
      </c>
      <c r="J1239" s="17" t="n">
        <v>36.8</v>
      </c>
      <c r="K1239" s="17" t="n">
        <v>49.91</v>
      </c>
      <c r="L1239" s="17" t="n">
        <v>25.86</v>
      </c>
      <c r="M1239" s="17" t="n">
        <v>0</v>
      </c>
      <c r="N1239" s="17">
        <f>K1239*0.08+L1239*0.08</f>
        <v/>
      </c>
      <c r="O1239" s="17">
        <f>-(K1239*0.025+L1239*0.025)</f>
        <v/>
      </c>
      <c r="P1239" s="17">
        <f>32</f>
        <v/>
      </c>
      <c r="Q1239" s="17">
        <f>J1239+L1239+N1239+O1239-P1239-M1239</f>
        <v/>
      </c>
    </row>
    <row r="1240">
      <c r="A1240" s="16" t="inlineStr">
        <is>
          <t>5.15-5.21</t>
        </is>
      </c>
      <c r="B1240" s="16" t="inlineStr">
        <is>
          <t>PO-128-18264400476791246</t>
        </is>
      </c>
      <c r="C1240" s="16" t="inlineStr">
        <is>
          <t>Shipped</t>
        </is>
      </c>
      <c r="D1240" s="16" t="inlineStr">
        <is>
          <t>128-18264363776631246</t>
        </is>
      </c>
      <c r="E1240" s="16" t="inlineStr">
        <is>
          <t>Shipped</t>
        </is>
      </c>
      <c r="F1240" s="16" t="inlineStr">
        <is>
          <t>LV25W22</t>
        </is>
      </c>
      <c r="G12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40" s="16" t="inlineStr">
        <is>
          <t>LV25W32</t>
        </is>
      </c>
      <c r="I1240" s="16" t="n">
        <v>3</v>
      </c>
      <c r="J1240" s="17" t="n">
        <v>271.29</v>
      </c>
      <c r="K1240" s="17" t="n">
        <v>302.52</v>
      </c>
      <c r="L1240" s="17" t="n">
        <v>0</v>
      </c>
      <c r="M1240" s="17" t="n">
        <v>0</v>
      </c>
      <c r="N1240" s="17">
        <f>K1240*0.08+L1240*0.08</f>
        <v/>
      </c>
      <c r="O1240" s="17">
        <f>-(K1240*0.025+L1240*0.025)</f>
        <v/>
      </c>
      <c r="P1240" s="17">
        <f>32</f>
        <v/>
      </c>
      <c r="Q1240" s="17">
        <f>J1240+L1240+N1240+O1240-P1240-M1240</f>
        <v/>
      </c>
    </row>
    <row r="1241">
      <c r="A1241" s="16" t="inlineStr">
        <is>
          <t>5.15-5.21</t>
        </is>
      </c>
      <c r="B1241" s="16" t="inlineStr">
        <is>
          <t>PO-128-18514747274870650</t>
        </is>
      </c>
      <c r="C1241" s="16" t="inlineStr">
        <is>
          <t>Shipped</t>
        </is>
      </c>
      <c r="D1241" s="16" t="inlineStr">
        <is>
          <t>128-18514810189430650</t>
        </is>
      </c>
      <c r="E1241" s="16" t="inlineStr">
        <is>
          <t>Shipped</t>
        </is>
      </c>
      <c r="F1241" s="16" t="inlineStr">
        <is>
          <t>LV25W22</t>
        </is>
      </c>
      <c r="G124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41" s="16" t="inlineStr">
        <is>
          <t>LV25W32</t>
        </is>
      </c>
      <c r="I1241" s="16" t="n">
        <v>2</v>
      </c>
      <c r="J1241" s="17" t="n">
        <v>180.86</v>
      </c>
      <c r="K1241" s="17" t="n">
        <v>201.68</v>
      </c>
      <c r="L1241" s="17" t="n">
        <v>25.86</v>
      </c>
      <c r="M1241" s="17" t="n">
        <v>0</v>
      </c>
      <c r="N1241" s="17">
        <f>K1241*0.08+L1241*0.08</f>
        <v/>
      </c>
      <c r="O1241" s="17">
        <f>-(K1241*0.025+L1241*0.025)</f>
        <v/>
      </c>
      <c r="P1241" s="17">
        <f>32</f>
        <v/>
      </c>
      <c r="Q1241" s="17">
        <f>J1241+L1241+N1241+O1241-P1241-M1241</f>
        <v/>
      </c>
    </row>
    <row r="1242">
      <c r="A1242" s="16" t="inlineStr">
        <is>
          <t>5.15-5.21</t>
        </is>
      </c>
      <c r="B1242" s="16" t="inlineStr">
        <is>
          <t>PO-128-18184220078712812</t>
        </is>
      </c>
      <c r="C1242" s="16" t="inlineStr">
        <is>
          <t>Shipped</t>
        </is>
      </c>
      <c r="D1242" s="16" t="inlineStr">
        <is>
          <t>128-18184241050232812</t>
        </is>
      </c>
      <c r="E1242" s="16" t="inlineStr">
        <is>
          <t>Shipped</t>
        </is>
      </c>
      <c r="F1242" s="16" t="inlineStr">
        <is>
          <t>LB02235-rojo</t>
        </is>
      </c>
      <c r="G1242" s="16" t="inlineStr">
        <is>
          <t>Audífonos Inalámbricos para la Cabeza, Recargables y Multifuncionales - Conectan a Varios Dispositivos, soportan Radio FM, Tarjeta TF y AUX - 4 Horas de Reproducción Musical - Ideal para Trabajo Cotidiano, Juegos y Estudio</t>
        </is>
      </c>
      <c r="H1242" s="16" t="inlineStr">
        <is>
          <t>ROJO</t>
        </is>
      </c>
      <c r="I1242" s="16" t="n">
        <v>2</v>
      </c>
      <c r="J1242" s="17" t="n">
        <v>73.59999999999999</v>
      </c>
      <c r="K1242" s="17" t="n">
        <v>84.84999999999999</v>
      </c>
      <c r="L1242" s="17" t="n">
        <v>25.86</v>
      </c>
      <c r="M1242" s="17" t="n">
        <v>0</v>
      </c>
      <c r="N1242" s="17">
        <f>K1242*0.08+L1242*0.08</f>
        <v/>
      </c>
      <c r="O1242" s="17">
        <f>-(K1242*0.025+L1242*0.025)</f>
        <v/>
      </c>
      <c r="P1242" s="17">
        <f>32</f>
        <v/>
      </c>
      <c r="Q1242" s="17">
        <f>J1242+L1242+N1242+O1242-P1242-M1242</f>
        <v/>
      </c>
    </row>
    <row r="1243">
      <c r="A1243" s="16" t="inlineStr">
        <is>
          <t>5.15-5.21</t>
        </is>
      </c>
      <c r="B1243" s="16" t="inlineStr">
        <is>
          <t>PO-128-17900134979193419</t>
        </is>
      </c>
      <c r="C1243" s="16" t="inlineStr">
        <is>
          <t>Shipped</t>
        </is>
      </c>
      <c r="D1243" s="16" t="inlineStr">
        <is>
          <t>128-17900271294073419</t>
        </is>
      </c>
      <c r="E1243" s="16" t="inlineStr">
        <is>
          <t>Shipped</t>
        </is>
      </c>
      <c r="F1243" s="16" t="inlineStr">
        <is>
          <t>MCM-001R</t>
        </is>
      </c>
      <c r="G1243" s="16" t="inlineStr">
        <is>
          <t>Musicord Altavoz Inalámbrico BT Portátil: ¡Sonido impactante, luces LED multicolores y 4 horas de autonomía! Compatible con TWS, FM, TF y USB – Imprescindible para fiestas y viajes</t>
        </is>
      </c>
      <c r="H1243" s="16" t="inlineStr">
        <is>
          <t>ROJO</t>
        </is>
      </c>
      <c r="I1243" s="16" t="n">
        <v>1</v>
      </c>
      <c r="J1243" s="17" t="n">
        <v>66.5</v>
      </c>
      <c r="K1243" s="17" t="n">
        <v>13.95</v>
      </c>
      <c r="L1243" s="17" t="n">
        <v>25.86</v>
      </c>
      <c r="M1243" s="17" t="n">
        <v>0</v>
      </c>
      <c r="N1243" s="17">
        <f>K1243*0.08+L1243*0.08</f>
        <v/>
      </c>
      <c r="O1243" s="17">
        <f>-(K1243*0.025+L1243*0.025)</f>
        <v/>
      </c>
      <c r="P1243" s="17">
        <f>32</f>
        <v/>
      </c>
      <c r="Q1243" s="17">
        <f>J1243+L1243+N1243+O1243-P1243-M1243</f>
        <v/>
      </c>
    </row>
    <row r="1244">
      <c r="A1244" s="16" t="inlineStr">
        <is>
          <t>5.15-5.21</t>
        </is>
      </c>
      <c r="B1244" s="16" t="inlineStr">
        <is>
          <t>PO-128-18227831388791528</t>
        </is>
      </c>
      <c r="C1244" s="16" t="inlineStr">
        <is>
          <t>Shipped</t>
        </is>
      </c>
      <c r="D1244" s="16" t="inlineStr">
        <is>
          <t>128-18227854981751528</t>
        </is>
      </c>
      <c r="E1244" s="16" t="inlineStr">
        <is>
          <t>Shipped</t>
        </is>
      </c>
      <c r="F1244" s="16" t="inlineStr">
        <is>
          <t>LB02235-blanco</t>
        </is>
      </c>
      <c r="G1244" s="16" t="inlineStr">
        <is>
          <t>Audífonos Inalámbricos para la Cabeza, Recargables y Multifuncionales - Conectan a Varios Dispositivos, soportan Radio FM, Tarjeta TF y AUX - 4 Horas de Reproducción Musical - Ideal para Trabajo Cotidiano, Juegos y Estudio</t>
        </is>
      </c>
      <c r="H1244" s="16" t="inlineStr">
        <is>
          <t>BLANCO</t>
        </is>
      </c>
      <c r="I1244" s="16" t="n">
        <v>2</v>
      </c>
      <c r="J1244" s="17" t="n">
        <v>73.59999999999999</v>
      </c>
      <c r="K1244" s="17" t="n">
        <v>58.58</v>
      </c>
      <c r="L1244" s="17" t="n">
        <v>0</v>
      </c>
      <c r="M1244" s="17" t="n">
        <v>0</v>
      </c>
      <c r="N1244" s="17">
        <f>K1244*0.08+L1244*0.08</f>
        <v/>
      </c>
      <c r="O1244" s="17">
        <f>-(K1244*0.025+L1244*0.025)</f>
        <v/>
      </c>
      <c r="P1244" s="17">
        <f>32</f>
        <v/>
      </c>
      <c r="Q1244" s="17">
        <f>J1244+L1244+N1244+O1244-P1244-M1244</f>
        <v/>
      </c>
    </row>
    <row r="1245">
      <c r="A1245" s="16" t="inlineStr">
        <is>
          <t>5.15-5.21</t>
        </is>
      </c>
      <c r="B1245" s="16" t="inlineStr">
        <is>
          <t>PO-128-18227831388791528</t>
        </is>
      </c>
      <c r="C1245" s="16" t="inlineStr">
        <is>
          <t>Shipped</t>
        </is>
      </c>
      <c r="D1245" s="16" t="inlineStr">
        <is>
          <t>128-18227862846071528</t>
        </is>
      </c>
      <c r="E1245" s="16" t="inlineStr">
        <is>
          <t>Shipped</t>
        </is>
      </c>
      <c r="F1245" s="16" t="inlineStr">
        <is>
          <t>VB347T</t>
        </is>
      </c>
      <c r="G124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45" s="16" t="inlineStr">
        <is>
          <t>1 pieza</t>
        </is>
      </c>
      <c r="I1245" s="16" t="n">
        <v>2</v>
      </c>
      <c r="J1245" s="17" t="n">
        <v>159.8</v>
      </c>
      <c r="K1245" s="17" t="n">
        <v>121.32</v>
      </c>
      <c r="L1245" s="17" t="n">
        <v>0</v>
      </c>
      <c r="M1245" s="17" t="n">
        <v>0</v>
      </c>
      <c r="N1245" s="17">
        <f>K1245*0.08+L1245*0.08</f>
        <v/>
      </c>
      <c r="O1245" s="17">
        <f>-(K1245*0.025+L1245*0.025)</f>
        <v/>
      </c>
      <c r="P1245" s="17">
        <f>32</f>
        <v/>
      </c>
      <c r="Q1245" s="17">
        <f>J1245+L1245+N1245+O1245-P1245-M1245</f>
        <v/>
      </c>
    </row>
    <row r="1246">
      <c r="A1246" s="16" t="inlineStr">
        <is>
          <t>5.15-5.21</t>
        </is>
      </c>
      <c r="B1246" s="16" t="inlineStr">
        <is>
          <t>PO-128-18451990449270000</t>
        </is>
      </c>
      <c r="C1246" s="16" t="inlineStr">
        <is>
          <t>Shipped</t>
        </is>
      </c>
      <c r="D1246" s="16" t="inlineStr">
        <is>
          <t>128-18452032392310000</t>
        </is>
      </c>
      <c r="E1246" s="16" t="inlineStr">
        <is>
          <t>Shipped</t>
        </is>
      </c>
      <c r="F1246" s="16" t="inlineStr">
        <is>
          <t>LV25W22</t>
        </is>
      </c>
      <c r="G12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46" s="16" t="inlineStr">
        <is>
          <t>LV25W32</t>
        </is>
      </c>
      <c r="I1246" s="16" t="n">
        <v>1</v>
      </c>
      <c r="J1246" s="17" t="n">
        <v>90.43000000000001</v>
      </c>
      <c r="K1246" s="17" t="n">
        <v>18.08</v>
      </c>
      <c r="L1246" s="17" t="n">
        <v>25.86</v>
      </c>
      <c r="M1246" s="17" t="n">
        <v>0</v>
      </c>
      <c r="N1246" s="17">
        <f>K1246*0.08+L1246*0.08</f>
        <v/>
      </c>
      <c r="O1246" s="17">
        <f>-(K1246*0.025+L1246*0.025)</f>
        <v/>
      </c>
      <c r="P1246" s="17">
        <f>32</f>
        <v/>
      </c>
      <c r="Q1246" s="17">
        <f>J1246+L1246+N1246+O1246-P1246-M1246</f>
        <v/>
      </c>
    </row>
    <row r="1247">
      <c r="A1247" s="16" t="inlineStr">
        <is>
          <t>5.15-5.21</t>
        </is>
      </c>
      <c r="B1247" s="16" t="inlineStr">
        <is>
          <t>PO-128-18066051566712364</t>
        </is>
      </c>
      <c r="C1247" s="16" t="inlineStr">
        <is>
          <t>Shipped</t>
        </is>
      </c>
      <c r="D1247" s="16" t="inlineStr">
        <is>
          <t>128-18066203610232364</t>
        </is>
      </c>
      <c r="E1247" s="16" t="inlineStr">
        <is>
          <t>Shipped</t>
        </is>
      </c>
      <c r="F1247" s="16" t="inlineStr">
        <is>
          <t>SA325T</t>
        </is>
      </c>
      <c r="G1247" s="16" t="inlineStr">
        <is>
          <t>Subwoofer Portátil Inalámbrico con Luces RGB, Sonido de Alta Potencia y Batería Duradera, TWS TF USB, Perfecto para Campamento Fiestas y Entretenimiento en Casa</t>
        </is>
      </c>
      <c r="H1247" s="16" t="inlineStr">
        <is>
          <t>NEGRO</t>
        </is>
      </c>
      <c r="I1247" s="16" t="n">
        <v>1</v>
      </c>
      <c r="J1247" s="17" t="n">
        <v>38</v>
      </c>
      <c r="K1247" s="17" t="n">
        <v>47.04</v>
      </c>
      <c r="L1247" s="17" t="n">
        <v>25.86</v>
      </c>
      <c r="M1247" s="17" t="n">
        <v>0</v>
      </c>
      <c r="N1247" s="17">
        <f>K1247*0.08+L1247*0.08</f>
        <v/>
      </c>
      <c r="O1247" s="17">
        <f>-(K1247*0.025+L1247*0.025)</f>
        <v/>
      </c>
      <c r="P1247" s="17">
        <f>32</f>
        <v/>
      </c>
      <c r="Q1247" s="17">
        <f>J1247+L1247+N1247+O1247-P1247-M1247</f>
        <v/>
      </c>
    </row>
    <row r="1248">
      <c r="A1248" s="16" t="inlineStr">
        <is>
          <t>5.15-5.21</t>
        </is>
      </c>
      <c r="B1248" s="16" t="inlineStr">
        <is>
          <t>PO-128-18476529715830942</t>
        </is>
      </c>
      <c r="C1248" s="16" t="inlineStr">
        <is>
          <t>Shipped</t>
        </is>
      </c>
      <c r="D1248" s="16" t="inlineStr">
        <is>
          <t>128-18476550687350942</t>
        </is>
      </c>
      <c r="E1248" s="16" t="inlineStr">
        <is>
          <t>Shipped</t>
        </is>
      </c>
      <c r="F1248" s="16" t="inlineStr">
        <is>
          <t>MB-178-N</t>
        </is>
      </c>
      <c r="G1248" s="16" t="inlineStr">
        <is>
          <t>Bocina de Barra Bluetooth LINK BITS con dos altavoces, sonido de alta calidad y multifuncional (Bluetooth, Radio FM, USB, TF, AUX, TWS), ideal para juegos, reuniones, oficina y cine en casa.</t>
        </is>
      </c>
      <c r="H1248" s="16" t="inlineStr">
        <is>
          <t>NEGRO</t>
        </is>
      </c>
      <c r="I1248" s="16" t="n">
        <v>2</v>
      </c>
      <c r="J1248" s="17" t="n">
        <v>270</v>
      </c>
      <c r="K1248" s="17" t="n">
        <v>308.68</v>
      </c>
      <c r="L1248" s="17" t="n">
        <v>0</v>
      </c>
      <c r="M1248" s="17" t="n">
        <v>0</v>
      </c>
      <c r="N1248" s="17">
        <f>K1248*0.08+L1248*0.08</f>
        <v/>
      </c>
      <c r="O1248" s="17">
        <f>-(K1248*0.025+L1248*0.025)</f>
        <v/>
      </c>
      <c r="P1248" s="17">
        <f>32</f>
        <v/>
      </c>
      <c r="Q1248" s="17">
        <f>J1248+L1248+N1248+O1248-P1248-M1248</f>
        <v/>
      </c>
    </row>
    <row r="1249">
      <c r="A1249" s="16" t="inlineStr">
        <is>
          <t>5.15-5.21</t>
        </is>
      </c>
      <c r="B1249" s="16" t="inlineStr">
        <is>
          <t>PO-128-18433467331190174</t>
        </is>
      </c>
      <c r="C1249" s="16" t="inlineStr">
        <is>
          <t>Shipped</t>
        </is>
      </c>
      <c r="D1249" s="16" t="inlineStr">
        <is>
          <t>128-18433627239030174</t>
        </is>
      </c>
      <c r="E1249" s="16" t="inlineStr">
        <is>
          <t>Shipped</t>
        </is>
      </c>
      <c r="F1249" s="16" t="inlineStr">
        <is>
          <t>MCM-001R</t>
        </is>
      </c>
      <c r="G1249" s="16" t="inlineStr">
        <is>
          <t>Musicord Altavoz Inalámbrico BT Portátil: ¡Sonido impactante, luces LED multicolores y 4 horas de autonomía! Compatible con TWS, FM, TF y USB – Imprescindible para fiestas y viajes</t>
        </is>
      </c>
      <c r="H1249" s="16" t="inlineStr">
        <is>
          <t>ROJO</t>
        </is>
      </c>
      <c r="I1249" s="16" t="n">
        <v>1</v>
      </c>
      <c r="J1249" s="17" t="n">
        <v>66.5</v>
      </c>
      <c r="K1249" s="17" t="n">
        <v>74.29000000000001</v>
      </c>
      <c r="L1249" s="17" t="n">
        <v>25.86</v>
      </c>
      <c r="M1249" s="17" t="n">
        <v>0</v>
      </c>
      <c r="N1249" s="17">
        <f>K1249*0.08+L1249*0.08</f>
        <v/>
      </c>
      <c r="O1249" s="17">
        <f>-(K1249*0.025+L1249*0.025)</f>
        <v/>
      </c>
      <c r="P1249" s="17">
        <f>32</f>
        <v/>
      </c>
      <c r="Q1249" s="17">
        <f>J1249+L1249+N1249+O1249-P1249-M1249</f>
        <v/>
      </c>
    </row>
    <row r="1250">
      <c r="A1250" s="16" t="inlineStr">
        <is>
          <t>5.15-5.21</t>
        </is>
      </c>
      <c r="B1250" s="16" t="inlineStr">
        <is>
          <t>PO-128-18268108196471224</t>
        </is>
      </c>
      <c r="C1250" s="16" t="inlineStr">
        <is>
          <t>Shipped</t>
        </is>
      </c>
      <c r="D1250" s="16" t="inlineStr">
        <is>
          <t>128-18268150139511224</t>
        </is>
      </c>
      <c r="E1250" s="16" t="inlineStr">
        <is>
          <t>Shipped</t>
        </is>
      </c>
      <c r="F1250" s="16" t="inlineStr">
        <is>
          <t>LB02235-azul</t>
        </is>
      </c>
      <c r="G1250" s="16" t="inlineStr">
        <is>
          <t>Audífonos Inalámbricos para la Cabeza, Recargables y Multifuncionales - Conectan a Varios Dispositivos, soportan Radio FM, Tarjeta TF y AUX - 4 Horas de Reproducción Musical - Ideal para Trabajo Cotidiano, Juegos y Estudio</t>
        </is>
      </c>
      <c r="H1250" s="16" t="inlineStr">
        <is>
          <t>AZUL</t>
        </is>
      </c>
      <c r="I1250" s="16" t="n">
        <v>1</v>
      </c>
      <c r="J1250" s="17" t="n">
        <v>36.8</v>
      </c>
      <c r="K1250" s="17" t="n">
        <v>49.91</v>
      </c>
      <c r="L1250" s="17" t="n">
        <v>25.86</v>
      </c>
      <c r="M1250" s="17" t="n">
        <v>0</v>
      </c>
      <c r="N1250" s="17">
        <f>K1250*0.08+L1250*0.08</f>
        <v/>
      </c>
      <c r="O1250" s="17">
        <f>-(K1250*0.025+L1250*0.025)</f>
        <v/>
      </c>
      <c r="P1250" s="17">
        <f>32</f>
        <v/>
      </c>
      <c r="Q1250" s="17">
        <f>J1250+L1250+N1250+O1250-P1250-M1250</f>
        <v/>
      </c>
    </row>
    <row r="1251">
      <c r="A1251" s="16" t="inlineStr">
        <is>
          <t>5.15-5.21</t>
        </is>
      </c>
      <c r="B1251" s="16" t="inlineStr">
        <is>
          <t>PO-128-18211589950071435</t>
        </is>
      </c>
      <c r="C1251" s="16" t="inlineStr">
        <is>
          <t>Shipped</t>
        </is>
      </c>
      <c r="D1251" s="16" t="inlineStr">
        <is>
          <t>128-18211574221431435</t>
        </is>
      </c>
      <c r="E1251" s="16" t="inlineStr">
        <is>
          <t>Shipped</t>
        </is>
      </c>
      <c r="F1251" s="16" t="inlineStr">
        <is>
          <t>VA384T-A</t>
        </is>
      </c>
      <c r="G1251" s="16" t="inlineStr">
        <is>
          <t>Bocina Portátil Bluetooth de 3 Pulgadas con Radio FM, USB TF TWS, Sonido Estéreo 5W, Bocina Recargable para Hogar Exterior Viaje Fiesta Camping</t>
        </is>
      </c>
      <c r="H1251" s="16" t="inlineStr">
        <is>
          <t>AZUL</t>
        </is>
      </c>
      <c r="I1251" s="16" t="n">
        <v>1</v>
      </c>
      <c r="J1251" s="17" t="n">
        <v>47.99</v>
      </c>
      <c r="K1251" s="17" t="n">
        <v>52.83</v>
      </c>
      <c r="L1251" s="17" t="n">
        <v>25.86</v>
      </c>
      <c r="M1251" s="17" t="n">
        <v>0</v>
      </c>
      <c r="N1251" s="17">
        <f>K1251*0.08+L1251*0.08</f>
        <v/>
      </c>
      <c r="O1251" s="17">
        <f>-(K1251*0.025+L1251*0.025)</f>
        <v/>
      </c>
      <c r="P1251" s="17">
        <f>32</f>
        <v/>
      </c>
      <c r="Q1251" s="17">
        <f>J1251+L1251+N1251+O1251-P1251-M1251</f>
        <v/>
      </c>
    </row>
    <row r="1252">
      <c r="A1252" s="16" t="inlineStr">
        <is>
          <t>5.15-5.21</t>
        </is>
      </c>
      <c r="B1252" s="16" t="inlineStr">
        <is>
          <t>PO-128-18389160758390441</t>
        </is>
      </c>
      <c r="C1252" s="16" t="inlineStr">
        <is>
          <t>Shipped</t>
        </is>
      </c>
      <c r="D1252" s="16" t="inlineStr">
        <is>
          <t>128-18389118815350441</t>
        </is>
      </c>
      <c r="E1252" s="16" t="inlineStr">
        <is>
          <t>Shipped</t>
        </is>
      </c>
      <c r="F1252" s="16" t="inlineStr">
        <is>
          <t>LV25W22</t>
        </is>
      </c>
      <c r="G12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52" s="16" t="inlineStr">
        <is>
          <t>LV25W32</t>
        </is>
      </c>
      <c r="I1252" s="16" t="n">
        <v>1</v>
      </c>
      <c r="J1252" s="17" t="n">
        <v>90.43000000000001</v>
      </c>
      <c r="K1252" s="17" t="n">
        <v>14.63</v>
      </c>
      <c r="L1252" s="17" t="n">
        <v>25.86</v>
      </c>
      <c r="M1252" s="17" t="n">
        <v>0</v>
      </c>
      <c r="N1252" s="17">
        <f>K1252*0.08+L1252*0.08</f>
        <v/>
      </c>
      <c r="O1252" s="17">
        <f>-(K1252*0.025+L1252*0.025)</f>
        <v/>
      </c>
      <c r="P1252" s="17">
        <f>32</f>
        <v/>
      </c>
      <c r="Q1252" s="17">
        <f>J1252+L1252+N1252+O1252-P1252-M1252</f>
        <v/>
      </c>
    </row>
    <row r="1253">
      <c r="A1253" s="16" t="inlineStr">
        <is>
          <t>5.15-5.21</t>
        </is>
      </c>
      <c r="B1253" s="16" t="inlineStr">
        <is>
          <t>PO-128-18058349619832538</t>
        </is>
      </c>
      <c r="C1253" s="16" t="inlineStr">
        <is>
          <t>Shipped</t>
        </is>
      </c>
      <c r="D1253" s="16" t="inlineStr">
        <is>
          <t>128-18058454477432538</t>
        </is>
      </c>
      <c r="E1253" s="16" t="inlineStr">
        <is>
          <t>Shipped</t>
        </is>
      </c>
      <c r="F1253" s="16" t="inlineStr">
        <is>
          <t>FA028</t>
        </is>
      </c>
      <c r="G1253" s="16" t="inlineStr">
        <is>
          <t>Extractor de agua para garrafas de agua, compatible con carga USB, extractor de agua automático, práctico, con dos modos de toma de agua: manual y programado, ideal para dormitorios, salones, oficinas, uso al aire libre y otros escenarios.</t>
        </is>
      </c>
      <c r="H1253" s="16" t="inlineStr">
        <is>
          <t>FA028</t>
        </is>
      </c>
      <c r="I1253" s="16" t="n">
        <v>10</v>
      </c>
      <c r="J1253" s="17" t="n">
        <v>330</v>
      </c>
      <c r="K1253" s="17" t="n">
        <v>425.8</v>
      </c>
      <c r="L1253" s="17" t="n">
        <v>0</v>
      </c>
      <c r="M1253" s="17" t="n">
        <v>0</v>
      </c>
      <c r="N1253" s="17">
        <f>K1253*0.08+L1253*0.08</f>
        <v/>
      </c>
      <c r="O1253" s="17">
        <f>-(K1253*0.025+L1253*0.025)</f>
        <v/>
      </c>
      <c r="P1253" s="17">
        <f>32</f>
        <v/>
      </c>
      <c r="Q1253" s="17">
        <f>J1253+L1253+N1253+O1253-P1253-M1253</f>
        <v/>
      </c>
    </row>
    <row r="1254">
      <c r="A1254" s="16" t="inlineStr">
        <is>
          <t>5.15-5.21</t>
        </is>
      </c>
      <c r="B1254" s="16" t="inlineStr">
        <is>
          <t>PO-128-18031391580793661</t>
        </is>
      </c>
      <c r="C1254" s="16" t="inlineStr">
        <is>
          <t>Shipped</t>
        </is>
      </c>
      <c r="D1254" s="16" t="inlineStr">
        <is>
          <t>128-18031433523833661</t>
        </is>
      </c>
      <c r="E1254" s="16" t="inlineStr">
        <is>
          <t>Shipped</t>
        </is>
      </c>
      <c r="F1254" s="16" t="inlineStr">
        <is>
          <t>LB02235-rojo</t>
        </is>
      </c>
      <c r="G1254" s="16" t="inlineStr">
        <is>
          <t>Audífonos Inalámbricos para la Cabeza, Recargables y Multifuncionales - Conectan a Varios Dispositivos, soportan Radio FM, Tarjeta TF y AUX - 4 Horas de Reproducción Musical - Ideal para Trabajo Cotidiano, Juegos y Estudio</t>
        </is>
      </c>
      <c r="H1254" s="16" t="inlineStr">
        <is>
          <t>ROJO</t>
        </is>
      </c>
      <c r="I1254" s="16" t="n">
        <v>1</v>
      </c>
      <c r="J1254" s="17" t="n">
        <v>36.8</v>
      </c>
      <c r="K1254" s="17" t="n">
        <v>49.91</v>
      </c>
      <c r="L1254" s="17" t="n">
        <v>25.86</v>
      </c>
      <c r="M1254" s="17" t="n">
        <v>0</v>
      </c>
      <c r="N1254" s="17">
        <f>K1254*0.08+L1254*0.08</f>
        <v/>
      </c>
      <c r="O1254" s="17">
        <f>-(K1254*0.025+L1254*0.025)</f>
        <v/>
      </c>
      <c r="P1254" s="17">
        <f>32</f>
        <v/>
      </c>
      <c r="Q1254" s="17">
        <f>J1254+L1254+N1254+O1254-P1254-M1254</f>
        <v/>
      </c>
    </row>
    <row r="1255">
      <c r="A1255" s="16" t="inlineStr">
        <is>
          <t>5.15-5.21</t>
        </is>
      </c>
      <c r="B1255" s="16" t="inlineStr">
        <is>
          <t>PO-128-18371611136631569</t>
        </is>
      </c>
      <c r="C1255" s="16" t="inlineStr">
        <is>
          <t>Shipped</t>
        </is>
      </c>
      <c r="D1255" s="16" t="inlineStr">
        <is>
          <t>128-18371579679351569</t>
        </is>
      </c>
      <c r="E1255" s="16" t="inlineStr">
        <is>
          <t>Shipped</t>
        </is>
      </c>
      <c r="F1255" s="16" t="inlineStr">
        <is>
          <t>SA8056T</t>
        </is>
      </c>
      <c r="G125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255" s="16" t="inlineStr">
        <is>
          <t>SA8056T</t>
        </is>
      </c>
      <c r="I1255" s="16" t="n">
        <v>4</v>
      </c>
      <c r="J1255" s="17" t="n">
        <v>564</v>
      </c>
      <c r="K1255" s="17" t="n">
        <v>645.52</v>
      </c>
      <c r="L1255" s="17" t="n">
        <v>0</v>
      </c>
      <c r="M1255" s="17" t="n">
        <v>0</v>
      </c>
      <c r="N1255" s="17">
        <f>K1255*0.08+L1255*0.08</f>
        <v/>
      </c>
      <c r="O1255" s="17">
        <f>-(K1255*0.025+L1255*0.025)</f>
        <v/>
      </c>
      <c r="P1255" s="17">
        <f>32</f>
        <v/>
      </c>
      <c r="Q1255" s="17">
        <f>J1255+L1255+N1255+O1255-P1255-M1255</f>
        <v/>
      </c>
    </row>
    <row r="1256">
      <c r="A1256" s="16" t="inlineStr">
        <is>
          <t>5.15-5.21</t>
        </is>
      </c>
      <c r="B1256" s="16" t="inlineStr">
        <is>
          <t>PO-128-18024964593273635</t>
        </is>
      </c>
      <c r="C1256" s="16" t="inlineStr">
        <is>
          <t>Shipped</t>
        </is>
      </c>
      <c r="D1256" s="16" t="inlineStr">
        <is>
          <t>128-18024943621753635</t>
        </is>
      </c>
      <c r="E1256" s="16" t="inlineStr">
        <is>
          <t>Shipped</t>
        </is>
      </c>
      <c r="F1256" s="16" t="inlineStr">
        <is>
          <t>SA323T</t>
        </is>
      </c>
      <c r="G1256" s="16" t="inlineStr">
        <is>
          <t>Linkbits Bocina Portátil Parlantes BT Portátiles con Iluminación de Ambiente | 1 Hora de Duración, FM, TWS, TF/Micro SD | Ideal para Hogar, Fiestas y Viajes</t>
        </is>
      </c>
      <c r="H1256" s="16" t="inlineStr">
        <is>
          <t>SA323T</t>
        </is>
      </c>
      <c r="I1256" s="16" t="n">
        <v>3</v>
      </c>
      <c r="J1256" s="17" t="n">
        <v>138</v>
      </c>
      <c r="K1256" s="17" t="n">
        <v>165.18</v>
      </c>
      <c r="L1256" s="17" t="n">
        <v>25.86</v>
      </c>
      <c r="M1256" s="17" t="n">
        <v>0</v>
      </c>
      <c r="N1256" s="17">
        <f>K1256*0.08+L1256*0.08</f>
        <v/>
      </c>
      <c r="O1256" s="17">
        <f>-(K1256*0.025+L1256*0.025)</f>
        <v/>
      </c>
      <c r="P1256" s="17">
        <f>32</f>
        <v/>
      </c>
      <c r="Q1256" s="17">
        <f>J1256+L1256+N1256+O1256-P1256-M1256</f>
        <v/>
      </c>
    </row>
    <row r="1257">
      <c r="A1257" s="16" t="inlineStr">
        <is>
          <t>5.15-5.21</t>
        </is>
      </c>
      <c r="B1257" s="16" t="inlineStr">
        <is>
          <t>PO-128-18035115838073703</t>
        </is>
      </c>
      <c r="C1257" s="16" t="inlineStr">
        <is>
          <t>Shipped</t>
        </is>
      </c>
      <c r="D1257" s="16" t="inlineStr">
        <is>
          <t>128-18035136809593703</t>
        </is>
      </c>
      <c r="E1257" s="16" t="inlineStr">
        <is>
          <t>Shipped</t>
        </is>
      </c>
      <c r="F1257" s="16" t="inlineStr">
        <is>
          <t>SA323T</t>
        </is>
      </c>
      <c r="G1257" s="16" t="inlineStr">
        <is>
          <t>Linkbits Bocina Portátil Parlantes BT Portátiles con Iluminación de Ambiente | 1 Hora de Duración, FM, TWS, TF/Micro SD | Ideal para Hogar, Fiestas y Viajes</t>
        </is>
      </c>
      <c r="H1257" s="16" t="inlineStr">
        <is>
          <t>SA323T</t>
        </is>
      </c>
      <c r="I1257" s="16" t="n">
        <v>1</v>
      </c>
      <c r="J1257" s="17" t="n">
        <v>46</v>
      </c>
      <c r="K1257" s="17" t="n">
        <v>55.06</v>
      </c>
      <c r="L1257" s="17" t="n">
        <v>13.57</v>
      </c>
      <c r="M1257" s="17" t="n">
        <v>0</v>
      </c>
      <c r="N1257" s="17">
        <f>K1257*0.08+L1257*0.08</f>
        <v/>
      </c>
      <c r="O1257" s="17">
        <f>-(K1257*0.025+L1257*0.025)</f>
        <v/>
      </c>
      <c r="P1257" s="17">
        <f>32</f>
        <v/>
      </c>
      <c r="Q1257" s="17">
        <f>J1257+L1257+N1257+O1257-P1257-M1257</f>
        <v/>
      </c>
    </row>
    <row r="1258">
      <c r="A1258" s="16" t="inlineStr">
        <is>
          <t>5.15-5.21</t>
        </is>
      </c>
      <c r="B1258" s="16" t="inlineStr">
        <is>
          <t>PO-128-18035115838073703</t>
        </is>
      </c>
      <c r="C1258" s="16" t="inlineStr">
        <is>
          <t>Shipped</t>
        </is>
      </c>
      <c r="D1258" s="16" t="inlineStr">
        <is>
          <t>128-18035052923513703</t>
        </is>
      </c>
      <c r="E1258" s="16" t="inlineStr">
        <is>
          <t>Shipped</t>
        </is>
      </c>
      <c r="F1258" s="16" t="inlineStr">
        <is>
          <t>LB02235-rojo</t>
        </is>
      </c>
      <c r="G1258" s="16" t="inlineStr">
        <is>
          <t>Audífonos Inalámbricos para la Cabeza, Recargables y Multifuncionales - Conectan a Varios Dispositivos, soportan Radio FM, Tarjeta TF y AUX - 4 Horas de Reproducción Musical - Ideal para Trabajo Cotidiano, Juegos y Estudio</t>
        </is>
      </c>
      <c r="H1258" s="16" t="inlineStr">
        <is>
          <t>ROJO</t>
        </is>
      </c>
      <c r="I1258" s="16" t="n">
        <v>1</v>
      </c>
      <c r="J1258" s="17" t="n">
        <v>36.8</v>
      </c>
      <c r="K1258" s="17" t="n">
        <v>49.91</v>
      </c>
      <c r="L1258" s="17" t="n">
        <v>12.29</v>
      </c>
      <c r="M1258" s="17" t="n">
        <v>0</v>
      </c>
      <c r="N1258" s="17">
        <f>K1258*0.08+L1258*0.08</f>
        <v/>
      </c>
      <c r="O1258" s="17">
        <f>-(K1258*0.025+L1258*0.025)</f>
        <v/>
      </c>
      <c r="P1258" s="17">
        <f>32</f>
        <v/>
      </c>
      <c r="Q1258" s="17">
        <f>J1258+L1258+N1258+O1258-P1258-M1258</f>
        <v/>
      </c>
    </row>
    <row r="1259">
      <c r="A1259" s="16" t="inlineStr">
        <is>
          <t>5.15-5.21</t>
        </is>
      </c>
      <c r="B1259" s="16" t="inlineStr">
        <is>
          <t>PO-128-18144621261433048</t>
        </is>
      </c>
      <c r="C1259" s="16" t="inlineStr">
        <is>
          <t>Shipped</t>
        </is>
      </c>
      <c r="D1259" s="16" t="inlineStr">
        <is>
          <t>128-18144663204473048</t>
        </is>
      </c>
      <c r="E1259" s="16" t="inlineStr">
        <is>
          <t>Shipped</t>
        </is>
      </c>
      <c r="F1259" s="16" t="inlineStr">
        <is>
          <t>SA8056T</t>
        </is>
      </c>
      <c r="G125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259" s="16" t="inlineStr">
        <is>
          <t>SA8056T</t>
        </is>
      </c>
      <c r="I1259" s="16" t="n">
        <v>1</v>
      </c>
      <c r="J1259" s="17" t="n">
        <v>141</v>
      </c>
      <c r="K1259" s="17" t="n">
        <v>118.28</v>
      </c>
      <c r="L1259" s="17" t="n">
        <v>25.86</v>
      </c>
      <c r="M1259" s="17" t="n">
        <v>0</v>
      </c>
      <c r="N1259" s="17">
        <f>K1259*0.08+L1259*0.08</f>
        <v/>
      </c>
      <c r="O1259" s="17">
        <f>-(K1259*0.025+L1259*0.025)</f>
        <v/>
      </c>
      <c r="P1259" s="17">
        <f>32</f>
        <v/>
      </c>
      <c r="Q1259" s="17">
        <f>J1259+L1259+N1259+O1259-P1259-M1259</f>
        <v/>
      </c>
    </row>
    <row r="1260">
      <c r="A1260" s="16" t="inlineStr">
        <is>
          <t>5.15-5.21</t>
        </is>
      </c>
      <c r="B1260" s="16" t="inlineStr">
        <is>
          <t>PO-128-18394160015990475</t>
        </is>
      </c>
      <c r="C1260" s="16" t="inlineStr">
        <is>
          <t>Shipped</t>
        </is>
      </c>
      <c r="D1260" s="16" t="inlineStr">
        <is>
          <t>128-18394180987510475</t>
        </is>
      </c>
      <c r="E1260" s="16" t="inlineStr">
        <is>
          <t>Shipped</t>
        </is>
      </c>
      <c r="F1260" s="16" t="inlineStr">
        <is>
          <t>MB-185N</t>
        </is>
      </c>
      <c r="G1260" s="16" t="inlineStr">
        <is>
          <t>Bocina Radio FM/Reproductor, Compatible con Tarjeta TF, USB, Bluetooth, Aplicable para celular, computadora, Ipad y consola.</t>
        </is>
      </c>
      <c r="H1260" s="16" t="inlineStr">
        <is>
          <t>NEGRO/MB-185</t>
        </is>
      </c>
      <c r="I1260" s="16" t="n">
        <v>1</v>
      </c>
      <c r="J1260" s="17" t="n">
        <v>75.5</v>
      </c>
      <c r="K1260" s="17" t="n">
        <v>88.44</v>
      </c>
      <c r="L1260" s="17" t="n">
        <v>25.86</v>
      </c>
      <c r="M1260" s="17" t="n">
        <v>0</v>
      </c>
      <c r="N1260" s="17">
        <f>K1260*0.08+L1260*0.08</f>
        <v/>
      </c>
      <c r="O1260" s="17">
        <f>-(K1260*0.025+L1260*0.025)</f>
        <v/>
      </c>
      <c r="P1260" s="17">
        <f>32</f>
        <v/>
      </c>
      <c r="Q1260" s="17">
        <f>J1260+L1260+N1260+O1260-P1260-M1260</f>
        <v/>
      </c>
    </row>
    <row r="1261">
      <c r="A1261" s="16" t="inlineStr">
        <is>
          <t>5.15-5.21</t>
        </is>
      </c>
      <c r="B1261" s="16" t="inlineStr">
        <is>
          <t>PO-128-17882908017273520</t>
        </is>
      </c>
      <c r="C1261" s="16" t="inlineStr">
        <is>
          <t>Shipped</t>
        </is>
      </c>
      <c r="D1261" s="16" t="inlineStr">
        <is>
          <t>128-17882970931833520</t>
        </is>
      </c>
      <c r="E1261" s="16" t="inlineStr">
        <is>
          <t>Shipped</t>
        </is>
      </c>
      <c r="F1261" s="16" t="inlineStr">
        <is>
          <t>SA325T</t>
        </is>
      </c>
      <c r="G1261" s="16" t="inlineStr">
        <is>
          <t>Subwoofer Portátil Inalámbrico con Luces RGB, Sonido de Alta Potencia y Batería Duradera, TWS TF USB, Perfecto para Campamento Fiestas y Entretenimiento en Casa</t>
        </is>
      </c>
      <c r="H1261" s="16" t="inlineStr">
        <is>
          <t>NEGRO</t>
        </is>
      </c>
      <c r="I1261" s="16" t="n">
        <v>1</v>
      </c>
      <c r="J1261" s="17" t="n">
        <v>38</v>
      </c>
      <c r="K1261" s="17" t="n">
        <v>47.04</v>
      </c>
      <c r="L1261" s="17" t="n">
        <v>8</v>
      </c>
      <c r="M1261" s="17" t="n">
        <v>0</v>
      </c>
      <c r="N1261" s="17">
        <f>K1261*0.08+L1261*0.08</f>
        <v/>
      </c>
      <c r="O1261" s="17">
        <f>-(K1261*0.025+L1261*0.025)</f>
        <v/>
      </c>
      <c r="P1261" s="17">
        <f>32</f>
        <v/>
      </c>
      <c r="Q1261" s="17">
        <f>J1261+L1261+N1261+O1261-P1261-M1261</f>
        <v/>
      </c>
    </row>
    <row r="1262">
      <c r="A1262" s="16" t="inlineStr">
        <is>
          <t>5.15-5.21</t>
        </is>
      </c>
      <c r="B1262" s="16" t="inlineStr">
        <is>
          <t>PO-128-17882908017273520</t>
        </is>
      </c>
      <c r="C1262" s="16" t="inlineStr">
        <is>
          <t>Shipped</t>
        </is>
      </c>
      <c r="D1262" s="16" t="inlineStr">
        <is>
          <t>128-17882962176633520</t>
        </is>
      </c>
      <c r="E1262" s="16" t="inlineStr">
        <is>
          <t>Shipped</t>
        </is>
      </c>
      <c r="F1262" s="16" t="inlineStr">
        <is>
          <t>SA323T</t>
        </is>
      </c>
      <c r="G1262" s="16" t="inlineStr">
        <is>
          <t>Linkbits Bocina Portátil Parlantes BT Portátiles con Iluminación de Ambiente | 1 Hora de Duración, FM, TWS, TF/Micro SD | Ideal para Hogar, Fiestas y Viajes</t>
        </is>
      </c>
      <c r="H1262" s="16" t="inlineStr">
        <is>
          <t>SA323T</t>
        </is>
      </c>
      <c r="I1262" s="16" t="n">
        <v>1</v>
      </c>
      <c r="J1262" s="17" t="n">
        <v>46</v>
      </c>
      <c r="K1262" s="17" t="n">
        <v>55.06</v>
      </c>
      <c r="L1262" s="17" t="n">
        <v>9.380000000000001</v>
      </c>
      <c r="M1262" s="17" t="n">
        <v>0</v>
      </c>
      <c r="N1262" s="17">
        <f>K1262*0.08+L1262*0.08</f>
        <v/>
      </c>
      <c r="O1262" s="17">
        <f>-(K1262*0.025+L1262*0.025)</f>
        <v/>
      </c>
      <c r="P1262" s="17">
        <f>32</f>
        <v/>
      </c>
      <c r="Q1262" s="17">
        <f>J1262+L1262+N1262+O1262-P1262-M1262</f>
        <v/>
      </c>
    </row>
    <row r="1263">
      <c r="A1263" s="16" t="inlineStr">
        <is>
          <t>5.15-5.21</t>
        </is>
      </c>
      <c r="B1263" s="16" t="inlineStr">
        <is>
          <t>PO-128-17882908017273520</t>
        </is>
      </c>
      <c r="C1263" s="16" t="inlineStr">
        <is>
          <t>Shipped</t>
        </is>
      </c>
      <c r="D1263" s="16" t="inlineStr">
        <is>
          <t>128-17882949960313520</t>
        </is>
      </c>
      <c r="E1263" s="16" t="inlineStr">
        <is>
          <t>Shipped</t>
        </is>
      </c>
      <c r="F1263" s="16" t="inlineStr">
        <is>
          <t>LB02235-negro</t>
        </is>
      </c>
      <c r="G1263" s="16" t="inlineStr">
        <is>
          <t>Audífonos Inalámbricos para la Cabeza, Recargables y Multifuncionales - Conectan a Varios Dispositivos, soportan Radio FM, Tarjeta TF y AUX - 4 Horas de Reproducción Musical - Ideal para Trabajo Cotidiano, Juegos y Estudio</t>
        </is>
      </c>
      <c r="H1263" s="16" t="inlineStr">
        <is>
          <t>NEGRO</t>
        </is>
      </c>
      <c r="I1263" s="16" t="n">
        <v>1</v>
      </c>
      <c r="J1263" s="17" t="n">
        <v>36.8</v>
      </c>
      <c r="K1263" s="17" t="n">
        <v>49.91</v>
      </c>
      <c r="L1263" s="17" t="n">
        <v>8.48</v>
      </c>
      <c r="M1263" s="17" t="n">
        <v>0</v>
      </c>
      <c r="N1263" s="17">
        <f>K1263*0.08+L1263*0.08</f>
        <v/>
      </c>
      <c r="O1263" s="17">
        <f>-(K1263*0.025+L1263*0.025)</f>
        <v/>
      </c>
      <c r="P1263" s="17">
        <f>32</f>
        <v/>
      </c>
      <c r="Q1263" s="17">
        <f>J1263+L1263+N1263+O1263-P1263-M1263</f>
        <v/>
      </c>
    </row>
    <row r="1264">
      <c r="A1264" s="16" t="inlineStr">
        <is>
          <t>5.15-5.21</t>
        </is>
      </c>
      <c r="B1264" s="16" t="inlineStr">
        <is>
          <t>PO-128-18348158444151709</t>
        </is>
      </c>
      <c r="C1264" s="16" t="inlineStr">
        <is>
          <t>Shipped</t>
        </is>
      </c>
      <c r="D1264" s="16" t="inlineStr">
        <is>
          <t>128-18348226601591709</t>
        </is>
      </c>
      <c r="E1264" s="16" t="inlineStr">
        <is>
          <t>Shipped</t>
        </is>
      </c>
      <c r="F1264" s="16" t="inlineStr">
        <is>
          <t>LV25W22</t>
        </is>
      </c>
      <c r="G126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64" s="16" t="inlineStr">
        <is>
          <t>LV25W32</t>
        </is>
      </c>
      <c r="I1264" s="16" t="n">
        <v>2</v>
      </c>
      <c r="J1264" s="17" t="n">
        <v>180.86</v>
      </c>
      <c r="K1264" s="17" t="n">
        <v>161.35</v>
      </c>
      <c r="L1264" s="17" t="n">
        <v>25.86</v>
      </c>
      <c r="M1264" s="17" t="n">
        <v>0</v>
      </c>
      <c r="N1264" s="17">
        <f>K1264*0.08+L1264*0.08</f>
        <v/>
      </c>
      <c r="O1264" s="17">
        <f>-(K1264*0.025+L1264*0.025)</f>
        <v/>
      </c>
      <c r="P1264" s="17">
        <f>32</f>
        <v/>
      </c>
      <c r="Q1264" s="17">
        <f>J1264+L1264+N1264+O1264-P1264-M1264</f>
        <v/>
      </c>
    </row>
    <row r="1265">
      <c r="A1265" s="16" t="inlineStr">
        <is>
          <t>5.15-5.21</t>
        </is>
      </c>
      <c r="B1265" s="16" t="inlineStr">
        <is>
          <t>PO-128-18477397445750939</t>
        </is>
      </c>
      <c r="C1265" s="16" t="inlineStr">
        <is>
          <t>Shipped</t>
        </is>
      </c>
      <c r="D1265" s="16" t="inlineStr">
        <is>
          <t>128-18477407931510939</t>
        </is>
      </c>
      <c r="E1265" s="16" t="inlineStr">
        <is>
          <t>Shipped</t>
        </is>
      </c>
      <c r="F1265" s="16" t="inlineStr">
        <is>
          <t>LV25W22</t>
        </is>
      </c>
      <c r="G12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65" s="16" t="inlineStr">
        <is>
          <t>LV25W32</t>
        </is>
      </c>
      <c r="I1265" s="16" t="n">
        <v>1</v>
      </c>
      <c r="J1265" s="17" t="n">
        <v>90.43000000000001</v>
      </c>
      <c r="K1265" s="17" t="n">
        <v>100.84</v>
      </c>
      <c r="L1265" s="17" t="n">
        <v>25.86</v>
      </c>
      <c r="M1265" s="17" t="n">
        <v>0</v>
      </c>
      <c r="N1265" s="17">
        <f>K1265*0.08+L1265*0.08</f>
        <v/>
      </c>
      <c r="O1265" s="17">
        <f>-(K1265*0.025+L1265*0.025)</f>
        <v/>
      </c>
      <c r="P1265" s="17">
        <f>32</f>
        <v/>
      </c>
      <c r="Q1265" s="17">
        <f>J1265+L1265+N1265+O1265-P1265-M1265</f>
        <v/>
      </c>
    </row>
    <row r="1266">
      <c r="A1266" s="16" t="inlineStr">
        <is>
          <t>5.15-5.21</t>
        </is>
      </c>
      <c r="B1266" s="16" t="inlineStr">
        <is>
          <t>PO-128-18138808832633021</t>
        </is>
      </c>
      <c r="C1266" s="16" t="inlineStr">
        <is>
          <t>Shipped</t>
        </is>
      </c>
      <c r="D1266" s="16" t="inlineStr">
        <is>
          <t>128-18138829804153021</t>
        </is>
      </c>
      <c r="E1266" s="16" t="inlineStr">
        <is>
          <t>Shipped</t>
        </is>
      </c>
      <c r="F1266" s="16" t="inlineStr">
        <is>
          <t>LV25W22</t>
        </is>
      </c>
      <c r="G12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66" s="16" t="inlineStr">
        <is>
          <t>LV25W32</t>
        </is>
      </c>
      <c r="I1266" s="16" t="n">
        <v>2</v>
      </c>
      <c r="J1266" s="17" t="n">
        <v>180.86</v>
      </c>
      <c r="K1266" s="17" t="n">
        <v>201.68</v>
      </c>
      <c r="L1266" s="17" t="n">
        <v>25.86</v>
      </c>
      <c r="M1266" s="17" t="n">
        <v>0</v>
      </c>
      <c r="N1266" s="17">
        <f>K1266*0.08+L1266*0.08</f>
        <v/>
      </c>
      <c r="O1266" s="17">
        <f>-(K1266*0.025+L1266*0.025)</f>
        <v/>
      </c>
      <c r="P1266" s="17">
        <f>32</f>
        <v/>
      </c>
      <c r="Q1266" s="17">
        <f>J1266+L1266+N1266+O1266-P1266-M1266</f>
        <v/>
      </c>
    </row>
    <row r="1267">
      <c r="A1267" s="16" t="inlineStr">
        <is>
          <t>5.15-5.21</t>
        </is>
      </c>
      <c r="B1267" s="16" t="inlineStr">
        <is>
          <t>PO-128-18073857495672382</t>
        </is>
      </c>
      <c r="C1267" s="16" t="inlineStr">
        <is>
          <t>Shipped</t>
        </is>
      </c>
      <c r="D1267" s="16" t="inlineStr">
        <is>
          <t>128-18073909924472382</t>
        </is>
      </c>
      <c r="E1267" s="16" t="inlineStr">
        <is>
          <t>Shipped</t>
        </is>
      </c>
      <c r="F1267" s="16" t="inlineStr">
        <is>
          <t>LB02235-blanco</t>
        </is>
      </c>
      <c r="G1267" s="16" t="inlineStr">
        <is>
          <t>Audífonos Inalámbricos para la Cabeza, Recargables y Multifuncionales - Conectan a Varios Dispositivos, soportan Radio FM, Tarjeta TF y AUX - 4 Horas de Reproducción Musical - Ideal para Trabajo Cotidiano, Juegos y Estudio</t>
        </is>
      </c>
      <c r="H1267" s="16" t="inlineStr">
        <is>
          <t>BLANCO</t>
        </is>
      </c>
      <c r="I1267" s="16" t="n">
        <v>1</v>
      </c>
      <c r="J1267" s="17" t="n">
        <v>36.8</v>
      </c>
      <c r="K1267" s="17" t="n">
        <v>6.81</v>
      </c>
      <c r="L1267" s="17" t="n">
        <v>12.93</v>
      </c>
      <c r="M1267" s="17" t="n">
        <v>0</v>
      </c>
      <c r="N1267" s="17">
        <f>K1267*0.08+L1267*0.08</f>
        <v/>
      </c>
      <c r="O1267" s="17">
        <f>-(K1267*0.025+L1267*0.025)</f>
        <v/>
      </c>
      <c r="P1267" s="17">
        <f>32</f>
        <v/>
      </c>
      <c r="Q1267" s="17">
        <f>J1267+L1267+N1267+O1267-P1267-M1267</f>
        <v/>
      </c>
    </row>
    <row r="1268">
      <c r="A1268" s="16" t="inlineStr">
        <is>
          <t>5.15-5.21</t>
        </is>
      </c>
      <c r="B1268" s="16" t="inlineStr">
        <is>
          <t>PO-128-18073857495672382</t>
        </is>
      </c>
      <c r="C1268" s="16" t="inlineStr">
        <is>
          <t>Shipped</t>
        </is>
      </c>
      <c r="D1268" s="16" t="inlineStr">
        <is>
          <t>128-18073826038392382</t>
        </is>
      </c>
      <c r="E1268" s="16" t="inlineStr">
        <is>
          <t>Shipped</t>
        </is>
      </c>
      <c r="F1268" s="16" t="inlineStr">
        <is>
          <t>LB02235-azul</t>
        </is>
      </c>
      <c r="G1268" s="16" t="inlineStr">
        <is>
          <t>Audífonos Inalámbricos para la Cabeza, Recargables y Multifuncionales - Conectan a Varios Dispositivos, soportan Radio FM, Tarjeta TF y AUX - 4 Horas de Reproducción Musical - Ideal para Trabajo Cotidiano, Juegos y Estudio</t>
        </is>
      </c>
      <c r="H1268" s="16" t="inlineStr">
        <is>
          <t>AZUL</t>
        </is>
      </c>
      <c r="I1268" s="16" t="n">
        <v>1</v>
      </c>
      <c r="J1268" s="17" t="n">
        <v>36.8</v>
      </c>
      <c r="K1268" s="17" t="n">
        <v>6.81</v>
      </c>
      <c r="L1268" s="17" t="n">
        <v>12.93</v>
      </c>
      <c r="M1268" s="17" t="n">
        <v>0</v>
      </c>
      <c r="N1268" s="17">
        <f>K1268*0.08+L1268*0.08</f>
        <v/>
      </c>
      <c r="O1268" s="17">
        <f>-(K1268*0.025+L1268*0.025)</f>
        <v/>
      </c>
      <c r="P1268" s="17">
        <f>32</f>
        <v/>
      </c>
      <c r="Q1268" s="17">
        <f>J1268+L1268+N1268+O1268-P1268-M1268</f>
        <v/>
      </c>
    </row>
    <row r="1269">
      <c r="A1269" s="16" t="inlineStr">
        <is>
          <t>5.15-5.21</t>
        </is>
      </c>
      <c r="B1269" s="16" t="inlineStr">
        <is>
          <t>PO-128-18537925069430512</t>
        </is>
      </c>
      <c r="C1269" s="16" t="inlineStr">
        <is>
          <t>Shipped</t>
        </is>
      </c>
      <c r="D1269" s="16" t="inlineStr">
        <is>
          <t>128-18537980119670512</t>
        </is>
      </c>
      <c r="E1269" s="16" t="inlineStr">
        <is>
          <t>Shipped</t>
        </is>
      </c>
      <c r="F1269" s="16" t="inlineStr">
        <is>
          <t>LV25W22</t>
        </is>
      </c>
      <c r="G12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69" s="16" t="inlineStr">
        <is>
          <t>LV25W32</t>
        </is>
      </c>
      <c r="I1269" s="16" t="n">
        <v>1</v>
      </c>
      <c r="J1269" s="17" t="n">
        <v>90.43000000000001</v>
      </c>
      <c r="K1269" s="17" t="n">
        <v>100.84</v>
      </c>
      <c r="L1269" s="17" t="n">
        <v>25.86</v>
      </c>
      <c r="M1269" s="17" t="n">
        <v>0</v>
      </c>
      <c r="N1269" s="17">
        <f>K1269*0.08+L1269*0.08</f>
        <v/>
      </c>
      <c r="O1269" s="17">
        <f>-(K1269*0.025+L1269*0.025)</f>
        <v/>
      </c>
      <c r="P1269" s="17">
        <f>32</f>
        <v/>
      </c>
      <c r="Q1269" s="17">
        <f>J1269+L1269+N1269+O1269-P1269-M1269</f>
        <v/>
      </c>
    </row>
    <row r="1270">
      <c r="A1270" s="16" t="inlineStr">
        <is>
          <t>5.15-5.21</t>
        </is>
      </c>
      <c r="B1270" s="16" t="inlineStr">
        <is>
          <t>PO-128-17985280451193934</t>
        </is>
      </c>
      <c r="C1270" s="16" t="inlineStr">
        <is>
          <t>Shipped</t>
        </is>
      </c>
      <c r="D1270" s="16" t="inlineStr">
        <is>
          <t>128-17985301422713934</t>
        </is>
      </c>
      <c r="E1270" s="16" t="inlineStr">
        <is>
          <t>Shipped</t>
        </is>
      </c>
      <c r="F1270" s="16" t="inlineStr">
        <is>
          <t>LV25W22</t>
        </is>
      </c>
      <c r="G12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70" s="16" t="inlineStr">
        <is>
          <t>LV25W32</t>
        </is>
      </c>
      <c r="I1270" s="16" t="n">
        <v>1</v>
      </c>
      <c r="J1270" s="17" t="n">
        <v>90.43000000000001</v>
      </c>
      <c r="K1270" s="17" t="n">
        <v>100.84</v>
      </c>
      <c r="L1270" s="17" t="n">
        <v>25.86</v>
      </c>
      <c r="M1270" s="17" t="n">
        <v>0</v>
      </c>
      <c r="N1270" s="17">
        <f>K1270*0.08+L1270*0.08</f>
        <v/>
      </c>
      <c r="O1270" s="17">
        <f>-(K1270*0.025+L1270*0.025)</f>
        <v/>
      </c>
      <c r="P1270" s="17">
        <f>32</f>
        <v/>
      </c>
      <c r="Q1270" s="17">
        <f>J1270+L1270+N1270+O1270-P1270-M1270</f>
        <v/>
      </c>
    </row>
    <row r="1271">
      <c r="A1271" s="16" t="inlineStr">
        <is>
          <t>5.15-5.21</t>
        </is>
      </c>
      <c r="B1271" s="16" t="inlineStr">
        <is>
          <t>PO-128-18017871652473612</t>
        </is>
      </c>
      <c r="C1271" s="16" t="inlineStr">
        <is>
          <t>Shipped</t>
        </is>
      </c>
      <c r="D1271" s="16" t="inlineStr">
        <is>
          <t>128-18017829709433612</t>
        </is>
      </c>
      <c r="E1271" s="16" t="inlineStr">
        <is>
          <t>Shipped</t>
        </is>
      </c>
      <c r="F1271" s="16" t="inlineStr">
        <is>
          <t>LV25W22</t>
        </is>
      </c>
      <c r="G127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71" s="16" t="inlineStr">
        <is>
          <t>LV25W32</t>
        </is>
      </c>
      <c r="I1271" s="16" t="n">
        <v>2</v>
      </c>
      <c r="J1271" s="17" t="n">
        <v>180.86</v>
      </c>
      <c r="K1271" s="17" t="n">
        <v>201.68</v>
      </c>
      <c r="L1271" s="17" t="n">
        <v>25.86</v>
      </c>
      <c r="M1271" s="17" t="n">
        <v>0</v>
      </c>
      <c r="N1271" s="17">
        <f>K1271*0.08+L1271*0.08</f>
        <v/>
      </c>
      <c r="O1271" s="17">
        <f>-(K1271*0.025+L1271*0.025)</f>
        <v/>
      </c>
      <c r="P1271" s="17">
        <f>32</f>
        <v/>
      </c>
      <c r="Q1271" s="17">
        <f>J1271+L1271+N1271+O1271-P1271-M1271</f>
        <v/>
      </c>
    </row>
    <row r="1272">
      <c r="A1272" s="16" t="inlineStr">
        <is>
          <t>5.15-5.21</t>
        </is>
      </c>
      <c r="B1272" s="16" t="inlineStr">
        <is>
          <t>PO-128-18205748104312684</t>
        </is>
      </c>
      <c r="C1272" s="16" t="inlineStr">
        <is>
          <t>Shipped</t>
        </is>
      </c>
      <c r="D1272" s="16" t="inlineStr">
        <is>
          <t>128-18205769075832684</t>
        </is>
      </c>
      <c r="E1272" s="16" t="inlineStr">
        <is>
          <t>Shipped</t>
        </is>
      </c>
      <c r="F1272" s="16" t="inlineStr">
        <is>
          <t>SA325T</t>
        </is>
      </c>
      <c r="G1272" s="16" t="inlineStr">
        <is>
          <t>Subwoofer Portátil Inalámbrico con Luces RGB, Sonido de Alta Potencia y Batería Duradera, TWS TF USB, Perfecto para Campamento Fiestas y Entretenimiento en Casa</t>
        </is>
      </c>
      <c r="H1272" s="16" t="inlineStr">
        <is>
          <t>NEGRO</t>
        </is>
      </c>
      <c r="I1272" s="16" t="n">
        <v>1</v>
      </c>
      <c r="J1272" s="17" t="n">
        <v>38</v>
      </c>
      <c r="K1272" s="17" t="n">
        <v>47.04</v>
      </c>
      <c r="L1272" s="17" t="n">
        <v>25.86</v>
      </c>
      <c r="M1272" s="17" t="n">
        <v>0</v>
      </c>
      <c r="N1272" s="17">
        <f>K1272*0.08+L1272*0.08</f>
        <v/>
      </c>
      <c r="O1272" s="17">
        <f>-(K1272*0.025+L1272*0.025)</f>
        <v/>
      </c>
      <c r="P1272" s="17">
        <f>32</f>
        <v/>
      </c>
      <c r="Q1272" s="17">
        <f>J1272+L1272+N1272+O1272-P1272-M1272</f>
        <v/>
      </c>
    </row>
    <row r="1273">
      <c r="A1273" s="16" t="inlineStr">
        <is>
          <t>5.15-5.21</t>
        </is>
      </c>
      <c r="B1273" s="16" t="inlineStr">
        <is>
          <t>PO-128-17968313723514037</t>
        </is>
      </c>
      <c r="C1273" s="16" t="inlineStr">
        <is>
          <t>Shipped</t>
        </is>
      </c>
      <c r="D1273" s="16" t="inlineStr">
        <is>
          <t>128-17968261294714037</t>
        </is>
      </c>
      <c r="E1273" s="16" t="inlineStr">
        <is>
          <t>Shipped</t>
        </is>
      </c>
      <c r="F1273" s="16" t="inlineStr">
        <is>
          <t>LB02235-negro</t>
        </is>
      </c>
      <c r="G1273" s="16" t="inlineStr">
        <is>
          <t>Audífonos Inalámbricos para la Cabeza, Recargables y Multifuncionales - Conectan a Varios Dispositivos, soportan Radio FM, Tarjeta TF y AUX - 4 Horas de Reproducción Musical - Ideal para Trabajo Cotidiano, Juegos y Estudio</t>
        </is>
      </c>
      <c r="H1273" s="16" t="inlineStr">
        <is>
          <t>NEGRO</t>
        </is>
      </c>
      <c r="I1273" s="16" t="n">
        <v>1</v>
      </c>
      <c r="J1273" s="17" t="n">
        <v>36.8</v>
      </c>
      <c r="K1273" s="17" t="n">
        <v>49.91</v>
      </c>
      <c r="L1273" s="17" t="n">
        <v>25.86</v>
      </c>
      <c r="M1273" s="17" t="n">
        <v>0</v>
      </c>
      <c r="N1273" s="17">
        <f>K1273*0.08+L1273*0.08</f>
        <v/>
      </c>
      <c r="O1273" s="17">
        <f>-(K1273*0.025+L1273*0.025)</f>
        <v/>
      </c>
      <c r="P1273" s="17">
        <f>32</f>
        <v/>
      </c>
      <c r="Q1273" s="17">
        <f>J1273+L1273+N1273+O1273-P1273-M1273</f>
        <v/>
      </c>
    </row>
    <row r="1274">
      <c r="A1274" s="16" t="inlineStr">
        <is>
          <t>5.15-5.21</t>
        </is>
      </c>
      <c r="B1274" s="16" t="inlineStr">
        <is>
          <t>PO-128-18393834143350477</t>
        </is>
      </c>
      <c r="C1274" s="16" t="inlineStr">
        <is>
          <t>Shipped</t>
        </is>
      </c>
      <c r="D1274" s="16" t="inlineStr">
        <is>
          <t>128-18393860357750477</t>
        </is>
      </c>
      <c r="E1274" s="16" t="inlineStr">
        <is>
          <t>Shipped</t>
        </is>
      </c>
      <c r="F1274" s="16" t="inlineStr">
        <is>
          <t>LV25W22</t>
        </is>
      </c>
      <c r="G12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74" s="16" t="inlineStr">
        <is>
          <t>LV25W32</t>
        </is>
      </c>
      <c r="I1274" s="16" t="n">
        <v>1</v>
      </c>
      <c r="J1274" s="17" t="n">
        <v>90.43000000000001</v>
      </c>
      <c r="K1274" s="17" t="n">
        <v>100.84</v>
      </c>
      <c r="L1274" s="17" t="n">
        <v>25.86</v>
      </c>
      <c r="M1274" s="17" t="n">
        <v>0</v>
      </c>
      <c r="N1274" s="17">
        <f>K1274*0.08+L1274*0.08</f>
        <v/>
      </c>
      <c r="O1274" s="17">
        <f>-(K1274*0.025+L1274*0.025)</f>
        <v/>
      </c>
      <c r="P1274" s="17">
        <f>32</f>
        <v/>
      </c>
      <c r="Q1274" s="17">
        <f>J1274+L1274+N1274+O1274-P1274-M1274</f>
        <v/>
      </c>
    </row>
    <row r="1275">
      <c r="A1275" s="16" t="inlineStr">
        <is>
          <t>5.15-5.21</t>
        </is>
      </c>
      <c r="B1275" s="16" t="inlineStr">
        <is>
          <t>PO-128-17887476685433559</t>
        </is>
      </c>
      <c r="C1275" s="16" t="inlineStr">
        <is>
          <t>Shipped</t>
        </is>
      </c>
      <c r="D1275" s="16" t="inlineStr">
        <is>
          <t>128-17887497656953559</t>
        </is>
      </c>
      <c r="E1275" s="16" t="inlineStr">
        <is>
          <t>Shipped</t>
        </is>
      </c>
      <c r="F1275" s="16" t="inlineStr">
        <is>
          <t>KTS-1678V</t>
        </is>
      </c>
      <c r="G1275" s="16" t="inlineStr">
        <is>
          <t>Bocina portátil Inalámbrico, de 3 pulgadas, tamaño de bolsillo, 170 g, con asa, compatible con TF, USB y Micro SD, con radio FM y función TWS (True Wireless Stereo), adecuada para relajarse en casa o viajar al aire libre.</t>
        </is>
      </c>
      <c r="H1275" s="16" t="inlineStr">
        <is>
          <t>KTS-1678V</t>
        </is>
      </c>
      <c r="I1275" s="16" t="n">
        <v>1</v>
      </c>
      <c r="J1275" s="17" t="n">
        <v>42.5</v>
      </c>
      <c r="K1275" s="17" t="n">
        <v>40.62</v>
      </c>
      <c r="L1275" s="17" t="n">
        <v>25.86</v>
      </c>
      <c r="M1275" s="17" t="n">
        <v>0</v>
      </c>
      <c r="N1275" s="17">
        <f>K1275*0.08+L1275*0.08</f>
        <v/>
      </c>
      <c r="O1275" s="17">
        <f>-(K1275*0.025+L1275*0.025)</f>
        <v/>
      </c>
      <c r="P1275" s="17">
        <f>32</f>
        <v/>
      </c>
      <c r="Q1275" s="17">
        <f>J1275+L1275+N1275+O1275-P1275-M1275</f>
        <v/>
      </c>
    </row>
    <row r="1276">
      <c r="A1276" s="16" t="inlineStr">
        <is>
          <t>5.15-5.21</t>
        </is>
      </c>
      <c r="B1276" s="16" t="inlineStr">
        <is>
          <t>PO-128-18355155712631731</t>
        </is>
      </c>
      <c r="C1276" s="16" t="inlineStr">
        <is>
          <t>Shipped</t>
        </is>
      </c>
      <c r="D1276" s="16" t="inlineStr">
        <is>
          <t>128-18355197655671731</t>
        </is>
      </c>
      <c r="E1276" s="16" t="inlineStr">
        <is>
          <t>Shipped</t>
        </is>
      </c>
      <c r="F1276" s="16" t="inlineStr">
        <is>
          <t>MB-178-B</t>
        </is>
      </c>
      <c r="G1276" s="16" t="inlineStr">
        <is>
          <t>Bocina de Barra Bluetooth LINK BITS con dos altavoces, sonido de alta calidad y multifuncional (Bluetooth, Radio FM, USB, TF, AUX, TWS), ideal para juegos, reuniones, oficina y cine en casa.</t>
        </is>
      </c>
      <c r="H1276" s="16" t="inlineStr">
        <is>
          <t>BLANCO</t>
        </is>
      </c>
      <c r="I1276" s="16" t="n">
        <v>1</v>
      </c>
      <c r="J1276" s="17" t="n">
        <v>129</v>
      </c>
      <c r="K1276" s="17" t="n">
        <v>155.27</v>
      </c>
      <c r="L1276" s="17" t="n">
        <v>25.86</v>
      </c>
      <c r="M1276" s="17" t="n">
        <v>0</v>
      </c>
      <c r="N1276" s="17">
        <f>K1276*0.08+L1276*0.08</f>
        <v/>
      </c>
      <c r="O1276" s="17">
        <f>-(K1276*0.025+L1276*0.025)</f>
        <v/>
      </c>
      <c r="P1276" s="17">
        <f>32</f>
        <v/>
      </c>
      <c r="Q1276" s="17">
        <f>J1276+L1276+N1276+O1276-P1276-M1276</f>
        <v/>
      </c>
    </row>
    <row r="1277">
      <c r="A1277" s="16" t="inlineStr">
        <is>
          <t>5.15-5.21</t>
        </is>
      </c>
      <c r="B1277" s="16" t="inlineStr">
        <is>
          <t>PO-128-18158558136952903</t>
        </is>
      </c>
      <c r="C1277" s="16" t="inlineStr">
        <is>
          <t>Shipped</t>
        </is>
      </c>
      <c r="D1277" s="16" t="inlineStr">
        <is>
          <t>128-18158537165432903</t>
        </is>
      </c>
      <c r="E1277" s="16" t="inlineStr">
        <is>
          <t>Shipped</t>
        </is>
      </c>
      <c r="F1277" s="16" t="inlineStr">
        <is>
          <t>MCM-001N</t>
        </is>
      </c>
      <c r="G1277" s="16" t="inlineStr">
        <is>
          <t>Musicord Altavoz Inalámbrico BT Portátil: ¡Sonido impactante, luces LED multicolores y 4 horas de autonomía! Compatible con TWS, FM, TF y USB – Imprescindible para fiestas y viajes</t>
        </is>
      </c>
      <c r="H1277" s="16" t="inlineStr">
        <is>
          <t>NEGRO</t>
        </is>
      </c>
      <c r="I1277" s="16" t="n">
        <v>1</v>
      </c>
      <c r="J1277" s="17" t="n">
        <v>61</v>
      </c>
      <c r="K1277" s="17" t="n">
        <v>68.79000000000001</v>
      </c>
      <c r="L1277" s="17" t="n">
        <v>25.86</v>
      </c>
      <c r="M1277" s="17" t="n">
        <v>0</v>
      </c>
      <c r="N1277" s="17">
        <f>K1277*0.08+L1277*0.08</f>
        <v/>
      </c>
      <c r="O1277" s="17">
        <f>-(K1277*0.025+L1277*0.025)</f>
        <v/>
      </c>
      <c r="P1277" s="17">
        <f>32</f>
        <v/>
      </c>
      <c r="Q1277" s="17">
        <f>J1277+L1277+N1277+O1277-P1277-M1277</f>
        <v/>
      </c>
    </row>
    <row r="1278">
      <c r="A1278" s="16" t="inlineStr">
        <is>
          <t>5.15-5.21</t>
        </is>
      </c>
      <c r="B1278" s="16" t="inlineStr">
        <is>
          <t>PO-128-18482868731510968</t>
        </is>
      </c>
      <c r="C1278" s="16" t="inlineStr">
        <is>
          <t>Shipped</t>
        </is>
      </c>
      <c r="D1278" s="16" t="inlineStr">
        <is>
          <t>128-18482826788470968</t>
        </is>
      </c>
      <c r="E1278" s="16" t="inlineStr">
        <is>
          <t>Shipped</t>
        </is>
      </c>
      <c r="F1278" s="16" t="inlineStr">
        <is>
          <t>LB02235-blanco</t>
        </is>
      </c>
      <c r="G1278" s="16" t="inlineStr">
        <is>
          <t>Audífonos Inalámbricos para la Cabeza, Recargables y Multifuncionales - Conectan a Varios Dispositivos, soportan Radio FM, Tarjeta TF y AUX - 4 Horas de Reproducción Musical - Ideal para Trabajo Cotidiano, Juegos y Estudio</t>
        </is>
      </c>
      <c r="H1278" s="16" t="inlineStr">
        <is>
          <t>BLANCO</t>
        </is>
      </c>
      <c r="I1278" s="16" t="n">
        <v>1</v>
      </c>
      <c r="J1278" s="17" t="n">
        <v>36.8</v>
      </c>
      <c r="K1278" s="17" t="n">
        <v>49.91</v>
      </c>
      <c r="L1278" s="17" t="n">
        <v>25.86</v>
      </c>
      <c r="M1278" s="17" t="n">
        <v>0</v>
      </c>
      <c r="N1278" s="17">
        <f>K1278*0.08+L1278*0.08</f>
        <v/>
      </c>
      <c r="O1278" s="17">
        <f>-(K1278*0.025+L1278*0.025)</f>
        <v/>
      </c>
      <c r="P1278" s="17">
        <f>32</f>
        <v/>
      </c>
      <c r="Q1278" s="17">
        <f>J1278+L1278+N1278+O1278-P1278-M1278</f>
        <v/>
      </c>
    </row>
    <row r="1279">
      <c r="A1279" s="16" t="inlineStr">
        <is>
          <t>5.15-5.21</t>
        </is>
      </c>
      <c r="B1279" s="16" t="inlineStr">
        <is>
          <t>PO-128-18367347113591595</t>
        </is>
      </c>
      <c r="C1279" s="16" t="inlineStr">
        <is>
          <t>Shipped</t>
        </is>
      </c>
      <c r="D1279" s="16" t="inlineStr">
        <is>
          <t>128-18367352356471595</t>
        </is>
      </c>
      <c r="E1279" s="16" t="inlineStr">
        <is>
          <t>Shipped</t>
        </is>
      </c>
      <c r="F1279" s="16" t="inlineStr">
        <is>
          <t>LB02235-rojo</t>
        </is>
      </c>
      <c r="G1279" s="16" t="inlineStr">
        <is>
          <t>Audífonos Inalámbricos para la Cabeza, Recargables y Multifuncionales - Conectan a Varios Dispositivos, soportan Radio FM, Tarjeta TF y AUX - 4 Horas de Reproducción Musical - Ideal para Trabajo Cotidiano, Juegos y Estudio</t>
        </is>
      </c>
      <c r="H1279" s="16" t="inlineStr">
        <is>
          <t>ROJO</t>
        </is>
      </c>
      <c r="I1279" s="16" t="n">
        <v>1</v>
      </c>
      <c r="J1279" s="17" t="n">
        <v>36.8</v>
      </c>
      <c r="K1279" s="17" t="n">
        <v>49.91</v>
      </c>
      <c r="L1279" s="17" t="n">
        <v>25.86</v>
      </c>
      <c r="M1279" s="17" t="n">
        <v>0</v>
      </c>
      <c r="N1279" s="17">
        <f>K1279*0.08+L1279*0.08</f>
        <v/>
      </c>
      <c r="O1279" s="17">
        <f>-(K1279*0.025+L1279*0.025)</f>
        <v/>
      </c>
      <c r="P1279" s="17">
        <f>32</f>
        <v/>
      </c>
      <c r="Q1279" s="17">
        <f>J1279+L1279+N1279+O1279-P1279-M1279</f>
        <v/>
      </c>
    </row>
    <row r="1280">
      <c r="A1280" s="16" t="inlineStr">
        <is>
          <t>5.15-5.21</t>
        </is>
      </c>
      <c r="B1280" s="16" t="inlineStr">
        <is>
          <t>PO-128-18340392448631691</t>
        </is>
      </c>
      <c r="C1280" s="16" t="inlineStr">
        <is>
          <t>Shipped</t>
        </is>
      </c>
      <c r="D1280" s="16" t="inlineStr">
        <is>
          <t>128-18340495340151691</t>
        </is>
      </c>
      <c r="E1280" s="16" t="inlineStr">
        <is>
          <t>Shipped</t>
        </is>
      </c>
      <c r="F1280" s="16" t="inlineStr">
        <is>
          <t>SA325T</t>
        </is>
      </c>
      <c r="G1280" s="16" t="inlineStr">
        <is>
          <t>Subwoofer Portátil Inalámbrico con Luces RGB, Sonido de Alta Potencia y Batería Duradera, TWS TF USB, Perfecto para Campamento Fiestas y Entretenimiento en Casa</t>
        </is>
      </c>
      <c r="H1280" s="16" t="inlineStr">
        <is>
          <t>NEGRO</t>
        </is>
      </c>
      <c r="I1280" s="16" t="n">
        <v>2</v>
      </c>
      <c r="J1280" s="17" t="n">
        <v>76</v>
      </c>
      <c r="K1280" s="17" t="n">
        <v>94.08</v>
      </c>
      <c r="L1280" s="17" t="n">
        <v>25.86</v>
      </c>
      <c r="M1280" s="17" t="n">
        <v>0</v>
      </c>
      <c r="N1280" s="17">
        <f>K1280*0.08+L1280*0.08</f>
        <v/>
      </c>
      <c r="O1280" s="17">
        <f>-(K1280*0.025+L1280*0.025)</f>
        <v/>
      </c>
      <c r="P1280" s="17">
        <f>32</f>
        <v/>
      </c>
      <c r="Q1280" s="17">
        <f>J1280+L1280+N1280+O1280-P1280-M1280</f>
        <v/>
      </c>
    </row>
    <row r="1281">
      <c r="A1281" s="16" t="inlineStr">
        <is>
          <t>5.15-5.21</t>
        </is>
      </c>
      <c r="B1281" s="16" t="inlineStr">
        <is>
          <t>PO-128-18341440681591685</t>
        </is>
      </c>
      <c r="C1281" s="16" t="inlineStr">
        <is>
          <t>Shipped</t>
        </is>
      </c>
      <c r="D1281" s="16" t="inlineStr">
        <is>
          <t>128-18341522601591685</t>
        </is>
      </c>
      <c r="E1281" s="16" t="inlineStr">
        <is>
          <t>Shipped</t>
        </is>
      </c>
      <c r="F1281" s="16" t="inlineStr">
        <is>
          <t>KTS-1678Y</t>
        </is>
      </c>
      <c r="G1281" s="16" t="inlineStr">
        <is>
          <t>Bocina portátil Inalámbrico, de 3 pulgadas, tamaño de bolsillo, 170 g, con asa, compatible con TF, USB y Micro SD, con radio FM y función TWS (True Wireless Stereo), adecuada para relajarse en casa o viajar al aire libre.</t>
        </is>
      </c>
      <c r="H1281" s="16" t="inlineStr">
        <is>
          <t>KTS-1678Y</t>
        </is>
      </c>
      <c r="I1281" s="16" t="n">
        <v>3</v>
      </c>
      <c r="J1281" s="17" t="n">
        <v>127.5</v>
      </c>
      <c r="K1281" s="17" t="n">
        <v>146.16</v>
      </c>
      <c r="L1281" s="17" t="n">
        <v>25.86</v>
      </c>
      <c r="M1281" s="17" t="n">
        <v>0</v>
      </c>
      <c r="N1281" s="17">
        <f>K1281*0.08+L1281*0.08</f>
        <v/>
      </c>
      <c r="O1281" s="17">
        <f>-(K1281*0.025+L1281*0.025)</f>
        <v/>
      </c>
      <c r="P1281" s="17">
        <f>32</f>
        <v/>
      </c>
      <c r="Q1281" s="17">
        <f>J1281+L1281+N1281+O1281-P1281-M1281</f>
        <v/>
      </c>
    </row>
    <row r="1282">
      <c r="A1282" s="16" t="inlineStr">
        <is>
          <t>5.15-5.21</t>
        </is>
      </c>
      <c r="B1282" s="16" t="inlineStr">
        <is>
          <t>PO-128-18068484833912350</t>
        </is>
      </c>
      <c r="C1282" s="16" t="inlineStr">
        <is>
          <t>Shipped</t>
        </is>
      </c>
      <c r="D1282" s="16" t="inlineStr">
        <is>
          <t>128-18068469105272350</t>
        </is>
      </c>
      <c r="E1282" s="16" t="inlineStr">
        <is>
          <t>Shipped</t>
        </is>
      </c>
      <c r="F1282" s="16" t="inlineStr">
        <is>
          <t>MB-178-B</t>
        </is>
      </c>
      <c r="G1282" s="16" t="inlineStr">
        <is>
          <t>Bocina de Barra Bluetooth LINK BITS con dos altavoces, sonido de alta calidad y multifuncional (Bluetooth, Radio FM, USB, TF, AUX, TWS), ideal para juegos, reuniones, oficina y cine en casa.</t>
        </is>
      </c>
      <c r="H1282" s="16" t="inlineStr">
        <is>
          <t>BLANCO</t>
        </is>
      </c>
      <c r="I1282" s="16" t="n">
        <v>1</v>
      </c>
      <c r="J1282" s="17" t="n">
        <v>129</v>
      </c>
      <c r="K1282" s="17" t="n">
        <v>155.27</v>
      </c>
      <c r="L1282" s="17" t="n">
        <v>25.86</v>
      </c>
      <c r="M1282" s="17" t="n">
        <v>0</v>
      </c>
      <c r="N1282" s="17">
        <f>K1282*0.08+L1282*0.08</f>
        <v/>
      </c>
      <c r="O1282" s="17">
        <f>-(K1282*0.025+L1282*0.025)</f>
        <v/>
      </c>
      <c r="P1282" s="17">
        <f>32</f>
        <v/>
      </c>
      <c r="Q1282" s="17">
        <f>J1282+L1282+N1282+O1282-P1282-M1282</f>
        <v/>
      </c>
    </row>
    <row r="1283">
      <c r="A1283" s="16" t="inlineStr">
        <is>
          <t>5.15-5.21</t>
        </is>
      </c>
      <c r="B1283" s="16" t="inlineStr">
        <is>
          <t>PO-128-18327605586551831</t>
        </is>
      </c>
      <c r="C1283" s="16" t="inlineStr">
        <is>
          <t>Shipped</t>
        </is>
      </c>
      <c r="D1283" s="16" t="inlineStr">
        <is>
          <t>128-18327652772471831</t>
        </is>
      </c>
      <c r="E1283" s="16" t="inlineStr">
        <is>
          <t>Shipped</t>
        </is>
      </c>
      <c r="F1283" s="16" t="inlineStr">
        <is>
          <t>S09W18IB</t>
        </is>
      </c>
      <c r="G128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283" s="16" t="inlineStr">
        <is>
          <t>1 pieza</t>
        </is>
      </c>
      <c r="I1283" s="16" t="n">
        <v>2</v>
      </c>
      <c r="J1283" s="17" t="n">
        <v>46</v>
      </c>
      <c r="K1283" s="17" t="n">
        <v>67.28</v>
      </c>
      <c r="L1283" s="17" t="n">
        <v>25.86</v>
      </c>
      <c r="M1283" s="17" t="n">
        <v>0</v>
      </c>
      <c r="N1283" s="17">
        <f>K1283*0.08+L1283*0.08</f>
        <v/>
      </c>
      <c r="O1283" s="17">
        <f>-(K1283*0.025+L1283*0.025)</f>
        <v/>
      </c>
      <c r="P1283" s="17">
        <f>32</f>
        <v/>
      </c>
      <c r="Q1283" s="17">
        <f>J1283+L1283+N1283+O1283-P1283-M1283</f>
        <v/>
      </c>
    </row>
    <row r="1284">
      <c r="A1284" s="16" t="inlineStr">
        <is>
          <t>5.15-5.21</t>
        </is>
      </c>
      <c r="B1284" s="16" t="inlineStr">
        <is>
          <t>PO-128-17927697941113319</t>
        </is>
      </c>
      <c r="C1284" s="16" t="inlineStr">
        <is>
          <t>Shipped</t>
        </is>
      </c>
      <c r="D1284" s="16" t="inlineStr">
        <is>
          <t>128-17927676969593319</t>
        </is>
      </c>
      <c r="E1284" s="16" t="inlineStr">
        <is>
          <t>Shipped</t>
        </is>
      </c>
      <c r="F1284" s="16" t="inlineStr">
        <is>
          <t>MB-185N</t>
        </is>
      </c>
      <c r="G1284" s="16" t="inlineStr">
        <is>
          <t>Bocina Radio FM/Reproductor, Compatible con Tarjeta TF, USB, Bluetooth, Aplicable para celular, computadora, Ipad y consola.</t>
        </is>
      </c>
      <c r="H1284" s="16" t="inlineStr">
        <is>
          <t>NEGRO/MB-185</t>
        </is>
      </c>
      <c r="I1284" s="16" t="n">
        <v>1</v>
      </c>
      <c r="J1284" s="17" t="n">
        <v>75.5</v>
      </c>
      <c r="K1284" s="17" t="n">
        <v>88.44</v>
      </c>
      <c r="L1284" s="17" t="n">
        <v>25.86</v>
      </c>
      <c r="M1284" s="17" t="n">
        <v>0</v>
      </c>
      <c r="N1284" s="17">
        <f>K1284*0.08+L1284*0.08</f>
        <v/>
      </c>
      <c r="O1284" s="17">
        <f>-(K1284*0.025+L1284*0.025)</f>
        <v/>
      </c>
      <c r="P1284" s="17">
        <f>32</f>
        <v/>
      </c>
      <c r="Q1284" s="17">
        <f>J1284+L1284+N1284+O1284-P1284-M1284</f>
        <v/>
      </c>
    </row>
    <row r="1285">
      <c r="A1285" s="16" t="inlineStr">
        <is>
          <t>5.15-5.21</t>
        </is>
      </c>
      <c r="B1285" s="16" t="inlineStr">
        <is>
          <t>PO-128-17969186058874094</t>
        </is>
      </c>
      <c r="C1285" s="16" t="inlineStr">
        <is>
          <t>Shipped</t>
        </is>
      </c>
      <c r="D1285" s="16" t="inlineStr">
        <is>
          <t>128-17969207030394094</t>
        </is>
      </c>
      <c r="E1285" s="16" t="inlineStr">
        <is>
          <t>Shipped</t>
        </is>
      </c>
      <c r="F1285" s="16" t="inlineStr">
        <is>
          <t>LV25W22</t>
        </is>
      </c>
      <c r="G12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85" s="16" t="inlineStr">
        <is>
          <t>LV25W32</t>
        </is>
      </c>
      <c r="I1285" s="16" t="n">
        <v>1</v>
      </c>
      <c r="J1285" s="17" t="n">
        <v>90.43000000000001</v>
      </c>
      <c r="K1285" s="17" t="n">
        <v>100.84</v>
      </c>
      <c r="L1285" s="17" t="n">
        <v>25.86</v>
      </c>
      <c r="M1285" s="17" t="n">
        <v>0</v>
      </c>
      <c r="N1285" s="17">
        <f>K1285*0.08+L1285*0.08</f>
        <v/>
      </c>
      <c r="O1285" s="17">
        <f>-(K1285*0.025+L1285*0.025)</f>
        <v/>
      </c>
      <c r="P1285" s="17">
        <f>32</f>
        <v/>
      </c>
      <c r="Q1285" s="17">
        <f>J1285+L1285+N1285+O1285-P1285-M1285</f>
        <v/>
      </c>
    </row>
    <row r="1286">
      <c r="A1286" s="16" t="inlineStr">
        <is>
          <t>5.15-5.21</t>
        </is>
      </c>
      <c r="B1286" s="16" t="inlineStr">
        <is>
          <t>PO-128-18184577198712810</t>
        </is>
      </c>
      <c r="C1286" s="16" t="inlineStr">
        <is>
          <t>Shipped</t>
        </is>
      </c>
      <c r="D1286" s="16" t="inlineStr">
        <is>
          <t>128-18184653220472810</t>
        </is>
      </c>
      <c r="E1286" s="16" t="inlineStr">
        <is>
          <t>Shipped</t>
        </is>
      </c>
      <c r="F1286" s="16" t="inlineStr">
        <is>
          <t>LB02235-negro</t>
        </is>
      </c>
      <c r="G1286" s="16" t="inlineStr">
        <is>
          <t>Audífonos Inalámbricos para la Cabeza, Recargables y Multifuncionales - Conectan a Varios Dispositivos, soportan Radio FM, Tarjeta TF y AUX - 4 Horas de Reproducción Musical - Ideal para Trabajo Cotidiano, Juegos y Estudio</t>
        </is>
      </c>
      <c r="H1286" s="16" t="inlineStr">
        <is>
          <t>NEGRO</t>
        </is>
      </c>
      <c r="I1286" s="16" t="n">
        <v>1</v>
      </c>
      <c r="J1286" s="17" t="n">
        <v>36.8</v>
      </c>
      <c r="K1286" s="17" t="n">
        <v>6.81</v>
      </c>
      <c r="L1286" s="17" t="n">
        <v>25.86</v>
      </c>
      <c r="M1286" s="17" t="n">
        <v>0</v>
      </c>
      <c r="N1286" s="17">
        <f>K1286*0.08+L1286*0.08</f>
        <v/>
      </c>
      <c r="O1286" s="17">
        <f>-(K1286*0.025+L1286*0.025)</f>
        <v/>
      </c>
      <c r="P1286" s="17">
        <f>32</f>
        <v/>
      </c>
      <c r="Q1286" s="17">
        <f>J1286+L1286+N1286+O1286-P1286-M1286</f>
        <v/>
      </c>
    </row>
    <row r="1287">
      <c r="A1287" s="16" t="inlineStr">
        <is>
          <t>5.15-5.21</t>
        </is>
      </c>
      <c r="B1287" s="16" t="inlineStr">
        <is>
          <t>PO-128-17948899943033193</t>
        </is>
      </c>
      <c r="C1287" s="16" t="inlineStr">
        <is>
          <t>Shipped</t>
        </is>
      </c>
      <c r="D1287" s="16" t="inlineStr">
        <is>
          <t>128-17948934021753193</t>
        </is>
      </c>
      <c r="E1287" s="16" t="inlineStr">
        <is>
          <t>Shipped</t>
        </is>
      </c>
      <c r="F1287" s="16" t="inlineStr">
        <is>
          <t>LB02235-rojo</t>
        </is>
      </c>
      <c r="G1287" s="16" t="inlineStr">
        <is>
          <t>Audífonos Inalámbricos para la Cabeza, Recargables y Multifuncionales - Conectan a Varios Dispositivos, soportan Radio FM, Tarjeta TF y AUX - 4 Horas de Reproducción Musical - Ideal para Trabajo Cotidiano, Juegos y Estudio</t>
        </is>
      </c>
      <c r="H1287" s="16" t="inlineStr">
        <is>
          <t>ROJO</t>
        </is>
      </c>
      <c r="I1287" s="16" t="n">
        <v>1</v>
      </c>
      <c r="J1287" s="17" t="n">
        <v>36.8</v>
      </c>
      <c r="K1287" s="17" t="n">
        <v>49.91</v>
      </c>
      <c r="L1287" s="17" t="n">
        <v>25.86</v>
      </c>
      <c r="M1287" s="17" t="n">
        <v>0</v>
      </c>
      <c r="N1287" s="17">
        <f>K1287*0.08+L1287*0.08</f>
        <v/>
      </c>
      <c r="O1287" s="17">
        <f>-(K1287*0.025+L1287*0.025)</f>
        <v/>
      </c>
      <c r="P1287" s="17">
        <f>32</f>
        <v/>
      </c>
      <c r="Q1287" s="17">
        <f>J1287+L1287+N1287+O1287-P1287-M1287</f>
        <v/>
      </c>
    </row>
    <row r="1288">
      <c r="A1288" s="16" t="inlineStr">
        <is>
          <t>5.15-5.21</t>
        </is>
      </c>
      <c r="B1288" s="16" t="inlineStr">
        <is>
          <t>PO-128-18151673692792878</t>
        </is>
      </c>
      <c r="C1288" s="16" t="inlineStr">
        <is>
          <t>Shipped</t>
        </is>
      </c>
      <c r="D1288" s="16" t="inlineStr">
        <is>
          <t>128-18151715635832878</t>
        </is>
      </c>
      <c r="E1288" s="16" t="inlineStr">
        <is>
          <t>Shipped</t>
        </is>
      </c>
      <c r="F1288" s="16" t="inlineStr">
        <is>
          <t>VA384T-A</t>
        </is>
      </c>
      <c r="G1288" s="16" t="inlineStr">
        <is>
          <t>Bocina Portátil Bluetooth de 3 Pulgadas con Radio FM, USB TF TWS, Sonido Estéreo 5W, Bocina Recargable para Hogar Exterior Viaje Fiesta Camping</t>
        </is>
      </c>
      <c r="H1288" s="16" t="inlineStr">
        <is>
          <t>AZUL</t>
        </is>
      </c>
      <c r="I1288" s="16" t="n">
        <v>1</v>
      </c>
      <c r="J1288" s="17" t="n">
        <v>47.99</v>
      </c>
      <c r="K1288" s="17" t="n">
        <v>5.25</v>
      </c>
      <c r="L1288" s="17" t="n">
        <v>25.86</v>
      </c>
      <c r="M1288" s="17" t="n">
        <v>0</v>
      </c>
      <c r="N1288" s="17">
        <f>K1288*0.08+L1288*0.08</f>
        <v/>
      </c>
      <c r="O1288" s="17">
        <f>-(K1288*0.025+L1288*0.025)</f>
        <v/>
      </c>
      <c r="P1288" s="17">
        <f>32</f>
        <v/>
      </c>
      <c r="Q1288" s="17">
        <f>J1288+L1288+N1288+O1288-P1288-M1288</f>
        <v/>
      </c>
    </row>
    <row r="1289">
      <c r="A1289" s="16" t="inlineStr">
        <is>
          <t>5.15-5.21</t>
        </is>
      </c>
      <c r="B1289" s="16" t="inlineStr">
        <is>
          <t>PO-128-18042266563192442</t>
        </is>
      </c>
      <c r="C1289" s="16" t="inlineStr">
        <is>
          <t>Shipped</t>
        </is>
      </c>
      <c r="D1289" s="16" t="inlineStr">
        <is>
          <t>128-18042250834552442</t>
        </is>
      </c>
      <c r="E1289" s="16" t="inlineStr">
        <is>
          <t>Shipped</t>
        </is>
      </c>
      <c r="F1289" s="16" t="inlineStr">
        <is>
          <t>LB02235-rojo</t>
        </is>
      </c>
      <c r="G1289" s="16" t="inlineStr">
        <is>
          <t>Audífonos Inalámbricos para la Cabeza, Recargables y Multifuncionales - Conectan a Varios Dispositivos, soportan Radio FM, Tarjeta TF y AUX - 4 Horas de Reproducción Musical - Ideal para Trabajo Cotidiano, Juegos y Estudio</t>
        </is>
      </c>
      <c r="H1289" s="16" t="inlineStr">
        <is>
          <t>ROJO</t>
        </is>
      </c>
      <c r="I1289" s="16" t="n">
        <v>1</v>
      </c>
      <c r="J1289" s="17" t="n">
        <v>36.8</v>
      </c>
      <c r="K1289" s="17" t="n">
        <v>49.91</v>
      </c>
      <c r="L1289" s="17" t="n">
        <v>8.619999999999999</v>
      </c>
      <c r="M1289" s="17" t="n">
        <v>0</v>
      </c>
      <c r="N1289" s="17">
        <f>K1289*0.08+L1289*0.08</f>
        <v/>
      </c>
      <c r="O1289" s="17">
        <f>-(K1289*0.025+L1289*0.025)</f>
        <v/>
      </c>
      <c r="P1289" s="17">
        <f>32</f>
        <v/>
      </c>
      <c r="Q1289" s="17">
        <f>J1289+L1289+N1289+O1289-P1289-M1289</f>
        <v/>
      </c>
    </row>
    <row r="1290">
      <c r="A1290" s="16" t="inlineStr">
        <is>
          <t>5.15-5.21</t>
        </is>
      </c>
      <c r="B1290" s="16" t="inlineStr">
        <is>
          <t>PO-128-18042266563192442</t>
        </is>
      </c>
      <c r="C1290" s="16" t="inlineStr">
        <is>
          <t>Shipped</t>
        </is>
      </c>
      <c r="D1290" s="16" t="inlineStr">
        <is>
          <t>128-18042271806072442</t>
        </is>
      </c>
      <c r="E1290" s="16" t="inlineStr">
        <is>
          <t>Shipped</t>
        </is>
      </c>
      <c r="F1290" s="16" t="inlineStr">
        <is>
          <t>LB02235-azul</t>
        </is>
      </c>
      <c r="G1290" s="16" t="inlineStr">
        <is>
          <t>Audífonos Inalámbricos para la Cabeza, Recargables y Multifuncionales - Conectan a Varios Dispositivos, soportan Radio FM, Tarjeta TF y AUX - 4 Horas de Reproducción Musical - Ideal para Trabajo Cotidiano, Juegos y Estudio</t>
        </is>
      </c>
      <c r="H1290" s="16" t="inlineStr">
        <is>
          <t>AZUL</t>
        </is>
      </c>
      <c r="I1290" s="16" t="n">
        <v>1</v>
      </c>
      <c r="J1290" s="17" t="n">
        <v>36.8</v>
      </c>
      <c r="K1290" s="17" t="n">
        <v>49.91</v>
      </c>
      <c r="L1290" s="17" t="n">
        <v>8.619999999999999</v>
      </c>
      <c r="M1290" s="17" t="n">
        <v>0</v>
      </c>
      <c r="N1290" s="17">
        <f>K1290*0.08+L1290*0.08</f>
        <v/>
      </c>
      <c r="O1290" s="17">
        <f>-(K1290*0.025+L1290*0.025)</f>
        <v/>
      </c>
      <c r="P1290" s="17">
        <f>32</f>
        <v/>
      </c>
      <c r="Q1290" s="17">
        <f>J1290+L1290+N1290+O1290-P1290-M1290</f>
        <v/>
      </c>
    </row>
    <row r="1291">
      <c r="A1291" s="16" t="inlineStr">
        <is>
          <t>5.15-5.21</t>
        </is>
      </c>
      <c r="B1291" s="16" t="inlineStr">
        <is>
          <t>PO-128-18042266563192442</t>
        </is>
      </c>
      <c r="C1291" s="16" t="inlineStr">
        <is>
          <t>Shipped</t>
        </is>
      </c>
      <c r="D1291" s="16" t="inlineStr">
        <is>
          <t>128-18042292777592442</t>
        </is>
      </c>
      <c r="E1291" s="16" t="inlineStr">
        <is>
          <t>Shipped</t>
        </is>
      </c>
      <c r="F1291" s="16" t="inlineStr">
        <is>
          <t>LB02235-blanco</t>
        </is>
      </c>
      <c r="G1291" s="16" t="inlineStr">
        <is>
          <t>Audífonos Inalámbricos para la Cabeza, Recargables y Multifuncionales - Conectan a Varios Dispositivos, soportan Radio FM, Tarjeta TF y AUX - 4 Horas de Reproducción Musical - Ideal para Trabajo Cotidiano, Juegos y Estudio</t>
        </is>
      </c>
      <c r="H1291" s="16" t="inlineStr">
        <is>
          <t>BLANCO</t>
        </is>
      </c>
      <c r="I1291" s="16" t="n">
        <v>1</v>
      </c>
      <c r="J1291" s="17" t="n">
        <v>36.8</v>
      </c>
      <c r="K1291" s="17" t="n">
        <v>49.91</v>
      </c>
      <c r="L1291" s="17" t="n">
        <v>8.619999999999999</v>
      </c>
      <c r="M1291" s="17" t="n">
        <v>0</v>
      </c>
      <c r="N1291" s="17">
        <f>K1291*0.08+L1291*0.08</f>
        <v/>
      </c>
      <c r="O1291" s="17">
        <f>-(K1291*0.025+L1291*0.025)</f>
        <v/>
      </c>
      <c r="P1291" s="17">
        <f>32</f>
        <v/>
      </c>
      <c r="Q1291" s="17">
        <f>J1291+L1291+N1291+O1291-P1291-M1291</f>
        <v/>
      </c>
    </row>
    <row r="1292">
      <c r="A1292" s="16" t="inlineStr">
        <is>
          <t>5.15-5.21</t>
        </is>
      </c>
      <c r="B1292" s="16" t="inlineStr">
        <is>
          <t>PO-128-18155003151992858</t>
        </is>
      </c>
      <c r="C1292" s="16" t="inlineStr">
        <is>
          <t>Shipped</t>
        </is>
      </c>
      <c r="D1292" s="16" t="inlineStr">
        <is>
          <t>128-18155044603512858</t>
        </is>
      </c>
      <c r="E1292" s="16" t="inlineStr">
        <is>
          <t>Shipped</t>
        </is>
      </c>
      <c r="F1292" s="16" t="inlineStr">
        <is>
          <t>SA323T</t>
        </is>
      </c>
      <c r="G1292" s="16" t="inlineStr">
        <is>
          <t>Linkbits Bocina Portátil Parlantes BT Portátiles con Iluminación de Ambiente | 1 Hora de Duración, FM, TWS, TF/Micro SD | Ideal para Hogar, Fiestas y Viajes</t>
        </is>
      </c>
      <c r="H1292" s="16" t="inlineStr">
        <is>
          <t>SA323T</t>
        </is>
      </c>
      <c r="I1292" s="16" t="n">
        <v>1</v>
      </c>
      <c r="J1292" s="17" t="n">
        <v>46</v>
      </c>
      <c r="K1292" s="17" t="n">
        <v>17.86</v>
      </c>
      <c r="L1292" s="17" t="n">
        <v>25.86</v>
      </c>
      <c r="M1292" s="17" t="n">
        <v>0</v>
      </c>
      <c r="N1292" s="17">
        <f>K1292*0.08+L1292*0.08</f>
        <v/>
      </c>
      <c r="O1292" s="17">
        <f>-(K1292*0.025+L1292*0.025)</f>
        <v/>
      </c>
      <c r="P1292" s="17">
        <f>32</f>
        <v/>
      </c>
      <c r="Q1292" s="17">
        <f>J1292+L1292+N1292+O1292-P1292-M1292</f>
        <v/>
      </c>
    </row>
    <row r="1293">
      <c r="A1293" s="16" t="inlineStr">
        <is>
          <t>5.15-5.21</t>
        </is>
      </c>
      <c r="B1293" s="16" t="inlineStr">
        <is>
          <t>PO-128-18388361390710445</t>
        </is>
      </c>
      <c r="C1293" s="16" t="inlineStr">
        <is>
          <t>Shipped</t>
        </is>
      </c>
      <c r="D1293" s="16" t="inlineStr">
        <is>
          <t>128-18388366633590445</t>
        </is>
      </c>
      <c r="E1293" s="16" t="inlineStr">
        <is>
          <t>Shipped</t>
        </is>
      </c>
      <c r="F1293" s="16" t="inlineStr">
        <is>
          <t>LB02235-negro</t>
        </is>
      </c>
      <c r="G1293" s="16" t="inlineStr">
        <is>
          <t>Audífonos Inalámbricos para la Cabeza, Recargables y Multifuncionales - Conectan a Varios Dispositivos, soportan Radio FM, Tarjeta TF y AUX - 4 Horas de Reproducción Musical - Ideal para Trabajo Cotidiano, Juegos y Estudio</t>
        </is>
      </c>
      <c r="H1293" s="16" t="inlineStr">
        <is>
          <t>NEGRO</t>
        </is>
      </c>
      <c r="I1293" s="16" t="n">
        <v>1</v>
      </c>
      <c r="J1293" s="17" t="n">
        <v>36.5</v>
      </c>
      <c r="K1293" s="17" t="n">
        <v>39.69</v>
      </c>
      <c r="L1293" s="17" t="n">
        <v>25.86</v>
      </c>
      <c r="M1293" s="17" t="n">
        <v>0</v>
      </c>
      <c r="N1293" s="17">
        <f>K1293*0.08+L1293*0.08</f>
        <v/>
      </c>
      <c r="O1293" s="17">
        <f>-(K1293*0.025+L1293*0.025)</f>
        <v/>
      </c>
      <c r="P1293" s="17">
        <f>32</f>
        <v/>
      </c>
      <c r="Q1293" s="17">
        <f>J1293+L1293+N1293+O1293-P1293-M1293</f>
        <v/>
      </c>
    </row>
    <row r="1294">
      <c r="A1294" s="16" t="inlineStr">
        <is>
          <t>5.15-5.21</t>
        </is>
      </c>
      <c r="B1294" s="16" t="inlineStr">
        <is>
          <t>PO-128-17873048556153517</t>
        </is>
      </c>
      <c r="C1294" s="16" t="inlineStr">
        <is>
          <t>Shipped</t>
        </is>
      </c>
      <c r="D1294" s="16" t="inlineStr">
        <is>
          <t>128-17873069527673517</t>
        </is>
      </c>
      <c r="E1294" s="16" t="inlineStr">
        <is>
          <t>Shipped</t>
        </is>
      </c>
      <c r="F1294" s="16" t="inlineStr">
        <is>
          <t>VB347T</t>
        </is>
      </c>
      <c r="G129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294" s="16" t="inlineStr">
        <is>
          <t>1 pieza</t>
        </is>
      </c>
      <c r="I1294" s="16" t="n">
        <v>1</v>
      </c>
      <c r="J1294" s="17" t="n">
        <v>77.90000000000001</v>
      </c>
      <c r="K1294" s="17" t="n">
        <v>92.5</v>
      </c>
      <c r="L1294" s="17" t="n">
        <v>14.84</v>
      </c>
      <c r="M1294" s="17" t="n">
        <v>0</v>
      </c>
      <c r="N1294" s="17">
        <f>K1294*0.08+L1294*0.08</f>
        <v/>
      </c>
      <c r="O1294" s="17">
        <f>-(K1294*0.025+L1294*0.025)</f>
        <v/>
      </c>
      <c r="P1294" s="17">
        <f>32</f>
        <v/>
      </c>
      <c r="Q1294" s="17">
        <f>J1294+L1294+N1294+O1294-P1294-M1294</f>
        <v/>
      </c>
    </row>
    <row r="1295">
      <c r="A1295" s="16" t="inlineStr">
        <is>
          <t>5.15-5.21</t>
        </is>
      </c>
      <c r="B1295" s="16" t="inlineStr">
        <is>
          <t>PO-128-17873048556153517</t>
        </is>
      </c>
      <c r="C1295" s="16" t="inlineStr">
        <is>
          <t>Shipped</t>
        </is>
      </c>
      <c r="D1295" s="16" t="inlineStr">
        <is>
          <t>128-17872985641593517</t>
        </is>
      </c>
      <c r="E1295" s="16" t="inlineStr">
        <is>
          <t>Shipped</t>
        </is>
      </c>
      <c r="F1295" s="16" t="inlineStr">
        <is>
          <t>MCM-001N</t>
        </is>
      </c>
      <c r="G1295" s="16" t="inlineStr">
        <is>
          <t>Musicord Altavoz Inalámbrico BT Portátil: ¡Sonido impactante, luces LED multicolores y 4 horas de autonomía! Compatible con TWS, FM, TF y USB – Imprescindible para fiestas y viajes</t>
        </is>
      </c>
      <c r="H1295" s="16" t="inlineStr">
        <is>
          <t>NEGRO</t>
        </is>
      </c>
      <c r="I1295" s="16" t="n">
        <v>1</v>
      </c>
      <c r="J1295" s="17" t="n">
        <v>61</v>
      </c>
      <c r="K1295" s="17" t="n">
        <v>68.79000000000001</v>
      </c>
      <c r="L1295" s="17" t="n">
        <v>11.03</v>
      </c>
      <c r="M1295" s="17" t="n">
        <v>0</v>
      </c>
      <c r="N1295" s="17">
        <f>K1295*0.08+L1295*0.08</f>
        <v/>
      </c>
      <c r="O1295" s="17">
        <f>-(K1295*0.025+L1295*0.025)</f>
        <v/>
      </c>
      <c r="P1295" s="17">
        <f>32</f>
        <v/>
      </c>
      <c r="Q1295" s="17">
        <f>J1295+L1295+N1295+O1295-P1295-M1295</f>
        <v/>
      </c>
    </row>
    <row r="1296">
      <c r="A1296" s="16" t="inlineStr">
        <is>
          <t>5.15-5.21</t>
        </is>
      </c>
      <c r="B1296" s="16" t="inlineStr">
        <is>
          <t>PO-128-18096591237752246</t>
        </is>
      </c>
      <c r="C1296" s="16" t="inlineStr">
        <is>
          <t>Shipped</t>
        </is>
      </c>
      <c r="D1296" s="16" t="inlineStr">
        <is>
          <t>128-18096727552632246</t>
        </is>
      </c>
      <c r="E1296" s="16" t="inlineStr">
        <is>
          <t>Shipped</t>
        </is>
      </c>
      <c r="F1296" s="16" t="inlineStr">
        <is>
          <t>LV64W25</t>
        </is>
      </c>
      <c r="G1296" s="16" t="inlineStr">
        <is>
          <t>Ventilador de Techo LED TIANLAI con 5 Aspas, Control Remoto, 3 Colores Luz, 3 Velocidades, Temporizador, Fácil Instalación, E27 para Baño Cocina Dormitorio Salón</t>
        </is>
      </c>
      <c r="H1296" s="16" t="inlineStr">
        <is>
          <t>LV64W25</t>
        </is>
      </c>
      <c r="I1296" s="16" t="n">
        <v>3</v>
      </c>
      <c r="J1296" s="17" t="n">
        <v>360</v>
      </c>
      <c r="K1296" s="17" t="n">
        <v>489.33</v>
      </c>
      <c r="L1296" s="17" t="n">
        <v>0</v>
      </c>
      <c r="M1296" s="17" t="n">
        <v>0</v>
      </c>
      <c r="N1296" s="17">
        <f>K1296*0.08+L1296*0.08</f>
        <v/>
      </c>
      <c r="O1296" s="17">
        <f>-(K1296*0.025+L1296*0.025)</f>
        <v/>
      </c>
      <c r="P1296" s="17">
        <f>32</f>
        <v/>
      </c>
      <c r="Q1296" s="17">
        <f>J1296+L1296+N1296+O1296-P1296-M1296</f>
        <v/>
      </c>
    </row>
    <row r="1297">
      <c r="A1297" s="16" t="inlineStr">
        <is>
          <t>5.15-5.21</t>
        </is>
      </c>
      <c r="B1297" s="16" t="inlineStr">
        <is>
          <t>PO-128-18041432279672449</t>
        </is>
      </c>
      <c r="C1297" s="16" t="inlineStr">
        <is>
          <t>Shipped</t>
        </is>
      </c>
      <c r="D1297" s="16" t="inlineStr">
        <is>
          <t>128-18041442765432449</t>
        </is>
      </c>
      <c r="E1297" s="16" t="inlineStr">
        <is>
          <t>Shipped</t>
        </is>
      </c>
      <c r="F1297" s="16" t="inlineStr">
        <is>
          <t>SA323T</t>
        </is>
      </c>
      <c r="G1297" s="16" t="inlineStr">
        <is>
          <t>Linkbits Bocina Portátil Parlantes BT Portátiles con Iluminación de Ambiente | 1 Hora de Duración, FM, TWS, TF/Micro SD | Ideal para Hogar, Fiestas y Viajes</t>
        </is>
      </c>
      <c r="H1297" s="16" t="inlineStr">
        <is>
          <t>SA323T</t>
        </is>
      </c>
      <c r="I1297" s="16" t="n">
        <v>1</v>
      </c>
      <c r="J1297" s="17" t="n">
        <v>37.71</v>
      </c>
      <c r="K1297" s="17" t="n">
        <v>46.77</v>
      </c>
      <c r="L1297" s="17" t="n">
        <v>25.86</v>
      </c>
      <c r="M1297" s="17" t="n">
        <v>0</v>
      </c>
      <c r="N1297" s="17">
        <f>K1297*0.08+L1297*0.08</f>
        <v/>
      </c>
      <c r="O1297" s="17">
        <f>-(K1297*0.025+L1297*0.025)</f>
        <v/>
      </c>
      <c r="P1297" s="17">
        <f>32</f>
        <v/>
      </c>
      <c r="Q1297" s="17">
        <f>J1297+L1297+N1297+O1297-P1297-M1297</f>
        <v/>
      </c>
    </row>
    <row r="1298">
      <c r="A1298" s="16" t="inlineStr">
        <is>
          <t>5.15-5.21</t>
        </is>
      </c>
      <c r="B1298" s="16" t="inlineStr">
        <is>
          <t>PO-128-18545165875830599</t>
        </is>
      </c>
      <c r="C1298" s="16" t="inlineStr">
        <is>
          <t>Shipped</t>
        </is>
      </c>
      <c r="D1298" s="16" t="inlineStr">
        <is>
          <t>128-18545123932790599</t>
        </is>
      </c>
      <c r="E1298" s="16" t="inlineStr">
        <is>
          <t>Shipped</t>
        </is>
      </c>
      <c r="F1298" s="16" t="inlineStr">
        <is>
          <t>LV25W22</t>
        </is>
      </c>
      <c r="G12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98" s="16" t="inlineStr">
        <is>
          <t>LV25W32</t>
        </is>
      </c>
      <c r="I1298" s="16" t="n">
        <v>1</v>
      </c>
      <c r="J1298" s="17" t="n">
        <v>90.43000000000001</v>
      </c>
      <c r="K1298" s="17" t="n">
        <v>100.84</v>
      </c>
      <c r="L1298" s="17" t="n">
        <v>25.86</v>
      </c>
      <c r="M1298" s="17" t="n">
        <v>0</v>
      </c>
      <c r="N1298" s="17">
        <f>K1298*0.08+L1298*0.08</f>
        <v/>
      </c>
      <c r="O1298" s="17">
        <f>-(K1298*0.025+L1298*0.025)</f>
        <v/>
      </c>
      <c r="P1298" s="17">
        <f>32</f>
        <v/>
      </c>
      <c r="Q1298" s="17">
        <f>J1298+L1298+N1298+O1298-P1298-M1298</f>
        <v/>
      </c>
    </row>
    <row r="1299">
      <c r="A1299" s="16" t="inlineStr">
        <is>
          <t>5.15-5.21</t>
        </is>
      </c>
      <c r="B1299" s="16" t="inlineStr">
        <is>
          <t>PO-128-17880828954233532</t>
        </is>
      </c>
      <c r="C1299" s="16" t="inlineStr">
        <is>
          <t>Shipped</t>
        </is>
      </c>
      <c r="D1299" s="16" t="inlineStr">
        <is>
          <t>128-17880855168633532</t>
        </is>
      </c>
      <c r="E1299" s="16" t="inlineStr">
        <is>
          <t>Shipped</t>
        </is>
      </c>
      <c r="F1299" s="16" t="inlineStr">
        <is>
          <t>LV25W22</t>
        </is>
      </c>
      <c r="G12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299" s="16" t="inlineStr">
        <is>
          <t>LV25W32</t>
        </is>
      </c>
      <c r="I1299" s="16" t="n">
        <v>1</v>
      </c>
      <c r="J1299" s="17" t="n">
        <v>90.43000000000001</v>
      </c>
      <c r="K1299" s="17" t="n">
        <v>100.84</v>
      </c>
      <c r="L1299" s="17" t="n">
        <v>25.86</v>
      </c>
      <c r="M1299" s="17" t="n">
        <v>0</v>
      </c>
      <c r="N1299" s="17">
        <f>K1299*0.08+L1299*0.08</f>
        <v/>
      </c>
      <c r="O1299" s="17">
        <f>-(K1299*0.025+L1299*0.025)</f>
        <v/>
      </c>
      <c r="P1299" s="17">
        <f>32</f>
        <v/>
      </c>
      <c r="Q1299" s="17">
        <f>J1299+L1299+N1299+O1299-P1299-M1299</f>
        <v/>
      </c>
    </row>
    <row r="1300">
      <c r="A1300" s="16" t="inlineStr">
        <is>
          <t>5.15-5.21</t>
        </is>
      </c>
      <c r="B1300" s="16" t="inlineStr">
        <is>
          <t>PO-128-18413427390070294</t>
        </is>
      </c>
      <c r="C1300" s="16" t="inlineStr">
        <is>
          <t>Shipped</t>
        </is>
      </c>
      <c r="D1300" s="16" t="inlineStr">
        <is>
          <t>128-18413479818870294</t>
        </is>
      </c>
      <c r="E1300" s="16" t="inlineStr">
        <is>
          <t>Shipped</t>
        </is>
      </c>
      <c r="F1300" s="16" t="inlineStr">
        <is>
          <t>SA323T</t>
        </is>
      </c>
      <c r="G1300" s="16" t="inlineStr">
        <is>
          <t>Linkbits Bocina Portátil Parlantes BT Portátiles con Iluminación de Ambiente | 1 Hora de Duración, FM, TWS, TF/Micro SD | Ideal para Hogar, Fiestas y Viajes</t>
        </is>
      </c>
      <c r="H1300" s="16" t="inlineStr">
        <is>
          <t>SA323T</t>
        </is>
      </c>
      <c r="I1300" s="16" t="n">
        <v>1</v>
      </c>
      <c r="J1300" s="17" t="n">
        <v>37.71</v>
      </c>
      <c r="K1300" s="17" t="n">
        <v>46.77</v>
      </c>
      <c r="L1300" s="17" t="n">
        <v>25.86</v>
      </c>
      <c r="M1300" s="17" t="n">
        <v>0</v>
      </c>
      <c r="N1300" s="17">
        <f>K1300*0.08+L1300*0.08</f>
        <v/>
      </c>
      <c r="O1300" s="17">
        <f>-(K1300*0.025+L1300*0.025)</f>
        <v/>
      </c>
      <c r="P1300" s="17">
        <f>32</f>
        <v/>
      </c>
      <c r="Q1300" s="17">
        <f>J1300+L1300+N1300+O1300-P1300-M1300</f>
        <v/>
      </c>
    </row>
    <row r="1301">
      <c r="A1301" s="16" t="inlineStr">
        <is>
          <t>5.15-5.21</t>
        </is>
      </c>
      <c r="B1301" s="16" t="inlineStr">
        <is>
          <t>PO-128-18035474053753701</t>
        </is>
      </c>
      <c r="C1301" s="16" t="inlineStr">
        <is>
          <t>Shipped</t>
        </is>
      </c>
      <c r="D1301" s="16" t="inlineStr">
        <is>
          <t>128-18035432110713701</t>
        </is>
      </c>
      <c r="E1301" s="16" t="inlineStr">
        <is>
          <t>Shipped</t>
        </is>
      </c>
      <c r="F1301" s="16" t="inlineStr">
        <is>
          <t>MCM-001A</t>
        </is>
      </c>
      <c r="G1301" s="16" t="inlineStr">
        <is>
          <t>Musicord Altavoz Inalámbrico BT Portátil: ¡Sonido impactante, luces LED multicolores y 4 horas de autonomía! Compatible con TWS, FM, TF y USB – Imprescindible para fiestas y viajes</t>
        </is>
      </c>
      <c r="H1301" s="16" t="inlineStr">
        <is>
          <t>AZUL</t>
        </is>
      </c>
      <c r="I1301" s="16" t="n">
        <v>1</v>
      </c>
      <c r="J1301" s="17" t="n">
        <v>51</v>
      </c>
      <c r="K1301" s="17" t="n">
        <v>59.4</v>
      </c>
      <c r="L1301" s="17" t="n">
        <v>25.86</v>
      </c>
      <c r="M1301" s="17" t="n">
        <v>0</v>
      </c>
      <c r="N1301" s="17">
        <f>K1301*0.08+L1301*0.08</f>
        <v/>
      </c>
      <c r="O1301" s="17">
        <f>-(K1301*0.025+L1301*0.025)</f>
        <v/>
      </c>
      <c r="P1301" s="17">
        <f>32</f>
        <v/>
      </c>
      <c r="Q1301" s="17">
        <f>J1301+L1301+N1301+O1301-P1301-M1301</f>
        <v/>
      </c>
    </row>
    <row r="1302">
      <c r="A1302" s="16" t="inlineStr">
        <is>
          <t>5.15-5.21</t>
        </is>
      </c>
      <c r="B1302" s="16" t="inlineStr">
        <is>
          <t>PO-128-18182593116792758</t>
        </is>
      </c>
      <c r="C1302" s="16" t="inlineStr">
        <is>
          <t>Shipped</t>
        </is>
      </c>
      <c r="D1302" s="16" t="inlineStr">
        <is>
          <t>128-18182614088312758</t>
        </is>
      </c>
      <c r="E1302" s="16" t="inlineStr">
        <is>
          <t>Shipped</t>
        </is>
      </c>
      <c r="F1302" s="16" t="inlineStr">
        <is>
          <t>MB-185A</t>
        </is>
      </c>
      <c r="G1302" s="16" t="inlineStr">
        <is>
          <t>Bocina Radio FM/Reproductor, Compatible con Tarjeta TF, USB, Bluetooth, Aplicable para celular, computadora, Ipad y consola.</t>
        </is>
      </c>
      <c r="H1302" s="16" t="inlineStr">
        <is>
          <t>AZUL/MB-185</t>
        </is>
      </c>
      <c r="I1302" s="16" t="n">
        <v>1</v>
      </c>
      <c r="J1302" s="17" t="n">
        <v>71.31</v>
      </c>
      <c r="K1302" s="17" t="n">
        <v>84.23999999999999</v>
      </c>
      <c r="L1302" s="17" t="n">
        <v>25.86</v>
      </c>
      <c r="M1302" s="17" t="n">
        <v>0</v>
      </c>
      <c r="N1302" s="17">
        <f>K1302*0.08+L1302*0.08</f>
        <v/>
      </c>
      <c r="O1302" s="17">
        <f>-(K1302*0.025+L1302*0.025)</f>
        <v/>
      </c>
      <c r="P1302" s="17">
        <f>32</f>
        <v/>
      </c>
      <c r="Q1302" s="17">
        <f>J1302+L1302+N1302+O1302-P1302-M1302</f>
        <v/>
      </c>
    </row>
    <row r="1303">
      <c r="A1303" s="16" t="inlineStr">
        <is>
          <t>5.15-5.21</t>
        </is>
      </c>
      <c r="B1303" s="16" t="inlineStr">
        <is>
          <t>PO-128-17979823396473902</t>
        </is>
      </c>
      <c r="C1303" s="16" t="inlineStr">
        <is>
          <t>Shipped</t>
        </is>
      </c>
      <c r="D1303" s="16" t="inlineStr">
        <is>
          <t>128-17979812910713902</t>
        </is>
      </c>
      <c r="E1303" s="16" t="inlineStr">
        <is>
          <t>Shipped</t>
        </is>
      </c>
      <c r="F1303" s="16" t="inlineStr">
        <is>
          <t>SA325T</t>
        </is>
      </c>
      <c r="G1303" s="16" t="inlineStr">
        <is>
          <t>Subwoofer Portátil Inalámbrico con Luces RGB, Sonido de Alta Potencia y Batería Duradera, TWS TF USB, Perfecto para Campamento Fiestas y Entretenimiento en Casa</t>
        </is>
      </c>
      <c r="H1303" s="16" t="inlineStr">
        <is>
          <t>NEGRO</t>
        </is>
      </c>
      <c r="I1303" s="16" t="n">
        <v>1</v>
      </c>
      <c r="J1303" s="17" t="n">
        <v>36</v>
      </c>
      <c r="K1303" s="17" t="n">
        <v>45.04</v>
      </c>
      <c r="L1303" s="17" t="n">
        <v>25.86</v>
      </c>
      <c r="M1303" s="17" t="n">
        <v>0</v>
      </c>
      <c r="N1303" s="17">
        <f>K1303*0.08+L1303*0.08</f>
        <v/>
      </c>
      <c r="O1303" s="17">
        <f>-(K1303*0.025+L1303*0.025)</f>
        <v/>
      </c>
      <c r="P1303" s="17">
        <f>32</f>
        <v/>
      </c>
      <c r="Q1303" s="17">
        <f>J1303+L1303+N1303+O1303-P1303-M1303</f>
        <v/>
      </c>
    </row>
    <row r="1304">
      <c r="A1304" s="16" t="inlineStr">
        <is>
          <t>5.15-5.21</t>
        </is>
      </c>
      <c r="B1304" s="16" t="inlineStr">
        <is>
          <t>PO-128-18443533660790242</t>
        </is>
      </c>
      <c r="C1304" s="16" t="inlineStr">
        <is>
          <t>Shipped</t>
        </is>
      </c>
      <c r="D1304" s="16" t="inlineStr">
        <is>
          <t>128-18443567739510242</t>
        </is>
      </c>
      <c r="E1304" s="16" t="inlineStr">
        <is>
          <t>Shipped</t>
        </is>
      </c>
      <c r="F1304" s="16" t="inlineStr">
        <is>
          <t>LV25W22</t>
        </is>
      </c>
      <c r="G13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04" s="16" t="inlineStr">
        <is>
          <t>LV25W32</t>
        </is>
      </c>
      <c r="I1304" s="16" t="n">
        <v>1</v>
      </c>
      <c r="J1304" s="17" t="n">
        <v>90.43000000000001</v>
      </c>
      <c r="K1304" s="17" t="n">
        <v>100.84</v>
      </c>
      <c r="L1304" s="17" t="n">
        <v>25.86</v>
      </c>
      <c r="M1304" s="17" t="n">
        <v>0</v>
      </c>
      <c r="N1304" s="17">
        <f>K1304*0.08+L1304*0.08</f>
        <v/>
      </c>
      <c r="O1304" s="17">
        <f>-(K1304*0.025+L1304*0.025)</f>
        <v/>
      </c>
      <c r="P1304" s="17">
        <f>32</f>
        <v/>
      </c>
      <c r="Q1304" s="17">
        <f>J1304+L1304+N1304+O1304-P1304-M1304</f>
        <v/>
      </c>
    </row>
    <row r="1305">
      <c r="A1305" s="16" t="inlineStr">
        <is>
          <t>5.15-5.21</t>
        </is>
      </c>
      <c r="B1305" s="16" t="inlineStr">
        <is>
          <t>PO-128-18208086021752670</t>
        </is>
      </c>
      <c r="C1305" s="16" t="inlineStr">
        <is>
          <t>Shipped</t>
        </is>
      </c>
      <c r="D1305" s="16" t="inlineStr">
        <is>
          <t>128-18208023107192670</t>
        </is>
      </c>
      <c r="E1305" s="16" t="inlineStr">
        <is>
          <t>Shipped</t>
        </is>
      </c>
      <c r="F1305" s="16" t="inlineStr">
        <is>
          <t>LB02235-negro</t>
        </is>
      </c>
      <c r="G1305" s="16" t="inlineStr">
        <is>
          <t>Audífonos Inalámbricos para la Cabeza, Recargables y Multifuncionales - Conectan a Varios Dispositivos, soportan Radio FM, Tarjeta TF y AUX - 4 Horas de Reproducción Musical - Ideal para Trabajo Cotidiano, Juegos y Estudio</t>
        </is>
      </c>
      <c r="H1305" s="16" t="inlineStr">
        <is>
          <t>NEGRO</t>
        </is>
      </c>
      <c r="I1305" s="16" t="n">
        <v>1</v>
      </c>
      <c r="J1305" s="17" t="n">
        <v>36.5</v>
      </c>
      <c r="K1305" s="17" t="n">
        <v>49.61</v>
      </c>
      <c r="L1305" s="17" t="n">
        <v>25.86</v>
      </c>
      <c r="M1305" s="17" t="n">
        <v>0</v>
      </c>
      <c r="N1305" s="17">
        <f>K1305*0.08+L1305*0.08</f>
        <v/>
      </c>
      <c r="O1305" s="17">
        <f>-(K1305*0.025+L1305*0.025)</f>
        <v/>
      </c>
      <c r="P1305" s="17">
        <f>32</f>
        <v/>
      </c>
      <c r="Q1305" s="17">
        <f>J1305+L1305+N1305+O1305-P1305-M1305</f>
        <v/>
      </c>
    </row>
    <row r="1306">
      <c r="A1306" s="16" t="inlineStr">
        <is>
          <t>5.15-5.21</t>
        </is>
      </c>
      <c r="B1306" s="16" t="inlineStr">
        <is>
          <t>PO-128-18337254564471900</t>
        </is>
      </c>
      <c r="C1306" s="16" t="inlineStr">
        <is>
          <t>Shipped</t>
        </is>
      </c>
      <c r="D1306" s="16" t="inlineStr">
        <is>
          <t>128-18337217864311900</t>
        </is>
      </c>
      <c r="E1306" s="16" t="inlineStr">
        <is>
          <t>Shipped</t>
        </is>
      </c>
      <c r="F1306" s="16" t="inlineStr">
        <is>
          <t>VA384T-A</t>
        </is>
      </c>
      <c r="G1306" s="16" t="inlineStr">
        <is>
          <t>Bocina Portátil Bluetooth de 3 Pulgadas con Radio FM, USB TF TWS, Sonido Estéreo 5W, Bocina Recargable para Hogar Exterior Viaje Fiesta Camping</t>
        </is>
      </c>
      <c r="H1306" s="16" t="inlineStr">
        <is>
          <t>AZUL</t>
        </is>
      </c>
      <c r="I1306" s="16" t="n">
        <v>1</v>
      </c>
      <c r="J1306" s="17" t="n">
        <v>46</v>
      </c>
      <c r="K1306" s="17" t="n">
        <v>48.08</v>
      </c>
      <c r="L1306" s="17" t="n">
        <v>25.86</v>
      </c>
      <c r="M1306" s="17" t="n">
        <v>0</v>
      </c>
      <c r="N1306" s="17">
        <f>K1306*0.08+L1306*0.08</f>
        <v/>
      </c>
      <c r="O1306" s="17">
        <f>-(K1306*0.025+L1306*0.025)</f>
        <v/>
      </c>
      <c r="P1306" s="17">
        <f>32</f>
        <v/>
      </c>
      <c r="Q1306" s="17">
        <f>J1306+L1306+N1306+O1306-P1306-M1306</f>
        <v/>
      </c>
    </row>
    <row r="1307">
      <c r="A1307" s="16" t="inlineStr">
        <is>
          <t>5.15-5.21</t>
        </is>
      </c>
      <c r="B1307" s="16" t="inlineStr">
        <is>
          <t>PO-128-18130869863033002</t>
        </is>
      </c>
      <c r="C1307" s="16" t="inlineStr">
        <is>
          <t>Shipped</t>
        </is>
      </c>
      <c r="D1307" s="16" t="inlineStr">
        <is>
          <t>128-18130827919993002</t>
        </is>
      </c>
      <c r="E1307" s="16" t="inlineStr">
        <is>
          <t>Shipped</t>
        </is>
      </c>
      <c r="F1307" s="16" t="inlineStr">
        <is>
          <t>LV25W22</t>
        </is>
      </c>
      <c r="G13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07" s="16" t="inlineStr">
        <is>
          <t>LV25W32</t>
        </is>
      </c>
      <c r="I1307" s="16" t="n">
        <v>1</v>
      </c>
      <c r="J1307" s="17" t="n">
        <v>90.43000000000001</v>
      </c>
      <c r="K1307" s="17" t="n">
        <v>100.84</v>
      </c>
      <c r="L1307" s="17" t="n">
        <v>25.86</v>
      </c>
      <c r="M1307" s="17" t="n">
        <v>0</v>
      </c>
      <c r="N1307" s="17">
        <f>K1307*0.08+L1307*0.08</f>
        <v/>
      </c>
      <c r="O1307" s="17">
        <f>-(K1307*0.025+L1307*0.025)</f>
        <v/>
      </c>
      <c r="P1307" s="17">
        <f>32</f>
        <v/>
      </c>
      <c r="Q1307" s="17">
        <f>J1307+L1307+N1307+O1307-P1307-M1307</f>
        <v/>
      </c>
    </row>
    <row r="1308">
      <c r="A1308" s="16" t="inlineStr">
        <is>
          <t>5.15-5.21</t>
        </is>
      </c>
      <c r="B1308" s="16" t="inlineStr">
        <is>
          <t>PO-128-18268527585911222</t>
        </is>
      </c>
      <c r="C1308" s="16" t="inlineStr">
        <is>
          <t>Shipped</t>
        </is>
      </c>
      <c r="D1308" s="16" t="inlineStr">
        <is>
          <t>128-18268506614391222</t>
        </is>
      </c>
      <c r="E1308" s="16" t="inlineStr">
        <is>
          <t>Shipped</t>
        </is>
      </c>
      <c r="F1308" s="16" t="inlineStr">
        <is>
          <t>LB02235-negro</t>
        </is>
      </c>
      <c r="G1308" s="16" t="inlineStr">
        <is>
          <t>Audífonos Inalámbricos para la Cabeza, Recargables y Multifuncionales - Conectan a Varios Dispositivos, soportan Radio FM, Tarjeta TF y AUX - 4 Horas de Reproducción Musical - Ideal para Trabajo Cotidiano, Juegos y Estudio</t>
        </is>
      </c>
      <c r="H1308" s="16" t="inlineStr">
        <is>
          <t>NEGRO</t>
        </is>
      </c>
      <c r="I1308" s="16" t="n">
        <v>1</v>
      </c>
      <c r="J1308" s="17" t="n">
        <v>36.5</v>
      </c>
      <c r="K1308" s="17" t="n">
        <v>49.61</v>
      </c>
      <c r="L1308" s="17" t="n">
        <v>25.86</v>
      </c>
      <c r="M1308" s="17" t="n">
        <v>0</v>
      </c>
      <c r="N1308" s="17">
        <f>K1308*0.08+L1308*0.08</f>
        <v/>
      </c>
      <c r="O1308" s="17">
        <f>-(K1308*0.025+L1308*0.025)</f>
        <v/>
      </c>
      <c r="P1308" s="17">
        <f>32</f>
        <v/>
      </c>
      <c r="Q1308" s="17">
        <f>J1308+L1308+N1308+O1308-P1308-M1308</f>
        <v/>
      </c>
    </row>
    <row r="1309">
      <c r="A1309" s="16" t="inlineStr">
        <is>
          <t>5.15-5.21</t>
        </is>
      </c>
      <c r="B1309" s="16" t="inlineStr">
        <is>
          <t>PO-128-18222244460151499</t>
        </is>
      </c>
      <c r="C1309" s="16" t="inlineStr">
        <is>
          <t>Shipped</t>
        </is>
      </c>
      <c r="D1309" s="16" t="inlineStr">
        <is>
          <t>128-18222260188791499</t>
        </is>
      </c>
      <c r="E1309" s="16" t="inlineStr">
        <is>
          <t>Shipped</t>
        </is>
      </c>
      <c r="F1309" s="16" t="inlineStr">
        <is>
          <t>LB02235-rojo</t>
        </is>
      </c>
      <c r="G1309" s="16" t="inlineStr">
        <is>
          <t>Audífonos Inalámbricos para la Cabeza, Recargables y Multifuncionales - Conectan a Varios Dispositivos, soportan Radio FM, Tarjeta TF y AUX - 4 Horas de Reproducción Musical - Ideal para Trabajo Cotidiano, Juegos y Estudio</t>
        </is>
      </c>
      <c r="H1309" s="16" t="inlineStr">
        <is>
          <t>ROJO</t>
        </is>
      </c>
      <c r="I1309" s="16" t="n">
        <v>1</v>
      </c>
      <c r="J1309" s="17" t="n">
        <v>36.5</v>
      </c>
      <c r="K1309" s="17" t="n">
        <v>45.32</v>
      </c>
      <c r="L1309" s="17" t="n">
        <v>0</v>
      </c>
      <c r="M1309" s="17" t="n">
        <v>0</v>
      </c>
      <c r="N1309" s="17">
        <f>K1309*0.08+L1309*0.08</f>
        <v/>
      </c>
      <c r="O1309" s="17">
        <f>-(K1309*0.025+L1309*0.025)</f>
        <v/>
      </c>
      <c r="P1309" s="17">
        <f>32</f>
        <v/>
      </c>
      <c r="Q1309" s="17">
        <f>J1309+L1309+N1309+O1309-P1309-M1309</f>
        <v/>
      </c>
    </row>
    <row r="1310">
      <c r="A1310" s="16" t="inlineStr">
        <is>
          <t>5.15-5.21</t>
        </is>
      </c>
      <c r="B1310" s="16" t="inlineStr">
        <is>
          <t>PO-128-18222244460151499</t>
        </is>
      </c>
      <c r="C1310" s="16" t="inlineStr">
        <is>
          <t>Shipped</t>
        </is>
      </c>
      <c r="D1310" s="16" t="inlineStr">
        <is>
          <t>128-18222249703031499</t>
        </is>
      </c>
      <c r="E1310" s="16" t="inlineStr">
        <is>
          <t>Shipped</t>
        </is>
      </c>
      <c r="F1310" s="16" t="inlineStr">
        <is>
          <t>LB02235-negro</t>
        </is>
      </c>
      <c r="G1310" s="16" t="inlineStr">
        <is>
          <t>Audífonos Inalámbricos para la Cabeza, Recargables y Multifuncionales - Conectan a Varios Dispositivos, soportan Radio FM, Tarjeta TF y AUX - 4 Horas de Reproducción Musical - Ideal para Trabajo Cotidiano, Juegos y Estudio</t>
        </is>
      </c>
      <c r="H1310" s="16" t="inlineStr">
        <is>
          <t>NEGRO</t>
        </is>
      </c>
      <c r="I1310" s="16" t="n">
        <v>1</v>
      </c>
      <c r="J1310" s="17" t="n">
        <v>36.5</v>
      </c>
      <c r="K1310" s="17" t="n">
        <v>45.32</v>
      </c>
      <c r="L1310" s="17" t="n">
        <v>0</v>
      </c>
      <c r="M1310" s="17" t="n">
        <v>0</v>
      </c>
      <c r="N1310" s="17">
        <f>K1310*0.08+L1310*0.08</f>
        <v/>
      </c>
      <c r="O1310" s="17">
        <f>-(K1310*0.025+L1310*0.025)</f>
        <v/>
      </c>
      <c r="P1310" s="17">
        <f>32</f>
        <v/>
      </c>
      <c r="Q1310" s="17">
        <f>J1310+L1310+N1310+O1310-P1310-M1310</f>
        <v/>
      </c>
    </row>
    <row r="1311">
      <c r="A1311" s="16" t="inlineStr">
        <is>
          <t>5.15-5.21</t>
        </is>
      </c>
      <c r="B1311" s="16" t="inlineStr">
        <is>
          <t>PO-128-18222244460151499</t>
        </is>
      </c>
      <c r="C1311" s="16" t="inlineStr">
        <is>
          <t>Shipped</t>
        </is>
      </c>
      <c r="D1311" s="16" t="inlineStr">
        <is>
          <t>128-18222270674551499</t>
        </is>
      </c>
      <c r="E1311" s="16" t="inlineStr">
        <is>
          <t>Shipped</t>
        </is>
      </c>
      <c r="F1311" s="16" t="inlineStr">
        <is>
          <t>LB02235-azul</t>
        </is>
      </c>
      <c r="G1311" s="16" t="inlineStr">
        <is>
          <t>Audífonos Inalámbricos para la Cabeza, Recargables y Multifuncionales - Conectan a Varios Dispositivos, soportan Radio FM, Tarjeta TF y AUX - 4 Horas de Reproducción Musical - Ideal para Trabajo Cotidiano, Juegos y Estudio</t>
        </is>
      </c>
      <c r="H1311" s="16" t="inlineStr">
        <is>
          <t>AZUL</t>
        </is>
      </c>
      <c r="I1311" s="16" t="n">
        <v>1</v>
      </c>
      <c r="J1311" s="17" t="n">
        <v>35</v>
      </c>
      <c r="K1311" s="17" t="n">
        <v>43.95</v>
      </c>
      <c r="L1311" s="17" t="n">
        <v>0</v>
      </c>
      <c r="M1311" s="17" t="n">
        <v>0</v>
      </c>
      <c r="N1311" s="17">
        <f>K1311*0.08+L1311*0.08</f>
        <v/>
      </c>
      <c r="O1311" s="17">
        <f>-(K1311*0.025+L1311*0.025)</f>
        <v/>
      </c>
      <c r="P1311" s="17">
        <f>32</f>
        <v/>
      </c>
      <c r="Q1311" s="17">
        <f>J1311+L1311+N1311+O1311-P1311-M1311</f>
        <v/>
      </c>
    </row>
    <row r="1312">
      <c r="A1312" s="16" t="inlineStr">
        <is>
          <t>5.15-5.21</t>
        </is>
      </c>
      <c r="B1312" s="16" t="inlineStr">
        <is>
          <t>PO-128-18222244460151499</t>
        </is>
      </c>
      <c r="C1312" s="16" t="inlineStr">
        <is>
          <t>Shipped</t>
        </is>
      </c>
      <c r="D1312" s="16" t="inlineStr">
        <is>
          <t>128-18222281160311499</t>
        </is>
      </c>
      <c r="E1312" s="16" t="inlineStr">
        <is>
          <t>Shipped</t>
        </is>
      </c>
      <c r="F1312" s="16" t="inlineStr">
        <is>
          <t>SA323T</t>
        </is>
      </c>
      <c r="G1312" s="16" t="inlineStr">
        <is>
          <t>Linkbits Bocina Portátil Parlantes BT Portátiles con Iluminación de Ambiente | 1 Hora de Duración, FM, TWS, TF/Micro SD | Ideal para Hogar, Fiestas y Viajes</t>
        </is>
      </c>
      <c r="H1312" s="16" t="inlineStr">
        <is>
          <t>SA323T</t>
        </is>
      </c>
      <c r="I1312" s="16" t="n">
        <v>4</v>
      </c>
      <c r="J1312" s="17" t="n">
        <v>150.84</v>
      </c>
      <c r="K1312" s="17" t="n">
        <v>158.08</v>
      </c>
      <c r="L1312" s="17" t="n">
        <v>0</v>
      </c>
      <c r="M1312" s="17" t="n">
        <v>0</v>
      </c>
      <c r="N1312" s="17">
        <f>K1312*0.08+L1312*0.08</f>
        <v/>
      </c>
      <c r="O1312" s="17">
        <f>-(K1312*0.025+L1312*0.025)</f>
        <v/>
      </c>
      <c r="P1312" s="17">
        <f>32</f>
        <v/>
      </c>
      <c r="Q1312" s="17">
        <f>J1312+L1312+N1312+O1312-P1312-M1312</f>
        <v/>
      </c>
    </row>
    <row r="1313">
      <c r="A1313" s="16" t="inlineStr">
        <is>
          <t>5.15-5.21</t>
        </is>
      </c>
      <c r="B1313" s="16" t="inlineStr">
        <is>
          <t>PO-128-18222244460151499</t>
        </is>
      </c>
      <c r="C1313" s="16" t="inlineStr">
        <is>
          <t>Shipped</t>
        </is>
      </c>
      <c r="D1313" s="16" t="inlineStr">
        <is>
          <t>128-18222277228151499</t>
        </is>
      </c>
      <c r="E1313" s="16" t="inlineStr">
        <is>
          <t>Shipped</t>
        </is>
      </c>
      <c r="F1313" s="16" t="inlineStr">
        <is>
          <t>SA325T</t>
        </is>
      </c>
      <c r="G1313" s="16" t="inlineStr">
        <is>
          <t>Subwoofer Portátil Inalámbrico con Luces RGB, Sonido de Alta Potencia y Batería Duradera, TWS TF USB, Perfecto para Campamento Fiestas y Entretenimiento en Casa</t>
        </is>
      </c>
      <c r="H1313" s="16" t="inlineStr">
        <is>
          <t>NEGRO</t>
        </is>
      </c>
      <c r="I1313" s="16" t="n">
        <v>2</v>
      </c>
      <c r="J1313" s="17" t="n">
        <v>72</v>
      </c>
      <c r="K1313" s="17" t="n">
        <v>69.94</v>
      </c>
      <c r="L1313" s="17" t="n">
        <v>0</v>
      </c>
      <c r="M1313" s="17" t="n">
        <v>0</v>
      </c>
      <c r="N1313" s="17">
        <f>K1313*0.08+L1313*0.08</f>
        <v/>
      </c>
      <c r="O1313" s="17">
        <f>-(K1313*0.025+L1313*0.025)</f>
        <v/>
      </c>
      <c r="P1313" s="17">
        <f>32</f>
        <v/>
      </c>
      <c r="Q1313" s="17">
        <f>J1313+L1313+N1313+O1313-P1313-M1313</f>
        <v/>
      </c>
    </row>
    <row r="1314">
      <c r="A1314" s="16" t="inlineStr">
        <is>
          <t>5.15-5.21</t>
        </is>
      </c>
      <c r="B1314" s="16" t="inlineStr">
        <is>
          <t>PO-128-18476157696630944</t>
        </is>
      </c>
      <c r="C1314" s="16" t="inlineStr">
        <is>
          <t>Shipped</t>
        </is>
      </c>
      <c r="D1314" s="16" t="inlineStr">
        <is>
          <t>128-18476126239350944</t>
        </is>
      </c>
      <c r="E1314" s="16" t="inlineStr">
        <is>
          <t>Shipped</t>
        </is>
      </c>
      <c r="F1314" s="16" t="inlineStr">
        <is>
          <t>LB02235-negro</t>
        </is>
      </c>
      <c r="G1314" s="16" t="inlineStr">
        <is>
          <t>Audífonos Inalámbricos para la Cabeza, Recargables y Multifuncionales - Conectan a Varios Dispositivos, soportan Radio FM, Tarjeta TF y AUX - 4 Horas de Reproducción Musical - Ideal para Trabajo Cotidiano, Juegos y Estudio</t>
        </is>
      </c>
      <c r="H1314" s="16" t="inlineStr">
        <is>
          <t>NEGRO</t>
        </is>
      </c>
      <c r="I1314" s="16" t="n">
        <v>1</v>
      </c>
      <c r="J1314" s="17" t="n">
        <v>36.5</v>
      </c>
      <c r="K1314" s="17" t="n">
        <v>49.61</v>
      </c>
      <c r="L1314" s="17" t="n">
        <v>25.86</v>
      </c>
      <c r="M1314" s="17" t="n">
        <v>0</v>
      </c>
      <c r="N1314" s="17">
        <f>K1314*0.08+L1314*0.08</f>
        <v/>
      </c>
      <c r="O1314" s="17">
        <f>-(K1314*0.025+L1314*0.025)</f>
        <v/>
      </c>
      <c r="P1314" s="17">
        <f>32</f>
        <v/>
      </c>
      <c r="Q1314" s="17">
        <f>J1314+L1314+N1314+O1314-P1314-M1314</f>
        <v/>
      </c>
    </row>
    <row r="1315">
      <c r="A1315" s="16" t="inlineStr">
        <is>
          <t>5.15-5.21</t>
        </is>
      </c>
      <c r="B1315" s="16" t="inlineStr">
        <is>
          <t>PO-128-18154853417592861</t>
        </is>
      </c>
      <c r="C1315" s="16" t="inlineStr">
        <is>
          <t>Shipped</t>
        </is>
      </c>
      <c r="D1315" s="16" t="inlineStr">
        <is>
          <t>128-18154821960312861</t>
        </is>
      </c>
      <c r="E1315" s="16" t="inlineStr">
        <is>
          <t>Shipped</t>
        </is>
      </c>
      <c r="F1315" s="16" t="inlineStr">
        <is>
          <t>SA8056T</t>
        </is>
      </c>
      <c r="G131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315" s="16" t="inlineStr">
        <is>
          <t>SA8056T</t>
        </is>
      </c>
      <c r="I1315" s="16" t="n">
        <v>1</v>
      </c>
      <c r="J1315" s="17" t="n">
        <v>125</v>
      </c>
      <c r="K1315" s="17" t="n">
        <v>145.38</v>
      </c>
      <c r="L1315" s="17" t="n">
        <v>25.86</v>
      </c>
      <c r="M1315" s="17" t="n">
        <v>0</v>
      </c>
      <c r="N1315" s="17">
        <f>K1315*0.08+L1315*0.08</f>
        <v/>
      </c>
      <c r="O1315" s="17">
        <f>-(K1315*0.025+L1315*0.025)</f>
        <v/>
      </c>
      <c r="P1315" s="17">
        <f>32</f>
        <v/>
      </c>
      <c r="Q1315" s="17">
        <f>J1315+L1315+N1315+O1315-P1315-M1315</f>
        <v/>
      </c>
    </row>
    <row r="1316">
      <c r="A1316" s="16" t="inlineStr">
        <is>
          <t>5.15-5.21</t>
        </is>
      </c>
      <c r="B1316" s="16" t="inlineStr">
        <is>
          <t>PO-128-17930750776953301</t>
        </is>
      </c>
      <c r="C1316" s="16" t="inlineStr">
        <is>
          <t>Shipped</t>
        </is>
      </c>
      <c r="D1316" s="16" t="inlineStr">
        <is>
          <t>128-17930803205753301</t>
        </is>
      </c>
      <c r="E1316" s="16" t="inlineStr">
        <is>
          <t>Shipped</t>
        </is>
      </c>
      <c r="F1316" s="16" t="inlineStr">
        <is>
          <t>MB-185N</t>
        </is>
      </c>
      <c r="G1316" s="16" t="inlineStr">
        <is>
          <t>Bocina Radio FM/Reproductor, Compatible con Tarjeta TF, USB, Bluetooth, Aplicable para celular, computadora, Ipad y consola.</t>
        </is>
      </c>
      <c r="H1316" s="16" t="inlineStr">
        <is>
          <t>NEGRO/MB-185</t>
        </is>
      </c>
      <c r="I1316" s="16" t="n">
        <v>1</v>
      </c>
      <c r="J1316" s="17" t="n">
        <v>71.31</v>
      </c>
      <c r="K1316" s="17" t="n">
        <v>67.40000000000001</v>
      </c>
      <c r="L1316" s="17" t="n">
        <v>25.86</v>
      </c>
      <c r="M1316" s="17" t="n">
        <v>0</v>
      </c>
      <c r="N1316" s="17">
        <f>K1316*0.08+L1316*0.08</f>
        <v/>
      </c>
      <c r="O1316" s="17">
        <f>-(K1316*0.025+L1316*0.025)</f>
        <v/>
      </c>
      <c r="P1316" s="17">
        <f>32</f>
        <v/>
      </c>
      <c r="Q1316" s="17">
        <f>J1316+L1316+N1316+O1316-P1316-M1316</f>
        <v/>
      </c>
    </row>
    <row r="1317">
      <c r="A1317" s="16" t="inlineStr">
        <is>
          <t>5.15-5.21</t>
        </is>
      </c>
      <c r="B1317" s="16" t="inlineStr">
        <is>
          <t>PO-128-18379926364791646</t>
        </is>
      </c>
      <c r="C1317" s="16" t="inlineStr">
        <is>
          <t>Shipped</t>
        </is>
      </c>
      <c r="D1317" s="16" t="inlineStr">
        <is>
          <t>128-18379884421751646</t>
        </is>
      </c>
      <c r="E1317" s="16" t="inlineStr">
        <is>
          <t>Shipped</t>
        </is>
      </c>
      <c r="F1317" s="16" t="inlineStr">
        <is>
          <t>SA325T</t>
        </is>
      </c>
      <c r="G1317" s="16" t="inlineStr">
        <is>
          <t>Subwoofer Portátil Inalámbrico con Luces RGB, Sonido de Alta Potencia y Batería Duradera, TWS TF USB, Perfecto para Campamento Fiestas y Entretenimiento en Casa</t>
        </is>
      </c>
      <c r="H1317" s="16" t="inlineStr">
        <is>
          <t>NEGRO</t>
        </is>
      </c>
      <c r="I1317" s="16" t="n">
        <v>4</v>
      </c>
      <c r="J1317" s="17" t="n">
        <v>144</v>
      </c>
      <c r="K1317" s="17" t="n">
        <v>180.16</v>
      </c>
      <c r="L1317" s="17" t="n">
        <v>25.88</v>
      </c>
      <c r="M1317" s="17" t="n">
        <v>0</v>
      </c>
      <c r="N1317" s="17">
        <f>K1317*0.08+L1317*0.08</f>
        <v/>
      </c>
      <c r="O1317" s="17">
        <f>-(K1317*0.025+L1317*0.025)</f>
        <v/>
      </c>
      <c r="P1317" s="17">
        <f>32</f>
        <v/>
      </c>
      <c r="Q1317" s="17">
        <f>J1317+L1317+N1317+O1317-P1317-M1317</f>
        <v/>
      </c>
    </row>
    <row r="1318">
      <c r="A1318" s="16" t="inlineStr">
        <is>
          <t>5.15-5.21</t>
        </is>
      </c>
      <c r="B1318" s="16" t="inlineStr">
        <is>
          <t>PO-128-18179161948792778</t>
        </is>
      </c>
      <c r="C1318" s="16" t="inlineStr">
        <is>
          <t>Shipped</t>
        </is>
      </c>
      <c r="D1318" s="16" t="inlineStr">
        <is>
          <t>128-18179151463032778</t>
        </is>
      </c>
      <c r="E1318" s="16" t="inlineStr">
        <is>
          <t>Shipped</t>
        </is>
      </c>
      <c r="F1318" s="16" t="inlineStr">
        <is>
          <t>LV25W22</t>
        </is>
      </c>
      <c r="G13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18" s="16" t="inlineStr">
        <is>
          <t>LV25W32</t>
        </is>
      </c>
      <c r="I1318" s="16" t="n">
        <v>1</v>
      </c>
      <c r="J1318" s="17" t="n">
        <v>90.43000000000001</v>
      </c>
      <c r="K1318" s="17" t="n">
        <v>82.45999999999999</v>
      </c>
      <c r="L1318" s="17" t="n">
        <v>25.86</v>
      </c>
      <c r="M1318" s="17" t="n">
        <v>0</v>
      </c>
      <c r="N1318" s="17">
        <f>K1318*0.08+L1318*0.08</f>
        <v/>
      </c>
      <c r="O1318" s="17">
        <f>-(K1318*0.025+L1318*0.025)</f>
        <v/>
      </c>
      <c r="P1318" s="17">
        <f>32</f>
        <v/>
      </c>
      <c r="Q1318" s="17">
        <f>J1318+L1318+N1318+O1318-P1318-M1318</f>
        <v/>
      </c>
    </row>
    <row r="1319">
      <c r="A1319" s="16" t="inlineStr">
        <is>
          <t>5.15-5.21</t>
        </is>
      </c>
      <c r="B1319" s="16" t="inlineStr">
        <is>
          <t>PO-128-07228206490231493</t>
        </is>
      </c>
      <c r="C1319" s="16" t="inlineStr">
        <is>
          <t>Shipped</t>
        </is>
      </c>
      <c r="D1319" s="16" t="inlineStr">
        <is>
          <t>128-07228185518711493</t>
        </is>
      </c>
      <c r="E1319" s="16" t="inlineStr">
        <is>
          <t>Shipped</t>
        </is>
      </c>
      <c r="F1319" s="16" t="inlineStr">
        <is>
          <t>LV25W22</t>
        </is>
      </c>
      <c r="G13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19" s="16" t="inlineStr">
        <is>
          <t>LV25W32</t>
        </is>
      </c>
      <c r="I1319" s="16" t="n">
        <v>1</v>
      </c>
      <c r="J1319" s="17" t="n">
        <v>90.43000000000001</v>
      </c>
      <c r="K1319" s="17" t="n">
        <v>100.84</v>
      </c>
      <c r="L1319" s="17" t="n">
        <v>25.86</v>
      </c>
      <c r="M1319" s="17" t="n">
        <v>0</v>
      </c>
      <c r="N1319" s="17">
        <f>K1319*0.08+L1319*0.08</f>
        <v/>
      </c>
      <c r="O1319" s="17">
        <f>-(K1319*0.025+L1319*0.025)</f>
        <v/>
      </c>
      <c r="P1319" s="17">
        <f>32</f>
        <v/>
      </c>
      <c r="Q1319" s="17">
        <f>J1319+L1319+N1319+O1319-P1319-M1319</f>
        <v/>
      </c>
    </row>
    <row r="1320">
      <c r="A1320" s="16" t="inlineStr">
        <is>
          <t>5.15-5.21</t>
        </is>
      </c>
      <c r="B1320" s="16" t="inlineStr">
        <is>
          <t>PO-128-07300035525751129</t>
        </is>
      </c>
      <c r="C1320" s="16" t="inlineStr">
        <is>
          <t>Shipped</t>
        </is>
      </c>
      <c r="D1320" s="16" t="inlineStr">
        <is>
          <t>128-07300087954551129</t>
        </is>
      </c>
      <c r="E1320" s="16" t="inlineStr">
        <is>
          <t>Shipped</t>
        </is>
      </c>
      <c r="F1320" s="16" t="inlineStr">
        <is>
          <t>LB02235-rojo</t>
        </is>
      </c>
      <c r="G1320" s="16" t="inlineStr">
        <is>
          <t>Audífonos Inalámbricos para la Cabeza, Recargables y Multifuncionales - Conectan a Varios Dispositivos, soportan Radio FM, Tarjeta TF y AUX - 4 Horas de Reproducción Musical - Ideal para Trabajo Cotidiano, Juegos y Estudio</t>
        </is>
      </c>
      <c r="H1320" s="16" t="inlineStr">
        <is>
          <t>ROJO</t>
        </is>
      </c>
      <c r="I1320" s="16" t="n">
        <v>1</v>
      </c>
      <c r="J1320" s="17" t="n">
        <v>36.5</v>
      </c>
      <c r="K1320" s="17" t="n">
        <v>39.69</v>
      </c>
      <c r="L1320" s="17" t="n">
        <v>25.86</v>
      </c>
      <c r="M1320" s="17" t="n">
        <v>0</v>
      </c>
      <c r="N1320" s="17">
        <f>K1320*0.08+L1320*0.08</f>
        <v/>
      </c>
      <c r="O1320" s="17">
        <f>-(K1320*0.025+L1320*0.025)</f>
        <v/>
      </c>
      <c r="P1320" s="17">
        <f>32</f>
        <v/>
      </c>
      <c r="Q1320" s="17">
        <f>J1320+L1320+N1320+O1320-P1320-M1320</f>
        <v/>
      </c>
    </row>
    <row r="1321">
      <c r="A1321" s="16" t="inlineStr">
        <is>
          <t>5.15-5.21</t>
        </is>
      </c>
      <c r="B1321" s="16" t="inlineStr">
        <is>
          <t>PO-128-07488047232630966</t>
        </is>
      </c>
      <c r="C1321" s="16" t="inlineStr">
        <is>
          <t>Shipped</t>
        </is>
      </c>
      <c r="D1321" s="16" t="inlineStr">
        <is>
          <t>128-07488152090230966</t>
        </is>
      </c>
      <c r="E1321" s="16" t="inlineStr">
        <is>
          <t>Shipped</t>
        </is>
      </c>
      <c r="F1321" s="16" t="inlineStr">
        <is>
          <t>MCM-001N</t>
        </is>
      </c>
      <c r="G1321" s="16" t="inlineStr">
        <is>
          <t>Musicord Altavoz Inalámbrico BT Portátil: ¡Sonido impactante, luces LED multicolores y 4 horas de autonomía! Compatible con TWS, FM, TF y USB – Imprescindible para fiestas y viajes</t>
        </is>
      </c>
      <c r="H1321" s="16" t="inlineStr">
        <is>
          <t>NEGRO</t>
        </is>
      </c>
      <c r="I1321" s="16" t="n">
        <v>1</v>
      </c>
      <c r="J1321" s="17" t="n">
        <v>61</v>
      </c>
      <c r="K1321" s="17" t="n">
        <v>68.79000000000001</v>
      </c>
      <c r="L1321" s="17" t="n">
        <v>25.86</v>
      </c>
      <c r="M1321" s="17" t="n">
        <v>0</v>
      </c>
      <c r="N1321" s="17">
        <f>K1321*0.08+L1321*0.08</f>
        <v/>
      </c>
      <c r="O1321" s="17">
        <f>-(K1321*0.025+L1321*0.025)</f>
        <v/>
      </c>
      <c r="P1321" s="17">
        <f>32</f>
        <v/>
      </c>
      <c r="Q1321" s="17">
        <f>J1321+L1321+N1321+O1321-P1321-M1321</f>
        <v/>
      </c>
    </row>
    <row r="1322">
      <c r="A1322" s="16" t="inlineStr">
        <is>
          <t>5.15-5.21</t>
        </is>
      </c>
      <c r="B1322" s="16" t="inlineStr">
        <is>
          <t>PO-128-07309978565751964</t>
        </is>
      </c>
      <c r="C1322" s="16" t="inlineStr">
        <is>
          <t>Shipped</t>
        </is>
      </c>
      <c r="D1322" s="16" t="inlineStr">
        <is>
          <t>128-07309936622711964</t>
        </is>
      </c>
      <c r="E1322" s="16" t="inlineStr">
        <is>
          <t>Shipped</t>
        </is>
      </c>
      <c r="F1322" s="16" t="inlineStr">
        <is>
          <t>LB02235-negro</t>
        </is>
      </c>
      <c r="G1322" s="16" t="inlineStr">
        <is>
          <t>Audífonos Inalámbricos para la Cabeza, Recargables y Multifuncionales - Conectan a Varios Dispositivos, soportan Radio FM, Tarjeta TF y AUX - 4 Horas de Reproducción Musical - Ideal para Trabajo Cotidiano, Juegos y Estudio</t>
        </is>
      </c>
      <c r="H1322" s="16" t="inlineStr">
        <is>
          <t>NEGRO</t>
        </is>
      </c>
      <c r="I1322" s="16" t="n">
        <v>1</v>
      </c>
      <c r="J1322" s="17" t="n">
        <v>36.5</v>
      </c>
      <c r="K1322" s="17" t="n">
        <v>49.61</v>
      </c>
      <c r="L1322" s="17" t="n">
        <v>25.86</v>
      </c>
      <c r="M1322" s="17" t="n">
        <v>0</v>
      </c>
      <c r="N1322" s="17">
        <f>K1322*0.08+L1322*0.08</f>
        <v/>
      </c>
      <c r="O1322" s="17">
        <f>-(K1322*0.025+L1322*0.025)</f>
        <v/>
      </c>
      <c r="P1322" s="17">
        <f>32</f>
        <v/>
      </c>
      <c r="Q1322" s="17">
        <f>J1322+L1322+N1322+O1322-P1322-M1322</f>
        <v/>
      </c>
    </row>
    <row r="1323">
      <c r="A1323" s="16" t="inlineStr">
        <is>
          <t>5.15-5.21</t>
        </is>
      </c>
      <c r="B1323" s="16" t="inlineStr">
        <is>
          <t>PO-128-07459187246710050</t>
        </is>
      </c>
      <c r="C1323" s="16" t="inlineStr">
        <is>
          <t>Shipped</t>
        </is>
      </c>
      <c r="D1323" s="16" t="inlineStr">
        <is>
          <t>128-07459161032310050</t>
        </is>
      </c>
      <c r="E1323" s="16" t="inlineStr">
        <is>
          <t>Shipped</t>
        </is>
      </c>
      <c r="F1323" s="16" t="inlineStr">
        <is>
          <t>LB02235-blanco</t>
        </is>
      </c>
      <c r="G1323" s="16" t="inlineStr">
        <is>
          <t>Audífonos Inalámbricos para la Cabeza, Recargables y Multifuncionales - Conectan a Varios Dispositivos, soportan Radio FM, Tarjeta TF y AUX - 4 Horas de Reproducción Musical - Ideal para Trabajo Cotidiano, Juegos y Estudio</t>
        </is>
      </c>
      <c r="H1323" s="16" t="inlineStr">
        <is>
          <t>BLANCO</t>
        </is>
      </c>
      <c r="I1323" s="16" t="n">
        <v>1</v>
      </c>
      <c r="J1323" s="17" t="n">
        <v>36.5</v>
      </c>
      <c r="K1323" s="17" t="n">
        <v>49.61</v>
      </c>
      <c r="L1323" s="17" t="n">
        <v>25.86</v>
      </c>
      <c r="M1323" s="17" t="n">
        <v>0</v>
      </c>
      <c r="N1323" s="17">
        <f>K1323*0.08+L1323*0.08</f>
        <v/>
      </c>
      <c r="O1323" s="17">
        <f>-(K1323*0.025+L1323*0.025)</f>
        <v/>
      </c>
      <c r="P1323" s="17">
        <f>32</f>
        <v/>
      </c>
      <c r="Q1323" s="17">
        <f>J1323+L1323+N1323+O1323-P1323-M1323</f>
        <v/>
      </c>
    </row>
    <row r="1324">
      <c r="A1324" s="16" t="inlineStr">
        <is>
          <t>5.15-5.21</t>
        </is>
      </c>
      <c r="B1324" s="16" t="inlineStr">
        <is>
          <t>PO-128-07531178376310711</t>
        </is>
      </c>
      <c r="C1324" s="16" t="inlineStr">
        <is>
          <t>Shipped</t>
        </is>
      </c>
      <c r="D1324" s="16" t="inlineStr">
        <is>
          <t>128-07531220319350711</t>
        </is>
      </c>
      <c r="E1324" s="16" t="inlineStr">
        <is>
          <t>Shipped</t>
        </is>
      </c>
      <c r="F1324" s="16" t="inlineStr">
        <is>
          <t>LB02235-blanco</t>
        </is>
      </c>
      <c r="G1324" s="16" t="inlineStr">
        <is>
          <t>Audífonos Inalámbricos para la Cabeza, Recargables y Multifuncionales - Conectan a Varios Dispositivos, soportan Radio FM, Tarjeta TF y AUX - 4 Horas de Reproducción Musical - Ideal para Trabajo Cotidiano, Juegos y Estudio</t>
        </is>
      </c>
      <c r="H1324" s="16" t="inlineStr">
        <is>
          <t>BLANCO</t>
        </is>
      </c>
      <c r="I1324" s="16" t="n">
        <v>1</v>
      </c>
      <c r="J1324" s="17" t="n">
        <v>36.5</v>
      </c>
      <c r="K1324" s="17" t="n">
        <v>6.51</v>
      </c>
      <c r="L1324" s="17" t="n">
        <v>25.86</v>
      </c>
      <c r="M1324" s="17" t="n">
        <v>0</v>
      </c>
      <c r="N1324" s="17">
        <f>K1324*0.08+L1324*0.08</f>
        <v/>
      </c>
      <c r="O1324" s="17">
        <f>-(K1324*0.025+L1324*0.025)</f>
        <v/>
      </c>
      <c r="P1324" s="17">
        <f>32</f>
        <v/>
      </c>
      <c r="Q1324" s="17">
        <f>J1324+L1324+N1324+O1324-P1324-M1324</f>
        <v/>
      </c>
    </row>
    <row r="1325">
      <c r="A1325" s="16" t="inlineStr">
        <is>
          <t>5.15-5.21</t>
        </is>
      </c>
      <c r="B1325" s="16" t="inlineStr">
        <is>
          <t>PO-128-07531230805110711</t>
        </is>
      </c>
      <c r="C1325" s="16" t="inlineStr">
        <is>
          <t>Shipped</t>
        </is>
      </c>
      <c r="D1325" s="16" t="inlineStr">
        <is>
          <t>128-07531251776630711</t>
        </is>
      </c>
      <c r="E1325" s="16" t="inlineStr">
        <is>
          <t>Shipped</t>
        </is>
      </c>
      <c r="F1325" s="16" t="inlineStr">
        <is>
          <t>LB02235-rojo</t>
        </is>
      </c>
      <c r="G1325" s="16" t="inlineStr">
        <is>
          <t>Audífonos Inalámbricos para la Cabeza, Recargables y Multifuncionales - Conectan a Varios Dispositivos, soportan Radio FM, Tarjeta TF y AUX - 4 Horas de Reproducción Musical - Ideal para Trabajo Cotidiano, Juegos y Estudio</t>
        </is>
      </c>
      <c r="H1325" s="16" t="inlineStr">
        <is>
          <t>ROJO</t>
        </is>
      </c>
      <c r="I1325" s="16" t="n">
        <v>1</v>
      </c>
      <c r="J1325" s="17" t="n">
        <v>36.5</v>
      </c>
      <c r="K1325" s="17" t="n">
        <v>49.61</v>
      </c>
      <c r="L1325" s="17" t="n">
        <v>25.86</v>
      </c>
      <c r="M1325" s="17" t="n">
        <v>0</v>
      </c>
      <c r="N1325" s="17">
        <f>K1325*0.08+L1325*0.08</f>
        <v/>
      </c>
      <c r="O1325" s="17">
        <f>-(K1325*0.025+L1325*0.025)</f>
        <v/>
      </c>
      <c r="P1325" s="17">
        <f>32</f>
        <v/>
      </c>
      <c r="Q1325" s="17">
        <f>J1325+L1325+N1325+O1325-P1325-M1325</f>
        <v/>
      </c>
    </row>
    <row r="1326">
      <c r="A1326" s="16" t="inlineStr">
        <is>
          <t>5.15-5.21</t>
        </is>
      </c>
      <c r="B1326" s="16" t="inlineStr">
        <is>
          <t>PO-128-06978726451834066</t>
        </is>
      </c>
      <c r="C1326" s="16" t="inlineStr">
        <is>
          <t>Shipped</t>
        </is>
      </c>
      <c r="D1326" s="16" t="inlineStr">
        <is>
          <t>128-06978705480314066</t>
        </is>
      </c>
      <c r="E1326" s="16" t="inlineStr">
        <is>
          <t>Shipped</t>
        </is>
      </c>
      <c r="F1326" s="16" t="inlineStr">
        <is>
          <t>LV25W22</t>
        </is>
      </c>
      <c r="G13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26" s="16" t="inlineStr">
        <is>
          <t>LV25W32</t>
        </is>
      </c>
      <c r="I1326" s="16" t="n">
        <v>1</v>
      </c>
      <c r="J1326" s="17" t="n">
        <v>90.43000000000001</v>
      </c>
      <c r="K1326" s="17" t="n">
        <v>100.84</v>
      </c>
      <c r="L1326" s="17" t="n">
        <v>25.86</v>
      </c>
      <c r="M1326" s="17" t="n">
        <v>0</v>
      </c>
      <c r="N1326" s="17">
        <f>K1326*0.08+L1326*0.08</f>
        <v/>
      </c>
      <c r="O1326" s="17">
        <f>-(K1326*0.025+L1326*0.025)</f>
        <v/>
      </c>
      <c r="P1326" s="17">
        <f>32</f>
        <v/>
      </c>
      <c r="Q1326" s="17">
        <f>J1326+L1326+N1326+O1326-P1326-M1326</f>
        <v/>
      </c>
    </row>
    <row r="1327">
      <c r="A1327" s="16" t="inlineStr">
        <is>
          <t>5.15-5.21</t>
        </is>
      </c>
      <c r="B1327" s="16" t="inlineStr">
        <is>
          <t>PO-128-07512223488630886</t>
        </is>
      </c>
      <c r="C1327" s="16" t="inlineStr">
        <is>
          <t>Shipped</t>
        </is>
      </c>
      <c r="D1327" s="16" t="inlineStr">
        <is>
          <t>128-07512233974390886</t>
        </is>
      </c>
      <c r="E1327" s="16" t="inlineStr">
        <is>
          <t>Shipped</t>
        </is>
      </c>
      <c r="F1327" s="16" t="inlineStr">
        <is>
          <t>LV25W22</t>
        </is>
      </c>
      <c r="G13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27" s="16" t="inlineStr">
        <is>
          <t>LV25W32</t>
        </is>
      </c>
      <c r="I1327" s="16" t="n">
        <v>1</v>
      </c>
      <c r="J1327" s="17" t="n">
        <v>90.43000000000001</v>
      </c>
      <c r="K1327" s="17" t="n">
        <v>100.84</v>
      </c>
      <c r="L1327" s="17" t="n">
        <v>25.86</v>
      </c>
      <c r="M1327" s="17" t="n">
        <v>0</v>
      </c>
      <c r="N1327" s="17">
        <f>K1327*0.08+L1327*0.08</f>
        <v/>
      </c>
      <c r="O1327" s="17">
        <f>-(K1327*0.025+L1327*0.025)</f>
        <v/>
      </c>
      <c r="P1327" s="17">
        <f>32</f>
        <v/>
      </c>
      <c r="Q1327" s="17">
        <f>J1327+L1327+N1327+O1327-P1327-M1327</f>
        <v/>
      </c>
    </row>
    <row r="1328">
      <c r="A1328" s="16" t="inlineStr">
        <is>
          <t>5.15-5.21</t>
        </is>
      </c>
      <c r="B1328" s="16" t="inlineStr">
        <is>
          <t>PO-128-07395090376310432</t>
        </is>
      </c>
      <c r="C1328" s="16" t="inlineStr">
        <is>
          <t>Shipped</t>
        </is>
      </c>
      <c r="D1328" s="16" t="inlineStr">
        <is>
          <t>128-07395111347830432</t>
        </is>
      </c>
      <c r="E1328" s="16" t="inlineStr">
        <is>
          <t>Shipped</t>
        </is>
      </c>
      <c r="F1328" s="16" t="inlineStr">
        <is>
          <t>LV25W22</t>
        </is>
      </c>
      <c r="G132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28" s="16" t="inlineStr">
        <is>
          <t>LV25W32</t>
        </is>
      </c>
      <c r="I1328" s="16" t="n">
        <v>1</v>
      </c>
      <c r="J1328" s="17" t="n">
        <v>90.43000000000001</v>
      </c>
      <c r="K1328" s="17" t="n">
        <v>100.84</v>
      </c>
      <c r="L1328" s="17" t="n">
        <v>25.86</v>
      </c>
      <c r="M1328" s="17" t="n">
        <v>0</v>
      </c>
      <c r="N1328" s="17">
        <f>K1328*0.08+L1328*0.08</f>
        <v/>
      </c>
      <c r="O1328" s="17">
        <f>-(K1328*0.025+L1328*0.025)</f>
        <v/>
      </c>
      <c r="P1328" s="17">
        <f>32</f>
        <v/>
      </c>
      <c r="Q1328" s="17">
        <f>J1328+L1328+N1328+O1328-P1328-M1328</f>
        <v/>
      </c>
    </row>
    <row r="1329">
      <c r="A1329" s="16" t="inlineStr">
        <is>
          <t>5.15-5.21</t>
        </is>
      </c>
      <c r="B1329" s="16" t="inlineStr">
        <is>
          <t>PO-128-07470575926390110</t>
        </is>
      </c>
      <c r="C1329" s="16" t="inlineStr">
        <is>
          <t>Shipped</t>
        </is>
      </c>
      <c r="D1329" s="16" t="inlineStr">
        <is>
          <t>128-07470607383670110</t>
        </is>
      </c>
      <c r="E1329" s="16" t="inlineStr">
        <is>
          <t>Shipped</t>
        </is>
      </c>
      <c r="F1329" s="16" t="inlineStr">
        <is>
          <t>LV25W22</t>
        </is>
      </c>
      <c r="G13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29" s="16" t="inlineStr">
        <is>
          <t>LV25W32</t>
        </is>
      </c>
      <c r="I1329" s="16" t="n">
        <v>1</v>
      </c>
      <c r="J1329" s="17" t="n">
        <v>90.43000000000001</v>
      </c>
      <c r="K1329" s="17" t="n">
        <v>80.68000000000001</v>
      </c>
      <c r="L1329" s="17" t="n">
        <v>25.86</v>
      </c>
      <c r="M1329" s="17" t="n">
        <v>0</v>
      </c>
      <c r="N1329" s="17">
        <f>K1329*0.08+L1329*0.08</f>
        <v/>
      </c>
      <c r="O1329" s="17">
        <f>-(K1329*0.025+L1329*0.025)</f>
        <v/>
      </c>
      <c r="P1329" s="17">
        <f>32</f>
        <v/>
      </c>
      <c r="Q1329" s="17">
        <f>J1329+L1329+N1329+O1329-P1329-M1329</f>
        <v/>
      </c>
    </row>
    <row r="1330">
      <c r="A1330" s="16" t="inlineStr">
        <is>
          <t>5.15-5.21</t>
        </is>
      </c>
      <c r="B1330" s="16" t="inlineStr">
        <is>
          <t>PO-128-07403068603510451</t>
        </is>
      </c>
      <c r="C1330" s="16" t="inlineStr">
        <is>
          <t>Shipped</t>
        </is>
      </c>
      <c r="D1330" s="16" t="inlineStr">
        <is>
          <t>128-07403005688950451</t>
        </is>
      </c>
      <c r="E1330" s="16" t="inlineStr">
        <is>
          <t>Shipped</t>
        </is>
      </c>
      <c r="F1330" s="16" t="inlineStr">
        <is>
          <t>LB02235-blanco</t>
        </is>
      </c>
      <c r="G1330" s="16" t="inlineStr">
        <is>
          <t>Audífonos Inalámbricos para la Cabeza, Recargables y Multifuncionales - Conectan a Varios Dispositivos, soportan Radio FM, Tarjeta TF y AUX - 4 Horas de Reproducción Musical - Ideal para Trabajo Cotidiano, Juegos y Estudio</t>
        </is>
      </c>
      <c r="H1330" s="16" t="inlineStr">
        <is>
          <t>BLANCO</t>
        </is>
      </c>
      <c r="I1330" s="16" t="n">
        <v>1</v>
      </c>
      <c r="J1330" s="17" t="n">
        <v>36.5</v>
      </c>
      <c r="K1330" s="17" t="n">
        <v>39.69</v>
      </c>
      <c r="L1330" s="17" t="n">
        <v>12.93</v>
      </c>
      <c r="M1330" s="17" t="n">
        <v>0</v>
      </c>
      <c r="N1330" s="17">
        <f>K1330*0.08+L1330*0.08</f>
        <v/>
      </c>
      <c r="O1330" s="17">
        <f>-(K1330*0.025+L1330*0.025)</f>
        <v/>
      </c>
      <c r="P1330" s="17">
        <f>32</f>
        <v/>
      </c>
      <c r="Q1330" s="17">
        <f>J1330+L1330+N1330+O1330-P1330-M1330</f>
        <v/>
      </c>
    </row>
    <row r="1331">
      <c r="A1331" s="16" t="inlineStr">
        <is>
          <t>5.15-5.21</t>
        </is>
      </c>
      <c r="B1331" s="16" t="inlineStr">
        <is>
          <t>PO-128-07403068603510451</t>
        </is>
      </c>
      <c r="C1331" s="16" t="inlineStr">
        <is>
          <t>Shipped</t>
        </is>
      </c>
      <c r="D1331" s="16" t="inlineStr">
        <is>
          <t>128-07403089575030451</t>
        </is>
      </c>
      <c r="E1331" s="16" t="inlineStr">
        <is>
          <t>Shipped</t>
        </is>
      </c>
      <c r="F1331" s="16" t="inlineStr">
        <is>
          <t>LB02235-rojo</t>
        </is>
      </c>
      <c r="G1331" s="16" t="inlineStr">
        <is>
          <t>Audífonos Inalámbricos para la Cabeza, Recargables y Multifuncionales - Conectan a Varios Dispositivos, soportan Radio FM, Tarjeta TF y AUX - 4 Horas de Reproducción Musical - Ideal para Trabajo Cotidiano, Juegos y Estudio</t>
        </is>
      </c>
      <c r="H1331" s="16" t="inlineStr">
        <is>
          <t>ROJO</t>
        </is>
      </c>
      <c r="I1331" s="16" t="n">
        <v>1</v>
      </c>
      <c r="J1331" s="17" t="n">
        <v>36.5</v>
      </c>
      <c r="K1331" s="17" t="n">
        <v>39.69</v>
      </c>
      <c r="L1331" s="17" t="n">
        <v>12.93</v>
      </c>
      <c r="M1331" s="17" t="n">
        <v>0</v>
      </c>
      <c r="N1331" s="17">
        <f>K1331*0.08+L1331*0.08</f>
        <v/>
      </c>
      <c r="O1331" s="17">
        <f>-(K1331*0.025+L1331*0.025)</f>
        <v/>
      </c>
      <c r="P1331" s="17">
        <f>32</f>
        <v/>
      </c>
      <c r="Q1331" s="17">
        <f>J1331+L1331+N1331+O1331-P1331-M1331</f>
        <v/>
      </c>
    </row>
    <row r="1332">
      <c r="A1332" s="16" t="inlineStr">
        <is>
          <t>5.15-5.21</t>
        </is>
      </c>
      <c r="B1332" s="16" t="inlineStr">
        <is>
          <t>PO-128-07396142904950426</t>
        </is>
      </c>
      <c r="C1332" s="16" t="inlineStr">
        <is>
          <t>Shipped</t>
        </is>
      </c>
      <c r="D1332" s="16" t="inlineStr">
        <is>
          <t>128-07396100961910426</t>
        </is>
      </c>
      <c r="E1332" s="16" t="inlineStr">
        <is>
          <t>Shipped</t>
        </is>
      </c>
      <c r="F1332" s="16" t="inlineStr">
        <is>
          <t>LB02235-azul</t>
        </is>
      </c>
      <c r="G1332" s="16" t="inlineStr">
        <is>
          <t>Audífonos Inalámbricos para la Cabeza, Recargables y Multifuncionales - Conectan a Varios Dispositivos, soportan Radio FM, Tarjeta TF y AUX - 4 Horas de Reproducción Musical - Ideal para Trabajo Cotidiano, Juegos y Estudio</t>
        </is>
      </c>
      <c r="H1332" s="16" t="inlineStr">
        <is>
          <t>AZUL</t>
        </is>
      </c>
      <c r="I1332" s="16" t="n">
        <v>1</v>
      </c>
      <c r="J1332" s="17" t="n">
        <v>35</v>
      </c>
      <c r="K1332" s="17" t="n">
        <v>48.11</v>
      </c>
      <c r="L1332" s="17" t="n">
        <v>25.86</v>
      </c>
      <c r="M1332" s="17" t="n">
        <v>0</v>
      </c>
      <c r="N1332" s="17">
        <f>K1332*0.08+L1332*0.08</f>
        <v/>
      </c>
      <c r="O1332" s="17">
        <f>-(K1332*0.025+L1332*0.025)</f>
        <v/>
      </c>
      <c r="P1332" s="17">
        <f>32</f>
        <v/>
      </c>
      <c r="Q1332" s="17">
        <f>J1332+L1332+N1332+O1332-P1332-M1332</f>
        <v/>
      </c>
    </row>
    <row r="1333">
      <c r="A1333" s="16" t="inlineStr">
        <is>
          <t>5.15-5.21</t>
        </is>
      </c>
      <c r="B1333" s="16" t="inlineStr">
        <is>
          <t>PO-128-07209068854392631</t>
        </is>
      </c>
      <c r="C1333" s="16" t="inlineStr">
        <is>
          <t>Shipped</t>
        </is>
      </c>
      <c r="D1333" s="16" t="inlineStr">
        <is>
          <t>128-07209110797432631</t>
        </is>
      </c>
      <c r="E1333" s="16" t="inlineStr">
        <is>
          <t>Shipped</t>
        </is>
      </c>
      <c r="F1333" s="16" t="inlineStr">
        <is>
          <t>LB02235-negro</t>
        </is>
      </c>
      <c r="G1333" s="16" t="inlineStr">
        <is>
          <t>Audífonos Inalámbricos para la Cabeza, Recargables y Multifuncionales - Conectan a Varios Dispositivos, soportan Radio FM, Tarjeta TF y AUX - 4 Horas de Reproducción Musical - Ideal para Trabajo Cotidiano, Juegos y Estudio</t>
        </is>
      </c>
      <c r="H1333" s="16" t="inlineStr">
        <is>
          <t>NEGRO</t>
        </is>
      </c>
      <c r="I1333" s="16" t="n">
        <v>1</v>
      </c>
      <c r="J1333" s="17" t="n">
        <v>36.5</v>
      </c>
      <c r="K1333" s="17" t="n">
        <v>42.17</v>
      </c>
      <c r="L1333" s="17" t="n">
        <v>25.86</v>
      </c>
      <c r="M1333" s="17" t="n">
        <v>0</v>
      </c>
      <c r="N1333" s="17">
        <f>K1333*0.08+L1333*0.08</f>
        <v/>
      </c>
      <c r="O1333" s="17">
        <f>-(K1333*0.025+L1333*0.025)</f>
        <v/>
      </c>
      <c r="P1333" s="17">
        <f>32</f>
        <v/>
      </c>
      <c r="Q1333" s="17">
        <f>J1333+L1333+N1333+O1333-P1333-M1333</f>
        <v/>
      </c>
    </row>
    <row r="1334">
      <c r="A1334" s="16" t="inlineStr">
        <is>
          <t>5.15-5.21</t>
        </is>
      </c>
      <c r="B1334" s="16" t="inlineStr">
        <is>
          <t>PO-128-07482597717110937</t>
        </is>
      </c>
      <c r="C1334" s="16" t="inlineStr">
        <is>
          <t>Shipped</t>
        </is>
      </c>
      <c r="D1334" s="16" t="inlineStr">
        <is>
          <t>128-07482555774070937</t>
        </is>
      </c>
      <c r="E1334" s="16" t="inlineStr">
        <is>
          <t>Shipped</t>
        </is>
      </c>
      <c r="F1334" s="16" t="inlineStr">
        <is>
          <t>MCM-001N</t>
        </is>
      </c>
      <c r="G1334" s="16" t="inlineStr">
        <is>
          <t>Musicord Altavoz Inalámbrico BT Portátil: ¡Sonido impactante, luces LED multicolores y 4 horas de autonomía! Compatible con TWS, FM, TF y USB – Imprescindible para fiestas y viajes</t>
        </is>
      </c>
      <c r="H1334" s="16" t="inlineStr">
        <is>
          <t>NEGRO</t>
        </is>
      </c>
      <c r="I1334" s="16" t="n">
        <v>1</v>
      </c>
      <c r="J1334" s="17" t="n">
        <v>61</v>
      </c>
      <c r="K1334" s="17" t="n">
        <v>68.79000000000001</v>
      </c>
      <c r="L1334" s="17" t="n">
        <v>25.86</v>
      </c>
      <c r="M1334" s="17" t="n">
        <v>0</v>
      </c>
      <c r="N1334" s="17">
        <f>K1334*0.08+L1334*0.08</f>
        <v/>
      </c>
      <c r="O1334" s="17">
        <f>-(K1334*0.025+L1334*0.025)</f>
        <v/>
      </c>
      <c r="P1334" s="17">
        <f>32</f>
        <v/>
      </c>
      <c r="Q1334" s="17">
        <f>J1334+L1334+N1334+O1334-P1334-M1334</f>
        <v/>
      </c>
    </row>
    <row r="1335">
      <c r="A1335" s="16" t="inlineStr">
        <is>
          <t>5.15-5.21</t>
        </is>
      </c>
      <c r="B1335" s="16" t="inlineStr">
        <is>
          <t>PO-128-07087793301112200</t>
        </is>
      </c>
      <c r="C1335" s="16" t="inlineStr">
        <is>
          <t>Shipped</t>
        </is>
      </c>
      <c r="D1335" s="16" t="inlineStr">
        <is>
          <t>128-07087746115192200</t>
        </is>
      </c>
      <c r="E1335" s="16" t="inlineStr">
        <is>
          <t>Shipped</t>
        </is>
      </c>
      <c r="F1335" s="16" t="inlineStr">
        <is>
          <t>SA323T</t>
        </is>
      </c>
      <c r="G1335" s="16" t="inlineStr">
        <is>
          <t>Linkbits Bocina Portátil Parlantes BT Portátiles con Iluminación de Ambiente | 1 Hora de Duración, FM, TWS, TF/Micro SD | Ideal para Hogar, Fiestas y Viajes</t>
        </is>
      </c>
      <c r="H1335" s="16" t="inlineStr">
        <is>
          <t>SA323T</t>
        </is>
      </c>
      <c r="I1335" s="16" t="n">
        <v>1</v>
      </c>
      <c r="J1335" s="17" t="n">
        <v>37.71</v>
      </c>
      <c r="K1335" s="17" t="n">
        <v>46.77</v>
      </c>
      <c r="L1335" s="17" t="n">
        <v>25.86</v>
      </c>
      <c r="M1335" s="17" t="n">
        <v>0</v>
      </c>
      <c r="N1335" s="17">
        <f>K1335*0.08+L1335*0.08</f>
        <v/>
      </c>
      <c r="O1335" s="17">
        <f>-(K1335*0.025+L1335*0.025)</f>
        <v/>
      </c>
      <c r="P1335" s="17">
        <f>32</f>
        <v/>
      </c>
      <c r="Q1335" s="17">
        <f>J1335+L1335+N1335+O1335-P1335-M1335</f>
        <v/>
      </c>
    </row>
    <row r="1336">
      <c r="A1336" s="16" t="inlineStr">
        <is>
          <t>5.15-5.21</t>
        </is>
      </c>
      <c r="B1336" s="16" t="inlineStr">
        <is>
          <t>PO-128-07127463468152156</t>
        </is>
      </c>
      <c r="C1336" s="16" t="inlineStr">
        <is>
          <t>Shipped</t>
        </is>
      </c>
      <c r="D1336" s="16" t="inlineStr">
        <is>
          <t>128-07127421525112156</t>
        </is>
      </c>
      <c r="E1336" s="16" t="inlineStr">
        <is>
          <t>Shipped</t>
        </is>
      </c>
      <c r="F1336" s="16" t="inlineStr">
        <is>
          <t>LB02235-negro</t>
        </is>
      </c>
      <c r="G1336" s="16" t="inlineStr">
        <is>
          <t>Audífonos Inalámbricos para la Cabeza, Recargables y Multifuncionales - Conectan a Varios Dispositivos, soportan Radio FM, Tarjeta TF y AUX - 4 Horas de Reproducción Musical - Ideal para Trabajo Cotidiano, Juegos y Estudio</t>
        </is>
      </c>
      <c r="H1336" s="16" t="inlineStr">
        <is>
          <t>NEGRO</t>
        </is>
      </c>
      <c r="I1336" s="16" t="n">
        <v>1</v>
      </c>
      <c r="J1336" s="17" t="n">
        <v>36.5</v>
      </c>
      <c r="K1336" s="17" t="n">
        <v>49.61</v>
      </c>
      <c r="L1336" s="17" t="n">
        <v>25.86</v>
      </c>
      <c r="M1336" s="17" t="n">
        <v>0</v>
      </c>
      <c r="N1336" s="17">
        <f>K1336*0.08+L1336*0.08</f>
        <v/>
      </c>
      <c r="O1336" s="17">
        <f>-(K1336*0.025+L1336*0.025)</f>
        <v/>
      </c>
      <c r="P1336" s="17">
        <f>32</f>
        <v/>
      </c>
      <c r="Q1336" s="17">
        <f>J1336+L1336+N1336+O1336-P1336-M1336</f>
        <v/>
      </c>
    </row>
    <row r="1337">
      <c r="A1337" s="16" t="inlineStr">
        <is>
          <t>5.15-5.21</t>
        </is>
      </c>
      <c r="B1337" s="16" t="inlineStr">
        <is>
          <t>PO-128-07097562179192270</t>
        </is>
      </c>
      <c r="C1337" s="16" t="inlineStr">
        <is>
          <t>Shipped</t>
        </is>
      </c>
      <c r="D1337" s="16" t="inlineStr">
        <is>
          <t>128-07097520236152270</t>
        </is>
      </c>
      <c r="E1337" s="16" t="inlineStr">
        <is>
          <t>Shipped</t>
        </is>
      </c>
      <c r="F1337" s="16" t="inlineStr">
        <is>
          <t>LV25W22</t>
        </is>
      </c>
      <c r="G13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37" s="16" t="inlineStr">
        <is>
          <t>LV25W32</t>
        </is>
      </c>
      <c r="I1337" s="16" t="n">
        <v>1</v>
      </c>
      <c r="J1337" s="17" t="n">
        <v>90.43000000000001</v>
      </c>
      <c r="K1337" s="17" t="n">
        <v>100.84</v>
      </c>
      <c r="L1337" s="17" t="n">
        <v>25.86</v>
      </c>
      <c r="M1337" s="17" t="n">
        <v>0</v>
      </c>
      <c r="N1337" s="17">
        <f>K1337*0.08+L1337*0.08</f>
        <v/>
      </c>
      <c r="O1337" s="17">
        <f>-(K1337*0.025+L1337*0.025)</f>
        <v/>
      </c>
      <c r="P1337" s="17">
        <f>32</f>
        <v/>
      </c>
      <c r="Q1337" s="17">
        <f>J1337+L1337+N1337+O1337-P1337-M1337</f>
        <v/>
      </c>
    </row>
    <row r="1338">
      <c r="A1338" s="16" t="inlineStr">
        <is>
          <t>5.15-5.21</t>
        </is>
      </c>
      <c r="B1338" s="16" t="inlineStr">
        <is>
          <t>PO-128-07173996140152710</t>
        </is>
      </c>
      <c r="C1338" s="16" t="inlineStr">
        <is>
          <t>Shipped</t>
        </is>
      </c>
      <c r="D1338" s="16" t="inlineStr">
        <is>
          <t>128-07173985654392710</t>
        </is>
      </c>
      <c r="E1338" s="16" t="inlineStr">
        <is>
          <t>Shipped</t>
        </is>
      </c>
      <c r="F1338" s="16" t="inlineStr">
        <is>
          <t>S09W18IB</t>
        </is>
      </c>
      <c r="G133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338" s="16" t="inlineStr">
        <is>
          <t>1 pieza</t>
        </is>
      </c>
      <c r="I1338" s="16" t="n">
        <v>3</v>
      </c>
      <c r="J1338" s="17" t="n">
        <v>68.97</v>
      </c>
      <c r="K1338" s="17" t="n">
        <v>84.06</v>
      </c>
      <c r="L1338" s="17" t="n">
        <v>25.86</v>
      </c>
      <c r="M1338" s="17" t="n">
        <v>0</v>
      </c>
      <c r="N1338" s="17">
        <f>K1338*0.08+L1338*0.08</f>
        <v/>
      </c>
      <c r="O1338" s="17">
        <f>-(K1338*0.025+L1338*0.025)</f>
        <v/>
      </c>
      <c r="P1338" s="17">
        <f>32</f>
        <v/>
      </c>
      <c r="Q1338" s="17">
        <f>J1338+L1338+N1338+O1338-P1338-M1338</f>
        <v/>
      </c>
    </row>
    <row r="1339">
      <c r="A1339" s="16" t="inlineStr">
        <is>
          <t>5.15-5.21</t>
        </is>
      </c>
      <c r="B1339" s="16" t="inlineStr">
        <is>
          <t>PO-128-07398463719030476</t>
        </is>
      </c>
      <c r="C1339" s="16" t="inlineStr">
        <is>
          <t>Shipped</t>
        </is>
      </c>
      <c r="D1339" s="16" t="inlineStr">
        <is>
          <t>128-07398455854710476</t>
        </is>
      </c>
      <c r="E1339" s="16" t="inlineStr">
        <is>
          <t>Shipped</t>
        </is>
      </c>
      <c r="F1339" s="16" t="inlineStr">
        <is>
          <t>LB02235-azul</t>
        </is>
      </c>
      <c r="G1339" s="16" t="inlineStr">
        <is>
          <t>Audífonos Inalámbricos para la Cabeza, Recargables y Multifuncionales - Conectan a Varios Dispositivos, soportan Radio FM, Tarjeta TF y AUX - 4 Horas de Reproducción Musical - Ideal para Trabajo Cotidiano, Juegos y Estudio</t>
        </is>
      </c>
      <c r="H1339" s="16" t="inlineStr">
        <is>
          <t>AZUL</t>
        </is>
      </c>
      <c r="I1339" s="16" t="n">
        <v>1</v>
      </c>
      <c r="J1339" s="17" t="n">
        <v>35</v>
      </c>
      <c r="K1339" s="17" t="n">
        <v>43.27</v>
      </c>
      <c r="L1339" s="17" t="n">
        <v>25.86</v>
      </c>
      <c r="M1339" s="17" t="n">
        <v>0</v>
      </c>
      <c r="N1339" s="17">
        <f>K1339*0.08+L1339*0.08</f>
        <v/>
      </c>
      <c r="O1339" s="17">
        <f>-(K1339*0.025+L1339*0.025)</f>
        <v/>
      </c>
      <c r="P1339" s="17">
        <f>32</f>
        <v/>
      </c>
      <c r="Q1339" s="17">
        <f>J1339+L1339+N1339+O1339-P1339-M1339</f>
        <v/>
      </c>
    </row>
    <row r="1340">
      <c r="A1340" s="16" t="inlineStr">
        <is>
          <t>5.15-5.21</t>
        </is>
      </c>
      <c r="B1340" s="16" t="inlineStr">
        <is>
          <t>PO-128-07265936579191202</t>
        </is>
      </c>
      <c r="C1340" s="16" t="inlineStr">
        <is>
          <t>Shipped</t>
        </is>
      </c>
      <c r="D1340" s="16" t="inlineStr">
        <is>
          <t>128-07265947064951202</t>
        </is>
      </c>
      <c r="E1340" s="16" t="inlineStr">
        <is>
          <t>Shipped</t>
        </is>
      </c>
      <c r="F1340" s="16" t="inlineStr">
        <is>
          <t>FA028</t>
        </is>
      </c>
      <c r="G1340" s="16" t="inlineStr">
        <is>
          <t>Extractor de agua para garrafas de agua, compatible con carga USB, extractor de agua automático, práctico, con dos modos de toma de agua: manual y programado, ideal para dormitorios, salones, oficinas, uso al aire libre y otros escenarios.</t>
        </is>
      </c>
      <c r="H1340" s="16" t="inlineStr">
        <is>
          <t>FA028</t>
        </is>
      </c>
      <c r="I1340" s="16" t="n">
        <v>1</v>
      </c>
      <c r="J1340" s="17" t="n">
        <v>27</v>
      </c>
      <c r="K1340" s="17" t="n">
        <v>36.58</v>
      </c>
      <c r="L1340" s="17" t="n">
        <v>25.86</v>
      </c>
      <c r="M1340" s="17" t="n">
        <v>0</v>
      </c>
      <c r="N1340" s="17">
        <f>K1340*0.08+L1340*0.08</f>
        <v/>
      </c>
      <c r="O1340" s="17">
        <f>-(K1340*0.025+L1340*0.025)</f>
        <v/>
      </c>
      <c r="P1340" s="17">
        <f>32</f>
        <v/>
      </c>
      <c r="Q1340" s="17">
        <f>J1340+L1340+N1340+O1340-P1340-M1340</f>
        <v/>
      </c>
    </row>
    <row r="1341">
      <c r="A1341" s="16" t="inlineStr">
        <is>
          <t>5.15-5.21</t>
        </is>
      </c>
      <c r="B1341" s="16" t="inlineStr">
        <is>
          <t>PO-128-07364054835831771</t>
        </is>
      </c>
      <c r="C1341" s="16" t="inlineStr">
        <is>
          <t>Shipped</t>
        </is>
      </c>
      <c r="D1341" s="16" t="inlineStr">
        <is>
          <t>128-07364159693431771</t>
        </is>
      </c>
      <c r="E1341" s="16" t="inlineStr">
        <is>
          <t>Shipped</t>
        </is>
      </c>
      <c r="F1341" s="16" t="inlineStr">
        <is>
          <t>MCM-001R</t>
        </is>
      </c>
      <c r="G1341" s="16" t="inlineStr">
        <is>
          <t>Musicord Altavoz Inalámbrico BT Portátil: ¡Sonido impactante, luces LED multicolores y 4 horas de autonomía! Compatible con TWS, FM, TF y USB – Imprescindible para fiestas y viajes</t>
        </is>
      </c>
      <c r="H1341" s="16" t="inlineStr">
        <is>
          <t>ROJO</t>
        </is>
      </c>
      <c r="I1341" s="16" t="n">
        <v>1</v>
      </c>
      <c r="J1341" s="17" t="n">
        <v>66.5</v>
      </c>
      <c r="K1341" s="17" t="n">
        <v>31.19</v>
      </c>
      <c r="L1341" s="17" t="n">
        <v>25.86</v>
      </c>
      <c r="M1341" s="17" t="n">
        <v>0</v>
      </c>
      <c r="N1341" s="17">
        <f>K1341*0.08+L1341*0.08</f>
        <v/>
      </c>
      <c r="O1341" s="17">
        <f>-(K1341*0.025+L1341*0.025)</f>
        <v/>
      </c>
      <c r="P1341" s="17">
        <f>32</f>
        <v/>
      </c>
      <c r="Q1341" s="17">
        <f>J1341+L1341+N1341+O1341-P1341-M1341</f>
        <v/>
      </c>
    </row>
    <row r="1342">
      <c r="A1342" s="16" t="inlineStr">
        <is>
          <t>5.15-5.21</t>
        </is>
      </c>
      <c r="B1342" s="16" t="inlineStr">
        <is>
          <t>PO-128-07370431675511541</t>
        </is>
      </c>
      <c r="C1342" s="16" t="inlineStr">
        <is>
          <t>Shipped</t>
        </is>
      </c>
      <c r="D1342" s="16" t="inlineStr">
        <is>
          <t>128-07370536533111541</t>
        </is>
      </c>
      <c r="E1342" s="16" t="inlineStr">
        <is>
          <t>Shipped</t>
        </is>
      </c>
      <c r="F1342" s="16" t="inlineStr">
        <is>
          <t>LV25W22</t>
        </is>
      </c>
      <c r="G134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42" s="16" t="inlineStr">
        <is>
          <t>LV25W32</t>
        </is>
      </c>
      <c r="I1342" s="16" t="n">
        <v>3</v>
      </c>
      <c r="J1342" s="17" t="n">
        <v>271.29</v>
      </c>
      <c r="K1342" s="17" t="n">
        <v>302.52</v>
      </c>
      <c r="L1342" s="17" t="n">
        <v>0</v>
      </c>
      <c r="M1342" s="17" t="n">
        <v>0</v>
      </c>
      <c r="N1342" s="17">
        <f>K1342*0.08+L1342*0.08</f>
        <v/>
      </c>
      <c r="O1342" s="17">
        <f>-(K1342*0.025+L1342*0.025)</f>
        <v/>
      </c>
      <c r="P1342" s="17">
        <f>32</f>
        <v/>
      </c>
      <c r="Q1342" s="17">
        <f>J1342+L1342+N1342+O1342-P1342-M1342</f>
        <v/>
      </c>
    </row>
    <row r="1343">
      <c r="A1343" s="16" t="inlineStr">
        <is>
          <t>5.15-5.21</t>
        </is>
      </c>
      <c r="B1343" s="16" t="inlineStr">
        <is>
          <t>PO-128-07193567665272787</t>
        </is>
      </c>
      <c r="C1343" s="16" t="inlineStr">
        <is>
          <t>Shipped</t>
        </is>
      </c>
      <c r="D1343" s="16" t="inlineStr">
        <is>
          <t>128-07193649585272787</t>
        </is>
      </c>
      <c r="E1343" s="16" t="inlineStr">
        <is>
          <t>Shipped</t>
        </is>
      </c>
      <c r="F1343" s="16" t="inlineStr">
        <is>
          <t>MB-178-N</t>
        </is>
      </c>
      <c r="G1343" s="16" t="inlineStr">
        <is>
          <t>Bocina de Barra Bluetooth LINK BITS con dos altavoces, sonido de alta calidad y multifuncional (Bluetooth, Radio FM, USB, TF, AUX, TWS), ideal para juegos, reuniones, oficina y cine en casa.</t>
        </is>
      </c>
      <c r="H1343" s="16" t="inlineStr">
        <is>
          <t>NEGRO</t>
        </is>
      </c>
      <c r="I1343" s="16" t="n">
        <v>1</v>
      </c>
      <c r="J1343" s="17" t="n">
        <v>120</v>
      </c>
      <c r="K1343" s="17" t="n">
        <v>139.34</v>
      </c>
      <c r="L1343" s="17" t="n">
        <v>25.86</v>
      </c>
      <c r="M1343" s="17" t="n">
        <v>0</v>
      </c>
      <c r="N1343" s="17">
        <f>K1343*0.08+L1343*0.08</f>
        <v/>
      </c>
      <c r="O1343" s="17">
        <f>-(K1343*0.025+L1343*0.025)</f>
        <v/>
      </c>
      <c r="P1343" s="17">
        <f>32</f>
        <v/>
      </c>
      <c r="Q1343" s="17">
        <f>J1343+L1343+N1343+O1343-P1343-M1343</f>
        <v/>
      </c>
    </row>
    <row r="1344">
      <c r="A1344" s="16" t="inlineStr">
        <is>
          <t>5.15-5.21</t>
        </is>
      </c>
      <c r="B1344" s="16" t="inlineStr">
        <is>
          <t>PO-128-07174637486712706</t>
        </is>
      </c>
      <c r="C1344" s="16" t="inlineStr">
        <is>
          <t>Shipped</t>
        </is>
      </c>
      <c r="D1344" s="16" t="inlineStr">
        <is>
          <t>128-07174642729592706</t>
        </is>
      </c>
      <c r="E1344" s="16" t="inlineStr">
        <is>
          <t>Shipped</t>
        </is>
      </c>
      <c r="F1344" s="16" t="inlineStr">
        <is>
          <t>FA028</t>
        </is>
      </c>
      <c r="G1344" s="16" t="inlineStr">
        <is>
          <t>Extractor de agua para garrafas de agua, compatible con carga USB, extractor de agua automático, práctico, con dos modos de toma de agua: manual y programado, ideal para dormitorios, salones, oficinas, uso al aire libre y otros escenarios.</t>
        </is>
      </c>
      <c r="H1344" s="16" t="inlineStr">
        <is>
          <t>FA028</t>
        </is>
      </c>
      <c r="I1344" s="16" t="n">
        <v>1</v>
      </c>
      <c r="J1344" s="17" t="n">
        <v>27</v>
      </c>
      <c r="K1344" s="17" t="n">
        <v>25.71</v>
      </c>
      <c r="L1344" s="17" t="n">
        <v>25.86</v>
      </c>
      <c r="M1344" s="17" t="n">
        <v>0</v>
      </c>
      <c r="N1344" s="17">
        <f>K1344*0.08+L1344*0.08</f>
        <v/>
      </c>
      <c r="O1344" s="17">
        <f>-(K1344*0.025+L1344*0.025)</f>
        <v/>
      </c>
      <c r="P1344" s="17">
        <f>32</f>
        <v/>
      </c>
      <c r="Q1344" s="17">
        <f>J1344+L1344+N1344+O1344-P1344-M1344</f>
        <v/>
      </c>
    </row>
    <row r="1345">
      <c r="A1345" s="16" t="inlineStr">
        <is>
          <t>5.15-5.21</t>
        </is>
      </c>
      <c r="B1345" s="16" t="inlineStr">
        <is>
          <t>PO-128-07345646398071689</t>
        </is>
      </c>
      <c r="C1345" s="16" t="inlineStr">
        <is>
          <t>Shipped</t>
        </is>
      </c>
      <c r="D1345" s="16" t="inlineStr">
        <is>
          <t>128-07345604455031689</t>
        </is>
      </c>
      <c r="E1345" s="16" t="inlineStr">
        <is>
          <t>Shipped</t>
        </is>
      </c>
      <c r="F1345" s="16" t="inlineStr">
        <is>
          <t>LB02235-azul</t>
        </is>
      </c>
      <c r="G1345" s="16" t="inlineStr">
        <is>
          <t>Audífonos Inalámbricos para la Cabeza, Recargables y Multifuncionales - Conectan a Varios Dispositivos, soportan Radio FM, Tarjeta TF y AUX - 4 Horas de Reproducción Musical - Ideal para Trabajo Cotidiano, Juegos y Estudio</t>
        </is>
      </c>
      <c r="H1345" s="16" t="inlineStr">
        <is>
          <t>AZUL</t>
        </is>
      </c>
      <c r="I1345" s="16" t="n">
        <v>1</v>
      </c>
      <c r="J1345" s="17" t="n">
        <v>35</v>
      </c>
      <c r="K1345" s="17" t="n">
        <v>38.49</v>
      </c>
      <c r="L1345" s="17" t="n">
        <v>25.86</v>
      </c>
      <c r="M1345" s="17" t="n">
        <v>0</v>
      </c>
      <c r="N1345" s="17">
        <f>K1345*0.08+L1345*0.08</f>
        <v/>
      </c>
      <c r="O1345" s="17">
        <f>-(K1345*0.025+L1345*0.025)</f>
        <v/>
      </c>
      <c r="P1345" s="17">
        <f>32</f>
        <v/>
      </c>
      <c r="Q1345" s="17">
        <f>J1345+L1345+N1345+O1345-P1345-M1345</f>
        <v/>
      </c>
    </row>
    <row r="1346">
      <c r="A1346" s="16" t="inlineStr">
        <is>
          <t>5.15-5.21</t>
        </is>
      </c>
      <c r="B1346" s="16" t="inlineStr">
        <is>
          <t>PO-128-07064654162552530</t>
        </is>
      </c>
      <c r="C1346" s="16" t="inlineStr">
        <is>
          <t>Shipped</t>
        </is>
      </c>
      <c r="D1346" s="16" t="inlineStr">
        <is>
          <t>128-07064706591352530</t>
        </is>
      </c>
      <c r="E1346" s="16" t="inlineStr">
        <is>
          <t>Shipped</t>
        </is>
      </c>
      <c r="F1346" s="16" t="inlineStr">
        <is>
          <t>LV25W22</t>
        </is>
      </c>
      <c r="G13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46" s="16" t="inlineStr">
        <is>
          <t>LV25W32</t>
        </is>
      </c>
      <c r="I1346" s="16" t="n">
        <v>1</v>
      </c>
      <c r="J1346" s="17" t="n">
        <v>90.43000000000001</v>
      </c>
      <c r="K1346" s="17" t="n">
        <v>100.84</v>
      </c>
      <c r="L1346" s="17" t="n">
        <v>25.86</v>
      </c>
      <c r="M1346" s="17" t="n">
        <v>0</v>
      </c>
      <c r="N1346" s="17">
        <f>K1346*0.08+L1346*0.08</f>
        <v/>
      </c>
      <c r="O1346" s="17">
        <f>-(K1346*0.025+L1346*0.025)</f>
        <v/>
      </c>
      <c r="P1346" s="17">
        <f>32</f>
        <v/>
      </c>
      <c r="Q1346" s="17">
        <f>J1346+L1346+N1346+O1346-P1346-M1346</f>
        <v/>
      </c>
    </row>
    <row r="1347">
      <c r="A1347" s="16" t="inlineStr">
        <is>
          <t>5.15-5.21</t>
        </is>
      </c>
      <c r="B1347" s="16" t="inlineStr">
        <is>
          <t>PO-128-07262749911671159</t>
        </is>
      </c>
      <c r="C1347" s="16" t="inlineStr">
        <is>
          <t>Shipped</t>
        </is>
      </c>
      <c r="D1347" s="16" t="inlineStr">
        <is>
          <t>128-07262707968631159</t>
        </is>
      </c>
      <c r="E1347" s="16" t="inlineStr">
        <is>
          <t>Shipped</t>
        </is>
      </c>
      <c r="F1347" s="16" t="inlineStr">
        <is>
          <t>LV25W22</t>
        </is>
      </c>
      <c r="G13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47" s="16" t="inlineStr">
        <is>
          <t>LV25W32</t>
        </is>
      </c>
      <c r="I1347" s="16" t="n">
        <v>1</v>
      </c>
      <c r="J1347" s="17" t="n">
        <v>90.43000000000001</v>
      </c>
      <c r="K1347" s="17" t="n">
        <v>100.84</v>
      </c>
      <c r="L1347" s="17" t="n">
        <v>25.86</v>
      </c>
      <c r="M1347" s="17" t="n">
        <v>0</v>
      </c>
      <c r="N1347" s="17">
        <f>K1347*0.08+L1347*0.08</f>
        <v/>
      </c>
      <c r="O1347" s="17">
        <f>-(K1347*0.025+L1347*0.025)</f>
        <v/>
      </c>
      <c r="P1347" s="17">
        <f>32</f>
        <v/>
      </c>
      <c r="Q1347" s="17">
        <f>J1347+L1347+N1347+O1347-P1347-M1347</f>
        <v/>
      </c>
    </row>
    <row r="1348">
      <c r="A1348" s="16" t="inlineStr">
        <is>
          <t>5.15-5.21</t>
        </is>
      </c>
      <c r="B1348" s="16" t="inlineStr">
        <is>
          <t>PO-128-07103222989432300</t>
        </is>
      </c>
      <c r="C1348" s="16" t="inlineStr">
        <is>
          <t>Shipped</t>
        </is>
      </c>
      <c r="D1348" s="16" t="inlineStr">
        <is>
          <t>128-07103302943352300</t>
        </is>
      </c>
      <c r="E1348" s="16" t="inlineStr">
        <is>
          <t>Shipped</t>
        </is>
      </c>
      <c r="F1348" s="16" t="inlineStr">
        <is>
          <t>FA028</t>
        </is>
      </c>
      <c r="G1348" s="16" t="inlineStr">
        <is>
          <t>Extractor de agua para garrafas de agua, compatible con carga USB, extractor de agua automático, práctico, con dos modos de toma de agua: manual y programado, ideal para dormitorios, salones, oficinas, uso al aire libre y otros escenarios.</t>
        </is>
      </c>
      <c r="H1348" s="16" t="inlineStr">
        <is>
          <t>FA028</t>
        </is>
      </c>
      <c r="I1348" s="16" t="n">
        <v>1</v>
      </c>
      <c r="J1348" s="17" t="n">
        <v>27</v>
      </c>
      <c r="K1348" s="17" t="n">
        <v>36.58</v>
      </c>
      <c r="L1348" s="17" t="n">
        <v>25.86</v>
      </c>
      <c r="M1348" s="17" t="n">
        <v>0</v>
      </c>
      <c r="N1348" s="17">
        <f>K1348*0.08+L1348*0.08</f>
        <v/>
      </c>
      <c r="O1348" s="17">
        <f>-(K1348*0.025+L1348*0.025)</f>
        <v/>
      </c>
      <c r="P1348" s="17">
        <f>32</f>
        <v/>
      </c>
      <c r="Q1348" s="17">
        <f>J1348+L1348+N1348+O1348-P1348-M1348</f>
        <v/>
      </c>
    </row>
    <row r="1349">
      <c r="A1349" s="16" t="inlineStr">
        <is>
          <t>5.15-5.21</t>
        </is>
      </c>
      <c r="B1349" s="16" t="inlineStr">
        <is>
          <t>PO-128-07301328599671121</t>
        </is>
      </c>
      <c r="C1349" s="16" t="inlineStr">
        <is>
          <t>Shipped</t>
        </is>
      </c>
      <c r="D1349" s="16" t="inlineStr">
        <is>
          <t>128-07301312871031121</t>
        </is>
      </c>
      <c r="E1349" s="16" t="inlineStr">
        <is>
          <t>Shipped</t>
        </is>
      </c>
      <c r="F1349" s="16" t="inlineStr">
        <is>
          <t>LB02235-rojo</t>
        </is>
      </c>
      <c r="G1349" s="16" t="inlineStr">
        <is>
          <t>Audífonos Inalámbricos para la Cabeza, Recargables y Multifuncionales - Conectan a Varios Dispositivos, soportan Radio FM, Tarjeta TF y AUX - 4 Horas de Reproducción Musical - Ideal para Trabajo Cotidiano, Juegos y Estudio</t>
        </is>
      </c>
      <c r="H1349" s="16" t="inlineStr">
        <is>
          <t>ROJO</t>
        </is>
      </c>
      <c r="I1349" s="16" t="n">
        <v>1</v>
      </c>
      <c r="J1349" s="17" t="n">
        <v>36.5</v>
      </c>
      <c r="K1349" s="17" t="n">
        <v>49.61</v>
      </c>
      <c r="L1349" s="17" t="n">
        <v>25.86</v>
      </c>
      <c r="M1349" s="17" t="n">
        <v>0</v>
      </c>
      <c r="N1349" s="17">
        <f>K1349*0.08+L1349*0.08</f>
        <v/>
      </c>
      <c r="O1349" s="17">
        <f>-(K1349*0.025+L1349*0.025)</f>
        <v/>
      </c>
      <c r="P1349" s="17">
        <f>32</f>
        <v/>
      </c>
      <c r="Q1349" s="17">
        <f>J1349+L1349+N1349+O1349-P1349-M1349</f>
        <v/>
      </c>
    </row>
    <row r="1350">
      <c r="A1350" s="16" t="inlineStr">
        <is>
          <t>5.15-5.21</t>
        </is>
      </c>
      <c r="B1350" s="16" t="inlineStr">
        <is>
          <t>PO-128-07068829064312315</t>
        </is>
      </c>
      <c r="C1350" s="16" t="inlineStr">
        <is>
          <t>Shipped</t>
        </is>
      </c>
      <c r="D1350" s="16" t="inlineStr">
        <is>
          <t>128-07068869041272315</t>
        </is>
      </c>
      <c r="E1350" s="16" t="inlineStr">
        <is>
          <t>Shipped</t>
        </is>
      </c>
      <c r="F1350" s="16" t="inlineStr">
        <is>
          <t>LB02235-negro</t>
        </is>
      </c>
      <c r="G1350" s="16" t="inlineStr">
        <is>
          <t>Audífonos Inalámbricos para la Cabeza, Recargables y Multifuncionales - Conectan a Varios Dispositivos, soportan Radio FM, Tarjeta TF y AUX - 4 Horas de Reproducción Musical - Ideal para Trabajo Cotidiano, Juegos y Estudio</t>
        </is>
      </c>
      <c r="H1350" s="16" t="inlineStr">
        <is>
          <t>NEGRO</t>
        </is>
      </c>
      <c r="I1350" s="16" t="n">
        <v>1</v>
      </c>
      <c r="J1350" s="17" t="n">
        <v>36.5</v>
      </c>
      <c r="K1350" s="17" t="n">
        <v>49.61</v>
      </c>
      <c r="L1350" s="17" t="n">
        <v>25.86</v>
      </c>
      <c r="M1350" s="17" t="n">
        <v>0</v>
      </c>
      <c r="N1350" s="17">
        <f>K1350*0.08+L1350*0.08</f>
        <v/>
      </c>
      <c r="O1350" s="17">
        <f>-(K1350*0.025+L1350*0.025)</f>
        <v/>
      </c>
      <c r="P1350" s="17">
        <f>32</f>
        <v/>
      </c>
      <c r="Q1350" s="17">
        <f>J1350+L1350+N1350+O1350-P1350-M1350</f>
        <v/>
      </c>
    </row>
    <row r="1351">
      <c r="A1351" s="16" t="inlineStr">
        <is>
          <t>5.15-5.21</t>
        </is>
      </c>
      <c r="B1351" s="16" t="inlineStr">
        <is>
          <t>PO-128-07041172424313694</t>
        </is>
      </c>
      <c r="C1351" s="16" t="inlineStr">
        <is>
          <t>Shipped</t>
        </is>
      </c>
      <c r="D1351" s="16" t="inlineStr">
        <is>
          <t>128-07041193395833694</t>
        </is>
      </c>
      <c r="E1351" s="16" t="inlineStr">
        <is>
          <t>Shipped</t>
        </is>
      </c>
      <c r="F1351" s="16" t="inlineStr">
        <is>
          <t>LV25W22</t>
        </is>
      </c>
      <c r="G13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51" s="16" t="inlineStr">
        <is>
          <t>LV25W32</t>
        </is>
      </c>
      <c r="I1351" s="16" t="n">
        <v>2</v>
      </c>
      <c r="J1351" s="17" t="n">
        <v>180.86</v>
      </c>
      <c r="K1351" s="17" t="n">
        <v>201.68</v>
      </c>
      <c r="L1351" s="17" t="n">
        <v>25.86</v>
      </c>
      <c r="M1351" s="17" t="n">
        <v>0</v>
      </c>
      <c r="N1351" s="17">
        <f>K1351*0.08+L1351*0.08</f>
        <v/>
      </c>
      <c r="O1351" s="17">
        <f>-(K1351*0.025+L1351*0.025)</f>
        <v/>
      </c>
      <c r="P1351" s="17">
        <f>32</f>
        <v/>
      </c>
      <c r="Q1351" s="17">
        <f>J1351+L1351+N1351+O1351-P1351-M1351</f>
        <v/>
      </c>
    </row>
    <row r="1352">
      <c r="A1352" s="16" t="inlineStr">
        <is>
          <t>5.15-5.21</t>
        </is>
      </c>
      <c r="B1352" s="16" t="inlineStr">
        <is>
          <t>PO-128-07547282371190551</t>
        </is>
      </c>
      <c r="C1352" s="16" t="inlineStr">
        <is>
          <t>Shipped</t>
        </is>
      </c>
      <c r="D1352" s="16" t="inlineStr">
        <is>
          <t>128-07547266642550551</t>
        </is>
      </c>
      <c r="E1352" s="16" t="inlineStr">
        <is>
          <t>Shipped</t>
        </is>
      </c>
      <c r="F1352" s="16" t="inlineStr">
        <is>
          <t>MCM-001R</t>
        </is>
      </c>
      <c r="G1352" s="16" t="inlineStr">
        <is>
          <t>Musicord Altavoz Inalámbrico BT Portátil: ¡Sonido impactante, luces LED multicolores y 4 horas de autonomía! Compatible con TWS, FM, TF y USB – Imprescindible para fiestas y viajes</t>
        </is>
      </c>
      <c r="H1352" s="16" t="inlineStr">
        <is>
          <t>ROJO</t>
        </is>
      </c>
      <c r="I1352" s="16" t="n">
        <v>1</v>
      </c>
      <c r="J1352" s="17" t="n">
        <v>66.5</v>
      </c>
      <c r="K1352" s="17" t="n">
        <v>66.87</v>
      </c>
      <c r="L1352" s="17" t="n">
        <v>25.86</v>
      </c>
      <c r="M1352" s="17" t="n">
        <v>0</v>
      </c>
      <c r="N1352" s="17">
        <f>K1352*0.08+L1352*0.08</f>
        <v/>
      </c>
      <c r="O1352" s="17">
        <f>-(K1352*0.025+L1352*0.025)</f>
        <v/>
      </c>
      <c r="P1352" s="17">
        <f>32</f>
        <v/>
      </c>
      <c r="Q1352" s="17">
        <f>J1352+L1352+N1352+O1352-P1352-M1352</f>
        <v/>
      </c>
    </row>
    <row r="1353">
      <c r="A1353" s="16" t="inlineStr">
        <is>
          <t>5.15-5.21</t>
        </is>
      </c>
      <c r="B1353" s="16" t="inlineStr">
        <is>
          <t>PO-128-07517201879670664</t>
        </is>
      </c>
      <c r="C1353" s="16" t="inlineStr">
        <is>
          <t>Shipped</t>
        </is>
      </c>
      <c r="D1353" s="16" t="inlineStr">
        <is>
          <t>128-07517281833590664</t>
        </is>
      </c>
      <c r="E1353" s="16" t="inlineStr">
        <is>
          <t>Shipped</t>
        </is>
      </c>
      <c r="F1353" s="16" t="inlineStr">
        <is>
          <t>LV25W22</t>
        </is>
      </c>
      <c r="G135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53" s="16" t="inlineStr">
        <is>
          <t>LV25W32</t>
        </is>
      </c>
      <c r="I1353" s="16" t="n">
        <v>1</v>
      </c>
      <c r="J1353" s="17" t="n">
        <v>90.43000000000001</v>
      </c>
      <c r="K1353" s="17" t="n">
        <v>85.13</v>
      </c>
      <c r="L1353" s="17" t="n">
        <v>25.86</v>
      </c>
      <c r="M1353" s="17" t="n">
        <v>0</v>
      </c>
      <c r="N1353" s="17">
        <f>K1353*0.08+L1353*0.08</f>
        <v/>
      </c>
      <c r="O1353" s="17">
        <f>-(K1353*0.025+L1353*0.025)</f>
        <v/>
      </c>
      <c r="P1353" s="17">
        <f>32</f>
        <v/>
      </c>
      <c r="Q1353" s="17">
        <f>J1353+L1353+N1353+O1353-P1353-M1353</f>
        <v/>
      </c>
    </row>
    <row r="1354">
      <c r="A1354" s="16" t="inlineStr">
        <is>
          <t>5.15-5.21</t>
        </is>
      </c>
      <c r="B1354" s="16" t="inlineStr">
        <is>
          <t>PO-128-07480326415990948</t>
        </is>
      </c>
      <c r="C1354" s="16" t="inlineStr">
        <is>
          <t>Shipped</t>
        </is>
      </c>
      <c r="D1354" s="16" t="inlineStr">
        <is>
          <t>128-07480431273590948</t>
        </is>
      </c>
      <c r="E1354" s="16" t="inlineStr">
        <is>
          <t>Shipped</t>
        </is>
      </c>
      <c r="F1354" s="16" t="inlineStr">
        <is>
          <t>LV25W22</t>
        </is>
      </c>
      <c r="G13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54" s="16" t="inlineStr">
        <is>
          <t>LV25W32</t>
        </is>
      </c>
      <c r="I1354" s="16" t="n">
        <v>4</v>
      </c>
      <c r="J1354" s="17" t="n">
        <v>361.72</v>
      </c>
      <c r="K1354" s="17" t="n">
        <v>403.36</v>
      </c>
      <c r="L1354" s="17" t="n">
        <v>0</v>
      </c>
      <c r="M1354" s="17" t="n">
        <v>0</v>
      </c>
      <c r="N1354" s="17">
        <f>K1354*0.08+L1354*0.08</f>
        <v/>
      </c>
      <c r="O1354" s="17">
        <f>-(K1354*0.025+L1354*0.025)</f>
        <v/>
      </c>
      <c r="P1354" s="17">
        <f>32</f>
        <v/>
      </c>
      <c r="Q1354" s="17">
        <f>J1354+L1354+N1354+O1354-P1354-M1354</f>
        <v/>
      </c>
    </row>
    <row r="1355">
      <c r="A1355" s="16" t="inlineStr">
        <is>
          <t>5.15-5.21</t>
        </is>
      </c>
      <c r="B1355" s="16" t="inlineStr">
        <is>
          <t>PO-128-06926341182073290</t>
        </is>
      </c>
      <c r="C1355" s="16" t="inlineStr">
        <is>
          <t>Shipped</t>
        </is>
      </c>
      <c r="D1355" s="16" t="inlineStr">
        <is>
          <t>128-06926330696313290</t>
        </is>
      </c>
      <c r="E1355" s="16" t="inlineStr">
        <is>
          <t>Shipped</t>
        </is>
      </c>
      <c r="F1355" s="16" t="inlineStr">
        <is>
          <t>LB02235-blanco</t>
        </is>
      </c>
      <c r="G1355" s="16" t="inlineStr">
        <is>
          <t>Audífonos Inalámbricos para la Cabeza, Recargables y Multifuncionales - Conectan a Varios Dispositivos, soportan Radio FM, Tarjeta TF y AUX - 4 Horas de Reproducción Musical - Ideal para Trabajo Cotidiano, Juegos y Estudio</t>
        </is>
      </c>
      <c r="H1355" s="16" t="inlineStr">
        <is>
          <t>BLANCO</t>
        </is>
      </c>
      <c r="I1355" s="16" t="n">
        <v>1</v>
      </c>
      <c r="J1355" s="17" t="n">
        <v>36.5</v>
      </c>
      <c r="K1355" s="17" t="n">
        <v>39.69</v>
      </c>
      <c r="L1355" s="17" t="n">
        <v>25.86</v>
      </c>
      <c r="M1355" s="17" t="n">
        <v>0</v>
      </c>
      <c r="N1355" s="17">
        <f>K1355*0.08+L1355*0.08</f>
        <v/>
      </c>
      <c r="O1355" s="17">
        <f>-(K1355*0.025+L1355*0.025)</f>
        <v/>
      </c>
      <c r="P1355" s="17">
        <f>32</f>
        <v/>
      </c>
      <c r="Q1355" s="17">
        <f>J1355+L1355+N1355+O1355-P1355-M1355</f>
        <v/>
      </c>
    </row>
    <row r="1356">
      <c r="A1356" s="16" t="inlineStr">
        <is>
          <t>5.15-5.21</t>
        </is>
      </c>
      <c r="B1356" s="16" t="inlineStr">
        <is>
          <t>PO-128-07325135731831811</t>
        </is>
      </c>
      <c r="C1356" s="16" t="inlineStr">
        <is>
          <t>Shipped</t>
        </is>
      </c>
      <c r="D1356" s="16" t="inlineStr">
        <is>
          <t>128-07325156703351811</t>
        </is>
      </c>
      <c r="E1356" s="16" t="inlineStr">
        <is>
          <t>Shipped</t>
        </is>
      </c>
      <c r="F1356" s="16" t="inlineStr">
        <is>
          <t>LB02235-azul</t>
        </is>
      </c>
      <c r="G1356" s="16" t="inlineStr">
        <is>
          <t>Audífonos Inalámbricos para la Cabeza, Recargables y Multifuncionales - Conectan a Varios Dispositivos, soportan Radio FM, Tarjeta TF y AUX - 4 Horas de Reproducción Musical - Ideal para Trabajo Cotidiano, Juegos y Estudio</t>
        </is>
      </c>
      <c r="H1356" s="16" t="inlineStr">
        <is>
          <t>AZUL</t>
        </is>
      </c>
      <c r="I1356" s="16" t="n">
        <v>1</v>
      </c>
      <c r="J1356" s="17" t="n">
        <v>35</v>
      </c>
      <c r="K1356" s="17" t="n">
        <v>48.11</v>
      </c>
      <c r="L1356" s="17" t="n">
        <v>25.86</v>
      </c>
      <c r="M1356" s="17" t="n">
        <v>0</v>
      </c>
      <c r="N1356" s="17">
        <f>K1356*0.08+L1356*0.08</f>
        <v/>
      </c>
      <c r="O1356" s="17">
        <f>-(K1356*0.025+L1356*0.025)</f>
        <v/>
      </c>
      <c r="P1356" s="17">
        <f>32</f>
        <v/>
      </c>
      <c r="Q1356" s="17">
        <f>J1356+L1356+N1356+O1356-P1356-M1356</f>
        <v/>
      </c>
    </row>
    <row r="1357">
      <c r="A1357" s="16" t="inlineStr">
        <is>
          <t>5.15-5.21</t>
        </is>
      </c>
      <c r="B1357" s="16" t="inlineStr">
        <is>
          <t>PO-128-07460932670070040</t>
        </is>
      </c>
      <c r="C1357" s="16" t="inlineStr">
        <is>
          <t>Shipped</t>
        </is>
      </c>
      <c r="D1357" s="16" t="inlineStr">
        <is>
          <t>128-07460885484150040</t>
        </is>
      </c>
      <c r="E1357" s="16" t="inlineStr">
        <is>
          <t>Shipped</t>
        </is>
      </c>
      <c r="F1357" s="16" t="inlineStr">
        <is>
          <t>LV25W22</t>
        </is>
      </c>
      <c r="G135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57" s="16" t="inlineStr">
        <is>
          <t>LV25W32</t>
        </is>
      </c>
      <c r="I1357" s="16" t="n">
        <v>1</v>
      </c>
      <c r="J1357" s="17" t="n">
        <v>90.43000000000001</v>
      </c>
      <c r="K1357" s="17" t="n">
        <v>70.59</v>
      </c>
      <c r="L1357" s="17" t="n">
        <v>25.86</v>
      </c>
      <c r="M1357" s="17" t="n">
        <v>0</v>
      </c>
      <c r="N1357" s="17">
        <f>K1357*0.08+L1357*0.08</f>
        <v/>
      </c>
      <c r="O1357" s="17">
        <f>-(K1357*0.025+L1357*0.025)</f>
        <v/>
      </c>
      <c r="P1357" s="17">
        <f>32</f>
        <v/>
      </c>
      <c r="Q1357" s="17">
        <f>J1357+L1357+N1357+O1357-P1357-M1357</f>
        <v/>
      </c>
    </row>
    <row r="1358">
      <c r="A1358" s="16" t="inlineStr">
        <is>
          <t>5.15-5.21</t>
        </is>
      </c>
      <c r="B1358" s="16" t="inlineStr">
        <is>
          <t>PO-128-07080713953912370</t>
        </is>
      </c>
      <c r="C1358" s="16" t="inlineStr">
        <is>
          <t>Shipped</t>
        </is>
      </c>
      <c r="D1358" s="16" t="inlineStr">
        <is>
          <t>128-07080672010872370</t>
        </is>
      </c>
      <c r="E1358" s="16" t="inlineStr">
        <is>
          <t>Shipped</t>
        </is>
      </c>
      <c r="F1358" s="16" t="inlineStr">
        <is>
          <t>LV25W22</t>
        </is>
      </c>
      <c r="G135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58" s="16" t="inlineStr">
        <is>
          <t>LV25W32</t>
        </is>
      </c>
      <c r="I1358" s="16" t="n">
        <v>2</v>
      </c>
      <c r="J1358" s="17" t="n">
        <v>180.86</v>
      </c>
      <c r="K1358" s="17" t="n">
        <v>201.68</v>
      </c>
      <c r="L1358" s="17" t="n">
        <v>25.86</v>
      </c>
      <c r="M1358" s="17" t="n">
        <v>0</v>
      </c>
      <c r="N1358" s="17">
        <f>K1358*0.08+L1358*0.08</f>
        <v/>
      </c>
      <c r="O1358" s="17">
        <f>-(K1358*0.025+L1358*0.025)</f>
        <v/>
      </c>
      <c r="P1358" s="17">
        <f>32</f>
        <v/>
      </c>
      <c r="Q1358" s="17">
        <f>J1358+L1358+N1358+O1358-P1358-M1358</f>
        <v/>
      </c>
    </row>
    <row r="1359">
      <c r="A1359" s="16" t="inlineStr">
        <is>
          <t>5.15-5.21</t>
        </is>
      </c>
      <c r="B1359" s="16" t="inlineStr">
        <is>
          <t>PO-128-06895653647993347</t>
        </is>
      </c>
      <c r="C1359" s="16" t="inlineStr">
        <is>
          <t>Shipped</t>
        </is>
      </c>
      <c r="D1359" s="16" t="inlineStr">
        <is>
          <t>128-06895695591033347</t>
        </is>
      </c>
      <c r="E1359" s="16" t="inlineStr">
        <is>
          <t>Shipped</t>
        </is>
      </c>
      <c r="F1359" s="16" t="inlineStr">
        <is>
          <t>LV64W25</t>
        </is>
      </c>
      <c r="G1359" s="16" t="inlineStr">
        <is>
          <t>Ventilador de Techo LED TIANLAI con 5 Aspas, Control Remoto, 3 Colores Luz, 3 Velocidades, Temporizador, Fácil Instalación, E27 para Baño Cocina Dormitorio Salón</t>
        </is>
      </c>
      <c r="H1359" s="16" t="inlineStr">
        <is>
          <t>LV64W25</t>
        </is>
      </c>
      <c r="I1359" s="16" t="n">
        <v>5</v>
      </c>
      <c r="J1359" s="17" t="n">
        <v>600</v>
      </c>
      <c r="K1359" s="17" t="n">
        <v>815.55</v>
      </c>
      <c r="L1359" s="17" t="n">
        <v>0</v>
      </c>
      <c r="M1359" s="17" t="n">
        <v>0</v>
      </c>
      <c r="N1359" s="17">
        <f>K1359*0.08+L1359*0.08</f>
        <v/>
      </c>
      <c r="O1359" s="17">
        <f>-(K1359*0.025+L1359*0.025)</f>
        <v/>
      </c>
      <c r="P1359" s="17">
        <f>32</f>
        <v/>
      </c>
      <c r="Q1359" s="17">
        <f>J1359+L1359+N1359+O1359-P1359-M1359</f>
        <v/>
      </c>
    </row>
    <row r="1360">
      <c r="A1360" s="16" t="inlineStr">
        <is>
          <t>5.15-5.21</t>
        </is>
      </c>
      <c r="B1360" s="16" t="inlineStr">
        <is>
          <t>PO-128-06995890117753964</t>
        </is>
      </c>
      <c r="C1360" s="16" t="inlineStr">
        <is>
          <t>Shipped</t>
        </is>
      </c>
      <c r="D1360" s="16" t="inlineStr">
        <is>
          <t>128-06995848174713964</t>
        </is>
      </c>
      <c r="E1360" s="16" t="inlineStr">
        <is>
          <t>Shipped</t>
        </is>
      </c>
      <c r="F1360" s="16" t="inlineStr">
        <is>
          <t>FA028</t>
        </is>
      </c>
      <c r="G1360" s="16" t="inlineStr">
        <is>
          <t>Extractor de agua para garrafas de agua, compatible con carga USB, extractor de agua automático, práctico, con dos modos de toma de agua: manual y programado, ideal para dormitorios, salones, oficinas, uso al aire libre y otros escenarios.</t>
        </is>
      </c>
      <c r="H1360" s="16" t="inlineStr">
        <is>
          <t>FA028</t>
        </is>
      </c>
      <c r="I1360" s="16" t="n">
        <v>1</v>
      </c>
      <c r="J1360" s="17" t="n">
        <v>27</v>
      </c>
      <c r="K1360" s="17" t="n">
        <v>36.58</v>
      </c>
      <c r="L1360" s="17" t="n">
        <v>25.86</v>
      </c>
      <c r="M1360" s="17" t="n">
        <v>0</v>
      </c>
      <c r="N1360" s="17">
        <f>K1360*0.08+L1360*0.08</f>
        <v/>
      </c>
      <c r="O1360" s="17">
        <f>-(K1360*0.025+L1360*0.025)</f>
        <v/>
      </c>
      <c r="P1360" s="17">
        <f>32</f>
        <v/>
      </c>
      <c r="Q1360" s="17">
        <f>J1360+L1360+N1360+O1360-P1360-M1360</f>
        <v/>
      </c>
    </row>
    <row r="1361">
      <c r="A1361" s="16" t="inlineStr">
        <is>
          <t>5.15-5.21</t>
        </is>
      </c>
      <c r="B1361" s="16" t="inlineStr">
        <is>
          <t>PO-128-06990879406713930</t>
        </is>
      </c>
      <c r="C1361" s="16" t="inlineStr">
        <is>
          <t>Shipped</t>
        </is>
      </c>
      <c r="D1361" s="16" t="inlineStr">
        <is>
          <t>128-06990837463673930</t>
        </is>
      </c>
      <c r="E1361" s="16" t="inlineStr">
        <is>
          <t>Shipped</t>
        </is>
      </c>
      <c r="F1361" s="16" t="inlineStr">
        <is>
          <t>LB02235-azul</t>
        </is>
      </c>
      <c r="G1361" s="16" t="inlineStr">
        <is>
          <t>Audífonos Inalámbricos para la Cabeza, Recargables y Multifuncionales - Conectan a Varios Dispositivos, soportan Radio FM, Tarjeta TF y AUX - 4 Horas de Reproducción Musical - Ideal para Trabajo Cotidiano, Juegos y Estudio</t>
        </is>
      </c>
      <c r="H1361" s="16" t="inlineStr">
        <is>
          <t>AZUL</t>
        </is>
      </c>
      <c r="I1361" s="16" t="n">
        <v>1</v>
      </c>
      <c r="J1361" s="17" t="n">
        <v>35</v>
      </c>
      <c r="K1361" s="17" t="n">
        <v>48.11</v>
      </c>
      <c r="L1361" s="17" t="n">
        <v>25.86</v>
      </c>
      <c r="M1361" s="17" t="n">
        <v>0</v>
      </c>
      <c r="N1361" s="17">
        <f>K1361*0.08+L1361*0.08</f>
        <v/>
      </c>
      <c r="O1361" s="17">
        <f>-(K1361*0.025+L1361*0.025)</f>
        <v/>
      </c>
      <c r="P1361" s="17">
        <f>32</f>
        <v/>
      </c>
      <c r="Q1361" s="17">
        <f>J1361+L1361+N1361+O1361-P1361-M1361</f>
        <v/>
      </c>
    </row>
    <row r="1362">
      <c r="A1362" s="16" t="inlineStr">
        <is>
          <t>5.15-5.21</t>
        </is>
      </c>
      <c r="B1362" s="16" t="inlineStr">
        <is>
          <t>PO-128-07259251599991178</t>
        </is>
      </c>
      <c r="C1362" s="16" t="inlineStr">
        <is>
          <t>Shipped</t>
        </is>
      </c>
      <c r="D1362" s="16" t="inlineStr">
        <is>
          <t>128-07259331553911178</t>
        </is>
      </c>
      <c r="E1362" s="16" t="inlineStr">
        <is>
          <t>Shipped</t>
        </is>
      </c>
      <c r="F1362" s="16" t="inlineStr">
        <is>
          <t>LB02235-negro</t>
        </is>
      </c>
      <c r="G1362" s="16" t="inlineStr">
        <is>
          <t>Audífonos Inalámbricos para la Cabeza, Recargables y Multifuncionales - Conectan a Varios Dispositivos, soportan Radio FM, Tarjeta TF y AUX - 4 Horas de Reproducción Musical - Ideal para Trabajo Cotidiano, Juegos y Estudio</t>
        </is>
      </c>
      <c r="H1362" s="16" t="inlineStr">
        <is>
          <t>NEGRO</t>
        </is>
      </c>
      <c r="I1362" s="16" t="n">
        <v>1</v>
      </c>
      <c r="J1362" s="17" t="n">
        <v>36.5</v>
      </c>
      <c r="K1362" s="17" t="n">
        <v>6.51</v>
      </c>
      <c r="L1362" s="17" t="n">
        <v>25.86</v>
      </c>
      <c r="M1362" s="17" t="n">
        <v>0</v>
      </c>
      <c r="N1362" s="17">
        <f>K1362*0.08+L1362*0.08</f>
        <v/>
      </c>
      <c r="O1362" s="17">
        <f>-(K1362*0.025+L1362*0.025)</f>
        <v/>
      </c>
      <c r="P1362" s="17">
        <f>32</f>
        <v/>
      </c>
      <c r="Q1362" s="17">
        <f>J1362+L1362+N1362+O1362-P1362-M1362</f>
        <v/>
      </c>
    </row>
    <row r="1363">
      <c r="A1363" s="16" t="inlineStr">
        <is>
          <t>5.15-5.21</t>
        </is>
      </c>
      <c r="B1363" s="16" t="inlineStr">
        <is>
          <t>PO-128-06955079342713185</t>
        </is>
      </c>
      <c r="C1363" s="16" t="inlineStr">
        <is>
          <t>Shipped</t>
        </is>
      </c>
      <c r="D1363" s="16" t="inlineStr">
        <is>
          <t>128-06955162245753185</t>
        </is>
      </c>
      <c r="E1363" s="16" t="inlineStr">
        <is>
          <t>Shipped</t>
        </is>
      </c>
      <c r="F1363" s="16" t="inlineStr">
        <is>
          <t>LV25W22</t>
        </is>
      </c>
      <c r="G13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63" s="16" t="inlineStr">
        <is>
          <t>LV25W32</t>
        </is>
      </c>
      <c r="I1363" s="16" t="n">
        <v>1</v>
      </c>
      <c r="J1363" s="17" t="n">
        <v>90.43000000000001</v>
      </c>
      <c r="K1363" s="17" t="n">
        <v>100.84</v>
      </c>
      <c r="L1363" s="17" t="n">
        <v>25.86</v>
      </c>
      <c r="M1363" s="17" t="n">
        <v>0</v>
      </c>
      <c r="N1363" s="17">
        <f>K1363*0.08+L1363*0.08</f>
        <v/>
      </c>
      <c r="O1363" s="17">
        <f>-(K1363*0.025+L1363*0.025)</f>
        <v/>
      </c>
      <c r="P1363" s="17">
        <f>32</f>
        <v/>
      </c>
      <c r="Q1363" s="17">
        <f>J1363+L1363+N1363+O1363-P1363-M1363</f>
        <v/>
      </c>
    </row>
    <row r="1364">
      <c r="A1364" s="16" t="inlineStr">
        <is>
          <t>5.15-5.21</t>
        </is>
      </c>
      <c r="B1364" s="16" t="inlineStr">
        <is>
          <t>PO-128-07187307561592761</t>
        </is>
      </c>
      <c r="C1364" s="16" t="inlineStr">
        <is>
          <t>Shipped</t>
        </is>
      </c>
      <c r="D1364" s="16" t="inlineStr">
        <is>
          <t>128-07187328533112761</t>
        </is>
      </c>
      <c r="E1364" s="16" t="inlineStr">
        <is>
          <t>Shipped</t>
        </is>
      </c>
      <c r="F1364" s="16" t="inlineStr">
        <is>
          <t>LB02235-negro</t>
        </is>
      </c>
      <c r="G1364" s="16" t="inlineStr">
        <is>
          <t>Audífonos Inalámbricos para la Cabeza, Recargables y Multifuncionales - Conectan a Varios Dispositivos, soportan Radio FM, Tarjeta TF y AUX - 4 Horas de Reproducción Musical - Ideal para Trabajo Cotidiano, Juegos y Estudio</t>
        </is>
      </c>
      <c r="H1364" s="16" t="inlineStr">
        <is>
          <t>NEGRO</t>
        </is>
      </c>
      <c r="I1364" s="16" t="n">
        <v>1</v>
      </c>
      <c r="J1364" s="17" t="n">
        <v>36.5</v>
      </c>
      <c r="K1364" s="17" t="n">
        <v>49.61</v>
      </c>
      <c r="L1364" s="17" t="n">
        <v>25.86</v>
      </c>
      <c r="M1364" s="17" t="n">
        <v>0</v>
      </c>
      <c r="N1364" s="17">
        <f>K1364*0.08+L1364*0.08</f>
        <v/>
      </c>
      <c r="O1364" s="17">
        <f>-(K1364*0.025+L1364*0.025)</f>
        <v/>
      </c>
      <c r="P1364" s="17">
        <f>32</f>
        <v/>
      </c>
      <c r="Q1364" s="17">
        <f>J1364+L1364+N1364+O1364-P1364-M1364</f>
        <v/>
      </c>
    </row>
    <row r="1365">
      <c r="A1365" s="16" t="inlineStr">
        <is>
          <t>5.15-5.21</t>
        </is>
      </c>
      <c r="B1365" s="16" t="inlineStr">
        <is>
          <t>PO-128-07466192796790075</t>
        </is>
      </c>
      <c r="C1365" s="16" t="inlineStr">
        <is>
          <t>Shipped</t>
        </is>
      </c>
      <c r="D1365" s="16" t="inlineStr">
        <is>
          <t>128-07466171825270075</t>
        </is>
      </c>
      <c r="E1365" s="16" t="inlineStr">
        <is>
          <t>Shipped</t>
        </is>
      </c>
      <c r="F1365" s="16" t="inlineStr">
        <is>
          <t>LB02235-azul</t>
        </is>
      </c>
      <c r="G1365" s="16" t="inlineStr">
        <is>
          <t>Audífonos Inalámbricos para la Cabeza, Recargables y Multifuncionales - Conectan a Varios Dispositivos, soportan Radio FM, Tarjeta TF y AUX - 4 Horas de Reproducción Musical - Ideal para Trabajo Cotidiano, Juegos y Estudio</t>
        </is>
      </c>
      <c r="H1365" s="16" t="inlineStr">
        <is>
          <t>AZUL</t>
        </is>
      </c>
      <c r="I1365" s="16" t="n">
        <v>1</v>
      </c>
      <c r="J1365" s="17" t="n">
        <v>35</v>
      </c>
      <c r="K1365" s="17" t="n">
        <v>48.11</v>
      </c>
      <c r="L1365" s="17" t="n">
        <v>25.86</v>
      </c>
      <c r="M1365" s="17" t="n">
        <v>0</v>
      </c>
      <c r="N1365" s="17">
        <f>K1365*0.08+L1365*0.08</f>
        <v/>
      </c>
      <c r="O1365" s="17">
        <f>-(K1365*0.025+L1365*0.025)</f>
        <v/>
      </c>
      <c r="P1365" s="17">
        <f>32</f>
        <v/>
      </c>
      <c r="Q1365" s="17">
        <f>J1365+L1365+N1365+O1365-P1365-M1365</f>
        <v/>
      </c>
    </row>
    <row r="1366">
      <c r="A1366" s="16" t="inlineStr">
        <is>
          <t>5.15-5.21</t>
        </is>
      </c>
      <c r="B1366" s="16" t="inlineStr">
        <is>
          <t>PO-128-06892229755513558</t>
        </is>
      </c>
      <c r="C1366" s="16" t="inlineStr">
        <is>
          <t>Shipped</t>
        </is>
      </c>
      <c r="D1366" s="16" t="inlineStr">
        <is>
          <t>128-06892208783993558</t>
        </is>
      </c>
      <c r="E1366" s="16" t="inlineStr">
        <is>
          <t>Shipped</t>
        </is>
      </c>
      <c r="F1366" s="16" t="inlineStr">
        <is>
          <t>T5050RGB07</t>
        </is>
      </c>
      <c r="G1366"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1366" s="16" t="inlineStr">
        <is>
          <t>T5050RGB07</t>
        </is>
      </c>
      <c r="I1366" s="16" t="n">
        <v>2</v>
      </c>
      <c r="J1366" s="17" t="n">
        <v>100</v>
      </c>
      <c r="K1366" s="17" t="n">
        <v>107.76</v>
      </c>
      <c r="L1366" s="17" t="n">
        <v>25.86</v>
      </c>
      <c r="M1366" s="17" t="n">
        <v>0</v>
      </c>
      <c r="N1366" s="17">
        <f>K1366*0.08+L1366*0.08</f>
        <v/>
      </c>
      <c r="O1366" s="17">
        <f>-(K1366*0.025+L1366*0.025)</f>
        <v/>
      </c>
      <c r="P1366" s="17">
        <f>32</f>
        <v/>
      </c>
      <c r="Q1366" s="17">
        <f>J1366+L1366+N1366+O1366-P1366-M1366</f>
        <v/>
      </c>
    </row>
    <row r="1367">
      <c r="A1367" s="16" t="inlineStr">
        <is>
          <t>5.15-5.21</t>
        </is>
      </c>
      <c r="B1367" s="16" t="inlineStr">
        <is>
          <t>PO-128-07365922652791566</t>
        </is>
      </c>
      <c r="C1367" s="16" t="inlineStr">
        <is>
          <t>Shipped</t>
        </is>
      </c>
      <c r="D1367" s="16" t="inlineStr">
        <is>
          <t>128-07365964595831566</t>
        </is>
      </c>
      <c r="E1367" s="16" t="inlineStr">
        <is>
          <t>Shipped</t>
        </is>
      </c>
      <c r="F1367" s="16" t="inlineStr">
        <is>
          <t>LV25W22</t>
        </is>
      </c>
      <c r="G136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67" s="16" t="inlineStr">
        <is>
          <t>LV25W32</t>
        </is>
      </c>
      <c r="I1367" s="16" t="n">
        <v>1</v>
      </c>
      <c r="J1367" s="17" t="n">
        <v>90.43000000000001</v>
      </c>
      <c r="K1367" s="17" t="n">
        <v>57.74</v>
      </c>
      <c r="L1367" s="17" t="n">
        <v>25.86</v>
      </c>
      <c r="M1367" s="17" t="n">
        <v>0</v>
      </c>
      <c r="N1367" s="17">
        <f>K1367*0.08+L1367*0.08</f>
        <v/>
      </c>
      <c r="O1367" s="17">
        <f>-(K1367*0.025+L1367*0.025)</f>
        <v/>
      </c>
      <c r="P1367" s="17">
        <f>32</f>
        <v/>
      </c>
      <c r="Q1367" s="17">
        <f>J1367+L1367+N1367+O1367-P1367-M1367</f>
        <v/>
      </c>
    </row>
    <row r="1368">
      <c r="A1368" s="16" t="inlineStr">
        <is>
          <t>5.15-5.21</t>
        </is>
      </c>
      <c r="B1368" s="16" t="inlineStr">
        <is>
          <t>PO-128-07220807219831409</t>
        </is>
      </c>
      <c r="C1368" s="16" t="inlineStr">
        <is>
          <t>Shipped</t>
        </is>
      </c>
      <c r="D1368" s="16" t="inlineStr">
        <is>
          <t>128-07220849162871409</t>
        </is>
      </c>
      <c r="E1368" s="16" t="inlineStr">
        <is>
          <t>Shipped</t>
        </is>
      </c>
      <c r="F1368" s="16" t="inlineStr">
        <is>
          <t>SA323T</t>
        </is>
      </c>
      <c r="G1368" s="16" t="inlineStr">
        <is>
          <t>Linkbits Bocina Portátil Parlantes BT Portátiles con Iluminación de Ambiente | 1 Hora de Duración, FM, TWS, TF/Micro SD | Ideal para Hogar, Fiestas y Viajes</t>
        </is>
      </c>
      <c r="H1368" s="16" t="inlineStr">
        <is>
          <t>SA323T</t>
        </is>
      </c>
      <c r="I1368" s="16" t="n">
        <v>1</v>
      </c>
      <c r="J1368" s="17" t="n">
        <v>37.71</v>
      </c>
      <c r="K1368" s="17" t="n">
        <v>46.77</v>
      </c>
      <c r="L1368" s="17" t="n">
        <v>25.86</v>
      </c>
      <c r="M1368" s="17" t="n">
        <v>0</v>
      </c>
      <c r="N1368" s="17">
        <f>K1368*0.08+L1368*0.08</f>
        <v/>
      </c>
      <c r="O1368" s="17">
        <f>-(K1368*0.025+L1368*0.025)</f>
        <v/>
      </c>
      <c r="P1368" s="17">
        <f>32</f>
        <v/>
      </c>
      <c r="Q1368" s="17">
        <f>J1368+L1368+N1368+O1368-P1368-M1368</f>
        <v/>
      </c>
    </row>
    <row r="1369">
      <c r="A1369" s="16" t="inlineStr">
        <is>
          <t>5.15-5.21</t>
        </is>
      </c>
      <c r="B1369" s="16" t="inlineStr">
        <is>
          <t>PO-128-06903518541433362</t>
        </is>
      </c>
      <c r="C1369" s="16" t="inlineStr">
        <is>
          <t>Shipped</t>
        </is>
      </c>
      <c r="D1369" s="16" t="inlineStr">
        <is>
          <t>128-06903623399033362</t>
        </is>
      </c>
      <c r="E1369" s="16" t="inlineStr">
        <is>
          <t>Shipped</t>
        </is>
      </c>
      <c r="F1369" s="16" t="inlineStr">
        <is>
          <t>LV25W22</t>
        </is>
      </c>
      <c r="G13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69" s="16" t="inlineStr">
        <is>
          <t>LV25W32</t>
        </is>
      </c>
      <c r="I1369" s="16" t="n">
        <v>4</v>
      </c>
      <c r="J1369" s="17" t="n">
        <v>361.72</v>
      </c>
      <c r="K1369" s="17" t="n">
        <v>403.36</v>
      </c>
      <c r="L1369" s="17" t="n">
        <v>0</v>
      </c>
      <c r="M1369" s="17" t="n">
        <v>0</v>
      </c>
      <c r="N1369" s="17">
        <f>K1369*0.08+L1369*0.08</f>
        <v/>
      </c>
      <c r="O1369" s="17">
        <f>-(K1369*0.025+L1369*0.025)</f>
        <v/>
      </c>
      <c r="P1369" s="17">
        <f>32</f>
        <v/>
      </c>
      <c r="Q1369" s="17">
        <f>J1369+L1369+N1369+O1369-P1369-M1369</f>
        <v/>
      </c>
    </row>
    <row r="1370">
      <c r="A1370" s="16" t="inlineStr">
        <is>
          <t>5.15-5.21</t>
        </is>
      </c>
      <c r="B1370" s="16" t="inlineStr">
        <is>
          <t>PO-128-07503822735990808</t>
        </is>
      </c>
      <c r="C1370" s="16" t="inlineStr">
        <is>
          <t>Shipped</t>
        </is>
      </c>
      <c r="D1370" s="16" t="inlineStr">
        <is>
          <t>128-07503864679030808</t>
        </is>
      </c>
      <c r="E1370" s="16" t="inlineStr">
        <is>
          <t>Shipped</t>
        </is>
      </c>
      <c r="F1370" s="16" t="inlineStr">
        <is>
          <t>LB02235-negro</t>
        </is>
      </c>
      <c r="G1370" s="16" t="inlineStr">
        <is>
          <t>Audífonos Inalámbricos para la Cabeza, Recargables y Multifuncionales - Conectan a Varios Dispositivos, soportan Radio FM, Tarjeta TF y AUX - 4 Horas de Reproducción Musical - Ideal para Trabajo Cotidiano, Juegos y Estudio</t>
        </is>
      </c>
      <c r="H1370" s="16" t="inlineStr">
        <is>
          <t>NEGRO</t>
        </is>
      </c>
      <c r="I1370" s="16" t="n">
        <v>1</v>
      </c>
      <c r="J1370" s="17" t="n">
        <v>36.5</v>
      </c>
      <c r="K1370" s="17" t="n">
        <v>49.61</v>
      </c>
      <c r="L1370" s="17" t="n">
        <v>25.86</v>
      </c>
      <c r="M1370" s="17" t="n">
        <v>0</v>
      </c>
      <c r="N1370" s="17">
        <f>K1370*0.08+L1370*0.08</f>
        <v/>
      </c>
      <c r="O1370" s="17">
        <f>-(K1370*0.025+L1370*0.025)</f>
        <v/>
      </c>
      <c r="P1370" s="17">
        <f>32</f>
        <v/>
      </c>
      <c r="Q1370" s="17">
        <f>J1370+L1370+N1370+O1370-P1370-M1370</f>
        <v/>
      </c>
    </row>
    <row r="1371">
      <c r="A1371" s="16" t="inlineStr">
        <is>
          <t>5.15-5.21</t>
        </is>
      </c>
      <c r="B1371" s="16" t="inlineStr">
        <is>
          <t>PO-128-07378514360951621</t>
        </is>
      </c>
      <c r="C1371" s="16" t="inlineStr">
        <is>
          <t>Shipped</t>
        </is>
      </c>
      <c r="D1371" s="16" t="inlineStr">
        <is>
          <t>128-07378524846711621</t>
        </is>
      </c>
      <c r="E1371" s="16" t="inlineStr">
        <is>
          <t>Shipped</t>
        </is>
      </c>
      <c r="F1371" s="16" t="inlineStr">
        <is>
          <t>FA028</t>
        </is>
      </c>
      <c r="G1371" s="16" t="inlineStr">
        <is>
          <t>Extractor de agua para garrafas de agua, compatible con carga USB, extractor de agua automático, práctico, con dos modos de toma de agua: manual y programado, ideal para dormitorios, salones, oficinas, uso al aire libre y otros escenarios.</t>
        </is>
      </c>
      <c r="H1371" s="16" t="inlineStr">
        <is>
          <t>FA028</t>
        </is>
      </c>
      <c r="I1371" s="16" t="n">
        <v>2</v>
      </c>
      <c r="J1371" s="17" t="n">
        <v>54</v>
      </c>
      <c r="K1371" s="17" t="n">
        <v>58.9</v>
      </c>
      <c r="L1371" s="17" t="n">
        <v>25.86</v>
      </c>
      <c r="M1371" s="17" t="n">
        <v>0</v>
      </c>
      <c r="N1371" s="17">
        <f>K1371*0.08+L1371*0.08</f>
        <v/>
      </c>
      <c r="O1371" s="17">
        <f>-(K1371*0.025+L1371*0.025)</f>
        <v/>
      </c>
      <c r="P1371" s="17">
        <f>32</f>
        <v/>
      </c>
      <c r="Q1371" s="17">
        <f>J1371+L1371+N1371+O1371-P1371-M1371</f>
        <v/>
      </c>
    </row>
    <row r="1372">
      <c r="A1372" s="16" t="inlineStr">
        <is>
          <t>5.15-5.21</t>
        </is>
      </c>
      <c r="B1372" s="16" t="inlineStr">
        <is>
          <t>PO-128-07418754386550293</t>
        </is>
      </c>
      <c r="C1372" s="16" t="inlineStr">
        <is>
          <t>Shipped</t>
        </is>
      </c>
      <c r="D1372" s="16" t="inlineStr">
        <is>
          <t>128-07418749143670293</t>
        </is>
      </c>
      <c r="E1372" s="16" t="inlineStr">
        <is>
          <t>Shipped</t>
        </is>
      </c>
      <c r="F1372" s="16" t="inlineStr">
        <is>
          <t>LV25W22</t>
        </is>
      </c>
      <c r="G137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72" s="16" t="inlineStr">
        <is>
          <t>LV25W32</t>
        </is>
      </c>
      <c r="I1372" s="16" t="n">
        <v>2</v>
      </c>
      <c r="J1372" s="17" t="n">
        <v>180.86</v>
      </c>
      <c r="K1372" s="17" t="n">
        <v>201.68</v>
      </c>
      <c r="L1372" s="17" t="n">
        <v>25.86</v>
      </c>
      <c r="M1372" s="17" t="n">
        <v>0</v>
      </c>
      <c r="N1372" s="17">
        <f>K1372*0.08+L1372*0.08</f>
        <v/>
      </c>
      <c r="O1372" s="17">
        <f>-(K1372*0.025+L1372*0.025)</f>
        <v/>
      </c>
      <c r="P1372" s="17">
        <f>32</f>
        <v/>
      </c>
      <c r="Q1372" s="17">
        <f>J1372+L1372+N1372+O1372-P1372-M1372</f>
        <v/>
      </c>
    </row>
    <row r="1373">
      <c r="A1373" s="16" t="inlineStr">
        <is>
          <t>5.15-5.21</t>
        </is>
      </c>
      <c r="B1373" s="16" t="inlineStr">
        <is>
          <t>PO-128-07121183744632131</t>
        </is>
      </c>
      <c r="C1373" s="16" t="inlineStr">
        <is>
          <t>Shipped</t>
        </is>
      </c>
      <c r="D1373" s="16" t="inlineStr">
        <is>
          <t>128-07121236173432131</t>
        </is>
      </c>
      <c r="E1373" s="16" t="inlineStr">
        <is>
          <t>Shipped</t>
        </is>
      </c>
      <c r="F1373" s="16" t="inlineStr">
        <is>
          <t>LV34W04</t>
        </is>
      </c>
      <c r="G1373"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373" s="16" t="inlineStr">
        <is>
          <t>LV34W04</t>
        </is>
      </c>
      <c r="I1373" s="16" t="n">
        <v>1</v>
      </c>
      <c r="J1373" s="17" t="n">
        <v>220</v>
      </c>
      <c r="K1373" s="17" t="n">
        <v>250.94</v>
      </c>
      <c r="L1373" s="17" t="n">
        <v>0</v>
      </c>
      <c r="M1373" s="17" t="n">
        <v>0</v>
      </c>
      <c r="N1373" s="17">
        <f>K1373*0.08+L1373*0.08</f>
        <v/>
      </c>
      <c r="O1373" s="17">
        <f>-(K1373*0.025+L1373*0.025)</f>
        <v/>
      </c>
      <c r="P1373" s="17">
        <f>32</f>
        <v/>
      </c>
      <c r="Q1373" s="17">
        <f>J1373+L1373+N1373+O1373-P1373-M1373</f>
        <v/>
      </c>
    </row>
    <row r="1374">
      <c r="A1374" s="16" t="inlineStr">
        <is>
          <t>5.15-5.21</t>
        </is>
      </c>
      <c r="B1374" s="16" t="inlineStr">
        <is>
          <t>PO-128-07210738857592685</t>
        </is>
      </c>
      <c r="C1374" s="16" t="inlineStr">
        <is>
          <t>Shipped</t>
        </is>
      </c>
      <c r="D1374" s="16" t="inlineStr">
        <is>
          <t>128-07210749343352685</t>
        </is>
      </c>
      <c r="E1374" s="16" t="inlineStr">
        <is>
          <t>Shipped</t>
        </is>
      </c>
      <c r="F1374" s="16" t="inlineStr">
        <is>
          <t>LB02235-negro</t>
        </is>
      </c>
      <c r="G1374" s="16" t="inlineStr">
        <is>
          <t>Audífonos Inalámbricos para la Cabeza, Recargables y Multifuncionales - Conectan a Varios Dispositivos, soportan Radio FM, Tarjeta TF y AUX - 4 Horas de Reproducción Musical - Ideal para Trabajo Cotidiano, Juegos y Estudio</t>
        </is>
      </c>
      <c r="H1374" s="16" t="inlineStr">
        <is>
          <t>NEGRO</t>
        </is>
      </c>
      <c r="I1374" s="16" t="n">
        <v>1</v>
      </c>
      <c r="J1374" s="17" t="n">
        <v>36.5</v>
      </c>
      <c r="K1374" s="17" t="n">
        <v>39.69</v>
      </c>
      <c r="L1374" s="17" t="n">
        <v>8.529999999999999</v>
      </c>
      <c r="M1374" s="17" t="n">
        <v>0</v>
      </c>
      <c r="N1374" s="17">
        <f>K1374*0.08+L1374*0.08</f>
        <v/>
      </c>
      <c r="O1374" s="17">
        <f>-(K1374*0.025+L1374*0.025)</f>
        <v/>
      </c>
      <c r="P1374" s="17">
        <f>32</f>
        <v/>
      </c>
      <c r="Q1374" s="17">
        <f>J1374+L1374+N1374+O1374-P1374-M1374</f>
        <v/>
      </c>
    </row>
    <row r="1375">
      <c r="A1375" s="16" t="inlineStr">
        <is>
          <t>5.15-5.21</t>
        </is>
      </c>
      <c r="B1375" s="16" t="inlineStr">
        <is>
          <t>PO-128-07210738857592685</t>
        </is>
      </c>
      <c r="C1375" s="16" t="inlineStr">
        <is>
          <t>Shipped</t>
        </is>
      </c>
      <c r="D1375" s="16" t="inlineStr">
        <is>
          <t>128-07210801500792685</t>
        </is>
      </c>
      <c r="E1375" s="16" t="inlineStr">
        <is>
          <t>Shipped</t>
        </is>
      </c>
      <c r="F1375" s="16" t="inlineStr">
        <is>
          <t>LV25W22</t>
        </is>
      </c>
      <c r="G13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75" s="16" t="inlineStr">
        <is>
          <t>LV25W32</t>
        </is>
      </c>
      <c r="I1375" s="16" t="n">
        <v>1</v>
      </c>
      <c r="J1375" s="17" t="n">
        <v>90.43000000000001</v>
      </c>
      <c r="K1375" s="17" t="n">
        <v>80.67</v>
      </c>
      <c r="L1375" s="17" t="n">
        <v>17.34</v>
      </c>
      <c r="M1375" s="17" t="n">
        <v>0</v>
      </c>
      <c r="N1375" s="17">
        <f>K1375*0.08+L1375*0.08</f>
        <v/>
      </c>
      <c r="O1375" s="17">
        <f>-(K1375*0.025+L1375*0.025)</f>
        <v/>
      </c>
      <c r="P1375" s="17">
        <f>32</f>
        <v/>
      </c>
      <c r="Q1375" s="17">
        <f>J1375+L1375+N1375+O1375-P1375-M1375</f>
        <v/>
      </c>
    </row>
    <row r="1376">
      <c r="A1376" s="16" t="inlineStr">
        <is>
          <t>5.15-5.21</t>
        </is>
      </c>
      <c r="B1376" s="16" t="inlineStr">
        <is>
          <t>PO-128-07140150989432976</t>
        </is>
      </c>
      <c r="C1376" s="16" t="inlineStr">
        <is>
          <t>Shipped</t>
        </is>
      </c>
      <c r="D1376" s="16" t="inlineStr">
        <is>
          <t>128-07140203418232976</t>
        </is>
      </c>
      <c r="E1376" s="16" t="inlineStr">
        <is>
          <t>Shipped</t>
        </is>
      </c>
      <c r="F1376" s="16" t="inlineStr">
        <is>
          <t>SA325T</t>
        </is>
      </c>
      <c r="G1376" s="16" t="inlineStr">
        <is>
          <t>Subwoofer Portátil Inalámbrico con Luces RGB, Sonido de Alta Potencia y Batería Duradera, TWS TF USB, Perfecto para Campamento Fiestas y Entretenimiento en Casa</t>
        </is>
      </c>
      <c r="H1376" s="16" t="inlineStr">
        <is>
          <t>NEGRO</t>
        </is>
      </c>
      <c r="I1376" s="16" t="n">
        <v>1</v>
      </c>
      <c r="J1376" s="17" t="n">
        <v>36</v>
      </c>
      <c r="K1376" s="17" t="n">
        <v>45.04</v>
      </c>
      <c r="L1376" s="17" t="n">
        <v>25.86</v>
      </c>
      <c r="M1376" s="17" t="n">
        <v>0</v>
      </c>
      <c r="N1376" s="17">
        <f>K1376*0.08+L1376*0.08</f>
        <v/>
      </c>
      <c r="O1376" s="17">
        <f>-(K1376*0.025+L1376*0.025)</f>
        <v/>
      </c>
      <c r="P1376" s="17">
        <f>32</f>
        <v/>
      </c>
      <c r="Q1376" s="17">
        <f>J1376+L1376+N1376+O1376-P1376-M1376</f>
        <v/>
      </c>
    </row>
    <row r="1377">
      <c r="A1377" s="16" t="inlineStr">
        <is>
          <t>5.15-5.21</t>
        </is>
      </c>
      <c r="B1377" s="16" t="inlineStr">
        <is>
          <t>PO-128-07236601774711507</t>
        </is>
      </c>
      <c r="C1377" s="16" t="inlineStr">
        <is>
          <t>Shipped</t>
        </is>
      </c>
      <c r="D1377" s="16" t="inlineStr">
        <is>
          <t>128-07236681728631507</t>
        </is>
      </c>
      <c r="E1377" s="16" t="inlineStr">
        <is>
          <t>Shipped</t>
        </is>
      </c>
      <c r="F1377" s="16" t="inlineStr">
        <is>
          <t>LV25W22</t>
        </is>
      </c>
      <c r="G13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77" s="16" t="inlineStr">
        <is>
          <t>LV25W32</t>
        </is>
      </c>
      <c r="I1377" s="16" t="n">
        <v>1</v>
      </c>
      <c r="J1377" s="17" t="n">
        <v>90.43000000000001</v>
      </c>
      <c r="K1377" s="17" t="n">
        <v>100.84</v>
      </c>
      <c r="L1377" s="17" t="n">
        <v>25.86</v>
      </c>
      <c r="M1377" s="17" t="n">
        <v>0</v>
      </c>
      <c r="N1377" s="17">
        <f>K1377*0.08+L1377*0.08</f>
        <v/>
      </c>
      <c r="O1377" s="17">
        <f>-(K1377*0.025+L1377*0.025)</f>
        <v/>
      </c>
      <c r="P1377" s="17">
        <f>32</f>
        <v/>
      </c>
      <c r="Q1377" s="17">
        <f>J1377+L1377+N1377+O1377-P1377-M1377</f>
        <v/>
      </c>
    </row>
    <row r="1378">
      <c r="A1378" s="16" t="inlineStr">
        <is>
          <t>5.15-5.21</t>
        </is>
      </c>
      <c r="B1378" s="16" t="inlineStr">
        <is>
          <t>PO-128-06990025467513873</t>
        </is>
      </c>
      <c r="C1378" s="16" t="inlineStr">
        <is>
          <t>Shipped</t>
        </is>
      </c>
      <c r="D1378" s="16" t="inlineStr">
        <is>
          <t>128-06990051681913873</t>
        </is>
      </c>
      <c r="E1378" s="16" t="inlineStr">
        <is>
          <t>Shipped</t>
        </is>
      </c>
      <c r="F1378" s="16" t="inlineStr">
        <is>
          <t>MCM-001N</t>
        </is>
      </c>
      <c r="G1378" s="16" t="inlineStr">
        <is>
          <t>Musicord Altavoz Inalámbrico BT Portátil: ¡Sonido impactante, luces LED multicolores y 4 horas de autonomía! Compatible con TWS, FM, TF y USB – Imprescindible para fiestas y viajes</t>
        </is>
      </c>
      <c r="H1378" s="16" t="inlineStr">
        <is>
          <t>NEGRO</t>
        </is>
      </c>
      <c r="I1378" s="16" t="n">
        <v>1</v>
      </c>
      <c r="J1378" s="17" t="n">
        <v>66</v>
      </c>
      <c r="K1378" s="17" t="n">
        <v>73.79000000000001</v>
      </c>
      <c r="L1378" s="17" t="n">
        <v>25.86</v>
      </c>
      <c r="M1378" s="17" t="n">
        <v>5</v>
      </c>
      <c r="N1378" s="17">
        <f>K1378*0.08+L1378*0.08</f>
        <v/>
      </c>
      <c r="O1378" s="17">
        <f>-(K1378*0.025+L1378*0.025)</f>
        <v/>
      </c>
      <c r="P1378" s="17">
        <f>32</f>
        <v/>
      </c>
      <c r="Q1378" s="17">
        <f>J1378+L1378+N1378+O1378-P1378-M1378</f>
        <v/>
      </c>
    </row>
    <row r="1379">
      <c r="A1379" s="16" t="inlineStr">
        <is>
          <t>5.15-5.21</t>
        </is>
      </c>
      <c r="B1379" s="16" t="inlineStr">
        <is>
          <t>PO-128-07434279864950137</t>
        </is>
      </c>
      <c r="C1379" s="16" t="inlineStr">
        <is>
          <t>Shipped</t>
        </is>
      </c>
      <c r="D1379" s="16" t="inlineStr">
        <is>
          <t>128-07434237921910137</t>
        </is>
      </c>
      <c r="E1379" s="16" t="inlineStr">
        <is>
          <t>Shipped</t>
        </is>
      </c>
      <c r="F1379" s="16" t="inlineStr">
        <is>
          <t>SA8056T</t>
        </is>
      </c>
      <c r="G137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379" s="16" t="inlineStr">
        <is>
          <t>SA8056T</t>
        </is>
      </c>
      <c r="I1379" s="16" t="n">
        <v>1</v>
      </c>
      <c r="J1379" s="17" t="n">
        <v>125</v>
      </c>
      <c r="K1379" s="17" t="n">
        <v>145.38</v>
      </c>
      <c r="L1379" s="17" t="n">
        <v>25.86</v>
      </c>
      <c r="M1379" s="17" t="n">
        <v>0</v>
      </c>
      <c r="N1379" s="17">
        <f>K1379*0.08+L1379*0.08</f>
        <v/>
      </c>
      <c r="O1379" s="17">
        <f>-(K1379*0.025+L1379*0.025)</f>
        <v/>
      </c>
      <c r="P1379" s="17">
        <f>32</f>
        <v/>
      </c>
      <c r="Q1379" s="17">
        <f>J1379+L1379+N1379+O1379-P1379-M1379</f>
        <v/>
      </c>
    </row>
    <row r="1380">
      <c r="A1380" s="16" t="inlineStr">
        <is>
          <t>5.15-5.21</t>
        </is>
      </c>
      <c r="B1380" s="16" t="inlineStr">
        <is>
          <t>PO-128-06975646474874084</t>
        </is>
      </c>
      <c r="C1380" s="16" t="inlineStr">
        <is>
          <t>Shipped</t>
        </is>
      </c>
      <c r="D1380" s="16" t="inlineStr">
        <is>
          <t>128-06975782789754084</t>
        </is>
      </c>
      <c r="E1380" s="16" t="inlineStr">
        <is>
          <t>Shipped</t>
        </is>
      </c>
      <c r="F1380" s="16" t="inlineStr">
        <is>
          <t>SA323T</t>
        </is>
      </c>
      <c r="G1380" s="16" t="inlineStr">
        <is>
          <t>Linkbits Bocina Portátil Parlantes BT Portátiles con Iluminación de Ambiente | 1 Hora de Duración, FM, TWS, TF/Micro SD | Ideal para Hogar, Fiestas y Viajes</t>
        </is>
      </c>
      <c r="H1380" s="16" t="inlineStr">
        <is>
          <t>SA323T</t>
        </is>
      </c>
      <c r="I1380" s="16" t="n">
        <v>1</v>
      </c>
      <c r="J1380" s="17" t="n">
        <v>37.71</v>
      </c>
      <c r="K1380" s="17" t="n">
        <v>46.77</v>
      </c>
      <c r="L1380" s="17" t="n">
        <v>25.86</v>
      </c>
      <c r="M1380" s="17" t="n">
        <v>0</v>
      </c>
      <c r="N1380" s="17">
        <f>K1380*0.08+L1380*0.08</f>
        <v/>
      </c>
      <c r="O1380" s="17">
        <f>-(K1380*0.025+L1380*0.025)</f>
        <v/>
      </c>
      <c r="P1380" s="17">
        <f>32</f>
        <v/>
      </c>
      <c r="Q1380" s="17">
        <f>J1380+L1380+N1380+O1380-P1380-M1380</f>
        <v/>
      </c>
    </row>
    <row r="1381">
      <c r="A1381" s="16" t="inlineStr">
        <is>
          <t>5.15-5.21</t>
        </is>
      </c>
      <c r="B1381" s="16" t="inlineStr">
        <is>
          <t>PO-128-07531058954870710</t>
        </is>
      </c>
      <c r="C1381" s="16" t="inlineStr">
        <is>
          <t>Shipped</t>
        </is>
      </c>
      <c r="D1381" s="16" t="inlineStr">
        <is>
          <t>128-07530990797430710</t>
        </is>
      </c>
      <c r="E1381" s="16" t="inlineStr">
        <is>
          <t>Shipped</t>
        </is>
      </c>
      <c r="F1381" s="16" t="inlineStr">
        <is>
          <t>LV25W22</t>
        </is>
      </c>
      <c r="G138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81" s="16" t="inlineStr">
        <is>
          <t>LV25W32</t>
        </is>
      </c>
      <c r="I1381" s="16" t="n">
        <v>2</v>
      </c>
      <c r="J1381" s="17" t="n">
        <v>180.86</v>
      </c>
      <c r="K1381" s="17" t="n">
        <v>201.68</v>
      </c>
      <c r="L1381" s="17" t="n">
        <v>25.86</v>
      </c>
      <c r="M1381" s="17" t="n">
        <v>0</v>
      </c>
      <c r="N1381" s="17">
        <f>K1381*0.08+L1381*0.08</f>
        <v/>
      </c>
      <c r="O1381" s="17">
        <f>-(K1381*0.025+L1381*0.025)</f>
        <v/>
      </c>
      <c r="P1381" s="17">
        <f>32</f>
        <v/>
      </c>
      <c r="Q1381" s="17">
        <f>J1381+L1381+N1381+O1381-P1381-M1381</f>
        <v/>
      </c>
    </row>
    <row r="1382">
      <c r="A1382" s="16" t="inlineStr">
        <is>
          <t>5.15-5.21</t>
        </is>
      </c>
      <c r="B1382" s="16" t="inlineStr">
        <is>
          <t>PO-128-06872659251833482</t>
        </is>
      </c>
      <c r="C1382" s="16" t="inlineStr">
        <is>
          <t>Shipped</t>
        </is>
      </c>
      <c r="D1382" s="16" t="inlineStr">
        <is>
          <t>128-06872764109433482</t>
        </is>
      </c>
      <c r="E1382" s="16" t="inlineStr">
        <is>
          <t>Shipped</t>
        </is>
      </c>
      <c r="F1382" s="16" t="inlineStr">
        <is>
          <t>SA323T</t>
        </is>
      </c>
      <c r="G1382" s="16" t="inlineStr">
        <is>
          <t>Linkbits Bocina Portátil Parlantes BT Portátiles con Iluminación de Ambiente | 1 Hora de Duración, FM, TWS, TF/Micro SD | Ideal para Hogar, Fiestas y Viajes</t>
        </is>
      </c>
      <c r="H1382" s="16" t="inlineStr">
        <is>
          <t>SA323T</t>
        </is>
      </c>
      <c r="I1382" s="16" t="n">
        <v>1</v>
      </c>
      <c r="J1382" s="17" t="n">
        <v>37.71</v>
      </c>
      <c r="K1382" s="17" t="n">
        <v>46.77</v>
      </c>
      <c r="L1382" s="17" t="n">
        <v>25.86</v>
      </c>
      <c r="M1382" s="17" t="n">
        <v>0</v>
      </c>
      <c r="N1382" s="17">
        <f>K1382*0.08+L1382*0.08</f>
        <v/>
      </c>
      <c r="O1382" s="17">
        <f>-(K1382*0.025+L1382*0.025)</f>
        <v/>
      </c>
      <c r="P1382" s="17">
        <f>32</f>
        <v/>
      </c>
      <c r="Q1382" s="17">
        <f>J1382+L1382+N1382+O1382-P1382-M1382</f>
        <v/>
      </c>
    </row>
    <row r="1383">
      <c r="A1383" s="16" t="inlineStr">
        <is>
          <t>5.15-5.21</t>
        </is>
      </c>
      <c r="B1383" s="16" t="inlineStr">
        <is>
          <t>PO-128-07365429135991763</t>
        </is>
      </c>
      <c r="C1383" s="16" t="inlineStr">
        <is>
          <t>Shipped</t>
        </is>
      </c>
      <c r="D1383" s="16" t="inlineStr">
        <is>
          <t>128-07365386209911763</t>
        </is>
      </c>
      <c r="E1383" s="16" t="inlineStr">
        <is>
          <t>Shipped</t>
        </is>
      </c>
      <c r="F1383" s="16" t="inlineStr">
        <is>
          <t>VB347T</t>
        </is>
      </c>
      <c r="G138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383" s="16" t="inlineStr">
        <is>
          <t>1 pieza</t>
        </is>
      </c>
      <c r="I1383" s="16" t="n">
        <v>1</v>
      </c>
      <c r="J1383" s="17" t="n">
        <v>77.90000000000001</v>
      </c>
      <c r="K1383" s="17" t="n">
        <v>92.5</v>
      </c>
      <c r="L1383" s="17" t="n">
        <v>25.86</v>
      </c>
      <c r="M1383" s="17" t="n">
        <v>0</v>
      </c>
      <c r="N1383" s="17">
        <f>K1383*0.08+L1383*0.08</f>
        <v/>
      </c>
      <c r="O1383" s="17">
        <f>-(K1383*0.025+L1383*0.025)</f>
        <v/>
      </c>
      <c r="P1383" s="17">
        <f>32</f>
        <v/>
      </c>
      <c r="Q1383" s="17">
        <f>J1383+L1383+N1383+O1383-P1383-M1383</f>
        <v/>
      </c>
    </row>
    <row r="1384">
      <c r="A1384" s="16" t="inlineStr">
        <is>
          <t>5.15-5.21</t>
        </is>
      </c>
      <c r="B1384" s="16" t="inlineStr">
        <is>
          <t>PO-128-07530630984310712</t>
        </is>
      </c>
      <c r="C1384" s="16" t="inlineStr">
        <is>
          <t>Shipped</t>
        </is>
      </c>
      <c r="D1384" s="16" t="inlineStr">
        <is>
          <t>128-07530699141750712</t>
        </is>
      </c>
      <c r="E1384" s="16" t="inlineStr">
        <is>
          <t>Shipped</t>
        </is>
      </c>
      <c r="F1384" s="16" t="inlineStr">
        <is>
          <t>SA325T</t>
        </is>
      </c>
      <c r="G1384" s="16" t="inlineStr">
        <is>
          <t>Subwoofer Portátil Inalámbrico con Luces RGB, Sonido de Alta Potencia y Batería Duradera, TWS TF USB, Perfecto para Campamento Fiestas y Entretenimiento en Casa</t>
        </is>
      </c>
      <c r="H1384" s="16" t="inlineStr">
        <is>
          <t>NEGRO</t>
        </is>
      </c>
      <c r="I1384" s="16" t="n">
        <v>1</v>
      </c>
      <c r="J1384" s="17" t="n">
        <v>36</v>
      </c>
      <c r="K1384" s="17" t="n">
        <v>45.04</v>
      </c>
      <c r="L1384" s="17" t="n">
        <v>25.86</v>
      </c>
      <c r="M1384" s="17" t="n">
        <v>0</v>
      </c>
      <c r="N1384" s="17">
        <f>K1384*0.08+L1384*0.08</f>
        <v/>
      </c>
      <c r="O1384" s="17">
        <f>-(K1384*0.025+L1384*0.025)</f>
        <v/>
      </c>
      <c r="P1384" s="17">
        <f>32</f>
        <v/>
      </c>
      <c r="Q1384" s="17">
        <f>J1384+L1384+N1384+O1384-P1384-M1384</f>
        <v/>
      </c>
    </row>
    <row r="1385">
      <c r="A1385" s="16" t="inlineStr">
        <is>
          <t>5.15-5.21</t>
        </is>
      </c>
      <c r="B1385" s="16" t="inlineStr">
        <is>
          <t>PO-128-07037599048313653</t>
        </is>
      </c>
      <c r="C1385" s="16" t="inlineStr">
        <is>
          <t>Shipped</t>
        </is>
      </c>
      <c r="D1385" s="16" t="inlineStr">
        <is>
          <t>128-07037572833913653</t>
        </is>
      </c>
      <c r="E1385" s="16" t="inlineStr">
        <is>
          <t>Shipped</t>
        </is>
      </c>
      <c r="F1385" s="16" t="inlineStr">
        <is>
          <t>LB02235-negro</t>
        </is>
      </c>
      <c r="G1385" s="16" t="inlineStr">
        <is>
          <t>Audífonos Inalámbricos para la Cabeza, Recargables y Multifuncionales - Conectan a Varios Dispositivos, soportan Radio FM, Tarjeta TF y AUX - 4 Horas de Reproducción Musical - Ideal para Trabajo Cotidiano, Juegos y Estudio</t>
        </is>
      </c>
      <c r="H1385" s="16" t="inlineStr">
        <is>
          <t>NEGRO</t>
        </is>
      </c>
      <c r="I1385" s="16" t="n">
        <v>1</v>
      </c>
      <c r="J1385" s="17" t="n">
        <v>36.5</v>
      </c>
      <c r="K1385" s="17" t="n">
        <v>49.61</v>
      </c>
      <c r="L1385" s="17" t="n">
        <v>25.86</v>
      </c>
      <c r="M1385" s="17" t="n">
        <v>0</v>
      </c>
      <c r="N1385" s="17">
        <f>K1385*0.08+L1385*0.08</f>
        <v/>
      </c>
      <c r="O1385" s="17">
        <f>-(K1385*0.025+L1385*0.025)</f>
        <v/>
      </c>
      <c r="P1385" s="17">
        <f>32</f>
        <v/>
      </c>
      <c r="Q1385" s="17">
        <f>J1385+L1385+N1385+O1385-P1385-M1385</f>
        <v/>
      </c>
    </row>
    <row r="1386">
      <c r="A1386" s="16" t="inlineStr">
        <is>
          <t>5.15-5.21</t>
        </is>
      </c>
      <c r="B1386" s="16" t="inlineStr">
        <is>
          <t>PO-128-07119815189112139</t>
        </is>
      </c>
      <c r="C1386" s="16" t="inlineStr">
        <is>
          <t>Shipped</t>
        </is>
      </c>
      <c r="D1386" s="16" t="inlineStr">
        <is>
          <t>128-07119857132152139</t>
        </is>
      </c>
      <c r="E1386" s="16" t="inlineStr">
        <is>
          <t>Shipped</t>
        </is>
      </c>
      <c r="F1386" s="16" t="inlineStr">
        <is>
          <t>S09W18IB</t>
        </is>
      </c>
      <c r="G138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386" s="16" t="inlineStr">
        <is>
          <t>1 pieza</t>
        </is>
      </c>
      <c r="I1386" s="16" t="n">
        <v>5</v>
      </c>
      <c r="J1386" s="17" t="n">
        <v>114.95</v>
      </c>
      <c r="K1386" s="17" t="n">
        <v>168.1</v>
      </c>
      <c r="L1386" s="17" t="n">
        <v>25.85</v>
      </c>
      <c r="M1386" s="17" t="n">
        <v>0</v>
      </c>
      <c r="N1386" s="17">
        <f>K1386*0.08+L1386*0.08</f>
        <v/>
      </c>
      <c r="O1386" s="17">
        <f>-(K1386*0.025+L1386*0.025)</f>
        <v/>
      </c>
      <c r="P1386" s="17">
        <f>32</f>
        <v/>
      </c>
      <c r="Q1386" s="17">
        <f>J1386+L1386+N1386+O1386-P1386-M1386</f>
        <v/>
      </c>
    </row>
    <row r="1387">
      <c r="A1387" s="16" t="inlineStr">
        <is>
          <t>5.15-5.21</t>
        </is>
      </c>
      <c r="B1387" s="16" t="inlineStr">
        <is>
          <t>PO-128-07333508234871825</t>
        </is>
      </c>
      <c r="C1387" s="16" t="inlineStr">
        <is>
          <t>Shipped</t>
        </is>
      </c>
      <c r="D1387" s="16" t="inlineStr">
        <is>
          <t>128-07333644549751825</t>
        </is>
      </c>
      <c r="E1387" s="16" t="inlineStr">
        <is>
          <t>Shipped</t>
        </is>
      </c>
      <c r="F1387" s="16" t="inlineStr">
        <is>
          <t>LB02235-azul</t>
        </is>
      </c>
      <c r="G1387" s="16" t="inlineStr">
        <is>
          <t>Audífonos Inalámbricos para la Cabeza, Recargables y Multifuncionales - Conectan a Varios Dispositivos, soportan Radio FM, Tarjeta TF y AUX - 4 Horas de Reproducción Musical - Ideal para Trabajo Cotidiano, Juegos y Estudio</t>
        </is>
      </c>
      <c r="H1387" s="16" t="inlineStr">
        <is>
          <t>AZUL</t>
        </is>
      </c>
      <c r="I1387" s="16" t="n">
        <v>1</v>
      </c>
      <c r="J1387" s="17" t="n">
        <v>35</v>
      </c>
      <c r="K1387" s="17" t="n">
        <v>5.01</v>
      </c>
      <c r="L1387" s="17" t="n">
        <v>25.86</v>
      </c>
      <c r="M1387" s="17" t="n">
        <v>0</v>
      </c>
      <c r="N1387" s="17">
        <f>K1387*0.08+L1387*0.08</f>
        <v/>
      </c>
      <c r="O1387" s="17">
        <f>-(K1387*0.025+L1387*0.025)</f>
        <v/>
      </c>
      <c r="P1387" s="17">
        <f>32</f>
        <v/>
      </c>
      <c r="Q1387" s="17">
        <f>J1387+L1387+N1387+O1387-P1387-M1387</f>
        <v/>
      </c>
    </row>
    <row r="1388">
      <c r="A1388" s="16" t="inlineStr">
        <is>
          <t>5.15-5.21</t>
        </is>
      </c>
      <c r="B1388" s="16" t="inlineStr">
        <is>
          <t>PO-128-06961165087353981</t>
        </is>
      </c>
      <c r="C1388" s="16" t="inlineStr">
        <is>
          <t>Shipped</t>
        </is>
      </c>
      <c r="D1388" s="16" t="inlineStr">
        <is>
          <t>128-06961123144313981</t>
        </is>
      </c>
      <c r="E1388" s="16" t="inlineStr">
        <is>
          <t>Shipped</t>
        </is>
      </c>
      <c r="F1388" s="16" t="inlineStr">
        <is>
          <t>S09W18IB</t>
        </is>
      </c>
      <c r="G138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388" s="16" t="inlineStr">
        <is>
          <t>1 pieza</t>
        </is>
      </c>
      <c r="I1388" s="16" t="n">
        <v>5</v>
      </c>
      <c r="J1388" s="17" t="n">
        <v>114.95</v>
      </c>
      <c r="K1388" s="17" t="n">
        <v>168.1</v>
      </c>
      <c r="L1388" s="17" t="n">
        <v>25.85</v>
      </c>
      <c r="M1388" s="17" t="n">
        <v>0</v>
      </c>
      <c r="N1388" s="17">
        <f>K1388*0.08+L1388*0.08</f>
        <v/>
      </c>
      <c r="O1388" s="17">
        <f>-(K1388*0.025+L1388*0.025)</f>
        <v/>
      </c>
      <c r="P1388" s="17">
        <f>32</f>
        <v/>
      </c>
      <c r="Q1388" s="17">
        <f>J1388+L1388+N1388+O1388-P1388-M1388</f>
        <v/>
      </c>
    </row>
    <row r="1389">
      <c r="A1389" s="16" t="inlineStr">
        <is>
          <t>5.15-5.21</t>
        </is>
      </c>
      <c r="B1389" s="16" t="inlineStr">
        <is>
          <t>PO-128-07441948165750219</t>
        </is>
      </c>
      <c r="C1389" s="16" t="inlineStr">
        <is>
          <t>Shipped</t>
        </is>
      </c>
      <c r="D1389" s="16" t="inlineStr">
        <is>
          <t>128-07441895736950219</t>
        </is>
      </c>
      <c r="E1389" s="16" t="inlineStr">
        <is>
          <t>Shipped</t>
        </is>
      </c>
      <c r="F1389" s="16" t="inlineStr">
        <is>
          <t>LB02235-negro</t>
        </is>
      </c>
      <c r="G1389" s="16" t="inlineStr">
        <is>
          <t>Audífonos Inalámbricos para la Cabeza, Recargables y Multifuncionales - Conectan a Varios Dispositivos, soportan Radio FM, Tarjeta TF y AUX - 4 Horas de Reproducción Musical - Ideal para Trabajo Cotidiano, Juegos y Estudio</t>
        </is>
      </c>
      <c r="H1389" s="16" t="inlineStr">
        <is>
          <t>NEGRO</t>
        </is>
      </c>
      <c r="I1389" s="16" t="n">
        <v>1</v>
      </c>
      <c r="J1389" s="17" t="n">
        <v>36.5</v>
      </c>
      <c r="K1389" s="17" t="n">
        <v>47.49</v>
      </c>
      <c r="L1389" s="17" t="n">
        <v>25.86</v>
      </c>
      <c r="M1389" s="17" t="n">
        <v>0</v>
      </c>
      <c r="N1389" s="17">
        <f>K1389*0.08+L1389*0.08</f>
        <v/>
      </c>
      <c r="O1389" s="17">
        <f>-(K1389*0.025+L1389*0.025)</f>
        <v/>
      </c>
      <c r="P1389" s="17">
        <f>32</f>
        <v/>
      </c>
      <c r="Q1389" s="17">
        <f>J1389+L1389+N1389+O1389-P1389-M1389</f>
        <v/>
      </c>
    </row>
    <row r="1390">
      <c r="A1390" s="16" t="inlineStr">
        <is>
          <t>5.15-5.21</t>
        </is>
      </c>
      <c r="B1390" s="16" t="inlineStr">
        <is>
          <t>PO-128-06874772828793470</t>
        </is>
      </c>
      <c r="C1390" s="16" t="inlineStr">
        <is>
          <t>Shipped</t>
        </is>
      </c>
      <c r="D1390" s="16" t="inlineStr">
        <is>
          <t>128-06874730885753470</t>
        </is>
      </c>
      <c r="E1390" s="16" t="inlineStr">
        <is>
          <t>Shipped</t>
        </is>
      </c>
      <c r="F1390" s="16" t="inlineStr">
        <is>
          <t>KTS-1678V</t>
        </is>
      </c>
      <c r="G1390" s="16" t="inlineStr">
        <is>
          <t>Bocina portátil Inalámbrico, de 3 pulgadas, tamaño de bolsillo, 170 g, con asa, compatible con TF, USB y Micro SD, con radio FM y función TWS (True Wireless Stereo), adecuada para relajarse en casa o viajar al aire libre.</t>
        </is>
      </c>
      <c r="H1390" s="16" t="inlineStr">
        <is>
          <t>KTS-1678V</t>
        </is>
      </c>
      <c r="I1390" s="16" t="n">
        <v>1</v>
      </c>
      <c r="J1390" s="17" t="n">
        <v>40</v>
      </c>
      <c r="K1390" s="17" t="n">
        <v>48.28</v>
      </c>
      <c r="L1390" s="17" t="n">
        <v>25.86</v>
      </c>
      <c r="M1390" s="17" t="n">
        <v>0</v>
      </c>
      <c r="N1390" s="17">
        <f>K1390*0.08+L1390*0.08</f>
        <v/>
      </c>
      <c r="O1390" s="17">
        <f>-(K1390*0.025+L1390*0.025)</f>
        <v/>
      </c>
      <c r="P1390" s="17">
        <f>32</f>
        <v/>
      </c>
      <c r="Q1390" s="17">
        <f>J1390+L1390+N1390+O1390-P1390-M1390</f>
        <v/>
      </c>
    </row>
    <row r="1391">
      <c r="A1391" s="16" t="inlineStr">
        <is>
          <t>5.15-5.21</t>
        </is>
      </c>
      <c r="B1391" s="16" t="inlineStr">
        <is>
          <t>PO-128-07263133307511157</t>
        </is>
      </c>
      <c r="C1391" s="16" t="inlineStr">
        <is>
          <t>Shipped</t>
        </is>
      </c>
      <c r="D1391" s="16" t="inlineStr">
        <is>
          <t>128-07263188357751157</t>
        </is>
      </c>
      <c r="E1391" s="16" t="inlineStr">
        <is>
          <t>Shipped</t>
        </is>
      </c>
      <c r="F1391" s="16" t="inlineStr">
        <is>
          <t>FA028</t>
        </is>
      </c>
      <c r="G1391" s="16" t="inlineStr">
        <is>
          <t>Extractor de agua para garrafas de agua, compatible con carga USB, extractor de agua automático, práctico, con dos modos de toma de agua: manual y programado, ideal para dormitorios, salones, oficinas, uso al aire libre y otros escenarios.</t>
        </is>
      </c>
      <c r="H1391" s="16" t="inlineStr">
        <is>
          <t>FA028</t>
        </is>
      </c>
      <c r="I1391" s="16" t="n">
        <v>1</v>
      </c>
      <c r="J1391" s="17" t="n">
        <v>27</v>
      </c>
      <c r="K1391" s="17" t="n">
        <v>36.58</v>
      </c>
      <c r="L1391" s="17" t="n">
        <v>25.86</v>
      </c>
      <c r="M1391" s="17" t="n">
        <v>0</v>
      </c>
      <c r="N1391" s="17">
        <f>K1391*0.08+L1391*0.08</f>
        <v/>
      </c>
      <c r="O1391" s="17">
        <f>-(K1391*0.025+L1391*0.025)</f>
        <v/>
      </c>
      <c r="P1391" s="17">
        <f>32</f>
        <v/>
      </c>
      <c r="Q1391" s="17">
        <f>J1391+L1391+N1391+O1391-P1391-M1391</f>
        <v/>
      </c>
    </row>
    <row r="1392">
      <c r="A1392" s="16" t="inlineStr">
        <is>
          <t>5.15-5.21</t>
        </is>
      </c>
      <c r="B1392" s="16" t="inlineStr">
        <is>
          <t>PO-128-07130178837112973</t>
        </is>
      </c>
      <c r="C1392" s="16" t="inlineStr">
        <is>
          <t>Shipped</t>
        </is>
      </c>
      <c r="D1392" s="16" t="inlineStr">
        <is>
          <t>128-07130283694712973</t>
        </is>
      </c>
      <c r="E1392" s="16" t="inlineStr">
        <is>
          <t>Shipped</t>
        </is>
      </c>
      <c r="F1392" s="16" t="inlineStr">
        <is>
          <t>LB02235-negro</t>
        </is>
      </c>
      <c r="G1392" s="16" t="inlineStr">
        <is>
          <t>Audífonos Inalámbricos para la Cabeza, Recargables y Multifuncionales - Conectan a Varios Dispositivos, soportan Radio FM, Tarjeta TF y AUX - 4 Horas de Reproducción Musical - Ideal para Trabajo Cotidiano, Juegos y Estudio</t>
        </is>
      </c>
      <c r="H1392" s="16" t="inlineStr">
        <is>
          <t>NEGRO</t>
        </is>
      </c>
      <c r="I1392" s="16" t="n">
        <v>1</v>
      </c>
      <c r="J1392" s="17" t="n">
        <v>36.5</v>
      </c>
      <c r="K1392" s="17" t="n">
        <v>49.61</v>
      </c>
      <c r="L1392" s="17" t="n">
        <v>25.86</v>
      </c>
      <c r="M1392" s="17" t="n">
        <v>0</v>
      </c>
      <c r="N1392" s="17">
        <f>K1392*0.08+L1392*0.08</f>
        <v/>
      </c>
      <c r="O1392" s="17">
        <f>-(K1392*0.025+L1392*0.025)</f>
        <v/>
      </c>
      <c r="P1392" s="17">
        <f>32</f>
        <v/>
      </c>
      <c r="Q1392" s="17">
        <f>J1392+L1392+N1392+O1392-P1392-M1392</f>
        <v/>
      </c>
    </row>
    <row r="1393">
      <c r="A1393" s="16" t="inlineStr">
        <is>
          <t>5.15-5.21</t>
        </is>
      </c>
      <c r="B1393" s="16" t="inlineStr">
        <is>
          <t>PO-128-07396850903670422</t>
        </is>
      </c>
      <c r="C1393" s="16" t="inlineStr">
        <is>
          <t>Shipped</t>
        </is>
      </c>
      <c r="D1393" s="16" t="inlineStr">
        <is>
          <t>128-07396871875190422</t>
        </is>
      </c>
      <c r="E1393" s="16" t="inlineStr">
        <is>
          <t>Shipped</t>
        </is>
      </c>
      <c r="F1393" s="16" t="inlineStr">
        <is>
          <t>LB02235-rojo</t>
        </is>
      </c>
      <c r="G1393" s="16" t="inlineStr">
        <is>
          <t>Audífonos Inalámbricos para la Cabeza, Recargables y Multifuncionales - Conectan a Varios Dispositivos, soportan Radio FM, Tarjeta TF y AUX - 4 Horas de Reproducción Musical - Ideal para Trabajo Cotidiano, Juegos y Estudio</t>
        </is>
      </c>
      <c r="H1393" s="16" t="inlineStr">
        <is>
          <t>ROJO</t>
        </is>
      </c>
      <c r="I1393" s="16" t="n">
        <v>1</v>
      </c>
      <c r="J1393" s="17" t="n">
        <v>36.5</v>
      </c>
      <c r="K1393" s="17" t="n">
        <v>49.61</v>
      </c>
      <c r="L1393" s="17" t="n">
        <v>25.86</v>
      </c>
      <c r="M1393" s="17" t="n">
        <v>0</v>
      </c>
      <c r="N1393" s="17">
        <f>K1393*0.08+L1393*0.08</f>
        <v/>
      </c>
      <c r="O1393" s="17">
        <f>-(K1393*0.025+L1393*0.025)</f>
        <v/>
      </c>
      <c r="P1393" s="17">
        <f>32</f>
        <v/>
      </c>
      <c r="Q1393" s="17">
        <f>J1393+L1393+N1393+O1393-P1393-M1393</f>
        <v/>
      </c>
    </row>
    <row r="1394">
      <c r="A1394" s="16" t="inlineStr">
        <is>
          <t>5.15-5.21</t>
        </is>
      </c>
      <c r="B1394" s="16" t="inlineStr">
        <is>
          <t>PO-128-07162281882232908</t>
        </is>
      </c>
      <c r="C1394" s="16" t="inlineStr">
        <is>
          <t>Shipped</t>
        </is>
      </c>
      <c r="D1394" s="16" t="inlineStr">
        <is>
          <t>128-07162357903992908</t>
        </is>
      </c>
      <c r="E1394" s="16" t="inlineStr">
        <is>
          <t>Shipped</t>
        </is>
      </c>
      <c r="F1394" s="16" t="inlineStr">
        <is>
          <t>LB02235-negro</t>
        </is>
      </c>
      <c r="G1394" s="16" t="inlineStr">
        <is>
          <t>Audífonos Inalámbricos para la Cabeza, Recargables y Multifuncionales - Conectan a Varios Dispositivos, soportan Radio FM, Tarjeta TF y AUX - 4 Horas de Reproducción Musical - Ideal para Trabajo Cotidiano, Juegos y Estudio</t>
        </is>
      </c>
      <c r="H1394" s="16" t="inlineStr">
        <is>
          <t>NEGRO</t>
        </is>
      </c>
      <c r="I1394" s="16" t="n">
        <v>1</v>
      </c>
      <c r="J1394" s="17" t="n">
        <v>36.5</v>
      </c>
      <c r="K1394" s="17" t="n">
        <v>49.61</v>
      </c>
      <c r="L1394" s="17" t="n">
        <v>25.86</v>
      </c>
      <c r="M1394" s="17" t="n">
        <v>0</v>
      </c>
      <c r="N1394" s="17">
        <f>K1394*0.08+L1394*0.08</f>
        <v/>
      </c>
      <c r="O1394" s="17">
        <f>-(K1394*0.025+L1394*0.025)</f>
        <v/>
      </c>
      <c r="P1394" s="17">
        <f>32</f>
        <v/>
      </c>
      <c r="Q1394" s="17">
        <f>J1394+L1394+N1394+O1394-P1394-M1394</f>
        <v/>
      </c>
    </row>
    <row r="1395">
      <c r="A1395" s="16" t="inlineStr">
        <is>
          <t>5.15-5.21</t>
        </is>
      </c>
      <c r="B1395" s="16" t="inlineStr">
        <is>
          <t>PO-128-07035677394553665</t>
        </is>
      </c>
      <c r="C1395" s="16" t="inlineStr">
        <is>
          <t>Shipped</t>
        </is>
      </c>
      <c r="D1395" s="16" t="inlineStr">
        <is>
          <t>128-07035690501753665</t>
        </is>
      </c>
      <c r="E1395" s="16" t="inlineStr">
        <is>
          <t>Shipped</t>
        </is>
      </c>
      <c r="F1395" s="16" t="inlineStr">
        <is>
          <t>MCM-001N</t>
        </is>
      </c>
      <c r="G1395" s="16" t="inlineStr">
        <is>
          <t>Musicord Altavoz Inalámbrico BT Portátil: ¡Sonido impactante, luces LED multicolores y 4 horas de autonomía! Compatible con TWS, FM, TF y USB – Imprescindible para fiestas y viajes</t>
        </is>
      </c>
      <c r="H1395" s="16" t="inlineStr">
        <is>
          <t>NEGRO</t>
        </is>
      </c>
      <c r="I1395" s="16" t="n">
        <v>1</v>
      </c>
      <c r="J1395" s="17" t="n">
        <v>61</v>
      </c>
      <c r="K1395" s="17" t="n">
        <v>68.79000000000001</v>
      </c>
      <c r="L1395" s="17" t="n">
        <v>25.86</v>
      </c>
      <c r="M1395" s="17" t="n">
        <v>0</v>
      </c>
      <c r="N1395" s="17">
        <f>K1395*0.08+L1395*0.08</f>
        <v/>
      </c>
      <c r="O1395" s="17">
        <f>-(K1395*0.025+L1395*0.025)</f>
        <v/>
      </c>
      <c r="P1395" s="17">
        <f>32</f>
        <v/>
      </c>
      <c r="Q1395" s="17">
        <f>J1395+L1395+N1395+O1395-P1395-M1395</f>
        <v/>
      </c>
    </row>
    <row r="1396">
      <c r="A1396" s="16" t="inlineStr">
        <is>
          <t>5.15-5.21</t>
        </is>
      </c>
      <c r="B1396" s="16" t="inlineStr">
        <is>
          <t>PO-128-07426984986230370</t>
        </is>
      </c>
      <c r="C1396" s="16" t="inlineStr">
        <is>
          <t>Shipped</t>
        </is>
      </c>
      <c r="D1396" s="16" t="inlineStr">
        <is>
          <t>128-07426977121910370</t>
        </is>
      </c>
      <c r="E1396" s="16" t="inlineStr">
        <is>
          <t>Shipped</t>
        </is>
      </c>
      <c r="F1396" s="16" t="inlineStr">
        <is>
          <t>FA028</t>
        </is>
      </c>
      <c r="G1396" s="16" t="inlineStr">
        <is>
          <t>Extractor de agua para garrafas de agua, compatible con carga USB, extractor de agua automático, práctico, con dos modos de toma de agua: manual y programado, ideal para dormitorios, salones, oficinas, uso al aire libre y otros escenarios.</t>
        </is>
      </c>
      <c r="H1396" s="16" t="inlineStr">
        <is>
          <t>FA028</t>
        </is>
      </c>
      <c r="I1396" s="16" t="n">
        <v>1</v>
      </c>
      <c r="J1396" s="17" t="n">
        <v>27</v>
      </c>
      <c r="K1396" s="17" t="n">
        <v>36.58</v>
      </c>
      <c r="L1396" s="17" t="n">
        <v>25.86</v>
      </c>
      <c r="M1396" s="17" t="n">
        <v>0</v>
      </c>
      <c r="N1396" s="17">
        <f>K1396*0.08+L1396*0.08</f>
        <v/>
      </c>
      <c r="O1396" s="17">
        <f>-(K1396*0.025+L1396*0.025)</f>
        <v/>
      </c>
      <c r="P1396" s="17">
        <f>32</f>
        <v/>
      </c>
      <c r="Q1396" s="17">
        <f>J1396+L1396+N1396+O1396-P1396-M1396</f>
        <v/>
      </c>
    </row>
    <row r="1397">
      <c r="A1397" s="16" t="inlineStr">
        <is>
          <t>5.15-5.21</t>
        </is>
      </c>
      <c r="B1397" s="16" t="inlineStr">
        <is>
          <t>PO-128-07021505987193813</t>
        </is>
      </c>
      <c r="C1397" s="16" t="inlineStr">
        <is>
          <t>Shipped</t>
        </is>
      </c>
      <c r="D1397" s="16" t="inlineStr">
        <is>
          <t>128-07021511230073813</t>
        </is>
      </c>
      <c r="E1397" s="16" t="inlineStr">
        <is>
          <t>Shipped</t>
        </is>
      </c>
      <c r="F1397" s="16" t="inlineStr">
        <is>
          <t>KTS-1678Y</t>
        </is>
      </c>
      <c r="G1397" s="16" t="inlineStr">
        <is>
          <t>Bocina portátil Inalámbrico, de 3 pulgadas, tamaño de bolsillo, 170 g, con asa, compatible con TF, USB y Micro SD, con radio FM y función TWS (True Wireless Stereo), adecuada para relajarse en casa o viajar al aire libre.</t>
        </is>
      </c>
      <c r="H1397" s="16" t="inlineStr">
        <is>
          <t>KTS-1678Y</t>
        </is>
      </c>
      <c r="I1397" s="16" t="n">
        <v>2</v>
      </c>
      <c r="J1397" s="17" t="n">
        <v>80</v>
      </c>
      <c r="K1397" s="17" t="n">
        <v>92.44</v>
      </c>
      <c r="L1397" s="17" t="n">
        <v>25.86</v>
      </c>
      <c r="M1397" s="17" t="n">
        <v>0</v>
      </c>
      <c r="N1397" s="17">
        <f>K1397*0.08+L1397*0.08</f>
        <v/>
      </c>
      <c r="O1397" s="17">
        <f>-(K1397*0.025+L1397*0.025)</f>
        <v/>
      </c>
      <c r="P1397" s="17">
        <f>32</f>
        <v/>
      </c>
      <c r="Q1397" s="17">
        <f>J1397+L1397+N1397+O1397-P1397-M1397</f>
        <v/>
      </c>
    </row>
    <row r="1398">
      <c r="A1398" s="16" t="inlineStr">
        <is>
          <t>5.15-5.21</t>
        </is>
      </c>
      <c r="B1398" s="16" t="inlineStr">
        <is>
          <t>PO-128-07320863591032029</t>
        </is>
      </c>
      <c r="C1398" s="16" t="inlineStr">
        <is>
          <t>Shipped</t>
        </is>
      </c>
      <c r="D1398" s="16" t="inlineStr">
        <is>
          <t>128-07320884562552029</t>
        </is>
      </c>
      <c r="E1398" s="16" t="inlineStr">
        <is>
          <t>Shipped</t>
        </is>
      </c>
      <c r="F1398" s="16" t="inlineStr">
        <is>
          <t>LB02235-blanco</t>
        </is>
      </c>
      <c r="G1398" s="16" t="inlineStr">
        <is>
          <t>Audífonos Inalámbricos para la Cabeza, Recargables y Multifuncionales - Conectan a Varios Dispositivos, soportan Radio FM, Tarjeta TF y AUX - 4 Horas de Reproducción Musical - Ideal para Trabajo Cotidiano, Juegos y Estudio</t>
        </is>
      </c>
      <c r="H1398" s="16" t="inlineStr">
        <is>
          <t>BLANCO</t>
        </is>
      </c>
      <c r="I1398" s="16" t="n">
        <v>1</v>
      </c>
      <c r="J1398" s="17" t="n">
        <v>36.5</v>
      </c>
      <c r="K1398" s="17" t="n">
        <v>6.51</v>
      </c>
      <c r="L1398" s="17" t="n">
        <v>25.86</v>
      </c>
      <c r="M1398" s="17" t="n">
        <v>0</v>
      </c>
      <c r="N1398" s="17">
        <f>K1398*0.08+L1398*0.08</f>
        <v/>
      </c>
      <c r="O1398" s="17">
        <f>-(K1398*0.025+L1398*0.025)</f>
        <v/>
      </c>
      <c r="P1398" s="17">
        <f>32</f>
        <v/>
      </c>
      <c r="Q1398" s="17">
        <f>J1398+L1398+N1398+O1398-P1398-M1398</f>
        <v/>
      </c>
    </row>
    <row r="1399">
      <c r="A1399" s="16" t="inlineStr">
        <is>
          <t>5.15-5.21</t>
        </is>
      </c>
      <c r="B1399" s="16" t="inlineStr">
        <is>
          <t>PO-128-07277322102391262</t>
        </is>
      </c>
      <c r="C1399" s="16" t="inlineStr">
        <is>
          <t>Shipped</t>
        </is>
      </c>
      <c r="D1399" s="16" t="inlineStr">
        <is>
          <t>128-07277426959991262</t>
        </is>
      </c>
      <c r="E1399" s="16" t="inlineStr">
        <is>
          <t>Shipped</t>
        </is>
      </c>
      <c r="F1399" s="16" t="inlineStr">
        <is>
          <t>LV25W22</t>
        </is>
      </c>
      <c r="G13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399" s="16" t="inlineStr">
        <is>
          <t>LV25W32</t>
        </is>
      </c>
      <c r="I1399" s="16" t="n">
        <v>1</v>
      </c>
      <c r="J1399" s="17" t="n">
        <v>90.43000000000001</v>
      </c>
      <c r="K1399" s="17" t="n">
        <v>100.84</v>
      </c>
      <c r="L1399" s="17" t="n">
        <v>25.86</v>
      </c>
      <c r="M1399" s="17" t="n">
        <v>0</v>
      </c>
      <c r="N1399" s="17">
        <f>K1399*0.08+L1399*0.08</f>
        <v/>
      </c>
      <c r="O1399" s="17">
        <f>-(K1399*0.025+L1399*0.025)</f>
        <v/>
      </c>
      <c r="P1399" s="17">
        <f>32</f>
        <v/>
      </c>
      <c r="Q1399" s="17">
        <f>J1399+L1399+N1399+O1399-P1399-M1399</f>
        <v/>
      </c>
    </row>
    <row r="1400">
      <c r="A1400" s="16" t="inlineStr">
        <is>
          <t>5.15-5.21</t>
        </is>
      </c>
      <c r="B1400" s="16" t="inlineStr">
        <is>
          <t>PO-128-07322484163192019</t>
        </is>
      </c>
      <c r="C1400" s="16" t="inlineStr">
        <is>
          <t>Shipped</t>
        </is>
      </c>
      <c r="D1400" s="16" t="inlineStr">
        <is>
          <t>128-07322436977272019</t>
        </is>
      </c>
      <c r="E1400" s="16" t="inlineStr">
        <is>
          <t>Shipped</t>
        </is>
      </c>
      <c r="F1400" s="16" t="inlineStr">
        <is>
          <t>MB-178-N</t>
        </is>
      </c>
      <c r="G1400" s="16" t="inlineStr">
        <is>
          <t>Bocina de Barra Bluetooth LINK BITS con dos altavoces, sonido de alta calidad y multifuncional (Bluetooth, Radio FM, USB, TF, AUX, TWS), ideal para juegos, reuniones, oficina y cine en casa.</t>
        </is>
      </c>
      <c r="H1400" s="16" t="inlineStr">
        <is>
          <t>NEGRO</t>
        </is>
      </c>
      <c r="I1400" s="16" t="n">
        <v>1</v>
      </c>
      <c r="J1400" s="17" t="n">
        <v>120</v>
      </c>
      <c r="K1400" s="17" t="n">
        <v>139.34</v>
      </c>
      <c r="L1400" s="17" t="n">
        <v>25.86</v>
      </c>
      <c r="M1400" s="17" t="n">
        <v>0</v>
      </c>
      <c r="N1400" s="17">
        <f>K1400*0.08+L1400*0.08</f>
        <v/>
      </c>
      <c r="O1400" s="17">
        <f>-(K1400*0.025+L1400*0.025)</f>
        <v/>
      </c>
      <c r="P1400" s="17">
        <f>32</f>
        <v/>
      </c>
      <c r="Q1400" s="17">
        <f>J1400+L1400+N1400+O1400-P1400-M1400</f>
        <v/>
      </c>
    </row>
    <row r="1401">
      <c r="A1401" s="16" t="inlineStr">
        <is>
          <t>5.15-5.21</t>
        </is>
      </c>
      <c r="B1401" s="16" t="inlineStr">
        <is>
          <t>PO-128-07394601708150437</t>
        </is>
      </c>
      <c r="C1401" s="16" t="inlineStr">
        <is>
          <t>Shipped</t>
        </is>
      </c>
      <c r="D1401" s="16" t="inlineStr">
        <is>
          <t>128-07394643651190437</t>
        </is>
      </c>
      <c r="E1401" s="16" t="inlineStr">
        <is>
          <t>Shipped</t>
        </is>
      </c>
      <c r="F1401" s="16" t="inlineStr">
        <is>
          <t>MB-178-N</t>
        </is>
      </c>
      <c r="G1401" s="16" t="inlineStr">
        <is>
          <t>Bocina de Barra Bluetooth LINK BITS con dos altavoces, sonido de alta calidad y multifuncional (Bluetooth, Radio FM, USB, TF, AUX, TWS), ideal para juegos, reuniones, oficina y cine en casa.</t>
        </is>
      </c>
      <c r="H1401" s="16" t="inlineStr">
        <is>
          <t>NEGRO</t>
        </is>
      </c>
      <c r="I1401" s="16" t="n">
        <v>1</v>
      </c>
      <c r="J1401" s="17" t="n">
        <v>120</v>
      </c>
      <c r="K1401" s="17" t="n">
        <v>139.34</v>
      </c>
      <c r="L1401" s="17" t="n">
        <v>25.86</v>
      </c>
      <c r="M1401" s="17" t="n">
        <v>0</v>
      </c>
      <c r="N1401" s="17">
        <f>K1401*0.08+L1401*0.08</f>
        <v/>
      </c>
      <c r="O1401" s="17">
        <f>-(K1401*0.025+L1401*0.025)</f>
        <v/>
      </c>
      <c r="P1401" s="17">
        <f>32</f>
        <v/>
      </c>
      <c r="Q1401" s="17">
        <f>J1401+L1401+N1401+O1401-P1401-M1401</f>
        <v/>
      </c>
    </row>
    <row r="1402">
      <c r="A1402" s="16" t="inlineStr">
        <is>
          <t>5.15-5.21</t>
        </is>
      </c>
      <c r="B1402" s="16" t="inlineStr">
        <is>
          <t>PO-128-07375801738871573</t>
        </is>
      </c>
      <c r="C1402" s="16" t="inlineStr">
        <is>
          <t>Shipped</t>
        </is>
      </c>
      <c r="D1402" s="16" t="inlineStr">
        <is>
          <t>128-07375791253111573</t>
        </is>
      </c>
      <c r="E1402" s="16" t="inlineStr">
        <is>
          <t>Shipped</t>
        </is>
      </c>
      <c r="F1402" s="16" t="inlineStr">
        <is>
          <t>VB347T</t>
        </is>
      </c>
      <c r="G140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02" s="16" t="inlineStr">
        <is>
          <t>1 pieza</t>
        </is>
      </c>
      <c r="I1402" s="16" t="n">
        <v>1</v>
      </c>
      <c r="J1402" s="17" t="n">
        <v>77.90000000000001</v>
      </c>
      <c r="K1402" s="17" t="n">
        <v>73.98999999999999</v>
      </c>
      <c r="L1402" s="17" t="n">
        <v>25.86</v>
      </c>
      <c r="M1402" s="17" t="n">
        <v>0</v>
      </c>
      <c r="N1402" s="17">
        <f>K1402*0.08+L1402*0.08</f>
        <v/>
      </c>
      <c r="O1402" s="17">
        <f>-(K1402*0.025+L1402*0.025)</f>
        <v/>
      </c>
      <c r="P1402" s="17">
        <f>32</f>
        <v/>
      </c>
      <c r="Q1402" s="17">
        <f>J1402+L1402+N1402+O1402-P1402-M1402</f>
        <v/>
      </c>
    </row>
    <row r="1403">
      <c r="A1403" s="16" t="inlineStr">
        <is>
          <t>5.15-5.21</t>
        </is>
      </c>
      <c r="B1403" s="16" t="inlineStr">
        <is>
          <t>PO-128-07501281797750825</t>
        </is>
      </c>
      <c r="C1403" s="16" t="inlineStr">
        <is>
          <t>Shipped</t>
        </is>
      </c>
      <c r="D1403" s="16" t="inlineStr">
        <is>
          <t>128-07501334226550825</t>
        </is>
      </c>
      <c r="E1403" s="16" t="inlineStr">
        <is>
          <t>Shipped</t>
        </is>
      </c>
      <c r="F1403" s="16" t="inlineStr">
        <is>
          <t>LV25W22</t>
        </is>
      </c>
      <c r="G14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03" s="16" t="inlineStr">
        <is>
          <t>LV25W32</t>
        </is>
      </c>
      <c r="I1403" s="16" t="n">
        <v>1</v>
      </c>
      <c r="J1403" s="17" t="n">
        <v>90.43000000000001</v>
      </c>
      <c r="K1403" s="17" t="n">
        <v>100.84</v>
      </c>
      <c r="L1403" s="17" t="n">
        <v>25.86</v>
      </c>
      <c r="M1403" s="17" t="n">
        <v>0</v>
      </c>
      <c r="N1403" s="17">
        <f>K1403*0.08+L1403*0.08</f>
        <v/>
      </c>
      <c r="O1403" s="17">
        <f>-(K1403*0.025+L1403*0.025)</f>
        <v/>
      </c>
      <c r="P1403" s="17">
        <f>32</f>
        <v/>
      </c>
      <c r="Q1403" s="17">
        <f>J1403+L1403+N1403+O1403-P1403-M1403</f>
        <v/>
      </c>
    </row>
    <row r="1404">
      <c r="A1404" s="16" t="inlineStr">
        <is>
          <t>5.15-5.21</t>
        </is>
      </c>
      <c r="B1404" s="16" t="inlineStr">
        <is>
          <t>PO-128-07162960492152904</t>
        </is>
      </c>
      <c r="C1404" s="16" t="inlineStr">
        <is>
          <t>Shipped</t>
        </is>
      </c>
      <c r="D1404" s="16" t="inlineStr">
        <is>
          <t>128-07163012920952904</t>
        </is>
      </c>
      <c r="E1404" s="16" t="inlineStr">
        <is>
          <t>Shipped</t>
        </is>
      </c>
      <c r="F1404" s="16" t="inlineStr">
        <is>
          <t>LV25W22</t>
        </is>
      </c>
      <c r="G14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04" s="16" t="inlineStr">
        <is>
          <t>LV25W32</t>
        </is>
      </c>
      <c r="I1404" s="16" t="n">
        <v>3</v>
      </c>
      <c r="J1404" s="17" t="n">
        <v>271.29</v>
      </c>
      <c r="K1404" s="17" t="n">
        <v>302.52</v>
      </c>
      <c r="L1404" s="17" t="n">
        <v>0</v>
      </c>
      <c r="M1404" s="17" t="n">
        <v>0</v>
      </c>
      <c r="N1404" s="17">
        <f>K1404*0.08+L1404*0.08</f>
        <v/>
      </c>
      <c r="O1404" s="17">
        <f>-(K1404*0.025+L1404*0.025)</f>
        <v/>
      </c>
      <c r="P1404" s="17">
        <f>32</f>
        <v/>
      </c>
      <c r="Q1404" s="17">
        <f>J1404+L1404+N1404+O1404-P1404-M1404</f>
        <v/>
      </c>
    </row>
    <row r="1405">
      <c r="A1405" s="16" t="inlineStr">
        <is>
          <t>5.15-5.21</t>
        </is>
      </c>
      <c r="B1405" s="16" t="inlineStr">
        <is>
          <t>PO-128-07476617779830906</t>
        </is>
      </c>
      <c r="C1405" s="16" t="inlineStr">
        <is>
          <t>Shipped</t>
        </is>
      </c>
      <c r="D1405" s="16" t="inlineStr">
        <is>
          <t>128-07476607294070906</t>
        </is>
      </c>
      <c r="E1405" s="16" t="inlineStr">
        <is>
          <t>Shipped</t>
        </is>
      </c>
      <c r="F1405" s="16" t="inlineStr">
        <is>
          <t>LV25W22</t>
        </is>
      </c>
      <c r="G14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05" s="16" t="inlineStr">
        <is>
          <t>LV25W32</t>
        </is>
      </c>
      <c r="I1405" s="16" t="n">
        <v>1</v>
      </c>
      <c r="J1405" s="17" t="n">
        <v>90.43000000000001</v>
      </c>
      <c r="K1405" s="17" t="n">
        <v>81.04000000000001</v>
      </c>
      <c r="L1405" s="17" t="n">
        <v>25.86</v>
      </c>
      <c r="M1405" s="17" t="n">
        <v>0</v>
      </c>
      <c r="N1405" s="17">
        <f>K1405*0.08+L1405*0.08</f>
        <v/>
      </c>
      <c r="O1405" s="17">
        <f>-(K1405*0.025+L1405*0.025)</f>
        <v/>
      </c>
      <c r="P1405" s="17">
        <f>32</f>
        <v/>
      </c>
      <c r="Q1405" s="17">
        <f>J1405+L1405+N1405+O1405-P1405-M1405</f>
        <v/>
      </c>
    </row>
    <row r="1406">
      <c r="A1406" s="16" t="inlineStr">
        <is>
          <t>5.15-5.21</t>
        </is>
      </c>
      <c r="B1406" s="16" t="inlineStr">
        <is>
          <t>PO-128-07057238241912510</t>
        </is>
      </c>
      <c r="C1406" s="16" t="inlineStr">
        <is>
          <t>Shipped</t>
        </is>
      </c>
      <c r="D1406" s="16" t="inlineStr">
        <is>
          <t>128-07057180570232510</t>
        </is>
      </c>
      <c r="E1406" s="16" t="inlineStr">
        <is>
          <t>Shipped</t>
        </is>
      </c>
      <c r="F1406" s="16" t="inlineStr">
        <is>
          <t>LV34W04</t>
        </is>
      </c>
      <c r="G140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406" s="16" t="inlineStr">
        <is>
          <t>LV34W04</t>
        </is>
      </c>
      <c r="I1406" s="16" t="n">
        <v>1</v>
      </c>
      <c r="J1406" s="17" t="n">
        <v>220</v>
      </c>
      <c r="K1406" s="17" t="n">
        <v>267.09</v>
      </c>
      <c r="L1406" s="17" t="n">
        <v>0</v>
      </c>
      <c r="M1406" s="17" t="n">
        <v>0</v>
      </c>
      <c r="N1406" s="17">
        <f>K1406*0.08+L1406*0.08</f>
        <v/>
      </c>
      <c r="O1406" s="17">
        <f>-(K1406*0.025+L1406*0.025)</f>
        <v/>
      </c>
      <c r="P1406" s="17">
        <f>32</f>
        <v/>
      </c>
      <c r="Q1406" s="17">
        <f>J1406+L1406+N1406+O1406-P1406-M1406</f>
        <v/>
      </c>
    </row>
    <row r="1407">
      <c r="A1407" s="16" t="inlineStr">
        <is>
          <t>5.15-5.21</t>
        </is>
      </c>
      <c r="B1407" s="16" t="inlineStr">
        <is>
          <t>PO-128-07176790938232695</t>
        </is>
      </c>
      <c r="C1407" s="16" t="inlineStr">
        <is>
          <t>Shipped</t>
        </is>
      </c>
      <c r="D1407" s="16" t="inlineStr">
        <is>
          <t>128-07176872858232695</t>
        </is>
      </c>
      <c r="E1407" s="16" t="inlineStr">
        <is>
          <t>Shipped</t>
        </is>
      </c>
      <c r="F1407" s="16" t="inlineStr">
        <is>
          <t>VA384T-N</t>
        </is>
      </c>
      <c r="G1407" s="16" t="inlineStr">
        <is>
          <t>Bocina Portátil Bluetooth de 3 Pulgadas con Radio FM, USB TF TWS, Sonido Estéreo 5W, Bocina Recargable para Hogar Exterior Viaje Fiesta Camping</t>
        </is>
      </c>
      <c r="H1407" s="16" t="inlineStr">
        <is>
          <t>NEGRO</t>
        </is>
      </c>
      <c r="I1407" s="16" t="n">
        <v>1</v>
      </c>
      <c r="J1407" s="17" t="n">
        <v>46</v>
      </c>
      <c r="K1407" s="17" t="n">
        <v>56.72</v>
      </c>
      <c r="L1407" s="17" t="n">
        <v>13.97</v>
      </c>
      <c r="M1407" s="17" t="n">
        <v>0</v>
      </c>
      <c r="N1407" s="17">
        <f>K1407*0.08+L1407*0.08</f>
        <v/>
      </c>
      <c r="O1407" s="17">
        <f>-(K1407*0.025+L1407*0.025)</f>
        <v/>
      </c>
      <c r="P1407" s="17">
        <f>32</f>
        <v/>
      </c>
      <c r="Q1407" s="17">
        <f>J1407+L1407+N1407+O1407-P1407-M1407</f>
        <v/>
      </c>
    </row>
    <row r="1408">
      <c r="A1408" s="16" t="inlineStr">
        <is>
          <t>5.15-5.21</t>
        </is>
      </c>
      <c r="B1408" s="16" t="inlineStr">
        <is>
          <t>PO-128-07176790938232695</t>
        </is>
      </c>
      <c r="C1408" s="16" t="inlineStr">
        <is>
          <t>Shipped</t>
        </is>
      </c>
      <c r="D1408" s="16" t="inlineStr">
        <is>
          <t>128-07176851886712695</t>
        </is>
      </c>
      <c r="E1408" s="16" t="inlineStr">
        <is>
          <t>Shipped</t>
        </is>
      </c>
      <c r="F1408" s="16" t="inlineStr">
        <is>
          <t>KTS-1678V</t>
        </is>
      </c>
      <c r="G1408" s="16" t="inlineStr">
        <is>
          <t>Bocina portátil Inalámbrico, de 3 pulgadas, tamaño de bolsillo, 170 g, con asa, compatible con TF, USB y Micro SD, con radio FM y función TWS (True Wireless Stereo), adecuada para relajarse en casa o viajar al aire libre.</t>
        </is>
      </c>
      <c r="H1408" s="16" t="inlineStr">
        <is>
          <t>KTS-1678V</t>
        </is>
      </c>
      <c r="I1408" s="16" t="n">
        <v>1</v>
      </c>
      <c r="J1408" s="17" t="n">
        <v>40</v>
      </c>
      <c r="K1408" s="17" t="n">
        <v>48.28</v>
      </c>
      <c r="L1408" s="17" t="n">
        <v>11.89</v>
      </c>
      <c r="M1408" s="17" t="n">
        <v>0</v>
      </c>
      <c r="N1408" s="17">
        <f>K1408*0.08+L1408*0.08</f>
        <v/>
      </c>
      <c r="O1408" s="17">
        <f>-(K1408*0.025+L1408*0.025)</f>
        <v/>
      </c>
      <c r="P1408" s="17">
        <f>32</f>
        <v/>
      </c>
      <c r="Q1408" s="17">
        <f>J1408+L1408+N1408+O1408-P1408-M1408</f>
        <v/>
      </c>
    </row>
    <row r="1409">
      <c r="A1409" s="16" t="inlineStr">
        <is>
          <t>5.15-5.21</t>
        </is>
      </c>
      <c r="B1409" s="16" t="inlineStr">
        <is>
          <t>PO-128-07495305406070797</t>
        </is>
      </c>
      <c r="C1409" s="16" t="inlineStr">
        <is>
          <t>Shipped</t>
        </is>
      </c>
      <c r="D1409" s="16" t="inlineStr">
        <is>
          <t>128-07495388800630797</t>
        </is>
      </c>
      <c r="E1409" s="16" t="inlineStr">
        <is>
          <t>Shipped</t>
        </is>
      </c>
      <c r="F1409" s="16" t="inlineStr">
        <is>
          <t>LV25W22</t>
        </is>
      </c>
      <c r="G140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09" s="16" t="inlineStr">
        <is>
          <t>LV25W32</t>
        </is>
      </c>
      <c r="I1409" s="16" t="n">
        <v>1</v>
      </c>
      <c r="J1409" s="17" t="n">
        <v>90.43000000000001</v>
      </c>
      <c r="K1409" s="17" t="n">
        <v>100.84</v>
      </c>
      <c r="L1409" s="17" t="n">
        <v>25.86</v>
      </c>
      <c r="M1409" s="17" t="n">
        <v>0</v>
      </c>
      <c r="N1409" s="17">
        <f>K1409*0.08+L1409*0.08</f>
        <v/>
      </c>
      <c r="O1409" s="17">
        <f>-(K1409*0.025+L1409*0.025)</f>
        <v/>
      </c>
      <c r="P1409" s="17">
        <f>32</f>
        <v/>
      </c>
      <c r="Q1409" s="17">
        <f>J1409+L1409+N1409+O1409-P1409-M1409</f>
        <v/>
      </c>
    </row>
    <row r="1410">
      <c r="A1410" s="16" t="inlineStr">
        <is>
          <t>5.15-5.21</t>
        </is>
      </c>
      <c r="B1410" s="16" t="inlineStr">
        <is>
          <t>PO-128-07346288917111685</t>
        </is>
      </c>
      <c r="C1410" s="16" t="inlineStr">
        <is>
          <t>Shipped</t>
        </is>
      </c>
      <c r="D1410" s="16" t="inlineStr">
        <is>
          <t>128-07346336103031685</t>
        </is>
      </c>
      <c r="E1410" s="16" t="inlineStr">
        <is>
          <t>Shipped</t>
        </is>
      </c>
      <c r="F1410" s="16" t="inlineStr">
        <is>
          <t>KTS-1678V</t>
        </is>
      </c>
      <c r="G1410" s="16" t="inlineStr">
        <is>
          <t>Bocina portátil Inalámbrico, de 3 pulgadas, tamaño de bolsillo, 170 g, con asa, compatible con TF, USB y Micro SD, con radio FM y función TWS (True Wireless Stereo), adecuada para relajarse en casa o viajar al aire libre.</t>
        </is>
      </c>
      <c r="H1410" s="16" t="inlineStr">
        <is>
          <t>KTS-1678V</t>
        </is>
      </c>
      <c r="I1410" s="16" t="n">
        <v>2</v>
      </c>
      <c r="J1410" s="17" t="n">
        <v>80</v>
      </c>
      <c r="K1410" s="17" t="n">
        <v>96.56</v>
      </c>
      <c r="L1410" s="17" t="n">
        <v>25.86</v>
      </c>
      <c r="M1410" s="17" t="n">
        <v>0</v>
      </c>
      <c r="N1410" s="17">
        <f>K1410*0.08+L1410*0.08</f>
        <v/>
      </c>
      <c r="O1410" s="17">
        <f>-(K1410*0.025+L1410*0.025)</f>
        <v/>
      </c>
      <c r="P1410" s="17">
        <f>32</f>
        <v/>
      </c>
      <c r="Q1410" s="17">
        <f>J1410+L1410+N1410+O1410-P1410-M1410</f>
        <v/>
      </c>
    </row>
    <row r="1411">
      <c r="A1411" s="16" t="inlineStr">
        <is>
          <t>5.15-5.21</t>
        </is>
      </c>
      <c r="B1411" s="16" t="inlineStr">
        <is>
          <t>PO-128-07134862116472945</t>
        </is>
      </c>
      <c r="C1411" s="16" t="inlineStr">
        <is>
          <t>Shipped</t>
        </is>
      </c>
      <c r="D1411" s="16" t="inlineStr">
        <is>
          <t>128-07134872602232945</t>
        </is>
      </c>
      <c r="E1411" s="16" t="inlineStr">
        <is>
          <t>Shipped</t>
        </is>
      </c>
      <c r="F1411" s="16" t="inlineStr">
        <is>
          <t>LB02235-negro</t>
        </is>
      </c>
      <c r="G1411" s="16" t="inlineStr">
        <is>
          <t>Audífonos Inalámbricos para la Cabeza, Recargables y Multifuncionales - Conectan a Varios Dispositivos, soportan Radio FM, Tarjeta TF y AUX - 4 Horas de Reproducción Musical - Ideal para Trabajo Cotidiano, Juegos y Estudio</t>
        </is>
      </c>
      <c r="H1411" s="16" t="inlineStr">
        <is>
          <t>NEGRO</t>
        </is>
      </c>
      <c r="I1411" s="16" t="n">
        <v>1</v>
      </c>
      <c r="J1411" s="17" t="n">
        <v>36.5</v>
      </c>
      <c r="K1411" s="17" t="n">
        <v>49.61</v>
      </c>
      <c r="L1411" s="17" t="n">
        <v>25.86</v>
      </c>
      <c r="M1411" s="17" t="n">
        <v>0</v>
      </c>
      <c r="N1411" s="17">
        <f>K1411*0.08+L1411*0.08</f>
        <v/>
      </c>
      <c r="O1411" s="17">
        <f>-(K1411*0.025+L1411*0.025)</f>
        <v/>
      </c>
      <c r="P1411" s="17">
        <f>32</f>
        <v/>
      </c>
      <c r="Q1411" s="17">
        <f>J1411+L1411+N1411+O1411-P1411-M1411</f>
        <v/>
      </c>
    </row>
    <row r="1412">
      <c r="A1412" s="16" t="inlineStr">
        <is>
          <t>5.15-5.21</t>
        </is>
      </c>
      <c r="B1412" s="16" t="inlineStr">
        <is>
          <t>PO-128-07354235151991700</t>
        </is>
      </c>
      <c r="C1412" s="16" t="inlineStr">
        <is>
          <t>Shipped</t>
        </is>
      </c>
      <c r="D1412" s="16" t="inlineStr">
        <is>
          <t>128-07354256123511700</t>
        </is>
      </c>
      <c r="E1412" s="16" t="inlineStr">
        <is>
          <t>Shipped</t>
        </is>
      </c>
      <c r="F1412" s="16" t="inlineStr">
        <is>
          <t>VB347T</t>
        </is>
      </c>
      <c r="G141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12" s="16" t="inlineStr">
        <is>
          <t>1 pieza</t>
        </is>
      </c>
      <c r="I1412" s="16" t="n">
        <v>1</v>
      </c>
      <c r="J1412" s="17" t="n">
        <v>77.90000000000001</v>
      </c>
      <c r="K1412" s="17" t="n">
        <v>92.5</v>
      </c>
      <c r="L1412" s="17" t="n">
        <v>25.86</v>
      </c>
      <c r="M1412" s="17" t="n">
        <v>0</v>
      </c>
      <c r="N1412" s="17">
        <f>K1412*0.08+L1412*0.08</f>
        <v/>
      </c>
      <c r="O1412" s="17">
        <f>-(K1412*0.025+L1412*0.025)</f>
        <v/>
      </c>
      <c r="P1412" s="17">
        <f>32</f>
        <v/>
      </c>
      <c r="Q1412" s="17">
        <f>J1412+L1412+N1412+O1412-P1412-M1412</f>
        <v/>
      </c>
    </row>
    <row r="1413">
      <c r="A1413" s="16" t="inlineStr">
        <is>
          <t>5.15-5.21</t>
        </is>
      </c>
      <c r="B1413" s="16" t="inlineStr">
        <is>
          <t>PO-128-07197082133112575</t>
        </is>
      </c>
      <c r="C1413" s="16" t="inlineStr">
        <is>
          <t>Shipped</t>
        </is>
      </c>
      <c r="D1413" s="16" t="inlineStr">
        <is>
          <t>128-07197061161592575</t>
        </is>
      </c>
      <c r="E1413" s="16" t="inlineStr">
        <is>
          <t>Shipped</t>
        </is>
      </c>
      <c r="F1413" s="16" t="inlineStr">
        <is>
          <t>SA323T</t>
        </is>
      </c>
      <c r="G1413" s="16" t="inlineStr">
        <is>
          <t>Linkbits Bocina Portátil Parlantes BT Portátiles con Iluminación de Ambiente | 1 Hora de Duración, FM, TWS, TF/Micro SD | Ideal para Hogar, Fiestas y Viajes</t>
        </is>
      </c>
      <c r="H1413" s="16" t="inlineStr">
        <is>
          <t>SA323T</t>
        </is>
      </c>
      <c r="I1413" s="16" t="n">
        <v>1</v>
      </c>
      <c r="J1413" s="17" t="n">
        <v>37.71</v>
      </c>
      <c r="K1413" s="17" t="n">
        <v>46.77</v>
      </c>
      <c r="L1413" s="17" t="n">
        <v>25.86</v>
      </c>
      <c r="M1413" s="17" t="n">
        <v>0</v>
      </c>
      <c r="N1413" s="17">
        <f>K1413*0.08+L1413*0.08</f>
        <v/>
      </c>
      <c r="O1413" s="17">
        <f>-(K1413*0.025+L1413*0.025)</f>
        <v/>
      </c>
      <c r="P1413" s="17">
        <f>32</f>
        <v/>
      </c>
      <c r="Q1413" s="17">
        <f>J1413+L1413+N1413+O1413-P1413-M1413</f>
        <v/>
      </c>
    </row>
    <row r="1414">
      <c r="A1414" s="16" t="inlineStr">
        <is>
          <t>5.15-5.21</t>
        </is>
      </c>
      <c r="B1414" s="16" t="inlineStr">
        <is>
          <t>PO-128-07239277952631299</t>
        </is>
      </c>
      <c r="C1414" s="16" t="inlineStr">
        <is>
          <t>Shipped</t>
        </is>
      </c>
      <c r="D1414" s="16" t="inlineStr">
        <is>
          <t>128-07239256981111299</t>
        </is>
      </c>
      <c r="E1414" s="16" t="inlineStr">
        <is>
          <t>Shipped</t>
        </is>
      </c>
      <c r="F1414" s="16" t="inlineStr">
        <is>
          <t>VB347T</t>
        </is>
      </c>
      <c r="G141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414" s="16" t="inlineStr">
        <is>
          <t>1 pieza</t>
        </is>
      </c>
      <c r="I1414" s="16" t="n">
        <v>1</v>
      </c>
      <c r="J1414" s="17" t="n">
        <v>77.90000000000001</v>
      </c>
      <c r="K1414" s="17" t="n">
        <v>92.5</v>
      </c>
      <c r="L1414" s="17" t="n">
        <v>25.86</v>
      </c>
      <c r="M1414" s="17" t="n">
        <v>0</v>
      </c>
      <c r="N1414" s="17">
        <f>K1414*0.08+L1414*0.08</f>
        <v/>
      </c>
      <c r="O1414" s="17">
        <f>-(K1414*0.025+L1414*0.025)</f>
        <v/>
      </c>
      <c r="P1414" s="17">
        <f>32</f>
        <v/>
      </c>
      <c r="Q1414" s="17">
        <f>J1414+L1414+N1414+O1414-P1414-M1414</f>
        <v/>
      </c>
    </row>
    <row r="1415">
      <c r="A1415" s="16" t="inlineStr">
        <is>
          <t>5.15-5.21</t>
        </is>
      </c>
      <c r="B1415" s="16" t="inlineStr">
        <is>
          <t>PO-128-06943524992633124</t>
        </is>
      </c>
      <c r="C1415" s="16" t="inlineStr">
        <is>
          <t>Shipped</t>
        </is>
      </c>
      <c r="D1415" s="16" t="inlineStr">
        <is>
          <t>128-06943545964153124</t>
        </is>
      </c>
      <c r="E1415" s="16" t="inlineStr">
        <is>
          <t>Shipped</t>
        </is>
      </c>
      <c r="F1415" s="16" t="inlineStr">
        <is>
          <t>MB-185N</t>
        </is>
      </c>
      <c r="G1415" s="16" t="inlineStr">
        <is>
          <t>Bocina Radio FM/Reproductor, Compatible con Tarjeta TF, USB, Bluetooth, Aplicable para celular, computadora, Ipad y consola.</t>
        </is>
      </c>
      <c r="H1415" s="16" t="inlineStr">
        <is>
          <t>NEGRO/MB-185</t>
        </is>
      </c>
      <c r="I1415" s="16" t="n">
        <v>2</v>
      </c>
      <c r="J1415" s="17" t="n">
        <v>142.62</v>
      </c>
      <c r="K1415" s="17" t="n">
        <v>168.48</v>
      </c>
      <c r="L1415" s="17" t="n">
        <v>25.86</v>
      </c>
      <c r="M1415" s="17" t="n">
        <v>0</v>
      </c>
      <c r="N1415" s="17">
        <f>K1415*0.08+L1415*0.08</f>
        <v/>
      </c>
      <c r="O1415" s="17">
        <f>-(K1415*0.025+L1415*0.025)</f>
        <v/>
      </c>
      <c r="P1415" s="17">
        <f>32</f>
        <v/>
      </c>
      <c r="Q1415" s="17">
        <f>J1415+L1415+N1415+O1415-P1415-M1415</f>
        <v/>
      </c>
    </row>
    <row r="1416">
      <c r="A1416" s="16" t="inlineStr">
        <is>
          <t>5.15-5.21</t>
        </is>
      </c>
      <c r="B1416" s="16" t="inlineStr">
        <is>
          <t>PO-128-07344747889271692</t>
        </is>
      </c>
      <c r="C1416" s="16" t="inlineStr">
        <is>
          <t>Shipped</t>
        </is>
      </c>
      <c r="D1416" s="16" t="inlineStr">
        <is>
          <t>128-07344800318071692</t>
        </is>
      </c>
      <c r="E1416" s="16" t="inlineStr">
        <is>
          <t>Shipped</t>
        </is>
      </c>
      <c r="F1416" s="16" t="inlineStr">
        <is>
          <t>LB02235-azul</t>
        </is>
      </c>
      <c r="G1416" s="16" t="inlineStr">
        <is>
          <t>Audífonos Inalámbricos para la Cabeza, Recargables y Multifuncionales - Conectan a Varios Dispositivos, soportan Radio FM, Tarjeta TF y AUX - 4 Horas de Reproducción Musical - Ideal para Trabajo Cotidiano, Juegos y Estudio</t>
        </is>
      </c>
      <c r="H1416" s="16" t="inlineStr">
        <is>
          <t>AZUL</t>
        </is>
      </c>
      <c r="I1416" s="16" t="n">
        <v>1</v>
      </c>
      <c r="J1416" s="17" t="n">
        <v>35</v>
      </c>
      <c r="K1416" s="17" t="n">
        <v>48.11</v>
      </c>
      <c r="L1416" s="17" t="n">
        <v>25.86</v>
      </c>
      <c r="M1416" s="17" t="n">
        <v>0</v>
      </c>
      <c r="N1416" s="17">
        <f>K1416*0.08+L1416*0.08</f>
        <v/>
      </c>
      <c r="O1416" s="17">
        <f>-(K1416*0.025+L1416*0.025)</f>
        <v/>
      </c>
      <c r="P1416" s="17">
        <f>32</f>
        <v/>
      </c>
      <c r="Q1416" s="17">
        <f>J1416+L1416+N1416+O1416-P1416-M1416</f>
        <v/>
      </c>
    </row>
    <row r="1417">
      <c r="A1417" s="16" t="inlineStr">
        <is>
          <t>5.15-5.21</t>
        </is>
      </c>
      <c r="B1417" s="16" t="inlineStr">
        <is>
          <t>PO-128-06999920374393940</t>
        </is>
      </c>
      <c r="C1417" s="16" t="inlineStr">
        <is>
          <t>Shipped</t>
        </is>
      </c>
      <c r="D1417" s="16" t="inlineStr">
        <is>
          <t>128-06999878431353940</t>
        </is>
      </c>
      <c r="E1417" s="16" t="inlineStr">
        <is>
          <t>Shipped</t>
        </is>
      </c>
      <c r="F1417" s="16" t="inlineStr">
        <is>
          <t>SA323T</t>
        </is>
      </c>
      <c r="G1417" s="16" t="inlineStr">
        <is>
          <t>Linkbits Bocina Portátil Parlantes BT Portátiles con Iluminación de Ambiente | 1 Hora de Duración, FM, TWS, TF/Micro SD | Ideal para Hogar, Fiestas y Viajes</t>
        </is>
      </c>
      <c r="H1417" s="16" t="inlineStr">
        <is>
          <t>SA323T</t>
        </is>
      </c>
      <c r="I1417" s="16" t="n">
        <v>1</v>
      </c>
      <c r="J1417" s="17" t="n">
        <v>37.71</v>
      </c>
      <c r="K1417" s="17" t="n">
        <v>3.67</v>
      </c>
      <c r="L1417" s="17" t="n">
        <v>25.86</v>
      </c>
      <c r="M1417" s="17" t="n">
        <v>0</v>
      </c>
      <c r="N1417" s="17">
        <f>K1417*0.08+L1417*0.08</f>
        <v/>
      </c>
      <c r="O1417" s="17">
        <f>-(K1417*0.025+L1417*0.025)</f>
        <v/>
      </c>
      <c r="P1417" s="17">
        <f>32</f>
        <v/>
      </c>
      <c r="Q1417" s="17">
        <f>J1417+L1417+N1417+O1417-P1417-M1417</f>
        <v/>
      </c>
    </row>
    <row r="1418">
      <c r="A1418" s="16" t="inlineStr">
        <is>
          <t>5.15-5.21</t>
        </is>
      </c>
      <c r="B1418" s="16" t="inlineStr">
        <is>
          <t>PO-128-06932880425593317</t>
        </is>
      </c>
      <c r="C1418" s="16" t="inlineStr">
        <is>
          <t>Shipped</t>
        </is>
      </c>
      <c r="D1418" s="16" t="inlineStr">
        <is>
          <t>128-06932985283193317</t>
        </is>
      </c>
      <c r="E1418" s="16" t="inlineStr">
        <is>
          <t>Shipped</t>
        </is>
      </c>
      <c r="F1418" s="16" t="inlineStr">
        <is>
          <t>KTS-1678Y</t>
        </is>
      </c>
      <c r="G1418" s="16" t="inlineStr">
        <is>
          <t>Bocina portátil Inalámbrico, de 3 pulgadas, tamaño de bolsillo, 170 g, con asa, compatible con TF, USB y Micro SD, con radio FM y función TWS (True Wireless Stereo), adecuada para relajarse en casa o viajar al aire libre.</t>
        </is>
      </c>
      <c r="H1418" s="16" t="inlineStr">
        <is>
          <t>KTS-1678Y</t>
        </is>
      </c>
      <c r="I1418" s="16" t="n">
        <v>1</v>
      </c>
      <c r="J1418" s="17" t="n">
        <v>40</v>
      </c>
      <c r="K1418" s="17" t="n">
        <v>3.12</v>
      </c>
      <c r="L1418" s="17" t="n">
        <v>25.86</v>
      </c>
      <c r="M1418" s="17" t="n">
        <v>0</v>
      </c>
      <c r="N1418" s="17">
        <f>K1418*0.08+L1418*0.08</f>
        <v/>
      </c>
      <c r="O1418" s="17">
        <f>-(K1418*0.025+L1418*0.025)</f>
        <v/>
      </c>
      <c r="P1418" s="17">
        <f>32</f>
        <v/>
      </c>
      <c r="Q1418" s="17">
        <f>J1418+L1418+N1418+O1418-P1418-M1418</f>
        <v/>
      </c>
    </row>
    <row r="1419">
      <c r="A1419" s="16" t="inlineStr">
        <is>
          <t>5.15-5.21</t>
        </is>
      </c>
      <c r="B1419" s="16" t="inlineStr">
        <is>
          <t>PO-128-07021051802233814</t>
        </is>
      </c>
      <c r="C1419" s="16" t="inlineStr">
        <is>
          <t>Shipped</t>
        </is>
      </c>
      <c r="D1419" s="16" t="inlineStr">
        <is>
          <t>128-07021072773753814</t>
        </is>
      </c>
      <c r="E1419" s="16" t="inlineStr">
        <is>
          <t>Shipped</t>
        </is>
      </c>
      <c r="F1419" s="16" t="inlineStr">
        <is>
          <t>SA8056T</t>
        </is>
      </c>
      <c r="G141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419" s="16" t="inlineStr">
        <is>
          <t>SA8056T</t>
        </is>
      </c>
      <c r="I1419" s="16" t="n">
        <v>6</v>
      </c>
      <c r="J1419" s="17" t="n">
        <v>750</v>
      </c>
      <c r="K1419" s="17" t="n">
        <v>610.61</v>
      </c>
      <c r="L1419" s="17" t="n">
        <v>0</v>
      </c>
      <c r="M1419" s="17" t="n">
        <v>0</v>
      </c>
      <c r="N1419" s="17">
        <f>K1419*0.08+L1419*0.08</f>
        <v/>
      </c>
      <c r="O1419" s="17">
        <f>-(K1419*0.025+L1419*0.025)</f>
        <v/>
      </c>
      <c r="P1419" s="17">
        <f>32</f>
        <v/>
      </c>
      <c r="Q1419" s="17">
        <f>J1419+L1419+N1419+O1419-P1419-M1419</f>
        <v/>
      </c>
    </row>
    <row r="1420">
      <c r="A1420" s="16" t="inlineStr">
        <is>
          <t>5.15-5.21</t>
        </is>
      </c>
      <c r="B1420" s="16" t="inlineStr">
        <is>
          <t>PO-128-07213816074872667</t>
        </is>
      </c>
      <c r="C1420" s="16" t="inlineStr">
        <is>
          <t>Shipped</t>
        </is>
      </c>
      <c r="D1420" s="16" t="inlineStr">
        <is>
          <t>128-07213837046392667</t>
        </is>
      </c>
      <c r="E1420" s="16" t="inlineStr">
        <is>
          <t>Shipped</t>
        </is>
      </c>
      <c r="F1420" s="16" t="inlineStr">
        <is>
          <t>LB02235-rojo</t>
        </is>
      </c>
      <c r="G1420" s="16" t="inlineStr">
        <is>
          <t>Audífonos Inalámbricos para la Cabeza, Recargables y Multifuncionales - Conectan a Varios Dispositivos, soportan Radio FM, Tarjeta TF y AUX - 4 Horas de Reproducción Musical - Ideal para Trabajo Cotidiano, Juegos y Estudio</t>
        </is>
      </c>
      <c r="H1420" s="16" t="inlineStr">
        <is>
          <t>ROJO</t>
        </is>
      </c>
      <c r="I1420" s="16" t="n">
        <v>1</v>
      </c>
      <c r="J1420" s="17" t="n">
        <v>36.5</v>
      </c>
      <c r="K1420" s="17" t="n">
        <v>6.51</v>
      </c>
      <c r="L1420" s="17" t="n">
        <v>25.86</v>
      </c>
      <c r="M1420" s="17" t="n">
        <v>0</v>
      </c>
      <c r="N1420" s="17">
        <f>K1420*0.08+L1420*0.08</f>
        <v/>
      </c>
      <c r="O1420" s="17">
        <f>-(K1420*0.025+L1420*0.025)</f>
        <v/>
      </c>
      <c r="P1420" s="17">
        <f>32</f>
        <v/>
      </c>
      <c r="Q1420" s="17">
        <f>J1420+L1420+N1420+O1420-P1420-M1420</f>
        <v/>
      </c>
    </row>
    <row r="1421">
      <c r="A1421" s="16" t="inlineStr">
        <is>
          <t>5.15-5.21</t>
        </is>
      </c>
      <c r="B1421" s="16" t="inlineStr">
        <is>
          <t>PO-128-07264934933111208</t>
        </is>
      </c>
      <c r="C1421" s="16" t="inlineStr">
        <is>
          <t>Shipped</t>
        </is>
      </c>
      <c r="D1421" s="16" t="inlineStr">
        <is>
          <t>128-07264913961591208</t>
        </is>
      </c>
      <c r="E1421" s="16" t="inlineStr">
        <is>
          <t>Shipped</t>
        </is>
      </c>
      <c r="F1421" s="16" t="inlineStr">
        <is>
          <t>MCM-001N</t>
        </is>
      </c>
      <c r="G1421" s="16" t="inlineStr">
        <is>
          <t>Musicord Altavoz Inalámbrico BT Portátil: ¡Sonido impactante, luces LED multicolores y 4 horas de autonomía! Compatible con TWS, FM, TF y USB – Imprescindible para fiestas y viajes</t>
        </is>
      </c>
      <c r="H1421" s="16" t="inlineStr">
        <is>
          <t>NEGRO</t>
        </is>
      </c>
      <c r="I1421" s="16" t="n">
        <v>1</v>
      </c>
      <c r="J1421" s="17" t="n">
        <v>66</v>
      </c>
      <c r="K1421" s="17" t="n">
        <v>73.79000000000001</v>
      </c>
      <c r="L1421" s="17" t="n">
        <v>25.86</v>
      </c>
      <c r="M1421" s="17" t="n">
        <v>0</v>
      </c>
      <c r="N1421" s="17">
        <f>K1421*0.08+L1421*0.08</f>
        <v/>
      </c>
      <c r="O1421" s="17">
        <f>-(K1421*0.025+L1421*0.025)</f>
        <v/>
      </c>
      <c r="P1421" s="17">
        <f>32</f>
        <v/>
      </c>
      <c r="Q1421" s="17">
        <f>J1421+L1421+N1421+O1421-P1421-M1421</f>
        <v/>
      </c>
    </row>
    <row r="1422">
      <c r="A1422" s="16" t="inlineStr">
        <is>
          <t>5.15-5.21</t>
        </is>
      </c>
      <c r="B1422" s="16" t="inlineStr">
        <is>
          <t>PO-128-07259800791671177</t>
        </is>
      </c>
      <c r="C1422" s="16" t="inlineStr">
        <is>
          <t>Shipped</t>
        </is>
      </c>
      <c r="D1422" s="16" t="inlineStr">
        <is>
          <t>128-07259758848631177</t>
        </is>
      </c>
      <c r="E1422" s="16" t="inlineStr">
        <is>
          <t>Shipped</t>
        </is>
      </c>
      <c r="F1422" s="16" t="inlineStr">
        <is>
          <t>LB02235-negro</t>
        </is>
      </c>
      <c r="G1422" s="16" t="inlineStr">
        <is>
          <t>Audífonos Inalámbricos para la Cabeza, Recargables y Multifuncionales - Conectan a Varios Dispositivos, soportan Radio FM, Tarjeta TF y AUX - 4 Horas de Reproducción Musical - Ideal para Trabajo Cotidiano, Juegos y Estudio</t>
        </is>
      </c>
      <c r="H1422" s="16" t="inlineStr">
        <is>
          <t>NEGRO</t>
        </is>
      </c>
      <c r="I1422" s="16" t="n">
        <v>1</v>
      </c>
      <c r="J1422" s="17" t="n">
        <v>36.5</v>
      </c>
      <c r="K1422" s="17" t="n">
        <v>49.61</v>
      </c>
      <c r="L1422" s="17" t="n">
        <v>25.86</v>
      </c>
      <c r="M1422" s="17" t="n">
        <v>0</v>
      </c>
      <c r="N1422" s="17">
        <f>K1422*0.08+L1422*0.08</f>
        <v/>
      </c>
      <c r="O1422" s="17">
        <f>-(K1422*0.025+L1422*0.025)</f>
        <v/>
      </c>
      <c r="P1422" s="17">
        <f>32</f>
        <v/>
      </c>
      <c r="Q1422" s="17">
        <f>J1422+L1422+N1422+O1422-P1422-M1422</f>
        <v/>
      </c>
    </row>
    <row r="1423">
      <c r="A1423" s="16" t="inlineStr">
        <is>
          <t>5.15-5.21</t>
        </is>
      </c>
      <c r="B1423" s="16" t="inlineStr">
        <is>
          <t>PO-128-07347560335991676</t>
        </is>
      </c>
      <c r="C1423" s="16" t="inlineStr">
        <is>
          <t>Shipped</t>
        </is>
      </c>
      <c r="D1423" s="16" t="inlineStr">
        <is>
          <t>128-07347518392951676</t>
        </is>
      </c>
      <c r="E1423" s="16" t="inlineStr">
        <is>
          <t>Shipped</t>
        </is>
      </c>
      <c r="F1423" s="16" t="inlineStr">
        <is>
          <t>KTS-1678Y</t>
        </is>
      </c>
      <c r="G1423" s="16" t="inlineStr">
        <is>
          <t>Bocina portátil Inalámbrico, de 3 pulgadas, tamaño de bolsillo, 170 g, con asa, compatible con TF, USB y Micro SD, con radio FM y función TWS (True Wireless Stereo), adecuada para relajarse en casa o viajar al aire libre.</t>
        </is>
      </c>
      <c r="H1423" s="16" t="inlineStr">
        <is>
          <t>KTS-1678Y</t>
        </is>
      </c>
      <c r="I1423" s="16" t="n">
        <v>1</v>
      </c>
      <c r="J1423" s="17" t="n">
        <v>40</v>
      </c>
      <c r="K1423" s="17" t="n">
        <v>46.22</v>
      </c>
      <c r="L1423" s="17" t="n">
        <v>25.86</v>
      </c>
      <c r="M1423" s="17" t="n">
        <v>0</v>
      </c>
      <c r="N1423" s="17">
        <f>K1423*0.08+L1423*0.08</f>
        <v/>
      </c>
      <c r="O1423" s="17">
        <f>-(K1423*0.025+L1423*0.025)</f>
        <v/>
      </c>
      <c r="P1423" s="17">
        <f>32</f>
        <v/>
      </c>
      <c r="Q1423" s="17">
        <f>J1423+L1423+N1423+O1423-P1423-M1423</f>
        <v/>
      </c>
    </row>
    <row r="1424">
      <c r="A1424" s="16" t="inlineStr">
        <is>
          <t>5.15-5.21</t>
        </is>
      </c>
      <c r="B1424" s="16" t="inlineStr">
        <is>
          <t>PO-128-07185210921592773</t>
        </is>
      </c>
      <c r="C1424" s="16" t="inlineStr">
        <is>
          <t>Shipped</t>
        </is>
      </c>
      <c r="D1424" s="16" t="inlineStr">
        <is>
          <t>128-07185315779192773</t>
        </is>
      </c>
      <c r="E1424" s="16" t="inlineStr">
        <is>
          <t>Shipped</t>
        </is>
      </c>
      <c r="F1424" s="16" t="inlineStr">
        <is>
          <t>LB02235-rojo</t>
        </is>
      </c>
      <c r="G1424" s="16" t="inlineStr">
        <is>
          <t>Audífonos Inalámbricos para la Cabeza, Recargables y Multifuncionales - Conectan a Varios Dispositivos, soportan Radio FM, Tarjeta TF y AUX - 4 Horas de Reproducción Musical - Ideal para Trabajo Cotidiano, Juegos y Estudio</t>
        </is>
      </c>
      <c r="H1424" s="16" t="inlineStr">
        <is>
          <t>ROJO</t>
        </is>
      </c>
      <c r="I1424" s="16" t="n">
        <v>1</v>
      </c>
      <c r="J1424" s="17" t="n">
        <v>36.5</v>
      </c>
      <c r="K1424" s="17" t="n">
        <v>49.61</v>
      </c>
      <c r="L1424" s="17" t="n">
        <v>13.14</v>
      </c>
      <c r="M1424" s="17" t="n">
        <v>0</v>
      </c>
      <c r="N1424" s="17">
        <f>K1424*0.08+L1424*0.08</f>
        <v/>
      </c>
      <c r="O1424" s="17">
        <f>-(K1424*0.025+L1424*0.025)</f>
        <v/>
      </c>
      <c r="P1424" s="17">
        <f>32</f>
        <v/>
      </c>
      <c r="Q1424" s="17">
        <f>J1424+L1424+N1424+O1424-P1424-M1424</f>
        <v/>
      </c>
    </row>
    <row r="1425">
      <c r="A1425" s="16" t="inlineStr">
        <is>
          <t>5.15-5.21</t>
        </is>
      </c>
      <c r="B1425" s="16" t="inlineStr">
        <is>
          <t>PO-128-07185210921592773</t>
        </is>
      </c>
      <c r="C1425" s="16" t="inlineStr">
        <is>
          <t>Shipped</t>
        </is>
      </c>
      <c r="D1425" s="16" t="inlineStr">
        <is>
          <t>128-07185273836152773</t>
        </is>
      </c>
      <c r="E1425" s="16" t="inlineStr">
        <is>
          <t>Shipped</t>
        </is>
      </c>
      <c r="F1425" s="16" t="inlineStr">
        <is>
          <t>LB02235-azul</t>
        </is>
      </c>
      <c r="G1425" s="16" t="inlineStr">
        <is>
          <t>Audífonos Inalámbricos para la Cabeza, Recargables y Multifuncionales - Conectan a Varios Dispositivos, soportan Radio FM, Tarjeta TF y AUX - 4 Horas de Reproducción Musical - Ideal para Trabajo Cotidiano, Juegos y Estudio</t>
        </is>
      </c>
      <c r="H1425" s="16" t="inlineStr">
        <is>
          <t>AZUL</t>
        </is>
      </c>
      <c r="I1425" s="16" t="n">
        <v>1</v>
      </c>
      <c r="J1425" s="17" t="n">
        <v>35</v>
      </c>
      <c r="K1425" s="17" t="n">
        <v>48.11</v>
      </c>
      <c r="L1425" s="17" t="n">
        <v>12.72</v>
      </c>
      <c r="M1425" s="17" t="n">
        <v>0</v>
      </c>
      <c r="N1425" s="17">
        <f>K1425*0.08+L1425*0.08</f>
        <v/>
      </c>
      <c r="O1425" s="17">
        <f>-(K1425*0.025+L1425*0.025)</f>
        <v/>
      </c>
      <c r="P1425" s="17">
        <f>32</f>
        <v/>
      </c>
      <c r="Q1425" s="17">
        <f>J1425+L1425+N1425+O1425-P1425-M1425</f>
        <v/>
      </c>
    </row>
    <row r="1426">
      <c r="A1426" s="16" t="inlineStr">
        <is>
          <t>5.15-5.21</t>
        </is>
      </c>
      <c r="B1426" s="16" t="inlineStr">
        <is>
          <t>PO-128-06880724255353498</t>
        </is>
      </c>
      <c r="C1426" s="16" t="inlineStr">
        <is>
          <t>Shipped</t>
        </is>
      </c>
      <c r="D1426" s="16" t="inlineStr">
        <is>
          <t>128-06880692798073498</t>
        </is>
      </c>
      <c r="E1426" s="16" t="inlineStr">
        <is>
          <t>Shipped</t>
        </is>
      </c>
      <c r="F1426" s="16" t="inlineStr">
        <is>
          <t>SA325T</t>
        </is>
      </c>
      <c r="G1426" s="16" t="inlineStr">
        <is>
          <t>Subwoofer Portátil Inalámbrico con Luces RGB, Sonido de Alta Potencia y Batería Duradera, TWS TF USB, Perfecto para Campamento Fiestas y Entretenimiento en Casa</t>
        </is>
      </c>
      <c r="H1426" s="16" t="inlineStr">
        <is>
          <t>NEGRO</t>
        </is>
      </c>
      <c r="I1426" s="16" t="n">
        <v>1</v>
      </c>
      <c r="J1426" s="17" t="n">
        <v>36</v>
      </c>
      <c r="K1426" s="17" t="n">
        <v>45.04</v>
      </c>
      <c r="L1426" s="17" t="n">
        <v>25.86</v>
      </c>
      <c r="M1426" s="17" t="n">
        <v>0</v>
      </c>
      <c r="N1426" s="17">
        <f>K1426*0.08+L1426*0.08</f>
        <v/>
      </c>
      <c r="O1426" s="17">
        <f>-(K1426*0.025+L1426*0.025)</f>
        <v/>
      </c>
      <c r="P1426" s="17">
        <f>32</f>
        <v/>
      </c>
      <c r="Q1426" s="17">
        <f>J1426+L1426+N1426+O1426-P1426-M1426</f>
        <v/>
      </c>
    </row>
    <row r="1427">
      <c r="A1427" s="16" t="inlineStr">
        <is>
          <t>5.15-5.21</t>
        </is>
      </c>
      <c r="B1427" s="16" t="inlineStr">
        <is>
          <t>PO-128-07031559209593625</t>
        </is>
      </c>
      <c r="C1427" s="16" t="inlineStr">
        <is>
          <t>Shipped</t>
        </is>
      </c>
      <c r="D1427" s="16" t="inlineStr">
        <is>
          <t>128-07031527752313625</t>
        </is>
      </c>
      <c r="E1427" s="16" t="inlineStr">
        <is>
          <t>Shipped</t>
        </is>
      </c>
      <c r="F1427" s="16" t="inlineStr">
        <is>
          <t>LV25W22</t>
        </is>
      </c>
      <c r="G14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27" s="16" t="inlineStr">
        <is>
          <t>LV25W32</t>
        </is>
      </c>
      <c r="I1427" s="16" t="n">
        <v>1</v>
      </c>
      <c r="J1427" s="17" t="n">
        <v>90.43000000000001</v>
      </c>
      <c r="K1427" s="17" t="n">
        <v>100.84</v>
      </c>
      <c r="L1427" s="17" t="n">
        <v>25.86</v>
      </c>
      <c r="M1427" s="17" t="n">
        <v>0</v>
      </c>
      <c r="N1427" s="17">
        <f>K1427*0.08+L1427*0.08</f>
        <v/>
      </c>
      <c r="O1427" s="17">
        <f>-(K1427*0.025+L1427*0.025)</f>
        <v/>
      </c>
      <c r="P1427" s="17">
        <f>32</f>
        <v/>
      </c>
      <c r="Q1427" s="17">
        <f>J1427+L1427+N1427+O1427-P1427-M1427</f>
        <v/>
      </c>
    </row>
    <row r="1428">
      <c r="A1428" s="16" t="inlineStr">
        <is>
          <t>5.15-5.21</t>
        </is>
      </c>
      <c r="B1428" s="16" t="inlineStr">
        <is>
          <t>PO-128-12790130217591109</t>
        </is>
      </c>
      <c r="C1428" s="16" t="inlineStr">
        <is>
          <t>Shipped</t>
        </is>
      </c>
      <c r="D1428" s="16" t="inlineStr">
        <is>
          <t>128-12790124974711109</t>
        </is>
      </c>
      <c r="E1428" s="16" t="inlineStr">
        <is>
          <t>Shipped</t>
        </is>
      </c>
      <c r="F1428" s="16" t="inlineStr">
        <is>
          <t>LB02235-blanco</t>
        </is>
      </c>
      <c r="G1428" s="16" t="inlineStr">
        <is>
          <t>Audífonos Inalámbricos para la Cabeza, Recargables y Multifuncionales - Conectan a Varios Dispositivos, soportan Radio FM, Tarjeta TF y AUX - 4 Horas de Reproducción Musical - Ideal para Trabajo Cotidiano, Juegos y Estudio</t>
        </is>
      </c>
      <c r="H1428" s="16" t="inlineStr">
        <is>
          <t>BLANCO</t>
        </is>
      </c>
      <c r="I1428" s="16" t="n">
        <v>1</v>
      </c>
      <c r="J1428" s="17" t="n">
        <v>36.5</v>
      </c>
      <c r="K1428" s="17" t="n">
        <v>49.61</v>
      </c>
      <c r="L1428" s="17" t="n">
        <v>25.86</v>
      </c>
      <c r="M1428" s="17" t="n">
        <v>0</v>
      </c>
      <c r="N1428" s="17">
        <f>K1428*0.08+L1428*0.08</f>
        <v/>
      </c>
      <c r="O1428" s="17">
        <f>-(K1428*0.025+L1428*0.025)</f>
        <v/>
      </c>
      <c r="P1428" s="17">
        <f>32</f>
        <v/>
      </c>
      <c r="Q1428" s="17">
        <f>J1428+L1428+N1428+O1428-P1428-M1428</f>
        <v/>
      </c>
    </row>
    <row r="1429">
      <c r="A1429" s="16" t="inlineStr">
        <is>
          <t>5.15-5.21</t>
        </is>
      </c>
      <c r="B1429" s="16" t="inlineStr">
        <is>
          <t>PO-128-12566471066232312</t>
        </is>
      </c>
      <c r="C1429" s="16" t="inlineStr">
        <is>
          <t>Shipped</t>
        </is>
      </c>
      <c r="D1429" s="16" t="inlineStr">
        <is>
          <t>128-12566636872312312</t>
        </is>
      </c>
      <c r="E1429" s="16" t="inlineStr">
        <is>
          <t>Shipped</t>
        </is>
      </c>
      <c r="F1429" s="16" t="inlineStr">
        <is>
          <t>VA384T-N</t>
        </is>
      </c>
      <c r="G1429" s="16" t="inlineStr">
        <is>
          <t>Bocina Portátil Bluetooth de 3 Pulgadas con Radio FM, USB TF TWS, Sonido Estéreo 5W, Bocina Recargable para Hogar Exterior Viaje Fiesta Camping</t>
        </is>
      </c>
      <c r="H1429" s="16" t="inlineStr">
        <is>
          <t>NEGRO</t>
        </is>
      </c>
      <c r="I1429" s="16" t="n">
        <v>1</v>
      </c>
      <c r="J1429" s="17" t="n">
        <v>46</v>
      </c>
      <c r="K1429" s="17" t="n">
        <v>3.27</v>
      </c>
      <c r="L1429" s="17" t="n">
        <v>25.86</v>
      </c>
      <c r="M1429" s="17" t="n">
        <v>0</v>
      </c>
      <c r="N1429" s="17">
        <f>K1429*0.08+L1429*0.08</f>
        <v/>
      </c>
      <c r="O1429" s="17">
        <f>-(K1429*0.025+L1429*0.025)</f>
        <v/>
      </c>
      <c r="P1429" s="17">
        <f>32</f>
        <v/>
      </c>
      <c r="Q1429" s="17">
        <f>J1429+L1429+N1429+O1429-P1429-M1429</f>
        <v/>
      </c>
    </row>
    <row r="1430">
      <c r="A1430" s="16" t="inlineStr">
        <is>
          <t>5.15-5.21</t>
        </is>
      </c>
      <c r="B1430" s="16" t="inlineStr">
        <is>
          <t>PO-128-12721449103991455</t>
        </is>
      </c>
      <c r="C1430" s="16" t="inlineStr">
        <is>
          <t>Shipped</t>
        </is>
      </c>
      <c r="D1430" s="16" t="inlineStr">
        <is>
          <t>128-12721470075511455</t>
        </is>
      </c>
      <c r="E1430" s="16" t="inlineStr">
        <is>
          <t>Shipped</t>
        </is>
      </c>
      <c r="F1430" s="16" t="inlineStr">
        <is>
          <t>LB02235-negro</t>
        </is>
      </c>
      <c r="G1430" s="16" t="inlineStr">
        <is>
          <t>Audífonos Inalámbricos para la Cabeza, Recargables y Multifuncionales - Conectan a Varios Dispositivos, soportan Radio FM, Tarjeta TF y AUX - 4 Horas de Reproducción Musical - Ideal para Trabajo Cotidiano, Juegos y Estudio</t>
        </is>
      </c>
      <c r="H1430" s="16" t="inlineStr">
        <is>
          <t>NEGRO</t>
        </is>
      </c>
      <c r="I1430" s="16" t="n">
        <v>1</v>
      </c>
      <c r="J1430" s="17" t="n">
        <v>36.5</v>
      </c>
      <c r="K1430" s="17" t="n">
        <v>39.69</v>
      </c>
      <c r="L1430" s="17" t="n">
        <v>25.86</v>
      </c>
      <c r="M1430" s="17" t="n">
        <v>0</v>
      </c>
      <c r="N1430" s="17">
        <f>K1430*0.08+L1430*0.08</f>
        <v/>
      </c>
      <c r="O1430" s="17">
        <f>-(K1430*0.025+L1430*0.025)</f>
        <v/>
      </c>
      <c r="P1430" s="17">
        <f>32</f>
        <v/>
      </c>
      <c r="Q1430" s="17">
        <f>J1430+L1430+N1430+O1430-P1430-M1430</f>
        <v/>
      </c>
    </row>
    <row r="1431">
      <c r="A1431" s="16" t="inlineStr">
        <is>
          <t>5.15-5.21</t>
        </is>
      </c>
      <c r="B1431" s="16" t="inlineStr">
        <is>
          <t>PO-128-12417917548153262</t>
        </is>
      </c>
      <c r="C1431" s="16" t="inlineStr">
        <is>
          <t>Shipped</t>
        </is>
      </c>
      <c r="D1431" s="16" t="inlineStr">
        <is>
          <t>128-12417849390713262</t>
        </is>
      </c>
      <c r="E1431" s="16" t="inlineStr">
        <is>
          <t>Shipped</t>
        </is>
      </c>
      <c r="F1431" s="16" t="inlineStr">
        <is>
          <t>SA323T</t>
        </is>
      </c>
      <c r="G1431" s="16" t="inlineStr">
        <is>
          <t>Linkbits Bocina Portátil Parlantes BT Portátiles con Iluminación de Ambiente | 1 Hora de Duración, FM, TWS, TF/Micro SD | Ideal para Hogar, Fiestas y Viajes</t>
        </is>
      </c>
      <c r="H1431" s="16" t="inlineStr">
        <is>
          <t>SA323T</t>
        </is>
      </c>
      <c r="I1431" s="16" t="n">
        <v>2</v>
      </c>
      <c r="J1431" s="17" t="n">
        <v>75.42</v>
      </c>
      <c r="K1431" s="17" t="n">
        <v>74.84</v>
      </c>
      <c r="L1431" s="17" t="n">
        <v>25.86</v>
      </c>
      <c r="M1431" s="17" t="n">
        <v>0</v>
      </c>
      <c r="N1431" s="17">
        <f>K1431*0.08+L1431*0.08</f>
        <v/>
      </c>
      <c r="O1431" s="17">
        <f>-(K1431*0.025+L1431*0.025)</f>
        <v/>
      </c>
      <c r="P1431" s="17">
        <f>32</f>
        <v/>
      </c>
      <c r="Q1431" s="17">
        <f>J1431+L1431+N1431+O1431-P1431-M1431</f>
        <v/>
      </c>
    </row>
    <row r="1432">
      <c r="A1432" s="16" t="inlineStr">
        <is>
          <t>5.15-5.21</t>
        </is>
      </c>
      <c r="B1432" s="16" t="inlineStr">
        <is>
          <t>PO-128-12695554791032569</t>
        </is>
      </c>
      <c r="C1432" s="16" t="inlineStr">
        <is>
          <t>Shipped</t>
        </is>
      </c>
      <c r="D1432" s="16" t="inlineStr">
        <is>
          <t>128-12695512847992569</t>
        </is>
      </c>
      <c r="E1432" s="16" t="inlineStr">
        <is>
          <t>Shipped</t>
        </is>
      </c>
      <c r="F1432" s="16" t="inlineStr">
        <is>
          <t>LV25W22</t>
        </is>
      </c>
      <c r="G143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32" s="16" t="inlineStr">
        <is>
          <t>LV25W32</t>
        </is>
      </c>
      <c r="I1432" s="16" t="n">
        <v>1</v>
      </c>
      <c r="J1432" s="17" t="n">
        <v>90.43000000000001</v>
      </c>
      <c r="K1432" s="17" t="n">
        <v>100.84</v>
      </c>
      <c r="L1432" s="17" t="n">
        <v>25.86</v>
      </c>
      <c r="M1432" s="17" t="n">
        <v>0</v>
      </c>
      <c r="N1432" s="17">
        <f>K1432*0.08+L1432*0.08</f>
        <v/>
      </c>
      <c r="O1432" s="17">
        <f>-(K1432*0.025+L1432*0.025)</f>
        <v/>
      </c>
      <c r="P1432" s="17">
        <f>32</f>
        <v/>
      </c>
      <c r="Q1432" s="17">
        <f>J1432+L1432+N1432+O1432-P1432-M1432</f>
        <v/>
      </c>
    </row>
    <row r="1433">
      <c r="A1433" s="16" t="inlineStr">
        <is>
          <t>5.15-5.21</t>
        </is>
      </c>
      <c r="B1433" s="16" t="inlineStr">
        <is>
          <t>PO-128-12909418885750268</t>
        </is>
      </c>
      <c r="C1433" s="16" t="inlineStr">
        <is>
          <t>Shipped</t>
        </is>
      </c>
      <c r="D1433" s="16" t="inlineStr">
        <is>
          <t>128-12909523743350268</t>
        </is>
      </c>
      <c r="E1433" s="16" t="inlineStr">
        <is>
          <t>Shipped</t>
        </is>
      </c>
      <c r="F1433" s="16" t="inlineStr">
        <is>
          <t>LB02235-negro</t>
        </is>
      </c>
      <c r="G1433" s="16" t="inlineStr">
        <is>
          <t>Audífonos Inalámbricos para la Cabeza, Recargables y Multifuncionales - Conectan a Varios Dispositivos, soportan Radio FM, Tarjeta TF y AUX - 4 Horas de Reproducción Musical - Ideal para Trabajo Cotidiano, Juegos y Estudio</t>
        </is>
      </c>
      <c r="H1433" s="16" t="inlineStr">
        <is>
          <t>NEGRO</t>
        </is>
      </c>
      <c r="I1433" s="16" t="n">
        <v>1</v>
      </c>
      <c r="J1433" s="17" t="n">
        <v>36.5</v>
      </c>
      <c r="K1433" s="17" t="n">
        <v>49.61</v>
      </c>
      <c r="L1433" s="17" t="n">
        <v>25.86</v>
      </c>
      <c r="M1433" s="17" t="n">
        <v>0</v>
      </c>
      <c r="N1433" s="17">
        <f>K1433*0.08+L1433*0.08</f>
        <v/>
      </c>
      <c r="O1433" s="17">
        <f>-(K1433*0.025+L1433*0.025)</f>
        <v/>
      </c>
      <c r="P1433" s="17">
        <f>32</f>
        <v/>
      </c>
      <c r="Q1433" s="17">
        <f>J1433+L1433+N1433+O1433-P1433-M1433</f>
        <v/>
      </c>
    </row>
    <row r="1434">
      <c r="A1434" s="16" t="inlineStr">
        <is>
          <t>5.15-5.21</t>
        </is>
      </c>
      <c r="B1434" s="16" t="inlineStr">
        <is>
          <t>PO-128-12929408819830151</t>
        </is>
      </c>
      <c r="C1434" s="16" t="inlineStr">
        <is>
          <t>Shipped</t>
        </is>
      </c>
      <c r="D1434" s="16" t="inlineStr">
        <is>
          <t>128-12929382605430151</t>
        </is>
      </c>
      <c r="E1434" s="16" t="inlineStr">
        <is>
          <t>Shipped</t>
        </is>
      </c>
      <c r="F1434" s="16" t="inlineStr">
        <is>
          <t>LV25W22</t>
        </is>
      </c>
      <c r="G143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34" s="16" t="inlineStr">
        <is>
          <t>LV25W32</t>
        </is>
      </c>
      <c r="I1434" s="16" t="n">
        <v>1</v>
      </c>
      <c r="J1434" s="17" t="n">
        <v>90.43000000000001</v>
      </c>
      <c r="K1434" s="17" t="n">
        <v>100.84</v>
      </c>
      <c r="L1434" s="17" t="n">
        <v>25.86</v>
      </c>
      <c r="M1434" s="17" t="n">
        <v>0</v>
      </c>
      <c r="N1434" s="17">
        <f>K1434*0.08+L1434*0.08</f>
        <v/>
      </c>
      <c r="O1434" s="17">
        <f>-(K1434*0.025+L1434*0.025)</f>
        <v/>
      </c>
      <c r="P1434" s="17">
        <f>32</f>
        <v/>
      </c>
      <c r="Q1434" s="17">
        <f>J1434+L1434+N1434+O1434-P1434-M1434</f>
        <v/>
      </c>
    </row>
    <row r="1435">
      <c r="A1435" s="16" t="inlineStr">
        <is>
          <t>5.15-5.21</t>
        </is>
      </c>
      <c r="B1435" s="16" t="inlineStr">
        <is>
          <t>PO-128-12401878016633422</t>
        </is>
      </c>
      <c r="C1435" s="16" t="inlineStr">
        <is>
          <t>Shipped</t>
        </is>
      </c>
      <c r="D1435" s="16" t="inlineStr">
        <is>
          <t>128-12401794130553422</t>
        </is>
      </c>
      <c r="E1435" s="16" t="inlineStr">
        <is>
          <t>Shipped</t>
        </is>
      </c>
      <c r="F1435" s="16" t="inlineStr">
        <is>
          <t>LB02235-blanco</t>
        </is>
      </c>
      <c r="G1435" s="16" t="inlineStr">
        <is>
          <t>Audífonos Inalámbricos para la Cabeza, Recargables y Multifuncionales - Conectan a Varios Dispositivos, soportan Radio FM, Tarjeta TF y AUX - 4 Horas de Reproducción Musical - Ideal para Trabajo Cotidiano, Juegos y Estudio</t>
        </is>
      </c>
      <c r="H1435" s="16" t="inlineStr">
        <is>
          <t>BLANCO</t>
        </is>
      </c>
      <c r="I1435" s="16" t="n">
        <v>2</v>
      </c>
      <c r="J1435" s="17" t="n">
        <v>73</v>
      </c>
      <c r="K1435" s="17" t="n">
        <v>93.77</v>
      </c>
      <c r="L1435" s="17" t="n">
        <v>0</v>
      </c>
      <c r="M1435" s="17" t="n">
        <v>0</v>
      </c>
      <c r="N1435" s="17">
        <f>K1435*0.08+L1435*0.08</f>
        <v/>
      </c>
      <c r="O1435" s="17">
        <f>-(K1435*0.025+L1435*0.025)</f>
        <v/>
      </c>
      <c r="P1435" s="17">
        <f>32</f>
        <v/>
      </c>
      <c r="Q1435" s="17">
        <f>J1435+L1435+N1435+O1435-P1435-M1435</f>
        <v/>
      </c>
    </row>
    <row r="1436">
      <c r="A1436" s="16" t="inlineStr">
        <is>
          <t>5.15-5.21</t>
        </is>
      </c>
      <c r="B1436" s="16" t="inlineStr">
        <is>
          <t>PO-128-12401878016633422</t>
        </is>
      </c>
      <c r="C1436" s="16" t="inlineStr">
        <is>
          <t>Shipped</t>
        </is>
      </c>
      <c r="D1436" s="16" t="inlineStr">
        <is>
          <t>128-12401773159033422</t>
        </is>
      </c>
      <c r="E1436" s="16" t="inlineStr">
        <is>
          <t>Shipped</t>
        </is>
      </c>
      <c r="F1436" s="16" t="inlineStr">
        <is>
          <t>LB02235-azul</t>
        </is>
      </c>
      <c r="G1436" s="16" t="inlineStr">
        <is>
          <t>Audífonos Inalámbricos para la Cabeza, Recargables y Multifuncionales - Conectan a Varios Dispositivos, soportan Radio FM, Tarjeta TF y AUX - 4 Horas de Reproducción Musical - Ideal para Trabajo Cotidiano, Juegos y Estudio</t>
        </is>
      </c>
      <c r="H1436" s="16" t="inlineStr">
        <is>
          <t>AZUL</t>
        </is>
      </c>
      <c r="I1436" s="16" t="n">
        <v>2</v>
      </c>
      <c r="J1436" s="17" t="n">
        <v>70</v>
      </c>
      <c r="K1436" s="17" t="n">
        <v>90.92</v>
      </c>
      <c r="L1436" s="17" t="n">
        <v>0</v>
      </c>
      <c r="M1436" s="17" t="n">
        <v>0</v>
      </c>
      <c r="N1436" s="17">
        <f>K1436*0.08+L1436*0.08</f>
        <v/>
      </c>
      <c r="O1436" s="17">
        <f>-(K1436*0.025+L1436*0.025)</f>
        <v/>
      </c>
      <c r="P1436" s="17">
        <f>32</f>
        <v/>
      </c>
      <c r="Q1436" s="17">
        <f>J1436+L1436+N1436+O1436-P1436-M1436</f>
        <v/>
      </c>
    </row>
    <row r="1437">
      <c r="A1437" s="16" t="inlineStr">
        <is>
          <t>5.15-5.21</t>
        </is>
      </c>
      <c r="B1437" s="16" t="inlineStr">
        <is>
          <t>PO-128-12401878016633422</t>
        </is>
      </c>
      <c r="C1437" s="16" t="inlineStr">
        <is>
          <t>Shipped</t>
        </is>
      </c>
      <c r="D1437" s="16" t="inlineStr">
        <is>
          <t>128-12401836073593422</t>
        </is>
      </c>
      <c r="E1437" s="16" t="inlineStr">
        <is>
          <t>Shipped</t>
        </is>
      </c>
      <c r="F1437" s="16" t="inlineStr">
        <is>
          <t>LB02235-rojo</t>
        </is>
      </c>
      <c r="G1437" s="16" t="inlineStr">
        <is>
          <t>Audífonos Inalámbricos para la Cabeza, Recargables y Multifuncionales - Conectan a Varios Dispositivos, soportan Radio FM, Tarjeta TF y AUX - 4 Horas de Reproducción Musical - Ideal para Trabajo Cotidiano, Juegos y Estudio</t>
        </is>
      </c>
      <c r="H1437" s="16" t="inlineStr">
        <is>
          <t>ROJO</t>
        </is>
      </c>
      <c r="I1437" s="16" t="n">
        <v>2</v>
      </c>
      <c r="J1437" s="17" t="n">
        <v>73</v>
      </c>
      <c r="K1437" s="17" t="n">
        <v>93.78</v>
      </c>
      <c r="L1437" s="17" t="n">
        <v>0</v>
      </c>
      <c r="M1437" s="17" t="n">
        <v>0</v>
      </c>
      <c r="N1437" s="17">
        <f>K1437*0.08+L1437*0.08</f>
        <v/>
      </c>
      <c r="O1437" s="17">
        <f>-(K1437*0.025+L1437*0.025)</f>
        <v/>
      </c>
      <c r="P1437" s="17">
        <f>32</f>
        <v/>
      </c>
      <c r="Q1437" s="17">
        <f>J1437+L1437+N1437+O1437-P1437-M1437</f>
        <v/>
      </c>
    </row>
    <row r="1438">
      <c r="A1438" s="16" t="inlineStr">
        <is>
          <t>5.15-5.21</t>
        </is>
      </c>
      <c r="B1438" s="16" t="inlineStr">
        <is>
          <t>PO-128-12401878016633422</t>
        </is>
      </c>
      <c r="C1438" s="16" t="inlineStr">
        <is>
          <t>Shipped</t>
        </is>
      </c>
      <c r="D1438" s="16" t="inlineStr">
        <is>
          <t>128-12401857045113422</t>
        </is>
      </c>
      <c r="E1438" s="16" t="inlineStr">
        <is>
          <t>Shipped</t>
        </is>
      </c>
      <c r="F1438" s="16" t="inlineStr">
        <is>
          <t>LB02235-negro</t>
        </is>
      </c>
      <c r="G1438" s="16" t="inlineStr">
        <is>
          <t>Audífonos Inalámbricos para la Cabeza, Recargables y Multifuncionales - Conectan a Varios Dispositivos, soportan Radio FM, Tarjeta TF y AUX - 4 Horas de Reproducción Musical - Ideal para Trabajo Cotidiano, Juegos y Estudio</t>
        </is>
      </c>
      <c r="H1438" s="16" t="inlineStr">
        <is>
          <t>NEGRO</t>
        </is>
      </c>
      <c r="I1438" s="16" t="n">
        <v>2</v>
      </c>
      <c r="J1438" s="17" t="n">
        <v>73</v>
      </c>
      <c r="K1438" s="17" t="n">
        <v>93.78</v>
      </c>
      <c r="L1438" s="17" t="n">
        <v>0</v>
      </c>
      <c r="M1438" s="17" t="n">
        <v>0</v>
      </c>
      <c r="N1438" s="17">
        <f>K1438*0.08+L1438*0.08</f>
        <v/>
      </c>
      <c r="O1438" s="17">
        <f>-(K1438*0.025+L1438*0.025)</f>
        <v/>
      </c>
      <c r="P1438" s="17">
        <f>32</f>
        <v/>
      </c>
      <c r="Q1438" s="17">
        <f>J1438+L1438+N1438+O1438-P1438-M1438</f>
        <v/>
      </c>
    </row>
    <row r="1439">
      <c r="A1439" s="16" t="inlineStr">
        <is>
          <t>5.15-5.21</t>
        </is>
      </c>
      <c r="B1439" s="16" t="inlineStr">
        <is>
          <t>PO-128-12904002524790495</t>
        </is>
      </c>
      <c r="C1439" s="16" t="inlineStr">
        <is>
          <t>Shipped</t>
        </is>
      </c>
      <c r="D1439" s="16" t="inlineStr">
        <is>
          <t>128-12903960581750495</t>
        </is>
      </c>
      <c r="E1439" s="16" t="inlineStr">
        <is>
          <t>Shipped</t>
        </is>
      </c>
      <c r="F1439" s="16" t="inlineStr">
        <is>
          <t>LV25W22</t>
        </is>
      </c>
      <c r="G14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39" s="16" t="inlineStr">
        <is>
          <t>LV25W32</t>
        </is>
      </c>
      <c r="I1439" s="16" t="n">
        <v>1</v>
      </c>
      <c r="J1439" s="17" t="n">
        <v>90.43000000000001</v>
      </c>
      <c r="K1439" s="17" t="n">
        <v>100.84</v>
      </c>
      <c r="L1439" s="17" t="n">
        <v>25.86</v>
      </c>
      <c r="M1439" s="17" t="n">
        <v>0</v>
      </c>
      <c r="N1439" s="17">
        <f>K1439*0.08+L1439*0.08</f>
        <v/>
      </c>
      <c r="O1439" s="17">
        <f>-(K1439*0.025+L1439*0.025)</f>
        <v/>
      </c>
      <c r="P1439" s="17">
        <f>32</f>
        <v/>
      </c>
      <c r="Q1439" s="17">
        <f>J1439+L1439+N1439+O1439-P1439-M1439</f>
        <v/>
      </c>
    </row>
    <row r="1440">
      <c r="A1440" s="16" t="inlineStr">
        <is>
          <t>5.15-5.21</t>
        </is>
      </c>
      <c r="B1440" s="16" t="inlineStr">
        <is>
          <t>PO-128-12946843582070239</t>
        </is>
      </c>
      <c r="C1440" s="16" t="inlineStr">
        <is>
          <t>Shipped</t>
        </is>
      </c>
      <c r="D1440" s="16" t="inlineStr">
        <is>
          <t>128-12946948439670239</t>
        </is>
      </c>
      <c r="E1440" s="16" t="inlineStr">
        <is>
          <t>Shipped</t>
        </is>
      </c>
      <c r="F1440" s="16" t="inlineStr">
        <is>
          <t>LV25W22</t>
        </is>
      </c>
      <c r="G14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0" s="16" t="inlineStr">
        <is>
          <t>LV25W32</t>
        </is>
      </c>
      <c r="I1440" s="16" t="n">
        <v>3</v>
      </c>
      <c r="J1440" s="17" t="n">
        <v>271.29</v>
      </c>
      <c r="K1440" s="17" t="n">
        <v>302.52</v>
      </c>
      <c r="L1440" s="17" t="n">
        <v>0</v>
      </c>
      <c r="M1440" s="17" t="n">
        <v>0</v>
      </c>
      <c r="N1440" s="17">
        <f>K1440*0.08+L1440*0.08</f>
        <v/>
      </c>
      <c r="O1440" s="17">
        <f>-(K1440*0.025+L1440*0.025)</f>
        <v/>
      </c>
      <c r="P1440" s="17">
        <f>32</f>
        <v/>
      </c>
      <c r="Q1440" s="17">
        <f>J1440+L1440+N1440+O1440-P1440-M1440</f>
        <v/>
      </c>
    </row>
    <row r="1441">
      <c r="A1441" s="16" t="inlineStr">
        <is>
          <t>5.15-5.21</t>
        </is>
      </c>
      <c r="B1441" s="16" t="inlineStr">
        <is>
          <t>PO-128-12783431711351085</t>
        </is>
      </c>
      <c r="C1441" s="16" t="inlineStr">
        <is>
          <t>Shipped</t>
        </is>
      </c>
      <c r="D1441" s="16" t="inlineStr">
        <is>
          <t>128-12783536568951085</t>
        </is>
      </c>
      <c r="E1441" s="16" t="inlineStr">
        <is>
          <t>Shipped</t>
        </is>
      </c>
      <c r="F1441" s="16" t="inlineStr">
        <is>
          <t>LB02235-azul</t>
        </is>
      </c>
      <c r="G1441" s="16" t="inlineStr">
        <is>
          <t>Audífonos Inalámbricos para la Cabeza, Recargables y Multifuncionales - Conectan a Varios Dispositivos, soportan Radio FM, Tarjeta TF y AUX - 4 Horas de Reproducción Musical - Ideal para Trabajo Cotidiano, Juegos y Estudio</t>
        </is>
      </c>
      <c r="H1441" s="16" t="inlineStr">
        <is>
          <t>AZUL</t>
        </is>
      </c>
      <c r="I1441" s="16" t="n">
        <v>1</v>
      </c>
      <c r="J1441" s="17" t="n">
        <v>35</v>
      </c>
      <c r="K1441" s="17" t="n">
        <v>48.11</v>
      </c>
      <c r="L1441" s="17" t="n">
        <v>25.86</v>
      </c>
      <c r="M1441" s="17" t="n">
        <v>0</v>
      </c>
      <c r="N1441" s="17">
        <f>K1441*0.08+L1441*0.08</f>
        <v/>
      </c>
      <c r="O1441" s="17">
        <f>-(K1441*0.025+L1441*0.025)</f>
        <v/>
      </c>
      <c r="P1441" s="17">
        <f>32</f>
        <v/>
      </c>
      <c r="Q1441" s="17">
        <f>J1441+L1441+N1441+O1441-P1441-M1441</f>
        <v/>
      </c>
    </row>
    <row r="1442">
      <c r="A1442" s="16" t="inlineStr">
        <is>
          <t>5.15-5.21</t>
        </is>
      </c>
      <c r="B1442" s="16" t="inlineStr">
        <is>
          <t>PO-128-12943395052150194</t>
        </is>
      </c>
      <c r="C1442" s="16" t="inlineStr">
        <is>
          <t>Shipped</t>
        </is>
      </c>
      <c r="D1442" s="16" t="inlineStr">
        <is>
          <t>128-12943345244790194</t>
        </is>
      </c>
      <c r="E1442" s="16" t="inlineStr">
        <is>
          <t>Shipped</t>
        </is>
      </c>
      <c r="F1442" s="16" t="inlineStr">
        <is>
          <t>LV25W22</t>
        </is>
      </c>
      <c r="G144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2" s="16" t="inlineStr">
        <is>
          <t>LV25W32</t>
        </is>
      </c>
      <c r="I1442" s="16" t="n">
        <v>1</v>
      </c>
      <c r="J1442" s="17" t="n">
        <v>90.43000000000001</v>
      </c>
      <c r="K1442" s="17" t="n">
        <v>80.68000000000001</v>
      </c>
      <c r="L1442" s="17" t="n">
        <v>25.86</v>
      </c>
      <c r="M1442" s="17" t="n">
        <v>0</v>
      </c>
      <c r="N1442" s="17">
        <f>K1442*0.08+L1442*0.08</f>
        <v/>
      </c>
      <c r="O1442" s="17">
        <f>-(K1442*0.025+L1442*0.025)</f>
        <v/>
      </c>
      <c r="P1442" s="17">
        <f>32</f>
        <v/>
      </c>
      <c r="Q1442" s="17">
        <f>J1442+L1442+N1442+O1442-P1442-M1442</f>
        <v/>
      </c>
    </row>
    <row r="1443">
      <c r="A1443" s="16" t="inlineStr">
        <is>
          <t>5.15-5.21</t>
        </is>
      </c>
      <c r="B1443" s="16" t="inlineStr">
        <is>
          <t>PO-128-12556017838712505</t>
        </is>
      </c>
      <c r="C1443" s="16" t="inlineStr">
        <is>
          <t>Shipped</t>
        </is>
      </c>
      <c r="D1443" s="16" t="inlineStr">
        <is>
          <t>128-12556007352952505</t>
        </is>
      </c>
      <c r="E1443" s="16" t="inlineStr">
        <is>
          <t>Shipped</t>
        </is>
      </c>
      <c r="F1443" s="16" t="inlineStr">
        <is>
          <t>LB02235-azul</t>
        </is>
      </c>
      <c r="G1443" s="16" t="inlineStr">
        <is>
          <t>Audífonos Inalámbricos para la Cabeza, Recargables y Multifuncionales - Conectan a Varios Dispositivos, soportan Radio FM, Tarjeta TF y AUX - 4 Horas de Reproducción Musical - Ideal para Trabajo Cotidiano, Juegos y Estudio</t>
        </is>
      </c>
      <c r="H1443" s="16" t="inlineStr">
        <is>
          <t>AZUL</t>
        </is>
      </c>
      <c r="I1443" s="16" t="n">
        <v>4</v>
      </c>
      <c r="J1443" s="17" t="n">
        <v>140</v>
      </c>
      <c r="K1443" s="17" t="n">
        <v>163.56</v>
      </c>
      <c r="L1443" s="17" t="n">
        <v>25.88</v>
      </c>
      <c r="M1443" s="17" t="n">
        <v>0</v>
      </c>
      <c r="N1443" s="17">
        <f>K1443*0.08+L1443*0.08</f>
        <v/>
      </c>
      <c r="O1443" s="17">
        <f>-(K1443*0.025+L1443*0.025)</f>
        <v/>
      </c>
      <c r="P1443" s="17">
        <f>32</f>
        <v/>
      </c>
      <c r="Q1443" s="17">
        <f>J1443+L1443+N1443+O1443-P1443-M1443</f>
        <v/>
      </c>
    </row>
    <row r="1444">
      <c r="A1444" s="16" t="inlineStr">
        <is>
          <t>5.15-5.21</t>
        </is>
      </c>
      <c r="B1444" s="16" t="inlineStr">
        <is>
          <t>PO-128-12405872737913398</t>
        </is>
      </c>
      <c r="C1444" s="16" t="inlineStr">
        <is>
          <t>Shipped</t>
        </is>
      </c>
      <c r="D1444" s="16" t="inlineStr">
        <is>
          <t>128-12405830794873398</t>
        </is>
      </c>
      <c r="E1444" s="16" t="inlineStr">
        <is>
          <t>Shipped</t>
        </is>
      </c>
      <c r="F1444" s="16" t="inlineStr">
        <is>
          <t>LV25W22</t>
        </is>
      </c>
      <c r="G14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4" s="16" t="inlineStr">
        <is>
          <t>LV25W32</t>
        </is>
      </c>
      <c r="I1444" s="16" t="n">
        <v>1</v>
      </c>
      <c r="J1444" s="17" t="n">
        <v>90.43000000000001</v>
      </c>
      <c r="K1444" s="17" t="n">
        <v>100.84</v>
      </c>
      <c r="L1444" s="17" t="n">
        <v>25.86</v>
      </c>
      <c r="M1444" s="17" t="n">
        <v>0</v>
      </c>
      <c r="N1444" s="17">
        <f>K1444*0.08+L1444*0.08</f>
        <v/>
      </c>
      <c r="O1444" s="17">
        <f>-(K1444*0.025+L1444*0.025)</f>
        <v/>
      </c>
      <c r="P1444" s="17">
        <f>32</f>
        <v/>
      </c>
      <c r="Q1444" s="17">
        <f>J1444+L1444+N1444+O1444-P1444-M1444</f>
        <v/>
      </c>
    </row>
    <row r="1445">
      <c r="A1445" s="16" t="inlineStr">
        <is>
          <t>5.15-5.21</t>
        </is>
      </c>
      <c r="B1445" s="16" t="inlineStr">
        <is>
          <t>PO-128-12387642455673570</t>
        </is>
      </c>
      <c r="C1445" s="16" t="inlineStr">
        <is>
          <t>Shipped</t>
        </is>
      </c>
      <c r="D1445" s="16" t="inlineStr">
        <is>
          <t>128-12387778770553570</t>
        </is>
      </c>
      <c r="E1445" s="16" t="inlineStr">
        <is>
          <t>Shipped</t>
        </is>
      </c>
      <c r="F1445" s="16" t="inlineStr">
        <is>
          <t>LV25W22</t>
        </is>
      </c>
      <c r="G144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5" s="16" t="inlineStr">
        <is>
          <t>LV25W32</t>
        </is>
      </c>
      <c r="I1445" s="16" t="n">
        <v>3</v>
      </c>
      <c r="J1445" s="17" t="n">
        <v>271.29</v>
      </c>
      <c r="K1445" s="17" t="n">
        <v>302.52</v>
      </c>
      <c r="L1445" s="17" t="n">
        <v>0</v>
      </c>
      <c r="M1445" s="17" t="n">
        <v>0</v>
      </c>
      <c r="N1445" s="17">
        <f>K1445*0.08+L1445*0.08</f>
        <v/>
      </c>
      <c r="O1445" s="17">
        <f>-(K1445*0.025+L1445*0.025)</f>
        <v/>
      </c>
      <c r="P1445" s="17">
        <f>32</f>
        <v/>
      </c>
      <c r="Q1445" s="17">
        <f>J1445+L1445+N1445+O1445-P1445-M1445</f>
        <v/>
      </c>
    </row>
    <row r="1446">
      <c r="A1446" s="16" t="inlineStr">
        <is>
          <t>5.15-5.21</t>
        </is>
      </c>
      <c r="B1446" s="16" t="inlineStr">
        <is>
          <t>PO-128-12897735004790466</t>
        </is>
      </c>
      <c r="C1446" s="16" t="inlineStr">
        <is>
          <t>Shipped</t>
        </is>
      </c>
      <c r="D1446" s="16" t="inlineStr">
        <is>
          <t>128-12897693061750466</t>
        </is>
      </c>
      <c r="E1446" s="16" t="inlineStr">
        <is>
          <t>Shipped</t>
        </is>
      </c>
      <c r="F1446" s="16" t="inlineStr">
        <is>
          <t>LB02235-blanco</t>
        </is>
      </c>
      <c r="G1446" s="16" t="inlineStr">
        <is>
          <t>Audífonos Inalámbricos para la Cabeza, Recargables y Multifuncionales - Conectan a Varios Dispositivos, soportan Radio FM, Tarjeta TF y AUX - 4 Horas de Reproducción Musical - Ideal para Trabajo Cotidiano, Juegos y Estudio</t>
        </is>
      </c>
      <c r="H1446" s="16" t="inlineStr">
        <is>
          <t>BLANCO</t>
        </is>
      </c>
      <c r="I1446" s="16" t="n">
        <v>1</v>
      </c>
      <c r="J1446" s="17" t="n">
        <v>36.5</v>
      </c>
      <c r="K1446" s="17" t="n">
        <v>49.61</v>
      </c>
      <c r="L1446" s="17" t="n">
        <v>25.86</v>
      </c>
      <c r="M1446" s="17" t="n">
        <v>0</v>
      </c>
      <c r="N1446" s="17">
        <f>K1446*0.08+L1446*0.08</f>
        <v/>
      </c>
      <c r="O1446" s="17">
        <f>-(K1446*0.025+L1446*0.025)</f>
        <v/>
      </c>
      <c r="P1446" s="17">
        <f>32</f>
        <v/>
      </c>
      <c r="Q1446" s="17">
        <f>J1446+L1446+N1446+O1446-P1446-M1446</f>
        <v/>
      </c>
    </row>
    <row r="1447">
      <c r="A1447" s="16" t="inlineStr">
        <is>
          <t>5.15-5.21</t>
        </is>
      </c>
      <c r="B1447" s="16" t="inlineStr">
        <is>
          <t>PO-128-12815850358392042</t>
        </is>
      </c>
      <c r="C1447" s="16" t="inlineStr">
        <is>
          <t>Shipped</t>
        </is>
      </c>
      <c r="D1447" s="16" t="inlineStr">
        <is>
          <t>128-12815892301432042</t>
        </is>
      </c>
      <c r="E1447" s="16" t="inlineStr">
        <is>
          <t>Shipped</t>
        </is>
      </c>
      <c r="F1447" s="16" t="inlineStr">
        <is>
          <t>LV25W22</t>
        </is>
      </c>
      <c r="G14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7" s="16" t="inlineStr">
        <is>
          <t>LV25W32</t>
        </is>
      </c>
      <c r="I1447" s="16" t="n">
        <v>3</v>
      </c>
      <c r="J1447" s="17" t="n">
        <v>271.29</v>
      </c>
      <c r="K1447" s="17" t="n">
        <v>302.52</v>
      </c>
      <c r="L1447" s="17" t="n">
        <v>0</v>
      </c>
      <c r="M1447" s="17" t="n">
        <v>0</v>
      </c>
      <c r="N1447" s="17">
        <f>K1447*0.08+L1447*0.08</f>
        <v/>
      </c>
      <c r="O1447" s="17">
        <f>-(K1447*0.025+L1447*0.025)</f>
        <v/>
      </c>
      <c r="P1447" s="17">
        <f>32</f>
        <v/>
      </c>
      <c r="Q1447" s="17">
        <f>J1447+L1447+N1447+O1447-P1447-M1447</f>
        <v/>
      </c>
    </row>
    <row r="1448">
      <c r="A1448" s="16" t="inlineStr">
        <is>
          <t>5.15-5.21</t>
        </is>
      </c>
      <c r="B1448" s="16" t="inlineStr">
        <is>
          <t>PO-128-13009263847030891</t>
        </is>
      </c>
      <c r="C1448" s="16" t="inlineStr">
        <is>
          <t>Shipped</t>
        </is>
      </c>
      <c r="D1448" s="16" t="inlineStr">
        <is>
          <t>128-13009261880950891</t>
        </is>
      </c>
      <c r="E1448" s="16" t="inlineStr">
        <is>
          <t>Shipped</t>
        </is>
      </c>
      <c r="F1448" s="16" t="inlineStr">
        <is>
          <t>LV25W22</t>
        </is>
      </c>
      <c r="G144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48" s="16" t="inlineStr">
        <is>
          <t>LV25W32</t>
        </is>
      </c>
      <c r="I1448" s="16" t="n">
        <v>3</v>
      </c>
      <c r="J1448" s="17" t="n">
        <v>271.29</v>
      </c>
      <c r="K1448" s="17" t="n">
        <v>302.52</v>
      </c>
      <c r="L1448" s="17" t="n">
        <v>0</v>
      </c>
      <c r="M1448" s="17" t="n">
        <v>0</v>
      </c>
      <c r="N1448" s="17">
        <f>K1448*0.08+L1448*0.08</f>
        <v/>
      </c>
      <c r="O1448" s="17">
        <f>-(K1448*0.025+L1448*0.025)</f>
        <v/>
      </c>
      <c r="P1448" s="17">
        <f>32</f>
        <v/>
      </c>
      <c r="Q1448" s="17">
        <f>J1448+L1448+N1448+O1448-P1448-M1448</f>
        <v/>
      </c>
    </row>
    <row r="1449">
      <c r="A1449" s="16" t="inlineStr">
        <is>
          <t>5.15-5.21</t>
        </is>
      </c>
      <c r="B1449" s="16" t="inlineStr">
        <is>
          <t>PO-128-12836753562231919</t>
        </is>
      </c>
      <c r="C1449" s="16" t="inlineStr">
        <is>
          <t>Shipped</t>
        </is>
      </c>
      <c r="D1449" s="16" t="inlineStr">
        <is>
          <t>128-12836917402231919</t>
        </is>
      </c>
      <c r="E1449" s="16" t="inlineStr">
        <is>
          <t>Shipped</t>
        </is>
      </c>
      <c r="F1449" s="16" t="inlineStr">
        <is>
          <t>MB-178-N</t>
        </is>
      </c>
      <c r="G1449" s="16" t="inlineStr">
        <is>
          <t>Bocina de Barra Bluetooth LINK BITS con dos altavoces, sonido de alta calidad y multifuncional (Bluetooth, Radio FM, USB, TF, AUX, TWS), ideal para juegos, reuniones, oficina y cine en casa.</t>
        </is>
      </c>
      <c r="H1449" s="16" t="inlineStr">
        <is>
          <t>NEGRO</t>
        </is>
      </c>
      <c r="I1449" s="16" t="n">
        <v>16</v>
      </c>
      <c r="J1449" s="17" t="n">
        <v>1920</v>
      </c>
      <c r="K1449" s="17" t="n">
        <v>2151.92</v>
      </c>
      <c r="L1449" s="17" t="n">
        <v>0</v>
      </c>
      <c r="M1449" s="17" t="n">
        <v>0</v>
      </c>
      <c r="N1449" s="17">
        <f>K1449*0.08+L1449*0.08</f>
        <v/>
      </c>
      <c r="O1449" s="17">
        <f>-(K1449*0.025+L1449*0.025)</f>
        <v/>
      </c>
      <c r="P1449" s="17">
        <f>32</f>
        <v/>
      </c>
      <c r="Q1449" s="17">
        <f>J1449+L1449+N1449+O1449-P1449-M1449</f>
        <v/>
      </c>
    </row>
    <row r="1450">
      <c r="A1450" s="16" t="inlineStr">
        <is>
          <t>5.15-5.21</t>
        </is>
      </c>
      <c r="B1450" s="16" t="inlineStr">
        <is>
          <t>PO-128-13009045018230893</t>
        </is>
      </c>
      <c r="C1450" s="16" t="inlineStr">
        <is>
          <t>Shipped</t>
        </is>
      </c>
      <c r="D1450" s="16" t="inlineStr">
        <is>
          <t>128-13009003075190893</t>
        </is>
      </c>
      <c r="E1450" s="16" t="inlineStr">
        <is>
          <t>Shipped</t>
        </is>
      </c>
      <c r="F1450" s="16" t="inlineStr">
        <is>
          <t>LV25W22</t>
        </is>
      </c>
      <c r="G14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50" s="16" t="inlineStr">
        <is>
          <t>LV25W32</t>
        </is>
      </c>
      <c r="I1450" s="16" t="n">
        <v>1</v>
      </c>
      <c r="J1450" s="17" t="n">
        <v>90.43000000000001</v>
      </c>
      <c r="K1450" s="17" t="n">
        <v>100.84</v>
      </c>
      <c r="L1450" s="17" t="n">
        <v>25.86</v>
      </c>
      <c r="M1450" s="17" t="n">
        <v>0</v>
      </c>
      <c r="N1450" s="17">
        <f>K1450*0.08+L1450*0.08</f>
        <v/>
      </c>
      <c r="O1450" s="17">
        <f>-(K1450*0.025+L1450*0.025)</f>
        <v/>
      </c>
      <c r="P1450" s="17">
        <f>32</f>
        <v/>
      </c>
      <c r="Q1450" s="17">
        <f>J1450+L1450+N1450+O1450-P1450-M1450</f>
        <v/>
      </c>
    </row>
    <row r="1451">
      <c r="A1451" s="16" t="inlineStr">
        <is>
          <t>5.15-5.21</t>
        </is>
      </c>
      <c r="B1451" s="16" t="inlineStr">
        <is>
          <t>PO-128-12615335363192087</t>
        </is>
      </c>
      <c r="C1451" s="16" t="inlineStr">
        <is>
          <t>Shipped</t>
        </is>
      </c>
      <c r="D1451" s="16" t="inlineStr">
        <is>
          <t>128-12615331431032087</t>
        </is>
      </c>
      <c r="E1451" s="16" t="inlineStr">
        <is>
          <t>Shipped</t>
        </is>
      </c>
      <c r="F1451" s="16" t="inlineStr">
        <is>
          <t>LV25W22</t>
        </is>
      </c>
      <c r="G14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51" s="16" t="inlineStr">
        <is>
          <t>LV25W32</t>
        </is>
      </c>
      <c r="I1451" s="16" t="n">
        <v>1</v>
      </c>
      <c r="J1451" s="17" t="n">
        <v>90.43000000000001</v>
      </c>
      <c r="K1451" s="17" t="n">
        <v>100.84</v>
      </c>
      <c r="L1451" s="17" t="n">
        <v>25.86</v>
      </c>
      <c r="M1451" s="17" t="n">
        <v>0</v>
      </c>
      <c r="N1451" s="17">
        <f>K1451*0.08+L1451*0.08</f>
        <v/>
      </c>
      <c r="O1451" s="17">
        <f>-(K1451*0.025+L1451*0.025)</f>
        <v/>
      </c>
      <c r="P1451" s="17">
        <f>32</f>
        <v/>
      </c>
      <c r="Q1451" s="17">
        <f>J1451+L1451+N1451+O1451-P1451-M1451</f>
        <v/>
      </c>
    </row>
    <row r="1452">
      <c r="A1452" s="16" t="inlineStr">
        <is>
          <t>5.15-5.21</t>
        </is>
      </c>
      <c r="B1452" s="16" t="inlineStr">
        <is>
          <t>PO-128-12534242867833659</t>
        </is>
      </c>
      <c r="C1452" s="16" t="inlineStr">
        <is>
          <t>Shipped</t>
        </is>
      </c>
      <c r="D1452" s="16" t="inlineStr">
        <is>
          <t>128-12534221896313659</t>
        </is>
      </c>
      <c r="E1452" s="16" t="inlineStr">
        <is>
          <t>Shipped</t>
        </is>
      </c>
      <c r="F1452" s="16" t="inlineStr">
        <is>
          <t>LB02235-rojo</t>
        </is>
      </c>
      <c r="G1452" s="16" t="inlineStr">
        <is>
          <t>Audífonos Inalámbricos para la Cabeza, Recargables y Multifuncionales - Conectan a Varios Dispositivos, soportan Radio FM, Tarjeta TF y AUX - 4 Horas de Reproducción Musical - Ideal para Trabajo Cotidiano, Juegos y Estudio</t>
        </is>
      </c>
      <c r="H1452" s="16" t="inlineStr">
        <is>
          <t>ROJO</t>
        </is>
      </c>
      <c r="I1452" s="16" t="n">
        <v>1</v>
      </c>
      <c r="J1452" s="17" t="n">
        <v>36.5</v>
      </c>
      <c r="K1452" s="17" t="n">
        <v>49.61</v>
      </c>
      <c r="L1452" s="17" t="n">
        <v>25.86</v>
      </c>
      <c r="M1452" s="17" t="n">
        <v>0</v>
      </c>
      <c r="N1452" s="17">
        <f>K1452*0.08+L1452*0.08</f>
        <v/>
      </c>
      <c r="O1452" s="17">
        <f>-(K1452*0.025+L1452*0.025)</f>
        <v/>
      </c>
      <c r="P1452" s="17">
        <f>32</f>
        <v/>
      </c>
      <c r="Q1452" s="17">
        <f>J1452+L1452+N1452+O1452-P1452-M1452</f>
        <v/>
      </c>
    </row>
    <row r="1453">
      <c r="A1453" s="16" t="inlineStr">
        <is>
          <t>5.15-5.21</t>
        </is>
      </c>
      <c r="B1453" s="16" t="inlineStr">
        <is>
          <t>PO-128-12787276698231060</t>
        </is>
      </c>
      <c r="C1453" s="16" t="inlineStr">
        <is>
          <t>Shipped</t>
        </is>
      </c>
      <c r="D1453" s="16" t="inlineStr">
        <is>
          <t>128-12787287183991060</t>
        </is>
      </c>
      <c r="E1453" s="16" t="inlineStr">
        <is>
          <t>Shipped</t>
        </is>
      </c>
      <c r="F1453" s="16" t="inlineStr">
        <is>
          <t>SA325T</t>
        </is>
      </c>
      <c r="G1453" s="16" t="inlineStr">
        <is>
          <t>Subwoofer Portátil Inalámbrico con Luces RGB, Sonido de Alta Potencia y Batería Duradera, TWS TF USB, Perfecto para Campamento Fiestas y Entretenimiento en Casa</t>
        </is>
      </c>
      <c r="H1453" s="16" t="inlineStr">
        <is>
          <t>NEGRO</t>
        </is>
      </c>
      <c r="I1453" s="16" t="n">
        <v>1</v>
      </c>
      <c r="J1453" s="17" t="n">
        <v>36</v>
      </c>
      <c r="K1453" s="17" t="n">
        <v>45.04</v>
      </c>
      <c r="L1453" s="17" t="n">
        <v>25.86</v>
      </c>
      <c r="M1453" s="17" t="n">
        <v>0</v>
      </c>
      <c r="N1453" s="17">
        <f>K1453*0.08+L1453*0.08</f>
        <v/>
      </c>
      <c r="O1453" s="17">
        <f>-(K1453*0.025+L1453*0.025)</f>
        <v/>
      </c>
      <c r="P1453" s="17">
        <f>32</f>
        <v/>
      </c>
      <c r="Q1453" s="17">
        <f>J1453+L1453+N1453+O1453-P1453-M1453</f>
        <v/>
      </c>
    </row>
    <row r="1454">
      <c r="A1454" s="16" t="inlineStr">
        <is>
          <t>5.15-5.21</t>
        </is>
      </c>
      <c r="B1454" s="16" t="inlineStr">
        <is>
          <t>PO-128-12702224451192593</t>
        </is>
      </c>
      <c r="C1454" s="16" t="inlineStr">
        <is>
          <t>Shipped</t>
        </is>
      </c>
      <c r="D1454" s="16" t="inlineStr">
        <is>
          <t>128-12702329308792593</t>
        </is>
      </c>
      <c r="E1454" s="16" t="inlineStr">
        <is>
          <t>Shipped</t>
        </is>
      </c>
      <c r="F1454" s="16" t="inlineStr">
        <is>
          <t>LB02235-azul</t>
        </is>
      </c>
      <c r="G1454" s="16" t="inlineStr">
        <is>
          <t>Audífonos Inalámbricos para la Cabeza, Recargables y Multifuncionales - Conectan a Varios Dispositivos, soportan Radio FM, Tarjeta TF y AUX - 4 Horas de Reproducción Musical - Ideal para Trabajo Cotidiano, Juegos y Estudio</t>
        </is>
      </c>
      <c r="H1454" s="16" t="inlineStr">
        <is>
          <t>AZUL</t>
        </is>
      </c>
      <c r="I1454" s="16" t="n">
        <v>1</v>
      </c>
      <c r="J1454" s="17" t="n">
        <v>35</v>
      </c>
      <c r="K1454" s="17" t="n">
        <v>5.01</v>
      </c>
      <c r="L1454" s="17" t="n">
        <v>25.86</v>
      </c>
      <c r="M1454" s="17" t="n">
        <v>0</v>
      </c>
      <c r="N1454" s="17">
        <f>K1454*0.08+L1454*0.08</f>
        <v/>
      </c>
      <c r="O1454" s="17">
        <f>-(K1454*0.025+L1454*0.025)</f>
        <v/>
      </c>
      <c r="P1454" s="17">
        <f>32</f>
        <v/>
      </c>
      <c r="Q1454" s="17">
        <f>J1454+L1454+N1454+O1454-P1454-M1454</f>
        <v/>
      </c>
    </row>
    <row r="1455">
      <c r="A1455" s="16" t="inlineStr">
        <is>
          <t>5.15-5.21</t>
        </is>
      </c>
      <c r="B1455" s="16" t="inlineStr">
        <is>
          <t>PO-128-12888600320630392</t>
        </is>
      </c>
      <c r="C1455" s="16" t="inlineStr">
        <is>
          <t>Shipped</t>
        </is>
      </c>
      <c r="D1455" s="16" t="inlineStr">
        <is>
          <t>128-12888752364150392</t>
        </is>
      </c>
      <c r="E1455" s="16" t="inlineStr">
        <is>
          <t>Shipped</t>
        </is>
      </c>
      <c r="F1455" s="16" t="inlineStr">
        <is>
          <t>KTS-1678R</t>
        </is>
      </c>
      <c r="G1455" s="16" t="inlineStr">
        <is>
          <t>Bocina portátil Inalámbrico, de 3 pulgadas, tamaño de bolsillo, 170 g, con asa, compatible con TF, USB y Micro SD, con radio FM y función TWS (True Wireless Stereo), adecuada para relajarse en casa o viajar al aire libre.</t>
        </is>
      </c>
      <c r="H1455" s="16" t="inlineStr">
        <is>
          <t>KTS-1678R</t>
        </is>
      </c>
      <c r="I1455" s="16" t="n">
        <v>1</v>
      </c>
      <c r="J1455" s="17" t="n">
        <v>40</v>
      </c>
      <c r="K1455" s="17" t="n">
        <v>48.27</v>
      </c>
      <c r="L1455" s="17" t="n">
        <v>25.86</v>
      </c>
      <c r="M1455" s="17" t="n">
        <v>0</v>
      </c>
      <c r="N1455" s="17">
        <f>K1455*0.08+L1455*0.08</f>
        <v/>
      </c>
      <c r="O1455" s="17">
        <f>-(K1455*0.025+L1455*0.025)</f>
        <v/>
      </c>
      <c r="P1455" s="17">
        <f>32</f>
        <v/>
      </c>
      <c r="Q1455" s="17">
        <f>J1455+L1455+N1455+O1455-P1455-M1455</f>
        <v/>
      </c>
    </row>
    <row r="1456">
      <c r="A1456" s="16" t="inlineStr">
        <is>
          <t>5.15-5.21</t>
        </is>
      </c>
      <c r="B1456" s="16" t="inlineStr">
        <is>
          <t>PO-128-12889680732790386</t>
        </is>
      </c>
      <c r="C1456" s="16" t="inlineStr">
        <is>
          <t>Shipped</t>
        </is>
      </c>
      <c r="D1456" s="16" t="inlineStr">
        <is>
          <t>128-12889722675830386</t>
        </is>
      </c>
      <c r="E1456" s="16" t="inlineStr">
        <is>
          <t>Shipped</t>
        </is>
      </c>
      <c r="F1456" s="16" t="inlineStr">
        <is>
          <t>MB-185N</t>
        </is>
      </c>
      <c r="G1456" s="16" t="inlineStr">
        <is>
          <t>Bocina Radio FM/Reproductor, Compatible con Tarjeta TF, USB, Bluetooth, Aplicable para celular, computadora, Ipad y consola.</t>
        </is>
      </c>
      <c r="H1456" s="16" t="inlineStr">
        <is>
          <t>NEGRO/MB-185</t>
        </is>
      </c>
      <c r="I1456" s="16" t="n">
        <v>1</v>
      </c>
      <c r="J1456" s="17" t="n">
        <v>71.31</v>
      </c>
      <c r="K1456" s="17" t="n">
        <v>84.23999999999999</v>
      </c>
      <c r="L1456" s="17" t="n">
        <v>25.86</v>
      </c>
      <c r="M1456" s="17" t="n">
        <v>0</v>
      </c>
      <c r="N1456" s="17">
        <f>K1456*0.08+L1456*0.08</f>
        <v/>
      </c>
      <c r="O1456" s="17">
        <f>-(K1456*0.025+L1456*0.025)</f>
        <v/>
      </c>
      <c r="P1456" s="17">
        <f>32</f>
        <v/>
      </c>
      <c r="Q1456" s="17">
        <f>J1456+L1456+N1456+O1456-P1456-M1456</f>
        <v/>
      </c>
    </row>
    <row r="1457">
      <c r="A1457" s="16" t="inlineStr">
        <is>
          <t>5.15-5.21</t>
        </is>
      </c>
      <c r="B1457" s="16" t="inlineStr">
        <is>
          <t>PO-128-12764641203831197</t>
        </is>
      </c>
      <c r="C1457" s="16" t="inlineStr">
        <is>
          <t>Shipped</t>
        </is>
      </c>
      <c r="D1457" s="16" t="inlineStr">
        <is>
          <t>128-12764630718071197</t>
        </is>
      </c>
      <c r="E1457" s="16" t="inlineStr">
        <is>
          <t>Shipped</t>
        </is>
      </c>
      <c r="F1457" s="16" t="inlineStr">
        <is>
          <t>FA028</t>
        </is>
      </c>
      <c r="G1457" s="16" t="inlineStr">
        <is>
          <t>Extractor de agua para garrafas de agua, compatible con carga USB, extractor de agua automático, práctico, con dos modos de toma de agua: manual y programado, ideal para dormitorios, salones, oficinas, uso al aire libre y otros escenarios.</t>
        </is>
      </c>
      <c r="H1457" s="16" t="inlineStr">
        <is>
          <t>FA028</t>
        </is>
      </c>
      <c r="I1457" s="16" t="n">
        <v>1</v>
      </c>
      <c r="J1457" s="17" t="n">
        <v>27</v>
      </c>
      <c r="K1457" s="17" t="n">
        <v>29.27</v>
      </c>
      <c r="L1457" s="17" t="n">
        <v>25.86</v>
      </c>
      <c r="M1457" s="17" t="n">
        <v>0</v>
      </c>
      <c r="N1457" s="17">
        <f>K1457*0.08+L1457*0.08</f>
        <v/>
      </c>
      <c r="O1457" s="17">
        <f>-(K1457*0.025+L1457*0.025)</f>
        <v/>
      </c>
      <c r="P1457" s="17">
        <f>32</f>
        <v/>
      </c>
      <c r="Q1457" s="17">
        <f>J1457+L1457+N1457+O1457-P1457-M1457</f>
        <v/>
      </c>
    </row>
    <row r="1458">
      <c r="A1458" s="16" t="inlineStr">
        <is>
          <t>5.15-5.21</t>
        </is>
      </c>
      <c r="B1458" s="16" t="inlineStr">
        <is>
          <t>PO-128-12442266814073119</t>
        </is>
      </c>
      <c r="C1458" s="16" t="inlineStr">
        <is>
          <t>Shipped</t>
        </is>
      </c>
      <c r="D1458" s="16" t="inlineStr">
        <is>
          <t>128-12442287785593119</t>
        </is>
      </c>
      <c r="E1458" s="16" t="inlineStr">
        <is>
          <t>Shipped</t>
        </is>
      </c>
      <c r="F1458" s="16" t="inlineStr">
        <is>
          <t>LB02235-azul</t>
        </is>
      </c>
      <c r="G1458" s="16" t="inlineStr">
        <is>
          <t>Audífonos Inalámbricos para la Cabeza, Recargables y Multifuncionales - Conectan a Varios Dispositivos, soportan Radio FM, Tarjeta TF y AUX - 4 Horas de Reproducción Musical - Ideal para Trabajo Cotidiano, Juegos y Estudio</t>
        </is>
      </c>
      <c r="H1458" s="16" t="inlineStr">
        <is>
          <t>AZUL</t>
        </is>
      </c>
      <c r="I1458" s="16" t="n">
        <v>1</v>
      </c>
      <c r="J1458" s="17" t="n">
        <v>35</v>
      </c>
      <c r="K1458" s="17" t="n">
        <v>48.11</v>
      </c>
      <c r="L1458" s="17" t="n">
        <v>25.86</v>
      </c>
      <c r="M1458" s="17" t="n">
        <v>0</v>
      </c>
      <c r="N1458" s="17">
        <f>K1458*0.08+L1458*0.08</f>
        <v/>
      </c>
      <c r="O1458" s="17">
        <f>-(K1458*0.025+L1458*0.025)</f>
        <v/>
      </c>
      <c r="P1458" s="17">
        <f>32</f>
        <v/>
      </c>
      <c r="Q1458" s="17">
        <f>J1458+L1458+N1458+O1458-P1458-M1458</f>
        <v/>
      </c>
    </row>
    <row r="1459">
      <c r="A1459" s="16" t="inlineStr">
        <is>
          <t>5.15-5.21</t>
        </is>
      </c>
      <c r="B1459" s="16" t="inlineStr">
        <is>
          <t>PO-128-12821917839991814</t>
        </is>
      </c>
      <c r="C1459" s="16" t="inlineStr">
        <is>
          <t>Shipped</t>
        </is>
      </c>
      <c r="D1459" s="16" t="inlineStr">
        <is>
          <t>128-12821970268791814</t>
        </is>
      </c>
      <c r="E1459" s="16" t="inlineStr">
        <is>
          <t>Shipped</t>
        </is>
      </c>
      <c r="F1459" s="16" t="inlineStr">
        <is>
          <t>SA323T</t>
        </is>
      </c>
      <c r="G1459" s="16" t="inlineStr">
        <is>
          <t>Linkbits Bocina Portátil Parlantes BT Portátiles con Iluminación de Ambiente | 1 Hora de Duración, FM, TWS, TF/Micro SD | Ideal para Hogar, Fiestas y Viajes</t>
        </is>
      </c>
      <c r="H1459" s="16" t="inlineStr">
        <is>
          <t>SA323T</t>
        </is>
      </c>
      <c r="I1459" s="16" t="n">
        <v>1</v>
      </c>
      <c r="J1459" s="17" t="n">
        <v>37.71</v>
      </c>
      <c r="K1459" s="17" t="n">
        <v>46.75</v>
      </c>
      <c r="L1459" s="17" t="n">
        <v>25.86</v>
      </c>
      <c r="M1459" s="17" t="n">
        <v>0</v>
      </c>
      <c r="N1459" s="17">
        <f>K1459*0.08+L1459*0.08</f>
        <v/>
      </c>
      <c r="O1459" s="17">
        <f>-(K1459*0.025+L1459*0.025)</f>
        <v/>
      </c>
      <c r="P1459" s="17">
        <f>32</f>
        <v/>
      </c>
      <c r="Q1459" s="17">
        <f>J1459+L1459+N1459+O1459-P1459-M1459</f>
        <v/>
      </c>
    </row>
    <row r="1460">
      <c r="A1460" s="16" t="inlineStr">
        <is>
          <t>5.15-5.21</t>
        </is>
      </c>
      <c r="B1460" s="16" t="inlineStr">
        <is>
          <t>PO-128-12663783603832884</t>
        </is>
      </c>
      <c r="C1460" s="16" t="inlineStr">
        <is>
          <t>Shipped</t>
        </is>
      </c>
      <c r="D1460" s="16" t="inlineStr">
        <is>
          <t>128-12663851761272884</t>
        </is>
      </c>
      <c r="E1460" s="16" t="inlineStr">
        <is>
          <t>Shipped</t>
        </is>
      </c>
      <c r="F1460" s="16" t="inlineStr">
        <is>
          <t>MB-185R</t>
        </is>
      </c>
      <c r="G1460" s="16" t="inlineStr">
        <is>
          <t>Bocina Radio FM/Reproductor, Compatible con Tarjeta TF, USB, Bluetooth, Aplicable para celular, computadora, Ipad y consola.</t>
        </is>
      </c>
      <c r="H1460" s="16" t="inlineStr">
        <is>
          <t>ROJO/MB-185</t>
        </is>
      </c>
      <c r="I1460" s="16" t="n">
        <v>1</v>
      </c>
      <c r="J1460" s="17" t="n">
        <v>71.31</v>
      </c>
      <c r="K1460" s="17" t="n">
        <v>74.17</v>
      </c>
      <c r="L1460" s="17" t="n">
        <v>25.86</v>
      </c>
      <c r="M1460" s="17" t="n">
        <v>0</v>
      </c>
      <c r="N1460" s="17">
        <f>K1460*0.08+L1460*0.08</f>
        <v/>
      </c>
      <c r="O1460" s="17">
        <f>-(K1460*0.025+L1460*0.025)</f>
        <v/>
      </c>
      <c r="P1460" s="17">
        <f>32</f>
        <v/>
      </c>
      <c r="Q1460" s="17">
        <f>J1460+L1460+N1460+O1460-P1460-M1460</f>
        <v/>
      </c>
    </row>
    <row r="1461">
      <c r="A1461" s="16" t="inlineStr">
        <is>
          <t>5.15-5.21</t>
        </is>
      </c>
      <c r="B1461" s="16" t="inlineStr">
        <is>
          <t>PO-128-12919991363190335</t>
        </is>
      </c>
      <c r="C1461" s="16" t="inlineStr">
        <is>
          <t>Shipped</t>
        </is>
      </c>
      <c r="D1461" s="16" t="inlineStr">
        <is>
          <t>128-12920004470390335</t>
        </is>
      </c>
      <c r="E1461" s="16" t="inlineStr">
        <is>
          <t>Shipped</t>
        </is>
      </c>
      <c r="F1461" s="16" t="inlineStr">
        <is>
          <t>LB02235-azul</t>
        </is>
      </c>
      <c r="G1461" s="16" t="inlineStr">
        <is>
          <t>Audífonos Inalámbricos para la Cabeza, Recargables y Multifuncionales - Conectan a Varios Dispositivos, soportan Radio FM, Tarjeta TF y AUX - 4 Horas de Reproducción Musical - Ideal para Trabajo Cotidiano, Juegos y Estudio</t>
        </is>
      </c>
      <c r="H1461" s="16" t="inlineStr">
        <is>
          <t>AZUL</t>
        </is>
      </c>
      <c r="I1461" s="16" t="n">
        <v>1</v>
      </c>
      <c r="J1461" s="17" t="n">
        <v>35</v>
      </c>
      <c r="K1461" s="17" t="n">
        <v>38.49</v>
      </c>
      <c r="L1461" s="17" t="n">
        <v>25.86</v>
      </c>
      <c r="M1461" s="17" t="n">
        <v>0</v>
      </c>
      <c r="N1461" s="17">
        <f>K1461*0.08+L1461*0.08</f>
        <v/>
      </c>
      <c r="O1461" s="17">
        <f>-(K1461*0.025+L1461*0.025)</f>
        <v/>
      </c>
      <c r="P1461" s="17">
        <f>32</f>
        <v/>
      </c>
      <c r="Q1461" s="17">
        <f>J1461+L1461+N1461+O1461-P1461-M1461</f>
        <v/>
      </c>
    </row>
    <row r="1462">
      <c r="A1462" s="16" t="inlineStr">
        <is>
          <t>5.15-5.21</t>
        </is>
      </c>
      <c r="B1462" s="16" t="inlineStr">
        <is>
          <t>PO-128-12577288699512376</t>
        </is>
      </c>
      <c r="C1462" s="16" t="inlineStr">
        <is>
          <t>Shipped</t>
        </is>
      </c>
      <c r="D1462" s="16" t="inlineStr">
        <is>
          <t>128-12577330642552376</t>
        </is>
      </c>
      <c r="E1462" s="16" t="inlineStr">
        <is>
          <t>Shipped</t>
        </is>
      </c>
      <c r="F1462" s="16" t="inlineStr">
        <is>
          <t>SA325T</t>
        </is>
      </c>
      <c r="G1462" s="16" t="inlineStr">
        <is>
          <t>Subwoofer Portátil Inalámbrico con Luces RGB, Sonido de Alta Potencia y Batería Duradera, TWS TF USB, Perfecto para Campamento Fiestas y Entretenimiento en Casa</t>
        </is>
      </c>
      <c r="H1462" s="16" t="inlineStr">
        <is>
          <t>NEGRO</t>
        </is>
      </c>
      <c r="I1462" s="16" t="n">
        <v>1</v>
      </c>
      <c r="J1462" s="17" t="n">
        <v>36</v>
      </c>
      <c r="K1462" s="17" t="n">
        <v>45.04</v>
      </c>
      <c r="L1462" s="17" t="n">
        <v>25.86</v>
      </c>
      <c r="M1462" s="17" t="n">
        <v>0</v>
      </c>
      <c r="N1462" s="17">
        <f>K1462*0.08+L1462*0.08</f>
        <v/>
      </c>
      <c r="O1462" s="17">
        <f>-(K1462*0.025+L1462*0.025)</f>
        <v/>
      </c>
      <c r="P1462" s="17">
        <f>32</f>
        <v/>
      </c>
      <c r="Q1462" s="17">
        <f>J1462+L1462+N1462+O1462-P1462-M1462</f>
        <v/>
      </c>
    </row>
    <row r="1463">
      <c r="A1463" s="16" t="inlineStr">
        <is>
          <t>5.15-5.21</t>
        </is>
      </c>
      <c r="B1463" s="16" t="inlineStr">
        <is>
          <t>PO-128-12424937974393284</t>
        </is>
      </c>
      <c r="C1463" s="16" t="inlineStr">
        <is>
          <t>Shipped</t>
        </is>
      </c>
      <c r="D1463" s="16" t="inlineStr">
        <is>
          <t>128-12424979917433284</t>
        </is>
      </c>
      <c r="E1463" s="16" t="inlineStr">
        <is>
          <t>Shipped</t>
        </is>
      </c>
      <c r="F1463" s="16" t="inlineStr">
        <is>
          <t>KTS-1678V</t>
        </is>
      </c>
      <c r="G1463" s="16" t="inlineStr">
        <is>
          <t>Bocina portátil Inalámbrico, de 3 pulgadas, tamaño de bolsillo, 170 g, con asa, compatible con TF, USB y Micro SD, con radio FM y función TWS (True Wireless Stereo), adecuada para relajarse en casa o viajar al aire libre.</t>
        </is>
      </c>
      <c r="H1463" s="16" t="inlineStr">
        <is>
          <t>KTS-1678V</t>
        </is>
      </c>
      <c r="I1463" s="16" t="n">
        <v>1</v>
      </c>
      <c r="J1463" s="17" t="n">
        <v>40</v>
      </c>
      <c r="K1463" s="17" t="n">
        <v>5.17</v>
      </c>
      <c r="L1463" s="17" t="n">
        <v>25.86</v>
      </c>
      <c r="M1463" s="17" t="n">
        <v>0</v>
      </c>
      <c r="N1463" s="17">
        <f>K1463*0.08+L1463*0.08</f>
        <v/>
      </c>
      <c r="O1463" s="17">
        <f>-(K1463*0.025+L1463*0.025)</f>
        <v/>
      </c>
      <c r="P1463" s="17">
        <f>32</f>
        <v/>
      </c>
      <c r="Q1463" s="17">
        <f>J1463+L1463+N1463+O1463-P1463-M1463</f>
        <v/>
      </c>
    </row>
    <row r="1464">
      <c r="A1464" s="16" t="inlineStr">
        <is>
          <t>5.15-5.21</t>
        </is>
      </c>
      <c r="B1464" s="16" t="inlineStr">
        <is>
          <t>PO-128-12724541082231498</t>
        </is>
      </c>
      <c r="C1464" s="16" t="inlineStr">
        <is>
          <t>Shipped</t>
        </is>
      </c>
      <c r="D1464" s="16" t="inlineStr">
        <is>
          <t>128-12724645939831498</t>
        </is>
      </c>
      <c r="E1464" s="16" t="inlineStr">
        <is>
          <t>Shipped</t>
        </is>
      </c>
      <c r="F1464" s="16" t="inlineStr">
        <is>
          <t>SA323T</t>
        </is>
      </c>
      <c r="G1464" s="16" t="inlineStr">
        <is>
          <t>Linkbits Bocina Portátil Parlantes BT Portátiles con Iluminación de Ambiente | 1 Hora de Duración, FM, TWS, TF/Micro SD | Ideal para Hogar, Fiestas y Viajes</t>
        </is>
      </c>
      <c r="H1464" s="16" t="inlineStr">
        <is>
          <t>SA323T</t>
        </is>
      </c>
      <c r="I1464" s="16" t="n">
        <v>1</v>
      </c>
      <c r="J1464" s="17" t="n">
        <v>37.71</v>
      </c>
      <c r="K1464" s="17" t="n">
        <v>46.75</v>
      </c>
      <c r="L1464" s="17" t="n">
        <v>25.86</v>
      </c>
      <c r="M1464" s="17" t="n">
        <v>0</v>
      </c>
      <c r="N1464" s="17">
        <f>K1464*0.08+L1464*0.08</f>
        <v/>
      </c>
      <c r="O1464" s="17">
        <f>-(K1464*0.025+L1464*0.025)</f>
        <v/>
      </c>
      <c r="P1464" s="17">
        <f>32</f>
        <v/>
      </c>
      <c r="Q1464" s="17">
        <f>J1464+L1464+N1464+O1464-P1464-M1464</f>
        <v/>
      </c>
    </row>
    <row r="1465">
      <c r="A1465" s="16" t="inlineStr">
        <is>
          <t>5.15-5.21</t>
        </is>
      </c>
      <c r="B1465" s="16" t="inlineStr">
        <is>
          <t>PO-128-12420332426873248</t>
        </is>
      </c>
      <c r="C1465" s="16" t="inlineStr">
        <is>
          <t>Shipped</t>
        </is>
      </c>
      <c r="D1465" s="16" t="inlineStr">
        <is>
          <t>128-12420290483833248</t>
        </is>
      </c>
      <c r="E1465" s="16" t="inlineStr">
        <is>
          <t>Shipped</t>
        </is>
      </c>
      <c r="F1465" s="16" t="inlineStr">
        <is>
          <t>LV25W22</t>
        </is>
      </c>
      <c r="G14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65" s="16" t="inlineStr">
        <is>
          <t>LV25W32</t>
        </is>
      </c>
      <c r="I1465" s="16" t="n">
        <v>1</v>
      </c>
      <c r="J1465" s="17" t="n">
        <v>90.43000000000001</v>
      </c>
      <c r="K1465" s="17" t="n">
        <v>100.84</v>
      </c>
      <c r="L1465" s="17" t="n">
        <v>25.86</v>
      </c>
      <c r="M1465" s="17" t="n">
        <v>0</v>
      </c>
      <c r="N1465" s="17">
        <f>K1465*0.08+L1465*0.08</f>
        <v/>
      </c>
      <c r="O1465" s="17">
        <f>-(K1465*0.025+L1465*0.025)</f>
        <v/>
      </c>
      <c r="P1465" s="17">
        <f>32</f>
        <v/>
      </c>
      <c r="Q1465" s="17">
        <f>J1465+L1465+N1465+O1465-P1465-M1465</f>
        <v/>
      </c>
    </row>
    <row r="1466">
      <c r="A1466" s="16" t="inlineStr">
        <is>
          <t>5.15-5.21</t>
        </is>
      </c>
      <c r="B1466" s="16" t="inlineStr">
        <is>
          <t>PO-128-12717502797431412</t>
        </is>
      </c>
      <c r="C1466" s="16" t="inlineStr">
        <is>
          <t>Shipped</t>
        </is>
      </c>
      <c r="D1466" s="16" t="inlineStr">
        <is>
          <t>128-12717607655031412</t>
        </is>
      </c>
      <c r="E1466" s="16" t="inlineStr">
        <is>
          <t>Shipped</t>
        </is>
      </c>
      <c r="F1466" s="16" t="inlineStr">
        <is>
          <t>LV25W22</t>
        </is>
      </c>
      <c r="G14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66" s="16" t="inlineStr">
        <is>
          <t>LV25W32</t>
        </is>
      </c>
      <c r="I1466" s="16" t="n">
        <v>1</v>
      </c>
      <c r="J1466" s="17" t="n">
        <v>90.43000000000001</v>
      </c>
      <c r="K1466" s="17" t="n">
        <v>100.84</v>
      </c>
      <c r="L1466" s="17" t="n">
        <v>25.86</v>
      </c>
      <c r="M1466" s="17" t="n">
        <v>0</v>
      </c>
      <c r="N1466" s="17">
        <f>K1466*0.08+L1466*0.08</f>
        <v/>
      </c>
      <c r="O1466" s="17">
        <f>-(K1466*0.025+L1466*0.025)</f>
        <v/>
      </c>
      <c r="P1466" s="17">
        <f>32</f>
        <v/>
      </c>
      <c r="Q1466" s="17">
        <f>J1466+L1466+N1466+O1466-P1466-M1466</f>
        <v/>
      </c>
    </row>
    <row r="1467">
      <c r="A1467" s="16" t="inlineStr">
        <is>
          <t>5.15-5.21</t>
        </is>
      </c>
      <c r="B1467" s="16" t="inlineStr">
        <is>
          <t>PO-128-12785275663991072</t>
        </is>
      </c>
      <c r="C1467" s="16" t="inlineStr">
        <is>
          <t>Shipped</t>
        </is>
      </c>
      <c r="D1467" s="16" t="inlineStr">
        <is>
          <t>128-12785259935351072</t>
        </is>
      </c>
      <c r="E1467" s="16" t="inlineStr">
        <is>
          <t>Shipped</t>
        </is>
      </c>
      <c r="F1467" s="16" t="inlineStr">
        <is>
          <t>LB02235-rojo</t>
        </is>
      </c>
      <c r="G1467" s="16" t="inlineStr">
        <is>
          <t>Audífonos Inalámbricos para la Cabeza, Recargables y Multifuncionales - Conectan a Varios Dispositivos, soportan Radio FM, Tarjeta TF y AUX - 4 Horas de Reproducción Musical - Ideal para Trabajo Cotidiano, Juegos y Estudio</t>
        </is>
      </c>
      <c r="H1467" s="16" t="inlineStr">
        <is>
          <t>ROJO</t>
        </is>
      </c>
      <c r="I1467" s="16" t="n">
        <v>1</v>
      </c>
      <c r="J1467" s="17" t="n">
        <v>36.5</v>
      </c>
      <c r="K1467" s="17" t="n">
        <v>49.61</v>
      </c>
      <c r="L1467" s="17" t="n">
        <v>25.86</v>
      </c>
      <c r="M1467" s="17" t="n">
        <v>0</v>
      </c>
      <c r="N1467" s="17">
        <f>K1467*0.08+L1467*0.08</f>
        <v/>
      </c>
      <c r="O1467" s="17">
        <f>-(K1467*0.025+L1467*0.025)</f>
        <v/>
      </c>
      <c r="P1467" s="17">
        <f>32</f>
        <v/>
      </c>
      <c r="Q1467" s="17">
        <f>J1467+L1467+N1467+O1467-P1467-M1467</f>
        <v/>
      </c>
    </row>
    <row r="1468">
      <c r="A1468" s="16" t="inlineStr">
        <is>
          <t>5.15-5.21</t>
        </is>
      </c>
      <c r="B1468" s="16" t="inlineStr">
        <is>
          <t>PO-128-12818628803192026</t>
        </is>
      </c>
      <c r="C1468" s="16" t="inlineStr">
        <is>
          <t>Shipped</t>
        </is>
      </c>
      <c r="D1468" s="16" t="inlineStr">
        <is>
          <t>128-12818586860152026</t>
        </is>
      </c>
      <c r="E1468" s="16" t="inlineStr">
        <is>
          <t>Shipped</t>
        </is>
      </c>
      <c r="F1468" s="16" t="inlineStr">
        <is>
          <t>SA325T</t>
        </is>
      </c>
      <c r="G1468" s="16" t="inlineStr">
        <is>
          <t>Subwoofer Portátil Inalámbrico con Luces RGB, Sonido de Alta Potencia y Batería Duradera, TWS TF USB, Perfecto para Campamento Fiestas y Entretenimiento en Casa</t>
        </is>
      </c>
      <c r="H1468" s="16" t="inlineStr">
        <is>
          <t>NEGRO</t>
        </is>
      </c>
      <c r="I1468" s="16" t="n">
        <v>1</v>
      </c>
      <c r="J1468" s="17" t="n">
        <v>36</v>
      </c>
      <c r="K1468" s="17" t="n">
        <v>45.04</v>
      </c>
      <c r="L1468" s="17" t="n">
        <v>25.86</v>
      </c>
      <c r="M1468" s="17" t="n">
        <v>0</v>
      </c>
      <c r="N1468" s="17">
        <f>K1468*0.08+L1468*0.08</f>
        <v/>
      </c>
      <c r="O1468" s="17">
        <f>-(K1468*0.025+L1468*0.025)</f>
        <v/>
      </c>
      <c r="P1468" s="17">
        <f>32</f>
        <v/>
      </c>
      <c r="Q1468" s="17">
        <f>J1468+L1468+N1468+O1468-P1468-M1468</f>
        <v/>
      </c>
    </row>
    <row r="1469">
      <c r="A1469" s="16" t="inlineStr">
        <is>
          <t>5.15-5.21</t>
        </is>
      </c>
      <c r="B1469" s="16" t="inlineStr">
        <is>
          <t>PO-128-12844014270071682</t>
        </is>
      </c>
      <c r="C1469" s="16" t="inlineStr">
        <is>
          <t>Shipped</t>
        </is>
      </c>
      <c r="D1469" s="16" t="inlineStr">
        <is>
          <t>128-12843977569911682</t>
        </is>
      </c>
      <c r="E1469" s="16" t="inlineStr">
        <is>
          <t>Shipped</t>
        </is>
      </c>
      <c r="F1469" s="16" t="inlineStr">
        <is>
          <t>LV25W22</t>
        </is>
      </c>
      <c r="G14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69" s="16" t="inlineStr">
        <is>
          <t>LV25W32</t>
        </is>
      </c>
      <c r="I1469" s="16" t="n">
        <v>1</v>
      </c>
      <c r="J1469" s="17" t="n">
        <v>90.43000000000001</v>
      </c>
      <c r="K1469" s="17" t="n">
        <v>100.84</v>
      </c>
      <c r="L1469" s="17" t="n">
        <v>25.86</v>
      </c>
      <c r="M1469" s="17" t="n">
        <v>0</v>
      </c>
      <c r="N1469" s="17">
        <f>K1469*0.08+L1469*0.08</f>
        <v/>
      </c>
      <c r="O1469" s="17">
        <f>-(K1469*0.025+L1469*0.025)</f>
        <v/>
      </c>
      <c r="P1469" s="17">
        <f>32</f>
        <v/>
      </c>
      <c r="Q1469" s="17">
        <f>J1469+L1469+N1469+O1469-P1469-M1469</f>
        <v/>
      </c>
    </row>
    <row r="1470">
      <c r="A1470" s="16" t="inlineStr">
        <is>
          <t>5.15-5.21</t>
        </is>
      </c>
      <c r="B1470" s="16" t="inlineStr">
        <is>
          <t>PO-128-12557474703992558</t>
        </is>
      </c>
      <c r="C1470" s="16" t="inlineStr">
        <is>
          <t>Shipped</t>
        </is>
      </c>
      <c r="D1470" s="16" t="inlineStr">
        <is>
          <t>128-12557432760952558</t>
        </is>
      </c>
      <c r="E1470" s="16" t="inlineStr">
        <is>
          <t>Shipped</t>
        </is>
      </c>
      <c r="F1470" s="16" t="inlineStr">
        <is>
          <t>LV25W22</t>
        </is>
      </c>
      <c r="G14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0" s="16" t="inlineStr">
        <is>
          <t>LV25W32</t>
        </is>
      </c>
      <c r="I1470" s="16" t="n">
        <v>1</v>
      </c>
      <c r="J1470" s="17" t="n">
        <v>90.43000000000001</v>
      </c>
      <c r="K1470" s="17" t="n">
        <v>100.84</v>
      </c>
      <c r="L1470" s="17" t="n">
        <v>25.86</v>
      </c>
      <c r="M1470" s="17" t="n">
        <v>0</v>
      </c>
      <c r="N1470" s="17">
        <f>K1470*0.08+L1470*0.08</f>
        <v/>
      </c>
      <c r="O1470" s="17">
        <f>-(K1470*0.025+L1470*0.025)</f>
        <v/>
      </c>
      <c r="P1470" s="17">
        <f>32</f>
        <v/>
      </c>
      <c r="Q1470" s="17">
        <f>J1470+L1470+N1470+O1470-P1470-M1470</f>
        <v/>
      </c>
    </row>
    <row r="1471">
      <c r="A1471" s="16" t="inlineStr">
        <is>
          <t>5.15-5.21</t>
        </is>
      </c>
      <c r="B1471" s="16" t="inlineStr">
        <is>
          <t>PO-128-12523106345593597</t>
        </is>
      </c>
      <c r="C1471" s="16" t="inlineStr">
        <is>
          <t>Shipped</t>
        </is>
      </c>
      <c r="D1471" s="16" t="inlineStr">
        <is>
          <t>128-12523182367353597</t>
        </is>
      </c>
      <c r="E1471" s="16" t="inlineStr">
        <is>
          <t>Shipped</t>
        </is>
      </c>
      <c r="F1471" s="16" t="inlineStr">
        <is>
          <t>LV25W22</t>
        </is>
      </c>
      <c r="G147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1" s="16" t="inlineStr">
        <is>
          <t>LV25W32</t>
        </is>
      </c>
      <c r="I1471" s="16" t="n">
        <v>1</v>
      </c>
      <c r="J1471" s="17" t="n">
        <v>90.43000000000001</v>
      </c>
      <c r="K1471" s="17" t="n">
        <v>18.08</v>
      </c>
      <c r="L1471" s="17" t="n">
        <v>25.86</v>
      </c>
      <c r="M1471" s="17" t="n">
        <v>0</v>
      </c>
      <c r="N1471" s="17">
        <f>K1471*0.08+L1471*0.08</f>
        <v/>
      </c>
      <c r="O1471" s="17">
        <f>-(K1471*0.025+L1471*0.025)</f>
        <v/>
      </c>
      <c r="P1471" s="17">
        <f>32</f>
        <v/>
      </c>
      <c r="Q1471" s="17">
        <f>J1471+L1471+N1471+O1471-P1471-M1471</f>
        <v/>
      </c>
    </row>
    <row r="1472">
      <c r="A1472" s="16" t="inlineStr">
        <is>
          <t>5.15-5.21</t>
        </is>
      </c>
      <c r="B1472" s="16" t="inlineStr">
        <is>
          <t>PO-128-12403260723833415</t>
        </is>
      </c>
      <c r="C1472" s="16" t="inlineStr">
        <is>
          <t>Shipped</t>
        </is>
      </c>
      <c r="D1472" s="16" t="inlineStr">
        <is>
          <t>128-12403365581433415</t>
        </is>
      </c>
      <c r="E1472" s="16" t="inlineStr">
        <is>
          <t>Shipped</t>
        </is>
      </c>
      <c r="F1472" s="16" t="inlineStr">
        <is>
          <t>S09W18IB</t>
        </is>
      </c>
      <c r="G147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472" s="16" t="inlineStr">
        <is>
          <t>1 pieza</t>
        </is>
      </c>
      <c r="I1472" s="16" t="n">
        <v>2</v>
      </c>
      <c r="J1472" s="17" t="n">
        <v>45.98</v>
      </c>
      <c r="K1472" s="17" t="n">
        <v>67.23999999999999</v>
      </c>
      <c r="L1472" s="17" t="n">
        <v>25.86</v>
      </c>
      <c r="M1472" s="17" t="n">
        <v>0</v>
      </c>
      <c r="N1472" s="17">
        <f>K1472*0.08+L1472*0.08</f>
        <v/>
      </c>
      <c r="O1472" s="17">
        <f>-(K1472*0.025+L1472*0.025)</f>
        <v/>
      </c>
      <c r="P1472" s="17">
        <f>32</f>
        <v/>
      </c>
      <c r="Q1472" s="17">
        <f>J1472+L1472+N1472+O1472-P1472-M1472</f>
        <v/>
      </c>
    </row>
    <row r="1473">
      <c r="A1473" s="16" t="inlineStr">
        <is>
          <t>5.15-5.21</t>
        </is>
      </c>
      <c r="B1473" s="16" t="inlineStr">
        <is>
          <t>PO-128-13011776584310874</t>
        </is>
      </c>
      <c r="C1473" s="16" t="inlineStr">
        <is>
          <t>Shipped</t>
        </is>
      </c>
      <c r="D1473" s="16" t="inlineStr">
        <is>
          <t>128-13011797555830874</t>
        </is>
      </c>
      <c r="E1473" s="16" t="inlineStr">
        <is>
          <t>Shipped</t>
        </is>
      </c>
      <c r="F1473" s="16" t="inlineStr">
        <is>
          <t>LV25W22</t>
        </is>
      </c>
      <c r="G14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3" s="16" t="inlineStr">
        <is>
          <t>LV25W32</t>
        </is>
      </c>
      <c r="I1473" s="16" t="n">
        <v>1</v>
      </c>
      <c r="J1473" s="17" t="n">
        <v>90.43000000000001</v>
      </c>
      <c r="K1473" s="17" t="n">
        <v>100.84</v>
      </c>
      <c r="L1473" s="17" t="n">
        <v>25.86</v>
      </c>
      <c r="M1473" s="17" t="n">
        <v>0</v>
      </c>
      <c r="N1473" s="17">
        <f>K1473*0.08+L1473*0.08</f>
        <v/>
      </c>
      <c r="O1473" s="17">
        <f>-(K1473*0.025+L1473*0.025)</f>
        <v/>
      </c>
      <c r="P1473" s="17">
        <f>32</f>
        <v/>
      </c>
      <c r="Q1473" s="17">
        <f>J1473+L1473+N1473+O1473-P1473-M1473</f>
        <v/>
      </c>
    </row>
    <row r="1474">
      <c r="A1474" s="16" t="inlineStr">
        <is>
          <t>5.15-5.21</t>
        </is>
      </c>
      <c r="B1474" s="16" t="inlineStr">
        <is>
          <t>PO-128-12983294976630980</t>
        </is>
      </c>
      <c r="C1474" s="16" t="inlineStr">
        <is>
          <t>Shipped</t>
        </is>
      </c>
      <c r="D1474" s="16" t="inlineStr">
        <is>
          <t>128-12983274005110980</t>
        </is>
      </c>
      <c r="E1474" s="16" t="inlineStr">
        <is>
          <t>Shipped</t>
        </is>
      </c>
      <c r="F1474" s="16" t="inlineStr">
        <is>
          <t>SA323T</t>
        </is>
      </c>
      <c r="G1474" s="16" t="inlineStr">
        <is>
          <t>Linkbits Bocina Portátil Parlantes BT Portátiles con Iluminación de Ambiente | 1 Hora de Duración, FM, TWS, TF/Micro SD | Ideal para Hogar, Fiestas y Viajes</t>
        </is>
      </c>
      <c r="H1474" s="16" t="inlineStr">
        <is>
          <t>SA323T</t>
        </is>
      </c>
      <c r="I1474" s="16" t="n">
        <v>1</v>
      </c>
      <c r="J1474" s="17" t="n">
        <v>37.71</v>
      </c>
      <c r="K1474" s="17" t="n">
        <v>39.75</v>
      </c>
      <c r="L1474" s="17" t="n">
        <v>25.86</v>
      </c>
      <c r="M1474" s="17" t="n">
        <v>0</v>
      </c>
      <c r="N1474" s="17">
        <f>K1474*0.08+L1474*0.08</f>
        <v/>
      </c>
      <c r="O1474" s="17">
        <f>-(K1474*0.025+L1474*0.025)</f>
        <v/>
      </c>
      <c r="P1474" s="17">
        <f>32</f>
        <v/>
      </c>
      <c r="Q1474" s="17">
        <f>J1474+L1474+N1474+O1474-P1474-M1474</f>
        <v/>
      </c>
    </row>
    <row r="1475">
      <c r="A1475" s="16" t="inlineStr">
        <is>
          <t>5.15-5.21</t>
        </is>
      </c>
      <c r="B1475" s="16" t="inlineStr">
        <is>
          <t>PO-128-12563757097592331</t>
        </is>
      </c>
      <c r="C1475" s="16" t="inlineStr">
        <is>
          <t>Shipped</t>
        </is>
      </c>
      <c r="D1475" s="16" t="inlineStr">
        <is>
          <t>128-12563715154552331</t>
        </is>
      </c>
      <c r="E1475" s="16" t="inlineStr">
        <is>
          <t>Shipped</t>
        </is>
      </c>
      <c r="F1475" s="16" t="inlineStr">
        <is>
          <t>VA384T-A</t>
        </is>
      </c>
      <c r="G1475" s="16" t="inlineStr">
        <is>
          <t>Bocina Portátil Bluetooth de 3 Pulgadas con Radio FM, USB TF TWS, Sonido Estéreo 5W, Bocina Recargable para Hogar Exterior Viaje Fiesta Camping</t>
        </is>
      </c>
      <c r="H1475" s="16" t="inlineStr">
        <is>
          <t>AZUL</t>
        </is>
      </c>
      <c r="I1475" s="16" t="n">
        <v>1</v>
      </c>
      <c r="J1475" s="17" t="n">
        <v>46</v>
      </c>
      <c r="K1475" s="17" t="n">
        <v>56.72</v>
      </c>
      <c r="L1475" s="17" t="n">
        <v>25.86</v>
      </c>
      <c r="M1475" s="17" t="n">
        <v>0</v>
      </c>
      <c r="N1475" s="17">
        <f>K1475*0.08+L1475*0.08</f>
        <v/>
      </c>
      <c r="O1475" s="17">
        <f>-(K1475*0.025+L1475*0.025)</f>
        <v/>
      </c>
      <c r="P1475" s="17">
        <f>32</f>
        <v/>
      </c>
      <c r="Q1475" s="17">
        <f>J1475+L1475+N1475+O1475-P1475-M1475</f>
        <v/>
      </c>
    </row>
    <row r="1476">
      <c r="A1476" s="16" t="inlineStr">
        <is>
          <t>5.15-5.21</t>
        </is>
      </c>
      <c r="B1476" s="16" t="inlineStr">
        <is>
          <t>PO-128-12930771886710143</t>
        </is>
      </c>
      <c r="C1476" s="16" t="inlineStr">
        <is>
          <t>Shipped</t>
        </is>
      </c>
      <c r="D1476" s="16" t="inlineStr">
        <is>
          <t>128-12930813829750143</t>
        </is>
      </c>
      <c r="E1476" s="16" t="inlineStr">
        <is>
          <t>Shipped</t>
        </is>
      </c>
      <c r="F1476" s="16" t="inlineStr">
        <is>
          <t>LB02235-negro</t>
        </is>
      </c>
      <c r="G1476" s="16" t="inlineStr">
        <is>
          <t>Audífonos Inalámbricos para la Cabeza, Recargables y Multifuncionales - Conectan a Varios Dispositivos, soportan Radio FM, Tarjeta TF y AUX - 4 Horas de Reproducción Musical - Ideal para Trabajo Cotidiano, Juegos y Estudio</t>
        </is>
      </c>
      <c r="H1476" s="16" t="inlineStr">
        <is>
          <t>NEGRO</t>
        </is>
      </c>
      <c r="I1476" s="16" t="n">
        <v>1</v>
      </c>
      <c r="J1476" s="17" t="n">
        <v>36.5</v>
      </c>
      <c r="K1476" s="17" t="n">
        <v>49.61</v>
      </c>
      <c r="L1476" s="17" t="n">
        <v>25.86</v>
      </c>
      <c r="M1476" s="17" t="n">
        <v>0</v>
      </c>
      <c r="N1476" s="17">
        <f>K1476*0.08+L1476*0.08</f>
        <v/>
      </c>
      <c r="O1476" s="17">
        <f>-(K1476*0.025+L1476*0.025)</f>
        <v/>
      </c>
      <c r="P1476" s="17">
        <f>32</f>
        <v/>
      </c>
      <c r="Q1476" s="17">
        <f>J1476+L1476+N1476+O1476-P1476-M1476</f>
        <v/>
      </c>
    </row>
    <row r="1477">
      <c r="A1477" s="16" t="inlineStr">
        <is>
          <t>5.15-5.21</t>
        </is>
      </c>
      <c r="B1477" s="16" t="inlineStr">
        <is>
          <t>PO-128-12871389967991585</t>
        </is>
      </c>
      <c r="C1477" s="16" t="inlineStr">
        <is>
          <t>Shipped</t>
        </is>
      </c>
      <c r="D1477" s="16" t="inlineStr">
        <is>
          <t>128-12871431911031585</t>
        </is>
      </c>
      <c r="E1477" s="16" t="inlineStr">
        <is>
          <t>Shipped</t>
        </is>
      </c>
      <c r="F1477" s="16" t="inlineStr">
        <is>
          <t>LV25W22</t>
        </is>
      </c>
      <c r="G14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7" s="16" t="inlineStr">
        <is>
          <t>LV25W32</t>
        </is>
      </c>
      <c r="I1477" s="16" t="n">
        <v>1</v>
      </c>
      <c r="J1477" s="17" t="n">
        <v>90.43000000000001</v>
      </c>
      <c r="K1477" s="17" t="n">
        <v>100.84</v>
      </c>
      <c r="L1477" s="17" t="n">
        <v>25.86</v>
      </c>
      <c r="M1477" s="17" t="n">
        <v>0</v>
      </c>
      <c r="N1477" s="17">
        <f>K1477*0.08+L1477*0.08</f>
        <v/>
      </c>
      <c r="O1477" s="17">
        <f>-(K1477*0.025+L1477*0.025)</f>
        <v/>
      </c>
      <c r="P1477" s="17">
        <f>32</f>
        <v/>
      </c>
      <c r="Q1477" s="17">
        <f>J1477+L1477+N1477+O1477-P1477-M1477</f>
        <v/>
      </c>
    </row>
    <row r="1478">
      <c r="A1478" s="16" t="inlineStr">
        <is>
          <t>5.15-5.21</t>
        </is>
      </c>
      <c r="B1478" s="16" t="inlineStr">
        <is>
          <t>PO-128-12576127335032385</t>
        </is>
      </c>
      <c r="C1478" s="16" t="inlineStr">
        <is>
          <t>Shipped</t>
        </is>
      </c>
      <c r="D1478" s="16" t="inlineStr">
        <is>
          <t>128-12576195492472385</t>
        </is>
      </c>
      <c r="E1478" s="16" t="inlineStr">
        <is>
          <t>Shipped</t>
        </is>
      </c>
      <c r="F1478" s="16" t="inlineStr">
        <is>
          <t>LV25W22</t>
        </is>
      </c>
      <c r="G14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8" s="16" t="inlineStr">
        <is>
          <t>LV25W32</t>
        </is>
      </c>
      <c r="I1478" s="16" t="n">
        <v>3</v>
      </c>
      <c r="J1478" s="17" t="n">
        <v>271.29</v>
      </c>
      <c r="K1478" s="17" t="n">
        <v>302.52</v>
      </c>
      <c r="L1478" s="17" t="n">
        <v>0</v>
      </c>
      <c r="M1478" s="17" t="n">
        <v>0</v>
      </c>
      <c r="N1478" s="17">
        <f>K1478*0.08+L1478*0.08</f>
        <v/>
      </c>
      <c r="O1478" s="17">
        <f>-(K1478*0.025+L1478*0.025)</f>
        <v/>
      </c>
      <c r="P1478" s="17">
        <f>32</f>
        <v/>
      </c>
      <c r="Q1478" s="17">
        <f>J1478+L1478+N1478+O1478-P1478-M1478</f>
        <v/>
      </c>
    </row>
    <row r="1479">
      <c r="A1479" s="16" t="inlineStr">
        <is>
          <t>5.15-5.21</t>
        </is>
      </c>
      <c r="B1479" s="16" t="inlineStr">
        <is>
          <t>PO-128-12718197627511408</t>
        </is>
      </c>
      <c r="C1479" s="16" t="inlineStr">
        <is>
          <t>Shipped</t>
        </is>
      </c>
      <c r="D1479" s="16" t="inlineStr">
        <is>
          <t>128-12718166170231408</t>
        </is>
      </c>
      <c r="E1479" s="16" t="inlineStr">
        <is>
          <t>Shipped</t>
        </is>
      </c>
      <c r="F1479" s="16" t="inlineStr">
        <is>
          <t>LV25W22</t>
        </is>
      </c>
      <c r="G147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79" s="16" t="inlineStr">
        <is>
          <t>LV25W32</t>
        </is>
      </c>
      <c r="I1479" s="16" t="n">
        <v>1</v>
      </c>
      <c r="J1479" s="17" t="n">
        <v>90.43000000000001</v>
      </c>
      <c r="K1479" s="17" t="n">
        <v>100.84</v>
      </c>
      <c r="L1479" s="17" t="n">
        <v>25.86</v>
      </c>
      <c r="M1479" s="17" t="n">
        <v>0</v>
      </c>
      <c r="N1479" s="17">
        <f>K1479*0.08+L1479*0.08</f>
        <v/>
      </c>
      <c r="O1479" s="17">
        <f>-(K1479*0.025+L1479*0.025)</f>
        <v/>
      </c>
      <c r="P1479" s="17">
        <f>32</f>
        <v/>
      </c>
      <c r="Q1479" s="17">
        <f>J1479+L1479+N1479+O1479-P1479-M1479</f>
        <v/>
      </c>
    </row>
    <row r="1480">
      <c r="A1480" s="16" t="inlineStr">
        <is>
          <t>5.15-5.21</t>
        </is>
      </c>
      <c r="B1480" s="16" t="inlineStr">
        <is>
          <t>PO-128-12916083876470295</t>
        </is>
      </c>
      <c r="C1480" s="16" t="inlineStr">
        <is>
          <t>Shipped</t>
        </is>
      </c>
      <c r="D1480" s="16" t="inlineStr">
        <is>
          <t>128-12916099605110295</t>
        </is>
      </c>
      <c r="E1480" s="16" t="inlineStr">
        <is>
          <t>Shipped</t>
        </is>
      </c>
      <c r="F1480" s="16" t="inlineStr">
        <is>
          <t>LV25W22</t>
        </is>
      </c>
      <c r="G148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80" s="16" t="inlineStr">
        <is>
          <t>LV25W32</t>
        </is>
      </c>
      <c r="I1480" s="16" t="n">
        <v>3</v>
      </c>
      <c r="J1480" s="17" t="n">
        <v>271.29</v>
      </c>
      <c r="K1480" s="17" t="n">
        <v>228.73</v>
      </c>
      <c r="L1480" s="17" t="n">
        <v>0</v>
      </c>
      <c r="M1480" s="17" t="n">
        <v>0</v>
      </c>
      <c r="N1480" s="17">
        <f>K1480*0.08+L1480*0.08</f>
        <v/>
      </c>
      <c r="O1480" s="17">
        <f>-(K1480*0.025+L1480*0.025)</f>
        <v/>
      </c>
      <c r="P1480" s="17">
        <f>32</f>
        <v/>
      </c>
      <c r="Q1480" s="17">
        <f>J1480+L1480+N1480+O1480-P1480-M1480</f>
        <v/>
      </c>
    </row>
    <row r="1481">
      <c r="A1481" s="16" t="inlineStr">
        <is>
          <t>5.15-5.21</t>
        </is>
      </c>
      <c r="B1481" s="16" t="inlineStr">
        <is>
          <t>PO-128-12419804549753253</t>
        </is>
      </c>
      <c r="C1481" s="16" t="inlineStr">
        <is>
          <t>Shipped</t>
        </is>
      </c>
      <c r="D1481" s="16" t="inlineStr">
        <is>
          <t>128-12419830764153253</t>
        </is>
      </c>
      <c r="E1481" s="16" t="inlineStr">
        <is>
          <t>Shipped</t>
        </is>
      </c>
      <c r="F1481" s="16" t="inlineStr">
        <is>
          <t>LB02235-negro</t>
        </is>
      </c>
      <c r="G1481" s="16" t="inlineStr">
        <is>
          <t>Audífonos Inalámbricos para la Cabeza, Recargables y Multifuncionales - Conectan a Varios Dispositivos, soportan Radio FM, Tarjeta TF y AUX - 4 Horas de Reproducción Musical - Ideal para Trabajo Cotidiano, Juegos y Estudio</t>
        </is>
      </c>
      <c r="H1481" s="16" t="inlineStr">
        <is>
          <t>NEGRO</t>
        </is>
      </c>
      <c r="I1481" s="16" t="n">
        <v>1</v>
      </c>
      <c r="J1481" s="17" t="n">
        <v>36.5</v>
      </c>
      <c r="K1481" s="17" t="n">
        <v>49.61</v>
      </c>
      <c r="L1481" s="17" t="n">
        <v>25.86</v>
      </c>
      <c r="M1481" s="17" t="n">
        <v>0</v>
      </c>
      <c r="N1481" s="17">
        <f>K1481*0.08+L1481*0.08</f>
        <v/>
      </c>
      <c r="O1481" s="17">
        <f>-(K1481*0.025+L1481*0.025)</f>
        <v/>
      </c>
      <c r="P1481" s="17">
        <f>32</f>
        <v/>
      </c>
      <c r="Q1481" s="17">
        <f>J1481+L1481+N1481+O1481-P1481-M1481</f>
        <v/>
      </c>
    </row>
    <row r="1482">
      <c r="A1482" s="16" t="inlineStr">
        <is>
          <t>5.15-5.21</t>
        </is>
      </c>
      <c r="B1482" s="16" t="inlineStr">
        <is>
          <t>PO-128-12445517317753163</t>
        </is>
      </c>
      <c r="C1482" s="16" t="inlineStr">
        <is>
          <t>Shipped</t>
        </is>
      </c>
      <c r="D1482" s="16" t="inlineStr">
        <is>
          <t>128-12445653632633163</t>
        </is>
      </c>
      <c r="E1482" s="16" t="inlineStr">
        <is>
          <t>Shipped</t>
        </is>
      </c>
      <c r="F1482" s="16" t="inlineStr">
        <is>
          <t>KTS-1943-V</t>
        </is>
      </c>
      <c r="G1482" s="16" t="inlineStr">
        <is>
          <t>Altavoz Mini Karaoke Portátil BT con Micrófono Inalámbrico, Función TWS, Radio FM, USB/TF, Batería de Larga Duración, Perfecto para Casa, Exterior y Regalos Especiales</t>
        </is>
      </c>
      <c r="H1482" s="16" t="inlineStr">
        <is>
          <t>VERDE</t>
        </is>
      </c>
      <c r="I1482" s="16" t="n">
        <v>1</v>
      </c>
      <c r="J1482" s="17" t="n">
        <v>75</v>
      </c>
      <c r="K1482" s="17" t="n">
        <v>7.84</v>
      </c>
      <c r="L1482" s="17" t="n">
        <v>25.86</v>
      </c>
      <c r="M1482" s="17" t="n">
        <v>0</v>
      </c>
      <c r="N1482" s="17">
        <f>K1482*0.08+L1482*0.08</f>
        <v/>
      </c>
      <c r="O1482" s="17">
        <f>-(K1482*0.025+L1482*0.025)</f>
        <v/>
      </c>
      <c r="P1482" s="17">
        <f>32</f>
        <v/>
      </c>
      <c r="Q1482" s="17">
        <f>J1482+L1482+N1482+O1482-P1482-M1482</f>
        <v/>
      </c>
    </row>
    <row r="1483">
      <c r="A1483" s="16" t="inlineStr">
        <is>
          <t>5.15-5.21</t>
        </is>
      </c>
      <c r="B1483" s="16" t="inlineStr">
        <is>
          <t>PO-128-12781554279031030</t>
        </is>
      </c>
      <c r="C1483" s="16" t="inlineStr">
        <is>
          <t>Shipped</t>
        </is>
      </c>
      <c r="D1483" s="16" t="inlineStr">
        <is>
          <t>128-12781638042231030</t>
        </is>
      </c>
      <c r="E1483" s="16" t="inlineStr">
        <is>
          <t>Shipped</t>
        </is>
      </c>
      <c r="F1483" s="16" t="inlineStr">
        <is>
          <t>MCM-001R</t>
        </is>
      </c>
      <c r="G1483" s="16" t="inlineStr">
        <is>
          <t>Musicord Altavoz Inalámbrico BT Portátil: ¡Sonido impactante, luces LED multicolores y 4 horas de autonomía! Compatible con TWS, FM, TF y USB – Imprescindible para fiestas y viajes</t>
        </is>
      </c>
      <c r="H1483" s="16" t="inlineStr">
        <is>
          <t>ROJO</t>
        </is>
      </c>
      <c r="I1483" s="16" t="n">
        <v>1</v>
      </c>
      <c r="J1483" s="17" t="n">
        <v>66.5</v>
      </c>
      <c r="K1483" s="17" t="n">
        <v>74.29000000000001</v>
      </c>
      <c r="L1483" s="17" t="n">
        <v>25.86</v>
      </c>
      <c r="M1483" s="17" t="n">
        <v>0</v>
      </c>
      <c r="N1483" s="17">
        <f>K1483*0.08+L1483*0.08</f>
        <v/>
      </c>
      <c r="O1483" s="17">
        <f>-(K1483*0.025+L1483*0.025)</f>
        <v/>
      </c>
      <c r="P1483" s="17">
        <f>32</f>
        <v/>
      </c>
      <c r="Q1483" s="17">
        <f>J1483+L1483+N1483+O1483-P1483-M1483</f>
        <v/>
      </c>
    </row>
    <row r="1484">
      <c r="A1484" s="16" t="inlineStr">
        <is>
          <t>5.15-5.21</t>
        </is>
      </c>
      <c r="B1484" s="16" t="inlineStr">
        <is>
          <t>PO-128-12919600476790336</t>
        </is>
      </c>
      <c r="C1484" s="16" t="inlineStr">
        <is>
          <t>Shipped</t>
        </is>
      </c>
      <c r="D1484" s="16" t="inlineStr">
        <is>
          <t>128-12919629967990336</t>
        </is>
      </c>
      <c r="E1484" s="16" t="inlineStr">
        <is>
          <t>Shipped</t>
        </is>
      </c>
      <c r="F1484" s="16" t="inlineStr">
        <is>
          <t>MCM-001N</t>
        </is>
      </c>
      <c r="G1484" s="16" t="inlineStr">
        <is>
          <t>Musicord Altavoz Inalámbrico BT Portátil: ¡Sonido impactante, luces LED multicolores y 4 horas de autonomía! Compatible con TWS, FM, TF y USB – Imprescindible para fiestas y viajes</t>
        </is>
      </c>
      <c r="H1484" s="16" t="inlineStr">
        <is>
          <t>NEGRO</t>
        </is>
      </c>
      <c r="I1484" s="16" t="n">
        <v>1</v>
      </c>
      <c r="J1484" s="17" t="n">
        <v>61</v>
      </c>
      <c r="K1484" s="17" t="n">
        <v>68.79000000000001</v>
      </c>
      <c r="L1484" s="17" t="n">
        <v>25.86</v>
      </c>
      <c r="M1484" s="17" t="n">
        <v>0</v>
      </c>
      <c r="N1484" s="17">
        <f>K1484*0.08+L1484*0.08</f>
        <v/>
      </c>
      <c r="O1484" s="17">
        <f>-(K1484*0.025+L1484*0.025)</f>
        <v/>
      </c>
      <c r="P1484" s="17">
        <f>32</f>
        <v/>
      </c>
      <c r="Q1484" s="17">
        <f>J1484+L1484+N1484+O1484-P1484-M1484</f>
        <v/>
      </c>
    </row>
    <row r="1485">
      <c r="A1485" s="16" t="inlineStr">
        <is>
          <t>5.15-5.21</t>
        </is>
      </c>
      <c r="B1485" s="16" t="inlineStr">
        <is>
          <t>PO-128-12995752330870778</t>
        </is>
      </c>
      <c r="C1485" s="16" t="inlineStr">
        <is>
          <t>Shipped</t>
        </is>
      </c>
      <c r="D1485" s="16" t="inlineStr">
        <is>
          <t>128-12995773302390778</t>
        </is>
      </c>
      <c r="E1485" s="16" t="inlineStr">
        <is>
          <t>Shipped</t>
        </is>
      </c>
      <c r="F1485" s="16" t="inlineStr">
        <is>
          <t>LB02235-blanco</t>
        </is>
      </c>
      <c r="G1485" s="16" t="inlineStr">
        <is>
          <t>Audífonos Inalámbricos para la Cabeza, Recargables y Multifuncionales - Conectan a Varios Dispositivos, soportan Radio FM, Tarjeta TF y AUX - 4 Horas de Reproducción Musical - Ideal para Trabajo Cotidiano, Juegos y Estudio</t>
        </is>
      </c>
      <c r="H1485" s="16" t="inlineStr">
        <is>
          <t>BLANCO</t>
        </is>
      </c>
      <c r="I1485" s="16" t="n">
        <v>1</v>
      </c>
      <c r="J1485" s="17" t="n">
        <v>36.5</v>
      </c>
      <c r="K1485" s="17" t="n">
        <v>49.61</v>
      </c>
      <c r="L1485" s="17" t="n">
        <v>25.86</v>
      </c>
      <c r="M1485" s="17" t="n">
        <v>0</v>
      </c>
      <c r="N1485" s="17">
        <f>K1485*0.08+L1485*0.08</f>
        <v/>
      </c>
      <c r="O1485" s="17">
        <f>-(K1485*0.025+L1485*0.025)</f>
        <v/>
      </c>
      <c r="P1485" s="17">
        <f>32</f>
        <v/>
      </c>
      <c r="Q1485" s="17">
        <f>J1485+L1485+N1485+O1485-P1485-M1485</f>
        <v/>
      </c>
    </row>
    <row r="1486">
      <c r="A1486" s="16" t="inlineStr">
        <is>
          <t>5.15-5.21</t>
        </is>
      </c>
      <c r="B1486" s="16" t="inlineStr">
        <is>
          <t>PO-128-12659209242232848</t>
        </is>
      </c>
      <c r="C1486" s="16" t="inlineStr">
        <is>
          <t>Shipped</t>
        </is>
      </c>
      <c r="D1486" s="16" t="inlineStr">
        <is>
          <t>128-12659243320952848</t>
        </is>
      </c>
      <c r="E1486" s="16" t="inlineStr">
        <is>
          <t>Shipped</t>
        </is>
      </c>
      <c r="F1486" s="16" t="inlineStr">
        <is>
          <t>LV25W22</t>
        </is>
      </c>
      <c r="G14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86" s="16" t="inlineStr">
        <is>
          <t>LV25W32</t>
        </is>
      </c>
      <c r="I1486" s="16" t="n">
        <v>1</v>
      </c>
      <c r="J1486" s="17" t="n">
        <v>90.43000000000001</v>
      </c>
      <c r="K1486" s="17" t="n">
        <v>100.84</v>
      </c>
      <c r="L1486" s="17" t="n">
        <v>25.86</v>
      </c>
      <c r="M1486" s="17" t="n">
        <v>0</v>
      </c>
      <c r="N1486" s="17">
        <f>K1486*0.08+L1486*0.08</f>
        <v/>
      </c>
      <c r="O1486" s="17">
        <f>-(K1486*0.025+L1486*0.025)</f>
        <v/>
      </c>
      <c r="P1486" s="17">
        <f>32</f>
        <v/>
      </c>
      <c r="Q1486" s="17">
        <f>J1486+L1486+N1486+O1486-P1486-M1486</f>
        <v/>
      </c>
    </row>
    <row r="1487">
      <c r="A1487" s="16" t="inlineStr">
        <is>
          <t>5.15-5.21</t>
        </is>
      </c>
      <c r="B1487" s="16" t="inlineStr">
        <is>
          <t>PO-128-12507416131193752</t>
        </is>
      </c>
      <c r="C1487" s="16" t="inlineStr">
        <is>
          <t>Shipped</t>
        </is>
      </c>
      <c r="D1487" s="16" t="inlineStr">
        <is>
          <t>128-12507443656313752</t>
        </is>
      </c>
      <c r="E1487" s="16" t="inlineStr">
        <is>
          <t>Shipped</t>
        </is>
      </c>
      <c r="F1487" s="16" t="inlineStr">
        <is>
          <t>LB02235-negro</t>
        </is>
      </c>
      <c r="G1487" s="16" t="inlineStr">
        <is>
          <t>Audífonos Inalámbricos para la Cabeza, Recargables y Multifuncionales - Conectan a Varios Dispositivos, soportan Radio FM, Tarjeta TF y AUX - 4 Horas de Reproducción Musical - Ideal para Trabajo Cotidiano, Juegos y Estudio</t>
        </is>
      </c>
      <c r="H1487" s="16" t="inlineStr">
        <is>
          <t>NEGRO</t>
        </is>
      </c>
      <c r="I1487" s="16" t="n">
        <v>1</v>
      </c>
      <c r="J1487" s="17" t="n">
        <v>36.5</v>
      </c>
      <c r="K1487" s="17" t="n">
        <v>49.61</v>
      </c>
      <c r="L1487" s="17" t="n">
        <v>25.86</v>
      </c>
      <c r="M1487" s="17" t="n">
        <v>0</v>
      </c>
      <c r="N1487" s="17">
        <f>K1487*0.08+L1487*0.08</f>
        <v/>
      </c>
      <c r="O1487" s="17">
        <f>-(K1487*0.025+L1487*0.025)</f>
        <v/>
      </c>
      <c r="P1487" s="17">
        <f>32</f>
        <v/>
      </c>
      <c r="Q1487" s="17">
        <f>J1487+L1487+N1487+O1487-P1487-M1487</f>
        <v/>
      </c>
    </row>
    <row r="1488">
      <c r="A1488" s="16" t="inlineStr">
        <is>
          <t>5.15-5.21</t>
        </is>
      </c>
      <c r="B1488" s="16" t="inlineStr">
        <is>
          <t>PO-128-13004389325430854</t>
        </is>
      </c>
      <c r="C1488" s="16" t="inlineStr">
        <is>
          <t>Shipped</t>
        </is>
      </c>
      <c r="D1488" s="16" t="inlineStr">
        <is>
          <t>128-13004494183030854</t>
        </is>
      </c>
      <c r="E1488" s="16" t="inlineStr">
        <is>
          <t>Shipped</t>
        </is>
      </c>
      <c r="F1488" s="16" t="inlineStr">
        <is>
          <t>LB02235-negro</t>
        </is>
      </c>
      <c r="G1488" s="16" t="inlineStr">
        <is>
          <t>Audífonos Inalámbricos para la Cabeza, Recargables y Multifuncionales - Conectan a Varios Dispositivos, soportan Radio FM, Tarjeta TF y AUX - 4 Horas de Reproducción Musical - Ideal para Trabajo Cotidiano, Juegos y Estudio</t>
        </is>
      </c>
      <c r="H1488" s="16" t="inlineStr">
        <is>
          <t>NEGRO</t>
        </is>
      </c>
      <c r="I1488" s="16" t="n">
        <v>1</v>
      </c>
      <c r="J1488" s="17" t="n">
        <v>36.5</v>
      </c>
      <c r="K1488" s="17" t="n">
        <v>39.69</v>
      </c>
      <c r="L1488" s="17" t="n">
        <v>25.86</v>
      </c>
      <c r="M1488" s="17" t="n">
        <v>0</v>
      </c>
      <c r="N1488" s="17">
        <f>K1488*0.08+L1488*0.08</f>
        <v/>
      </c>
      <c r="O1488" s="17">
        <f>-(K1488*0.025+L1488*0.025)</f>
        <v/>
      </c>
      <c r="P1488" s="17">
        <f>32</f>
        <v/>
      </c>
      <c r="Q1488" s="17">
        <f>J1488+L1488+N1488+O1488-P1488-M1488</f>
        <v/>
      </c>
    </row>
    <row r="1489">
      <c r="A1489" s="16" t="inlineStr">
        <is>
          <t>5.15-5.21</t>
        </is>
      </c>
      <c r="B1489" s="16" t="inlineStr">
        <is>
          <t>PO-128-12490259702393921</t>
        </is>
      </c>
      <c r="C1489" s="16" t="inlineStr">
        <is>
          <t>Shipped</t>
        </is>
      </c>
      <c r="D1489" s="16" t="inlineStr">
        <is>
          <t>128-12490280673913921</t>
        </is>
      </c>
      <c r="E1489" s="16" t="inlineStr">
        <is>
          <t>Shipped</t>
        </is>
      </c>
      <c r="F1489" s="16" t="inlineStr">
        <is>
          <t>LV25W22</t>
        </is>
      </c>
      <c r="G14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89" s="16" t="inlineStr">
        <is>
          <t>LV25W32</t>
        </is>
      </c>
      <c r="I1489" s="16" t="n">
        <v>1</v>
      </c>
      <c r="J1489" s="17" t="n">
        <v>90.43000000000001</v>
      </c>
      <c r="K1489" s="17" t="n">
        <v>100.84</v>
      </c>
      <c r="L1489" s="17" t="n">
        <v>25.86</v>
      </c>
      <c r="M1489" s="17" t="n">
        <v>0</v>
      </c>
      <c r="N1489" s="17">
        <f>K1489*0.08+L1489*0.08</f>
        <v/>
      </c>
      <c r="O1489" s="17">
        <f>-(K1489*0.025+L1489*0.025)</f>
        <v/>
      </c>
      <c r="P1489" s="17">
        <f>32</f>
        <v/>
      </c>
      <c r="Q1489" s="17">
        <f>J1489+L1489+N1489+O1489-P1489-M1489</f>
        <v/>
      </c>
    </row>
    <row r="1490">
      <c r="A1490" s="16" t="inlineStr">
        <is>
          <t>5.15-5.21</t>
        </is>
      </c>
      <c r="B1490" s="16" t="inlineStr">
        <is>
          <t>PO-128-12994152760950789</t>
        </is>
      </c>
      <c r="C1490" s="16" t="inlineStr">
        <is>
          <t>Shipped</t>
        </is>
      </c>
      <c r="D1490" s="16" t="inlineStr">
        <is>
          <t>128-12994173732470789</t>
        </is>
      </c>
      <c r="E1490" s="16" t="inlineStr">
        <is>
          <t>Shipped</t>
        </is>
      </c>
      <c r="F1490" s="16" t="inlineStr">
        <is>
          <t>LB02235-negro</t>
        </is>
      </c>
      <c r="G1490" s="16" t="inlineStr">
        <is>
          <t>Audífonos Inalámbricos para la Cabeza, Recargables y Multifuncionales - Conectan a Varios Dispositivos, soportan Radio FM, Tarjeta TF y AUX - 4 Horas de Reproducción Musical - Ideal para Trabajo Cotidiano, Juegos y Estudio</t>
        </is>
      </c>
      <c r="H1490" s="16" t="inlineStr">
        <is>
          <t>NEGRO</t>
        </is>
      </c>
      <c r="I1490" s="16" t="n">
        <v>1</v>
      </c>
      <c r="J1490" s="17" t="n">
        <v>36.5</v>
      </c>
      <c r="K1490" s="17" t="n">
        <v>49.61</v>
      </c>
      <c r="L1490" s="17" t="n">
        <v>25.86</v>
      </c>
      <c r="M1490" s="17" t="n">
        <v>0</v>
      </c>
      <c r="N1490" s="17">
        <f>K1490*0.08+L1490*0.08</f>
        <v/>
      </c>
      <c r="O1490" s="17">
        <f>-(K1490*0.025+L1490*0.025)</f>
        <v/>
      </c>
      <c r="P1490" s="17">
        <f>32</f>
        <v/>
      </c>
      <c r="Q1490" s="17">
        <f>J1490+L1490+N1490+O1490-P1490-M1490</f>
        <v/>
      </c>
    </row>
    <row r="1491">
      <c r="A1491" s="16" t="inlineStr">
        <is>
          <t>5.15-5.21</t>
        </is>
      </c>
      <c r="B1491" s="16" t="inlineStr">
        <is>
          <t>PO-128-12739244278391285</t>
        </is>
      </c>
      <c r="C1491" s="16" t="inlineStr">
        <is>
          <t>Shipped</t>
        </is>
      </c>
      <c r="D1491" s="16" t="inlineStr">
        <is>
          <t>128-12739202335351285</t>
        </is>
      </c>
      <c r="E1491" s="16" t="inlineStr">
        <is>
          <t>Shipped</t>
        </is>
      </c>
      <c r="F1491" s="16" t="inlineStr">
        <is>
          <t>LV25W22</t>
        </is>
      </c>
      <c r="G149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91" s="16" t="inlineStr">
        <is>
          <t>LV25W32</t>
        </is>
      </c>
      <c r="I1491" s="16" t="n">
        <v>1</v>
      </c>
      <c r="J1491" s="17" t="n">
        <v>90.43000000000001</v>
      </c>
      <c r="K1491" s="17" t="n">
        <v>70.59</v>
      </c>
      <c r="L1491" s="17" t="n">
        <v>25.86</v>
      </c>
      <c r="M1491" s="17" t="n">
        <v>0</v>
      </c>
      <c r="N1491" s="17">
        <f>K1491*0.08+L1491*0.08</f>
        <v/>
      </c>
      <c r="O1491" s="17">
        <f>-(K1491*0.025+L1491*0.025)</f>
        <v/>
      </c>
      <c r="P1491" s="17">
        <f>32</f>
        <v/>
      </c>
      <c r="Q1491" s="17">
        <f>J1491+L1491+N1491+O1491-P1491-M1491</f>
        <v/>
      </c>
    </row>
    <row r="1492">
      <c r="A1492" s="16" t="inlineStr">
        <is>
          <t>5.15-5.21</t>
        </is>
      </c>
      <c r="B1492" s="16" t="inlineStr">
        <is>
          <t>PO-128-12768973824631235</t>
        </is>
      </c>
      <c r="C1492" s="16" t="inlineStr">
        <is>
          <t>Shipped</t>
        </is>
      </c>
      <c r="D1492" s="16" t="inlineStr">
        <is>
          <t>128-12769137664631235</t>
        </is>
      </c>
      <c r="E1492" s="16" t="inlineStr">
        <is>
          <t>Shipped</t>
        </is>
      </c>
      <c r="F1492" s="16" t="inlineStr">
        <is>
          <t>LV25W22</t>
        </is>
      </c>
      <c r="G14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92" s="16" t="inlineStr">
        <is>
          <t>LV25W32</t>
        </is>
      </c>
      <c r="I1492" s="16" t="n">
        <v>3</v>
      </c>
      <c r="J1492" s="17" t="n">
        <v>271.29</v>
      </c>
      <c r="K1492" s="17" t="n">
        <v>302.52</v>
      </c>
      <c r="L1492" s="17" t="n">
        <v>0</v>
      </c>
      <c r="M1492" s="17" t="n">
        <v>0</v>
      </c>
      <c r="N1492" s="17">
        <f>K1492*0.08+L1492*0.08</f>
        <v/>
      </c>
      <c r="O1492" s="17">
        <f>-(K1492*0.025+L1492*0.025)</f>
        <v/>
      </c>
      <c r="P1492" s="17">
        <f>32</f>
        <v/>
      </c>
      <c r="Q1492" s="17">
        <f>J1492+L1492+N1492+O1492-P1492-M1492</f>
        <v/>
      </c>
    </row>
    <row r="1493">
      <c r="A1493" s="16" t="inlineStr">
        <is>
          <t>5.15-5.21</t>
        </is>
      </c>
      <c r="B1493" s="16" t="inlineStr">
        <is>
          <t>PO-128-12512037376633791</t>
        </is>
      </c>
      <c r="C1493" s="16" t="inlineStr">
        <is>
          <t>Shipped</t>
        </is>
      </c>
      <c r="D1493" s="16" t="inlineStr">
        <is>
          <t>128-12512105534073791</t>
        </is>
      </c>
      <c r="E1493" s="16" t="inlineStr">
        <is>
          <t>Shipped</t>
        </is>
      </c>
      <c r="F1493" s="16" t="inlineStr">
        <is>
          <t>SA325T</t>
        </is>
      </c>
      <c r="G1493" s="16" t="inlineStr">
        <is>
          <t>Subwoofer Portátil Inalámbrico con Luces RGB, Sonido de Alta Potencia y Batería Duradera, TWS TF USB, Perfecto para Campamento Fiestas y Entretenimiento en Casa</t>
        </is>
      </c>
      <c r="H1493" s="16" t="inlineStr">
        <is>
          <t>NEGRO</t>
        </is>
      </c>
      <c r="I1493" s="16" t="n">
        <v>1</v>
      </c>
      <c r="J1493" s="17" t="n">
        <v>36</v>
      </c>
      <c r="K1493" s="17" t="n">
        <v>45.04</v>
      </c>
      <c r="L1493" s="17" t="n">
        <v>25.86</v>
      </c>
      <c r="M1493" s="17" t="n">
        <v>0</v>
      </c>
      <c r="N1493" s="17">
        <f>K1493*0.08+L1493*0.08</f>
        <v/>
      </c>
      <c r="O1493" s="17">
        <f>-(K1493*0.025+L1493*0.025)</f>
        <v/>
      </c>
      <c r="P1493" s="17">
        <f>32</f>
        <v/>
      </c>
      <c r="Q1493" s="17">
        <f>J1493+L1493+N1493+O1493-P1493-M1493</f>
        <v/>
      </c>
    </row>
    <row r="1494">
      <c r="A1494" s="16" t="inlineStr">
        <is>
          <t>5.15-5.21</t>
        </is>
      </c>
      <c r="B1494" s="16" t="inlineStr">
        <is>
          <t>PO-128-12872970988151574</t>
        </is>
      </c>
      <c r="C1494" s="16" t="inlineStr">
        <is>
          <t>Shipped</t>
        </is>
      </c>
      <c r="D1494" s="16" t="inlineStr">
        <is>
          <t>128-12872929045111574</t>
        </is>
      </c>
      <c r="E1494" s="16" t="inlineStr">
        <is>
          <t>Shipped</t>
        </is>
      </c>
      <c r="F1494" s="16" t="inlineStr">
        <is>
          <t>LV25W22</t>
        </is>
      </c>
      <c r="G149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94" s="16" t="inlineStr">
        <is>
          <t>LV25W32</t>
        </is>
      </c>
      <c r="I1494" s="16" t="n">
        <v>1</v>
      </c>
      <c r="J1494" s="17" t="n">
        <v>90.43000000000001</v>
      </c>
      <c r="K1494" s="17" t="n">
        <v>95.81</v>
      </c>
      <c r="L1494" s="17" t="n">
        <v>25.86</v>
      </c>
      <c r="M1494" s="17" t="n">
        <v>0</v>
      </c>
      <c r="N1494" s="17">
        <f>K1494*0.08+L1494*0.08</f>
        <v/>
      </c>
      <c r="O1494" s="17">
        <f>-(K1494*0.025+L1494*0.025)</f>
        <v/>
      </c>
      <c r="P1494" s="17">
        <f>32</f>
        <v/>
      </c>
      <c r="Q1494" s="17">
        <f>J1494+L1494+N1494+O1494-P1494-M1494</f>
        <v/>
      </c>
    </row>
    <row r="1495">
      <c r="A1495" s="16" t="inlineStr">
        <is>
          <t>5.15-5.21</t>
        </is>
      </c>
      <c r="B1495" s="16" t="inlineStr">
        <is>
          <t>PO-128-13056149816950610</t>
        </is>
      </c>
      <c r="C1495" s="16" t="inlineStr">
        <is>
          <t>Shipped</t>
        </is>
      </c>
      <c r="D1495" s="16" t="inlineStr">
        <is>
          <t>128-13056170788470610</t>
        </is>
      </c>
      <c r="E1495" s="16" t="inlineStr">
        <is>
          <t>Shipped</t>
        </is>
      </c>
      <c r="F1495" s="16" t="inlineStr">
        <is>
          <t>LV25W22</t>
        </is>
      </c>
      <c r="G14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495" s="16" t="inlineStr">
        <is>
          <t>LV25W32</t>
        </is>
      </c>
      <c r="I1495" s="16" t="n">
        <v>1</v>
      </c>
      <c r="J1495" s="17" t="n">
        <v>90.43000000000001</v>
      </c>
      <c r="K1495" s="17" t="n">
        <v>100.84</v>
      </c>
      <c r="L1495" s="17" t="n">
        <v>25.86</v>
      </c>
      <c r="M1495" s="17" t="n">
        <v>0</v>
      </c>
      <c r="N1495" s="17">
        <f>K1495*0.08+L1495*0.08</f>
        <v/>
      </c>
      <c r="O1495" s="17">
        <f>-(K1495*0.025+L1495*0.025)</f>
        <v/>
      </c>
      <c r="P1495" s="17">
        <f>32</f>
        <v/>
      </c>
      <c r="Q1495" s="17">
        <f>J1495+L1495+N1495+O1495-P1495-M1495</f>
        <v/>
      </c>
    </row>
    <row r="1496">
      <c r="A1496" s="16" t="inlineStr">
        <is>
          <t>5.15-5.21</t>
        </is>
      </c>
      <c r="B1496" s="16" t="inlineStr">
        <is>
          <t>PO-128-12411855258233426</t>
        </is>
      </c>
      <c r="C1496" s="16" t="inlineStr">
        <is>
          <t>Shipped</t>
        </is>
      </c>
      <c r="D1496" s="16" t="inlineStr">
        <is>
          <t>128-12411813315193426</t>
        </is>
      </c>
      <c r="E1496" s="16" t="inlineStr">
        <is>
          <t>Shipped</t>
        </is>
      </c>
      <c r="F1496" s="16" t="inlineStr">
        <is>
          <t>LB02235-rojo</t>
        </is>
      </c>
      <c r="G1496" s="16" t="inlineStr">
        <is>
          <t>Audífonos Inalámbricos para la Cabeza, Recargables y Multifuncionales - Conectan a Varios Dispositivos, soportan Radio FM, Tarjeta TF y AUX - 4 Horas de Reproducción Musical - Ideal para Trabajo Cotidiano, Juegos y Estudio</t>
        </is>
      </c>
      <c r="H1496" s="16" t="inlineStr">
        <is>
          <t>ROJO</t>
        </is>
      </c>
      <c r="I1496" s="16" t="n">
        <v>1</v>
      </c>
      <c r="J1496" s="17" t="n">
        <v>36.5</v>
      </c>
      <c r="K1496" s="17" t="n">
        <v>49.61</v>
      </c>
      <c r="L1496" s="17" t="n">
        <v>25.86</v>
      </c>
      <c r="M1496" s="17" t="n">
        <v>0</v>
      </c>
      <c r="N1496" s="17">
        <f>K1496*0.08+L1496*0.08</f>
        <v/>
      </c>
      <c r="O1496" s="17">
        <f>-(K1496*0.025+L1496*0.025)</f>
        <v/>
      </c>
      <c r="P1496" s="17">
        <f>32</f>
        <v/>
      </c>
      <c r="Q1496" s="17">
        <f>J1496+L1496+N1496+O1496-P1496-M1496</f>
        <v/>
      </c>
    </row>
    <row r="1497">
      <c r="A1497" s="16" t="inlineStr">
        <is>
          <t>5.15-5.21</t>
        </is>
      </c>
      <c r="B1497" s="16" t="inlineStr">
        <is>
          <t>PO-128-12873545667191570</t>
        </is>
      </c>
      <c r="C1497" s="16" t="inlineStr">
        <is>
          <t>Shipped</t>
        </is>
      </c>
      <c r="D1497" s="16" t="inlineStr">
        <is>
          <t>128-12873571881591570</t>
        </is>
      </c>
      <c r="E1497" s="16" t="inlineStr">
        <is>
          <t>Shipped</t>
        </is>
      </c>
      <c r="F1497" s="16" t="inlineStr">
        <is>
          <t>MB-185N</t>
        </is>
      </c>
      <c r="G1497" s="16" t="inlineStr">
        <is>
          <t>Bocina Radio FM/Reproductor, Compatible con Tarjeta TF, USB, Bluetooth, Aplicable para celular, computadora, Ipad y consola.</t>
        </is>
      </c>
      <c r="H1497" s="16" t="inlineStr">
        <is>
          <t>NEGRO/MB-185</t>
        </is>
      </c>
      <c r="I1497" s="16" t="n">
        <v>1</v>
      </c>
      <c r="J1497" s="17" t="n">
        <v>71.31</v>
      </c>
      <c r="K1497" s="17" t="n">
        <v>84.23999999999999</v>
      </c>
      <c r="L1497" s="17" t="n">
        <v>25.86</v>
      </c>
      <c r="M1497" s="17" t="n">
        <v>0</v>
      </c>
      <c r="N1497" s="17">
        <f>K1497*0.08+L1497*0.08</f>
        <v/>
      </c>
      <c r="O1497" s="17">
        <f>-(K1497*0.025+L1497*0.025)</f>
        <v/>
      </c>
      <c r="P1497" s="17">
        <f>32</f>
        <v/>
      </c>
      <c r="Q1497" s="17">
        <f>J1497+L1497+N1497+O1497-P1497-M1497</f>
        <v/>
      </c>
    </row>
    <row r="1498">
      <c r="A1498" s="16" t="inlineStr">
        <is>
          <t>5.15-5.21</t>
        </is>
      </c>
      <c r="B1498" s="16" t="inlineStr">
        <is>
          <t>PO-128-13023852288630674</t>
        </is>
      </c>
      <c r="C1498" s="16" t="inlineStr">
        <is>
          <t>Shipped</t>
        </is>
      </c>
      <c r="D1498" s="16" t="inlineStr">
        <is>
          <t>128-13023841802870674</t>
        </is>
      </c>
      <c r="E1498" s="16" t="inlineStr">
        <is>
          <t>Shipped</t>
        </is>
      </c>
      <c r="F1498" s="16" t="inlineStr">
        <is>
          <t>SA8058T</t>
        </is>
      </c>
      <c r="G1498"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1498" s="16" t="inlineStr">
        <is>
          <t>SA8058T</t>
        </is>
      </c>
      <c r="I1498" s="16" t="n">
        <v>1</v>
      </c>
      <c r="J1498" s="17" t="n">
        <v>162.6</v>
      </c>
      <c r="K1498" s="17" t="n">
        <v>148.19</v>
      </c>
      <c r="L1498" s="17" t="n">
        <v>0</v>
      </c>
      <c r="M1498" s="17" t="n">
        <v>0</v>
      </c>
      <c r="N1498" s="17">
        <f>K1498*0.08+L1498*0.08</f>
        <v/>
      </c>
      <c r="O1498" s="17">
        <f>-(K1498*0.025+L1498*0.025)</f>
        <v/>
      </c>
      <c r="P1498" s="17">
        <f>32</f>
        <v/>
      </c>
      <c r="Q1498" s="17">
        <f>J1498+L1498+N1498+O1498-P1498-M1498</f>
        <v/>
      </c>
    </row>
    <row r="1499">
      <c r="A1499" s="16" t="inlineStr">
        <is>
          <t>5.15-5.21</t>
        </is>
      </c>
      <c r="B1499" s="16" t="inlineStr">
        <is>
          <t>PO-128-13023852288630674</t>
        </is>
      </c>
      <c r="C1499" s="16" t="inlineStr">
        <is>
          <t>Shipped</t>
        </is>
      </c>
      <c r="D1499" s="16" t="inlineStr">
        <is>
          <t>128-13023883745910674</t>
        </is>
      </c>
      <c r="E1499" s="16" t="inlineStr">
        <is>
          <t>Shipped</t>
        </is>
      </c>
      <c r="F1499" s="16" t="inlineStr">
        <is>
          <t>SA323T</t>
        </is>
      </c>
      <c r="G1499" s="16" t="inlineStr">
        <is>
          <t>Linkbits Bocina Portátil Parlantes BT Portátiles con Iluminación de Ambiente | 1 Hora de Duración, FM, TWS, TF/Micro SD | Ideal para Hogar, Fiestas y Viajes</t>
        </is>
      </c>
      <c r="H1499" s="16" t="inlineStr">
        <is>
          <t>SA323T</t>
        </is>
      </c>
      <c r="I1499" s="16" t="n">
        <v>1</v>
      </c>
      <c r="J1499" s="17" t="n">
        <v>37.71</v>
      </c>
      <c r="K1499" s="17" t="n">
        <v>37.41</v>
      </c>
      <c r="L1499" s="17" t="n">
        <v>0</v>
      </c>
      <c r="M1499" s="17" t="n">
        <v>0</v>
      </c>
      <c r="N1499" s="17">
        <f>K1499*0.08+L1499*0.08</f>
        <v/>
      </c>
      <c r="O1499" s="17">
        <f>-(K1499*0.025+L1499*0.025)</f>
        <v/>
      </c>
      <c r="P1499" s="17">
        <f>32</f>
        <v/>
      </c>
      <c r="Q1499" s="17">
        <f>J1499+L1499+N1499+O1499-P1499-M1499</f>
        <v/>
      </c>
    </row>
    <row r="1500">
      <c r="A1500" s="16" t="inlineStr">
        <is>
          <t>5.15-5.21</t>
        </is>
      </c>
      <c r="B1500" s="16" t="inlineStr">
        <is>
          <t>PO-128-13023852288630674</t>
        </is>
      </c>
      <c r="C1500" s="16" t="inlineStr">
        <is>
          <t>Shipped</t>
        </is>
      </c>
      <c r="D1500" s="16" t="inlineStr">
        <is>
          <t>128-13023873260150674</t>
        </is>
      </c>
      <c r="E1500" s="16" t="inlineStr">
        <is>
          <t>Shipped</t>
        </is>
      </c>
      <c r="F1500" s="16" t="inlineStr">
        <is>
          <t>SA8056T</t>
        </is>
      </c>
      <c r="G150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500" s="16" t="inlineStr">
        <is>
          <t>SA8056T</t>
        </is>
      </c>
      <c r="I1500" s="16" t="n">
        <v>2</v>
      </c>
      <c r="J1500" s="17" t="n">
        <v>250</v>
      </c>
      <c r="K1500" s="17" t="n">
        <v>232.61</v>
      </c>
      <c r="L1500" s="17" t="n">
        <v>0</v>
      </c>
      <c r="M1500" s="17" t="n">
        <v>0</v>
      </c>
      <c r="N1500" s="17">
        <f>K1500*0.08+L1500*0.08</f>
        <v/>
      </c>
      <c r="O1500" s="17">
        <f>-(K1500*0.025+L1500*0.025)</f>
        <v/>
      </c>
      <c r="P1500" s="17">
        <f>32</f>
        <v/>
      </c>
      <c r="Q1500" s="17">
        <f>J1500+L1500+N1500+O1500-P1500-M1500</f>
        <v/>
      </c>
    </row>
    <row r="1501">
      <c r="A1501" s="16" t="inlineStr">
        <is>
          <t>5.15-5.21</t>
        </is>
      </c>
      <c r="B1501" s="16" t="inlineStr">
        <is>
          <t>PO-128-12695742648952566</t>
        </is>
      </c>
      <c r="C1501" s="16" t="inlineStr">
        <is>
          <t>Shipped</t>
        </is>
      </c>
      <c r="D1501" s="16" t="inlineStr">
        <is>
          <t>128-12695755756152566</t>
        </is>
      </c>
      <c r="E1501" s="16" t="inlineStr">
        <is>
          <t>Shipped</t>
        </is>
      </c>
      <c r="F1501" s="16" t="inlineStr">
        <is>
          <t>VB347T</t>
        </is>
      </c>
      <c r="G150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01" s="16" t="inlineStr">
        <is>
          <t>1 pieza</t>
        </is>
      </c>
      <c r="I1501" s="16" t="n">
        <v>1</v>
      </c>
      <c r="J1501" s="17" t="n">
        <v>77.90000000000001</v>
      </c>
      <c r="K1501" s="17" t="n">
        <v>92.5</v>
      </c>
      <c r="L1501" s="17" t="n">
        <v>15.82</v>
      </c>
      <c r="M1501" s="17" t="n">
        <v>0</v>
      </c>
      <c r="N1501" s="17">
        <f>K1501*0.08+L1501*0.08</f>
        <v/>
      </c>
      <c r="O1501" s="17">
        <f>-(K1501*0.025+L1501*0.025)</f>
        <v/>
      </c>
      <c r="P1501" s="17">
        <f>32</f>
        <v/>
      </c>
      <c r="Q1501" s="17">
        <f>J1501+L1501+N1501+O1501-P1501-M1501</f>
        <v/>
      </c>
    </row>
    <row r="1502">
      <c r="A1502" s="16" t="inlineStr">
        <is>
          <t>5.15-5.21</t>
        </is>
      </c>
      <c r="B1502" s="16" t="inlineStr">
        <is>
          <t>PO-128-12695742648952566</t>
        </is>
      </c>
      <c r="C1502" s="16" t="inlineStr">
        <is>
          <t>Shipped</t>
        </is>
      </c>
      <c r="D1502" s="16" t="inlineStr">
        <is>
          <t>128-12695766241912566</t>
        </is>
      </c>
      <c r="E1502" s="16" t="inlineStr">
        <is>
          <t>Shipped</t>
        </is>
      </c>
      <c r="F1502" s="16" t="inlineStr">
        <is>
          <t>MCM-001G</t>
        </is>
      </c>
      <c r="G1502" s="16" t="inlineStr">
        <is>
          <t>Musicord Altavoz Inalámbrico BT Portátil: ¡Sonido impactante, luces LED multicolores y 4 horas de autonomía! Compatible con TWS, FM, TF y USB – Imprescindible para fiestas y viajes</t>
        </is>
      </c>
      <c r="H1502" s="16" t="inlineStr">
        <is>
          <t>GRIS</t>
        </is>
      </c>
      <c r="I1502" s="16" t="n">
        <v>1</v>
      </c>
      <c r="J1502" s="17" t="n">
        <v>51</v>
      </c>
      <c r="K1502" s="17" t="n">
        <v>58.79</v>
      </c>
      <c r="L1502" s="17" t="n">
        <v>10.04</v>
      </c>
      <c r="M1502" s="17" t="n">
        <v>0</v>
      </c>
      <c r="N1502" s="17">
        <f>K1502*0.08+L1502*0.08</f>
        <v/>
      </c>
      <c r="O1502" s="17">
        <f>-(K1502*0.025+L1502*0.025)</f>
        <v/>
      </c>
      <c r="P1502" s="17">
        <f>32</f>
        <v/>
      </c>
      <c r="Q1502" s="17">
        <f>J1502+L1502+N1502+O1502-P1502-M1502</f>
        <v/>
      </c>
    </row>
    <row r="1503">
      <c r="A1503" s="16" t="inlineStr">
        <is>
          <t>5.15-5.21</t>
        </is>
      </c>
      <c r="B1503" s="16" t="inlineStr">
        <is>
          <t>PO-128-12826546053751850</t>
        </is>
      </c>
      <c r="C1503" s="16" t="inlineStr">
        <is>
          <t>Shipped</t>
        </is>
      </c>
      <c r="D1503" s="16" t="inlineStr">
        <is>
          <t>128-12826608968311850</t>
        </is>
      </c>
      <c r="E1503" s="16" t="inlineStr">
        <is>
          <t>Shipped</t>
        </is>
      </c>
      <c r="F1503" s="16" t="inlineStr">
        <is>
          <t>LB02235-azul</t>
        </is>
      </c>
      <c r="G1503" s="16" t="inlineStr">
        <is>
          <t>Audífonos Inalámbricos para la Cabeza, Recargables y Multifuncionales - Conectan a Varios Dispositivos, soportan Radio FM, Tarjeta TF y AUX - 4 Horas de Reproducción Musical - Ideal para Trabajo Cotidiano, Juegos y Estudio</t>
        </is>
      </c>
      <c r="H1503" s="16" t="inlineStr">
        <is>
          <t>AZUL</t>
        </is>
      </c>
      <c r="I1503" s="16" t="n">
        <v>1</v>
      </c>
      <c r="J1503" s="17" t="n">
        <v>35</v>
      </c>
      <c r="K1503" s="17" t="n">
        <v>11.98</v>
      </c>
      <c r="L1503" s="17" t="n">
        <v>12.72</v>
      </c>
      <c r="M1503" s="17" t="n">
        <v>0</v>
      </c>
      <c r="N1503" s="17">
        <f>K1503*0.08+L1503*0.08</f>
        <v/>
      </c>
      <c r="O1503" s="17">
        <f>-(K1503*0.025+L1503*0.025)</f>
        <v/>
      </c>
      <c r="P1503" s="17">
        <f>32</f>
        <v/>
      </c>
      <c r="Q1503" s="17">
        <f>J1503+L1503+N1503+O1503-P1503-M1503</f>
        <v/>
      </c>
    </row>
    <row r="1504">
      <c r="A1504" s="16" t="inlineStr">
        <is>
          <t>5.15-5.21</t>
        </is>
      </c>
      <c r="B1504" s="16" t="inlineStr">
        <is>
          <t>PO-128-12826546053751850</t>
        </is>
      </c>
      <c r="C1504" s="16" t="inlineStr">
        <is>
          <t>Shipped</t>
        </is>
      </c>
      <c r="D1504" s="16" t="inlineStr">
        <is>
          <t>128-12826650911351850</t>
        </is>
      </c>
      <c r="E1504" s="16" t="inlineStr">
        <is>
          <t>Shipped</t>
        </is>
      </c>
      <c r="F1504" s="16" t="inlineStr">
        <is>
          <t>LB02235-rojo</t>
        </is>
      </c>
      <c r="G1504" s="16" t="inlineStr">
        <is>
          <t>Audífonos Inalámbricos para la Cabeza, Recargables y Multifuncionales - Conectan a Varios Dispositivos, soportan Radio FM, Tarjeta TF y AUX - 4 Horas de Reproducción Musical - Ideal para Trabajo Cotidiano, Juegos y Estudio</t>
        </is>
      </c>
      <c r="H1504" s="16" t="inlineStr">
        <is>
          <t>ROJO</t>
        </is>
      </c>
      <c r="I1504" s="16" t="n">
        <v>1</v>
      </c>
      <c r="J1504" s="17" t="n">
        <v>36.5</v>
      </c>
      <c r="K1504" s="17" t="n">
        <v>12.37</v>
      </c>
      <c r="L1504" s="17" t="n">
        <v>13.14</v>
      </c>
      <c r="M1504" s="17" t="n">
        <v>0</v>
      </c>
      <c r="N1504" s="17">
        <f>K1504*0.08+L1504*0.08</f>
        <v/>
      </c>
      <c r="O1504" s="17">
        <f>-(K1504*0.025+L1504*0.025)</f>
        <v/>
      </c>
      <c r="P1504" s="17">
        <f>32</f>
        <v/>
      </c>
      <c r="Q1504" s="17">
        <f>J1504+L1504+N1504+O1504-P1504-M1504</f>
        <v/>
      </c>
    </row>
    <row r="1505">
      <c r="A1505" s="16" t="inlineStr">
        <is>
          <t>5.15-5.21</t>
        </is>
      </c>
      <c r="B1505" s="16" t="inlineStr">
        <is>
          <t>PO-128-12483958072953892</t>
        </is>
      </c>
      <c r="C1505" s="16" t="inlineStr">
        <is>
          <t>Shipped</t>
        </is>
      </c>
      <c r="D1505" s="16" t="inlineStr">
        <is>
          <t>128-12484062930553892</t>
        </is>
      </c>
      <c r="E1505" s="16" t="inlineStr">
        <is>
          <t>Shipped</t>
        </is>
      </c>
      <c r="F1505" s="16" t="inlineStr">
        <is>
          <t>MB-185N</t>
        </is>
      </c>
      <c r="G1505" s="16" t="inlineStr">
        <is>
          <t>Bocina Radio FM/Reproductor, Compatible con Tarjeta TF, USB, Bluetooth, Aplicable para celular, computadora, Ipad y consola.</t>
        </is>
      </c>
      <c r="H1505" s="16" t="inlineStr">
        <is>
          <t>NEGRO/MB-185</t>
        </is>
      </c>
      <c r="I1505" s="16" t="n">
        <v>1</v>
      </c>
      <c r="J1505" s="17" t="n">
        <v>71.31</v>
      </c>
      <c r="K1505" s="17" t="n">
        <v>1.48</v>
      </c>
      <c r="L1505" s="17" t="n">
        <v>25.86</v>
      </c>
      <c r="M1505" s="17" t="n">
        <v>0</v>
      </c>
      <c r="N1505" s="17">
        <f>K1505*0.08+L1505*0.08</f>
        <v/>
      </c>
      <c r="O1505" s="17">
        <f>-(K1505*0.025+L1505*0.025)</f>
        <v/>
      </c>
      <c r="P1505" s="17">
        <f>32</f>
        <v/>
      </c>
      <c r="Q1505" s="17">
        <f>J1505+L1505+N1505+O1505-P1505-M1505</f>
        <v/>
      </c>
    </row>
    <row r="1506">
      <c r="A1506" s="16" t="inlineStr">
        <is>
          <t>5.15-5.21</t>
        </is>
      </c>
      <c r="B1506" s="16" t="inlineStr">
        <is>
          <t>PO-128-12449250560633141</t>
        </is>
      </c>
      <c r="C1506" s="16" t="inlineStr">
        <is>
          <t>Shipped</t>
        </is>
      </c>
      <c r="D1506" s="16" t="inlineStr">
        <is>
          <t>128-12449261046393141</t>
        </is>
      </c>
      <c r="E1506" s="16" t="inlineStr">
        <is>
          <t>Shipped</t>
        </is>
      </c>
      <c r="F1506" s="16" t="inlineStr">
        <is>
          <t>LV25W22</t>
        </is>
      </c>
      <c r="G15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06" s="16" t="inlineStr">
        <is>
          <t>LV25W32</t>
        </is>
      </c>
      <c r="I1506" s="16" t="n">
        <v>3</v>
      </c>
      <c r="J1506" s="17" t="n">
        <v>271.29</v>
      </c>
      <c r="K1506" s="17" t="n">
        <v>302.52</v>
      </c>
      <c r="L1506" s="17" t="n">
        <v>0</v>
      </c>
      <c r="M1506" s="17" t="n">
        <v>0</v>
      </c>
      <c r="N1506" s="17">
        <f>K1506*0.08+L1506*0.08</f>
        <v/>
      </c>
      <c r="O1506" s="17">
        <f>-(K1506*0.025+L1506*0.025)</f>
        <v/>
      </c>
      <c r="P1506" s="17">
        <f>32</f>
        <v/>
      </c>
      <c r="Q1506" s="17">
        <f>J1506+L1506+N1506+O1506-P1506-M1506</f>
        <v/>
      </c>
    </row>
    <row r="1507">
      <c r="A1507" s="16" t="inlineStr">
        <is>
          <t>5.15-5.21</t>
        </is>
      </c>
      <c r="B1507" s="16" t="inlineStr">
        <is>
          <t>PO-128-12416447626873209</t>
        </is>
      </c>
      <c r="C1507" s="16" t="inlineStr">
        <is>
          <t>Shipped</t>
        </is>
      </c>
      <c r="D1507" s="16" t="inlineStr">
        <is>
          <t>128-12416405683833209</t>
        </is>
      </c>
      <c r="E1507" s="16" t="inlineStr">
        <is>
          <t>Shipped</t>
        </is>
      </c>
      <c r="F1507" s="16" t="inlineStr">
        <is>
          <t>MB-185N</t>
        </is>
      </c>
      <c r="G1507" s="16" t="inlineStr">
        <is>
          <t>Bocina Radio FM/Reproductor, Compatible con Tarjeta TF, USB, Bluetooth, Aplicable para celular, computadora, Ipad y consola.</t>
        </is>
      </c>
      <c r="H1507" s="16" t="inlineStr">
        <is>
          <t>NEGRO/MB-185</t>
        </is>
      </c>
      <c r="I1507" s="16" t="n">
        <v>1</v>
      </c>
      <c r="J1507" s="17" t="n">
        <v>71.31</v>
      </c>
      <c r="K1507" s="17" t="n">
        <v>84.23999999999999</v>
      </c>
      <c r="L1507" s="17" t="n">
        <v>25.86</v>
      </c>
      <c r="M1507" s="17" t="n">
        <v>0</v>
      </c>
      <c r="N1507" s="17">
        <f>K1507*0.08+L1507*0.08</f>
        <v/>
      </c>
      <c r="O1507" s="17">
        <f>-(K1507*0.025+L1507*0.025)</f>
        <v/>
      </c>
      <c r="P1507" s="17">
        <f>32</f>
        <v/>
      </c>
      <c r="Q1507" s="17">
        <f>J1507+L1507+N1507+O1507-P1507-M1507</f>
        <v/>
      </c>
    </row>
    <row r="1508">
      <c r="A1508" s="16" t="inlineStr">
        <is>
          <t>5.15-5.21</t>
        </is>
      </c>
      <c r="B1508" s="16" t="inlineStr">
        <is>
          <t>PO-128-13044745083510550</t>
        </is>
      </c>
      <c r="C1508" s="16" t="inlineStr">
        <is>
          <t>Shipped</t>
        </is>
      </c>
      <c r="D1508" s="16" t="inlineStr">
        <is>
          <t>128-13044739840630550</t>
        </is>
      </c>
      <c r="E1508" s="16" t="inlineStr">
        <is>
          <t>Shipped</t>
        </is>
      </c>
      <c r="F1508" s="16" t="inlineStr">
        <is>
          <t>MCM-001G</t>
        </is>
      </c>
      <c r="G1508" s="16" t="inlineStr">
        <is>
          <t>Musicord Altavoz Inalámbrico BT Portátil: ¡Sonido impactante, luces LED multicolores y 4 horas de autonomía! Compatible con TWS, FM, TF y USB – Imprescindible para fiestas y viajes</t>
        </is>
      </c>
      <c r="H1508" s="16" t="inlineStr">
        <is>
          <t>GRIS</t>
        </is>
      </c>
      <c r="I1508" s="16" t="n">
        <v>1</v>
      </c>
      <c r="J1508" s="17" t="n">
        <v>51</v>
      </c>
      <c r="K1508" s="17" t="n">
        <v>41.14</v>
      </c>
      <c r="L1508" s="17" t="n">
        <v>11.47</v>
      </c>
      <c r="M1508" s="17" t="n">
        <v>0</v>
      </c>
      <c r="N1508" s="17">
        <f>K1508*0.08+L1508*0.08</f>
        <v/>
      </c>
      <c r="O1508" s="17">
        <f>-(K1508*0.025+L1508*0.025)</f>
        <v/>
      </c>
      <c r="P1508" s="17">
        <f>32</f>
        <v/>
      </c>
      <c r="Q1508" s="17">
        <f>J1508+L1508+N1508+O1508-P1508-M1508</f>
        <v/>
      </c>
    </row>
    <row r="1509">
      <c r="A1509" s="16" t="inlineStr">
        <is>
          <t>5.15-5.21</t>
        </is>
      </c>
      <c r="B1509" s="16" t="inlineStr">
        <is>
          <t>PO-128-13044745083510550</t>
        </is>
      </c>
      <c r="C1509" s="16" t="inlineStr">
        <is>
          <t>Shipped</t>
        </is>
      </c>
      <c r="D1509" s="16" t="inlineStr">
        <is>
          <t>128-13044755569270550</t>
        </is>
      </c>
      <c r="E1509" s="16" t="inlineStr">
        <is>
          <t>Shipped</t>
        </is>
      </c>
      <c r="F1509" s="16" t="inlineStr">
        <is>
          <t>MCM-001R</t>
        </is>
      </c>
      <c r="G1509" s="16" t="inlineStr">
        <is>
          <t>Musicord Altavoz Inalámbrico BT Portátil: ¡Sonido impactante, luces LED multicolores y 4 horas de autonomía! Compatible con TWS, FM, TF y USB – Imprescindible para fiestas y viajes</t>
        </is>
      </c>
      <c r="H1509" s="16" t="inlineStr">
        <is>
          <t>ROJO</t>
        </is>
      </c>
      <c r="I1509" s="16" t="n">
        <v>1</v>
      </c>
      <c r="J1509" s="17" t="n">
        <v>66</v>
      </c>
      <c r="K1509" s="17" t="n">
        <v>51.65</v>
      </c>
      <c r="L1509" s="17" t="n">
        <v>14.4</v>
      </c>
      <c r="M1509" s="17" t="n">
        <v>0</v>
      </c>
      <c r="N1509" s="17">
        <f>K1509*0.08+L1509*0.08</f>
        <v/>
      </c>
      <c r="O1509" s="17">
        <f>-(K1509*0.025+L1509*0.025)</f>
        <v/>
      </c>
      <c r="P1509" s="17">
        <f>32</f>
        <v/>
      </c>
      <c r="Q1509" s="17">
        <f>J1509+L1509+N1509+O1509-P1509-M1509</f>
        <v/>
      </c>
    </row>
    <row r="1510">
      <c r="A1510" s="16" t="inlineStr">
        <is>
          <t>5.15-5.21</t>
        </is>
      </c>
      <c r="B1510" s="16" t="inlineStr">
        <is>
          <t>PO-128-13038035169910526</t>
        </is>
      </c>
      <c r="C1510" s="16" t="inlineStr">
        <is>
          <t>Shipped</t>
        </is>
      </c>
      <c r="D1510" s="16" t="inlineStr">
        <is>
          <t>128-13037946040950526</t>
        </is>
      </c>
      <c r="E1510" s="16" t="inlineStr">
        <is>
          <t>Shipped</t>
        </is>
      </c>
      <c r="F1510" s="16" t="inlineStr">
        <is>
          <t>MCM-001G</t>
        </is>
      </c>
      <c r="G1510" s="16" t="inlineStr">
        <is>
          <t>Musicord Altavoz Inalámbrico BT Portátil: ¡Sonido impactante, luces LED multicolores y 4 horas de autonomía! Compatible con TWS, FM, TF y USB – Imprescindible para fiestas y viajes</t>
        </is>
      </c>
      <c r="H1510" s="16" t="inlineStr">
        <is>
          <t>GRIS</t>
        </is>
      </c>
      <c r="I1510" s="16" t="n">
        <v>1</v>
      </c>
      <c r="J1510" s="17" t="n">
        <v>51</v>
      </c>
      <c r="K1510" s="17" t="n">
        <v>57.66</v>
      </c>
      <c r="L1510" s="17" t="n">
        <v>25.86</v>
      </c>
      <c r="M1510" s="17" t="n">
        <v>0</v>
      </c>
      <c r="N1510" s="17">
        <f>K1510*0.08+L1510*0.08</f>
        <v/>
      </c>
      <c r="O1510" s="17">
        <f>-(K1510*0.025+L1510*0.025)</f>
        <v/>
      </c>
      <c r="P1510" s="17">
        <f>32</f>
        <v/>
      </c>
      <c r="Q1510" s="17">
        <f>J1510+L1510+N1510+O1510-P1510-M1510</f>
        <v/>
      </c>
    </row>
    <row r="1511">
      <c r="A1511" s="16" t="inlineStr">
        <is>
          <t>5.15-5.21</t>
        </is>
      </c>
      <c r="B1511" s="16" t="inlineStr">
        <is>
          <t>PO-128-12446210120313159</t>
        </is>
      </c>
      <c r="C1511" s="16" t="inlineStr">
        <is>
          <t>Shipped</t>
        </is>
      </c>
      <c r="D1511" s="16" t="inlineStr">
        <is>
          <t>128-12446231091833159</t>
        </is>
      </c>
      <c r="E1511" s="16" t="inlineStr">
        <is>
          <t>Shipped</t>
        </is>
      </c>
      <c r="F1511" s="16" t="inlineStr">
        <is>
          <t>KTS-1678N</t>
        </is>
      </c>
      <c r="G1511" s="16" t="inlineStr">
        <is>
          <t>Bocina portátil Inalámbrico, de 3 pulgadas, tamaño de bolsillo, 170 g, con asa, compatible con TF, USB y Micro SD, con radio FM y función TWS (True Wireless Stereo), adecuada para relajarse en casa o viajar al aire libre.</t>
        </is>
      </c>
      <c r="H1511" s="16" t="inlineStr">
        <is>
          <t>KTS-1678N</t>
        </is>
      </c>
      <c r="I1511" s="16" t="n">
        <v>1</v>
      </c>
      <c r="J1511" s="17" t="n">
        <v>40</v>
      </c>
      <c r="K1511" s="17" t="n">
        <v>33.8</v>
      </c>
      <c r="L1511" s="17" t="n">
        <v>25.86</v>
      </c>
      <c r="M1511" s="17" t="n">
        <v>0</v>
      </c>
      <c r="N1511" s="17">
        <f>K1511*0.08+L1511*0.08</f>
        <v/>
      </c>
      <c r="O1511" s="17">
        <f>-(K1511*0.025+L1511*0.025)</f>
        <v/>
      </c>
      <c r="P1511" s="17">
        <f>32</f>
        <v/>
      </c>
      <c r="Q1511" s="17">
        <f>J1511+L1511+N1511+O1511-P1511-M1511</f>
        <v/>
      </c>
    </row>
    <row r="1512">
      <c r="A1512" s="16" t="inlineStr">
        <is>
          <t>5.15-5.21</t>
        </is>
      </c>
      <c r="B1512" s="16" t="inlineStr">
        <is>
          <t>PO-128-12734250936951504</t>
        </is>
      </c>
      <c r="C1512" s="16" t="inlineStr">
        <is>
          <t>Shipped</t>
        </is>
      </c>
      <c r="D1512" s="16" t="inlineStr">
        <is>
          <t>128-12734402980471504</t>
        </is>
      </c>
      <c r="E1512" s="16" t="inlineStr">
        <is>
          <t>Shipped</t>
        </is>
      </c>
      <c r="F1512" s="16" t="inlineStr">
        <is>
          <t>LV25W22</t>
        </is>
      </c>
      <c r="G15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12" s="16" t="inlineStr">
        <is>
          <t>LV25W32</t>
        </is>
      </c>
      <c r="I1512" s="16" t="n">
        <v>1</v>
      </c>
      <c r="J1512" s="17" t="n">
        <v>90.43000000000001</v>
      </c>
      <c r="K1512" s="17" t="n">
        <v>100.84</v>
      </c>
      <c r="L1512" s="17" t="n">
        <v>25.86</v>
      </c>
      <c r="M1512" s="17" t="n">
        <v>0</v>
      </c>
      <c r="N1512" s="17">
        <f>K1512*0.08+L1512*0.08</f>
        <v/>
      </c>
      <c r="O1512" s="17">
        <f>-(K1512*0.025+L1512*0.025)</f>
        <v/>
      </c>
      <c r="P1512" s="17">
        <f>32</f>
        <v/>
      </c>
      <c r="Q1512" s="17">
        <f>J1512+L1512+N1512+O1512-P1512-M1512</f>
        <v/>
      </c>
    </row>
    <row r="1513">
      <c r="A1513" s="16" t="inlineStr">
        <is>
          <t>5.15-5.21</t>
        </is>
      </c>
      <c r="B1513" s="16" t="inlineStr">
        <is>
          <t>PO-128-12915110134390298</t>
        </is>
      </c>
      <c r="C1513" s="16" t="inlineStr">
        <is>
          <t>Shipped</t>
        </is>
      </c>
      <c r="D1513" s="16" t="inlineStr">
        <is>
          <t>128-12915115377270298</t>
        </is>
      </c>
      <c r="E1513" s="16" t="inlineStr">
        <is>
          <t>Shipped</t>
        </is>
      </c>
      <c r="F1513" s="16" t="inlineStr">
        <is>
          <t>LV25W22</t>
        </is>
      </c>
      <c r="G15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13" s="16" t="inlineStr">
        <is>
          <t>LV25W32</t>
        </is>
      </c>
      <c r="I1513" s="16" t="n">
        <v>3</v>
      </c>
      <c r="J1513" s="17" t="n">
        <v>271.29</v>
      </c>
      <c r="K1513" s="17" t="n">
        <v>302.52</v>
      </c>
      <c r="L1513" s="17" t="n">
        <v>0</v>
      </c>
      <c r="M1513" s="17" t="n">
        <v>0</v>
      </c>
      <c r="N1513" s="17">
        <f>K1513*0.08+L1513*0.08</f>
        <v/>
      </c>
      <c r="O1513" s="17">
        <f>-(K1513*0.025+L1513*0.025)</f>
        <v/>
      </c>
      <c r="P1513" s="17">
        <f>32</f>
        <v/>
      </c>
      <c r="Q1513" s="17">
        <f>J1513+L1513+N1513+O1513-P1513-M1513</f>
        <v/>
      </c>
    </row>
    <row r="1514">
      <c r="A1514" s="16" t="inlineStr">
        <is>
          <t>5.15-5.21</t>
        </is>
      </c>
      <c r="B1514" s="16" t="inlineStr">
        <is>
          <t>PO-128-12916658053750291</t>
        </is>
      </c>
      <c r="C1514" s="16" t="inlineStr">
        <is>
          <t>Shipped</t>
        </is>
      </c>
      <c r="D1514" s="16" t="inlineStr">
        <is>
          <t>128-12916621353590291</t>
        </is>
      </c>
      <c r="E1514" s="16" t="inlineStr">
        <is>
          <t>Shipped</t>
        </is>
      </c>
      <c r="F1514" s="16" t="inlineStr">
        <is>
          <t>LB02235-azul</t>
        </is>
      </c>
      <c r="G1514" s="16" t="inlineStr">
        <is>
          <t>Audífonos Inalámbricos para la Cabeza, Recargables y Multifuncionales - Conectan a Varios Dispositivos, soportan Radio FM, Tarjeta TF y AUX - 4 Horas de Reproducción Musical - Ideal para Trabajo Cotidiano, Juegos y Estudio</t>
        </is>
      </c>
      <c r="H1514" s="16" t="inlineStr">
        <is>
          <t>AZUL</t>
        </is>
      </c>
      <c r="I1514" s="16" t="n">
        <v>1</v>
      </c>
      <c r="J1514" s="17" t="n">
        <v>35</v>
      </c>
      <c r="K1514" s="17" t="n">
        <v>48.11</v>
      </c>
      <c r="L1514" s="17" t="n">
        <v>25.86</v>
      </c>
      <c r="M1514" s="17" t="n">
        <v>0</v>
      </c>
      <c r="N1514" s="17">
        <f>K1514*0.08+L1514*0.08</f>
        <v/>
      </c>
      <c r="O1514" s="17">
        <f>-(K1514*0.025+L1514*0.025)</f>
        <v/>
      </c>
      <c r="P1514" s="17">
        <f>32</f>
        <v/>
      </c>
      <c r="Q1514" s="17">
        <f>J1514+L1514+N1514+O1514-P1514-M1514</f>
        <v/>
      </c>
    </row>
    <row r="1515">
      <c r="A1515" s="16" t="inlineStr">
        <is>
          <t>5.15-5.21</t>
        </is>
      </c>
      <c r="B1515" s="16" t="inlineStr">
        <is>
          <t>PO-128-12418799452793259</t>
        </is>
      </c>
      <c r="C1515" s="16" t="inlineStr">
        <is>
          <t>Shipped</t>
        </is>
      </c>
      <c r="D1515" s="16" t="inlineStr">
        <is>
          <t>128-12418757509753259</t>
        </is>
      </c>
      <c r="E1515" s="16" t="inlineStr">
        <is>
          <t>Shipped</t>
        </is>
      </c>
      <c r="F1515" s="16" t="inlineStr">
        <is>
          <t>MB-185N</t>
        </is>
      </c>
      <c r="G1515" s="16" t="inlineStr">
        <is>
          <t>Bocina Radio FM/Reproductor, Compatible con Tarjeta TF, USB, Bluetooth, Aplicable para celular, computadora, Ipad y consola.</t>
        </is>
      </c>
      <c r="H1515" s="16" t="inlineStr">
        <is>
          <t>NEGRO/MB-185</t>
        </is>
      </c>
      <c r="I1515" s="16" t="n">
        <v>1</v>
      </c>
      <c r="J1515" s="17" t="n">
        <v>71.31</v>
      </c>
      <c r="K1515" s="17" t="n">
        <v>67.40000000000001</v>
      </c>
      <c r="L1515" s="17" t="n">
        <v>25.86</v>
      </c>
      <c r="M1515" s="17" t="n">
        <v>0</v>
      </c>
      <c r="N1515" s="17">
        <f>K1515*0.08+L1515*0.08</f>
        <v/>
      </c>
      <c r="O1515" s="17">
        <f>-(K1515*0.025+L1515*0.025)</f>
        <v/>
      </c>
      <c r="P1515" s="17">
        <f>32</f>
        <v/>
      </c>
      <c r="Q1515" s="17">
        <f>J1515+L1515+N1515+O1515-P1515-M1515</f>
        <v/>
      </c>
    </row>
    <row r="1516">
      <c r="A1516" s="16" t="inlineStr">
        <is>
          <t>5.15-5.21</t>
        </is>
      </c>
      <c r="B1516" s="16" t="inlineStr">
        <is>
          <t>PO-128-12509653822073805</t>
        </is>
      </c>
      <c r="C1516" s="16" t="inlineStr">
        <is>
          <t>Shipped</t>
        </is>
      </c>
      <c r="D1516" s="16" t="inlineStr">
        <is>
          <t>128-12509599355513805</t>
        </is>
      </c>
      <c r="E1516" s="16" t="inlineStr">
        <is>
          <t>Shipped</t>
        </is>
      </c>
      <c r="F1516" s="16" t="inlineStr">
        <is>
          <t>LB02235-rojo</t>
        </is>
      </c>
      <c r="G1516" s="16" t="inlineStr">
        <is>
          <t>Audífonos Inalámbricos para la Cabeza, Recargables y Multifuncionales - Conectan a Varios Dispositivos, soportan Radio FM, Tarjeta TF y AUX - 4 Horas de Reproducción Musical - Ideal para Trabajo Cotidiano, Juegos y Estudio</t>
        </is>
      </c>
      <c r="H1516" s="16" t="inlineStr">
        <is>
          <t>ROJO</t>
        </is>
      </c>
      <c r="I1516" s="16" t="n">
        <v>1</v>
      </c>
      <c r="J1516" s="17" t="n">
        <v>36.5</v>
      </c>
      <c r="K1516" s="17" t="n">
        <v>39.69</v>
      </c>
      <c r="L1516" s="17" t="n">
        <v>12.93</v>
      </c>
      <c r="M1516" s="17" t="n">
        <v>0</v>
      </c>
      <c r="N1516" s="17">
        <f>K1516*0.08+L1516*0.08</f>
        <v/>
      </c>
      <c r="O1516" s="17">
        <f>-(K1516*0.025+L1516*0.025)</f>
        <v/>
      </c>
      <c r="P1516" s="17">
        <f>32</f>
        <v/>
      </c>
      <c r="Q1516" s="17">
        <f>J1516+L1516+N1516+O1516-P1516-M1516</f>
        <v/>
      </c>
    </row>
    <row r="1517">
      <c r="A1517" s="16" t="inlineStr">
        <is>
          <t>5.15-5.21</t>
        </is>
      </c>
      <c r="B1517" s="16" t="inlineStr">
        <is>
          <t>PO-128-12509653822073805</t>
        </is>
      </c>
      <c r="C1517" s="16" t="inlineStr">
        <is>
          <t>Shipped</t>
        </is>
      </c>
      <c r="D1517" s="16" t="inlineStr">
        <is>
          <t>128-12509695765113805</t>
        </is>
      </c>
      <c r="E1517" s="16" t="inlineStr">
        <is>
          <t>Shipped</t>
        </is>
      </c>
      <c r="F1517" s="16" t="inlineStr">
        <is>
          <t>LB02235-negro</t>
        </is>
      </c>
      <c r="G1517" s="16" t="inlineStr">
        <is>
          <t>Audífonos Inalámbricos para la Cabeza, Recargables y Multifuncionales - Conectan a Varios Dispositivos, soportan Radio FM, Tarjeta TF y AUX - 4 Horas de Reproducción Musical - Ideal para Trabajo Cotidiano, Juegos y Estudio</t>
        </is>
      </c>
      <c r="H1517" s="16" t="inlineStr">
        <is>
          <t>NEGRO</t>
        </is>
      </c>
      <c r="I1517" s="16" t="n">
        <v>1</v>
      </c>
      <c r="J1517" s="17" t="n">
        <v>36.5</v>
      </c>
      <c r="K1517" s="17" t="n">
        <v>39.69</v>
      </c>
      <c r="L1517" s="17" t="n">
        <v>12.93</v>
      </c>
      <c r="M1517" s="17" t="n">
        <v>0</v>
      </c>
      <c r="N1517" s="17">
        <f>K1517*0.08+L1517*0.08</f>
        <v/>
      </c>
      <c r="O1517" s="17">
        <f>-(K1517*0.025+L1517*0.025)</f>
        <v/>
      </c>
      <c r="P1517" s="17">
        <f>32</f>
        <v/>
      </c>
      <c r="Q1517" s="17">
        <f>J1517+L1517+N1517+O1517-P1517-M1517</f>
        <v/>
      </c>
    </row>
    <row r="1518">
      <c r="A1518" s="16" t="inlineStr">
        <is>
          <t>5.15-5.21</t>
        </is>
      </c>
      <c r="B1518" s="16" t="inlineStr">
        <is>
          <t>PO-128-12645284746873061</t>
        </is>
      </c>
      <c r="C1518" s="16" t="inlineStr">
        <is>
          <t>Shipped</t>
        </is>
      </c>
      <c r="D1518" s="16" t="inlineStr">
        <is>
          <t>128-12645318825593061</t>
        </is>
      </c>
      <c r="E1518" s="16" t="inlineStr">
        <is>
          <t>Shipped</t>
        </is>
      </c>
      <c r="F1518" s="16" t="inlineStr">
        <is>
          <t>MB-185A</t>
        </is>
      </c>
      <c r="G1518" s="16" t="inlineStr">
        <is>
          <t>Bocina Radio FM/Reproductor, Compatible con Tarjeta TF, USB, Bluetooth, Aplicable para celular, computadora, Ipad y consola.</t>
        </is>
      </c>
      <c r="H1518" s="16" t="inlineStr">
        <is>
          <t>AZUL/MB-185</t>
        </is>
      </c>
      <c r="I1518" s="16" t="n">
        <v>1</v>
      </c>
      <c r="J1518" s="17" t="n">
        <v>71.31</v>
      </c>
      <c r="K1518" s="17" t="n">
        <v>84.23999999999999</v>
      </c>
      <c r="L1518" s="17" t="n">
        <v>25.86</v>
      </c>
      <c r="M1518" s="17" t="n">
        <v>0</v>
      </c>
      <c r="N1518" s="17">
        <f>K1518*0.08+L1518*0.08</f>
        <v/>
      </c>
      <c r="O1518" s="17">
        <f>-(K1518*0.025+L1518*0.025)</f>
        <v/>
      </c>
      <c r="P1518" s="17">
        <f>32</f>
        <v/>
      </c>
      <c r="Q1518" s="17">
        <f>J1518+L1518+N1518+O1518-P1518-M1518</f>
        <v/>
      </c>
    </row>
    <row r="1519">
      <c r="A1519" s="16" t="inlineStr">
        <is>
          <t>5.15-5.21</t>
        </is>
      </c>
      <c r="B1519" s="16" t="inlineStr">
        <is>
          <t>PO-128-12652792935032822</t>
        </is>
      </c>
      <c r="C1519" s="16" t="inlineStr">
        <is>
          <t>Shipped</t>
        </is>
      </c>
      <c r="D1519" s="16" t="inlineStr">
        <is>
          <t>128-12652868956792822</t>
        </is>
      </c>
      <c r="E1519" s="16" t="inlineStr">
        <is>
          <t>Shipped</t>
        </is>
      </c>
      <c r="F1519" s="16" t="inlineStr">
        <is>
          <t>FA028</t>
        </is>
      </c>
      <c r="G1519" s="16" t="inlineStr">
        <is>
          <t>Extractor de agua para garrafas de agua, compatible con carga USB, extractor de agua automático, práctico, con dos modos de toma de agua: manual y programado, ideal para dormitorios, salones, oficinas, uso al aire libre y otros escenarios.</t>
        </is>
      </c>
      <c r="H1519" s="16" t="inlineStr">
        <is>
          <t>FA028</t>
        </is>
      </c>
      <c r="I1519" s="16" t="n">
        <v>1</v>
      </c>
      <c r="J1519" s="17" t="n">
        <v>27</v>
      </c>
      <c r="K1519" s="17" t="n">
        <v>36.58</v>
      </c>
      <c r="L1519" s="17" t="n">
        <v>25.86</v>
      </c>
      <c r="M1519" s="17" t="n">
        <v>0</v>
      </c>
      <c r="N1519" s="17">
        <f>K1519*0.08+L1519*0.08</f>
        <v/>
      </c>
      <c r="O1519" s="17">
        <f>-(K1519*0.025+L1519*0.025)</f>
        <v/>
      </c>
      <c r="P1519" s="17">
        <f>32</f>
        <v/>
      </c>
      <c r="Q1519" s="17">
        <f>J1519+L1519+N1519+O1519-P1519-M1519</f>
        <v/>
      </c>
    </row>
    <row r="1520">
      <c r="A1520" s="16" t="inlineStr">
        <is>
          <t>5.15-5.21</t>
        </is>
      </c>
      <c r="B1520" s="16" t="inlineStr">
        <is>
          <t>PO-128-12580201349752425</t>
        </is>
      </c>
      <c r="C1520" s="16" t="inlineStr">
        <is>
          <t>Shipped</t>
        </is>
      </c>
      <c r="D1520" s="16" t="inlineStr">
        <is>
          <t>128-12580159406712425</t>
        </is>
      </c>
      <c r="E1520" s="16" t="inlineStr">
        <is>
          <t>Shipped</t>
        </is>
      </c>
      <c r="F1520" s="16" t="inlineStr">
        <is>
          <t>SA323T</t>
        </is>
      </c>
      <c r="G1520" s="16" t="inlineStr">
        <is>
          <t>Linkbits Bocina Portátil Parlantes BT Portátiles con Iluminación de Ambiente | 1 Hora de Duración, FM, TWS, TF/Micro SD | Ideal para Hogar, Fiestas y Viajes</t>
        </is>
      </c>
      <c r="H1520" s="16" t="inlineStr">
        <is>
          <t>SA323T</t>
        </is>
      </c>
      <c r="I1520" s="16" t="n">
        <v>1</v>
      </c>
      <c r="J1520" s="17" t="n">
        <v>37.71</v>
      </c>
      <c r="K1520" s="17" t="n">
        <v>3.65</v>
      </c>
      <c r="L1520" s="17" t="n">
        <v>25.86</v>
      </c>
      <c r="M1520" s="17" t="n">
        <v>0</v>
      </c>
      <c r="N1520" s="17">
        <f>K1520*0.08+L1520*0.08</f>
        <v/>
      </c>
      <c r="O1520" s="17">
        <f>-(K1520*0.025+L1520*0.025)</f>
        <v/>
      </c>
      <c r="P1520" s="17">
        <f>32</f>
        <v/>
      </c>
      <c r="Q1520" s="17">
        <f>J1520+L1520+N1520+O1520-P1520-M1520</f>
        <v/>
      </c>
    </row>
    <row r="1521">
      <c r="A1521" s="16" t="inlineStr">
        <is>
          <t>5.15-5.21</t>
        </is>
      </c>
      <c r="B1521" s="16" t="inlineStr">
        <is>
          <t>PO-128-12672843080312702</t>
        </is>
      </c>
      <c r="C1521" s="16" t="inlineStr">
        <is>
          <t>Shipped</t>
        </is>
      </c>
      <c r="D1521" s="16" t="inlineStr">
        <is>
          <t>128-12672845701752702</t>
        </is>
      </c>
      <c r="E1521" s="16" t="inlineStr">
        <is>
          <t>Shipped</t>
        </is>
      </c>
      <c r="F1521" s="16" t="inlineStr">
        <is>
          <t>LB02235-rojo</t>
        </is>
      </c>
      <c r="G1521" s="16" t="inlineStr">
        <is>
          <t>Audífonos Inalámbricos para la Cabeza, Recargables y Multifuncionales - Conectan a Varios Dispositivos, soportan Radio FM, Tarjeta TF y AUX - 4 Horas de Reproducción Musical - Ideal para Trabajo Cotidiano, Juegos y Estudio</t>
        </is>
      </c>
      <c r="H1521" s="16" t="inlineStr">
        <is>
          <t>ROJO</t>
        </is>
      </c>
      <c r="I1521" s="16" t="n">
        <v>1</v>
      </c>
      <c r="J1521" s="17" t="n">
        <v>42</v>
      </c>
      <c r="K1521" s="17" t="n">
        <v>55.11</v>
      </c>
      <c r="L1521" s="17" t="n">
        <v>25.86</v>
      </c>
      <c r="M1521" s="17" t="n">
        <v>0</v>
      </c>
      <c r="N1521" s="17">
        <f>K1521*0.08+L1521*0.08</f>
        <v/>
      </c>
      <c r="O1521" s="17">
        <f>-(K1521*0.025+L1521*0.025)</f>
        <v/>
      </c>
      <c r="P1521" s="17">
        <f>32</f>
        <v/>
      </c>
      <c r="Q1521" s="17">
        <f>J1521+L1521+N1521+O1521-P1521-M1521</f>
        <v/>
      </c>
    </row>
    <row r="1522">
      <c r="A1522" s="16" t="inlineStr">
        <is>
          <t>5.15-5.21</t>
        </is>
      </c>
      <c r="B1522" s="16" t="inlineStr">
        <is>
          <t>PO-128-12979236352630940</t>
        </is>
      </c>
      <c r="C1522" s="16" t="inlineStr">
        <is>
          <t>Shipped</t>
        </is>
      </c>
      <c r="D1522" s="16" t="inlineStr">
        <is>
          <t>128-12979228488310940</t>
        </is>
      </c>
      <c r="E1522" s="16" t="inlineStr">
        <is>
          <t>Shipped</t>
        </is>
      </c>
      <c r="F1522" s="16" t="inlineStr">
        <is>
          <t>LV25W22</t>
        </is>
      </c>
      <c r="G152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22" s="16" t="inlineStr">
        <is>
          <t>LV25W32</t>
        </is>
      </c>
      <c r="I1522" s="16" t="n">
        <v>3</v>
      </c>
      <c r="J1522" s="17" t="n">
        <v>282</v>
      </c>
      <c r="K1522" s="17" t="n">
        <v>313.23</v>
      </c>
      <c r="L1522" s="17" t="n">
        <v>0</v>
      </c>
      <c r="M1522" s="17" t="n">
        <v>0</v>
      </c>
      <c r="N1522" s="17">
        <f>K1522*0.08+L1522*0.08</f>
        <v/>
      </c>
      <c r="O1522" s="17">
        <f>-(K1522*0.025+L1522*0.025)</f>
        <v/>
      </c>
      <c r="P1522" s="17">
        <f>32</f>
        <v/>
      </c>
      <c r="Q1522" s="17">
        <f>J1522+L1522+N1522+O1522-P1522-M1522</f>
        <v/>
      </c>
    </row>
    <row r="1523">
      <c r="A1523" s="16" t="inlineStr">
        <is>
          <t>5.15-5.21</t>
        </is>
      </c>
      <c r="B1523" s="16" t="inlineStr">
        <is>
          <t>PO-128-12392576087673351</t>
        </is>
      </c>
      <c r="C1523" s="16" t="inlineStr">
        <is>
          <t>Shipped</t>
        </is>
      </c>
      <c r="D1523" s="16" t="inlineStr">
        <is>
          <t>128-12392624584313351</t>
        </is>
      </c>
      <c r="E1523" s="16" t="inlineStr">
        <is>
          <t>Shipped</t>
        </is>
      </c>
      <c r="F1523" s="16" t="inlineStr">
        <is>
          <t>LV25W22</t>
        </is>
      </c>
      <c r="G152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23" s="16" t="inlineStr">
        <is>
          <t>LV25W32</t>
        </is>
      </c>
      <c r="I1523" s="16" t="n">
        <v>1</v>
      </c>
      <c r="J1523" s="17" t="n">
        <v>94</v>
      </c>
      <c r="K1523" s="17" t="n">
        <v>97.53</v>
      </c>
      <c r="L1523" s="17" t="n">
        <v>25.86</v>
      </c>
      <c r="M1523" s="17" t="n">
        <v>0</v>
      </c>
      <c r="N1523" s="17">
        <f>K1523*0.08+L1523*0.08</f>
        <v/>
      </c>
      <c r="O1523" s="17">
        <f>-(K1523*0.025+L1523*0.025)</f>
        <v/>
      </c>
      <c r="P1523" s="17">
        <f>32</f>
        <v/>
      </c>
      <c r="Q1523" s="17">
        <f>J1523+L1523+N1523+O1523-P1523-M1523</f>
        <v/>
      </c>
    </row>
    <row r="1524">
      <c r="A1524" s="16" t="inlineStr">
        <is>
          <t>5.15-5.21</t>
        </is>
      </c>
      <c r="B1524" s="16" t="inlineStr">
        <is>
          <t>PO-128-12746847580791367</t>
        </is>
      </c>
      <c r="C1524" s="16" t="inlineStr">
        <is>
          <t>Shipped</t>
        </is>
      </c>
      <c r="D1524" s="16" t="inlineStr">
        <is>
          <t>128-12746866586231367</t>
        </is>
      </c>
      <c r="E1524" s="16" t="inlineStr">
        <is>
          <t>Shipped</t>
        </is>
      </c>
      <c r="F1524" s="16" t="inlineStr">
        <is>
          <t>MCM-001N</t>
        </is>
      </c>
      <c r="G1524" s="16" t="inlineStr">
        <is>
          <t>Musicord Altavoz Inalámbrico BT Portátil: ¡Sonido impactante, luces LED multicolores y 4 horas de autonomía! Compatible con TWS, FM, TF y USB – Imprescindible para fiestas y viajes</t>
        </is>
      </c>
      <c r="H1524" s="16" t="inlineStr">
        <is>
          <t>NEGRO</t>
        </is>
      </c>
      <c r="I1524" s="16" t="n">
        <v>1</v>
      </c>
      <c r="J1524" s="17" t="n">
        <v>61</v>
      </c>
      <c r="K1524" s="17" t="n">
        <v>68.79000000000001</v>
      </c>
      <c r="L1524" s="17" t="n">
        <v>25.86</v>
      </c>
      <c r="M1524" s="17" t="n">
        <v>0</v>
      </c>
      <c r="N1524" s="17">
        <f>K1524*0.08+L1524*0.08</f>
        <v/>
      </c>
      <c r="O1524" s="17">
        <f>-(K1524*0.025+L1524*0.025)</f>
        <v/>
      </c>
      <c r="P1524" s="17">
        <f>32</f>
        <v/>
      </c>
      <c r="Q1524" s="17">
        <f>J1524+L1524+N1524+O1524-P1524-M1524</f>
        <v/>
      </c>
    </row>
    <row r="1525">
      <c r="A1525" s="16" t="inlineStr">
        <is>
          <t>5.15-5.21</t>
        </is>
      </c>
      <c r="B1525" s="16" t="inlineStr">
        <is>
          <t>PO-128-12458626099833981</t>
        </is>
      </c>
      <c r="C1525" s="16" t="inlineStr">
        <is>
          <t>Shipped</t>
        </is>
      </c>
      <c r="D1525" s="16" t="inlineStr">
        <is>
          <t>128-12458730957433981</t>
        </is>
      </c>
      <c r="E1525" s="16" t="inlineStr">
        <is>
          <t>Shipped</t>
        </is>
      </c>
      <c r="F1525" s="16" t="inlineStr">
        <is>
          <t>MB-185R</t>
        </is>
      </c>
      <c r="G1525" s="16" t="inlineStr">
        <is>
          <t>Bocina Radio FM/Reproductor, Compatible con Tarjeta TF, USB, Bluetooth, Aplicable para celular, computadora, Ipad y consola.</t>
        </is>
      </c>
      <c r="H1525" s="16" t="inlineStr">
        <is>
          <t>ROJO/MB-185</t>
        </is>
      </c>
      <c r="I1525" s="16" t="n">
        <v>1</v>
      </c>
      <c r="J1525" s="17" t="n">
        <v>75.59999999999999</v>
      </c>
      <c r="K1525" s="17" t="n">
        <v>88.53</v>
      </c>
      <c r="L1525" s="17" t="n">
        <v>25.86</v>
      </c>
      <c r="M1525" s="17" t="n">
        <v>0</v>
      </c>
      <c r="N1525" s="17">
        <f>K1525*0.08+L1525*0.08</f>
        <v/>
      </c>
      <c r="O1525" s="17">
        <f>-(K1525*0.025+L1525*0.025)</f>
        <v/>
      </c>
      <c r="P1525" s="17">
        <f>32</f>
        <v/>
      </c>
      <c r="Q1525" s="17">
        <f>J1525+L1525+N1525+O1525-P1525-M1525</f>
        <v/>
      </c>
    </row>
    <row r="1526">
      <c r="A1526" s="16" t="inlineStr">
        <is>
          <t>5.15-5.21</t>
        </is>
      </c>
      <c r="B1526" s="16" t="inlineStr">
        <is>
          <t>PO-128-12747005860471364</t>
        </is>
      </c>
      <c r="C1526" s="16" t="inlineStr">
        <is>
          <t>Shipped</t>
        </is>
      </c>
      <c r="D1526" s="16" t="inlineStr">
        <is>
          <t>128-12747012414071364</t>
        </is>
      </c>
      <c r="E1526" s="16" t="inlineStr">
        <is>
          <t>Shipped</t>
        </is>
      </c>
      <c r="F1526" s="16" t="inlineStr">
        <is>
          <t>MB-178-N</t>
        </is>
      </c>
      <c r="G1526" s="16" t="inlineStr">
        <is>
          <t>Bocina de Barra Bluetooth LINK BITS con dos altavoces, sonido de alta calidad y multifuncional (Bluetooth, Radio FM, USB, TF, AUX, TWS), ideal para juegos, reuniones, oficina y cine en casa.</t>
        </is>
      </c>
      <c r="H1526" s="16" t="inlineStr">
        <is>
          <t>NEGRO</t>
        </is>
      </c>
      <c r="I1526" s="16" t="n">
        <v>1</v>
      </c>
      <c r="J1526" s="17" t="n">
        <v>135</v>
      </c>
      <c r="K1526" s="17" t="n">
        <v>123.47</v>
      </c>
      <c r="L1526" s="17" t="n">
        <v>25.86</v>
      </c>
      <c r="M1526" s="17" t="n">
        <v>12.01</v>
      </c>
      <c r="N1526" s="17">
        <f>K1526*0.08+L1526*0.08</f>
        <v/>
      </c>
      <c r="O1526" s="17">
        <f>-(K1526*0.025+L1526*0.025)</f>
        <v/>
      </c>
      <c r="P1526" s="17">
        <f>32</f>
        <v/>
      </c>
      <c r="Q1526" s="17">
        <f>J1526+L1526+N1526+O1526-P1526-M1526</f>
        <v/>
      </c>
    </row>
    <row r="1527">
      <c r="A1527" s="16" t="inlineStr">
        <is>
          <t>5.15-5.21</t>
        </is>
      </c>
      <c r="B1527" s="16" t="inlineStr">
        <is>
          <t>PO-128-13006566431350843</t>
        </is>
      </c>
      <c r="C1527" s="16" t="inlineStr">
        <is>
          <t>Shipped</t>
        </is>
      </c>
      <c r="D1527" s="16" t="inlineStr">
        <is>
          <t>128-13006587402870843</t>
        </is>
      </c>
      <c r="E1527" s="16" t="inlineStr">
        <is>
          <t>Shipped</t>
        </is>
      </c>
      <c r="F1527" s="16" t="inlineStr">
        <is>
          <t>LB02235-negro</t>
        </is>
      </c>
      <c r="G1527" s="16" t="inlineStr">
        <is>
          <t>Audífonos Inalámbricos para la Cabeza, Recargables y Multifuncionales - Conectan a Varios Dispositivos, soportan Radio FM, Tarjeta TF y AUX - 4 Horas de Reproducción Musical - Ideal para Trabajo Cotidiano, Juegos y Estudio</t>
        </is>
      </c>
      <c r="H1527" s="16" t="inlineStr">
        <is>
          <t>NEGRO</t>
        </is>
      </c>
      <c r="I1527" s="16" t="n">
        <v>1</v>
      </c>
      <c r="J1527" s="17" t="n">
        <v>37</v>
      </c>
      <c r="K1527" s="17" t="n">
        <v>50.11</v>
      </c>
      <c r="L1527" s="17" t="n">
        <v>25.86</v>
      </c>
      <c r="M1527" s="17" t="n">
        <v>0</v>
      </c>
      <c r="N1527" s="17">
        <f>K1527*0.08+L1527*0.08</f>
        <v/>
      </c>
      <c r="O1527" s="17">
        <f>-(K1527*0.025+L1527*0.025)</f>
        <v/>
      </c>
      <c r="P1527" s="17">
        <f>32</f>
        <v/>
      </c>
      <c r="Q1527" s="17">
        <f>J1527+L1527+N1527+O1527-P1527-M1527</f>
        <v/>
      </c>
    </row>
    <row r="1528">
      <c r="A1528" s="16" t="inlineStr">
        <is>
          <t>5.15-5.21</t>
        </is>
      </c>
      <c r="B1528" s="16" t="inlineStr">
        <is>
          <t>PO-128-12454595425913173</t>
        </is>
      </c>
      <c r="C1528" s="16" t="inlineStr">
        <is>
          <t>Shipped</t>
        </is>
      </c>
      <c r="D1528" s="16" t="inlineStr">
        <is>
          <t>128-12454616397433173</t>
        </is>
      </c>
      <c r="E1528" s="16" t="inlineStr">
        <is>
          <t>Shipped</t>
        </is>
      </c>
      <c r="F1528" s="16" t="inlineStr">
        <is>
          <t>SA8056T</t>
        </is>
      </c>
      <c r="G152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528" s="16" t="inlineStr">
        <is>
          <t>SA8056T</t>
        </is>
      </c>
      <c r="I1528" s="16" t="n">
        <v>2</v>
      </c>
      <c r="J1528" s="17" t="n">
        <v>247.8</v>
      </c>
      <c r="K1528" s="17" t="n">
        <v>259.71</v>
      </c>
      <c r="L1528" s="17" t="n">
        <v>0</v>
      </c>
      <c r="M1528" s="17" t="n">
        <v>0</v>
      </c>
      <c r="N1528" s="17">
        <f>K1528*0.08+L1528*0.08</f>
        <v/>
      </c>
      <c r="O1528" s="17">
        <f>-(K1528*0.025+L1528*0.025)</f>
        <v/>
      </c>
      <c r="P1528" s="17">
        <f>32</f>
        <v/>
      </c>
      <c r="Q1528" s="17">
        <f>J1528+L1528+N1528+O1528-P1528-M1528</f>
        <v/>
      </c>
    </row>
    <row r="1529">
      <c r="A1529" s="16" t="inlineStr">
        <is>
          <t>5.15-5.21</t>
        </is>
      </c>
      <c r="B1529" s="16" t="inlineStr">
        <is>
          <t>PO-128-12536694559353706</t>
        </is>
      </c>
      <c r="C1529" s="16" t="inlineStr">
        <is>
          <t>Shipped</t>
        </is>
      </c>
      <c r="D1529" s="16" t="inlineStr">
        <is>
          <t>128-12536707666553706</t>
        </is>
      </c>
      <c r="E1529" s="16" t="inlineStr">
        <is>
          <t>Shipped</t>
        </is>
      </c>
      <c r="F1529" s="16" t="inlineStr">
        <is>
          <t>VA384T-A</t>
        </is>
      </c>
      <c r="G1529" s="16" t="inlineStr">
        <is>
          <t>Bocina Portátil Bluetooth de 3 Pulgadas con Radio FM, USB TF TWS, Sonido Estéreo 5W, Bocina Recargable para Hogar Exterior Viaje Fiesta Camping</t>
        </is>
      </c>
      <c r="H1529" s="16" t="inlineStr">
        <is>
          <t>AZUL</t>
        </is>
      </c>
      <c r="I1529" s="16" t="n">
        <v>2</v>
      </c>
      <c r="J1529" s="17" t="n">
        <v>95.98</v>
      </c>
      <c r="K1529" s="17" t="n">
        <v>84.06999999999999</v>
      </c>
      <c r="L1529" s="17" t="n">
        <v>0</v>
      </c>
      <c r="M1529" s="17" t="n">
        <v>2.84</v>
      </c>
      <c r="N1529" s="17">
        <f>K1529*0.08+L1529*0.08</f>
        <v/>
      </c>
      <c r="O1529" s="17">
        <f>-(K1529*0.025+L1529*0.025)</f>
        <v/>
      </c>
      <c r="P1529" s="17">
        <f>32</f>
        <v/>
      </c>
      <c r="Q1529" s="17">
        <f>J1529+L1529+N1529+O1529-P1529-M1529</f>
        <v/>
      </c>
    </row>
    <row r="1530">
      <c r="A1530" s="16" t="inlineStr">
        <is>
          <t>5.15-5.21</t>
        </is>
      </c>
      <c r="B1530" s="16" t="inlineStr">
        <is>
          <t>PO-128-12536694559353706</t>
        </is>
      </c>
      <c r="C1530" s="16" t="inlineStr">
        <is>
          <t>Shipped</t>
        </is>
      </c>
      <c r="D1530" s="16" t="inlineStr">
        <is>
          <t>128-12536718152313706</t>
        </is>
      </c>
      <c r="E1530" s="16" t="inlineStr">
        <is>
          <t>Shipped</t>
        </is>
      </c>
      <c r="F1530" s="16" t="inlineStr">
        <is>
          <t>VB347T</t>
        </is>
      </c>
      <c r="G153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30" s="16" t="inlineStr">
        <is>
          <t>1 pieza</t>
        </is>
      </c>
      <c r="I1530" s="16" t="n">
        <v>2</v>
      </c>
      <c r="J1530" s="17" t="n">
        <v>159.8</v>
      </c>
      <c r="K1530" s="17" t="n">
        <v>135.33</v>
      </c>
      <c r="L1530" s="17" t="n">
        <v>0</v>
      </c>
      <c r="M1530" s="17" t="n">
        <v>2.88</v>
      </c>
      <c r="N1530" s="17">
        <f>K1530*0.08+L1530*0.08</f>
        <v/>
      </c>
      <c r="O1530" s="17">
        <f>-(K1530*0.025+L1530*0.025)</f>
        <v/>
      </c>
      <c r="P1530" s="17">
        <f>32</f>
        <v/>
      </c>
      <c r="Q1530" s="17">
        <f>J1530+L1530+N1530+O1530-P1530-M1530</f>
        <v/>
      </c>
    </row>
    <row r="1531">
      <c r="A1531" s="16" t="inlineStr">
        <is>
          <t>5.15-5.21</t>
        </is>
      </c>
      <c r="B1531" s="16" t="inlineStr">
        <is>
          <t>PO-128-12536694559353706</t>
        </is>
      </c>
      <c r="C1531" s="16" t="inlineStr">
        <is>
          <t>Shipped</t>
        </is>
      </c>
      <c r="D1531" s="16" t="inlineStr">
        <is>
          <t>128-12536676209273706</t>
        </is>
      </c>
      <c r="E1531" s="16" t="inlineStr">
        <is>
          <t>Shipped</t>
        </is>
      </c>
      <c r="F1531" s="16" t="inlineStr">
        <is>
          <t>VA396T</t>
        </is>
      </c>
      <c r="G1531"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1531" s="16" t="inlineStr">
        <is>
          <t>VA396T</t>
        </is>
      </c>
      <c r="I1531" s="16" t="n">
        <v>2</v>
      </c>
      <c r="J1531" s="17" t="n">
        <v>82</v>
      </c>
      <c r="K1531" s="17" t="n">
        <v>70.81</v>
      </c>
      <c r="L1531" s="17" t="n">
        <v>0</v>
      </c>
      <c r="M1531" s="17" t="n">
        <v>0</v>
      </c>
      <c r="N1531" s="17">
        <f>K1531*0.08+L1531*0.08</f>
        <v/>
      </c>
      <c r="O1531" s="17">
        <f>-(K1531*0.025+L1531*0.025)</f>
        <v/>
      </c>
      <c r="P1531" s="17">
        <f>32</f>
        <v/>
      </c>
      <c r="Q1531" s="17">
        <f>J1531+L1531+N1531+O1531-P1531-M1531</f>
        <v/>
      </c>
    </row>
    <row r="1532">
      <c r="A1532" s="16" t="inlineStr">
        <is>
          <t>5.15-5.21</t>
        </is>
      </c>
      <c r="B1532" s="16" t="inlineStr">
        <is>
          <t>PO-128-12536694559353706</t>
        </is>
      </c>
      <c r="C1532" s="16" t="inlineStr">
        <is>
          <t>Shipped</t>
        </is>
      </c>
      <c r="D1532" s="16" t="inlineStr">
        <is>
          <t>128-12536655237753706</t>
        </is>
      </c>
      <c r="E1532" s="16" t="inlineStr">
        <is>
          <t>Shipped</t>
        </is>
      </c>
      <c r="F1532" s="16" t="inlineStr">
        <is>
          <t>MCM-001G</t>
        </is>
      </c>
      <c r="G1532" s="16" t="inlineStr">
        <is>
          <t>Musicord Altavoz Inalámbrico BT Portátil: ¡Sonido impactante, luces LED multicolores y 4 horas de autonomía! Compatible con TWS, FM, TF y USB – Imprescindible para fiestas y viajes</t>
        </is>
      </c>
      <c r="H1532" s="16" t="inlineStr">
        <is>
          <t>GRIS</t>
        </is>
      </c>
      <c r="I1532" s="16" t="n">
        <v>2</v>
      </c>
      <c r="J1532" s="17" t="n">
        <v>102.14</v>
      </c>
      <c r="K1532" s="17" t="n">
        <v>84.29000000000001</v>
      </c>
      <c r="L1532" s="17" t="n">
        <v>0</v>
      </c>
      <c r="M1532" s="17" t="n">
        <v>0</v>
      </c>
      <c r="N1532" s="17">
        <f>K1532*0.08+L1532*0.08</f>
        <v/>
      </c>
      <c r="O1532" s="17">
        <f>-(K1532*0.025+L1532*0.025)</f>
        <v/>
      </c>
      <c r="P1532" s="17">
        <f>32</f>
        <v/>
      </c>
      <c r="Q1532" s="17">
        <f>J1532+L1532+N1532+O1532-P1532-M1532</f>
        <v/>
      </c>
    </row>
    <row r="1533">
      <c r="A1533" s="16" t="inlineStr">
        <is>
          <t>5.15-5.21</t>
        </is>
      </c>
      <c r="B1533" s="16" t="inlineStr">
        <is>
          <t>PO-128-12536694559353706</t>
        </is>
      </c>
      <c r="C1533" s="16" t="inlineStr">
        <is>
          <t>Shipped</t>
        </is>
      </c>
      <c r="D1533" s="16" t="inlineStr">
        <is>
          <t>128-12536665723513706</t>
        </is>
      </c>
      <c r="E1533" s="16" t="inlineStr">
        <is>
          <t>Shipped</t>
        </is>
      </c>
      <c r="F1533" s="16" t="inlineStr">
        <is>
          <t>SA8058T</t>
        </is>
      </c>
      <c r="G1533"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1533" s="16" t="inlineStr">
        <is>
          <t>SA8058T</t>
        </is>
      </c>
      <c r="I1533" s="16" t="n">
        <v>2</v>
      </c>
      <c r="J1533" s="17" t="n">
        <v>440</v>
      </c>
      <c r="K1533" s="17" t="n">
        <v>347.51</v>
      </c>
      <c r="L1533" s="17" t="n">
        <v>0</v>
      </c>
      <c r="M1533" s="17" t="n">
        <v>82.22</v>
      </c>
      <c r="N1533" s="17">
        <f>K1533*0.08+L1533*0.08</f>
        <v/>
      </c>
      <c r="O1533" s="17">
        <f>-(K1533*0.025+L1533*0.025)</f>
        <v/>
      </c>
      <c r="P1533" s="17">
        <f>32</f>
        <v/>
      </c>
      <c r="Q1533" s="17">
        <f>J1533+L1533+N1533+O1533-P1533-M1533</f>
        <v/>
      </c>
    </row>
    <row r="1534">
      <c r="A1534" s="16" t="inlineStr">
        <is>
          <t>5.15-5.21</t>
        </is>
      </c>
      <c r="B1534" s="16" t="inlineStr">
        <is>
          <t>PO-128-12536694559353706</t>
        </is>
      </c>
      <c r="C1534" s="16" t="inlineStr">
        <is>
          <t>Shipped</t>
        </is>
      </c>
      <c r="D1534" s="16" t="inlineStr">
        <is>
          <t>128-12536686695033706</t>
        </is>
      </c>
      <c r="E1534" s="16" t="inlineStr">
        <is>
          <t>Shipped</t>
        </is>
      </c>
      <c r="F1534" s="16" t="inlineStr">
        <is>
          <t>SA325T</t>
        </is>
      </c>
      <c r="G1534" s="16" t="inlineStr">
        <is>
          <t>Subwoofer Portátil Inalámbrico con Luces RGB, Sonido de Alta Potencia y Batería Duradera, TWS TF USB, Perfecto para Campamento Fiestas y Entretenimiento en Casa</t>
        </is>
      </c>
      <c r="H1534" s="16" t="inlineStr">
        <is>
          <t>NEGRO</t>
        </is>
      </c>
      <c r="I1534" s="16" t="n">
        <v>2</v>
      </c>
      <c r="J1534" s="17" t="n">
        <v>76</v>
      </c>
      <c r="K1534" s="17" t="n">
        <v>67.36</v>
      </c>
      <c r="L1534" s="17" t="n">
        <v>0</v>
      </c>
      <c r="M1534" s="17" t="n">
        <v>2.88</v>
      </c>
      <c r="N1534" s="17">
        <f>K1534*0.08+L1534*0.08</f>
        <v/>
      </c>
      <c r="O1534" s="17">
        <f>-(K1534*0.025+L1534*0.025)</f>
        <v/>
      </c>
      <c r="P1534" s="17">
        <f>32</f>
        <v/>
      </c>
      <c r="Q1534" s="17">
        <f>J1534+L1534+N1534+O1534-P1534-M1534</f>
        <v/>
      </c>
    </row>
    <row r="1535">
      <c r="A1535" s="16" t="inlineStr">
        <is>
          <t>5.15-5.21</t>
        </is>
      </c>
      <c r="B1535" s="16" t="inlineStr">
        <is>
          <t>PO-128-12858273342071791</t>
        </is>
      </c>
      <c r="C1535" s="16" t="inlineStr">
        <is>
          <t>Shipped</t>
        </is>
      </c>
      <c r="D1535" s="16" t="inlineStr">
        <is>
          <t>128-12858299556471791</t>
        </is>
      </c>
      <c r="E1535" s="16" t="inlineStr">
        <is>
          <t>Shipped</t>
        </is>
      </c>
      <c r="F1535" s="16" t="inlineStr">
        <is>
          <t>LV25W22</t>
        </is>
      </c>
      <c r="G153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35" s="16" t="inlineStr">
        <is>
          <t>LV25W32</t>
        </is>
      </c>
      <c r="I1535" s="16" t="n">
        <v>1</v>
      </c>
      <c r="J1535" s="17" t="n">
        <v>90.43000000000001</v>
      </c>
      <c r="K1535" s="17" t="n">
        <v>100.84</v>
      </c>
      <c r="L1535" s="17" t="n">
        <v>25.86</v>
      </c>
      <c r="M1535" s="17" t="n">
        <v>0</v>
      </c>
      <c r="N1535" s="17">
        <f>K1535*0.08+L1535*0.08</f>
        <v/>
      </c>
      <c r="O1535" s="17">
        <f>-(K1535*0.025+L1535*0.025)</f>
        <v/>
      </c>
      <c r="P1535" s="17">
        <f>32</f>
        <v/>
      </c>
      <c r="Q1535" s="17">
        <f>J1535+L1535+N1535+O1535-P1535-M1535</f>
        <v/>
      </c>
    </row>
    <row r="1536">
      <c r="A1536" s="16" t="inlineStr">
        <is>
          <t>5.15-5.21</t>
        </is>
      </c>
      <c r="B1536" s="16" t="inlineStr">
        <is>
          <t>PO-128-12975090432630903</t>
        </is>
      </c>
      <c r="C1536" s="16" t="inlineStr">
        <is>
          <t>Shipped</t>
        </is>
      </c>
      <c r="D1536" s="16" t="inlineStr">
        <is>
          <t>128-12975142861430903</t>
        </is>
      </c>
      <c r="E1536" s="16" t="inlineStr">
        <is>
          <t>Shipped</t>
        </is>
      </c>
      <c r="F1536" s="16" t="inlineStr">
        <is>
          <t>SA8056T</t>
        </is>
      </c>
      <c r="G153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536" s="16" t="inlineStr">
        <is>
          <t>SA8056T</t>
        </is>
      </c>
      <c r="I1536" s="16" t="n">
        <v>2</v>
      </c>
      <c r="J1536" s="17" t="n">
        <v>247.8</v>
      </c>
      <c r="K1536" s="17" t="n">
        <v>230.86</v>
      </c>
      <c r="L1536" s="17" t="n">
        <v>0</v>
      </c>
      <c r="M1536" s="17" t="n">
        <v>0</v>
      </c>
      <c r="N1536" s="17">
        <f>K1536*0.08+L1536*0.08</f>
        <v/>
      </c>
      <c r="O1536" s="17">
        <f>-(K1536*0.025+L1536*0.025)</f>
        <v/>
      </c>
      <c r="P1536" s="17">
        <f>32</f>
        <v/>
      </c>
      <c r="Q1536" s="17">
        <f>J1536+L1536+N1536+O1536-P1536-M1536</f>
        <v/>
      </c>
    </row>
    <row r="1537">
      <c r="A1537" s="16" t="inlineStr">
        <is>
          <t>5.15-5.21</t>
        </is>
      </c>
      <c r="B1537" s="16" t="inlineStr">
        <is>
          <t>PO-128-13021304837750691</t>
        </is>
      </c>
      <c r="C1537" s="16" t="inlineStr">
        <is>
          <t>Shipped</t>
        </is>
      </c>
      <c r="D1537" s="16" t="inlineStr">
        <is>
          <t>128-13021464745590691</t>
        </is>
      </c>
      <c r="E1537" s="16" t="inlineStr">
        <is>
          <t>Shipped</t>
        </is>
      </c>
      <c r="F1537" s="16" t="inlineStr">
        <is>
          <t>SA325T</t>
        </is>
      </c>
      <c r="G1537" s="16" t="inlineStr">
        <is>
          <t>Subwoofer Portátil Inalámbrico con Luces RGB, Sonido de Alta Potencia y Batería Duradera, TWS TF USB, Perfecto para Campamento Fiestas y Entretenimiento en Casa</t>
        </is>
      </c>
      <c r="H1537" s="16" t="inlineStr">
        <is>
          <t>NEGRO</t>
        </is>
      </c>
      <c r="I1537" s="16" t="n">
        <v>1</v>
      </c>
      <c r="J1537" s="17" t="n">
        <v>38</v>
      </c>
      <c r="K1537" s="17" t="n">
        <v>47.04</v>
      </c>
      <c r="L1537" s="17" t="n">
        <v>25.86</v>
      </c>
      <c r="M1537" s="17" t="n">
        <v>0</v>
      </c>
      <c r="N1537" s="17">
        <f>K1537*0.08+L1537*0.08</f>
        <v/>
      </c>
      <c r="O1537" s="17">
        <f>-(K1537*0.025+L1537*0.025)</f>
        <v/>
      </c>
      <c r="P1537" s="17">
        <f>32</f>
        <v/>
      </c>
      <c r="Q1537" s="17">
        <f>J1537+L1537+N1537+O1537-P1537-M1537</f>
        <v/>
      </c>
    </row>
    <row r="1538">
      <c r="A1538" s="16" t="inlineStr">
        <is>
          <t>5.15-5.21</t>
        </is>
      </c>
      <c r="B1538" s="16" t="inlineStr">
        <is>
          <t>PO-128-12768237102711238</t>
        </is>
      </c>
      <c r="C1538" s="16" t="inlineStr">
        <is>
          <t>Shipped</t>
        </is>
      </c>
      <c r="D1538" s="16" t="inlineStr">
        <is>
          <t>128-12768289531511238</t>
        </is>
      </c>
      <c r="E1538" s="16" t="inlineStr">
        <is>
          <t>Shipped</t>
        </is>
      </c>
      <c r="F1538" s="16" t="inlineStr">
        <is>
          <t>SA325T</t>
        </is>
      </c>
      <c r="G1538" s="16" t="inlineStr">
        <is>
          <t>Subwoofer Portátil Inalámbrico con Luces RGB, Sonido de Alta Potencia y Batería Duradera, TWS TF USB, Perfecto para Campamento Fiestas y Entretenimiento en Casa</t>
        </is>
      </c>
      <c r="H1538" s="16" t="inlineStr">
        <is>
          <t>NEGRO</t>
        </is>
      </c>
      <c r="I1538" s="16" t="n">
        <v>2</v>
      </c>
      <c r="J1538" s="17" t="n">
        <v>76</v>
      </c>
      <c r="K1538" s="17" t="n">
        <v>94.08</v>
      </c>
      <c r="L1538" s="17" t="n">
        <v>25.86</v>
      </c>
      <c r="M1538" s="17" t="n">
        <v>0</v>
      </c>
      <c r="N1538" s="17">
        <f>K1538*0.08+L1538*0.08</f>
        <v/>
      </c>
      <c r="O1538" s="17">
        <f>-(K1538*0.025+L1538*0.025)</f>
        <v/>
      </c>
      <c r="P1538" s="17">
        <f>32</f>
        <v/>
      </c>
      <c r="Q1538" s="17">
        <f>J1538+L1538+N1538+O1538-P1538-M1538</f>
        <v/>
      </c>
    </row>
    <row r="1539">
      <c r="A1539" s="16" t="inlineStr">
        <is>
          <t>5.15-5.21</t>
        </is>
      </c>
      <c r="B1539" s="16" t="inlineStr">
        <is>
          <t>PO-128-12426498079353277</t>
        </is>
      </c>
      <c r="C1539" s="16" t="inlineStr">
        <is>
          <t>Shipped</t>
        </is>
      </c>
      <c r="D1539" s="16" t="inlineStr">
        <is>
          <t>128-12426519050873277</t>
        </is>
      </c>
      <c r="E1539" s="16" t="inlineStr">
        <is>
          <t>Shipped</t>
        </is>
      </c>
      <c r="F1539" s="16" t="inlineStr">
        <is>
          <t>MB-185R</t>
        </is>
      </c>
      <c r="G1539" s="16" t="inlineStr">
        <is>
          <t>Bocina Radio FM/Reproductor, Compatible con Tarjeta TF, USB, Bluetooth, Aplicable para celular, computadora, Ipad y consola.</t>
        </is>
      </c>
      <c r="H1539" s="16" t="inlineStr">
        <is>
          <t>ROJO/MB-185</t>
        </is>
      </c>
      <c r="I1539" s="16" t="n">
        <v>1</v>
      </c>
      <c r="J1539" s="17" t="n">
        <v>75.59999999999999</v>
      </c>
      <c r="K1539" s="17" t="n">
        <v>5.77</v>
      </c>
      <c r="L1539" s="17" t="n">
        <v>25.86</v>
      </c>
      <c r="M1539" s="17" t="n">
        <v>0</v>
      </c>
      <c r="N1539" s="17">
        <f>K1539*0.08+L1539*0.08</f>
        <v/>
      </c>
      <c r="O1539" s="17">
        <f>-(K1539*0.025+L1539*0.025)</f>
        <v/>
      </c>
      <c r="P1539" s="17">
        <f>32</f>
        <v/>
      </c>
      <c r="Q1539" s="17">
        <f>J1539+L1539+N1539+O1539-P1539-M1539</f>
        <v/>
      </c>
    </row>
    <row r="1540">
      <c r="A1540" s="16" t="inlineStr">
        <is>
          <t>5.15-5.21</t>
        </is>
      </c>
      <c r="B1540" s="16" t="inlineStr">
        <is>
          <t>PO-128-12844724245111678</t>
        </is>
      </c>
      <c r="C1540" s="16" t="inlineStr">
        <is>
          <t>Shipped</t>
        </is>
      </c>
      <c r="D1540" s="16" t="inlineStr">
        <is>
          <t>128-12844758323831678</t>
        </is>
      </c>
      <c r="E1540" s="16" t="inlineStr">
        <is>
          <t>Shipped</t>
        </is>
      </c>
      <c r="F1540" s="16" t="inlineStr">
        <is>
          <t>FA028</t>
        </is>
      </c>
      <c r="G1540" s="16" t="inlineStr">
        <is>
          <t>Extractor de agua para garrafas de agua, compatible con carga USB, extractor de agua automático, práctico, con dos modos de toma de agua: manual y programado, ideal para dormitorios, salones, oficinas, uso al aire libre y otros escenarios.</t>
        </is>
      </c>
      <c r="H1540" s="16" t="inlineStr">
        <is>
          <t>FA028</t>
        </is>
      </c>
      <c r="I1540" s="16" t="n">
        <v>1</v>
      </c>
      <c r="J1540" s="17" t="n">
        <v>30</v>
      </c>
      <c r="K1540" s="17" t="n">
        <v>39.58</v>
      </c>
      <c r="L1540" s="17" t="n">
        <v>25.86</v>
      </c>
      <c r="M1540" s="17" t="n">
        <v>0</v>
      </c>
      <c r="N1540" s="17">
        <f>K1540*0.08+L1540*0.08</f>
        <v/>
      </c>
      <c r="O1540" s="17">
        <f>-(K1540*0.025+L1540*0.025)</f>
        <v/>
      </c>
      <c r="P1540" s="17">
        <f>32</f>
        <v/>
      </c>
      <c r="Q1540" s="17">
        <f>J1540+L1540+N1540+O1540-P1540-M1540</f>
        <v/>
      </c>
    </row>
    <row r="1541">
      <c r="A1541" s="16" t="inlineStr">
        <is>
          <t>5.15-5.21</t>
        </is>
      </c>
      <c r="B1541" s="16" t="inlineStr">
        <is>
          <t>PO-128-13012321961590873</t>
        </is>
      </c>
      <c r="C1541" s="16" t="inlineStr">
        <is>
          <t>Shipped</t>
        </is>
      </c>
      <c r="D1541" s="16" t="inlineStr">
        <is>
          <t>128-13012300990070873</t>
        </is>
      </c>
      <c r="E1541" s="16" t="inlineStr">
        <is>
          <t>Shipped</t>
        </is>
      </c>
      <c r="F1541" s="16" t="inlineStr">
        <is>
          <t>VA384T-N</t>
        </is>
      </c>
      <c r="G1541" s="16" t="inlineStr">
        <is>
          <t>Bocina Portátil Bluetooth de 3 Pulgadas con Radio FM, USB TF TWS, Sonido Estéreo 5W, Bocina Recargable para Hogar Exterior Viaje Fiesta Camping</t>
        </is>
      </c>
      <c r="H1541" s="16" t="inlineStr">
        <is>
          <t>NEGRO</t>
        </is>
      </c>
      <c r="I1541" s="16" t="n">
        <v>1</v>
      </c>
      <c r="J1541" s="17" t="n">
        <v>50</v>
      </c>
      <c r="K1541" s="17" t="n">
        <v>60.72</v>
      </c>
      <c r="L1541" s="17" t="n">
        <v>25.86</v>
      </c>
      <c r="M1541" s="17" t="n">
        <v>0</v>
      </c>
      <c r="N1541" s="17">
        <f>K1541*0.08+L1541*0.08</f>
        <v/>
      </c>
      <c r="O1541" s="17">
        <f>-(K1541*0.025+L1541*0.025)</f>
        <v/>
      </c>
      <c r="P1541" s="17">
        <f>32</f>
        <v/>
      </c>
      <c r="Q1541" s="17">
        <f>J1541+L1541+N1541+O1541-P1541-M1541</f>
        <v/>
      </c>
    </row>
    <row r="1542">
      <c r="A1542" s="16" t="inlineStr">
        <is>
          <t>5.15-5.21</t>
        </is>
      </c>
      <c r="B1542" s="16" t="inlineStr">
        <is>
          <t>PO-128-01548984991352446</t>
        </is>
      </c>
      <c r="C1542" s="16" t="inlineStr">
        <is>
          <t>Shipped</t>
        </is>
      </c>
      <c r="D1542" s="16" t="inlineStr">
        <is>
          <t>128-01549005962872446</t>
        </is>
      </c>
      <c r="E1542" s="16" t="inlineStr">
        <is>
          <t>Shipped</t>
        </is>
      </c>
      <c r="F1542" s="16" t="inlineStr">
        <is>
          <t>S58W60</t>
        </is>
      </c>
      <c r="G154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542" s="16" t="inlineStr">
        <is>
          <t>1 pieza</t>
        </is>
      </c>
      <c r="I1542" s="16" t="n">
        <v>2</v>
      </c>
      <c r="J1542" s="17" t="n">
        <v>84</v>
      </c>
      <c r="K1542" s="17" t="n">
        <v>78.43000000000001</v>
      </c>
      <c r="L1542" s="17" t="n">
        <v>25.86</v>
      </c>
      <c r="M1542" s="17" t="n">
        <v>0</v>
      </c>
      <c r="N1542" s="17">
        <f>K1542*0.08+L1542*0.08</f>
        <v/>
      </c>
      <c r="O1542" s="17">
        <f>-(K1542*0.025+L1542*0.025)</f>
        <v/>
      </c>
      <c r="P1542" s="17">
        <f>32</f>
        <v/>
      </c>
      <c r="Q1542" s="17">
        <f>J1542+L1542+N1542+O1542-P1542-M1542</f>
        <v/>
      </c>
    </row>
    <row r="1543">
      <c r="A1543" s="16" t="inlineStr">
        <is>
          <t>5.15-5.21</t>
        </is>
      </c>
      <c r="B1543" s="16" t="inlineStr">
        <is>
          <t>PO-128-01837434040951881</t>
        </is>
      </c>
      <c r="C1543" s="16" t="inlineStr">
        <is>
          <t>Shipped</t>
        </is>
      </c>
      <c r="D1543" s="16" t="inlineStr">
        <is>
          <t>128-01837423555191881</t>
        </is>
      </c>
      <c r="E1543" s="16" t="inlineStr">
        <is>
          <t>Shipped</t>
        </is>
      </c>
      <c r="F1543" s="16" t="inlineStr">
        <is>
          <t>VA384T-N</t>
        </is>
      </c>
      <c r="G1543" s="16" t="inlineStr">
        <is>
          <t>Bocina Portátil Bluetooth de 3 Pulgadas con Radio FM, USB TF TWS, Sonido Estéreo 5W, Bocina Recargable para Hogar Exterior Viaje Fiesta Camping</t>
        </is>
      </c>
      <c r="H1543" s="16" t="inlineStr">
        <is>
          <t>NEGRO</t>
        </is>
      </c>
      <c r="I1543" s="16" t="n">
        <v>1</v>
      </c>
      <c r="J1543" s="17" t="n">
        <v>50</v>
      </c>
      <c r="K1543" s="17" t="n">
        <v>60.72</v>
      </c>
      <c r="L1543" s="17" t="n">
        <v>25.86</v>
      </c>
      <c r="M1543" s="17" t="n">
        <v>0</v>
      </c>
      <c r="N1543" s="17">
        <f>K1543*0.08+L1543*0.08</f>
        <v/>
      </c>
      <c r="O1543" s="17">
        <f>-(K1543*0.025+L1543*0.025)</f>
        <v/>
      </c>
      <c r="P1543" s="17">
        <f>32</f>
        <v/>
      </c>
      <c r="Q1543" s="17">
        <f>J1543+L1543+N1543+O1543-P1543-M1543</f>
        <v/>
      </c>
    </row>
    <row r="1544">
      <c r="A1544" s="16" t="inlineStr">
        <is>
          <t>5.15-5.21</t>
        </is>
      </c>
      <c r="B1544" s="16" t="inlineStr">
        <is>
          <t>PO-128-01572685660792307</t>
        </is>
      </c>
      <c r="C1544" s="16" t="inlineStr">
        <is>
          <t>Shipped</t>
        </is>
      </c>
      <c r="D1544" s="16" t="inlineStr">
        <is>
          <t>128-01572664689272307</t>
        </is>
      </c>
      <c r="E1544" s="16" t="inlineStr">
        <is>
          <t>Shipped</t>
        </is>
      </c>
      <c r="F1544" s="16" t="inlineStr">
        <is>
          <t>LB02235-blanco</t>
        </is>
      </c>
      <c r="G1544" s="16" t="inlineStr">
        <is>
          <t>Audífonos Inalámbricos para la Cabeza, Recargables y Multifuncionales - Conectan a Varios Dispositivos, soportan Radio FM, Tarjeta TF y AUX - 4 Horas de Reproducción Musical - Ideal para Trabajo Cotidiano, Juegos y Estudio</t>
        </is>
      </c>
      <c r="H1544" s="16" t="inlineStr">
        <is>
          <t>BLANCO</t>
        </is>
      </c>
      <c r="I1544" s="16" t="n">
        <v>1</v>
      </c>
      <c r="J1544" s="17" t="n">
        <v>38</v>
      </c>
      <c r="K1544" s="17" t="n">
        <v>51.11</v>
      </c>
      <c r="L1544" s="17" t="n">
        <v>12.07</v>
      </c>
      <c r="M1544" s="17" t="n">
        <v>0</v>
      </c>
      <c r="N1544" s="17">
        <f>K1544*0.08+L1544*0.08</f>
        <v/>
      </c>
      <c r="O1544" s="17">
        <f>-(K1544*0.025+L1544*0.025)</f>
        <v/>
      </c>
      <c r="P1544" s="17">
        <f>32</f>
        <v/>
      </c>
      <c r="Q1544" s="17">
        <f>J1544+L1544+N1544+O1544-P1544-M1544</f>
        <v/>
      </c>
    </row>
    <row r="1545">
      <c r="A1545" s="16" t="inlineStr">
        <is>
          <t>5.15-5.21</t>
        </is>
      </c>
      <c r="B1545" s="16" t="inlineStr">
        <is>
          <t>PO-128-01572685660792307</t>
        </is>
      </c>
      <c r="C1545" s="16" t="inlineStr">
        <is>
          <t>Shipped</t>
        </is>
      </c>
      <c r="D1545" s="16" t="inlineStr">
        <is>
          <t>128-01572643717752307</t>
        </is>
      </c>
      <c r="E1545" s="16" t="inlineStr">
        <is>
          <t>Shipped</t>
        </is>
      </c>
      <c r="F1545" s="16" t="inlineStr">
        <is>
          <t>LB02235-negro</t>
        </is>
      </c>
      <c r="G1545" s="16" t="inlineStr">
        <is>
          <t>Audífonos Inalámbricos para la Cabeza, Recargables y Multifuncionales - Conectan a Varios Dispositivos, soportan Radio FM, Tarjeta TF y AUX - 4 Horas de Reproducción Musical - Ideal para Trabajo Cotidiano, Juegos y Estudio</t>
        </is>
      </c>
      <c r="H1545" s="16" t="inlineStr">
        <is>
          <t>NEGRO</t>
        </is>
      </c>
      <c r="I1545" s="16" t="n">
        <v>1</v>
      </c>
      <c r="J1545" s="17" t="n">
        <v>45.31</v>
      </c>
      <c r="K1545" s="17" t="n">
        <v>58.41</v>
      </c>
      <c r="L1545" s="17" t="n">
        <v>13.79</v>
      </c>
      <c r="M1545" s="17" t="n">
        <v>0</v>
      </c>
      <c r="N1545" s="17">
        <f>K1545*0.08+L1545*0.08</f>
        <v/>
      </c>
      <c r="O1545" s="17">
        <f>-(K1545*0.025+L1545*0.025)</f>
        <v/>
      </c>
      <c r="P1545" s="17">
        <f>32</f>
        <v/>
      </c>
      <c r="Q1545" s="17">
        <f>J1545+L1545+N1545+O1545-P1545-M1545</f>
        <v/>
      </c>
    </row>
    <row r="1546">
      <c r="A1546" s="16" t="inlineStr">
        <is>
          <t>5.15-5.21</t>
        </is>
      </c>
      <c r="B1546" s="16" t="inlineStr">
        <is>
          <t>PO-128-02056762061430637</t>
        </is>
      </c>
      <c r="C1546" s="16" t="inlineStr">
        <is>
          <t>Shipped</t>
        </is>
      </c>
      <c r="D1546" s="16" t="inlineStr">
        <is>
          <t>128-02056802038390637</t>
        </is>
      </c>
      <c r="E1546" s="16" t="inlineStr">
        <is>
          <t>Shipped</t>
        </is>
      </c>
      <c r="F1546" s="16" t="inlineStr">
        <is>
          <t>LV25W22</t>
        </is>
      </c>
      <c r="G15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46" s="16" t="inlineStr">
        <is>
          <t>LV25W32</t>
        </is>
      </c>
      <c r="I1546" s="16" t="n">
        <v>1</v>
      </c>
      <c r="J1546" s="17" t="n">
        <v>90.43000000000001</v>
      </c>
      <c r="K1546" s="17" t="n">
        <v>100.84</v>
      </c>
      <c r="L1546" s="17" t="n">
        <v>25.86</v>
      </c>
      <c r="M1546" s="17" t="n">
        <v>0</v>
      </c>
      <c r="N1546" s="17">
        <f>K1546*0.08+L1546*0.08</f>
        <v/>
      </c>
      <c r="O1546" s="17">
        <f>-(K1546*0.025+L1546*0.025)</f>
        <v/>
      </c>
      <c r="P1546" s="17">
        <f>32</f>
        <v/>
      </c>
      <c r="Q1546" s="17">
        <f>J1546+L1546+N1546+O1546-P1546-M1546</f>
        <v/>
      </c>
    </row>
    <row r="1547">
      <c r="A1547" s="16" t="inlineStr">
        <is>
          <t>5.15-5.21</t>
        </is>
      </c>
      <c r="B1547" s="16" t="inlineStr">
        <is>
          <t>PO-128-01824381013112020</t>
        </is>
      </c>
      <c r="C1547" s="16" t="inlineStr">
        <is>
          <t>Shipped</t>
        </is>
      </c>
      <c r="D1547" s="16" t="inlineStr">
        <is>
          <t>128-01824386255992020</t>
        </is>
      </c>
      <c r="E1547" s="16" t="inlineStr">
        <is>
          <t>Shipped</t>
        </is>
      </c>
      <c r="F1547" s="16" t="inlineStr">
        <is>
          <t>LB02235-blanco</t>
        </is>
      </c>
      <c r="G1547" s="16" t="inlineStr">
        <is>
          <t>Audífonos Inalámbricos para la Cabeza, Recargables y Multifuncionales - Conectan a Varios Dispositivos, soportan Radio FM, Tarjeta TF y AUX - 4 Horas de Reproducción Musical - Ideal para Trabajo Cotidiano, Juegos y Estudio</t>
        </is>
      </c>
      <c r="H1547" s="16" t="inlineStr">
        <is>
          <t>BLANCO</t>
        </is>
      </c>
      <c r="I1547" s="16" t="n">
        <v>1</v>
      </c>
      <c r="J1547" s="17" t="n">
        <v>38</v>
      </c>
      <c r="K1547" s="17" t="n">
        <v>51.11</v>
      </c>
      <c r="L1547" s="17" t="n">
        <v>25.86</v>
      </c>
      <c r="M1547" s="17" t="n">
        <v>0</v>
      </c>
      <c r="N1547" s="17">
        <f>K1547*0.08+L1547*0.08</f>
        <v/>
      </c>
      <c r="O1547" s="17">
        <f>-(K1547*0.025+L1547*0.025)</f>
        <v/>
      </c>
      <c r="P1547" s="17">
        <f>32</f>
        <v/>
      </c>
      <c r="Q1547" s="17">
        <f>J1547+L1547+N1547+O1547-P1547-M1547</f>
        <v/>
      </c>
    </row>
    <row r="1548">
      <c r="A1548" s="16" t="inlineStr">
        <is>
          <t>5.15-5.21</t>
        </is>
      </c>
      <c r="B1548" s="16" t="inlineStr">
        <is>
          <t>PO-128-01579416228472392</t>
        </is>
      </c>
      <c r="C1548" s="16" t="inlineStr">
        <is>
          <t>Shipped</t>
        </is>
      </c>
      <c r="D1548" s="16" t="inlineStr">
        <is>
          <t>128-01579442442872392</t>
        </is>
      </c>
      <c r="E1548" s="16" t="inlineStr">
        <is>
          <t>Shipped</t>
        </is>
      </c>
      <c r="F1548" s="16" t="inlineStr">
        <is>
          <t>S39W48</t>
        </is>
      </c>
      <c r="G1548"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548" s="16" t="inlineStr">
        <is>
          <t>1 pieza</t>
        </is>
      </c>
      <c r="I1548" s="16" t="n">
        <v>2</v>
      </c>
      <c r="J1548" s="17" t="n">
        <v>60</v>
      </c>
      <c r="K1548" s="17" t="n">
        <v>83.63</v>
      </c>
      <c r="L1548" s="17" t="n">
        <v>25.86</v>
      </c>
      <c r="M1548" s="17" t="n">
        <v>0</v>
      </c>
      <c r="N1548" s="17">
        <f>K1548*0.08+L1548*0.08</f>
        <v/>
      </c>
      <c r="O1548" s="17">
        <f>-(K1548*0.025+L1548*0.025)</f>
        <v/>
      </c>
      <c r="P1548" s="17">
        <f>32</f>
        <v/>
      </c>
      <c r="Q1548" s="17">
        <f>J1548+L1548+N1548+O1548-P1548-M1548</f>
        <v/>
      </c>
    </row>
    <row r="1549">
      <c r="A1549" s="16" t="inlineStr">
        <is>
          <t>5.15-5.21</t>
        </is>
      </c>
      <c r="B1549" s="16" t="inlineStr">
        <is>
          <t>PO-128-01799909944951142</t>
        </is>
      </c>
      <c r="C1549" s="16" t="inlineStr">
        <is>
          <t>Shipped</t>
        </is>
      </c>
      <c r="D1549" s="16" t="inlineStr">
        <is>
          <t>128-01799894216311142</t>
        </is>
      </c>
      <c r="E1549" s="16" t="inlineStr">
        <is>
          <t>Shipped</t>
        </is>
      </c>
      <c r="F1549" s="16" t="inlineStr">
        <is>
          <t>SA325T</t>
        </is>
      </c>
      <c r="G1549" s="16" t="inlineStr">
        <is>
          <t>Subwoofer Portátil Inalámbrico con Luces RGB, Sonido de Alta Potencia y Batería Duradera, TWS TF USB, Perfecto para Campamento Fiestas y Entretenimiento en Casa</t>
        </is>
      </c>
      <c r="H1549" s="16" t="inlineStr">
        <is>
          <t>NEGRO</t>
        </is>
      </c>
      <c r="I1549" s="16" t="n">
        <v>1</v>
      </c>
      <c r="J1549" s="17" t="n">
        <v>38</v>
      </c>
      <c r="K1549" s="17" t="n">
        <v>47.04</v>
      </c>
      <c r="L1549" s="17" t="n">
        <v>25.86</v>
      </c>
      <c r="M1549" s="17" t="n">
        <v>0</v>
      </c>
      <c r="N1549" s="17">
        <f>K1549*0.08+L1549*0.08</f>
        <v/>
      </c>
      <c r="O1549" s="17">
        <f>-(K1549*0.025+L1549*0.025)</f>
        <v/>
      </c>
      <c r="P1549" s="17">
        <f>32</f>
        <v/>
      </c>
      <c r="Q1549" s="17">
        <f>J1549+L1549+N1549+O1549-P1549-M1549</f>
        <v/>
      </c>
    </row>
    <row r="1550">
      <c r="A1550" s="16" t="inlineStr">
        <is>
          <t>5.15-5.21</t>
        </is>
      </c>
      <c r="B1550" s="16" t="inlineStr">
        <is>
          <t>PO-128-01841714468471919</t>
        </is>
      </c>
      <c r="C1550" s="16" t="inlineStr">
        <is>
          <t>Shipped</t>
        </is>
      </c>
      <c r="D1550" s="16" t="inlineStr">
        <is>
          <t>128-01841756411511919</t>
        </is>
      </c>
      <c r="E1550" s="16" t="inlineStr">
        <is>
          <t>Shipped</t>
        </is>
      </c>
      <c r="F1550" s="16" t="inlineStr">
        <is>
          <t>MB-178-N</t>
        </is>
      </c>
      <c r="G1550" s="16" t="inlineStr">
        <is>
          <t>Bocina de Barra Bluetooth LINK BITS con dos altavoces, sonido de alta calidad y multifuncional (Bluetooth, Radio FM, USB, TF, AUX, TWS), ideal para juegos, reuniones, oficina y cine en casa.</t>
        </is>
      </c>
      <c r="H1550" s="16" t="inlineStr">
        <is>
          <t>NEGRO</t>
        </is>
      </c>
      <c r="I1550" s="16" t="n">
        <v>4</v>
      </c>
      <c r="J1550" s="17" t="n">
        <v>540</v>
      </c>
      <c r="K1550" s="17" t="n">
        <v>539.72</v>
      </c>
      <c r="L1550" s="17" t="n">
        <v>0</v>
      </c>
      <c r="M1550" s="17" t="n">
        <v>0</v>
      </c>
      <c r="N1550" s="17">
        <f>K1550*0.08+L1550*0.08</f>
        <v/>
      </c>
      <c r="O1550" s="17">
        <f>-(K1550*0.025+L1550*0.025)</f>
        <v/>
      </c>
      <c r="P1550" s="17">
        <f>32</f>
        <v/>
      </c>
      <c r="Q1550" s="17">
        <f>J1550+L1550+N1550+O1550-P1550-M1550</f>
        <v/>
      </c>
    </row>
    <row r="1551">
      <c r="A1551" s="16" t="inlineStr">
        <is>
          <t>5.15-5.21</t>
        </is>
      </c>
      <c r="B1551" s="16" t="inlineStr">
        <is>
          <t>PO-128-01595868913272230</t>
        </is>
      </c>
      <c r="C1551" s="16" t="inlineStr">
        <is>
          <t>Shipped</t>
        </is>
      </c>
      <c r="D1551" s="16" t="inlineStr">
        <is>
          <t>128-01595900370552230</t>
        </is>
      </c>
      <c r="E1551" s="16" t="inlineStr">
        <is>
          <t>Shipped</t>
        </is>
      </c>
      <c r="F1551" s="16" t="inlineStr">
        <is>
          <t>MCM-001N</t>
        </is>
      </c>
      <c r="G1551" s="16" t="inlineStr">
        <is>
          <t>Musicord Altavoz Inalámbrico BT Portátil: ¡Sonido impactante, luces LED multicolores y 4 horas de autonomía! Compatible con TWS, FM, TF y USB – Imprescindible para fiestas y viajes</t>
        </is>
      </c>
      <c r="H1551" s="16" t="inlineStr">
        <is>
          <t>NEGRO</t>
        </is>
      </c>
      <c r="I1551" s="16" t="n">
        <v>1</v>
      </c>
      <c r="J1551" s="17" t="n">
        <v>61</v>
      </c>
      <c r="K1551" s="17" t="n">
        <v>68.79000000000001</v>
      </c>
      <c r="L1551" s="17" t="n">
        <v>25.86</v>
      </c>
      <c r="M1551" s="17" t="n">
        <v>0</v>
      </c>
      <c r="N1551" s="17">
        <f>K1551*0.08+L1551*0.08</f>
        <v/>
      </c>
      <c r="O1551" s="17">
        <f>-(K1551*0.025+L1551*0.025)</f>
        <v/>
      </c>
      <c r="P1551" s="17">
        <f>32</f>
        <v/>
      </c>
      <c r="Q1551" s="17">
        <f>J1551+L1551+N1551+O1551-P1551-M1551</f>
        <v/>
      </c>
    </row>
    <row r="1552">
      <c r="A1552" s="16" t="inlineStr">
        <is>
          <t>5.15-5.21</t>
        </is>
      </c>
      <c r="B1552" s="16" t="inlineStr">
        <is>
          <t>PO-128-01523721641593812</t>
        </is>
      </c>
      <c r="C1552" s="16" t="inlineStr">
        <is>
          <t>Shipped</t>
        </is>
      </c>
      <c r="D1552" s="16" t="inlineStr">
        <is>
          <t>128-01523857956473812</t>
        </is>
      </c>
      <c r="E1552" s="16" t="inlineStr">
        <is>
          <t>Shipped</t>
        </is>
      </c>
      <c r="F1552" s="16" t="inlineStr">
        <is>
          <t>SA325T</t>
        </is>
      </c>
      <c r="G1552" s="16" t="inlineStr">
        <is>
          <t>Subwoofer Portátil Inalámbrico con Luces RGB, Sonido de Alta Potencia y Batería Duradera, TWS TF USB, Perfecto para Campamento Fiestas y Entretenimiento en Casa</t>
        </is>
      </c>
      <c r="H1552" s="16" t="inlineStr">
        <is>
          <t>NEGRO</t>
        </is>
      </c>
      <c r="I1552" s="16" t="n">
        <v>1</v>
      </c>
      <c r="J1552" s="17" t="n">
        <v>38</v>
      </c>
      <c r="K1552" s="17" t="n">
        <v>47.04</v>
      </c>
      <c r="L1552" s="17" t="n">
        <v>25.86</v>
      </c>
      <c r="M1552" s="17" t="n">
        <v>0</v>
      </c>
      <c r="N1552" s="17">
        <f>K1552*0.08+L1552*0.08</f>
        <v/>
      </c>
      <c r="O1552" s="17">
        <f>-(K1552*0.025+L1552*0.025)</f>
        <v/>
      </c>
      <c r="P1552" s="17">
        <f>32</f>
        <v/>
      </c>
      <c r="Q1552" s="17">
        <f>J1552+L1552+N1552+O1552-P1552-M1552</f>
        <v/>
      </c>
    </row>
    <row r="1553">
      <c r="A1553" s="16" t="inlineStr">
        <is>
          <t>5.15-5.21</t>
        </is>
      </c>
      <c r="B1553" s="16" t="inlineStr">
        <is>
          <t>PO-128-01725077601911460</t>
        </is>
      </c>
      <c r="C1553" s="16" t="inlineStr">
        <is>
          <t>Shipped</t>
        </is>
      </c>
      <c r="D1553" s="16" t="inlineStr">
        <is>
          <t>128-01725115612791460</t>
        </is>
      </c>
      <c r="E1553" s="16" t="inlineStr">
        <is>
          <t>Shipped</t>
        </is>
      </c>
      <c r="F1553" s="16" t="inlineStr">
        <is>
          <t>LV25W22</t>
        </is>
      </c>
      <c r="G155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53" s="16" t="inlineStr">
        <is>
          <t>LV25W32</t>
        </is>
      </c>
      <c r="I1553" s="16" t="n">
        <v>1</v>
      </c>
      <c r="J1553" s="17" t="n">
        <v>90.43000000000001</v>
      </c>
      <c r="K1553" s="17" t="n">
        <v>90.76000000000001</v>
      </c>
      <c r="L1553" s="17" t="n">
        <v>25.86</v>
      </c>
      <c r="M1553" s="17" t="n">
        <v>0</v>
      </c>
      <c r="N1553" s="17">
        <f>K1553*0.08+L1553*0.08</f>
        <v/>
      </c>
      <c r="O1553" s="17">
        <f>-(K1553*0.025+L1553*0.025)</f>
        <v/>
      </c>
      <c r="P1553" s="17">
        <f>32</f>
        <v/>
      </c>
      <c r="Q1553" s="17">
        <f>J1553+L1553+N1553+O1553-P1553-M1553</f>
        <v/>
      </c>
    </row>
    <row r="1554">
      <c r="A1554" s="16" t="inlineStr">
        <is>
          <t>5.15-5.21</t>
        </is>
      </c>
      <c r="B1554" s="16" t="inlineStr">
        <is>
          <t>PO-128-01861365770871736</t>
        </is>
      </c>
      <c r="C1554" s="16" t="inlineStr">
        <is>
          <t>Shipped</t>
        </is>
      </c>
      <c r="D1554" s="16" t="inlineStr">
        <is>
          <t>128-01861418199671736</t>
        </is>
      </c>
      <c r="E1554" s="16" t="inlineStr">
        <is>
          <t>Shipped</t>
        </is>
      </c>
      <c r="F1554" s="16" t="inlineStr">
        <is>
          <t>SA323T</t>
        </is>
      </c>
      <c r="G1554" s="16" t="inlineStr">
        <is>
          <t>Linkbits Bocina Portátil Parlantes BT Portátiles con Iluminación de Ambiente | 1 Hora de Duración, FM, TWS, TF/Micro SD | Ideal para Hogar, Fiestas y Viajes</t>
        </is>
      </c>
      <c r="H1554" s="16" t="inlineStr">
        <is>
          <t>SA323T</t>
        </is>
      </c>
      <c r="I1554" s="16" t="n">
        <v>1</v>
      </c>
      <c r="J1554" s="17" t="n">
        <v>46</v>
      </c>
      <c r="K1554" s="17" t="n">
        <v>43.2</v>
      </c>
      <c r="L1554" s="17" t="n">
        <v>7.11</v>
      </c>
      <c r="M1554" s="17" t="n">
        <v>0</v>
      </c>
      <c r="N1554" s="17">
        <f>K1554*0.08+L1554*0.08</f>
        <v/>
      </c>
      <c r="O1554" s="17">
        <f>-(K1554*0.025+L1554*0.025)</f>
        <v/>
      </c>
      <c r="P1554" s="17">
        <f>32</f>
        <v/>
      </c>
      <c r="Q1554" s="17">
        <f>J1554+L1554+N1554+O1554-P1554-M1554</f>
        <v/>
      </c>
    </row>
    <row r="1555">
      <c r="A1555" s="16" t="inlineStr">
        <is>
          <t>5.15-5.21</t>
        </is>
      </c>
      <c r="B1555" s="16" t="inlineStr">
        <is>
          <t>PO-128-01861365770871736</t>
        </is>
      </c>
      <c r="C1555" s="16" t="inlineStr">
        <is>
          <t>Shipped</t>
        </is>
      </c>
      <c r="D1555" s="16" t="inlineStr">
        <is>
          <t>128-01861292370551736</t>
        </is>
      </c>
      <c r="E1555" s="16" t="inlineStr">
        <is>
          <t>Shipped</t>
        </is>
      </c>
      <c r="F1555" s="16" t="inlineStr">
        <is>
          <t>LB02235-blanco</t>
        </is>
      </c>
      <c r="G1555" s="16" t="inlineStr">
        <is>
          <t>Audífonos Inalámbricos para la Cabeza, Recargables y Multifuncionales - Conectan a Varios Dispositivos, soportan Radio FM, Tarjeta TF y AUX - 4 Horas de Reproducción Musical - Ideal para Trabajo Cotidiano, Juegos y Estudio</t>
        </is>
      </c>
      <c r="H1555" s="16" t="inlineStr">
        <is>
          <t>BLANCO</t>
        </is>
      </c>
      <c r="I1555" s="16" t="n">
        <v>1</v>
      </c>
      <c r="J1555" s="17" t="n">
        <v>38</v>
      </c>
      <c r="K1555" s="17" t="n">
        <v>40.12</v>
      </c>
      <c r="L1555" s="17" t="n">
        <v>6.59</v>
      </c>
      <c r="M1555" s="17" t="n">
        <v>0</v>
      </c>
      <c r="N1555" s="17">
        <f>K1555*0.08+L1555*0.08</f>
        <v/>
      </c>
      <c r="O1555" s="17">
        <f>-(K1555*0.025+L1555*0.025)</f>
        <v/>
      </c>
      <c r="P1555" s="17">
        <f>32</f>
        <v/>
      </c>
      <c r="Q1555" s="17">
        <f>J1555+L1555+N1555+O1555-P1555-M1555</f>
        <v/>
      </c>
    </row>
    <row r="1556">
      <c r="A1556" s="16" t="inlineStr">
        <is>
          <t>5.15-5.21</t>
        </is>
      </c>
      <c r="B1556" s="16" t="inlineStr">
        <is>
          <t>PO-128-01861365770871736</t>
        </is>
      </c>
      <c r="C1556" s="16" t="inlineStr">
        <is>
          <t>Shipped</t>
        </is>
      </c>
      <c r="D1556" s="16" t="inlineStr">
        <is>
          <t>128-01861376256631736</t>
        </is>
      </c>
      <c r="E1556" s="16" t="inlineStr">
        <is>
          <t>Shipped</t>
        </is>
      </c>
      <c r="F1556" s="16" t="inlineStr">
        <is>
          <t>SA325T</t>
        </is>
      </c>
      <c r="G1556" s="16" t="inlineStr">
        <is>
          <t>Subwoofer Portátil Inalámbrico con Luces RGB, Sonido de Alta Potencia y Batería Duradera, TWS TF USB, Perfecto para Campamento Fiestas y Entretenimiento en Casa</t>
        </is>
      </c>
      <c r="H1556" s="16" t="inlineStr">
        <is>
          <t>NEGRO</t>
        </is>
      </c>
      <c r="I1556" s="16" t="n">
        <v>1</v>
      </c>
      <c r="J1556" s="17" t="n">
        <v>38</v>
      </c>
      <c r="K1556" s="17" t="n">
        <v>36.91</v>
      </c>
      <c r="L1556" s="17" t="n">
        <v>6.07</v>
      </c>
      <c r="M1556" s="17" t="n">
        <v>0</v>
      </c>
      <c r="N1556" s="17">
        <f>K1556*0.08+L1556*0.08</f>
        <v/>
      </c>
      <c r="O1556" s="17">
        <f>-(K1556*0.025+L1556*0.025)</f>
        <v/>
      </c>
      <c r="P1556" s="17">
        <f>32</f>
        <v/>
      </c>
      <c r="Q1556" s="17">
        <f>J1556+L1556+N1556+O1556-P1556-M1556</f>
        <v/>
      </c>
    </row>
    <row r="1557">
      <c r="A1557" s="16" t="inlineStr">
        <is>
          <t>5.15-5.21</t>
        </is>
      </c>
      <c r="B1557" s="16" t="inlineStr">
        <is>
          <t>PO-128-01861365770871736</t>
        </is>
      </c>
      <c r="C1557" s="16" t="inlineStr">
        <is>
          <t>Shipped</t>
        </is>
      </c>
      <c r="D1557" s="16" t="inlineStr">
        <is>
          <t>128-01861334313591736</t>
        </is>
      </c>
      <c r="E1557" s="16" t="inlineStr">
        <is>
          <t>Shipped</t>
        </is>
      </c>
      <c r="F1557" s="16" t="inlineStr">
        <is>
          <t>KTS-1678Y</t>
        </is>
      </c>
      <c r="G1557" s="16" t="inlineStr">
        <is>
          <t>Bocina portátil Inalámbrico, de 3 pulgadas, tamaño de bolsillo, 170 g, con asa, compatible con TF, USB y Micro SD, con radio FM y función TWS (True Wireless Stereo), adecuada para relajarse en casa o viajar al aire libre.</t>
        </is>
      </c>
      <c r="H1557" s="16" t="inlineStr">
        <is>
          <t>KTS-1678Y</t>
        </is>
      </c>
      <c r="I1557" s="16" t="n">
        <v>1</v>
      </c>
      <c r="J1557" s="17" t="n">
        <v>41</v>
      </c>
      <c r="K1557" s="17" t="n">
        <v>37.05</v>
      </c>
      <c r="L1557" s="17" t="n">
        <v>6.09</v>
      </c>
      <c r="M1557" s="17" t="n">
        <v>0</v>
      </c>
      <c r="N1557" s="17">
        <f>K1557*0.08+L1557*0.08</f>
        <v/>
      </c>
      <c r="O1557" s="17">
        <f>-(K1557*0.025+L1557*0.025)</f>
        <v/>
      </c>
      <c r="P1557" s="17">
        <f>32</f>
        <v/>
      </c>
      <c r="Q1557" s="17">
        <f>J1557+L1557+N1557+O1557-P1557-M1557</f>
        <v/>
      </c>
    </row>
    <row r="1558">
      <c r="A1558" s="16" t="inlineStr">
        <is>
          <t>5.15-5.21</t>
        </is>
      </c>
      <c r="B1558" s="16" t="inlineStr">
        <is>
          <t>PO-128-01646507305593019</t>
        </is>
      </c>
      <c r="C1558" s="16" t="inlineStr">
        <is>
          <t>Shipped</t>
        </is>
      </c>
      <c r="D1558" s="16" t="inlineStr">
        <is>
          <t>128-01646465362553019</t>
        </is>
      </c>
      <c r="E1558" s="16" t="inlineStr">
        <is>
          <t>Shipped</t>
        </is>
      </c>
      <c r="F1558" s="16" t="inlineStr">
        <is>
          <t>LB02235-rojo</t>
        </is>
      </c>
      <c r="G1558" s="16" t="inlineStr">
        <is>
          <t>Audífonos Inalámbricos para la Cabeza, Recargables y Multifuncionales - Conectan a Varios Dispositivos, soportan Radio FM, Tarjeta TF y AUX - 4 Horas de Reproducción Musical - Ideal para Trabajo Cotidiano, Juegos y Estudio</t>
        </is>
      </c>
      <c r="H1558" s="16" t="inlineStr">
        <is>
          <t>ROJO</t>
        </is>
      </c>
      <c r="I1558" s="16" t="n">
        <v>1</v>
      </c>
      <c r="J1558" s="17" t="n">
        <v>38</v>
      </c>
      <c r="K1558" s="17" t="n">
        <v>51.11</v>
      </c>
      <c r="L1558" s="17" t="n">
        <v>25.86</v>
      </c>
      <c r="M1558" s="17" t="n">
        <v>0</v>
      </c>
      <c r="N1558" s="17">
        <f>K1558*0.08+L1558*0.08</f>
        <v/>
      </c>
      <c r="O1558" s="17">
        <f>-(K1558*0.025+L1558*0.025)</f>
        <v/>
      </c>
      <c r="P1558" s="17">
        <f>32</f>
        <v/>
      </c>
      <c r="Q1558" s="17">
        <f>J1558+L1558+N1558+O1558-P1558-M1558</f>
        <v/>
      </c>
    </row>
    <row r="1559">
      <c r="A1559" s="16" t="inlineStr">
        <is>
          <t>5.15-5.21</t>
        </is>
      </c>
      <c r="B1559" s="16" t="inlineStr">
        <is>
          <t>PO-128-01388907192953528</t>
        </is>
      </c>
      <c r="C1559" s="16" t="inlineStr">
        <is>
          <t>Shipped</t>
        </is>
      </c>
      <c r="D1559" s="16" t="inlineStr">
        <is>
          <t>128-01388975350393528</t>
        </is>
      </c>
      <c r="E1559" s="16" t="inlineStr">
        <is>
          <t>Shipped</t>
        </is>
      </c>
      <c r="F1559" s="16" t="inlineStr">
        <is>
          <t>SA325T</t>
        </is>
      </c>
      <c r="G1559" s="16" t="inlineStr">
        <is>
          <t>Subwoofer Portátil Inalámbrico con Luces RGB, Sonido de Alta Potencia y Batería Duradera, TWS TF USB, Perfecto para Campamento Fiestas y Entretenimiento en Casa</t>
        </is>
      </c>
      <c r="H1559" s="16" t="inlineStr">
        <is>
          <t>NEGRO</t>
        </is>
      </c>
      <c r="I1559" s="16" t="n">
        <v>1</v>
      </c>
      <c r="J1559" s="17" t="n">
        <v>38</v>
      </c>
      <c r="K1559" s="17" t="n">
        <v>37.63</v>
      </c>
      <c r="L1559" s="17" t="n">
        <v>25.86</v>
      </c>
      <c r="M1559" s="17" t="n">
        <v>0</v>
      </c>
      <c r="N1559" s="17">
        <f>K1559*0.08+L1559*0.08</f>
        <v/>
      </c>
      <c r="O1559" s="17">
        <f>-(K1559*0.025+L1559*0.025)</f>
        <v/>
      </c>
      <c r="P1559" s="17">
        <f>32</f>
        <v/>
      </c>
      <c r="Q1559" s="17">
        <f>J1559+L1559+N1559+O1559-P1559-M1559</f>
        <v/>
      </c>
    </row>
    <row r="1560">
      <c r="A1560" s="16" t="inlineStr">
        <is>
          <t>5.15-5.21</t>
        </is>
      </c>
      <c r="B1560" s="16" t="inlineStr">
        <is>
          <t>PO-128-01963338015350040</t>
        </is>
      </c>
      <c r="C1560" s="16" t="inlineStr">
        <is>
          <t>Shipped</t>
        </is>
      </c>
      <c r="D1560" s="16" t="inlineStr">
        <is>
          <t>128-01963296072310040</t>
        </is>
      </c>
      <c r="E1560" s="16" t="inlineStr">
        <is>
          <t>Shipped</t>
        </is>
      </c>
      <c r="F1560" s="16" t="inlineStr">
        <is>
          <t>KTS-1678Y</t>
        </is>
      </c>
      <c r="G1560" s="16" t="inlineStr">
        <is>
          <t>Bocina portátil Inalámbrico, de 3 pulgadas, tamaño de bolsillo, 170 g, con asa, compatible con TF, USB y Micro SD, con radio FM y función TWS (True Wireless Stereo), adecuada para relajarse en casa o viajar al aire libre.</t>
        </is>
      </c>
      <c r="H1560" s="16" t="inlineStr">
        <is>
          <t>KTS-1678Y</t>
        </is>
      </c>
      <c r="I1560" s="16" t="n">
        <v>1</v>
      </c>
      <c r="J1560" s="17" t="n">
        <v>41</v>
      </c>
      <c r="K1560" s="17" t="n">
        <v>47.2</v>
      </c>
      <c r="L1560" s="17" t="n">
        <v>25.86</v>
      </c>
      <c r="M1560" s="17" t="n">
        <v>0</v>
      </c>
      <c r="N1560" s="17">
        <f>K1560*0.08+L1560*0.08</f>
        <v/>
      </c>
      <c r="O1560" s="17">
        <f>-(K1560*0.025+L1560*0.025)</f>
        <v/>
      </c>
      <c r="P1560" s="17">
        <f>32</f>
        <v/>
      </c>
      <c r="Q1560" s="17">
        <f>J1560+L1560+N1560+O1560-P1560-M1560</f>
        <v/>
      </c>
    </row>
    <row r="1561">
      <c r="A1561" s="16" t="inlineStr">
        <is>
          <t>5.15-5.21</t>
        </is>
      </c>
      <c r="B1561" s="16" t="inlineStr">
        <is>
          <t>PO-128-01948448015990195</t>
        </is>
      </c>
      <c r="C1561" s="16" t="inlineStr">
        <is>
          <t>Shipped</t>
        </is>
      </c>
      <c r="D1561" s="16" t="inlineStr">
        <is>
          <t>128-01948468987510195</t>
        </is>
      </c>
      <c r="E1561" s="16" t="inlineStr">
        <is>
          <t>Shipped</t>
        </is>
      </c>
      <c r="F1561" s="16" t="inlineStr">
        <is>
          <t>LV25W22</t>
        </is>
      </c>
      <c r="G15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61" s="16" t="inlineStr">
        <is>
          <t>LV25W32</t>
        </is>
      </c>
      <c r="I1561" s="16" t="n">
        <v>1</v>
      </c>
      <c r="J1561" s="17" t="n">
        <v>90.43000000000001</v>
      </c>
      <c r="K1561" s="17" t="n">
        <v>100.84</v>
      </c>
      <c r="L1561" s="17" t="n">
        <v>25.86</v>
      </c>
      <c r="M1561" s="17" t="n">
        <v>0</v>
      </c>
      <c r="N1561" s="17">
        <f>K1561*0.08+L1561*0.08</f>
        <v/>
      </c>
      <c r="O1561" s="17">
        <f>-(K1561*0.025+L1561*0.025)</f>
        <v/>
      </c>
      <c r="P1561" s="17">
        <f>32</f>
        <v/>
      </c>
      <c r="Q1561" s="17">
        <f>J1561+L1561+N1561+O1561-P1561-M1561</f>
        <v/>
      </c>
    </row>
    <row r="1562">
      <c r="A1562" s="16" t="inlineStr">
        <is>
          <t>5.15-5.21</t>
        </is>
      </c>
      <c r="B1562" s="16" t="inlineStr">
        <is>
          <t>PO-128-01873274660471539</t>
        </is>
      </c>
      <c r="C1562" s="16" t="inlineStr">
        <is>
          <t>Shipped</t>
        </is>
      </c>
      <c r="D1562" s="16" t="inlineStr">
        <is>
          <t>128-01873306117751539</t>
        </is>
      </c>
      <c r="E1562" s="16" t="inlineStr">
        <is>
          <t>Shipped</t>
        </is>
      </c>
      <c r="F1562" s="16" t="inlineStr">
        <is>
          <t>SA325T</t>
        </is>
      </c>
      <c r="G1562" s="16" t="inlineStr">
        <is>
          <t>Subwoofer Portátil Inalámbrico con Luces RGB, Sonido de Alta Potencia y Batería Duradera, TWS TF USB, Perfecto para Campamento Fiestas y Entretenimiento en Casa</t>
        </is>
      </c>
      <c r="H1562" s="16" t="inlineStr">
        <is>
          <t>NEGRO</t>
        </is>
      </c>
      <c r="I1562" s="16" t="n">
        <v>2</v>
      </c>
      <c r="J1562" s="17" t="n">
        <v>76</v>
      </c>
      <c r="K1562" s="17" t="n">
        <v>65.86</v>
      </c>
      <c r="L1562" s="17" t="n">
        <v>25.86</v>
      </c>
      <c r="M1562" s="17" t="n">
        <v>0</v>
      </c>
      <c r="N1562" s="17">
        <f>K1562*0.08+L1562*0.08</f>
        <v/>
      </c>
      <c r="O1562" s="17">
        <f>-(K1562*0.025+L1562*0.025)</f>
        <v/>
      </c>
      <c r="P1562" s="17">
        <f>32</f>
        <v/>
      </c>
      <c r="Q1562" s="17">
        <f>J1562+L1562+N1562+O1562-P1562-M1562</f>
        <v/>
      </c>
    </row>
    <row r="1563">
      <c r="A1563" s="16" t="inlineStr">
        <is>
          <t>5.15-5.21</t>
        </is>
      </c>
      <c r="B1563" s="16" t="inlineStr">
        <is>
          <t>PO-128-01429244437113288</t>
        </is>
      </c>
      <c r="C1563" s="16" t="inlineStr">
        <is>
          <t>Shipped</t>
        </is>
      </c>
      <c r="D1563" s="16" t="inlineStr">
        <is>
          <t>128-01429202494073288</t>
        </is>
      </c>
      <c r="E1563" s="16" t="inlineStr">
        <is>
          <t>Shipped</t>
        </is>
      </c>
      <c r="F1563" s="16" t="inlineStr">
        <is>
          <t>LV25W22</t>
        </is>
      </c>
      <c r="G15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63" s="16" t="inlineStr">
        <is>
          <t>LV25W32</t>
        </is>
      </c>
      <c r="I1563" s="16" t="n">
        <v>1</v>
      </c>
      <c r="J1563" s="17" t="n">
        <v>90.43000000000001</v>
      </c>
      <c r="K1563" s="17" t="n">
        <v>70.59</v>
      </c>
      <c r="L1563" s="17" t="n">
        <v>25.86</v>
      </c>
      <c r="M1563" s="17" t="n">
        <v>0</v>
      </c>
      <c r="N1563" s="17">
        <f>K1563*0.08+L1563*0.08</f>
        <v/>
      </c>
      <c r="O1563" s="17">
        <f>-(K1563*0.025+L1563*0.025)</f>
        <v/>
      </c>
      <c r="P1563" s="17">
        <f>32</f>
        <v/>
      </c>
      <c r="Q1563" s="17">
        <f>J1563+L1563+N1563+O1563-P1563-M1563</f>
        <v/>
      </c>
    </row>
    <row r="1564">
      <c r="A1564" s="16" t="inlineStr">
        <is>
          <t>5.15-5.21</t>
        </is>
      </c>
      <c r="B1564" s="16" t="inlineStr">
        <is>
          <t>PO-128-01458200177273181</t>
        </is>
      </c>
      <c r="C1564" s="16" t="inlineStr">
        <is>
          <t>Shipped</t>
        </is>
      </c>
      <c r="D1564" s="16" t="inlineStr">
        <is>
          <t>128-01458247363193181</t>
        </is>
      </c>
      <c r="E1564" s="16" t="inlineStr">
        <is>
          <t>Shipped</t>
        </is>
      </c>
      <c r="F1564" s="16" t="inlineStr">
        <is>
          <t>S39W48-5PZS</t>
        </is>
      </c>
      <c r="G156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564" s="16" t="inlineStr">
        <is>
          <t>5 piezas</t>
        </is>
      </c>
      <c r="I1564" s="16" t="n">
        <v>2</v>
      </c>
      <c r="J1564" s="17" t="n">
        <v>300</v>
      </c>
      <c r="K1564" s="17" t="n">
        <v>397.05</v>
      </c>
      <c r="L1564" s="17" t="n">
        <v>0</v>
      </c>
      <c r="M1564" s="17" t="n">
        <v>0</v>
      </c>
      <c r="N1564" s="17">
        <f>K1564*0.08+L1564*0.08</f>
        <v/>
      </c>
      <c r="O1564" s="17">
        <f>-(K1564*0.025+L1564*0.025)</f>
        <v/>
      </c>
      <c r="P1564" s="17">
        <f>32</f>
        <v/>
      </c>
      <c r="Q1564" s="17">
        <f>J1564+L1564+N1564+O1564-P1564-M1564</f>
        <v/>
      </c>
    </row>
    <row r="1565">
      <c r="A1565" s="16" t="inlineStr">
        <is>
          <t>5.15-5.21</t>
        </is>
      </c>
      <c r="B1565" s="16" t="inlineStr">
        <is>
          <t>PO-128-01964375603830034</t>
        </is>
      </c>
      <c r="C1565" s="16" t="inlineStr">
        <is>
          <t>Shipped</t>
        </is>
      </c>
      <c r="D1565" s="16" t="inlineStr">
        <is>
          <t>128-01964428032630034</t>
        </is>
      </c>
      <c r="E1565" s="16" t="inlineStr">
        <is>
          <t>Shipped</t>
        </is>
      </c>
      <c r="F1565" s="16" t="inlineStr">
        <is>
          <t>MCM-001N</t>
        </is>
      </c>
      <c r="G1565" s="16" t="inlineStr">
        <is>
          <t>Musicord Altavoz Inalámbrico BT Portátil: ¡Sonido impactante, luces LED multicolores y 4 horas de autonomía! Compatible con TWS, FM, TF y USB – Imprescindible para fiestas y viajes</t>
        </is>
      </c>
      <c r="H1565" s="16" t="inlineStr">
        <is>
          <t>NEGRO</t>
        </is>
      </c>
      <c r="I1565" s="16" t="n">
        <v>1</v>
      </c>
      <c r="J1565" s="17" t="n">
        <v>61</v>
      </c>
      <c r="K1565" s="17" t="n">
        <v>68.79000000000001</v>
      </c>
      <c r="L1565" s="17" t="n">
        <v>25.86</v>
      </c>
      <c r="M1565" s="17" t="n">
        <v>0</v>
      </c>
      <c r="N1565" s="17">
        <f>K1565*0.08+L1565*0.08</f>
        <v/>
      </c>
      <c r="O1565" s="17">
        <f>-(K1565*0.025+L1565*0.025)</f>
        <v/>
      </c>
      <c r="P1565" s="17">
        <f>32</f>
        <v/>
      </c>
      <c r="Q1565" s="17">
        <f>J1565+L1565+N1565+O1565-P1565-M1565</f>
        <v/>
      </c>
    </row>
    <row r="1566">
      <c r="A1566" s="16" t="inlineStr">
        <is>
          <t>5.15-5.21</t>
        </is>
      </c>
      <c r="B1566" s="16" t="inlineStr">
        <is>
          <t>PO-128-01551194716792435</t>
        </is>
      </c>
      <c r="C1566" s="16" t="inlineStr">
        <is>
          <t>Shipped</t>
        </is>
      </c>
      <c r="D1566" s="16" t="inlineStr">
        <is>
          <t>128-01551110830712435</t>
        </is>
      </c>
      <c r="E1566" s="16" t="inlineStr">
        <is>
          <t>Shipped</t>
        </is>
      </c>
      <c r="F1566" s="16" t="inlineStr">
        <is>
          <t>LB02235-azul</t>
        </is>
      </c>
      <c r="G1566" s="16" t="inlineStr">
        <is>
          <t>Audífonos Inalámbricos para la Cabeza, Recargables y Multifuncionales - Conectan a Varios Dispositivos, soportan Radio FM, Tarjeta TF y AUX - 4 Horas de Reproducción Musical - Ideal para Trabajo Cotidiano, Juegos y Estudio</t>
        </is>
      </c>
      <c r="H1566" s="16" t="inlineStr">
        <is>
          <t>AZUL</t>
        </is>
      </c>
      <c r="I1566" s="16" t="n">
        <v>1</v>
      </c>
      <c r="J1566" s="17" t="n">
        <v>36.8</v>
      </c>
      <c r="K1566" s="17" t="n">
        <v>49.91</v>
      </c>
      <c r="L1566" s="17" t="n">
        <v>12.78</v>
      </c>
      <c r="M1566" s="17" t="n">
        <v>0</v>
      </c>
      <c r="N1566" s="17">
        <f>K1566*0.08+L1566*0.08</f>
        <v/>
      </c>
      <c r="O1566" s="17">
        <f>-(K1566*0.025+L1566*0.025)</f>
        <v/>
      </c>
      <c r="P1566" s="17">
        <f>32</f>
        <v/>
      </c>
      <c r="Q1566" s="17">
        <f>J1566+L1566+N1566+O1566-P1566-M1566</f>
        <v/>
      </c>
    </row>
    <row r="1567">
      <c r="A1567" s="16" t="inlineStr">
        <is>
          <t>5.15-5.21</t>
        </is>
      </c>
      <c r="B1567" s="16" t="inlineStr">
        <is>
          <t>PO-128-01551194716792435</t>
        </is>
      </c>
      <c r="C1567" s="16" t="inlineStr">
        <is>
          <t>Shipped</t>
        </is>
      </c>
      <c r="D1567" s="16" t="inlineStr">
        <is>
          <t>128-01551152773752435</t>
        </is>
      </c>
      <c r="E1567" s="16" t="inlineStr">
        <is>
          <t>Shipped</t>
        </is>
      </c>
      <c r="F1567" s="16" t="inlineStr">
        <is>
          <t>LB02235-rojo</t>
        </is>
      </c>
      <c r="G1567" s="16" t="inlineStr">
        <is>
          <t>Audífonos Inalámbricos para la Cabeza, Recargables y Multifuncionales - Conectan a Varios Dispositivos, soportan Radio FM, Tarjeta TF y AUX - 4 Horas de Reproducción Musical - Ideal para Trabajo Cotidiano, Juegos y Estudio</t>
        </is>
      </c>
      <c r="H1567" s="16" t="inlineStr">
        <is>
          <t>ROJO</t>
        </is>
      </c>
      <c r="I1567" s="16" t="n">
        <v>1</v>
      </c>
      <c r="J1567" s="17" t="n">
        <v>38</v>
      </c>
      <c r="K1567" s="17" t="n">
        <v>51.12</v>
      </c>
      <c r="L1567" s="17" t="n">
        <v>13.09</v>
      </c>
      <c r="M1567" s="17" t="n">
        <v>0</v>
      </c>
      <c r="N1567" s="17">
        <f>K1567*0.08+L1567*0.08</f>
        <v/>
      </c>
      <c r="O1567" s="17">
        <f>-(K1567*0.025+L1567*0.025)</f>
        <v/>
      </c>
      <c r="P1567" s="17">
        <f>32</f>
        <v/>
      </c>
      <c r="Q1567" s="17">
        <f>J1567+L1567+N1567+O1567-P1567-M1567</f>
        <v/>
      </c>
    </row>
    <row r="1568">
      <c r="A1568" s="16" t="inlineStr">
        <is>
          <t>5.15-5.21</t>
        </is>
      </c>
      <c r="B1568" s="16" t="inlineStr">
        <is>
          <t>PO-128-01502287555193940</t>
        </is>
      </c>
      <c r="C1568" s="16" t="inlineStr">
        <is>
          <t>Shipped</t>
        </is>
      </c>
      <c r="D1568" s="16" t="inlineStr">
        <is>
          <t>128-01502319012473940</t>
        </is>
      </c>
      <c r="E1568" s="16" t="inlineStr">
        <is>
          <t>Shipped</t>
        </is>
      </c>
      <c r="F1568" s="16" t="inlineStr">
        <is>
          <t>LV25W22</t>
        </is>
      </c>
      <c r="G15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568" s="16" t="inlineStr">
        <is>
          <t>LV25W32</t>
        </is>
      </c>
      <c r="I1568" s="16" t="n">
        <v>1</v>
      </c>
      <c r="J1568" s="17" t="n">
        <v>90.43000000000001</v>
      </c>
      <c r="K1568" s="17" t="n">
        <v>100.84</v>
      </c>
      <c r="L1568" s="17" t="n">
        <v>25.86</v>
      </c>
      <c r="M1568" s="17" t="n">
        <v>0</v>
      </c>
      <c r="N1568" s="17">
        <f>K1568*0.08+L1568*0.08</f>
        <v/>
      </c>
      <c r="O1568" s="17">
        <f>-(K1568*0.025+L1568*0.025)</f>
        <v/>
      </c>
      <c r="P1568" s="17">
        <f>32</f>
        <v/>
      </c>
      <c r="Q1568" s="17">
        <f>J1568+L1568+N1568+O1568-P1568-M1568</f>
        <v/>
      </c>
    </row>
    <row r="1569">
      <c r="A1569" s="16" t="inlineStr">
        <is>
          <t>5.15-5.21</t>
        </is>
      </c>
      <c r="B1569" s="16" t="inlineStr">
        <is>
          <t>PO-128-20777596175993674</t>
        </is>
      </c>
      <c r="C1569" s="16" t="inlineStr">
        <is>
          <t>Shipped</t>
        </is>
      </c>
      <c r="D1569" s="16" t="inlineStr">
        <is>
          <t>128-20777732490873674</t>
        </is>
      </c>
      <c r="E1569" s="16" t="inlineStr">
        <is>
          <t>Shipped</t>
        </is>
      </c>
      <c r="F1569" s="16" t="inlineStr">
        <is>
          <t>MCM-001A</t>
        </is>
      </c>
      <c r="G1569" s="16" t="inlineStr">
        <is>
          <t>Musicord Altavoz Inalámbrico BT Portátil: ¡Sonido impactante, luces LED multicolores y 4 horas de autonomía! Compatible con TWS, FM, TF y USB – Imprescindible para fiestas y viajes</t>
        </is>
      </c>
      <c r="H1569" s="16" t="inlineStr">
        <is>
          <t>AZUL</t>
        </is>
      </c>
      <c r="I1569" s="16" t="n">
        <v>1</v>
      </c>
      <c r="J1569" s="17" t="n">
        <v>51.08</v>
      </c>
      <c r="K1569" s="17" t="n">
        <v>16.37</v>
      </c>
      <c r="L1569" s="17" t="n">
        <v>25.86</v>
      </c>
      <c r="M1569" s="17" t="n">
        <v>0</v>
      </c>
      <c r="N1569" s="17">
        <f>K1569*0.08+L1569*0.08</f>
        <v/>
      </c>
      <c r="O1569" s="17">
        <f>-(K1569*0.025+L1569*0.025)</f>
        <v/>
      </c>
      <c r="P1569" s="17">
        <f>32</f>
        <v/>
      </c>
      <c r="Q1569" s="17">
        <f>J1569+L1569+N1569+O1569-P1569-M1569</f>
        <v/>
      </c>
    </row>
    <row r="1570">
      <c r="A1570" s="16" t="inlineStr">
        <is>
          <t>5.15-5.21</t>
        </is>
      </c>
      <c r="B1570" s="16" t="inlineStr">
        <is>
          <t>PO-128-14745470149752767</t>
        </is>
      </c>
      <c r="C1570" s="16" t="inlineStr">
        <is>
          <t>Partially shipped</t>
        </is>
      </c>
      <c r="D1570" s="16" t="inlineStr">
        <is>
          <t>128-14745459663992767</t>
        </is>
      </c>
      <c r="E1570" s="16" t="inlineStr">
        <is>
          <t>Shipped</t>
        </is>
      </c>
      <c r="F1570" s="16" t="inlineStr">
        <is>
          <t>LB02235-negro</t>
        </is>
      </c>
      <c r="G1570" s="16" t="inlineStr">
        <is>
          <t>Audífonos Inalámbricos para la Cabeza, Recargables y Multifuncionales - Conectan a Varios Dispositivos, soportan Radio FM, Tarjeta TF y AUX - 4 Horas de Reproducción Musical - Ideal para Trabajo Cotidiano, Juegos y Estudio</t>
        </is>
      </c>
      <c r="H1570" s="16" t="inlineStr">
        <is>
          <t>NEGRO</t>
        </is>
      </c>
      <c r="I1570" s="16" t="n">
        <v>4</v>
      </c>
      <c r="J1570" s="17" t="n">
        <v>147.2</v>
      </c>
      <c r="K1570" s="17" t="n">
        <v>199.64</v>
      </c>
      <c r="L1570" s="17" t="n">
        <v>0</v>
      </c>
      <c r="M1570" s="17" t="n">
        <v>0</v>
      </c>
      <c r="N1570" s="17">
        <f>K1570*0.08+L1570*0.08</f>
        <v/>
      </c>
      <c r="O1570" s="17">
        <f>-(K1570*0.025+L1570*0.025)</f>
        <v/>
      </c>
      <c r="P1570" s="17">
        <f>32</f>
        <v/>
      </c>
      <c r="Q1570" s="17">
        <f>J1570+L1570+N1570+O1570-P1570-M1570</f>
        <v/>
      </c>
    </row>
    <row r="1571">
      <c r="A1571" s="16" t="inlineStr">
        <is>
          <t>5.15-5.21</t>
        </is>
      </c>
      <c r="B1571" s="16" t="inlineStr">
        <is>
          <t>PO-128-14745470149752767</t>
        </is>
      </c>
      <c r="C1571" s="16" t="inlineStr">
        <is>
          <t>Partially shipped</t>
        </is>
      </c>
      <c r="D1571" s="16" t="inlineStr">
        <is>
          <t>128-14745480635512767</t>
        </is>
      </c>
      <c r="E1571" s="16" t="inlineStr">
        <is>
          <t>Unshipped</t>
        </is>
      </c>
      <c r="F1571" s="16" t="inlineStr">
        <is>
          <t>VB347T</t>
        </is>
      </c>
      <c r="G157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71" s="16" t="inlineStr">
        <is>
          <t>1 pieza</t>
        </is>
      </c>
      <c r="I1571" s="16" t="n">
        <v>1</v>
      </c>
      <c r="J1571" s="17" t="n">
        <v>79.90000000000001</v>
      </c>
      <c r="K1571" s="17" t="n">
        <v>94.5</v>
      </c>
      <c r="L1571" s="17" t="n">
        <v>0</v>
      </c>
      <c r="M1571" s="17" t="n">
        <v>0</v>
      </c>
      <c r="N1571" s="17">
        <f>K1571*0.08+L1571*0.08</f>
        <v/>
      </c>
      <c r="O1571" s="17">
        <f>-(K1571*0.025+L1571*0.025)</f>
        <v/>
      </c>
      <c r="P1571" s="17">
        <f>32</f>
        <v/>
      </c>
      <c r="Q1571" s="17">
        <f>J1571+L1571+N1571+O1571-P1571-M1571</f>
        <v/>
      </c>
    </row>
    <row r="1572">
      <c r="A1572" s="16" t="inlineStr">
        <is>
          <t>5.15-5.21</t>
        </is>
      </c>
      <c r="B1572" s="16" t="inlineStr">
        <is>
          <t>PO-128-14864065590391930</t>
        </is>
      </c>
      <c r="C1572" s="16" t="inlineStr">
        <is>
          <t>Partially shipped</t>
        </is>
      </c>
      <c r="D1572" s="16" t="inlineStr">
        <is>
          <t>128-14864013161591930</t>
        </is>
      </c>
      <c r="E1572" s="16" t="inlineStr">
        <is>
          <t>Shipped</t>
        </is>
      </c>
      <c r="F1572" s="16" t="inlineStr">
        <is>
          <t>VB347T</t>
        </is>
      </c>
      <c r="G157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572" s="16" t="inlineStr">
        <is>
          <t>1 pieza</t>
        </is>
      </c>
      <c r="I1572" s="16" t="n">
        <v>1</v>
      </c>
      <c r="J1572" s="17" t="n">
        <v>79.90000000000001</v>
      </c>
      <c r="K1572" s="17" t="n">
        <v>94.5</v>
      </c>
      <c r="L1572" s="17" t="n">
        <v>0</v>
      </c>
      <c r="M1572" s="17" t="n">
        <v>0</v>
      </c>
      <c r="N1572" s="17">
        <f>K1572*0.08+L1572*0.08</f>
        <v/>
      </c>
      <c r="O1572" s="17">
        <f>-(K1572*0.025+L1572*0.025)</f>
        <v/>
      </c>
      <c r="P1572" s="17">
        <f>32</f>
        <v/>
      </c>
      <c r="Q1572" s="17">
        <f>J1572+L1572+N1572+O1572-P1572-M1572</f>
        <v/>
      </c>
    </row>
    <row r="1573">
      <c r="A1573" s="16" t="inlineStr">
        <is>
          <t>5.15-5.21</t>
        </is>
      </c>
      <c r="B1573" s="16" t="inlineStr">
        <is>
          <t>PO-128-14864065590391930</t>
        </is>
      </c>
      <c r="C1573" s="16" t="inlineStr">
        <is>
          <t>Partially shipped</t>
        </is>
      </c>
      <c r="D1573" s="16" t="inlineStr">
        <is>
          <t>128-14864044618871930</t>
        </is>
      </c>
      <c r="E1573" s="16" t="inlineStr">
        <is>
          <t>Unshipped</t>
        </is>
      </c>
      <c r="F1573" s="16" t="inlineStr">
        <is>
          <t>MB-178-B</t>
        </is>
      </c>
      <c r="G1573" s="16" t="inlineStr">
        <is>
          <t>Bocina de Barra Bluetooth LINK BITS con dos altavoces, sonido de alta calidad y multifuncional (Bluetooth, Radio FM, USB, TF, AUX, TWS), ideal para juegos, reuniones, oficina y cine en casa.</t>
        </is>
      </c>
      <c r="H1573" s="16" t="inlineStr">
        <is>
          <t>BLANCO</t>
        </is>
      </c>
      <c r="I1573" s="16" t="n">
        <v>1</v>
      </c>
      <c r="J1573" s="17" t="n">
        <v>129</v>
      </c>
      <c r="K1573" s="17" t="n">
        <v>155.27</v>
      </c>
      <c r="L1573" s="17" t="n">
        <v>0</v>
      </c>
      <c r="M1573" s="17" t="n">
        <v>0</v>
      </c>
      <c r="N1573" s="17">
        <f>K1573*0.08+L1573*0.08</f>
        <v/>
      </c>
      <c r="O1573" s="17">
        <f>-(K1573*0.025+L1573*0.025)</f>
        <v/>
      </c>
      <c r="P1573" s="17">
        <f>32</f>
        <v/>
      </c>
      <c r="Q1573" s="17">
        <f>J1573+L1573+N1573+O1573-P1573-M1573</f>
        <v/>
      </c>
    </row>
    <row r="1574">
      <c r="A1574" s="16" t="inlineStr">
        <is>
          <t>5.15-5.21</t>
        </is>
      </c>
      <c r="B1574" s="16" t="inlineStr">
        <is>
          <t>PO-128-14864065590391930</t>
        </is>
      </c>
      <c r="C1574" s="16" t="inlineStr">
        <is>
          <t>Partially shipped</t>
        </is>
      </c>
      <c r="D1574" s="16" t="inlineStr">
        <is>
          <t>128-14864039375991930</t>
        </is>
      </c>
      <c r="E1574" s="16" t="inlineStr">
        <is>
          <t>Unshipped</t>
        </is>
      </c>
      <c r="F1574" s="16" t="inlineStr">
        <is>
          <t>MB-185N</t>
        </is>
      </c>
      <c r="G1574" s="16" t="inlineStr">
        <is>
          <t>Bocina Radio FM/Reproductor, Compatible con Tarjeta TF, USB, Bluetooth, Aplicable para celular, computadora, Ipad y consola.</t>
        </is>
      </c>
      <c r="H1574" s="16" t="inlineStr">
        <is>
          <t>NEGRO/MB-185</t>
        </is>
      </c>
      <c r="I1574" s="16" t="n">
        <v>1</v>
      </c>
      <c r="J1574" s="17" t="n">
        <v>75.5</v>
      </c>
      <c r="K1574" s="17" t="n">
        <v>88.44</v>
      </c>
      <c r="L1574" s="17" t="n">
        <v>0</v>
      </c>
      <c r="M1574" s="17" t="n">
        <v>0</v>
      </c>
      <c r="N1574" s="17">
        <f>K1574*0.08+L1574*0.08</f>
        <v/>
      </c>
      <c r="O1574" s="17">
        <f>-(K1574*0.025+L1574*0.025)</f>
        <v/>
      </c>
      <c r="P1574" s="17">
        <f>32</f>
        <v/>
      </c>
      <c r="Q1574" s="17">
        <f>J1574+L1574+N1574+O1574-P1574-M1574</f>
        <v/>
      </c>
    </row>
    <row r="1575">
      <c r="A1575" s="16" t="inlineStr">
        <is>
          <t>5.15-5.21</t>
        </is>
      </c>
      <c r="B1575" s="16" t="inlineStr">
        <is>
          <t>PO-128-14864065590391930</t>
        </is>
      </c>
      <c r="C1575" s="16" t="inlineStr">
        <is>
          <t>Partially shipped</t>
        </is>
      </c>
      <c r="D1575" s="16" t="inlineStr">
        <is>
          <t>128-14864034133111930</t>
        </is>
      </c>
      <c r="E1575" s="16" t="inlineStr">
        <is>
          <t>Shipped</t>
        </is>
      </c>
      <c r="F1575" s="16" t="inlineStr">
        <is>
          <t>MCM-001R</t>
        </is>
      </c>
      <c r="G1575" s="16" t="inlineStr">
        <is>
          <t>Musicord Altavoz Inalámbrico BT Portátil: ¡Sonido impactante, luces LED multicolores y 4 horas de autonomía! Compatible con TWS, FM, TF y USB – Imprescindible para fiestas y viajes</t>
        </is>
      </c>
      <c r="H1575" s="16" t="inlineStr">
        <is>
          <t>ROJO</t>
        </is>
      </c>
      <c r="I1575" s="16" t="n">
        <v>1</v>
      </c>
      <c r="J1575" s="17" t="n">
        <v>66.5</v>
      </c>
      <c r="K1575" s="17" t="n">
        <v>74.29000000000001</v>
      </c>
      <c r="L1575" s="17" t="n">
        <v>0</v>
      </c>
      <c r="M1575" s="17" t="n">
        <v>0</v>
      </c>
      <c r="N1575" s="17">
        <f>K1575*0.08+L1575*0.08</f>
        <v/>
      </c>
      <c r="O1575" s="17">
        <f>-(K1575*0.025+L1575*0.025)</f>
        <v/>
      </c>
      <c r="P1575" s="17">
        <f>32</f>
        <v/>
      </c>
      <c r="Q1575" s="17">
        <f>J1575+L1575+N1575+O1575-P1575-M1575</f>
        <v/>
      </c>
    </row>
    <row r="1576">
      <c r="A1576" s="16" t="inlineStr">
        <is>
          <t>5.15-5.21</t>
        </is>
      </c>
      <c r="B1576" s="16" t="inlineStr">
        <is>
          <t>PO-128-14864065590391930</t>
        </is>
      </c>
      <c r="C1576" s="16" t="inlineStr">
        <is>
          <t>Partially shipped</t>
        </is>
      </c>
      <c r="D1576" s="16" t="inlineStr">
        <is>
          <t>128-14864018404471930</t>
        </is>
      </c>
      <c r="E1576" s="16" t="inlineStr">
        <is>
          <t>Unshipped</t>
        </is>
      </c>
      <c r="F1576" s="16" t="inlineStr">
        <is>
          <t>SA323T</t>
        </is>
      </c>
      <c r="G1576" s="16" t="inlineStr">
        <is>
          <t>Linkbits Bocina Portátil Parlantes BT Portátiles con Iluminación de Ambiente | 1 Hora de Duración, FM, TWS, TF/Micro SD | Ideal para Hogar, Fiestas y Viajes</t>
        </is>
      </c>
      <c r="H1576" s="16" t="inlineStr">
        <is>
          <t>SA323T</t>
        </is>
      </c>
      <c r="I1576" s="16" t="n">
        <v>1</v>
      </c>
      <c r="J1576" s="17" t="n">
        <v>46</v>
      </c>
      <c r="K1576" s="17" t="n">
        <v>55.06</v>
      </c>
      <c r="L1576" s="17" t="n">
        <v>0</v>
      </c>
      <c r="M1576" s="17" t="n">
        <v>0</v>
      </c>
      <c r="N1576" s="17">
        <f>K1576*0.08+L1576*0.08</f>
        <v/>
      </c>
      <c r="O1576" s="17">
        <f>-(K1576*0.025+L1576*0.025)</f>
        <v/>
      </c>
      <c r="P1576" s="17">
        <f>32</f>
        <v/>
      </c>
      <c r="Q1576" s="17">
        <f>J1576+L1576+N1576+O1576-P1576-M1576</f>
        <v/>
      </c>
    </row>
    <row r="1577">
      <c r="A1577" s="16" t="inlineStr">
        <is>
          <t>5.15-5.21</t>
        </is>
      </c>
      <c r="B1577" s="16" t="inlineStr">
        <is>
          <t>PO-128-15109350088310596</t>
        </is>
      </c>
      <c r="C1577" s="16" t="inlineStr">
        <is>
          <t>Delivered</t>
        </is>
      </c>
      <c r="D1577" s="16" t="inlineStr">
        <is>
          <t>128-15109371059830596</t>
        </is>
      </c>
      <c r="E1577" s="16" t="inlineStr">
        <is>
          <t>Delivered</t>
        </is>
      </c>
      <c r="F1577" s="16" t="inlineStr">
        <is>
          <t>VA384T-A</t>
        </is>
      </c>
      <c r="G1577" s="16" t="inlineStr">
        <is>
          <t>Bocina Portátil Bluetooth de 3 Pulgadas con Radio FM, USB TF TWS, Sonido Estéreo 5W, Bocina Recargable para Hogar Exterior Viaje Fiesta Camping</t>
        </is>
      </c>
      <c r="H1577" s="16" t="inlineStr">
        <is>
          <t>AZUL</t>
        </is>
      </c>
      <c r="I1577" s="16" t="n">
        <v>1</v>
      </c>
      <c r="J1577" s="17" t="n">
        <v>47.99</v>
      </c>
      <c r="K1577" s="17" t="n">
        <v>15.6</v>
      </c>
      <c r="L1577" s="17" t="n">
        <v>25.86</v>
      </c>
      <c r="M1577" s="17" t="n">
        <v>0</v>
      </c>
      <c r="N1577" s="17">
        <f>K1577*0.08+L1577*0.08</f>
        <v/>
      </c>
      <c r="O1577" s="17">
        <f>-(K1577*0.025+L1577*0.025)</f>
        <v/>
      </c>
      <c r="P1577" s="17">
        <f>32</f>
        <v/>
      </c>
      <c r="Q1577" s="17">
        <f>J1577+L1577+N1577+O1577-P1577-M1577</f>
        <v/>
      </c>
    </row>
    <row r="1578">
      <c r="A1578" s="16" t="inlineStr">
        <is>
          <t>5.15-5.21</t>
        </is>
      </c>
      <c r="B1578" s="16" t="inlineStr">
        <is>
          <t>PO-128-14501295304313132</t>
        </is>
      </c>
      <c r="C1578" s="16" t="inlineStr">
        <is>
          <t>Delivered</t>
        </is>
      </c>
      <c r="D1578" s="16" t="inlineStr">
        <is>
          <t>128-14501242875513132</t>
        </is>
      </c>
      <c r="E1578" s="16" t="inlineStr">
        <is>
          <t>Delivered</t>
        </is>
      </c>
      <c r="F1578" s="16" t="inlineStr">
        <is>
          <t>LV42W08</t>
        </is>
      </c>
      <c r="G1578" s="16" t="inlineStr">
        <is>
          <t>TIANLAI Ventilador de techo con luz LED RGB E27, 6 pulgadas, 40W, motor silencioso, fácil instalación, alto brillo 3800 lm, 127V. Ideal para dormitorios, salas y cocinas del hogar.</t>
        </is>
      </c>
      <c r="H1578" s="16" t="inlineStr">
        <is>
          <t>1 pieza</t>
        </is>
      </c>
      <c r="I1578" s="16" t="n">
        <v>2</v>
      </c>
      <c r="J1578" s="17" t="n">
        <v>372.5</v>
      </c>
      <c r="K1578" s="17" t="n">
        <v>432.82</v>
      </c>
      <c r="L1578" s="17" t="n">
        <v>0</v>
      </c>
      <c r="M1578" s="17" t="n">
        <v>0</v>
      </c>
      <c r="N1578" s="17">
        <f>K1578*0.08+L1578*0.08</f>
        <v/>
      </c>
      <c r="O1578" s="17">
        <f>-(K1578*0.025+L1578*0.025)</f>
        <v/>
      </c>
      <c r="P1578" s="17">
        <f>32</f>
        <v/>
      </c>
      <c r="Q1578" s="17">
        <f>J1578+L1578+N1578+O1578-P1578-M1578</f>
        <v/>
      </c>
    </row>
    <row r="1579">
      <c r="A1579" s="16" t="inlineStr">
        <is>
          <t>5.15-5.21</t>
        </is>
      </c>
      <c r="B1579" s="16" t="inlineStr">
        <is>
          <t>PO-128-14658648003192258</t>
        </is>
      </c>
      <c r="C1579" s="16" t="inlineStr">
        <is>
          <t>Delivered</t>
        </is>
      </c>
      <c r="D1579" s="16" t="inlineStr">
        <is>
          <t>128-14658658488952258</t>
        </is>
      </c>
      <c r="E1579" s="16" t="inlineStr">
        <is>
          <t>Delivered</t>
        </is>
      </c>
      <c r="F1579" s="16" t="inlineStr">
        <is>
          <t>MB-178-N</t>
        </is>
      </c>
      <c r="G1579" s="16" t="inlineStr">
        <is>
          <t>Bocina de Barra Bluetooth LINK BITS con dos altavoces, sonido de alta calidad y multifuncional (Bluetooth, Radio FM, USB, TF, AUX, TWS), ideal para juegos, reuniones, oficina y cine en casa.</t>
        </is>
      </c>
      <c r="H1579" s="16" t="inlineStr">
        <is>
          <t>NEGRO</t>
        </is>
      </c>
      <c r="I1579" s="16" t="n">
        <v>1</v>
      </c>
      <c r="J1579" s="17" t="n">
        <v>135</v>
      </c>
      <c r="K1579" s="17" t="n">
        <v>154.34</v>
      </c>
      <c r="L1579" s="17" t="n">
        <v>25.86</v>
      </c>
      <c r="M1579" s="17" t="n">
        <v>0</v>
      </c>
      <c r="N1579" s="17">
        <f>K1579*0.08+L1579*0.08</f>
        <v/>
      </c>
      <c r="O1579" s="17">
        <f>-(K1579*0.025+L1579*0.025)</f>
        <v/>
      </c>
      <c r="P1579" s="17">
        <f>32</f>
        <v/>
      </c>
      <c r="Q1579" s="17">
        <f>J1579+L1579+N1579+O1579-P1579-M1579</f>
        <v/>
      </c>
    </row>
    <row r="1580">
      <c r="A1580" s="16" t="inlineStr">
        <is>
          <t>5.15-5.21</t>
        </is>
      </c>
      <c r="B1580" s="16" t="inlineStr">
        <is>
          <t>PO-128-14624930417272333</t>
        </is>
      </c>
      <c r="C1580" s="16" t="inlineStr">
        <is>
          <t>Delivered</t>
        </is>
      </c>
      <c r="D1580" s="16" t="inlineStr">
        <is>
          <t>128-14624888474232333</t>
        </is>
      </c>
      <c r="E1580" s="16" t="inlineStr">
        <is>
          <t>Delivered</t>
        </is>
      </c>
      <c r="F1580" s="16" t="inlineStr">
        <is>
          <t>SA8056T</t>
        </is>
      </c>
      <c r="G158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580" s="16" t="inlineStr">
        <is>
          <t>SA8056T</t>
        </is>
      </c>
      <c r="I1580" s="16" t="n">
        <v>1</v>
      </c>
      <c r="J1580" s="17" t="n">
        <v>141</v>
      </c>
      <c r="K1580" s="17" t="n">
        <v>144.79</v>
      </c>
      <c r="L1580" s="17" t="n">
        <v>25.86</v>
      </c>
      <c r="M1580" s="17" t="n">
        <v>0</v>
      </c>
      <c r="N1580" s="17">
        <f>K1580*0.08+L1580*0.08</f>
        <v/>
      </c>
      <c r="O1580" s="17">
        <f>-(K1580*0.025+L1580*0.025)</f>
        <v/>
      </c>
      <c r="P1580" s="17">
        <f>32</f>
        <v/>
      </c>
      <c r="Q1580" s="17">
        <f>J1580+L1580+N1580+O1580-P1580-M1580</f>
        <v/>
      </c>
    </row>
    <row r="1581">
      <c r="A1581" s="16" t="inlineStr">
        <is>
          <t>5.15-5.21</t>
        </is>
      </c>
      <c r="B1581" s="16" t="inlineStr">
        <is>
          <t>PO-128-03867838213751936</t>
        </is>
      </c>
      <c r="C1581" s="16" t="inlineStr">
        <is>
          <t>Delivered</t>
        </is>
      </c>
      <c r="D1581" s="16" t="inlineStr">
        <is>
          <t>128-03867848699511936</t>
        </is>
      </c>
      <c r="E1581" s="16" t="inlineStr">
        <is>
          <t>Delivered</t>
        </is>
      </c>
      <c r="F1581" s="16" t="inlineStr">
        <is>
          <t>LB02235-azul</t>
        </is>
      </c>
      <c r="G1581" s="16" t="inlineStr">
        <is>
          <t>Audífonos Inalámbricos para la Cabeza, Recargables y Multifuncionales - Conectan a Varios Dispositivos, soportan Radio FM, Tarjeta TF y AUX - 4 Horas de Reproducción Musical - Ideal para Trabajo Cotidiano, Juegos y Estudio</t>
        </is>
      </c>
      <c r="H1581" s="16" t="inlineStr">
        <is>
          <t>AZUL</t>
        </is>
      </c>
      <c r="I1581" s="16" t="n">
        <v>1</v>
      </c>
      <c r="J1581" s="17" t="n">
        <v>36.8</v>
      </c>
      <c r="K1581" s="17" t="n">
        <v>49.91</v>
      </c>
      <c r="L1581" s="17" t="n">
        <v>25.86</v>
      </c>
      <c r="M1581" s="17" t="n">
        <v>0</v>
      </c>
      <c r="N1581" s="17">
        <f>K1581*0.08+L1581*0.08</f>
        <v/>
      </c>
      <c r="O1581" s="17">
        <f>-(K1581*0.025+L1581*0.025)</f>
        <v/>
      </c>
      <c r="P1581" s="17">
        <f>32</f>
        <v/>
      </c>
      <c r="Q1581" s="17">
        <f>J1581+L1581+N1581+O1581-P1581-M1581</f>
        <v/>
      </c>
    </row>
    <row r="1582">
      <c r="A1582" s="16" t="inlineStr">
        <is>
          <t>5.15-5.21</t>
        </is>
      </c>
      <c r="B1582" s="16" t="inlineStr">
        <is>
          <t>PO-128-03922364982391741</t>
        </is>
      </c>
      <c r="C1582" s="16" t="inlineStr">
        <is>
          <t>Delivered</t>
        </is>
      </c>
      <c r="D1582" s="16" t="inlineStr">
        <is>
          <t>128-03922375468151741</t>
        </is>
      </c>
      <c r="E1582" s="16" t="inlineStr">
        <is>
          <t>Delivered</t>
        </is>
      </c>
      <c r="F1582" s="16" t="inlineStr">
        <is>
          <t>LB02235-azul</t>
        </is>
      </c>
      <c r="G1582" s="16" t="inlineStr">
        <is>
          <t>Audífonos Inalámbricos para la Cabeza, Recargables y Multifuncionales - Conectan a Varios Dispositivos, soportan Radio FM, Tarjeta TF y AUX - 4 Horas de Reproducción Musical - Ideal para Trabajo Cotidiano, Juegos y Estudio</t>
        </is>
      </c>
      <c r="H1582" s="16" t="inlineStr">
        <is>
          <t>AZUL</t>
        </is>
      </c>
      <c r="I1582" s="16" t="n">
        <v>1</v>
      </c>
      <c r="J1582" s="17" t="n">
        <v>36.8</v>
      </c>
      <c r="K1582" s="17" t="n">
        <v>49.91</v>
      </c>
      <c r="L1582" s="17" t="n">
        <v>25.86</v>
      </c>
      <c r="M1582" s="17" t="n">
        <v>0</v>
      </c>
      <c r="N1582" s="17">
        <f>K1582*0.08+L1582*0.08</f>
        <v/>
      </c>
      <c r="O1582" s="17">
        <f>-(K1582*0.025+L1582*0.025)</f>
        <v/>
      </c>
      <c r="P1582" s="17">
        <f>32</f>
        <v/>
      </c>
      <c r="Q1582" s="17">
        <f>J1582+L1582+N1582+O1582-P1582-M1582</f>
        <v/>
      </c>
    </row>
    <row r="1583">
      <c r="A1583" s="16" t="inlineStr">
        <is>
          <t>5.15-5.21</t>
        </is>
      </c>
      <c r="B1583" s="16" t="inlineStr">
        <is>
          <t>PO-128-03724708478072854</t>
        </is>
      </c>
      <c r="C1583" s="16" t="inlineStr">
        <is>
          <t>Delivered</t>
        </is>
      </c>
      <c r="D1583" s="16" t="inlineStr">
        <is>
          <t>128-03724687506552854</t>
        </is>
      </c>
      <c r="E1583" s="16" t="inlineStr">
        <is>
          <t>Delivered</t>
        </is>
      </c>
      <c r="F1583" s="16" t="inlineStr">
        <is>
          <t>FA028</t>
        </is>
      </c>
      <c r="G1583" s="16" t="inlineStr">
        <is>
          <t>Extractor de agua para garrafas de agua, compatible con carga USB, extractor de agua automático, práctico, con dos modos de toma de agua: manual y programado, ideal para dormitorios, salones, oficinas, uso al aire libre y otros escenarios.</t>
        </is>
      </c>
      <c r="H1583" s="16" t="inlineStr">
        <is>
          <t>FA028</t>
        </is>
      </c>
      <c r="I1583" s="16" t="n">
        <v>1</v>
      </c>
      <c r="J1583" s="17" t="n">
        <v>33</v>
      </c>
      <c r="K1583" s="17" t="n">
        <v>42.58</v>
      </c>
      <c r="L1583" s="17" t="n">
        <v>25.86</v>
      </c>
      <c r="M1583" s="17" t="n">
        <v>0</v>
      </c>
      <c r="N1583" s="17">
        <f>K1583*0.08+L1583*0.08</f>
        <v/>
      </c>
      <c r="O1583" s="17">
        <f>-(K1583*0.025+L1583*0.025)</f>
        <v/>
      </c>
      <c r="P1583" s="17">
        <f>32</f>
        <v/>
      </c>
      <c r="Q1583" s="17">
        <f>J1583+L1583+N1583+O1583-P1583-M1583</f>
        <v/>
      </c>
    </row>
    <row r="1584">
      <c r="A1584" s="16" t="inlineStr">
        <is>
          <t>5.15-5.21</t>
        </is>
      </c>
      <c r="B1584" s="16" t="inlineStr">
        <is>
          <t>PO-128-03759828291192580</t>
        </is>
      </c>
      <c r="C1584" s="16" t="inlineStr">
        <is>
          <t>Delivered</t>
        </is>
      </c>
      <c r="D1584" s="16" t="inlineStr">
        <is>
          <t>128-03759870234232580</t>
        </is>
      </c>
      <c r="E1584" s="16" t="inlineStr">
        <is>
          <t>Delivered</t>
        </is>
      </c>
      <c r="F1584" s="16" t="inlineStr">
        <is>
          <t>SA8058T</t>
        </is>
      </c>
      <c r="G1584"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1584" s="16" t="inlineStr">
        <is>
          <t>SA8058T</t>
        </is>
      </c>
      <c r="I1584" s="16" t="n">
        <v>1</v>
      </c>
      <c r="J1584" s="17" t="n">
        <v>220</v>
      </c>
      <c r="K1584" s="17" t="n">
        <v>206.26</v>
      </c>
      <c r="L1584" s="17" t="n">
        <v>25.86</v>
      </c>
      <c r="M1584" s="17" t="n">
        <v>0</v>
      </c>
      <c r="N1584" s="17">
        <f>K1584*0.08+L1584*0.08</f>
        <v/>
      </c>
      <c r="O1584" s="17">
        <f>-(K1584*0.025+L1584*0.025)</f>
        <v/>
      </c>
      <c r="P1584" s="17">
        <f>32</f>
        <v/>
      </c>
      <c r="Q1584" s="17">
        <f>J1584+L1584+N1584+O1584-P1584-M1584</f>
        <v/>
      </c>
    </row>
    <row r="1585">
      <c r="A1585" s="16" t="inlineStr">
        <is>
          <t>5.15-5.21</t>
        </is>
      </c>
      <c r="B1585" s="16" t="inlineStr">
        <is>
          <t>PO-128-03519666335353180</t>
        </is>
      </c>
      <c r="C1585" s="16" t="inlineStr">
        <is>
          <t>Delivered</t>
        </is>
      </c>
      <c r="D1585" s="16" t="inlineStr">
        <is>
          <t>128-03519624392313180</t>
        </is>
      </c>
      <c r="E1585" s="16" t="inlineStr">
        <is>
          <t>Delivered</t>
        </is>
      </c>
      <c r="F1585" s="16" t="inlineStr">
        <is>
          <t>LB02235-blanco</t>
        </is>
      </c>
      <c r="G1585" s="16" t="inlineStr">
        <is>
          <t>Audífonos Inalámbricos para la Cabeza, Recargables y Multifuncionales - Conectan a Varios Dispositivos, soportan Radio FM, Tarjeta TF y AUX - 4 Horas de Reproducción Musical - Ideal para Trabajo Cotidiano, Juegos y Estudio</t>
        </is>
      </c>
      <c r="H1585" s="16" t="inlineStr">
        <is>
          <t>BLANCO</t>
        </is>
      </c>
      <c r="I1585" s="16" t="n">
        <v>1</v>
      </c>
      <c r="J1585" s="17" t="n">
        <v>36.8</v>
      </c>
      <c r="K1585" s="17" t="n">
        <v>49.91</v>
      </c>
      <c r="L1585" s="17" t="n">
        <v>25.86</v>
      </c>
      <c r="M1585" s="17" t="n">
        <v>0</v>
      </c>
      <c r="N1585" s="17">
        <f>K1585*0.08+L1585*0.08</f>
        <v/>
      </c>
      <c r="O1585" s="17">
        <f>-(K1585*0.025+L1585*0.025)</f>
        <v/>
      </c>
      <c r="P1585" s="17">
        <f>32</f>
        <v/>
      </c>
      <c r="Q1585" s="17">
        <f>J1585+L1585+N1585+O1585-P1585-M1585</f>
        <v/>
      </c>
    </row>
    <row r="1586">
      <c r="A1586" s="16" t="inlineStr">
        <is>
          <t>5.15-5.21</t>
        </is>
      </c>
      <c r="B1586" s="16" t="inlineStr">
        <is>
          <t>PO-128-03894098148471844</t>
        </is>
      </c>
      <c r="C1586" s="16" t="inlineStr">
        <is>
          <t>Delivered</t>
        </is>
      </c>
      <c r="D1586" s="16" t="inlineStr">
        <is>
          <t>128-03894119119991844</t>
        </is>
      </c>
      <c r="E1586" s="16" t="inlineStr">
        <is>
          <t>Delivered</t>
        </is>
      </c>
      <c r="F1586" s="16" t="inlineStr">
        <is>
          <t>VA384T-A</t>
        </is>
      </c>
      <c r="G1586" s="16" t="inlineStr">
        <is>
          <t>Bocina Portátil Bluetooth de 3 Pulgadas con Radio FM, USB TF TWS, Sonido Estéreo 5W, Bocina Recargable para Hogar Exterior Viaje Fiesta Camping</t>
        </is>
      </c>
      <c r="H1586" s="16" t="inlineStr">
        <is>
          <t>AZUL</t>
        </is>
      </c>
      <c r="I1586" s="16" t="n">
        <v>1</v>
      </c>
      <c r="J1586" s="17" t="n">
        <v>47.99</v>
      </c>
      <c r="K1586" s="17" t="n">
        <v>58.7</v>
      </c>
      <c r="L1586" s="17" t="n">
        <v>25.86</v>
      </c>
      <c r="M1586" s="17" t="n">
        <v>0</v>
      </c>
      <c r="N1586" s="17">
        <f>K1586*0.08+L1586*0.08</f>
        <v/>
      </c>
      <c r="O1586" s="17">
        <f>-(K1586*0.025+L1586*0.025)</f>
        <v/>
      </c>
      <c r="P1586" s="17">
        <f>32</f>
        <v/>
      </c>
      <c r="Q1586" s="17">
        <f>J1586+L1586+N1586+O1586-P1586-M1586</f>
        <v/>
      </c>
    </row>
    <row r="1587">
      <c r="A1587" s="16" t="inlineStr">
        <is>
          <t>5.15-5.21</t>
        </is>
      </c>
      <c r="B1587" s="16" t="inlineStr">
        <is>
          <t>PO-128-03842160661111259</t>
        </is>
      </c>
      <c r="C1587" s="16" t="inlineStr">
        <is>
          <t>Delivered</t>
        </is>
      </c>
      <c r="D1587" s="16" t="inlineStr">
        <is>
          <t>128-03842155418231259</t>
        </is>
      </c>
      <c r="E1587" s="16" t="inlineStr">
        <is>
          <t>Delivered</t>
        </is>
      </c>
      <c r="F1587" s="16" t="inlineStr">
        <is>
          <t>SA323T</t>
        </is>
      </c>
      <c r="G1587" s="16" t="inlineStr">
        <is>
          <t>Linkbits Bocina Portátil Parlantes BT Portátiles con Iluminación de Ambiente | 1 Hora de Duración, FM, TWS, TF/Micro SD | Ideal para Hogar, Fiestas y Viajes</t>
        </is>
      </c>
      <c r="H1587" s="16" t="inlineStr">
        <is>
          <t>SA323T</t>
        </is>
      </c>
      <c r="I1587" s="16" t="n">
        <v>1</v>
      </c>
      <c r="J1587" s="17" t="n">
        <v>46</v>
      </c>
      <c r="K1587" s="17" t="n">
        <v>47.36</v>
      </c>
      <c r="L1587" s="17" t="n">
        <v>6.96</v>
      </c>
      <c r="M1587" s="17" t="n">
        <v>0</v>
      </c>
      <c r="N1587" s="17">
        <f>K1587*0.08+L1587*0.08</f>
        <v/>
      </c>
      <c r="O1587" s="17">
        <f>-(K1587*0.025+L1587*0.025)</f>
        <v/>
      </c>
      <c r="P1587" s="17">
        <f>32</f>
        <v/>
      </c>
      <c r="Q1587" s="17">
        <f>J1587+L1587+N1587+O1587-P1587-M1587</f>
        <v/>
      </c>
    </row>
    <row r="1588">
      <c r="A1588" s="16" t="inlineStr">
        <is>
          <t>5.15-5.21</t>
        </is>
      </c>
      <c r="B1588" s="16" t="inlineStr">
        <is>
          <t>PO-128-03842160661111259</t>
        </is>
      </c>
      <c r="C1588" s="16" t="inlineStr">
        <is>
          <t>Delivered</t>
        </is>
      </c>
      <c r="D1588" s="16" t="inlineStr">
        <is>
          <t>128-03842163282551259</t>
        </is>
      </c>
      <c r="E1588" s="16" t="inlineStr">
        <is>
          <t>Delivered</t>
        </is>
      </c>
      <c r="F1588" s="16" t="inlineStr">
        <is>
          <t>LB02235-azul</t>
        </is>
      </c>
      <c r="G1588" s="16" t="inlineStr">
        <is>
          <t>Audífonos Inalámbricos para la Cabeza, Recargables y Multifuncionales - Conectan a Varios Dispositivos, soportan Radio FM, Tarjeta TF y AUX - 4 Horas de Reproducción Musical - Ideal para Trabajo Cotidiano, Juegos y Estudio</t>
        </is>
      </c>
      <c r="H1588" s="16" t="inlineStr">
        <is>
          <t>AZUL</t>
        </is>
      </c>
      <c r="I1588" s="16" t="n">
        <v>1</v>
      </c>
      <c r="J1588" s="17" t="n">
        <v>36.8</v>
      </c>
      <c r="K1588" s="17" t="n">
        <v>42.94</v>
      </c>
      <c r="L1588" s="17" t="n">
        <v>6.3</v>
      </c>
      <c r="M1588" s="17" t="n">
        <v>0</v>
      </c>
      <c r="N1588" s="17">
        <f>K1588*0.08+L1588*0.08</f>
        <v/>
      </c>
      <c r="O1588" s="17">
        <f>-(K1588*0.025+L1588*0.025)</f>
        <v/>
      </c>
      <c r="P1588" s="17">
        <f>32</f>
        <v/>
      </c>
      <c r="Q1588" s="17">
        <f>J1588+L1588+N1588+O1588-P1588-M1588</f>
        <v/>
      </c>
    </row>
    <row r="1589">
      <c r="A1589" s="16" t="inlineStr">
        <is>
          <t>5.15-5.21</t>
        </is>
      </c>
      <c r="B1589" s="16" t="inlineStr">
        <is>
          <t>PO-128-03842160661111259</t>
        </is>
      </c>
      <c r="C1589" s="16" t="inlineStr">
        <is>
          <t>Delivered</t>
        </is>
      </c>
      <c r="D1589" s="16" t="inlineStr">
        <is>
          <t>128-03842159350391259</t>
        </is>
      </c>
      <c r="E1589" s="16" t="inlineStr">
        <is>
          <t>Delivered</t>
        </is>
      </c>
      <c r="F1589" s="16" t="inlineStr">
        <is>
          <t>LB02235-rojo</t>
        </is>
      </c>
      <c r="G1589" s="16" t="inlineStr">
        <is>
          <t>Audífonos Inalámbricos para la Cabeza, Recargables y Multifuncionales - Conectan a Varios Dispositivos, soportan Radio FM, Tarjeta TF y AUX - 4 Horas de Reproducción Musical - Ideal para Trabajo Cotidiano, Juegos y Estudio</t>
        </is>
      </c>
      <c r="H1589" s="16" t="inlineStr">
        <is>
          <t>ROJO</t>
        </is>
      </c>
      <c r="I1589" s="16" t="n">
        <v>1</v>
      </c>
      <c r="J1589" s="17" t="n">
        <v>36.8</v>
      </c>
      <c r="K1589" s="17" t="n">
        <v>42.93</v>
      </c>
      <c r="L1589" s="17" t="n">
        <v>6.3</v>
      </c>
      <c r="M1589" s="17" t="n">
        <v>0</v>
      </c>
      <c r="N1589" s="17">
        <f>K1589*0.08+L1589*0.08</f>
        <v/>
      </c>
      <c r="O1589" s="17">
        <f>-(K1589*0.025+L1589*0.025)</f>
        <v/>
      </c>
      <c r="P1589" s="17">
        <f>32</f>
        <v/>
      </c>
      <c r="Q1589" s="17">
        <f>J1589+L1589+N1589+O1589-P1589-M1589</f>
        <v/>
      </c>
    </row>
    <row r="1590">
      <c r="A1590" s="16" t="inlineStr">
        <is>
          <t>5.15-5.21</t>
        </is>
      </c>
      <c r="B1590" s="16" t="inlineStr">
        <is>
          <t>PO-128-03842160661111259</t>
        </is>
      </c>
      <c r="C1590" s="16" t="inlineStr">
        <is>
          <t>Delivered</t>
        </is>
      </c>
      <c r="D1590" s="16" t="inlineStr">
        <is>
          <t>128-03842158039671259</t>
        </is>
      </c>
      <c r="E1590" s="16" t="inlineStr">
        <is>
          <t>Delivered</t>
        </is>
      </c>
      <c r="F1590" s="16" t="inlineStr">
        <is>
          <t>LB02235-negro</t>
        </is>
      </c>
      <c r="G1590" s="16" t="inlineStr">
        <is>
          <t>Audífonos Inalámbricos para la Cabeza, Recargables y Multifuncionales - Conectan a Varios Dispositivos, soportan Radio FM, Tarjeta TF y AUX - 4 Horas de Reproducción Musical - Ideal para Trabajo Cotidiano, Juegos y Estudio</t>
        </is>
      </c>
      <c r="H1590" s="16" t="inlineStr">
        <is>
          <t>NEGRO</t>
        </is>
      </c>
      <c r="I1590" s="16" t="n">
        <v>1</v>
      </c>
      <c r="J1590" s="17" t="n">
        <v>36.8</v>
      </c>
      <c r="K1590" s="17" t="n">
        <v>42.93</v>
      </c>
      <c r="L1590" s="17" t="n">
        <v>6.3</v>
      </c>
      <c r="M1590" s="17" t="n">
        <v>0</v>
      </c>
      <c r="N1590" s="17">
        <f>K1590*0.08+L1590*0.08</f>
        <v/>
      </c>
      <c r="O1590" s="17">
        <f>-(K1590*0.025+L1590*0.025)</f>
        <v/>
      </c>
      <c r="P1590" s="17">
        <f>32</f>
        <v/>
      </c>
      <c r="Q1590" s="17">
        <f>J1590+L1590+N1590+O1590-P1590-M1590</f>
        <v/>
      </c>
    </row>
    <row r="1591">
      <c r="A1591" s="16" t="inlineStr">
        <is>
          <t>5.15-5.21</t>
        </is>
      </c>
      <c r="B1591" s="16" t="inlineStr">
        <is>
          <t>PO-128-03646655928952425</t>
        </is>
      </c>
      <c r="C1591" s="16" t="inlineStr">
        <is>
          <t>Delivered</t>
        </is>
      </c>
      <c r="D1591" s="16" t="inlineStr">
        <is>
          <t>128-03646693939832425</t>
        </is>
      </c>
      <c r="E1591" s="16" t="inlineStr">
        <is>
          <t>Delivered</t>
        </is>
      </c>
      <c r="F1591" s="16" t="inlineStr">
        <is>
          <t>LB02235-blanco</t>
        </is>
      </c>
      <c r="G1591" s="16" t="inlineStr">
        <is>
          <t>Audífonos Inalámbricos para la Cabeza, Recargables y Multifuncionales - Conectan a Varios Dispositivos, soportan Radio FM, Tarjeta TF y AUX - 4 Horas de Reproducción Musical - Ideal para Trabajo Cotidiano, Juegos y Estudio</t>
        </is>
      </c>
      <c r="H1591" s="16" t="inlineStr">
        <is>
          <t>BLANCO</t>
        </is>
      </c>
      <c r="I1591" s="16" t="n">
        <v>1</v>
      </c>
      <c r="J1591" s="17" t="n">
        <v>36.8</v>
      </c>
      <c r="K1591" s="17" t="n">
        <v>49.91</v>
      </c>
      <c r="L1591" s="17" t="n">
        <v>25.86</v>
      </c>
      <c r="M1591" s="17" t="n">
        <v>0</v>
      </c>
      <c r="N1591" s="17">
        <f>K1591*0.08+L1591*0.08</f>
        <v/>
      </c>
      <c r="O1591" s="17">
        <f>-(K1591*0.025+L1591*0.025)</f>
        <v/>
      </c>
      <c r="P1591" s="17">
        <f>32</f>
        <v/>
      </c>
      <c r="Q1591" s="17">
        <f>J1591+L1591+N1591+O1591-P1591-M1591</f>
        <v/>
      </c>
    </row>
    <row r="1592">
      <c r="A1592" s="16" t="inlineStr">
        <is>
          <t>5.15-5.21</t>
        </is>
      </c>
      <c r="B1592" s="16" t="inlineStr">
        <is>
          <t>PO-128-03548321475193843</t>
        </is>
      </c>
      <c r="C1592" s="16" t="inlineStr">
        <is>
          <t>Delivered</t>
        </is>
      </c>
      <c r="D1592" s="16" t="inlineStr">
        <is>
          <t>128-03548342446713843</t>
        </is>
      </c>
      <c r="E1592" s="16" t="inlineStr">
        <is>
          <t>Delivered</t>
        </is>
      </c>
      <c r="F1592" s="16" t="inlineStr">
        <is>
          <t>MCM-001N</t>
        </is>
      </c>
      <c r="G1592" s="16" t="inlineStr">
        <is>
          <t>Musicord Altavoz Inalámbrico BT Portátil: ¡Sonido impactante, luces LED multicolores y 4 horas de autonomía! Compatible con TWS, FM, TF y USB – Imprescindible para fiestas y viajes</t>
        </is>
      </c>
      <c r="H1592" s="16" t="inlineStr">
        <is>
          <t>NEGRO</t>
        </is>
      </c>
      <c r="I1592" s="16" t="n">
        <v>1</v>
      </c>
      <c r="J1592" s="17" t="n">
        <v>61</v>
      </c>
      <c r="K1592" s="17" t="n">
        <v>68.79000000000001</v>
      </c>
      <c r="L1592" s="17" t="n">
        <v>0</v>
      </c>
      <c r="M1592" s="17" t="n">
        <v>68.79000000000001</v>
      </c>
      <c r="N1592" s="17">
        <f>K1592*0.08+L1592*0.08</f>
        <v/>
      </c>
      <c r="O1592" s="17">
        <f>-(K1592*0.025+L1592*0.025)</f>
        <v/>
      </c>
      <c r="P1592" s="17">
        <f>32</f>
        <v/>
      </c>
      <c r="Q1592" s="17">
        <f>J1592+L1592+N1592+O1592-P1592-M1592</f>
        <v/>
      </c>
    </row>
    <row r="1593">
      <c r="A1593" s="16" t="inlineStr">
        <is>
          <t>5.15-5.21</t>
        </is>
      </c>
      <c r="B1593" s="16" t="inlineStr">
        <is>
          <t>PO-128-03874661074551960</t>
        </is>
      </c>
      <c r="C1593" s="16" t="inlineStr">
        <is>
          <t>Delivered</t>
        </is>
      </c>
      <c r="D1593" s="16" t="inlineStr">
        <is>
          <t>128-03874695153271960</t>
        </is>
      </c>
      <c r="E1593" s="16" t="inlineStr">
        <is>
          <t>Delivered</t>
        </is>
      </c>
      <c r="F1593" s="16" t="inlineStr">
        <is>
          <t>MCM-001N</t>
        </is>
      </c>
      <c r="G1593" s="16" t="inlineStr">
        <is>
          <t>Musicord Altavoz Inalámbrico BT Portátil: ¡Sonido impactante, luces LED multicolores y 4 horas de autonomía! Compatible con TWS, FM, TF y USB – Imprescindible para fiestas y viajes</t>
        </is>
      </c>
      <c r="H1593" s="16" t="inlineStr">
        <is>
          <t>NEGRO</t>
        </is>
      </c>
      <c r="I1593" s="16" t="n">
        <v>1</v>
      </c>
      <c r="J1593" s="17" t="n">
        <v>61</v>
      </c>
      <c r="K1593" s="17" t="n">
        <v>68.79000000000001</v>
      </c>
      <c r="L1593" s="17" t="n">
        <v>25.86</v>
      </c>
      <c r="M1593" s="17" t="n">
        <v>0</v>
      </c>
      <c r="N1593" s="17">
        <f>K1593*0.08+L1593*0.08</f>
        <v/>
      </c>
      <c r="O1593" s="17">
        <f>-(K1593*0.025+L1593*0.025)</f>
        <v/>
      </c>
      <c r="P1593" s="17">
        <f>32</f>
        <v/>
      </c>
      <c r="Q1593" s="17">
        <f>J1593+L1593+N1593+O1593-P1593-M1593</f>
        <v/>
      </c>
    </row>
    <row r="1594">
      <c r="A1594" s="16" t="inlineStr">
        <is>
          <t>5.15-5.21</t>
        </is>
      </c>
      <c r="B1594" s="16" t="inlineStr">
        <is>
          <t>PO-128-04120067400310627</t>
        </is>
      </c>
      <c r="C1594" s="16" t="inlineStr">
        <is>
          <t>Delivered</t>
        </is>
      </c>
      <c r="D1594" s="16" t="inlineStr">
        <is>
          <t>128-04120084439670627</t>
        </is>
      </c>
      <c r="E1594" s="16" t="inlineStr">
        <is>
          <t>Delivered</t>
        </is>
      </c>
      <c r="F1594" s="16" t="inlineStr">
        <is>
          <t>MB-185R</t>
        </is>
      </c>
      <c r="G1594" s="16" t="inlineStr">
        <is>
          <t>Bocina Radio FM/Reproductor, Compatible con Tarjeta TF, USB, Bluetooth, Aplicable para celular, computadora, Ipad y consola.</t>
        </is>
      </c>
      <c r="H1594" s="16" t="inlineStr">
        <is>
          <t>ROJO/MB-185</t>
        </is>
      </c>
      <c r="I1594" s="16" t="n">
        <v>2</v>
      </c>
      <c r="J1594" s="17" t="n">
        <v>148</v>
      </c>
      <c r="K1594" s="17" t="n">
        <v>123.92</v>
      </c>
      <c r="L1594" s="17" t="n">
        <v>25.86</v>
      </c>
      <c r="M1594" s="17" t="n">
        <v>0</v>
      </c>
      <c r="N1594" s="17">
        <f>K1594*0.08+L1594*0.08</f>
        <v/>
      </c>
      <c r="O1594" s="17">
        <f>-(K1594*0.025+L1594*0.025)</f>
        <v/>
      </c>
      <c r="P1594" s="17">
        <f>32</f>
        <v/>
      </c>
      <c r="Q1594" s="17">
        <f>J1594+L1594+N1594+O1594-P1594-M1594</f>
        <v/>
      </c>
    </row>
    <row r="1595">
      <c r="A1595" s="16" t="inlineStr">
        <is>
          <t>5.15-5.21</t>
        </is>
      </c>
      <c r="B1595" s="16" t="inlineStr">
        <is>
          <t>PO-128-03661769493112271</t>
        </is>
      </c>
      <c r="C1595" s="16" t="inlineStr">
        <is>
          <t>Delivered</t>
        </is>
      </c>
      <c r="D1595" s="16" t="inlineStr">
        <is>
          <t>128-03661779978872271</t>
        </is>
      </c>
      <c r="E1595" s="16" t="inlineStr">
        <is>
          <t>Delivered</t>
        </is>
      </c>
      <c r="F1595" s="16" t="inlineStr">
        <is>
          <t>LB02235-blanco</t>
        </is>
      </c>
      <c r="G1595" s="16" t="inlineStr">
        <is>
          <t>Audífonos Inalámbricos para la Cabeza, Recargables y Multifuncionales - Conectan a Varios Dispositivos, soportan Radio FM, Tarjeta TF y AUX - 4 Horas de Reproducción Musical - Ideal para Trabajo Cotidiano, Juegos y Estudio</t>
        </is>
      </c>
      <c r="H1595" s="16" t="inlineStr">
        <is>
          <t>BLANCO</t>
        </is>
      </c>
      <c r="I1595" s="16" t="n">
        <v>1</v>
      </c>
      <c r="J1595" s="17" t="n">
        <v>36.8</v>
      </c>
      <c r="K1595" s="17" t="n">
        <v>49.91</v>
      </c>
      <c r="L1595" s="17" t="n">
        <v>25.86</v>
      </c>
      <c r="M1595" s="17" t="n">
        <v>0</v>
      </c>
      <c r="N1595" s="17">
        <f>K1595*0.08+L1595*0.08</f>
        <v/>
      </c>
      <c r="O1595" s="17">
        <f>-(K1595*0.025+L1595*0.025)</f>
        <v/>
      </c>
      <c r="P1595" s="17">
        <f>32</f>
        <v/>
      </c>
      <c r="Q1595" s="17">
        <f>J1595+L1595+N1595+O1595-P1595-M1595</f>
        <v/>
      </c>
    </row>
    <row r="1596">
      <c r="A1596" s="16" t="inlineStr">
        <is>
          <t>5.15-5.21</t>
        </is>
      </c>
      <c r="B1596" s="16" t="inlineStr">
        <is>
          <t>PO-128-03504049971833083</t>
        </is>
      </c>
      <c r="C1596" s="16" t="inlineStr">
        <is>
          <t>Delivered</t>
        </is>
      </c>
      <c r="D1596" s="16" t="inlineStr">
        <is>
          <t>128-03504008028793083</t>
        </is>
      </c>
      <c r="E1596" s="16" t="inlineStr">
        <is>
          <t>Delivered</t>
        </is>
      </c>
      <c r="F1596" s="16" t="inlineStr">
        <is>
          <t>LB02235-negro</t>
        </is>
      </c>
      <c r="G1596" s="16" t="inlineStr">
        <is>
          <t>Audífonos Inalámbricos para la Cabeza, Recargables y Multifuncionales - Conectan a Varios Dispositivos, soportan Radio FM, Tarjeta TF y AUX - 4 Horas de Reproducción Musical - Ideal para Trabajo Cotidiano, Juegos y Estudio</t>
        </is>
      </c>
      <c r="H1596" s="16" t="inlineStr">
        <is>
          <t>NEGRO</t>
        </is>
      </c>
      <c r="I1596" s="16" t="n">
        <v>1</v>
      </c>
      <c r="J1596" s="17" t="n">
        <v>36.8</v>
      </c>
      <c r="K1596" s="17" t="n">
        <v>39.94</v>
      </c>
      <c r="L1596" s="17" t="n">
        <v>25.86</v>
      </c>
      <c r="M1596" s="17" t="n">
        <v>0</v>
      </c>
      <c r="N1596" s="17">
        <f>K1596*0.08+L1596*0.08</f>
        <v/>
      </c>
      <c r="O1596" s="17">
        <f>-(K1596*0.025+L1596*0.025)</f>
        <v/>
      </c>
      <c r="P1596" s="17">
        <f>32</f>
        <v/>
      </c>
      <c r="Q1596" s="17">
        <f>J1596+L1596+N1596+O1596-P1596-M1596</f>
        <v/>
      </c>
    </row>
    <row r="1597">
      <c r="A1597" s="16" t="inlineStr">
        <is>
          <t>5.15-5.21</t>
        </is>
      </c>
      <c r="B1597" s="16" t="inlineStr">
        <is>
          <t>PO-128-03794237077111481</t>
        </is>
      </c>
      <c r="C1597" s="16" t="inlineStr">
        <is>
          <t>Delivered</t>
        </is>
      </c>
      <c r="D1597" s="16" t="inlineStr">
        <is>
          <t>128-03794216105591481</t>
        </is>
      </c>
      <c r="E1597" s="16" t="inlineStr">
        <is>
          <t>Delivered</t>
        </is>
      </c>
      <c r="F1597" s="16" t="inlineStr">
        <is>
          <t>KTS-1678Y</t>
        </is>
      </c>
      <c r="G1597" s="16" t="inlineStr">
        <is>
          <t>Bocina portátil Inalámbrico, de 3 pulgadas, tamaño de bolsillo, 170 g, con asa, compatible con TF, USB y Micro SD, con radio FM y función TWS (True Wireless Stereo), adecuada para relajarse en casa o viajar al aire libre.</t>
        </is>
      </c>
      <c r="H1597" s="16" t="inlineStr">
        <is>
          <t>KTS-1678Y</t>
        </is>
      </c>
      <c r="I1597" s="16" t="n">
        <v>1</v>
      </c>
      <c r="J1597" s="17" t="n">
        <v>42.5</v>
      </c>
      <c r="K1597" s="17" t="n">
        <v>48.72</v>
      </c>
      <c r="L1597" s="17" t="n">
        <v>25.86</v>
      </c>
      <c r="M1597" s="17" t="n">
        <v>0</v>
      </c>
      <c r="N1597" s="17">
        <f>K1597*0.08+L1597*0.08</f>
        <v/>
      </c>
      <c r="O1597" s="17">
        <f>-(K1597*0.025+L1597*0.025)</f>
        <v/>
      </c>
      <c r="P1597" s="17">
        <f>32</f>
        <v/>
      </c>
      <c r="Q1597" s="17">
        <f>J1597+L1597+N1597+O1597-P1597-M1597</f>
        <v/>
      </c>
    </row>
    <row r="1598">
      <c r="A1598" s="16" t="inlineStr">
        <is>
          <t>5.15-5.21</t>
        </is>
      </c>
      <c r="B1598" s="16" t="inlineStr">
        <is>
          <t>PO-128-04043484984950955</t>
        </is>
      </c>
      <c r="C1598" s="16" t="inlineStr">
        <is>
          <t>Delivered</t>
        </is>
      </c>
      <c r="D1598" s="16" t="inlineStr">
        <is>
          <t>128-04043532170870955</t>
        </is>
      </c>
      <c r="E1598" s="16" t="inlineStr">
        <is>
          <t>Delivered</t>
        </is>
      </c>
      <c r="F1598" s="16" t="inlineStr">
        <is>
          <t>MCM-001R</t>
        </is>
      </c>
      <c r="G1598" s="16" t="inlineStr">
        <is>
          <t>Musicord Altavoz Inalámbrico BT Portátil: ¡Sonido impactante, luces LED multicolores y 4 horas de autonomía! Compatible con TWS, FM, TF y USB – Imprescindible para fiestas y viajes</t>
        </is>
      </c>
      <c r="H1598" s="16" t="inlineStr">
        <is>
          <t>ROJO</t>
        </is>
      </c>
      <c r="I1598" s="16" t="n">
        <v>1</v>
      </c>
      <c r="J1598" s="17" t="n">
        <v>66.5</v>
      </c>
      <c r="K1598" s="17" t="n">
        <v>74.29000000000001</v>
      </c>
      <c r="L1598" s="17" t="n">
        <v>13.43</v>
      </c>
      <c r="M1598" s="17" t="n">
        <v>0</v>
      </c>
      <c r="N1598" s="17">
        <f>K1598*0.08+L1598*0.08</f>
        <v/>
      </c>
      <c r="O1598" s="17">
        <f>-(K1598*0.025+L1598*0.025)</f>
        <v/>
      </c>
      <c r="P1598" s="17">
        <f>32</f>
        <v/>
      </c>
      <c r="Q1598" s="17">
        <f>J1598+L1598+N1598+O1598-P1598-M1598</f>
        <v/>
      </c>
    </row>
    <row r="1599">
      <c r="A1599" s="16" t="inlineStr">
        <is>
          <t>5.15-5.21</t>
        </is>
      </c>
      <c r="B1599" s="16" t="inlineStr">
        <is>
          <t>PO-128-04043484984950955</t>
        </is>
      </c>
      <c r="C1599" s="16" t="inlineStr">
        <is>
          <t>Delivered</t>
        </is>
      </c>
      <c r="D1599" s="16" t="inlineStr">
        <is>
          <t>128-04043511199350955</t>
        </is>
      </c>
      <c r="E1599" s="16" t="inlineStr">
        <is>
          <t>Delivered</t>
        </is>
      </c>
      <c r="F1599" s="16" t="inlineStr">
        <is>
          <t>MCM-001N</t>
        </is>
      </c>
      <c r="G1599" s="16" t="inlineStr">
        <is>
          <t>Musicord Altavoz Inalámbrico BT Portátil: ¡Sonido impactante, luces LED multicolores y 4 horas de autonomía! Compatible con TWS, FM, TF y USB – Imprescindible para fiestas y viajes</t>
        </is>
      </c>
      <c r="H1599" s="16" t="inlineStr">
        <is>
          <t>NEGRO</t>
        </is>
      </c>
      <c r="I1599" s="16" t="n">
        <v>1</v>
      </c>
      <c r="J1599" s="17" t="n">
        <v>61</v>
      </c>
      <c r="K1599" s="17" t="n">
        <v>68.79000000000001</v>
      </c>
      <c r="L1599" s="17" t="n">
        <v>12.43</v>
      </c>
      <c r="M1599" s="17" t="n">
        <v>0</v>
      </c>
      <c r="N1599" s="17">
        <f>K1599*0.08+L1599*0.08</f>
        <v/>
      </c>
      <c r="O1599" s="17">
        <f>-(K1599*0.025+L1599*0.025)</f>
        <v/>
      </c>
      <c r="P1599" s="17">
        <f>32</f>
        <v/>
      </c>
      <c r="Q1599" s="17">
        <f>J1599+L1599+N1599+O1599-P1599-M1599</f>
        <v/>
      </c>
    </row>
    <row r="1600">
      <c r="A1600" s="16" t="inlineStr">
        <is>
          <t>5.15-5.21</t>
        </is>
      </c>
      <c r="B1600" s="16" t="inlineStr">
        <is>
          <t>PO-128-03991304668790368</t>
        </is>
      </c>
      <c r="C1600" s="16" t="inlineStr">
        <is>
          <t>Delivered</t>
        </is>
      </c>
      <c r="D1600" s="16" t="inlineStr">
        <is>
          <t>128-03991359719030368</t>
        </is>
      </c>
      <c r="E1600" s="16" t="inlineStr">
        <is>
          <t>Delivered</t>
        </is>
      </c>
      <c r="F1600" s="16" t="inlineStr">
        <is>
          <t>S09W18IB</t>
        </is>
      </c>
      <c r="G160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00" s="16" t="inlineStr">
        <is>
          <t>1 pieza</t>
        </is>
      </c>
      <c r="I1600" s="16" t="n">
        <v>5</v>
      </c>
      <c r="J1600" s="17" t="n">
        <v>115</v>
      </c>
      <c r="K1600" s="17" t="n">
        <v>168.2</v>
      </c>
      <c r="L1600" s="17" t="n">
        <v>25.85</v>
      </c>
      <c r="M1600" s="17" t="n">
        <v>0</v>
      </c>
      <c r="N1600" s="17">
        <f>K1600*0.08+L1600*0.08</f>
        <v/>
      </c>
      <c r="O1600" s="17">
        <f>-(K1600*0.025+L1600*0.025)</f>
        <v/>
      </c>
      <c r="P1600" s="17">
        <f>32</f>
        <v/>
      </c>
      <c r="Q1600" s="17">
        <f>J1600+L1600+N1600+O1600-P1600-M1600</f>
        <v/>
      </c>
    </row>
    <row r="1601">
      <c r="A1601" s="16" t="inlineStr">
        <is>
          <t>5.15-5.21</t>
        </is>
      </c>
      <c r="B1601" s="16" t="inlineStr">
        <is>
          <t>PO-128-04071379077750853</t>
        </is>
      </c>
      <c r="C1601" s="16" t="inlineStr">
        <is>
          <t>Delivered</t>
        </is>
      </c>
      <c r="D1601" s="16" t="inlineStr">
        <is>
          <t>128-04071421020790853</t>
        </is>
      </c>
      <c r="E1601" s="16" t="inlineStr">
        <is>
          <t>Delivered</t>
        </is>
      </c>
      <c r="F1601" s="16" t="inlineStr">
        <is>
          <t>MB-185N</t>
        </is>
      </c>
      <c r="G1601" s="16" t="inlineStr">
        <is>
          <t>Bocina Radio FM/Reproductor, Compatible con Tarjeta TF, USB, Bluetooth, Aplicable para celular, computadora, Ipad y consola.</t>
        </is>
      </c>
      <c r="H1601" s="16" t="inlineStr">
        <is>
          <t>NEGRO/MB-185</t>
        </is>
      </c>
      <c r="I1601" s="16" t="n">
        <v>1</v>
      </c>
      <c r="J1601" s="17" t="n">
        <v>75.5</v>
      </c>
      <c r="K1601" s="17" t="n">
        <v>88.44</v>
      </c>
      <c r="L1601" s="17" t="n">
        <v>25.86</v>
      </c>
      <c r="M1601" s="17" t="n">
        <v>0</v>
      </c>
      <c r="N1601" s="17">
        <f>K1601*0.08+L1601*0.08</f>
        <v/>
      </c>
      <c r="O1601" s="17">
        <f>-(K1601*0.025+L1601*0.025)</f>
        <v/>
      </c>
      <c r="P1601" s="17">
        <f>32</f>
        <v/>
      </c>
      <c r="Q1601" s="17">
        <f>J1601+L1601+N1601+O1601-P1601-M1601</f>
        <v/>
      </c>
    </row>
    <row r="1602">
      <c r="A1602" s="16" t="inlineStr">
        <is>
          <t>5.15-5.21</t>
        </is>
      </c>
      <c r="B1602" s="16" t="inlineStr">
        <is>
          <t>PO-128-03754348805752807</t>
        </is>
      </c>
      <c r="C1602" s="16" t="inlineStr">
        <is>
          <t>Delivered</t>
        </is>
      </c>
      <c r="D1602" s="16" t="inlineStr">
        <is>
          <t>128-03754369777272807</t>
        </is>
      </c>
      <c r="E1602" s="16" t="inlineStr">
        <is>
          <t>Delivered</t>
        </is>
      </c>
      <c r="F1602" s="16" t="inlineStr">
        <is>
          <t>SA323T</t>
        </is>
      </c>
      <c r="G1602" s="16" t="inlineStr">
        <is>
          <t>Linkbits Bocina Portátil Parlantes BT Portátiles con Iluminación de Ambiente | 1 Hora de Duración, FM, TWS, TF/Micro SD | Ideal para Hogar, Fiestas y Viajes</t>
        </is>
      </c>
      <c r="H1602" s="16" t="inlineStr">
        <is>
          <t>SA323T</t>
        </is>
      </c>
      <c r="I1602" s="16" t="n">
        <v>1</v>
      </c>
      <c r="J1602" s="17" t="n">
        <v>46</v>
      </c>
      <c r="K1602" s="17" t="n">
        <v>3.34</v>
      </c>
      <c r="L1602" s="17" t="n">
        <v>25.86</v>
      </c>
      <c r="M1602" s="17" t="n">
        <v>0</v>
      </c>
      <c r="N1602" s="17">
        <f>K1602*0.08+L1602*0.08</f>
        <v/>
      </c>
      <c r="O1602" s="17">
        <f>-(K1602*0.025+L1602*0.025)</f>
        <v/>
      </c>
      <c r="P1602" s="17">
        <f>32</f>
        <v/>
      </c>
      <c r="Q1602" s="17">
        <f>J1602+L1602+N1602+O1602-P1602-M1602</f>
        <v/>
      </c>
    </row>
    <row r="1603">
      <c r="A1603" s="16" t="inlineStr">
        <is>
          <t>5.15-5.21</t>
        </is>
      </c>
      <c r="B1603" s="16" t="inlineStr">
        <is>
          <t>PO-128-03565635692153738</t>
        </is>
      </c>
      <c r="C1603" s="16" t="inlineStr">
        <is>
          <t>Delivered</t>
        </is>
      </c>
      <c r="D1603" s="16" t="inlineStr">
        <is>
          <t>128-03565646177913738</t>
        </is>
      </c>
      <c r="E1603" s="16" t="inlineStr">
        <is>
          <t>Delivered</t>
        </is>
      </c>
      <c r="F1603" s="16" t="inlineStr">
        <is>
          <t>SA325T</t>
        </is>
      </c>
      <c r="G1603" s="16" t="inlineStr">
        <is>
          <t>Subwoofer Portátil Inalámbrico con Luces RGB, Sonido de Alta Potencia y Batería Duradera, TWS TF USB, Perfecto para Campamento Fiestas y Entretenimiento en Casa</t>
        </is>
      </c>
      <c r="H1603" s="16" t="inlineStr">
        <is>
          <t>NEGRO</t>
        </is>
      </c>
      <c r="I1603" s="16" t="n">
        <v>1</v>
      </c>
      <c r="J1603" s="17" t="n">
        <v>38</v>
      </c>
      <c r="K1603" s="17" t="n">
        <v>47.04</v>
      </c>
      <c r="L1603" s="17" t="n">
        <v>25.86</v>
      </c>
      <c r="M1603" s="17" t="n">
        <v>0</v>
      </c>
      <c r="N1603" s="17">
        <f>K1603*0.08+L1603*0.08</f>
        <v/>
      </c>
      <c r="O1603" s="17">
        <f>-(K1603*0.025+L1603*0.025)</f>
        <v/>
      </c>
      <c r="P1603" s="17">
        <f>32</f>
        <v/>
      </c>
      <c r="Q1603" s="17">
        <f>J1603+L1603+N1603+O1603-P1603-M1603</f>
        <v/>
      </c>
    </row>
    <row r="1604">
      <c r="A1604" s="16" t="inlineStr">
        <is>
          <t>5.15-5.21</t>
        </is>
      </c>
      <c r="B1604" s="16" t="inlineStr">
        <is>
          <t>PO-128-03705040384633037</t>
        </is>
      </c>
      <c r="C1604" s="16" t="inlineStr">
        <is>
          <t>Delivered</t>
        </is>
      </c>
      <c r="D1604" s="16" t="inlineStr">
        <is>
          <t>128-03704998441593037</t>
        </is>
      </c>
      <c r="E1604" s="16" t="inlineStr">
        <is>
          <t>Delivered</t>
        </is>
      </c>
      <c r="F1604" s="16" t="inlineStr">
        <is>
          <t>VA384T-A</t>
        </is>
      </c>
      <c r="G1604" s="16" t="inlineStr">
        <is>
          <t>Bocina Portátil Bluetooth de 3 Pulgadas con Radio FM, USB TF TWS, Sonido Estéreo 5W, Bocina Recargable para Hogar Exterior Viaje Fiesta Camping</t>
        </is>
      </c>
      <c r="H1604" s="16" t="inlineStr">
        <is>
          <t>AZUL</t>
        </is>
      </c>
      <c r="I1604" s="16" t="n">
        <v>1</v>
      </c>
      <c r="J1604" s="17" t="n">
        <v>47.99</v>
      </c>
      <c r="K1604" s="17" t="n">
        <v>58.7</v>
      </c>
      <c r="L1604" s="17" t="n">
        <v>25.86</v>
      </c>
      <c r="M1604" s="17" t="n">
        <v>0</v>
      </c>
      <c r="N1604" s="17">
        <f>K1604*0.08+L1604*0.08</f>
        <v/>
      </c>
      <c r="O1604" s="17">
        <f>-(K1604*0.025+L1604*0.025)</f>
        <v/>
      </c>
      <c r="P1604" s="17">
        <f>32</f>
        <v/>
      </c>
      <c r="Q1604" s="17">
        <f>J1604+L1604+N1604+O1604-P1604-M1604</f>
        <v/>
      </c>
    </row>
    <row r="1605">
      <c r="A1605" s="16" t="inlineStr">
        <is>
          <t>5.15-5.21</t>
        </is>
      </c>
      <c r="B1605" s="16" t="inlineStr">
        <is>
          <t>PO-128-03951267968631633</t>
        </is>
      </c>
      <c r="C1605" s="16" t="inlineStr">
        <is>
          <t>Delivered</t>
        </is>
      </c>
      <c r="D1605" s="16" t="inlineStr">
        <is>
          <t>128-03951246997111633</t>
        </is>
      </c>
      <c r="E1605" s="16" t="inlineStr">
        <is>
          <t>Delivered</t>
        </is>
      </c>
      <c r="F1605" s="16" t="inlineStr">
        <is>
          <t>MCM-001N</t>
        </is>
      </c>
      <c r="G1605" s="16" t="inlineStr">
        <is>
          <t>Musicord Altavoz Inalámbrico BT Portátil: ¡Sonido impactante, luces LED multicolores y 4 horas de autonomía! Compatible con TWS, FM, TF y USB – Imprescindible para fiestas y viajes</t>
        </is>
      </c>
      <c r="H1605" s="16" t="inlineStr">
        <is>
          <t>NEGRO</t>
        </is>
      </c>
      <c r="I1605" s="16" t="n">
        <v>1</v>
      </c>
      <c r="J1605" s="17" t="n">
        <v>61</v>
      </c>
      <c r="K1605" s="17" t="n">
        <v>68.79000000000001</v>
      </c>
      <c r="L1605" s="17" t="n">
        <v>25.86</v>
      </c>
      <c r="M1605" s="17" t="n">
        <v>0</v>
      </c>
      <c r="N1605" s="17">
        <f>K1605*0.08+L1605*0.08</f>
        <v/>
      </c>
      <c r="O1605" s="17">
        <f>-(K1605*0.025+L1605*0.025)</f>
        <v/>
      </c>
      <c r="P1605" s="17">
        <f>32</f>
        <v/>
      </c>
      <c r="Q1605" s="17">
        <f>J1605+L1605+N1605+O1605-P1605-M1605</f>
        <v/>
      </c>
    </row>
    <row r="1606">
      <c r="A1606" s="16" t="inlineStr">
        <is>
          <t>5.15-5.21</t>
        </is>
      </c>
      <c r="B1606" s="16" t="inlineStr">
        <is>
          <t>PO-128-18470595584630915</t>
        </is>
      </c>
      <c r="C1606" s="16" t="inlineStr">
        <is>
          <t>Delivered</t>
        </is>
      </c>
      <c r="D1606" s="16" t="inlineStr">
        <is>
          <t>128-18470637527670915</t>
        </is>
      </c>
      <c r="E1606" s="16" t="inlineStr">
        <is>
          <t>Delivered</t>
        </is>
      </c>
      <c r="F1606" s="16" t="inlineStr">
        <is>
          <t>MCM-001R</t>
        </is>
      </c>
      <c r="G1606" s="16" t="inlineStr">
        <is>
          <t>Musicord Altavoz Inalámbrico BT Portátil: ¡Sonido impactante, luces LED multicolores y 4 horas de autonomía! Compatible con TWS, FM, TF y USB – Imprescindible para fiestas y viajes</t>
        </is>
      </c>
      <c r="H1606" s="16" t="inlineStr">
        <is>
          <t>ROJO</t>
        </is>
      </c>
      <c r="I1606" s="16" t="n">
        <v>1</v>
      </c>
      <c r="J1606" s="17" t="n">
        <v>66.5</v>
      </c>
      <c r="K1606" s="17" t="n">
        <v>74.29000000000001</v>
      </c>
      <c r="L1606" s="17" t="n">
        <v>25.86</v>
      </c>
      <c r="M1606" s="17" t="n">
        <v>0</v>
      </c>
      <c r="N1606" s="17">
        <f>K1606*0.08+L1606*0.08</f>
        <v/>
      </c>
      <c r="O1606" s="17">
        <f>-(K1606*0.025+L1606*0.025)</f>
        <v/>
      </c>
      <c r="P1606" s="17">
        <f>32</f>
        <v/>
      </c>
      <c r="Q1606" s="17">
        <f>J1606+L1606+N1606+O1606-P1606-M1606</f>
        <v/>
      </c>
    </row>
    <row r="1607">
      <c r="A1607" s="16" t="inlineStr">
        <is>
          <t>5.15-5.21</t>
        </is>
      </c>
      <c r="B1607" s="16" t="inlineStr">
        <is>
          <t>PO-128-18092349778552208</t>
        </is>
      </c>
      <c r="C1607" s="16" t="inlineStr">
        <is>
          <t>Delivered</t>
        </is>
      </c>
      <c r="D1607" s="16" t="inlineStr">
        <is>
          <t>128-18092375992952208</t>
        </is>
      </c>
      <c r="E1607" s="16" t="inlineStr">
        <is>
          <t>Delivered</t>
        </is>
      </c>
      <c r="F1607" s="16" t="inlineStr">
        <is>
          <t>SA323T</t>
        </is>
      </c>
      <c r="G1607" s="16" t="inlineStr">
        <is>
          <t>Linkbits Bocina Portátil Parlantes BT Portátiles con Iluminación de Ambiente | 1 Hora de Duración, FM, TWS, TF/Micro SD | Ideal para Hogar, Fiestas y Viajes</t>
        </is>
      </c>
      <c r="H1607" s="16" t="inlineStr">
        <is>
          <t>SA323T</t>
        </is>
      </c>
      <c r="I1607" s="16" t="n">
        <v>1</v>
      </c>
      <c r="J1607" s="17" t="n">
        <v>46</v>
      </c>
      <c r="K1607" s="17" t="n">
        <v>44.04</v>
      </c>
      <c r="L1607" s="17" t="n">
        <v>25.86</v>
      </c>
      <c r="M1607" s="17" t="n">
        <v>0</v>
      </c>
      <c r="N1607" s="17">
        <f>K1607*0.08+L1607*0.08</f>
        <v/>
      </c>
      <c r="O1607" s="17">
        <f>-(K1607*0.025+L1607*0.025)</f>
        <v/>
      </c>
      <c r="P1607" s="17">
        <f>32</f>
        <v/>
      </c>
      <c r="Q1607" s="17">
        <f>J1607+L1607+N1607+O1607-P1607-M1607</f>
        <v/>
      </c>
    </row>
    <row r="1608">
      <c r="A1608" s="16" t="inlineStr">
        <is>
          <t>5.15-5.21</t>
        </is>
      </c>
      <c r="B1608" s="16" t="inlineStr">
        <is>
          <t>PO-128-18248228465271345</t>
        </is>
      </c>
      <c r="C1608" s="16" t="inlineStr">
        <is>
          <t>Delivered</t>
        </is>
      </c>
      <c r="D1608" s="16" t="inlineStr">
        <is>
          <t>128-18248186522231345</t>
        </is>
      </c>
      <c r="E1608" s="16" t="inlineStr">
        <is>
          <t>Delivered</t>
        </is>
      </c>
      <c r="F1608" s="16" t="inlineStr">
        <is>
          <t>MB-185A</t>
        </is>
      </c>
      <c r="G1608" s="16" t="inlineStr">
        <is>
          <t>Bocina Radio FM/Reproductor, Compatible con Tarjeta TF, USB, Bluetooth, Aplicable para celular, computadora, Ipad y consola.</t>
        </is>
      </c>
      <c r="H1608" s="16" t="inlineStr">
        <is>
          <t>AZUL/MB-185</t>
        </is>
      </c>
      <c r="I1608" s="16" t="n">
        <v>1</v>
      </c>
      <c r="J1608" s="17" t="n">
        <v>75.5</v>
      </c>
      <c r="K1608" s="17" t="n">
        <v>88.44</v>
      </c>
      <c r="L1608" s="17" t="n">
        <v>25.86</v>
      </c>
      <c r="M1608" s="17" t="n">
        <v>0</v>
      </c>
      <c r="N1608" s="17">
        <f>K1608*0.08+L1608*0.08</f>
        <v/>
      </c>
      <c r="O1608" s="17">
        <f>-(K1608*0.025+L1608*0.025)</f>
        <v/>
      </c>
      <c r="P1608" s="17">
        <f>32</f>
        <v/>
      </c>
      <c r="Q1608" s="17">
        <f>J1608+L1608+N1608+O1608-P1608-M1608</f>
        <v/>
      </c>
    </row>
    <row r="1609">
      <c r="A1609" s="16" t="inlineStr">
        <is>
          <t>5.15-5.21</t>
        </is>
      </c>
      <c r="B1609" s="16" t="inlineStr">
        <is>
          <t>PO-128-18501535560310859</t>
        </is>
      </c>
      <c r="C1609" s="16" t="inlineStr">
        <is>
          <t>Delivered</t>
        </is>
      </c>
      <c r="D1609" s="16" t="inlineStr">
        <is>
          <t>128-18501556531830859</t>
        </is>
      </c>
      <c r="E1609" s="16" t="inlineStr">
        <is>
          <t>Delivered</t>
        </is>
      </c>
      <c r="F1609" s="16" t="inlineStr">
        <is>
          <t>VB347T</t>
        </is>
      </c>
      <c r="G160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609" s="16" t="inlineStr">
        <is>
          <t>1 pieza</t>
        </is>
      </c>
      <c r="I1609" s="16" t="n">
        <v>1</v>
      </c>
      <c r="J1609" s="17" t="n">
        <v>79.90000000000001</v>
      </c>
      <c r="K1609" s="17" t="n">
        <v>94.5</v>
      </c>
      <c r="L1609" s="17" t="n">
        <v>25.86</v>
      </c>
      <c r="M1609" s="17" t="n">
        <v>0</v>
      </c>
      <c r="N1609" s="17">
        <f>K1609*0.08+L1609*0.08</f>
        <v/>
      </c>
      <c r="O1609" s="17">
        <f>-(K1609*0.025+L1609*0.025)</f>
        <v/>
      </c>
      <c r="P1609" s="17">
        <f>32</f>
        <v/>
      </c>
      <c r="Q1609" s="17">
        <f>J1609+L1609+N1609+O1609-P1609-M1609</f>
        <v/>
      </c>
    </row>
    <row r="1610">
      <c r="A1610" s="16" t="inlineStr">
        <is>
          <t>5.15-5.21</t>
        </is>
      </c>
      <c r="B1610" s="16" t="inlineStr">
        <is>
          <t>PO-128-17922511278713284</t>
        </is>
      </c>
      <c r="C1610" s="16" t="inlineStr">
        <is>
          <t>Delivered</t>
        </is>
      </c>
      <c r="D1610" s="16" t="inlineStr">
        <is>
          <t>128-17922479821433284</t>
        </is>
      </c>
      <c r="E1610" s="16" t="inlineStr">
        <is>
          <t>Delivered</t>
        </is>
      </c>
      <c r="F1610" s="16" t="inlineStr">
        <is>
          <t>LV25W22</t>
        </is>
      </c>
      <c r="G16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10" s="16" t="inlineStr">
        <is>
          <t>LV25W32</t>
        </is>
      </c>
      <c r="I1610" s="16" t="n">
        <v>1</v>
      </c>
      <c r="J1610" s="17" t="n">
        <v>90.43000000000001</v>
      </c>
      <c r="K1610" s="17" t="n">
        <v>100.84</v>
      </c>
      <c r="L1610" s="17" t="n">
        <v>25.86</v>
      </c>
      <c r="M1610" s="17" t="n">
        <v>0</v>
      </c>
      <c r="N1610" s="17">
        <f>K1610*0.08+L1610*0.08</f>
        <v/>
      </c>
      <c r="O1610" s="17">
        <f>-(K1610*0.025+L1610*0.025)</f>
        <v/>
      </c>
      <c r="P1610" s="17">
        <f>32</f>
        <v/>
      </c>
      <c r="Q1610" s="17">
        <f>J1610+L1610+N1610+O1610-P1610-M1610</f>
        <v/>
      </c>
    </row>
    <row r="1611">
      <c r="A1611" s="16" t="inlineStr">
        <is>
          <t>5.15-5.21</t>
        </is>
      </c>
      <c r="B1611" s="16" t="inlineStr">
        <is>
          <t>PO-128-18182932951672756</t>
        </is>
      </c>
      <c r="C1611" s="16" t="inlineStr">
        <is>
          <t>Delivered</t>
        </is>
      </c>
      <c r="D1611" s="16" t="inlineStr">
        <is>
          <t>128-18182953923192756</t>
        </is>
      </c>
      <c r="E1611" s="16" t="inlineStr">
        <is>
          <t>Delivered</t>
        </is>
      </c>
      <c r="F1611" s="16" t="inlineStr">
        <is>
          <t>KTS-1678V</t>
        </is>
      </c>
      <c r="G1611" s="16" t="inlineStr">
        <is>
          <t>Bocina portátil Inalámbrico, de 3 pulgadas, tamaño de bolsillo, 170 g, con asa, compatible con TF, USB y Micro SD, con radio FM y función TWS (True Wireless Stereo), adecuada para relajarse en casa o viajar al aire libre.</t>
        </is>
      </c>
      <c r="H1611" s="16" t="inlineStr">
        <is>
          <t>KTS-1678V</t>
        </is>
      </c>
      <c r="I1611" s="16" t="n">
        <v>1</v>
      </c>
      <c r="J1611" s="17" t="n">
        <v>42.5</v>
      </c>
      <c r="K1611" s="17" t="n">
        <v>50.78</v>
      </c>
      <c r="L1611" s="17" t="n">
        <v>25.86</v>
      </c>
      <c r="M1611" s="17" t="n">
        <v>0</v>
      </c>
      <c r="N1611" s="17">
        <f>K1611*0.08+L1611*0.08</f>
        <v/>
      </c>
      <c r="O1611" s="17">
        <f>-(K1611*0.025+L1611*0.025)</f>
        <v/>
      </c>
      <c r="P1611" s="17">
        <f>32</f>
        <v/>
      </c>
      <c r="Q1611" s="17">
        <f>J1611+L1611+N1611+O1611-P1611-M1611</f>
        <v/>
      </c>
    </row>
    <row r="1612">
      <c r="A1612" s="16" t="inlineStr">
        <is>
          <t>5.15-5.21</t>
        </is>
      </c>
      <c r="B1612" s="16" t="inlineStr">
        <is>
          <t>PO-128-17895312507513382</t>
        </is>
      </c>
      <c r="C1612" s="16" t="inlineStr">
        <is>
          <t>Delivered</t>
        </is>
      </c>
      <c r="D1612" s="16" t="inlineStr">
        <is>
          <t>128-17895322993273382</t>
        </is>
      </c>
      <c r="E1612" s="16" t="inlineStr">
        <is>
          <t>Delivered</t>
        </is>
      </c>
      <c r="F1612" s="16" t="inlineStr">
        <is>
          <t>MB-185R</t>
        </is>
      </c>
      <c r="G1612" s="16" t="inlineStr">
        <is>
          <t>Bocina Radio FM/Reproductor, Compatible con Tarjeta TF, USB, Bluetooth, Aplicable para celular, computadora, Ipad y consola.</t>
        </is>
      </c>
      <c r="H1612" s="16" t="inlineStr">
        <is>
          <t>ROJO/MB-185</t>
        </is>
      </c>
      <c r="I1612" s="16" t="n">
        <v>1</v>
      </c>
      <c r="J1612" s="17" t="n">
        <v>74</v>
      </c>
      <c r="K1612" s="17" t="n">
        <v>86.94</v>
      </c>
      <c r="L1612" s="17" t="n">
        <v>25.86</v>
      </c>
      <c r="M1612" s="17" t="n">
        <v>0</v>
      </c>
      <c r="N1612" s="17">
        <f>K1612*0.08+L1612*0.08</f>
        <v/>
      </c>
      <c r="O1612" s="17">
        <f>-(K1612*0.025+L1612*0.025)</f>
        <v/>
      </c>
      <c r="P1612" s="17">
        <f>32</f>
        <v/>
      </c>
      <c r="Q1612" s="17">
        <f>J1612+L1612+N1612+O1612-P1612-M1612</f>
        <v/>
      </c>
    </row>
    <row r="1613">
      <c r="A1613" s="16" t="inlineStr">
        <is>
          <t>5.15-5.21</t>
        </is>
      </c>
      <c r="B1613" s="16" t="inlineStr">
        <is>
          <t>PO-128-18141923748473064</t>
        </is>
      </c>
      <c r="C1613" s="16" t="inlineStr">
        <is>
          <t>Delivered</t>
        </is>
      </c>
      <c r="D1613" s="16" t="inlineStr">
        <is>
          <t>128-18141949962873064</t>
        </is>
      </c>
      <c r="E1613" s="16" t="inlineStr">
        <is>
          <t>Delivered</t>
        </is>
      </c>
      <c r="F1613" s="16" t="inlineStr">
        <is>
          <t>MCM-001R</t>
        </is>
      </c>
      <c r="G1613" s="16" t="inlineStr">
        <is>
          <t>Musicord Altavoz Inalámbrico BT Portátil: ¡Sonido impactante, luces LED multicolores y 4 horas de autonomía! Compatible con TWS, FM, TF y USB – Imprescindible para fiestas y viajes</t>
        </is>
      </c>
      <c r="H1613" s="16" t="inlineStr">
        <is>
          <t>ROJO</t>
        </is>
      </c>
      <c r="I1613" s="16" t="n">
        <v>1</v>
      </c>
      <c r="J1613" s="17" t="n">
        <v>66.5</v>
      </c>
      <c r="K1613" s="17" t="n">
        <v>74.29000000000001</v>
      </c>
      <c r="L1613" s="17" t="n">
        <v>25.86</v>
      </c>
      <c r="M1613" s="17" t="n">
        <v>0</v>
      </c>
      <c r="N1613" s="17">
        <f>K1613*0.08+L1613*0.08</f>
        <v/>
      </c>
      <c r="O1613" s="17">
        <f>-(K1613*0.025+L1613*0.025)</f>
        <v/>
      </c>
      <c r="P1613" s="17">
        <f>32</f>
        <v/>
      </c>
      <c r="Q1613" s="17">
        <f>J1613+L1613+N1613+O1613-P1613-M1613</f>
        <v/>
      </c>
    </row>
    <row r="1614">
      <c r="A1614" s="16" t="inlineStr">
        <is>
          <t>5.15-5.21</t>
        </is>
      </c>
      <c r="B1614" s="16" t="inlineStr">
        <is>
          <t>PO-128-18082322821752205</t>
        </is>
      </c>
      <c r="C1614" s="16" t="inlineStr">
        <is>
          <t>Delivered</t>
        </is>
      </c>
      <c r="D1614" s="16" t="inlineStr">
        <is>
          <t>128-18082474865272205</t>
        </is>
      </c>
      <c r="E1614" s="16" t="inlineStr">
        <is>
          <t>Delivered</t>
        </is>
      </c>
      <c r="F1614" s="16" t="inlineStr">
        <is>
          <t>LB02235-negro</t>
        </is>
      </c>
      <c r="G1614" s="16" t="inlineStr">
        <is>
          <t>Audífonos Inalámbricos para la Cabeza, Recargables y Multifuncionales - Conectan a Varios Dispositivos, soportan Radio FM, Tarjeta TF y AUX - 4 Horas de Reproducción Musical - Ideal para Trabajo Cotidiano, Juegos y Estudio</t>
        </is>
      </c>
      <c r="H1614" s="16" t="inlineStr">
        <is>
          <t>NEGRO</t>
        </is>
      </c>
      <c r="I1614" s="16" t="n">
        <v>1</v>
      </c>
      <c r="J1614" s="17" t="n">
        <v>36.8</v>
      </c>
      <c r="K1614" s="17" t="n">
        <v>49.91</v>
      </c>
      <c r="L1614" s="17" t="n">
        <v>0</v>
      </c>
      <c r="M1614" s="17" t="n">
        <v>49.91</v>
      </c>
      <c r="N1614" s="17">
        <f>K1614*0.08+L1614*0.08</f>
        <v/>
      </c>
      <c r="O1614" s="17">
        <f>-(K1614*0.025+L1614*0.025)</f>
        <v/>
      </c>
      <c r="P1614" s="17">
        <f>32</f>
        <v/>
      </c>
      <c r="Q1614" s="17">
        <f>J1614+L1614+N1614+O1614-P1614-M1614</f>
        <v/>
      </c>
    </row>
    <row r="1615">
      <c r="A1615" s="16" t="inlineStr">
        <is>
          <t>5.15-5.21</t>
        </is>
      </c>
      <c r="B1615" s="16" t="inlineStr">
        <is>
          <t>PO-128-18451349038710004</t>
        </is>
      </c>
      <c r="C1615" s="16" t="inlineStr">
        <is>
          <t>Delivered</t>
        </is>
      </c>
      <c r="D1615" s="16" t="inlineStr">
        <is>
          <t>128-18451406710390004</t>
        </is>
      </c>
      <c r="E1615" s="16" t="inlineStr">
        <is>
          <t>Delivered</t>
        </is>
      </c>
      <c r="F1615" s="16" t="inlineStr">
        <is>
          <t>S09W18IB-8PZS</t>
        </is>
      </c>
      <c r="G161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15" s="16" t="inlineStr">
        <is>
          <t>8 piezas</t>
        </is>
      </c>
      <c r="I1615" s="16" t="n">
        <v>1</v>
      </c>
      <c r="J1615" s="17" t="n">
        <v>227.56</v>
      </c>
      <c r="K1615" s="17" t="n">
        <v>187.93</v>
      </c>
      <c r="L1615" s="17" t="n">
        <v>0</v>
      </c>
      <c r="M1615" s="17" t="n">
        <v>0</v>
      </c>
      <c r="N1615" s="17">
        <f>K1615*0.08+L1615*0.08</f>
        <v/>
      </c>
      <c r="O1615" s="17">
        <f>-(K1615*0.025+L1615*0.025)</f>
        <v/>
      </c>
      <c r="P1615" s="17">
        <f>32</f>
        <v/>
      </c>
      <c r="Q1615" s="17">
        <f>J1615+L1615+N1615+O1615-P1615-M1615</f>
        <v/>
      </c>
    </row>
    <row r="1616">
      <c r="A1616" s="16" t="inlineStr">
        <is>
          <t>5.15-5.21</t>
        </is>
      </c>
      <c r="B1616" s="16" t="inlineStr">
        <is>
          <t>PO-128-17910456036473228</t>
        </is>
      </c>
      <c r="C1616" s="16" t="inlineStr">
        <is>
          <t>Delivered</t>
        </is>
      </c>
      <c r="D1616" s="16" t="inlineStr">
        <is>
          <t>128-17910435064953228</t>
        </is>
      </c>
      <c r="E1616" s="16" t="inlineStr">
        <is>
          <t>Delivered</t>
        </is>
      </c>
      <c r="F1616" s="16" t="inlineStr">
        <is>
          <t>LV25W22</t>
        </is>
      </c>
      <c r="G16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16" s="16" t="inlineStr">
        <is>
          <t>LV25W32</t>
        </is>
      </c>
      <c r="I1616" s="16" t="n">
        <v>1</v>
      </c>
      <c r="J1616" s="17" t="n">
        <v>90.43000000000001</v>
      </c>
      <c r="K1616" s="17" t="n">
        <v>76.63</v>
      </c>
      <c r="L1616" s="17" t="n">
        <v>25.86</v>
      </c>
      <c r="M1616" s="17" t="n">
        <v>0</v>
      </c>
      <c r="N1616" s="17">
        <f>K1616*0.08+L1616*0.08</f>
        <v/>
      </c>
      <c r="O1616" s="17">
        <f>-(K1616*0.025+L1616*0.025)</f>
        <v/>
      </c>
      <c r="P1616" s="17">
        <f>32</f>
        <v/>
      </c>
      <c r="Q1616" s="17">
        <f>J1616+L1616+N1616+O1616-P1616-M1616</f>
        <v/>
      </c>
    </row>
    <row r="1617">
      <c r="A1617" s="16" t="inlineStr">
        <is>
          <t>5.15-5.21</t>
        </is>
      </c>
      <c r="B1617" s="16" t="inlineStr">
        <is>
          <t>PO-128-18345762570871723</t>
        </is>
      </c>
      <c r="C1617" s="16" t="inlineStr">
        <is>
          <t>Delivered</t>
        </is>
      </c>
      <c r="D1617" s="16" t="inlineStr">
        <is>
          <t>128-18345804513911723</t>
        </is>
      </c>
      <c r="E1617" s="16" t="inlineStr">
        <is>
          <t>Delivered</t>
        </is>
      </c>
      <c r="F1617" s="16" t="inlineStr">
        <is>
          <t>LV25W22</t>
        </is>
      </c>
      <c r="G16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17" s="16" t="inlineStr">
        <is>
          <t>LV25W32</t>
        </is>
      </c>
      <c r="I1617" s="16" t="n">
        <v>2</v>
      </c>
      <c r="J1617" s="17" t="n">
        <v>180.86</v>
      </c>
      <c r="K1617" s="17" t="n">
        <v>201.68</v>
      </c>
      <c r="L1617" s="17" t="n">
        <v>25.86</v>
      </c>
      <c r="M1617" s="17" t="n">
        <v>0</v>
      </c>
      <c r="N1617" s="17">
        <f>K1617*0.08+L1617*0.08</f>
        <v/>
      </c>
      <c r="O1617" s="17">
        <f>-(K1617*0.025+L1617*0.025)</f>
        <v/>
      </c>
      <c r="P1617" s="17">
        <f>32</f>
        <v/>
      </c>
      <c r="Q1617" s="17">
        <f>J1617+L1617+N1617+O1617-P1617-M1617</f>
        <v/>
      </c>
    </row>
    <row r="1618">
      <c r="A1618" s="16" t="inlineStr">
        <is>
          <t>5.15-5.21</t>
        </is>
      </c>
      <c r="B1618" s="16" t="inlineStr">
        <is>
          <t>PO-128-18068858972792348</t>
        </is>
      </c>
      <c r="C1618" s="16" t="inlineStr">
        <is>
          <t>Delivered</t>
        </is>
      </c>
      <c r="D1618" s="16" t="inlineStr">
        <is>
          <t>128-18068817029752348</t>
        </is>
      </c>
      <c r="E1618" s="16" t="inlineStr">
        <is>
          <t>Delivered</t>
        </is>
      </c>
      <c r="F1618" s="16" t="inlineStr">
        <is>
          <t>MCM-001R</t>
        </is>
      </c>
      <c r="G1618" s="16" t="inlineStr">
        <is>
          <t>Musicord Altavoz Inalámbrico BT Portátil: ¡Sonido impactante, luces LED multicolores y 4 horas de autonomía! Compatible con TWS, FM, TF y USB – Imprescindible para fiestas y viajes</t>
        </is>
      </c>
      <c r="H1618" s="16" t="inlineStr">
        <is>
          <t>ROJO</t>
        </is>
      </c>
      <c r="I1618" s="16" t="n">
        <v>1</v>
      </c>
      <c r="J1618" s="17" t="n">
        <v>66.5</v>
      </c>
      <c r="K1618" s="17" t="n">
        <v>74.29000000000001</v>
      </c>
      <c r="L1618" s="17" t="n">
        <v>25.86</v>
      </c>
      <c r="M1618" s="17" t="n">
        <v>0</v>
      </c>
      <c r="N1618" s="17">
        <f>K1618*0.08+L1618*0.08</f>
        <v/>
      </c>
      <c r="O1618" s="17">
        <f>-(K1618*0.025+L1618*0.025)</f>
        <v/>
      </c>
      <c r="P1618" s="17">
        <f>32</f>
        <v/>
      </c>
      <c r="Q1618" s="17">
        <f>J1618+L1618+N1618+O1618-P1618-M1618</f>
        <v/>
      </c>
    </row>
    <row r="1619">
      <c r="A1619" s="16" t="inlineStr">
        <is>
          <t>5.15-5.21</t>
        </is>
      </c>
      <c r="B1619" s="16" t="inlineStr">
        <is>
          <t>PO-128-17949028598393190</t>
        </is>
      </c>
      <c r="C1619" s="16" t="inlineStr">
        <is>
          <t>Delivered</t>
        </is>
      </c>
      <c r="D1619" s="16" t="inlineStr">
        <is>
          <t>128-17949054812793190</t>
        </is>
      </c>
      <c r="E1619" s="16" t="inlineStr">
        <is>
          <t>Delivered</t>
        </is>
      </c>
      <c r="F1619" s="16" t="inlineStr">
        <is>
          <t>VA384T-G</t>
        </is>
      </c>
      <c r="G1619" s="16" t="inlineStr">
        <is>
          <t>Bocina Portátil Bluetooth de 3 Pulgadas con Radio FM, USB TF TWS, Sonido Estéreo 5W, Bocina Recargable para Hogar Exterior Viaje Fiesta Camping</t>
        </is>
      </c>
      <c r="H1619" s="16" t="inlineStr">
        <is>
          <t>GRIS</t>
        </is>
      </c>
      <c r="I1619" s="16" t="n">
        <v>1</v>
      </c>
      <c r="J1619" s="17" t="n">
        <v>49</v>
      </c>
      <c r="K1619" s="17" t="n">
        <v>59.72</v>
      </c>
      <c r="L1619" s="17" t="n">
        <v>25.86</v>
      </c>
      <c r="M1619" s="17" t="n">
        <v>0</v>
      </c>
      <c r="N1619" s="17">
        <f>K1619*0.08+L1619*0.08</f>
        <v/>
      </c>
      <c r="O1619" s="17">
        <f>-(K1619*0.025+L1619*0.025)</f>
        <v/>
      </c>
      <c r="P1619" s="17">
        <f>32</f>
        <v/>
      </c>
      <c r="Q1619" s="17">
        <f>J1619+L1619+N1619+O1619-P1619-M1619</f>
        <v/>
      </c>
    </row>
    <row r="1620">
      <c r="A1620" s="16" t="inlineStr">
        <is>
          <t>5.15-5.21</t>
        </is>
      </c>
      <c r="B1620" s="16" t="inlineStr">
        <is>
          <t>PO-128-17867765822073482</t>
        </is>
      </c>
      <c r="C1620" s="16" t="inlineStr">
        <is>
          <t>Delivered</t>
        </is>
      </c>
      <c r="D1620" s="16" t="inlineStr">
        <is>
          <t>128-17867870679673482</t>
        </is>
      </c>
      <c r="E1620" s="16" t="inlineStr">
        <is>
          <t>Delivered</t>
        </is>
      </c>
      <c r="F1620" s="16" t="inlineStr">
        <is>
          <t>MCM-001N</t>
        </is>
      </c>
      <c r="G1620" s="16" t="inlineStr">
        <is>
          <t>Musicord Altavoz Inalámbrico BT Portátil: ¡Sonido impactante, luces LED multicolores y 4 horas de autonomía! Compatible con TWS, FM, TF y USB – Imprescindible para fiestas y viajes</t>
        </is>
      </c>
      <c r="H1620" s="16" t="inlineStr">
        <is>
          <t>NEGRO</t>
        </is>
      </c>
      <c r="I1620" s="16" t="n">
        <v>1</v>
      </c>
      <c r="J1620" s="17" t="n">
        <v>61</v>
      </c>
      <c r="K1620" s="17" t="n">
        <v>68.79000000000001</v>
      </c>
      <c r="L1620" s="17" t="n">
        <v>25.86</v>
      </c>
      <c r="M1620" s="17" t="n">
        <v>0</v>
      </c>
      <c r="N1620" s="17">
        <f>K1620*0.08+L1620*0.08</f>
        <v/>
      </c>
      <c r="O1620" s="17">
        <f>-(K1620*0.025+L1620*0.025)</f>
        <v/>
      </c>
      <c r="P1620" s="17">
        <f>32</f>
        <v/>
      </c>
      <c r="Q1620" s="17">
        <f>J1620+L1620+N1620+O1620-P1620-M1620</f>
        <v/>
      </c>
    </row>
    <row r="1621">
      <c r="A1621" s="16" t="inlineStr">
        <is>
          <t>5.15-5.21</t>
        </is>
      </c>
      <c r="B1621" s="16" t="inlineStr">
        <is>
          <t>PO-128-17939266857593120</t>
        </is>
      </c>
      <c r="C1621" s="16" t="inlineStr">
        <is>
          <t>Delivered</t>
        </is>
      </c>
      <c r="D1621" s="16" t="inlineStr">
        <is>
          <t>128-17939224914553120</t>
        </is>
      </c>
      <c r="E1621" s="16" t="inlineStr">
        <is>
          <t>Delivered</t>
        </is>
      </c>
      <c r="F1621" s="16" t="inlineStr">
        <is>
          <t>MCM-001G</t>
        </is>
      </c>
      <c r="G1621" s="16" t="inlineStr">
        <is>
          <t>Musicord Altavoz Inalámbrico BT Portátil: ¡Sonido impactante, luces LED multicolores y 4 horas de autonomía! Compatible con TWS, FM, TF y USB – Imprescindible para fiestas y viajes</t>
        </is>
      </c>
      <c r="H1621" s="16" t="inlineStr">
        <is>
          <t>GRIS</t>
        </is>
      </c>
      <c r="I1621" s="16" t="n">
        <v>1</v>
      </c>
      <c r="J1621" s="17" t="n">
        <v>51.07</v>
      </c>
      <c r="K1621" s="17" t="n">
        <v>58.86</v>
      </c>
      <c r="L1621" s="17" t="n">
        <v>25.86</v>
      </c>
      <c r="M1621" s="17" t="n">
        <v>0</v>
      </c>
      <c r="N1621" s="17">
        <f>K1621*0.08+L1621*0.08</f>
        <v/>
      </c>
      <c r="O1621" s="17">
        <f>-(K1621*0.025+L1621*0.025)</f>
        <v/>
      </c>
      <c r="P1621" s="17">
        <f>32</f>
        <v/>
      </c>
      <c r="Q1621" s="17">
        <f>J1621+L1621+N1621+O1621-P1621-M1621</f>
        <v/>
      </c>
    </row>
    <row r="1622">
      <c r="A1622" s="16" t="inlineStr">
        <is>
          <t>5.15-5.21</t>
        </is>
      </c>
      <c r="B1622" s="16" t="inlineStr">
        <is>
          <t>PO-128-18050134078072525</t>
        </is>
      </c>
      <c r="C1622" s="16" t="inlineStr">
        <is>
          <t>Delivered</t>
        </is>
      </c>
      <c r="D1622" s="16" t="inlineStr">
        <is>
          <t>128-18050128835192525</t>
        </is>
      </c>
      <c r="E1622" s="16" t="inlineStr">
        <is>
          <t>Delivered</t>
        </is>
      </c>
      <c r="F1622" s="16" t="inlineStr">
        <is>
          <t>VA384T-A</t>
        </is>
      </c>
      <c r="G1622" s="16" t="inlineStr">
        <is>
          <t>Bocina Portátil Bluetooth de 3 Pulgadas con Radio FM, USB TF TWS, Sonido Estéreo 5W, Bocina Recargable para Hogar Exterior Viaje Fiesta Camping</t>
        </is>
      </c>
      <c r="H1622" s="16" t="inlineStr">
        <is>
          <t>AZUL</t>
        </is>
      </c>
      <c r="I1622" s="16" t="n">
        <v>1</v>
      </c>
      <c r="J1622" s="17" t="n">
        <v>47.99</v>
      </c>
      <c r="K1622" s="17" t="n">
        <v>58.7</v>
      </c>
      <c r="L1622" s="17" t="n">
        <v>0</v>
      </c>
      <c r="M1622" s="17" t="n">
        <v>0</v>
      </c>
      <c r="N1622" s="17">
        <f>K1622*0.08+L1622*0.08</f>
        <v/>
      </c>
      <c r="O1622" s="17">
        <f>-(K1622*0.025+L1622*0.025)</f>
        <v/>
      </c>
      <c r="P1622" s="17">
        <f>32</f>
        <v/>
      </c>
      <c r="Q1622" s="17">
        <f>J1622+L1622+N1622+O1622-P1622-M1622</f>
        <v/>
      </c>
    </row>
    <row r="1623">
      <c r="A1623" s="16" t="inlineStr">
        <is>
          <t>5.15-5.21</t>
        </is>
      </c>
      <c r="B1623" s="16" t="inlineStr">
        <is>
          <t>PO-128-18050134078072525</t>
        </is>
      </c>
      <c r="C1623" s="16" t="inlineStr">
        <is>
          <t>Delivered</t>
        </is>
      </c>
      <c r="D1623" s="16" t="inlineStr">
        <is>
          <t>128-18050118349432525</t>
        </is>
      </c>
      <c r="E1623" s="16" t="inlineStr">
        <is>
          <t>Delivered</t>
        </is>
      </c>
      <c r="F1623" s="16" t="inlineStr">
        <is>
          <t>LB02235-blanco</t>
        </is>
      </c>
      <c r="G1623" s="16" t="inlineStr">
        <is>
          <t>Audífonos Inalámbricos para la Cabeza, Recargables y Multifuncionales - Conectan a Varios Dispositivos, soportan Radio FM, Tarjeta TF y AUX - 4 Horas de Reproducción Musical - Ideal para Trabajo Cotidiano, Juegos y Estudio</t>
        </is>
      </c>
      <c r="H1623" s="16" t="inlineStr">
        <is>
          <t>BLANCO</t>
        </is>
      </c>
      <c r="I1623" s="16" t="n">
        <v>1</v>
      </c>
      <c r="J1623" s="17" t="n">
        <v>37.71</v>
      </c>
      <c r="K1623" s="17" t="n">
        <v>50.82</v>
      </c>
      <c r="L1623" s="17" t="n">
        <v>0</v>
      </c>
      <c r="M1623" s="17" t="n">
        <v>0</v>
      </c>
      <c r="N1623" s="17">
        <f>K1623*0.08+L1623*0.08</f>
        <v/>
      </c>
      <c r="O1623" s="17">
        <f>-(K1623*0.025+L1623*0.025)</f>
        <v/>
      </c>
      <c r="P1623" s="17">
        <f>32</f>
        <v/>
      </c>
      <c r="Q1623" s="17">
        <f>J1623+L1623+N1623+O1623-P1623-M1623</f>
        <v/>
      </c>
    </row>
    <row r="1624">
      <c r="A1624" s="16" t="inlineStr">
        <is>
          <t>5.15-5.21</t>
        </is>
      </c>
      <c r="B1624" s="16" t="inlineStr">
        <is>
          <t>PO-128-18050134078072525</t>
        </is>
      </c>
      <c r="C1624" s="16" t="inlineStr">
        <is>
          <t>Delivered</t>
        </is>
      </c>
      <c r="D1624" s="16" t="inlineStr">
        <is>
          <t>128-18050149806712525</t>
        </is>
      </c>
      <c r="E1624" s="16" t="inlineStr">
        <is>
          <t>Delivered</t>
        </is>
      </c>
      <c r="F1624" s="16" t="inlineStr">
        <is>
          <t>SA325T</t>
        </is>
      </c>
      <c r="G1624" s="16" t="inlineStr">
        <is>
          <t>Subwoofer Portátil Inalámbrico con Luces RGB, Sonido de Alta Potencia y Batería Duradera, TWS TF USB, Perfecto para Campamento Fiestas y Entretenimiento en Casa</t>
        </is>
      </c>
      <c r="H1624" s="16" t="inlineStr">
        <is>
          <t>NEGRO</t>
        </is>
      </c>
      <c r="I1624" s="16" t="n">
        <v>2</v>
      </c>
      <c r="J1624" s="17" t="n">
        <v>76</v>
      </c>
      <c r="K1624" s="17" t="n">
        <v>94.08</v>
      </c>
      <c r="L1624" s="17" t="n">
        <v>0</v>
      </c>
      <c r="M1624" s="17" t="n">
        <v>0</v>
      </c>
      <c r="N1624" s="17">
        <f>K1624*0.08+L1624*0.08</f>
        <v/>
      </c>
      <c r="O1624" s="17">
        <f>-(K1624*0.025+L1624*0.025)</f>
        <v/>
      </c>
      <c r="P1624" s="17">
        <f>32</f>
        <v/>
      </c>
      <c r="Q1624" s="17">
        <f>J1624+L1624+N1624+O1624-P1624-M1624</f>
        <v/>
      </c>
    </row>
    <row r="1625">
      <c r="A1625" s="16" t="inlineStr">
        <is>
          <t>5.15-5.21</t>
        </is>
      </c>
      <c r="B1625" s="16" t="inlineStr">
        <is>
          <t>PO-128-18050134078072525</t>
        </is>
      </c>
      <c r="C1625" s="16" t="inlineStr">
        <is>
          <t>Delivered</t>
        </is>
      </c>
      <c r="D1625" s="16" t="inlineStr">
        <is>
          <t>128-18050139320952525</t>
        </is>
      </c>
      <c r="E1625" s="16" t="inlineStr">
        <is>
          <t>Delivered</t>
        </is>
      </c>
      <c r="F1625" s="16" t="inlineStr">
        <is>
          <t>SA323T</t>
        </is>
      </c>
      <c r="G1625" s="16" t="inlineStr">
        <is>
          <t>Linkbits Bocina Portátil Parlantes BT Portátiles con Iluminación de Ambiente | 1 Hora de Duración, FM, TWS, TF/Micro SD | Ideal para Hogar, Fiestas y Viajes</t>
        </is>
      </c>
      <c r="H1625" s="16" t="inlineStr">
        <is>
          <t>SA323T</t>
        </is>
      </c>
      <c r="I1625" s="16" t="n">
        <v>1</v>
      </c>
      <c r="J1625" s="17" t="n">
        <v>46</v>
      </c>
      <c r="K1625" s="17" t="n">
        <v>55.06</v>
      </c>
      <c r="L1625" s="17" t="n">
        <v>0</v>
      </c>
      <c r="M1625" s="17" t="n">
        <v>0</v>
      </c>
      <c r="N1625" s="17">
        <f>K1625*0.08+L1625*0.08</f>
        <v/>
      </c>
      <c r="O1625" s="17">
        <f>-(K1625*0.025+L1625*0.025)</f>
        <v/>
      </c>
      <c r="P1625" s="17">
        <f>32</f>
        <v/>
      </c>
      <c r="Q1625" s="17">
        <f>J1625+L1625+N1625+O1625-P1625-M1625</f>
        <v/>
      </c>
    </row>
    <row r="1626">
      <c r="A1626" s="16" t="inlineStr">
        <is>
          <t>5.15-5.21</t>
        </is>
      </c>
      <c r="B1626" s="16" t="inlineStr">
        <is>
          <t>PO-128-18050134078072525</t>
        </is>
      </c>
      <c r="C1626" s="16" t="inlineStr">
        <is>
          <t>Delivered</t>
        </is>
      </c>
      <c r="D1626" s="16" t="inlineStr">
        <is>
          <t>128-18050113106552525</t>
        </is>
      </c>
      <c r="E1626" s="16" t="inlineStr">
        <is>
          <t>Delivered</t>
        </is>
      </c>
      <c r="F1626" s="16" t="inlineStr">
        <is>
          <t>LB02235-rojo</t>
        </is>
      </c>
      <c r="G1626" s="16" t="inlineStr">
        <is>
          <t>Audífonos Inalámbricos para la Cabeza, Recargables y Multifuncionales - Conectan a Varios Dispositivos, soportan Radio FM, Tarjeta TF y AUX - 4 Horas de Reproducción Musical - Ideal para Trabajo Cotidiano, Juegos y Estudio</t>
        </is>
      </c>
      <c r="H1626" s="16" t="inlineStr">
        <is>
          <t>ROJO</t>
        </is>
      </c>
      <c r="I1626" s="16" t="n">
        <v>1</v>
      </c>
      <c r="J1626" s="17" t="n">
        <v>37.71</v>
      </c>
      <c r="K1626" s="17" t="n">
        <v>50.82</v>
      </c>
      <c r="L1626" s="17" t="n">
        <v>0</v>
      </c>
      <c r="M1626" s="17" t="n">
        <v>0</v>
      </c>
      <c r="N1626" s="17">
        <f>K1626*0.08+L1626*0.08</f>
        <v/>
      </c>
      <c r="O1626" s="17">
        <f>-(K1626*0.025+L1626*0.025)</f>
        <v/>
      </c>
      <c r="P1626" s="17">
        <f>32</f>
        <v/>
      </c>
      <c r="Q1626" s="17">
        <f>J1626+L1626+N1626+O1626-P1626-M1626</f>
        <v/>
      </c>
    </row>
    <row r="1627">
      <c r="A1627" s="16" t="inlineStr">
        <is>
          <t>5.15-5.21</t>
        </is>
      </c>
      <c r="B1627" s="16" t="inlineStr">
        <is>
          <t>PO-128-17993644053113948</t>
        </is>
      </c>
      <c r="C1627" s="16" t="inlineStr">
        <is>
          <t>Delivered</t>
        </is>
      </c>
      <c r="D1627" s="16" t="inlineStr">
        <is>
          <t>128-17993623081593948</t>
        </is>
      </c>
      <c r="E1627" s="16" t="inlineStr">
        <is>
          <t>Delivered</t>
        </is>
      </c>
      <c r="F1627" s="16" t="inlineStr">
        <is>
          <t>MCM-001N</t>
        </is>
      </c>
      <c r="G1627" s="16" t="inlineStr">
        <is>
          <t>Musicord Altavoz Inalámbrico BT Portátil: ¡Sonido impactante, luces LED multicolores y 4 horas de autonomía! Compatible con TWS, FM, TF y USB – Imprescindible para fiestas y viajes</t>
        </is>
      </c>
      <c r="H1627" s="16" t="inlineStr">
        <is>
          <t>NEGRO</t>
        </is>
      </c>
      <c r="I1627" s="16" t="n">
        <v>1</v>
      </c>
      <c r="J1627" s="17" t="n">
        <v>61</v>
      </c>
      <c r="K1627" s="17" t="n">
        <v>68.79000000000001</v>
      </c>
      <c r="L1627" s="17" t="n">
        <v>25.86</v>
      </c>
      <c r="M1627" s="17" t="n">
        <v>0</v>
      </c>
      <c r="N1627" s="17">
        <f>K1627*0.08+L1627*0.08</f>
        <v/>
      </c>
      <c r="O1627" s="17">
        <f>-(K1627*0.025+L1627*0.025)</f>
        <v/>
      </c>
      <c r="P1627" s="17">
        <f>32</f>
        <v/>
      </c>
      <c r="Q1627" s="17">
        <f>J1627+L1627+N1627+O1627-P1627-M1627</f>
        <v/>
      </c>
    </row>
    <row r="1628">
      <c r="A1628" s="16" t="inlineStr">
        <is>
          <t>5.15-5.21</t>
        </is>
      </c>
      <c r="B1628" s="16" t="inlineStr">
        <is>
          <t>PO-128-18484785505911023</t>
        </is>
      </c>
      <c r="C1628" s="16" t="inlineStr">
        <is>
          <t>Delivered</t>
        </is>
      </c>
      <c r="D1628" s="16" t="inlineStr">
        <is>
          <t>128-18484743562871023</t>
        </is>
      </c>
      <c r="E1628" s="16" t="inlineStr">
        <is>
          <t>Delivered</t>
        </is>
      </c>
      <c r="F1628" s="16" t="inlineStr">
        <is>
          <t>MCM-001N</t>
        </is>
      </c>
      <c r="G1628" s="16" t="inlineStr">
        <is>
          <t>Musicord Altavoz Inalámbrico BT Portátil: ¡Sonido impactante, luces LED multicolores y 4 horas de autonomía! Compatible con TWS, FM, TF y USB – Imprescindible para fiestas y viajes</t>
        </is>
      </c>
      <c r="H1628" s="16" t="inlineStr">
        <is>
          <t>NEGRO</t>
        </is>
      </c>
      <c r="I1628" s="16" t="n">
        <v>1</v>
      </c>
      <c r="J1628" s="17" t="n">
        <v>61</v>
      </c>
      <c r="K1628" s="17" t="n">
        <v>25.69</v>
      </c>
      <c r="L1628" s="17" t="n">
        <v>25.86</v>
      </c>
      <c r="M1628" s="17" t="n">
        <v>0</v>
      </c>
      <c r="N1628" s="17">
        <f>K1628*0.08+L1628*0.08</f>
        <v/>
      </c>
      <c r="O1628" s="17">
        <f>-(K1628*0.025+L1628*0.025)</f>
        <v/>
      </c>
      <c r="P1628" s="17">
        <f>32</f>
        <v/>
      </c>
      <c r="Q1628" s="17">
        <f>J1628+L1628+N1628+O1628-P1628-M1628</f>
        <v/>
      </c>
    </row>
    <row r="1629">
      <c r="A1629" s="16" t="inlineStr">
        <is>
          <t>5.15-5.21</t>
        </is>
      </c>
      <c r="B1629" s="16" t="inlineStr">
        <is>
          <t>PO-128-18207061786232676</t>
        </is>
      </c>
      <c r="C1629" s="16" t="inlineStr">
        <is>
          <t>Delivered</t>
        </is>
      </c>
      <c r="D1629" s="16" t="inlineStr">
        <is>
          <t>128-18207000182392676</t>
        </is>
      </c>
      <c r="E1629" s="16" t="inlineStr">
        <is>
          <t>Delivered</t>
        </is>
      </c>
      <c r="F1629" s="16" t="inlineStr">
        <is>
          <t>S09W18IB</t>
        </is>
      </c>
      <c r="G162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29" s="16" t="inlineStr">
        <is>
          <t>1 pieza</t>
        </is>
      </c>
      <c r="I1629" s="16" t="n">
        <v>1</v>
      </c>
      <c r="J1629" s="17" t="n">
        <v>22.99</v>
      </c>
      <c r="K1629" s="17" t="n">
        <v>33.62</v>
      </c>
      <c r="L1629" s="17" t="n">
        <v>25.86</v>
      </c>
      <c r="M1629" s="17" t="n">
        <v>0</v>
      </c>
      <c r="N1629" s="17">
        <f>K1629*0.08+L1629*0.08</f>
        <v/>
      </c>
      <c r="O1629" s="17">
        <f>-(K1629*0.025+L1629*0.025)</f>
        <v/>
      </c>
      <c r="P1629" s="17">
        <f>32</f>
        <v/>
      </c>
      <c r="Q1629" s="17">
        <f>J1629+L1629+N1629+O1629-P1629-M1629</f>
        <v/>
      </c>
    </row>
    <row r="1630">
      <c r="A1630" s="16" t="inlineStr">
        <is>
          <t>5.15-5.21</t>
        </is>
      </c>
      <c r="B1630" s="16" t="inlineStr">
        <is>
          <t>PO-128-17998775501433727</t>
        </is>
      </c>
      <c r="C1630" s="16" t="inlineStr">
        <is>
          <t>Delivered</t>
        </is>
      </c>
      <c r="D1630" s="16" t="inlineStr">
        <is>
          <t>128-17998791230073727</t>
        </is>
      </c>
      <c r="E1630" s="16" t="inlineStr">
        <is>
          <t>Delivered</t>
        </is>
      </c>
      <c r="F1630" s="16" t="inlineStr">
        <is>
          <t>MB-185R</t>
        </is>
      </c>
      <c r="G1630" s="16" t="inlineStr">
        <is>
          <t>Bocina Radio FM/Reproductor, Compatible con Tarjeta TF, USB, Bluetooth, Aplicable para celular, computadora, Ipad y consola.</t>
        </is>
      </c>
      <c r="H1630" s="16" t="inlineStr">
        <is>
          <t>ROJO/MB-185</t>
        </is>
      </c>
      <c r="I1630" s="16" t="n">
        <v>1</v>
      </c>
      <c r="J1630" s="17" t="n">
        <v>71.31</v>
      </c>
      <c r="K1630" s="17" t="n">
        <v>84.23999999999999</v>
      </c>
      <c r="L1630" s="17" t="n">
        <v>25.86</v>
      </c>
      <c r="M1630" s="17" t="n">
        <v>0</v>
      </c>
      <c r="N1630" s="17">
        <f>K1630*0.08+L1630*0.08</f>
        <v/>
      </c>
      <c r="O1630" s="17">
        <f>-(K1630*0.025+L1630*0.025)</f>
        <v/>
      </c>
      <c r="P1630" s="17">
        <f>32</f>
        <v/>
      </c>
      <c r="Q1630" s="17">
        <f>J1630+L1630+N1630+O1630-P1630-M1630</f>
        <v/>
      </c>
    </row>
    <row r="1631">
      <c r="A1631" s="16" t="inlineStr">
        <is>
          <t>5.15-5.21</t>
        </is>
      </c>
      <c r="B1631" s="16" t="inlineStr">
        <is>
          <t>PO-128-18200885903992651</t>
        </is>
      </c>
      <c r="C1631" s="16" t="inlineStr">
        <is>
          <t>Delivered</t>
        </is>
      </c>
      <c r="D1631" s="16" t="inlineStr">
        <is>
          <t>128-18200906875512651</t>
        </is>
      </c>
      <c r="E1631" s="16" t="inlineStr">
        <is>
          <t>Delivered</t>
        </is>
      </c>
      <c r="F1631" s="16" t="inlineStr">
        <is>
          <t>MB-185N</t>
        </is>
      </c>
      <c r="G1631" s="16" t="inlineStr">
        <is>
          <t>Bocina Radio FM/Reproductor, Compatible con Tarjeta TF, USB, Bluetooth, Aplicable para celular, computadora, Ipad y consola.</t>
        </is>
      </c>
      <c r="H1631" s="16" t="inlineStr">
        <is>
          <t>NEGRO/MB-185</t>
        </is>
      </c>
      <c r="I1631" s="16" t="n">
        <v>1</v>
      </c>
      <c r="J1631" s="17" t="n">
        <v>71.31</v>
      </c>
      <c r="K1631" s="17" t="n">
        <v>1.48</v>
      </c>
      <c r="L1631" s="17" t="n">
        <v>25.86</v>
      </c>
      <c r="M1631" s="17" t="n">
        <v>0</v>
      </c>
      <c r="N1631" s="17">
        <f>K1631*0.08+L1631*0.08</f>
        <v/>
      </c>
      <c r="O1631" s="17">
        <f>-(K1631*0.025+L1631*0.025)</f>
        <v/>
      </c>
      <c r="P1631" s="17">
        <f>32</f>
        <v/>
      </c>
      <c r="Q1631" s="17">
        <f>J1631+L1631+N1631+O1631-P1631-M1631</f>
        <v/>
      </c>
    </row>
    <row r="1632">
      <c r="A1632" s="16" t="inlineStr">
        <is>
          <t>5.15-5.21</t>
        </is>
      </c>
      <c r="B1632" s="16" t="inlineStr">
        <is>
          <t>PO-128-18226911852151534</t>
        </is>
      </c>
      <c r="C1632" s="16" t="inlineStr">
        <is>
          <t>Delivered</t>
        </is>
      </c>
      <c r="D1632" s="16" t="inlineStr">
        <is>
          <t>128-18226869909111534</t>
        </is>
      </c>
      <c r="E1632" s="16" t="inlineStr">
        <is>
          <t>Delivered</t>
        </is>
      </c>
      <c r="F1632" s="16" t="inlineStr">
        <is>
          <t>SA323T</t>
        </is>
      </c>
      <c r="G1632" s="16" t="inlineStr">
        <is>
          <t>Linkbits Bocina Portátil Parlantes BT Portátiles con Iluminación de Ambiente | 1 Hora de Duración, FM, TWS, TF/Micro SD | Ideal para Hogar, Fiestas y Viajes</t>
        </is>
      </c>
      <c r="H1632" s="16" t="inlineStr">
        <is>
          <t>SA323T</t>
        </is>
      </c>
      <c r="I1632" s="16" t="n">
        <v>1</v>
      </c>
      <c r="J1632" s="17" t="n">
        <v>37.71</v>
      </c>
      <c r="K1632" s="17" t="n">
        <v>3.67</v>
      </c>
      <c r="L1632" s="17" t="n">
        <v>25.86</v>
      </c>
      <c r="M1632" s="17" t="n">
        <v>0</v>
      </c>
      <c r="N1632" s="17">
        <f>K1632*0.08+L1632*0.08</f>
        <v/>
      </c>
      <c r="O1632" s="17">
        <f>-(K1632*0.025+L1632*0.025)</f>
        <v/>
      </c>
      <c r="P1632" s="17">
        <f>32</f>
        <v/>
      </c>
      <c r="Q1632" s="17">
        <f>J1632+L1632+N1632+O1632-P1632-M1632</f>
        <v/>
      </c>
    </row>
    <row r="1633">
      <c r="A1633" s="16" t="inlineStr">
        <is>
          <t>5.15-5.21</t>
        </is>
      </c>
      <c r="B1633" s="16" t="inlineStr">
        <is>
          <t>PO-128-18470496737910914</t>
        </is>
      </c>
      <c r="C1633" s="16" t="inlineStr">
        <is>
          <t>Delivered</t>
        </is>
      </c>
      <c r="D1633" s="16" t="inlineStr">
        <is>
          <t>128-18470444309110914</t>
        </is>
      </c>
      <c r="E1633" s="16" t="inlineStr">
        <is>
          <t>Delivered</t>
        </is>
      </c>
      <c r="F1633" s="16" t="inlineStr">
        <is>
          <t>MCM-001N</t>
        </is>
      </c>
      <c r="G1633" s="16" t="inlineStr">
        <is>
          <t>Musicord Altavoz Inalámbrico BT Portátil: ¡Sonido impactante, luces LED multicolores y 4 horas de autonomía! Compatible con TWS, FM, TF y USB – Imprescindible para fiestas y viajes</t>
        </is>
      </c>
      <c r="H1633" s="16" t="inlineStr">
        <is>
          <t>NEGRO</t>
        </is>
      </c>
      <c r="I1633" s="16" t="n">
        <v>1</v>
      </c>
      <c r="J1633" s="17" t="n">
        <v>61</v>
      </c>
      <c r="K1633" s="17" t="n">
        <v>68.79000000000001</v>
      </c>
      <c r="L1633" s="17" t="n">
        <v>25.86</v>
      </c>
      <c r="M1633" s="17" t="n">
        <v>0</v>
      </c>
      <c r="N1633" s="17">
        <f>K1633*0.08+L1633*0.08</f>
        <v/>
      </c>
      <c r="O1633" s="17">
        <f>-(K1633*0.025+L1633*0.025)</f>
        <v/>
      </c>
      <c r="P1633" s="17">
        <f>32</f>
        <v/>
      </c>
      <c r="Q1633" s="17">
        <f>J1633+L1633+N1633+O1633-P1633-M1633</f>
        <v/>
      </c>
    </row>
    <row r="1634">
      <c r="A1634" s="16" t="inlineStr">
        <is>
          <t>5.15-5.21</t>
        </is>
      </c>
      <c r="B1634" s="16" t="inlineStr">
        <is>
          <t>PO-128-18144536510073051</t>
        </is>
      </c>
      <c r="C1634" s="16" t="inlineStr">
        <is>
          <t>Delivered</t>
        </is>
      </c>
      <c r="D1634" s="16" t="inlineStr">
        <is>
          <t>128-18144505052793051</t>
        </is>
      </c>
      <c r="E1634" s="16" t="inlineStr">
        <is>
          <t>Delivered</t>
        </is>
      </c>
      <c r="F1634" s="16" t="inlineStr">
        <is>
          <t>LB02235-negro</t>
        </is>
      </c>
      <c r="G1634" s="16" t="inlineStr">
        <is>
          <t>Audífonos Inalámbricos para la Cabeza, Recargables y Multifuncionales - Conectan a Varios Dispositivos, soportan Radio FM, Tarjeta TF y AUX - 4 Horas de Reproducción Musical - Ideal para Trabajo Cotidiano, Juegos y Estudio</t>
        </is>
      </c>
      <c r="H1634" s="16" t="inlineStr">
        <is>
          <t>NEGRO</t>
        </is>
      </c>
      <c r="I1634" s="16" t="n">
        <v>2</v>
      </c>
      <c r="J1634" s="17" t="n">
        <v>73</v>
      </c>
      <c r="K1634" s="17" t="n">
        <v>99.22</v>
      </c>
      <c r="L1634" s="17" t="n">
        <v>12.94</v>
      </c>
      <c r="M1634" s="17" t="n">
        <v>0</v>
      </c>
      <c r="N1634" s="17">
        <f>K1634*0.08+L1634*0.08</f>
        <v/>
      </c>
      <c r="O1634" s="17">
        <f>-(K1634*0.025+L1634*0.025)</f>
        <v/>
      </c>
      <c r="P1634" s="17">
        <f>32</f>
        <v/>
      </c>
      <c r="Q1634" s="17">
        <f>J1634+L1634+N1634+O1634-P1634-M1634</f>
        <v/>
      </c>
    </row>
    <row r="1635">
      <c r="A1635" s="16" t="inlineStr">
        <is>
          <t>5.15-5.21</t>
        </is>
      </c>
      <c r="B1635" s="16" t="inlineStr">
        <is>
          <t>PO-128-18144536510073051</t>
        </is>
      </c>
      <c r="C1635" s="16" t="inlineStr">
        <is>
          <t>Delivered</t>
        </is>
      </c>
      <c r="D1635" s="16" t="inlineStr">
        <is>
          <t>128-18144546995833051</t>
        </is>
      </c>
      <c r="E1635" s="16" t="inlineStr">
        <is>
          <t>Delivered</t>
        </is>
      </c>
      <c r="F1635" s="16" t="inlineStr">
        <is>
          <t>LB02235-blanco</t>
        </is>
      </c>
      <c r="G1635" s="16" t="inlineStr">
        <is>
          <t>Audífonos Inalámbricos para la Cabeza, Recargables y Multifuncionales - Conectan a Varios Dispositivos, soportan Radio FM, Tarjeta TF y AUX - 4 Horas de Reproducción Musical - Ideal para Trabajo Cotidiano, Juegos y Estudio</t>
        </is>
      </c>
      <c r="H1635" s="16" t="inlineStr">
        <is>
          <t>BLANCO</t>
        </is>
      </c>
      <c r="I1635" s="16" t="n">
        <v>2</v>
      </c>
      <c r="J1635" s="17" t="n">
        <v>73</v>
      </c>
      <c r="K1635" s="17" t="n">
        <v>99.22</v>
      </c>
      <c r="L1635" s="17" t="n">
        <v>12.94</v>
      </c>
      <c r="M1635" s="17" t="n">
        <v>0</v>
      </c>
      <c r="N1635" s="17">
        <f>K1635*0.08+L1635*0.08</f>
        <v/>
      </c>
      <c r="O1635" s="17">
        <f>-(K1635*0.025+L1635*0.025)</f>
        <v/>
      </c>
      <c r="P1635" s="17">
        <f>32</f>
        <v/>
      </c>
      <c r="Q1635" s="17">
        <f>J1635+L1635+N1635+O1635-P1635-M1635</f>
        <v/>
      </c>
    </row>
    <row r="1636">
      <c r="A1636" s="16" t="inlineStr">
        <is>
          <t>5.15-5.21</t>
        </is>
      </c>
      <c r="B1636" s="16" t="inlineStr">
        <is>
          <t>PO-128-18324816804471846</t>
        </is>
      </c>
      <c r="C1636" s="16" t="inlineStr">
        <is>
          <t>Delivered</t>
        </is>
      </c>
      <c r="D1636" s="16" t="inlineStr">
        <is>
          <t>128-18324774861431846</t>
        </is>
      </c>
      <c r="E1636" s="16" t="inlineStr">
        <is>
          <t>Delivered</t>
        </is>
      </c>
      <c r="F1636" s="16" t="inlineStr">
        <is>
          <t>LB02235-blanco</t>
        </is>
      </c>
      <c r="G1636" s="16" t="inlineStr">
        <is>
          <t>Audífonos Inalámbricos para la Cabeza, Recargables y Multifuncionales - Conectan a Varios Dispositivos, soportan Radio FM, Tarjeta TF y AUX - 4 Horas de Reproducción Musical - Ideal para Trabajo Cotidiano, Juegos y Estudio</t>
        </is>
      </c>
      <c r="H1636" s="16" t="inlineStr">
        <is>
          <t>BLANCO</t>
        </is>
      </c>
      <c r="I1636" s="16" t="n">
        <v>1</v>
      </c>
      <c r="J1636" s="17" t="n">
        <v>36.5</v>
      </c>
      <c r="K1636" s="17" t="n">
        <v>49.61</v>
      </c>
      <c r="L1636" s="17" t="n">
        <v>25.86</v>
      </c>
      <c r="M1636" s="17" t="n">
        <v>0</v>
      </c>
      <c r="N1636" s="17">
        <f>K1636*0.08+L1636*0.08</f>
        <v/>
      </c>
      <c r="O1636" s="17">
        <f>-(K1636*0.025+L1636*0.025)</f>
        <v/>
      </c>
      <c r="P1636" s="17">
        <f>32</f>
        <v/>
      </c>
      <c r="Q1636" s="17">
        <f>J1636+L1636+N1636+O1636-P1636-M1636</f>
        <v/>
      </c>
    </row>
    <row r="1637">
      <c r="A1637" s="16" t="inlineStr">
        <is>
          <t>5.15-5.21</t>
        </is>
      </c>
      <c r="B1637" s="16" t="inlineStr">
        <is>
          <t>PO-128-18526230119030710</t>
        </is>
      </c>
      <c r="C1637" s="16" t="inlineStr">
        <is>
          <t>Delivered</t>
        </is>
      </c>
      <c r="D1637" s="16" t="inlineStr">
        <is>
          <t>128-18526188175990710</t>
        </is>
      </c>
      <c r="E1637" s="16" t="inlineStr">
        <is>
          <t>Delivered</t>
        </is>
      </c>
      <c r="F1637" s="16" t="inlineStr">
        <is>
          <t>FA028</t>
        </is>
      </c>
      <c r="G1637" s="16" t="inlineStr">
        <is>
          <t>Extractor de agua para garrafas de agua, compatible con carga USB, extractor de agua automático, práctico, con dos modos de toma de agua: manual y programado, ideal para dormitorios, salones, oficinas, uso al aire libre y otros escenarios.</t>
        </is>
      </c>
      <c r="H1637" s="16" t="inlineStr">
        <is>
          <t>FA028</t>
        </is>
      </c>
      <c r="I1637" s="16" t="n">
        <v>1</v>
      </c>
      <c r="J1637" s="17" t="n">
        <v>27</v>
      </c>
      <c r="K1637" s="17" t="n">
        <v>36.58</v>
      </c>
      <c r="L1637" s="17" t="n">
        <v>25.86</v>
      </c>
      <c r="M1637" s="17" t="n">
        <v>0</v>
      </c>
      <c r="N1637" s="17">
        <f>K1637*0.08+L1637*0.08</f>
        <v/>
      </c>
      <c r="O1637" s="17">
        <f>-(K1637*0.025+L1637*0.025)</f>
        <v/>
      </c>
      <c r="P1637" s="17">
        <f>32</f>
        <v/>
      </c>
      <c r="Q1637" s="17">
        <f>J1637+L1637+N1637+O1637-P1637-M1637</f>
        <v/>
      </c>
    </row>
    <row r="1638">
      <c r="A1638" s="16" t="inlineStr">
        <is>
          <t>5.15-5.21</t>
        </is>
      </c>
      <c r="B1638" s="16" t="inlineStr">
        <is>
          <t>PO-128-18392398904950421</t>
        </is>
      </c>
      <c r="C1638" s="16" t="inlineStr">
        <is>
          <t>Delivered</t>
        </is>
      </c>
      <c r="D1638" s="16" t="inlineStr">
        <is>
          <t>128-18392419876470421</t>
        </is>
      </c>
      <c r="E1638" s="16" t="inlineStr">
        <is>
          <t>Delivered</t>
        </is>
      </c>
      <c r="F1638" s="16" t="inlineStr">
        <is>
          <t>LB02235-blanco</t>
        </is>
      </c>
      <c r="G1638" s="16" t="inlineStr">
        <is>
          <t>Audífonos Inalámbricos para la Cabeza, Recargables y Multifuncionales - Conectan a Varios Dispositivos, soportan Radio FM, Tarjeta TF y AUX - 4 Horas de Reproducción Musical - Ideal para Trabajo Cotidiano, Juegos y Estudio</t>
        </is>
      </c>
      <c r="H1638" s="16" t="inlineStr">
        <is>
          <t>BLANCO</t>
        </is>
      </c>
      <c r="I1638" s="16" t="n">
        <v>1</v>
      </c>
      <c r="J1638" s="17" t="n">
        <v>36.5</v>
      </c>
      <c r="K1638" s="17" t="n">
        <v>49.61</v>
      </c>
      <c r="L1638" s="17" t="n">
        <v>25.86</v>
      </c>
      <c r="M1638" s="17" t="n">
        <v>0</v>
      </c>
      <c r="N1638" s="17">
        <f>K1638*0.08+L1638*0.08</f>
        <v/>
      </c>
      <c r="O1638" s="17">
        <f>-(K1638*0.025+L1638*0.025)</f>
        <v/>
      </c>
      <c r="P1638" s="17">
        <f>32</f>
        <v/>
      </c>
      <c r="Q1638" s="17">
        <f>J1638+L1638+N1638+O1638-P1638-M1638</f>
        <v/>
      </c>
    </row>
    <row r="1639">
      <c r="A1639" s="16" t="inlineStr">
        <is>
          <t>5.15-5.21</t>
        </is>
      </c>
      <c r="B1639" s="16" t="inlineStr">
        <is>
          <t>PO-128-18164704492152928</t>
        </is>
      </c>
      <c r="C1639" s="16" t="inlineStr">
        <is>
          <t>Delivered</t>
        </is>
      </c>
      <c r="D1639" s="16" t="inlineStr">
        <is>
          <t>128-18164714977912928</t>
        </is>
      </c>
      <c r="E1639" s="16" t="inlineStr">
        <is>
          <t>Delivered</t>
        </is>
      </c>
      <c r="F1639" s="16" t="inlineStr">
        <is>
          <t>LV25W22</t>
        </is>
      </c>
      <c r="G16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39" s="16" t="inlineStr">
        <is>
          <t>LV25W32</t>
        </is>
      </c>
      <c r="I1639" s="16" t="n">
        <v>3</v>
      </c>
      <c r="J1639" s="17" t="n">
        <v>271.29</v>
      </c>
      <c r="K1639" s="17" t="n">
        <v>302.52</v>
      </c>
      <c r="L1639" s="17" t="n">
        <v>0</v>
      </c>
      <c r="M1639" s="17" t="n">
        <v>0</v>
      </c>
      <c r="N1639" s="17">
        <f>K1639*0.08+L1639*0.08</f>
        <v/>
      </c>
      <c r="O1639" s="17">
        <f>-(K1639*0.025+L1639*0.025)</f>
        <v/>
      </c>
      <c r="P1639" s="17">
        <f>32</f>
        <v/>
      </c>
      <c r="Q1639" s="17">
        <f>J1639+L1639+N1639+O1639-P1639-M1639</f>
        <v/>
      </c>
    </row>
    <row r="1640">
      <c r="A1640" s="16" t="inlineStr">
        <is>
          <t>5.15-5.21</t>
        </is>
      </c>
      <c r="B1640" s="16" t="inlineStr">
        <is>
          <t>PO-128-18092162734712211</t>
        </is>
      </c>
      <c r="C1640" s="16" t="inlineStr">
        <is>
          <t>Delivered</t>
        </is>
      </c>
      <c r="D1640" s="16" t="inlineStr">
        <is>
          <t>128-18092183706232211</t>
        </is>
      </c>
      <c r="E1640" s="16" t="inlineStr">
        <is>
          <t>Delivered</t>
        </is>
      </c>
      <c r="F1640" s="16" t="inlineStr">
        <is>
          <t>MCM-001N</t>
        </is>
      </c>
      <c r="G1640" s="16" t="inlineStr">
        <is>
          <t>Musicord Altavoz Inalámbrico BT Portátil: ¡Sonido impactante, luces LED multicolores y 4 horas de autonomía! Compatible con TWS, FM, TF y USB – Imprescindible para fiestas y viajes</t>
        </is>
      </c>
      <c r="H1640" s="16" t="inlineStr">
        <is>
          <t>NEGRO</t>
        </is>
      </c>
      <c r="I1640" s="16" t="n">
        <v>1</v>
      </c>
      <c r="J1640" s="17" t="n">
        <v>61</v>
      </c>
      <c r="K1640" s="17" t="n">
        <v>55.03</v>
      </c>
      <c r="L1640" s="17" t="n">
        <v>25.86</v>
      </c>
      <c r="M1640" s="17" t="n">
        <v>0</v>
      </c>
      <c r="N1640" s="17">
        <f>K1640*0.08+L1640*0.08</f>
        <v/>
      </c>
      <c r="O1640" s="17">
        <f>-(K1640*0.025+L1640*0.025)</f>
        <v/>
      </c>
      <c r="P1640" s="17">
        <f>32</f>
        <v/>
      </c>
      <c r="Q1640" s="17">
        <f>J1640+L1640+N1640+O1640-P1640-M1640</f>
        <v/>
      </c>
    </row>
    <row r="1641">
      <c r="A1641" s="16" t="inlineStr">
        <is>
          <t>5.15-5.21</t>
        </is>
      </c>
      <c r="B1641" s="16" t="inlineStr">
        <is>
          <t>PO-128-18255884795511171</t>
        </is>
      </c>
      <c r="C1641" s="16" t="inlineStr">
        <is>
          <t>Delivered</t>
        </is>
      </c>
      <c r="D1641" s="16" t="inlineStr">
        <is>
          <t>128-18255952952951171</t>
        </is>
      </c>
      <c r="E1641" s="16" t="inlineStr">
        <is>
          <t>Delivered</t>
        </is>
      </c>
      <c r="F1641" s="16" t="inlineStr">
        <is>
          <t>LV25W22</t>
        </is>
      </c>
      <c r="G164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41" s="16" t="inlineStr">
        <is>
          <t>LV25W32</t>
        </is>
      </c>
      <c r="I1641" s="16" t="n">
        <v>3</v>
      </c>
      <c r="J1641" s="17" t="n">
        <v>271.29</v>
      </c>
      <c r="K1641" s="17" t="n">
        <v>302.52</v>
      </c>
      <c r="L1641" s="17" t="n">
        <v>0</v>
      </c>
      <c r="M1641" s="17" t="n">
        <v>0</v>
      </c>
      <c r="N1641" s="17">
        <f>K1641*0.08+L1641*0.08</f>
        <v/>
      </c>
      <c r="O1641" s="17">
        <f>-(K1641*0.025+L1641*0.025)</f>
        <v/>
      </c>
      <c r="P1641" s="17">
        <f>32</f>
        <v/>
      </c>
      <c r="Q1641" s="17">
        <f>J1641+L1641+N1641+O1641-P1641-M1641</f>
        <v/>
      </c>
    </row>
    <row r="1642">
      <c r="A1642" s="16" t="inlineStr">
        <is>
          <t>5.15-5.21</t>
        </is>
      </c>
      <c r="B1642" s="16" t="inlineStr">
        <is>
          <t>PO-128-18507731072630884</t>
        </is>
      </c>
      <c r="C1642" s="16" t="inlineStr">
        <is>
          <t>Delivered</t>
        </is>
      </c>
      <c r="D1642" s="16" t="inlineStr">
        <is>
          <t>128-18507752044150884</t>
        </is>
      </c>
      <c r="E1642" s="16" t="inlineStr">
        <is>
          <t>Delivered</t>
        </is>
      </c>
      <c r="F1642" s="16" t="inlineStr">
        <is>
          <t>LV25W22</t>
        </is>
      </c>
      <c r="G164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42" s="16" t="inlineStr">
        <is>
          <t>LV25W32</t>
        </is>
      </c>
      <c r="I1642" s="16" t="n">
        <v>1</v>
      </c>
      <c r="J1642" s="17" t="n">
        <v>90.43000000000001</v>
      </c>
      <c r="K1642" s="17" t="n">
        <v>73.81</v>
      </c>
      <c r="L1642" s="17" t="n">
        <v>25.86</v>
      </c>
      <c r="M1642" s="17" t="n">
        <v>0</v>
      </c>
      <c r="N1642" s="17">
        <f>K1642*0.08+L1642*0.08</f>
        <v/>
      </c>
      <c r="O1642" s="17">
        <f>-(K1642*0.025+L1642*0.025)</f>
        <v/>
      </c>
      <c r="P1642" s="17">
        <f>32</f>
        <v/>
      </c>
      <c r="Q1642" s="17">
        <f>J1642+L1642+N1642+O1642-P1642-M1642</f>
        <v/>
      </c>
    </row>
    <row r="1643">
      <c r="A1643" s="16" t="inlineStr">
        <is>
          <t>5.15-5.21</t>
        </is>
      </c>
      <c r="B1643" s="16" t="inlineStr">
        <is>
          <t>PO-128-18037138319993691</t>
        </is>
      </c>
      <c r="C1643" s="16" t="inlineStr">
        <is>
          <t>Delivered</t>
        </is>
      </c>
      <c r="D1643" s="16" t="inlineStr">
        <is>
          <t>128-18037159291513691</t>
        </is>
      </c>
      <c r="E1643" s="16" t="inlineStr">
        <is>
          <t>Delivered</t>
        </is>
      </c>
      <c r="F1643" s="16" t="inlineStr">
        <is>
          <t>MCM-001G</t>
        </is>
      </c>
      <c r="G1643" s="16" t="inlineStr">
        <is>
          <t>Musicord Altavoz Inalámbrico BT Portátil: ¡Sonido impactante, luces LED multicolores y 4 horas de autonomía! Compatible con TWS, FM, TF y USB – Imprescindible para fiestas y viajes</t>
        </is>
      </c>
      <c r="H1643" s="16" t="inlineStr">
        <is>
          <t>GRIS</t>
        </is>
      </c>
      <c r="I1643" s="16" t="n">
        <v>1</v>
      </c>
      <c r="J1643" s="17" t="n">
        <v>51</v>
      </c>
      <c r="K1643" s="17" t="n">
        <v>58.79</v>
      </c>
      <c r="L1643" s="17" t="n">
        <v>25.86</v>
      </c>
      <c r="M1643" s="17" t="n">
        <v>0</v>
      </c>
      <c r="N1643" s="17">
        <f>K1643*0.08+L1643*0.08</f>
        <v/>
      </c>
      <c r="O1643" s="17">
        <f>-(K1643*0.025+L1643*0.025)</f>
        <v/>
      </c>
      <c r="P1643" s="17">
        <f>32</f>
        <v/>
      </c>
      <c r="Q1643" s="17">
        <f>J1643+L1643+N1643+O1643-P1643-M1643</f>
        <v/>
      </c>
    </row>
    <row r="1644">
      <c r="A1644" s="16" t="inlineStr">
        <is>
          <t>5.15-5.21</t>
        </is>
      </c>
      <c r="B1644" s="16" t="inlineStr">
        <is>
          <t>PO-128-18379050035831653</t>
        </is>
      </c>
      <c r="C1644" s="16" t="inlineStr">
        <is>
          <t>Delivered</t>
        </is>
      </c>
      <c r="D1644" s="16" t="inlineStr">
        <is>
          <t>128-18379071007351653</t>
        </is>
      </c>
      <c r="E1644" s="16" t="inlineStr">
        <is>
          <t>Delivered</t>
        </is>
      </c>
      <c r="F1644" s="16" t="inlineStr">
        <is>
          <t>LV25W22</t>
        </is>
      </c>
      <c r="G16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44" s="16" t="inlineStr">
        <is>
          <t>LV25W32</t>
        </is>
      </c>
      <c r="I1644" s="16" t="n">
        <v>2</v>
      </c>
      <c r="J1644" s="17" t="n">
        <v>180.86</v>
      </c>
      <c r="K1644" s="17" t="n">
        <v>201.68</v>
      </c>
      <c r="L1644" s="17" t="n">
        <v>25.86</v>
      </c>
      <c r="M1644" s="17" t="n">
        <v>0</v>
      </c>
      <c r="N1644" s="17">
        <f>K1644*0.08+L1644*0.08</f>
        <v/>
      </c>
      <c r="O1644" s="17">
        <f>-(K1644*0.025+L1644*0.025)</f>
        <v/>
      </c>
      <c r="P1644" s="17">
        <f>32</f>
        <v/>
      </c>
      <c r="Q1644" s="17">
        <f>J1644+L1644+N1644+O1644-P1644-M1644</f>
        <v/>
      </c>
    </row>
    <row r="1645">
      <c r="A1645" s="16" t="inlineStr">
        <is>
          <t>5.15-5.21</t>
        </is>
      </c>
      <c r="B1645" s="16" t="inlineStr">
        <is>
          <t>PO-128-17902315623033404</t>
        </is>
      </c>
      <c r="C1645" s="16" t="inlineStr">
        <is>
          <t>Delivered</t>
        </is>
      </c>
      <c r="D1645" s="16" t="inlineStr">
        <is>
          <t>128-17902320865913404</t>
        </is>
      </c>
      <c r="E1645" s="16" t="inlineStr">
        <is>
          <t>Delivered</t>
        </is>
      </c>
      <c r="F1645" s="16" t="inlineStr">
        <is>
          <t>MB-178-B</t>
        </is>
      </c>
      <c r="G1645" s="16" t="inlineStr">
        <is>
          <t>Bocina de Barra Bluetooth LINK BITS con dos altavoces, sonido de alta calidad y multifuncional (Bluetooth, Radio FM, USB, TF, AUX, TWS), ideal para juegos, reuniones, oficina y cine en casa.</t>
        </is>
      </c>
      <c r="H1645" s="16" t="inlineStr">
        <is>
          <t>BLANCO</t>
        </is>
      </c>
      <c r="I1645" s="16" t="n">
        <v>1</v>
      </c>
      <c r="J1645" s="17" t="n">
        <v>119</v>
      </c>
      <c r="K1645" s="17" t="n">
        <v>145.27</v>
      </c>
      <c r="L1645" s="17" t="n">
        <v>0</v>
      </c>
      <c r="M1645" s="17" t="n">
        <v>0</v>
      </c>
      <c r="N1645" s="17">
        <f>K1645*0.08+L1645*0.08</f>
        <v/>
      </c>
      <c r="O1645" s="17">
        <f>-(K1645*0.025+L1645*0.025)</f>
        <v/>
      </c>
      <c r="P1645" s="17">
        <f>32</f>
        <v/>
      </c>
      <c r="Q1645" s="17">
        <f>J1645+L1645+N1645+O1645-P1645-M1645</f>
        <v/>
      </c>
    </row>
    <row r="1646">
      <c r="A1646" s="16" t="inlineStr">
        <is>
          <t>5.15-5.21</t>
        </is>
      </c>
      <c r="B1646" s="16" t="inlineStr">
        <is>
          <t>PO-128-17902315623033404</t>
        </is>
      </c>
      <c r="C1646" s="16" t="inlineStr">
        <is>
          <t>Delivered</t>
        </is>
      </c>
      <c r="D1646" s="16" t="inlineStr">
        <is>
          <t>128-17902326108793404</t>
        </is>
      </c>
      <c r="E1646" s="16" t="inlineStr">
        <is>
          <t>Delivered</t>
        </is>
      </c>
      <c r="F1646" s="16" t="inlineStr">
        <is>
          <t>S58W60</t>
        </is>
      </c>
      <c r="G1646"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646" s="16" t="inlineStr">
        <is>
          <t>1 pieza</t>
        </is>
      </c>
      <c r="I1646" s="16" t="n">
        <v>3</v>
      </c>
      <c r="J1646" s="17" t="n">
        <v>126</v>
      </c>
      <c r="K1646" s="17" t="n">
        <v>178.59</v>
      </c>
      <c r="L1646" s="17" t="n">
        <v>0</v>
      </c>
      <c r="M1646" s="17" t="n">
        <v>0</v>
      </c>
      <c r="N1646" s="17">
        <f>K1646*0.08+L1646*0.08</f>
        <v/>
      </c>
      <c r="O1646" s="17">
        <f>-(K1646*0.025+L1646*0.025)</f>
        <v/>
      </c>
      <c r="P1646" s="17">
        <f>32</f>
        <v/>
      </c>
      <c r="Q1646" s="17">
        <f>J1646+L1646+N1646+O1646-P1646-M1646</f>
        <v/>
      </c>
    </row>
    <row r="1647">
      <c r="A1647" s="16" t="inlineStr">
        <is>
          <t>5.15-5.21</t>
        </is>
      </c>
      <c r="B1647" s="16" t="inlineStr">
        <is>
          <t>PO-128-18088182057592235</t>
        </is>
      </c>
      <c r="C1647" s="16" t="inlineStr">
        <is>
          <t>Delivered</t>
        </is>
      </c>
      <c r="D1647" s="16" t="inlineStr">
        <is>
          <t>128-18088140114552235</t>
        </is>
      </c>
      <c r="E1647" s="16" t="inlineStr">
        <is>
          <t>Delivered</t>
        </is>
      </c>
      <c r="F1647" s="16" t="inlineStr">
        <is>
          <t>LB02235-blanco</t>
        </is>
      </c>
      <c r="G1647" s="16" t="inlineStr">
        <is>
          <t>Audífonos Inalámbricos para la Cabeza, Recargables y Multifuncionales - Conectan a Varios Dispositivos, soportan Radio FM, Tarjeta TF y AUX - 4 Horas de Reproducción Musical - Ideal para Trabajo Cotidiano, Juegos y Estudio</t>
        </is>
      </c>
      <c r="H1647" s="16" t="inlineStr">
        <is>
          <t>BLANCO</t>
        </is>
      </c>
      <c r="I1647" s="16" t="n">
        <v>1</v>
      </c>
      <c r="J1647" s="17" t="n">
        <v>36.5</v>
      </c>
      <c r="K1647" s="17" t="n">
        <v>49.61</v>
      </c>
      <c r="L1647" s="17" t="n">
        <v>25.86</v>
      </c>
      <c r="M1647" s="17" t="n">
        <v>0</v>
      </c>
      <c r="N1647" s="17">
        <f>K1647*0.08+L1647*0.08</f>
        <v/>
      </c>
      <c r="O1647" s="17">
        <f>-(K1647*0.025+L1647*0.025)</f>
        <v/>
      </c>
      <c r="P1647" s="17">
        <f>32</f>
        <v/>
      </c>
      <c r="Q1647" s="17">
        <f>J1647+L1647+N1647+O1647-P1647-M1647</f>
        <v/>
      </c>
    </row>
    <row r="1648">
      <c r="A1648" s="16" t="inlineStr">
        <is>
          <t>5.15-5.21</t>
        </is>
      </c>
      <c r="B1648" s="16" t="inlineStr">
        <is>
          <t>PO-128-17995760568953937</t>
        </is>
      </c>
      <c r="C1648" s="16" t="inlineStr">
        <is>
          <t>Delivered</t>
        </is>
      </c>
      <c r="D1648" s="16" t="inlineStr">
        <is>
          <t>128-17995812997753937</t>
        </is>
      </c>
      <c r="E1648" s="16" t="inlineStr">
        <is>
          <t>Delivered</t>
        </is>
      </c>
      <c r="F1648" s="16" t="inlineStr">
        <is>
          <t>LB02235-negro</t>
        </is>
      </c>
      <c r="G1648" s="16" t="inlineStr">
        <is>
          <t>Audífonos Inalámbricos para la Cabeza, Recargables y Multifuncionales - Conectan a Varios Dispositivos, soportan Radio FM, Tarjeta TF y AUX - 4 Horas de Reproducción Musical - Ideal para Trabajo Cotidiano, Juegos y Estudio</t>
        </is>
      </c>
      <c r="H1648" s="16" t="inlineStr">
        <is>
          <t>NEGRO</t>
        </is>
      </c>
      <c r="I1648" s="16" t="n">
        <v>1</v>
      </c>
      <c r="J1648" s="17" t="n">
        <v>36.5</v>
      </c>
      <c r="K1648" s="17" t="n">
        <v>49.61</v>
      </c>
      <c r="L1648" s="17" t="n">
        <v>25.86</v>
      </c>
      <c r="M1648" s="17" t="n">
        <v>0</v>
      </c>
      <c r="N1648" s="17">
        <f>K1648*0.08+L1648*0.08</f>
        <v/>
      </c>
      <c r="O1648" s="17">
        <f>-(K1648*0.025+L1648*0.025)</f>
        <v/>
      </c>
      <c r="P1648" s="17">
        <f>32</f>
        <v/>
      </c>
      <c r="Q1648" s="17">
        <f>J1648+L1648+N1648+O1648-P1648-M1648</f>
        <v/>
      </c>
    </row>
    <row r="1649">
      <c r="A1649" s="16" t="inlineStr">
        <is>
          <t>5.15-5.21</t>
        </is>
      </c>
      <c r="B1649" s="16" t="inlineStr">
        <is>
          <t>PO-128-17886771180153563</t>
        </is>
      </c>
      <c r="C1649" s="16" t="inlineStr">
        <is>
          <t>Delivered</t>
        </is>
      </c>
      <c r="D1649" s="16" t="inlineStr">
        <is>
          <t>128-17886813123193563</t>
        </is>
      </c>
      <c r="E1649" s="16" t="inlineStr">
        <is>
          <t>Delivered</t>
        </is>
      </c>
      <c r="F1649" s="16" t="inlineStr">
        <is>
          <t>MCM-001N</t>
        </is>
      </c>
      <c r="G1649" s="16" t="inlineStr">
        <is>
          <t>Musicord Altavoz Inalámbrico BT Portátil: ¡Sonido impactante, luces LED multicolores y 4 horas de autonomía! Compatible con TWS, FM, TF y USB – Imprescindible para fiestas y viajes</t>
        </is>
      </c>
      <c r="H1649" s="16" t="inlineStr">
        <is>
          <t>NEGRO</t>
        </is>
      </c>
      <c r="I1649" s="16" t="n">
        <v>1</v>
      </c>
      <c r="J1649" s="17" t="n">
        <v>66</v>
      </c>
      <c r="K1649" s="17" t="n">
        <v>73.79000000000001</v>
      </c>
      <c r="L1649" s="17" t="n">
        <v>25.86</v>
      </c>
      <c r="M1649" s="17" t="n">
        <v>5</v>
      </c>
      <c r="N1649" s="17">
        <f>K1649*0.08+L1649*0.08</f>
        <v/>
      </c>
      <c r="O1649" s="17">
        <f>-(K1649*0.025+L1649*0.025)</f>
        <v/>
      </c>
      <c r="P1649" s="17">
        <f>32</f>
        <v/>
      </c>
      <c r="Q1649" s="17">
        <f>J1649+L1649+N1649+O1649-P1649-M1649</f>
        <v/>
      </c>
    </row>
    <row r="1650">
      <c r="A1650" s="16" t="inlineStr">
        <is>
          <t>5.15-5.21</t>
        </is>
      </c>
      <c r="B1650" s="16" t="inlineStr">
        <is>
          <t>PO-128-18518585805430693</t>
        </is>
      </c>
      <c r="C1650" s="16" t="inlineStr">
        <is>
          <t>Delivered</t>
        </is>
      </c>
      <c r="D1650" s="16" t="inlineStr">
        <is>
          <t>128-18518596291190693</t>
        </is>
      </c>
      <c r="E1650" s="16" t="inlineStr">
        <is>
          <t>Delivered</t>
        </is>
      </c>
      <c r="F1650" s="16" t="inlineStr">
        <is>
          <t>LV25W22</t>
        </is>
      </c>
      <c r="G16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0" s="16" t="inlineStr">
        <is>
          <t>LV25W32</t>
        </is>
      </c>
      <c r="I1650" s="16" t="n">
        <v>1</v>
      </c>
      <c r="J1650" s="17" t="n">
        <v>90.43000000000001</v>
      </c>
      <c r="K1650" s="17" t="n">
        <v>100.84</v>
      </c>
      <c r="L1650" s="17" t="n">
        <v>25.86</v>
      </c>
      <c r="M1650" s="17" t="n">
        <v>0</v>
      </c>
      <c r="N1650" s="17">
        <f>K1650*0.08+L1650*0.08</f>
        <v/>
      </c>
      <c r="O1650" s="17">
        <f>-(K1650*0.025+L1650*0.025)</f>
        <v/>
      </c>
      <c r="P1650" s="17">
        <f>32</f>
        <v/>
      </c>
      <c r="Q1650" s="17">
        <f>J1650+L1650+N1650+O1650-P1650-M1650</f>
        <v/>
      </c>
    </row>
    <row r="1651">
      <c r="A1651" s="16" t="inlineStr">
        <is>
          <t>5.15-5.21</t>
        </is>
      </c>
      <c r="B1651" s="16" t="inlineStr">
        <is>
          <t>PO-128-17947859231353199</t>
        </is>
      </c>
      <c r="C1651" s="16" t="inlineStr">
        <is>
          <t>Delivered</t>
        </is>
      </c>
      <c r="D1651" s="16" t="inlineStr">
        <is>
          <t>128-17947911660153199</t>
        </is>
      </c>
      <c r="E1651" s="16" t="inlineStr">
        <is>
          <t>Delivered</t>
        </is>
      </c>
      <c r="F1651" s="16" t="inlineStr">
        <is>
          <t>LV25W22</t>
        </is>
      </c>
      <c r="G16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1" s="16" t="inlineStr">
        <is>
          <t>LV25W32</t>
        </is>
      </c>
      <c r="I1651" s="16" t="n">
        <v>1</v>
      </c>
      <c r="J1651" s="17" t="n">
        <v>90.43000000000001</v>
      </c>
      <c r="K1651" s="17" t="n">
        <v>100.84</v>
      </c>
      <c r="L1651" s="17" t="n">
        <v>25.86</v>
      </c>
      <c r="M1651" s="17" t="n">
        <v>0</v>
      </c>
      <c r="N1651" s="17">
        <f>K1651*0.08+L1651*0.08</f>
        <v/>
      </c>
      <c r="O1651" s="17">
        <f>-(K1651*0.025+L1651*0.025)</f>
        <v/>
      </c>
      <c r="P1651" s="17">
        <f>32</f>
        <v/>
      </c>
      <c r="Q1651" s="17">
        <f>J1651+L1651+N1651+O1651-P1651-M1651</f>
        <v/>
      </c>
    </row>
    <row r="1652">
      <c r="A1652" s="16" t="inlineStr">
        <is>
          <t>5.15-5.21</t>
        </is>
      </c>
      <c r="B1652" s="16" t="inlineStr">
        <is>
          <t>PO-128-18062561086072323</t>
        </is>
      </c>
      <c r="C1652" s="16" t="inlineStr">
        <is>
          <t>Delivered</t>
        </is>
      </c>
      <c r="D1652" s="16" t="inlineStr">
        <is>
          <t>128-18062544374392323</t>
        </is>
      </c>
      <c r="E1652" s="16" t="inlineStr">
        <is>
          <t>Delivered</t>
        </is>
      </c>
      <c r="F1652" s="16" t="inlineStr">
        <is>
          <t>LV25W22</t>
        </is>
      </c>
      <c r="G16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2" s="16" t="inlineStr">
        <is>
          <t>LV25W32</t>
        </is>
      </c>
      <c r="I1652" s="16" t="n">
        <v>2</v>
      </c>
      <c r="J1652" s="17" t="n">
        <v>180.86</v>
      </c>
      <c r="K1652" s="17" t="n">
        <v>201.68</v>
      </c>
      <c r="L1652" s="17" t="n">
        <v>25.86</v>
      </c>
      <c r="M1652" s="17" t="n">
        <v>0</v>
      </c>
      <c r="N1652" s="17">
        <f>K1652*0.08+L1652*0.08</f>
        <v/>
      </c>
      <c r="O1652" s="17">
        <f>-(K1652*0.025+L1652*0.025)</f>
        <v/>
      </c>
      <c r="P1652" s="17">
        <f>32</f>
        <v/>
      </c>
      <c r="Q1652" s="17">
        <f>J1652+L1652+N1652+O1652-P1652-M1652</f>
        <v/>
      </c>
    </row>
    <row r="1653">
      <c r="A1653" s="16" t="inlineStr">
        <is>
          <t>5.15-5.21</t>
        </is>
      </c>
      <c r="B1653" s="16" t="inlineStr">
        <is>
          <t>PO-128-17921126840953292</t>
        </is>
      </c>
      <c r="C1653" s="16" t="inlineStr">
        <is>
          <t>Delivered</t>
        </is>
      </c>
      <c r="D1653" s="16" t="inlineStr">
        <is>
          <t>128-17921147812473292</t>
        </is>
      </c>
      <c r="E1653" s="16" t="inlineStr">
        <is>
          <t>Delivered</t>
        </is>
      </c>
      <c r="F1653" s="16" t="inlineStr">
        <is>
          <t>S58W60</t>
        </is>
      </c>
      <c r="G1653"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653" s="16" t="inlineStr">
        <is>
          <t>1 pieza</t>
        </is>
      </c>
      <c r="I1653" s="16" t="n">
        <v>1</v>
      </c>
      <c r="J1653" s="17" t="n">
        <v>42</v>
      </c>
      <c r="K1653" s="17" t="n">
        <v>59.53</v>
      </c>
      <c r="L1653" s="17" t="n">
        <v>25.86</v>
      </c>
      <c r="M1653" s="17" t="n">
        <v>0</v>
      </c>
      <c r="N1653" s="17">
        <f>K1653*0.08+L1653*0.08</f>
        <v/>
      </c>
      <c r="O1653" s="17">
        <f>-(K1653*0.025+L1653*0.025)</f>
        <v/>
      </c>
      <c r="P1653" s="17">
        <f>32</f>
        <v/>
      </c>
      <c r="Q1653" s="17">
        <f>J1653+L1653+N1653+O1653-P1653-M1653</f>
        <v/>
      </c>
    </row>
    <row r="1654">
      <c r="A1654" s="16" t="inlineStr">
        <is>
          <t>5.15-5.21</t>
        </is>
      </c>
      <c r="B1654" s="16" t="inlineStr">
        <is>
          <t>PO-128-18032209429113654</t>
        </is>
      </c>
      <c r="C1654" s="16" t="inlineStr">
        <is>
          <t>Delivered</t>
        </is>
      </c>
      <c r="D1654" s="16" t="inlineStr">
        <is>
          <t>128-18032251372153654</t>
        </is>
      </c>
      <c r="E1654" s="16" t="inlineStr">
        <is>
          <t>Delivered</t>
        </is>
      </c>
      <c r="F1654" s="16" t="inlineStr">
        <is>
          <t>LV25W22</t>
        </is>
      </c>
      <c r="G16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4" s="16" t="inlineStr">
        <is>
          <t>LV25W32</t>
        </is>
      </c>
      <c r="I1654" s="16" t="n">
        <v>1</v>
      </c>
      <c r="J1654" s="17" t="n">
        <v>90.43000000000001</v>
      </c>
      <c r="K1654" s="17" t="n">
        <v>100.84</v>
      </c>
      <c r="L1654" s="17" t="n">
        <v>25.86</v>
      </c>
      <c r="M1654" s="17" t="n">
        <v>0</v>
      </c>
      <c r="N1654" s="17">
        <f>K1654*0.08+L1654*0.08</f>
        <v/>
      </c>
      <c r="O1654" s="17">
        <f>-(K1654*0.025+L1654*0.025)</f>
        <v/>
      </c>
      <c r="P1654" s="17">
        <f>32</f>
        <v/>
      </c>
      <c r="Q1654" s="17">
        <f>J1654+L1654+N1654+O1654-P1654-M1654</f>
        <v/>
      </c>
    </row>
    <row r="1655">
      <c r="A1655" s="16" t="inlineStr">
        <is>
          <t>5.15-5.21</t>
        </is>
      </c>
      <c r="B1655" s="16" t="inlineStr">
        <is>
          <t>PO-128-18084437269112193</t>
        </is>
      </c>
      <c r="C1655" s="16" t="inlineStr">
        <is>
          <t>Delivered</t>
        </is>
      </c>
      <c r="D1655" s="16" t="inlineStr">
        <is>
          <t>128-18084458240632193</t>
        </is>
      </c>
      <c r="E1655" s="16" t="inlineStr">
        <is>
          <t>Delivered</t>
        </is>
      </c>
      <c r="F1655" s="16" t="inlineStr">
        <is>
          <t>LV25W22</t>
        </is>
      </c>
      <c r="G16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5" s="16" t="inlineStr">
        <is>
          <t>LV25W32</t>
        </is>
      </c>
      <c r="I1655" s="16" t="n">
        <v>3</v>
      </c>
      <c r="J1655" s="17" t="n">
        <v>271.29</v>
      </c>
      <c r="K1655" s="17" t="n">
        <v>242.03</v>
      </c>
      <c r="L1655" s="17" t="n">
        <v>0</v>
      </c>
      <c r="M1655" s="17" t="n">
        <v>0</v>
      </c>
      <c r="N1655" s="17">
        <f>K1655*0.08+L1655*0.08</f>
        <v/>
      </c>
      <c r="O1655" s="17">
        <f>-(K1655*0.025+L1655*0.025)</f>
        <v/>
      </c>
      <c r="P1655" s="17">
        <f>32</f>
        <v/>
      </c>
      <c r="Q1655" s="17">
        <f>J1655+L1655+N1655+O1655-P1655-M1655</f>
        <v/>
      </c>
    </row>
    <row r="1656">
      <c r="A1656" s="16" t="inlineStr">
        <is>
          <t>5.15-5.21</t>
        </is>
      </c>
      <c r="B1656" s="16" t="inlineStr">
        <is>
          <t>PO-128-17992853627513955</t>
        </is>
      </c>
      <c r="C1656" s="16" t="inlineStr">
        <is>
          <t>Delivered</t>
        </is>
      </c>
      <c r="D1656" s="16" t="inlineStr">
        <is>
          <t>128-17992811684473955</t>
        </is>
      </c>
      <c r="E1656" s="16" t="inlineStr">
        <is>
          <t>Delivered</t>
        </is>
      </c>
      <c r="F1656" s="16" t="inlineStr">
        <is>
          <t>MCM-001N</t>
        </is>
      </c>
      <c r="G1656" s="16" t="inlineStr">
        <is>
          <t>Musicord Altavoz Inalámbrico BT Portátil: ¡Sonido impactante, luces LED multicolores y 4 horas de autonomía! Compatible con TWS, FM, TF y USB – Imprescindible para fiestas y viajes</t>
        </is>
      </c>
      <c r="H1656" s="16" t="inlineStr">
        <is>
          <t>NEGRO</t>
        </is>
      </c>
      <c r="I1656" s="16" t="n">
        <v>1</v>
      </c>
      <c r="J1656" s="17" t="n">
        <v>66</v>
      </c>
      <c r="K1656" s="17" t="n">
        <v>73.79000000000001</v>
      </c>
      <c r="L1656" s="17" t="n">
        <v>25.86</v>
      </c>
      <c r="M1656" s="17" t="n">
        <v>0</v>
      </c>
      <c r="N1656" s="17">
        <f>K1656*0.08+L1656*0.08</f>
        <v/>
      </c>
      <c r="O1656" s="17">
        <f>-(K1656*0.025+L1656*0.025)</f>
        <v/>
      </c>
      <c r="P1656" s="17">
        <f>32</f>
        <v/>
      </c>
      <c r="Q1656" s="17">
        <f>J1656+L1656+N1656+O1656-P1656-M1656</f>
        <v/>
      </c>
    </row>
    <row r="1657">
      <c r="A1657" s="16" t="inlineStr">
        <is>
          <t>5.15-5.21</t>
        </is>
      </c>
      <c r="B1657" s="16" t="inlineStr">
        <is>
          <t>PO-128-18251901112951387</t>
        </is>
      </c>
      <c r="C1657" s="16" t="inlineStr">
        <is>
          <t>Delivered</t>
        </is>
      </c>
      <c r="D1657" s="16" t="inlineStr">
        <is>
          <t>128-18251859169911387</t>
        </is>
      </c>
      <c r="E1657" s="16" t="inlineStr">
        <is>
          <t>Delivered</t>
        </is>
      </c>
      <c r="F1657" s="16" t="inlineStr">
        <is>
          <t>S09W18IB-8PZS</t>
        </is>
      </c>
      <c r="G165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57" s="16" t="inlineStr">
        <is>
          <t>8 piezas</t>
        </is>
      </c>
      <c r="I1657" s="16" t="n">
        <v>1</v>
      </c>
      <c r="J1657" s="17" t="n">
        <v>202.93</v>
      </c>
      <c r="K1657" s="17" t="n">
        <v>240.89</v>
      </c>
      <c r="L1657" s="17" t="n">
        <v>25.86</v>
      </c>
      <c r="M1657" s="17" t="n">
        <v>0</v>
      </c>
      <c r="N1657" s="17">
        <f>K1657*0.08+L1657*0.08</f>
        <v/>
      </c>
      <c r="O1657" s="17">
        <f>-(K1657*0.025+L1657*0.025)</f>
        <v/>
      </c>
      <c r="P1657" s="17">
        <f>32</f>
        <v/>
      </c>
      <c r="Q1657" s="17">
        <f>J1657+L1657+N1657+O1657-P1657-M1657</f>
        <v/>
      </c>
    </row>
    <row r="1658">
      <c r="A1658" s="16" t="inlineStr">
        <is>
          <t>5.15-5.21</t>
        </is>
      </c>
      <c r="B1658" s="16" t="inlineStr">
        <is>
          <t>PO-128-17943106463353163</t>
        </is>
      </c>
      <c r="C1658" s="16" t="inlineStr">
        <is>
          <t>Delivered</t>
        </is>
      </c>
      <c r="D1658" s="16" t="inlineStr">
        <is>
          <t>128-17943127434873163</t>
        </is>
      </c>
      <c r="E1658" s="16" t="inlineStr">
        <is>
          <t>Delivered</t>
        </is>
      </c>
      <c r="F1658" s="16" t="inlineStr">
        <is>
          <t>LV25W22</t>
        </is>
      </c>
      <c r="G165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8" s="16" t="inlineStr">
        <is>
          <t>LV25W32</t>
        </is>
      </c>
      <c r="I1658" s="16" t="n">
        <v>1</v>
      </c>
      <c r="J1658" s="17" t="n">
        <v>90.43000000000001</v>
      </c>
      <c r="K1658" s="17" t="n">
        <v>100.84</v>
      </c>
      <c r="L1658" s="17" t="n">
        <v>25.86</v>
      </c>
      <c r="M1658" s="17" t="n">
        <v>0</v>
      </c>
      <c r="N1658" s="17">
        <f>K1658*0.08+L1658*0.08</f>
        <v/>
      </c>
      <c r="O1658" s="17">
        <f>-(K1658*0.025+L1658*0.025)</f>
        <v/>
      </c>
      <c r="P1658" s="17">
        <f>32</f>
        <v/>
      </c>
      <c r="Q1658" s="17">
        <f>J1658+L1658+N1658+O1658-P1658-M1658</f>
        <v/>
      </c>
    </row>
    <row r="1659">
      <c r="A1659" s="16" t="inlineStr">
        <is>
          <t>5.15-5.21</t>
        </is>
      </c>
      <c r="B1659" s="16" t="inlineStr">
        <is>
          <t>PO-128-18007276155513805</t>
        </is>
      </c>
      <c r="C1659" s="16" t="inlineStr">
        <is>
          <t>Delivered</t>
        </is>
      </c>
      <c r="D1659" s="16" t="inlineStr">
        <is>
          <t>128-18007297127033805</t>
        </is>
      </c>
      <c r="E1659" s="16" t="inlineStr">
        <is>
          <t>Delivered</t>
        </is>
      </c>
      <c r="F1659" s="16" t="inlineStr">
        <is>
          <t>LV25W22</t>
        </is>
      </c>
      <c r="G16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59" s="16" t="inlineStr">
        <is>
          <t>LV25W32</t>
        </is>
      </c>
      <c r="I1659" s="16" t="n">
        <v>1</v>
      </c>
      <c r="J1659" s="17" t="n">
        <v>90.43000000000001</v>
      </c>
      <c r="K1659" s="17" t="n">
        <v>100.84</v>
      </c>
      <c r="L1659" s="17" t="n">
        <v>25.86</v>
      </c>
      <c r="M1659" s="17" t="n">
        <v>0</v>
      </c>
      <c r="N1659" s="17">
        <f>K1659*0.08+L1659*0.08</f>
        <v/>
      </c>
      <c r="O1659" s="17">
        <f>-(K1659*0.025+L1659*0.025)</f>
        <v/>
      </c>
      <c r="P1659" s="17">
        <f>32</f>
        <v/>
      </c>
      <c r="Q1659" s="17">
        <f>J1659+L1659+N1659+O1659-P1659-M1659</f>
        <v/>
      </c>
    </row>
    <row r="1660">
      <c r="A1660" s="16" t="inlineStr">
        <is>
          <t>5.15-5.21</t>
        </is>
      </c>
      <c r="B1660" s="16" t="inlineStr">
        <is>
          <t>PO-128-18502608676470850</t>
        </is>
      </c>
      <c r="C1660" s="16" t="inlineStr">
        <is>
          <t>Delivered</t>
        </is>
      </c>
      <c r="D1660" s="16" t="inlineStr">
        <is>
          <t>128-18502590326390850</t>
        </is>
      </c>
      <c r="E1660" s="16" t="inlineStr">
        <is>
          <t>Delivered</t>
        </is>
      </c>
      <c r="F1660" s="16" t="inlineStr">
        <is>
          <t>LV25W22</t>
        </is>
      </c>
      <c r="G166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60" s="16" t="inlineStr">
        <is>
          <t>LV25W32</t>
        </is>
      </c>
      <c r="I1660" s="16" t="n">
        <v>3</v>
      </c>
      <c r="J1660" s="17" t="n">
        <v>271.29</v>
      </c>
      <c r="K1660" s="17" t="n">
        <v>302.52</v>
      </c>
      <c r="L1660" s="17" t="n">
        <v>0</v>
      </c>
      <c r="M1660" s="17" t="n">
        <v>0</v>
      </c>
      <c r="N1660" s="17">
        <f>K1660*0.08+L1660*0.08</f>
        <v/>
      </c>
      <c r="O1660" s="17">
        <f>-(K1660*0.025+L1660*0.025)</f>
        <v/>
      </c>
      <c r="P1660" s="17">
        <f>32</f>
        <v/>
      </c>
      <c r="Q1660" s="17">
        <f>J1660+L1660+N1660+O1660-P1660-M1660</f>
        <v/>
      </c>
    </row>
    <row r="1661">
      <c r="A1661" s="16" t="inlineStr">
        <is>
          <t>5.15-5.21</t>
        </is>
      </c>
      <c r="B1661" s="16" t="inlineStr">
        <is>
          <t>PO-128-18383370168950411</t>
        </is>
      </c>
      <c r="C1661" s="16" t="inlineStr">
        <is>
          <t>Delivered</t>
        </is>
      </c>
      <c r="D1661" s="16" t="inlineStr">
        <is>
          <t>128-18383349197430411</t>
        </is>
      </c>
      <c r="E1661" s="16" t="inlineStr">
        <is>
          <t>Delivered</t>
        </is>
      </c>
      <c r="F1661" s="16" t="inlineStr">
        <is>
          <t>LV25W22</t>
        </is>
      </c>
      <c r="G16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61" s="16" t="inlineStr">
        <is>
          <t>LV25W32</t>
        </is>
      </c>
      <c r="I1661" s="16" t="n">
        <v>1</v>
      </c>
      <c r="J1661" s="17" t="n">
        <v>90.43000000000001</v>
      </c>
      <c r="K1661" s="17" t="n">
        <v>80.68000000000001</v>
      </c>
      <c r="L1661" s="17" t="n">
        <v>25.86</v>
      </c>
      <c r="M1661" s="17" t="n">
        <v>0</v>
      </c>
      <c r="N1661" s="17">
        <f>K1661*0.08+L1661*0.08</f>
        <v/>
      </c>
      <c r="O1661" s="17">
        <f>-(K1661*0.025+L1661*0.025)</f>
        <v/>
      </c>
      <c r="P1661" s="17">
        <f>32</f>
        <v/>
      </c>
      <c r="Q1661" s="17">
        <f>J1661+L1661+N1661+O1661-P1661-M1661</f>
        <v/>
      </c>
    </row>
    <row r="1662">
      <c r="A1662" s="16" t="inlineStr">
        <is>
          <t>5.15-5.21</t>
        </is>
      </c>
      <c r="B1662" s="16" t="inlineStr">
        <is>
          <t>PO-128-18265668874871241</t>
        </is>
      </c>
      <c r="C1662" s="16" t="inlineStr">
        <is>
          <t>Delivered</t>
        </is>
      </c>
      <c r="D1662" s="16" t="inlineStr">
        <is>
          <t>128-18265663631991241</t>
        </is>
      </c>
      <c r="E1662" s="16" t="inlineStr">
        <is>
          <t>Delivered</t>
        </is>
      </c>
      <c r="F1662" s="16" t="inlineStr">
        <is>
          <t>LV25W22</t>
        </is>
      </c>
      <c r="G166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62" s="16" t="inlineStr">
        <is>
          <t>LV25W32</t>
        </is>
      </c>
      <c r="I1662" s="16" t="n">
        <v>1</v>
      </c>
      <c r="J1662" s="17" t="n">
        <v>90.43000000000001</v>
      </c>
      <c r="K1662" s="17" t="n">
        <v>100.84</v>
      </c>
      <c r="L1662" s="17" t="n">
        <v>25.86</v>
      </c>
      <c r="M1662" s="17" t="n">
        <v>0</v>
      </c>
      <c r="N1662" s="17">
        <f>K1662*0.08+L1662*0.08</f>
        <v/>
      </c>
      <c r="O1662" s="17">
        <f>-(K1662*0.025+L1662*0.025)</f>
        <v/>
      </c>
      <c r="P1662" s="17">
        <f>32</f>
        <v/>
      </c>
      <c r="Q1662" s="17">
        <f>J1662+L1662+N1662+O1662-P1662-M1662</f>
        <v/>
      </c>
    </row>
    <row r="1663">
      <c r="A1663" s="16" t="inlineStr">
        <is>
          <t>5.15-5.21</t>
        </is>
      </c>
      <c r="B1663" s="16" t="inlineStr">
        <is>
          <t>PO-128-18481249495670978</t>
        </is>
      </c>
      <c r="C1663" s="16" t="inlineStr">
        <is>
          <t>Delivered</t>
        </is>
      </c>
      <c r="D1663" s="16" t="inlineStr">
        <is>
          <t>128-18481207552630978</t>
        </is>
      </c>
      <c r="E1663" s="16" t="inlineStr">
        <is>
          <t>Delivered</t>
        </is>
      </c>
      <c r="F1663" s="16" t="inlineStr">
        <is>
          <t>LV25W22</t>
        </is>
      </c>
      <c r="G16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63" s="16" t="inlineStr">
        <is>
          <t>LV25W32</t>
        </is>
      </c>
      <c r="I1663" s="16" t="n">
        <v>3</v>
      </c>
      <c r="J1663" s="17" t="n">
        <v>271.29</v>
      </c>
      <c r="K1663" s="17" t="n">
        <v>302.52</v>
      </c>
      <c r="L1663" s="17" t="n">
        <v>0</v>
      </c>
      <c r="M1663" s="17" t="n">
        <v>0</v>
      </c>
      <c r="N1663" s="17">
        <f>K1663*0.08+L1663*0.08</f>
        <v/>
      </c>
      <c r="O1663" s="17">
        <f>-(K1663*0.025+L1663*0.025)</f>
        <v/>
      </c>
      <c r="P1663" s="17">
        <f>32</f>
        <v/>
      </c>
      <c r="Q1663" s="17">
        <f>J1663+L1663+N1663+O1663-P1663-M1663</f>
        <v/>
      </c>
    </row>
    <row r="1664">
      <c r="A1664" s="16" t="inlineStr">
        <is>
          <t>5.15-5.21</t>
        </is>
      </c>
      <c r="B1664" s="16" t="inlineStr">
        <is>
          <t>PO-128-18436817767030221</t>
        </is>
      </c>
      <c r="C1664" s="16" t="inlineStr">
        <is>
          <t>Delivered</t>
        </is>
      </c>
      <c r="D1664" s="16" t="inlineStr">
        <is>
          <t>128-18436775823990221</t>
        </is>
      </c>
      <c r="E1664" s="16" t="inlineStr">
        <is>
          <t>Delivered</t>
        </is>
      </c>
      <c r="F1664" s="16" t="inlineStr">
        <is>
          <t>S09W18IB-8PZS</t>
        </is>
      </c>
      <c r="G166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64" s="16" t="inlineStr">
        <is>
          <t>8 piezas</t>
        </is>
      </c>
      <c r="I1664" s="16" t="n">
        <v>1</v>
      </c>
      <c r="J1664" s="17" t="n">
        <v>202.93</v>
      </c>
      <c r="K1664" s="17" t="n">
        <v>240.89</v>
      </c>
      <c r="L1664" s="17" t="n">
        <v>25.86</v>
      </c>
      <c r="M1664" s="17" t="n">
        <v>0</v>
      </c>
      <c r="N1664" s="17">
        <f>K1664*0.08+L1664*0.08</f>
        <v/>
      </c>
      <c r="O1664" s="17">
        <f>-(K1664*0.025+L1664*0.025)</f>
        <v/>
      </c>
      <c r="P1664" s="17">
        <f>32</f>
        <v/>
      </c>
      <c r="Q1664" s="17">
        <f>J1664+L1664+N1664+O1664-P1664-M1664</f>
        <v/>
      </c>
    </row>
    <row r="1665">
      <c r="A1665" s="16" t="inlineStr">
        <is>
          <t>5.15-5.21</t>
        </is>
      </c>
      <c r="B1665" s="16" t="inlineStr">
        <is>
          <t>PO-128-18519890883190685</t>
        </is>
      </c>
      <c r="C1665" s="16" t="inlineStr">
        <is>
          <t>Delivered</t>
        </is>
      </c>
      <c r="D1665" s="16" t="inlineStr">
        <is>
          <t>128-18519903990390685</t>
        </is>
      </c>
      <c r="E1665" s="16" t="inlineStr">
        <is>
          <t>Delivered</t>
        </is>
      </c>
      <c r="F1665" s="16" t="inlineStr">
        <is>
          <t>LV25W22</t>
        </is>
      </c>
      <c r="G16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65" s="16" t="inlineStr">
        <is>
          <t>LV25W32</t>
        </is>
      </c>
      <c r="I1665" s="16" t="n">
        <v>1</v>
      </c>
      <c r="J1665" s="17" t="n">
        <v>90.43000000000001</v>
      </c>
      <c r="K1665" s="17" t="n">
        <v>100.84</v>
      </c>
      <c r="L1665" s="17" t="n">
        <v>25.86</v>
      </c>
      <c r="M1665" s="17" t="n">
        <v>0</v>
      </c>
      <c r="N1665" s="17">
        <f>K1665*0.08+L1665*0.08</f>
        <v/>
      </c>
      <c r="O1665" s="17">
        <f>-(K1665*0.025+L1665*0.025)</f>
        <v/>
      </c>
      <c r="P1665" s="17">
        <f>32</f>
        <v/>
      </c>
      <c r="Q1665" s="17">
        <f>J1665+L1665+N1665+O1665-P1665-M1665</f>
        <v/>
      </c>
    </row>
    <row r="1666">
      <c r="A1666" s="16" t="inlineStr">
        <is>
          <t>5.15-5.21</t>
        </is>
      </c>
      <c r="B1666" s="16" t="inlineStr">
        <is>
          <t>PO-128-17992770755193955</t>
        </is>
      </c>
      <c r="C1666" s="16" t="inlineStr">
        <is>
          <t>Delivered</t>
        </is>
      </c>
      <c r="D1666" s="16" t="inlineStr">
        <is>
          <t>128-17992804833913955</t>
        </is>
      </c>
      <c r="E1666" s="16" t="inlineStr">
        <is>
          <t>Delivered</t>
        </is>
      </c>
      <c r="F1666" s="16" t="inlineStr">
        <is>
          <t>FA028</t>
        </is>
      </c>
      <c r="G1666" s="16" t="inlineStr">
        <is>
          <t>Extractor de agua para garrafas de agua, compatible con carga USB, extractor de agua automático, práctico, con dos modos de toma de agua: manual y programado, ideal para dormitorios, salones, oficinas, uso al aire libre y otros escenarios.</t>
        </is>
      </c>
      <c r="H1666" s="16" t="inlineStr">
        <is>
          <t>FA028</t>
        </is>
      </c>
      <c r="I1666" s="16" t="n">
        <v>1</v>
      </c>
      <c r="J1666" s="17" t="n">
        <v>27</v>
      </c>
      <c r="K1666" s="17" t="n">
        <v>32.92</v>
      </c>
      <c r="L1666" s="17" t="n">
        <v>25.86</v>
      </c>
      <c r="M1666" s="17" t="n">
        <v>0</v>
      </c>
      <c r="N1666" s="17">
        <f>K1666*0.08+L1666*0.08</f>
        <v/>
      </c>
      <c r="O1666" s="17">
        <f>-(K1666*0.025+L1666*0.025)</f>
        <v/>
      </c>
      <c r="P1666" s="17">
        <f>32</f>
        <v/>
      </c>
      <c r="Q1666" s="17">
        <f>J1666+L1666+N1666+O1666-P1666-M1666</f>
        <v/>
      </c>
    </row>
    <row r="1667">
      <c r="A1667" s="16" t="inlineStr">
        <is>
          <t>5.15-5.21</t>
        </is>
      </c>
      <c r="B1667" s="16" t="inlineStr">
        <is>
          <t>PO-128-17967030835834045</t>
        </is>
      </c>
      <c r="C1667" s="16" t="inlineStr">
        <is>
          <t>Delivered</t>
        </is>
      </c>
      <c r="D1667" s="16" t="inlineStr">
        <is>
          <t>128-17966988892794045</t>
        </is>
      </c>
      <c r="E1667" s="16" t="inlineStr">
        <is>
          <t>Delivered</t>
        </is>
      </c>
      <c r="F1667" s="16" t="inlineStr">
        <is>
          <t>SA323T</t>
        </is>
      </c>
      <c r="G1667" s="16" t="inlineStr">
        <is>
          <t>Linkbits Bocina Portátil Parlantes BT Portátiles con Iluminación de Ambiente | 1 Hora de Duración, FM, TWS, TF/Micro SD | Ideal para Hogar, Fiestas y Viajes</t>
        </is>
      </c>
      <c r="H1667" s="16" t="inlineStr">
        <is>
          <t>SA323T</t>
        </is>
      </c>
      <c r="I1667" s="16" t="n">
        <v>1</v>
      </c>
      <c r="J1667" s="17" t="n">
        <v>37.71</v>
      </c>
      <c r="K1667" s="17" t="n">
        <v>46.77</v>
      </c>
      <c r="L1667" s="17" t="n">
        <v>25.86</v>
      </c>
      <c r="M1667" s="17" t="n">
        <v>0</v>
      </c>
      <c r="N1667" s="17">
        <f>K1667*0.08+L1667*0.08</f>
        <v/>
      </c>
      <c r="O1667" s="17">
        <f>-(K1667*0.025+L1667*0.025)</f>
        <v/>
      </c>
      <c r="P1667" s="17">
        <f>32</f>
        <v/>
      </c>
      <c r="Q1667" s="17">
        <f>J1667+L1667+N1667+O1667-P1667-M1667</f>
        <v/>
      </c>
    </row>
    <row r="1668">
      <c r="A1668" s="16" t="inlineStr">
        <is>
          <t>5.15-5.21</t>
        </is>
      </c>
      <c r="B1668" s="16" t="inlineStr">
        <is>
          <t>PO-128-17906179349113447</t>
        </is>
      </c>
      <c r="C1668" s="16" t="inlineStr">
        <is>
          <t>Delivered</t>
        </is>
      </c>
      <c r="D1668" s="16" t="inlineStr">
        <is>
          <t>128-17906192456313447</t>
        </is>
      </c>
      <c r="E1668" s="16" t="inlineStr">
        <is>
          <t>Delivered</t>
        </is>
      </c>
      <c r="F1668" s="16" t="inlineStr">
        <is>
          <t>LV34W04</t>
        </is>
      </c>
      <c r="G166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668" s="16" t="inlineStr">
        <is>
          <t>LV34W04</t>
        </is>
      </c>
      <c r="I1668" s="16" t="n">
        <v>1</v>
      </c>
      <c r="J1668" s="17" t="n">
        <v>220</v>
      </c>
      <c r="K1668" s="17" t="n">
        <v>278.82</v>
      </c>
      <c r="L1668" s="17" t="n">
        <v>0</v>
      </c>
      <c r="M1668" s="17" t="n">
        <v>0</v>
      </c>
      <c r="N1668" s="17">
        <f>K1668*0.08+L1668*0.08</f>
        <v/>
      </c>
      <c r="O1668" s="17">
        <f>-(K1668*0.025+L1668*0.025)</f>
        <v/>
      </c>
      <c r="P1668" s="17">
        <f>32</f>
        <v/>
      </c>
      <c r="Q1668" s="17">
        <f>J1668+L1668+N1668+O1668-P1668-M1668</f>
        <v/>
      </c>
    </row>
    <row r="1669">
      <c r="A1669" s="16" t="inlineStr">
        <is>
          <t>5.15-5.21</t>
        </is>
      </c>
      <c r="B1669" s="16" t="inlineStr">
        <is>
          <t>PO-128-17889010427513356</t>
        </is>
      </c>
      <c r="C1669" s="16" t="inlineStr">
        <is>
          <t>Delivered</t>
        </is>
      </c>
      <c r="D1669" s="16" t="inlineStr">
        <is>
          <t>128-17888968484473356</t>
        </is>
      </c>
      <c r="E1669" s="16" t="inlineStr">
        <is>
          <t>Delivered</t>
        </is>
      </c>
      <c r="F1669" s="16" t="inlineStr">
        <is>
          <t>LB02235-negro</t>
        </is>
      </c>
      <c r="G1669" s="16" t="inlineStr">
        <is>
          <t>Audífonos Inalámbricos para la Cabeza, Recargables y Multifuncionales - Conectan a Varios Dispositivos, soportan Radio FM, Tarjeta TF y AUX - 4 Horas de Reproducción Musical - Ideal para Trabajo Cotidiano, Juegos y Estudio</t>
        </is>
      </c>
      <c r="H1669" s="16" t="inlineStr">
        <is>
          <t>NEGRO</t>
        </is>
      </c>
      <c r="I1669" s="16" t="n">
        <v>1</v>
      </c>
      <c r="J1669" s="17" t="n">
        <v>36.5</v>
      </c>
      <c r="K1669" s="17" t="n">
        <v>49.61</v>
      </c>
      <c r="L1669" s="17" t="n">
        <v>25.86</v>
      </c>
      <c r="M1669" s="17" t="n">
        <v>0</v>
      </c>
      <c r="N1669" s="17">
        <f>K1669*0.08+L1669*0.08</f>
        <v/>
      </c>
      <c r="O1669" s="17">
        <f>-(K1669*0.025+L1669*0.025)</f>
        <v/>
      </c>
      <c r="P1669" s="17">
        <f>32</f>
        <v/>
      </c>
      <c r="Q1669" s="17">
        <f>J1669+L1669+N1669+O1669-P1669-M1669</f>
        <v/>
      </c>
    </row>
    <row r="1670">
      <c r="A1670" s="16" t="inlineStr">
        <is>
          <t>5.15-5.21</t>
        </is>
      </c>
      <c r="B1670" s="16" t="inlineStr">
        <is>
          <t>PO-128-18138964593273018</t>
        </is>
      </c>
      <c r="C1670" s="16" t="inlineStr">
        <is>
          <t>Delivered</t>
        </is>
      </c>
      <c r="D1670" s="16" t="inlineStr">
        <is>
          <t>128-18138985564793018</t>
        </is>
      </c>
      <c r="E1670" s="16" t="inlineStr">
        <is>
          <t>Delivered</t>
        </is>
      </c>
      <c r="F1670" s="16" t="inlineStr">
        <is>
          <t>MCM-001N</t>
        </is>
      </c>
      <c r="G1670" s="16" t="inlineStr">
        <is>
          <t>Musicord Altavoz Inalámbrico BT Portátil: ¡Sonido impactante, luces LED multicolores y 4 horas de autonomía! Compatible con TWS, FM, TF y USB – Imprescindible para fiestas y viajes</t>
        </is>
      </c>
      <c r="H1670" s="16" t="inlineStr">
        <is>
          <t>NEGRO</t>
        </is>
      </c>
      <c r="I1670" s="16" t="n">
        <v>1</v>
      </c>
      <c r="J1670" s="17" t="n">
        <v>61</v>
      </c>
      <c r="K1670" s="17" t="n">
        <v>68.79000000000001</v>
      </c>
      <c r="L1670" s="17" t="n">
        <v>25.86</v>
      </c>
      <c r="M1670" s="17" t="n">
        <v>0</v>
      </c>
      <c r="N1670" s="17">
        <f>K1670*0.08+L1670*0.08</f>
        <v/>
      </c>
      <c r="O1670" s="17">
        <f>-(K1670*0.025+L1670*0.025)</f>
        <v/>
      </c>
      <c r="P1670" s="17">
        <f>32</f>
        <v/>
      </c>
      <c r="Q1670" s="17">
        <f>J1670+L1670+N1670+O1670-P1670-M1670</f>
        <v/>
      </c>
    </row>
    <row r="1671">
      <c r="A1671" s="16" t="inlineStr">
        <is>
          <t>5.15-5.21</t>
        </is>
      </c>
      <c r="B1671" s="16" t="inlineStr">
        <is>
          <t>PO-128-18031940608633656</t>
        </is>
      </c>
      <c r="C1671" s="16" t="inlineStr">
        <is>
          <t>Delivered</t>
        </is>
      </c>
      <c r="D1671" s="16" t="inlineStr">
        <is>
          <t>128-18031961580153656</t>
        </is>
      </c>
      <c r="E1671" s="16" t="inlineStr">
        <is>
          <t>Delivered</t>
        </is>
      </c>
      <c r="F1671" s="16" t="inlineStr">
        <is>
          <t>SA325T</t>
        </is>
      </c>
      <c r="G1671" s="16" t="inlineStr">
        <is>
          <t>Subwoofer Portátil Inalámbrico con Luces RGB, Sonido de Alta Potencia y Batería Duradera, TWS TF USB, Perfecto para Campamento Fiestas y Entretenimiento en Casa</t>
        </is>
      </c>
      <c r="H1671" s="16" t="inlineStr">
        <is>
          <t>NEGRO</t>
        </is>
      </c>
      <c r="I1671" s="16" t="n">
        <v>1</v>
      </c>
      <c r="J1671" s="17" t="n">
        <v>36</v>
      </c>
      <c r="K1671" s="17" t="n">
        <v>1.94</v>
      </c>
      <c r="L1671" s="17" t="n">
        <v>25.86</v>
      </c>
      <c r="M1671" s="17" t="n">
        <v>0</v>
      </c>
      <c r="N1671" s="17">
        <f>K1671*0.08+L1671*0.08</f>
        <v/>
      </c>
      <c r="O1671" s="17">
        <f>-(K1671*0.025+L1671*0.025)</f>
        <v/>
      </c>
      <c r="P1671" s="17">
        <f>32</f>
        <v/>
      </c>
      <c r="Q1671" s="17">
        <f>J1671+L1671+N1671+O1671-P1671-M1671</f>
        <v/>
      </c>
    </row>
    <row r="1672">
      <c r="A1672" s="16" t="inlineStr">
        <is>
          <t>5.15-5.21</t>
        </is>
      </c>
      <c r="B1672" s="16" t="inlineStr">
        <is>
          <t>PO-128-17921660600953291</t>
        </is>
      </c>
      <c r="C1672" s="16" t="inlineStr">
        <is>
          <t>Delivered</t>
        </is>
      </c>
      <c r="D1672" s="16" t="inlineStr">
        <is>
          <t>128-17921639629433291</t>
        </is>
      </c>
      <c r="E1672" s="16" t="inlineStr">
        <is>
          <t>Delivered</t>
        </is>
      </c>
      <c r="F1672" s="16" t="inlineStr">
        <is>
          <t>LV25W22</t>
        </is>
      </c>
      <c r="G167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72" s="16" t="inlineStr">
        <is>
          <t>LV25W32</t>
        </is>
      </c>
      <c r="I1672" s="16" t="n">
        <v>1</v>
      </c>
      <c r="J1672" s="17" t="n">
        <v>90.43000000000001</v>
      </c>
      <c r="K1672" s="17" t="n">
        <v>100.84</v>
      </c>
      <c r="L1672" s="17" t="n">
        <v>25.86</v>
      </c>
      <c r="M1672" s="17" t="n">
        <v>0</v>
      </c>
      <c r="N1672" s="17">
        <f>K1672*0.08+L1672*0.08</f>
        <v/>
      </c>
      <c r="O1672" s="17">
        <f>-(K1672*0.025+L1672*0.025)</f>
        <v/>
      </c>
      <c r="P1672" s="17">
        <f>32</f>
        <v/>
      </c>
      <c r="Q1672" s="17">
        <f>J1672+L1672+N1672+O1672-P1672-M1672</f>
        <v/>
      </c>
    </row>
    <row r="1673">
      <c r="A1673" s="16" t="inlineStr">
        <is>
          <t>5.15-5.21</t>
        </is>
      </c>
      <c r="B1673" s="16" t="inlineStr">
        <is>
          <t>PO-128-18339930327671692</t>
        </is>
      </c>
      <c r="C1673" s="16" t="inlineStr">
        <is>
          <t>Delivered</t>
        </is>
      </c>
      <c r="D1673" s="16" t="inlineStr">
        <is>
          <t>128-18339950316151692</t>
        </is>
      </c>
      <c r="E1673" s="16" t="inlineStr">
        <is>
          <t>Delivered</t>
        </is>
      </c>
      <c r="F1673" s="16" t="inlineStr">
        <is>
          <t>MCM-001N</t>
        </is>
      </c>
      <c r="G1673" s="16" t="inlineStr">
        <is>
          <t>Musicord Altavoz Inalámbrico BT Portátil: ¡Sonido impactante, luces LED multicolores y 4 horas de autonomía! Compatible con TWS, FM, TF y USB – Imprescindible para fiestas y viajes</t>
        </is>
      </c>
      <c r="H1673" s="16" t="inlineStr">
        <is>
          <t>NEGRO</t>
        </is>
      </c>
      <c r="I1673" s="16" t="n">
        <v>1</v>
      </c>
      <c r="J1673" s="17" t="n">
        <v>61</v>
      </c>
      <c r="K1673" s="17" t="n">
        <v>68.79000000000001</v>
      </c>
      <c r="L1673" s="17" t="n">
        <v>25.86</v>
      </c>
      <c r="M1673" s="17" t="n">
        <v>0</v>
      </c>
      <c r="N1673" s="17">
        <f>K1673*0.08+L1673*0.08</f>
        <v/>
      </c>
      <c r="O1673" s="17">
        <f>-(K1673*0.025+L1673*0.025)</f>
        <v/>
      </c>
      <c r="P1673" s="17">
        <f>32</f>
        <v/>
      </c>
      <c r="Q1673" s="17">
        <f>J1673+L1673+N1673+O1673-P1673-M1673</f>
        <v/>
      </c>
    </row>
    <row r="1674">
      <c r="A1674" s="16" t="inlineStr">
        <is>
          <t>5.15-5.21</t>
        </is>
      </c>
      <c r="B1674" s="16" t="inlineStr">
        <is>
          <t>PO-128-18011602166393779</t>
        </is>
      </c>
      <c r="C1674" s="16" t="inlineStr">
        <is>
          <t>Delivered</t>
        </is>
      </c>
      <c r="D1674" s="16" t="inlineStr">
        <is>
          <t>128-18011598234233779</t>
        </is>
      </c>
      <c r="E1674" s="16" t="inlineStr">
        <is>
          <t>Delivered</t>
        </is>
      </c>
      <c r="F1674" s="16" t="inlineStr">
        <is>
          <t>LV25W22</t>
        </is>
      </c>
      <c r="G16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74" s="16" t="inlineStr">
        <is>
          <t>LV25W32</t>
        </is>
      </c>
      <c r="I1674" s="16" t="n">
        <v>2</v>
      </c>
      <c r="J1674" s="17" t="n">
        <v>180.86</v>
      </c>
      <c r="K1674" s="17" t="n">
        <v>201.68</v>
      </c>
      <c r="L1674" s="17" t="n">
        <v>25.86</v>
      </c>
      <c r="M1674" s="17" t="n">
        <v>0</v>
      </c>
      <c r="N1674" s="17">
        <f>K1674*0.08+L1674*0.08</f>
        <v/>
      </c>
      <c r="O1674" s="17">
        <f>-(K1674*0.025+L1674*0.025)</f>
        <v/>
      </c>
      <c r="P1674" s="17">
        <f>32</f>
        <v/>
      </c>
      <c r="Q1674" s="17">
        <f>J1674+L1674+N1674+O1674-P1674-M1674</f>
        <v/>
      </c>
    </row>
    <row r="1675">
      <c r="A1675" s="16" t="inlineStr">
        <is>
          <t>5.15-5.21</t>
        </is>
      </c>
      <c r="B1675" s="16" t="inlineStr">
        <is>
          <t>PO-128-18148603904632832</t>
        </is>
      </c>
      <c r="C1675" s="16" t="inlineStr">
        <is>
          <t>Delivered</t>
        </is>
      </c>
      <c r="D1675" s="16" t="inlineStr">
        <is>
          <t>128-18148635361912832</t>
        </is>
      </c>
      <c r="E1675" s="16" t="inlineStr">
        <is>
          <t>Delivered</t>
        </is>
      </c>
      <c r="F1675" s="16" t="inlineStr">
        <is>
          <t>S09W18IB</t>
        </is>
      </c>
      <c r="G167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75" s="16" t="inlineStr">
        <is>
          <t>1 pieza</t>
        </is>
      </c>
      <c r="I1675" s="16" t="n">
        <v>1</v>
      </c>
      <c r="J1675" s="17" t="n">
        <v>22.99</v>
      </c>
      <c r="K1675" s="17" t="n">
        <v>33.62</v>
      </c>
      <c r="L1675" s="17" t="n">
        <v>25.86</v>
      </c>
      <c r="M1675" s="17" t="n">
        <v>0</v>
      </c>
      <c r="N1675" s="17">
        <f>K1675*0.08+L1675*0.08</f>
        <v/>
      </c>
      <c r="O1675" s="17">
        <f>-(K1675*0.025+L1675*0.025)</f>
        <v/>
      </c>
      <c r="P1675" s="17">
        <f>32</f>
        <v/>
      </c>
      <c r="Q1675" s="17">
        <f>J1675+L1675+N1675+O1675-P1675-M1675</f>
        <v/>
      </c>
    </row>
    <row r="1676">
      <c r="A1676" s="16" t="inlineStr">
        <is>
          <t>5.15-5.21</t>
        </is>
      </c>
      <c r="B1676" s="16" t="inlineStr">
        <is>
          <t>PO-128-07291171251831116</t>
        </is>
      </c>
      <c r="C1676" s="16" t="inlineStr">
        <is>
          <t>Delivered</t>
        </is>
      </c>
      <c r="D1676" s="16" t="inlineStr">
        <is>
          <t>128-07291194844791116</t>
        </is>
      </c>
      <c r="E1676" s="16" t="inlineStr">
        <is>
          <t>Delivered</t>
        </is>
      </c>
      <c r="F1676" s="16" t="inlineStr">
        <is>
          <t>MB-185A</t>
        </is>
      </c>
      <c r="G1676" s="16" t="inlineStr">
        <is>
          <t>Bocina Radio FM/Reproductor, Compatible con Tarjeta TF, USB, Bluetooth, Aplicable para celular, computadora, Ipad y consola.</t>
        </is>
      </c>
      <c r="H1676" s="16" t="inlineStr">
        <is>
          <t>AZUL/MB-185</t>
        </is>
      </c>
      <c r="I1676" s="16" t="n">
        <v>1</v>
      </c>
      <c r="J1676" s="17" t="n">
        <v>71.31</v>
      </c>
      <c r="K1676" s="17" t="n">
        <v>84.23999999999999</v>
      </c>
      <c r="L1676" s="17" t="n">
        <v>12.93</v>
      </c>
      <c r="M1676" s="17" t="n">
        <v>0</v>
      </c>
      <c r="N1676" s="17">
        <f>K1676*0.08+L1676*0.08</f>
        <v/>
      </c>
      <c r="O1676" s="17">
        <f>-(K1676*0.025+L1676*0.025)</f>
        <v/>
      </c>
      <c r="P1676" s="17">
        <f>32</f>
        <v/>
      </c>
      <c r="Q1676" s="17">
        <f>J1676+L1676+N1676+O1676-P1676-M1676</f>
        <v/>
      </c>
    </row>
    <row r="1677">
      <c r="A1677" s="16" t="inlineStr">
        <is>
          <t>5.15-5.21</t>
        </is>
      </c>
      <c r="B1677" s="16" t="inlineStr">
        <is>
          <t>PO-128-07291171251831116</t>
        </is>
      </c>
      <c r="C1677" s="16" t="inlineStr">
        <is>
          <t>Delivered</t>
        </is>
      </c>
      <c r="D1677" s="16" t="inlineStr">
        <is>
          <t>128-07291205330551116</t>
        </is>
      </c>
      <c r="E1677" s="16" t="inlineStr">
        <is>
          <t>Delivered</t>
        </is>
      </c>
      <c r="F1677" s="16" t="inlineStr">
        <is>
          <t>MB-185R</t>
        </is>
      </c>
      <c r="G1677" s="16" t="inlineStr">
        <is>
          <t>Bocina Radio FM/Reproductor, Compatible con Tarjeta TF, USB, Bluetooth, Aplicable para celular, computadora, Ipad y consola.</t>
        </is>
      </c>
      <c r="H1677" s="16" t="inlineStr">
        <is>
          <t>ROJO/MB-185</t>
        </is>
      </c>
      <c r="I1677" s="16" t="n">
        <v>1</v>
      </c>
      <c r="J1677" s="17" t="n">
        <v>71.31</v>
      </c>
      <c r="K1677" s="17" t="n">
        <v>84.23999999999999</v>
      </c>
      <c r="L1677" s="17" t="n">
        <v>12.93</v>
      </c>
      <c r="M1677" s="17" t="n">
        <v>0</v>
      </c>
      <c r="N1677" s="17">
        <f>K1677*0.08+L1677*0.08</f>
        <v/>
      </c>
      <c r="O1677" s="17">
        <f>-(K1677*0.025+L1677*0.025)</f>
        <v/>
      </c>
      <c r="P1677" s="17">
        <f>32</f>
        <v/>
      </c>
      <c r="Q1677" s="17">
        <f>J1677+L1677+N1677+O1677-P1677-M1677</f>
        <v/>
      </c>
    </row>
    <row r="1678">
      <c r="A1678" s="16" t="inlineStr">
        <is>
          <t>5.15-5.21</t>
        </is>
      </c>
      <c r="B1678" s="16" t="inlineStr">
        <is>
          <t>PO-128-07229459200631484</t>
        </is>
      </c>
      <c r="C1678" s="16" t="inlineStr">
        <is>
          <t>Delivered</t>
        </is>
      </c>
      <c r="D1678" s="16" t="inlineStr">
        <is>
          <t>128-07229417257591484</t>
        </is>
      </c>
      <c r="E1678" s="16" t="inlineStr">
        <is>
          <t>Delivered</t>
        </is>
      </c>
      <c r="F1678" s="16" t="inlineStr">
        <is>
          <t>LV25W22</t>
        </is>
      </c>
      <c r="G16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78" s="16" t="inlineStr">
        <is>
          <t>LV25W32</t>
        </is>
      </c>
      <c r="I1678" s="16" t="n">
        <v>1</v>
      </c>
      <c r="J1678" s="17" t="n">
        <v>90.43000000000001</v>
      </c>
      <c r="K1678" s="17" t="n">
        <v>100.84</v>
      </c>
      <c r="L1678" s="17" t="n">
        <v>25.86</v>
      </c>
      <c r="M1678" s="17" t="n">
        <v>0</v>
      </c>
      <c r="N1678" s="17">
        <f>K1678*0.08+L1678*0.08</f>
        <v/>
      </c>
      <c r="O1678" s="17">
        <f>-(K1678*0.025+L1678*0.025)</f>
        <v/>
      </c>
      <c r="P1678" s="17">
        <f>32</f>
        <v/>
      </c>
      <c r="Q1678" s="17">
        <f>J1678+L1678+N1678+O1678-P1678-M1678</f>
        <v/>
      </c>
    </row>
    <row r="1679">
      <c r="A1679" s="16" t="inlineStr">
        <is>
          <t>5.15-5.21</t>
        </is>
      </c>
      <c r="B1679" s="16" t="inlineStr">
        <is>
          <t>PO-128-07482289915510939</t>
        </is>
      </c>
      <c r="C1679" s="16" t="inlineStr">
        <is>
          <t>Delivered</t>
        </is>
      </c>
      <c r="D1679" s="16" t="inlineStr">
        <is>
          <t>128-07482295158390939</t>
        </is>
      </c>
      <c r="E1679" s="16" t="inlineStr">
        <is>
          <t>Delivered</t>
        </is>
      </c>
      <c r="F1679" s="16" t="inlineStr">
        <is>
          <t>SA323T</t>
        </is>
      </c>
      <c r="G1679" s="16" t="inlineStr">
        <is>
          <t>Linkbits Bocina Portátil Parlantes BT Portátiles con Iluminación de Ambiente | 1 Hora de Duración, FM, TWS, TF/Micro SD | Ideal para Hogar, Fiestas y Viajes</t>
        </is>
      </c>
      <c r="H1679" s="16" t="inlineStr">
        <is>
          <t>SA323T</t>
        </is>
      </c>
      <c r="I1679" s="16" t="n">
        <v>1</v>
      </c>
      <c r="J1679" s="17" t="n">
        <v>37.71</v>
      </c>
      <c r="K1679" s="17" t="n">
        <v>46.77</v>
      </c>
      <c r="L1679" s="17" t="n">
        <v>25.86</v>
      </c>
      <c r="M1679" s="17" t="n">
        <v>0</v>
      </c>
      <c r="N1679" s="17">
        <f>K1679*0.08+L1679*0.08</f>
        <v/>
      </c>
      <c r="O1679" s="17">
        <f>-(K1679*0.025+L1679*0.025)</f>
        <v/>
      </c>
      <c r="P1679" s="17">
        <f>32</f>
        <v/>
      </c>
      <c r="Q1679" s="17">
        <f>J1679+L1679+N1679+O1679-P1679-M1679</f>
        <v/>
      </c>
    </row>
    <row r="1680">
      <c r="A1680" s="16" t="inlineStr">
        <is>
          <t>5.15-5.21</t>
        </is>
      </c>
      <c r="B1680" s="16" t="inlineStr">
        <is>
          <t>PO-128-07482306737270936</t>
        </is>
      </c>
      <c r="C1680" s="16" t="inlineStr">
        <is>
          <t>Delivered</t>
        </is>
      </c>
      <c r="D1680" s="16" t="inlineStr">
        <is>
          <t>128-07482340815990936</t>
        </is>
      </c>
      <c r="E1680" s="16" t="inlineStr">
        <is>
          <t>Delivered</t>
        </is>
      </c>
      <c r="F1680" s="16" t="inlineStr">
        <is>
          <t>SA323T</t>
        </is>
      </c>
      <c r="G1680" s="16" t="inlineStr">
        <is>
          <t>Linkbits Bocina Portátil Parlantes BT Portátiles con Iluminación de Ambiente | 1 Hora de Duración, FM, TWS, TF/Micro SD | Ideal para Hogar, Fiestas y Viajes</t>
        </is>
      </c>
      <c r="H1680" s="16" t="inlineStr">
        <is>
          <t>SA323T</t>
        </is>
      </c>
      <c r="I1680" s="16" t="n">
        <v>2</v>
      </c>
      <c r="J1680" s="17" t="n">
        <v>75.42</v>
      </c>
      <c r="K1680" s="17" t="n">
        <v>93.54000000000001</v>
      </c>
      <c r="L1680" s="17" t="n">
        <v>25.86</v>
      </c>
      <c r="M1680" s="17" t="n">
        <v>0</v>
      </c>
      <c r="N1680" s="17">
        <f>K1680*0.08+L1680*0.08</f>
        <v/>
      </c>
      <c r="O1680" s="17">
        <f>-(K1680*0.025+L1680*0.025)</f>
        <v/>
      </c>
      <c r="P1680" s="17">
        <f>32</f>
        <v/>
      </c>
      <c r="Q1680" s="17">
        <f>J1680+L1680+N1680+O1680-P1680-M1680</f>
        <v/>
      </c>
    </row>
    <row r="1681">
      <c r="A1681" s="16" t="inlineStr">
        <is>
          <t>5.15-5.21</t>
        </is>
      </c>
      <c r="B1681" s="16" t="inlineStr">
        <is>
          <t>PO-128-07050923827832484</t>
        </is>
      </c>
      <c r="C1681" s="16" t="inlineStr">
        <is>
          <t>Delivered</t>
        </is>
      </c>
      <c r="D1681" s="16" t="inlineStr">
        <is>
          <t>128-07050881884792484</t>
        </is>
      </c>
      <c r="E1681" s="16" t="inlineStr">
        <is>
          <t>Delivered</t>
        </is>
      </c>
      <c r="F1681" s="16" t="inlineStr">
        <is>
          <t>MB-185R</t>
        </is>
      </c>
      <c r="G1681" s="16" t="inlineStr">
        <is>
          <t>Bocina Radio FM/Reproductor, Compatible con Tarjeta TF, USB, Bluetooth, Aplicable para celular, computadora, Ipad y consola.</t>
        </is>
      </c>
      <c r="H1681" s="16" t="inlineStr">
        <is>
          <t>ROJO/MB-185</t>
        </is>
      </c>
      <c r="I1681" s="16" t="n">
        <v>1</v>
      </c>
      <c r="J1681" s="17" t="n">
        <v>71.31</v>
      </c>
      <c r="K1681" s="17" t="n">
        <v>84.23999999999999</v>
      </c>
      <c r="L1681" s="17" t="n">
        <v>25.86</v>
      </c>
      <c r="M1681" s="17" t="n">
        <v>0</v>
      </c>
      <c r="N1681" s="17">
        <f>K1681*0.08+L1681*0.08</f>
        <v/>
      </c>
      <c r="O1681" s="17">
        <f>-(K1681*0.025+L1681*0.025)</f>
        <v/>
      </c>
      <c r="P1681" s="17">
        <f>32</f>
        <v/>
      </c>
      <c r="Q1681" s="17">
        <f>J1681+L1681+N1681+O1681-P1681-M1681</f>
        <v/>
      </c>
    </row>
    <row r="1682">
      <c r="A1682" s="16" t="inlineStr">
        <is>
          <t>5.15-5.21</t>
        </is>
      </c>
      <c r="B1682" s="16" t="inlineStr">
        <is>
          <t>PO-128-06955260263033182</t>
        </is>
      </c>
      <c r="C1682" s="16" t="inlineStr">
        <is>
          <t>Delivered</t>
        </is>
      </c>
      <c r="D1682" s="16" t="inlineStr">
        <is>
          <t>128-06955312691833182</t>
        </is>
      </c>
      <c r="E1682" s="16" t="inlineStr">
        <is>
          <t>Delivered</t>
        </is>
      </c>
      <c r="F1682" s="16" t="inlineStr">
        <is>
          <t>LV25W22</t>
        </is>
      </c>
      <c r="G168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82" s="16" t="inlineStr">
        <is>
          <t>LV25W32</t>
        </is>
      </c>
      <c r="I1682" s="16" t="n">
        <v>1</v>
      </c>
      <c r="J1682" s="17" t="n">
        <v>90.43000000000001</v>
      </c>
      <c r="K1682" s="17" t="n">
        <v>95.81</v>
      </c>
      <c r="L1682" s="17" t="n">
        <v>25.86</v>
      </c>
      <c r="M1682" s="17" t="n">
        <v>0</v>
      </c>
      <c r="N1682" s="17">
        <f>K1682*0.08+L1682*0.08</f>
        <v/>
      </c>
      <c r="O1682" s="17">
        <f>-(K1682*0.025+L1682*0.025)</f>
        <v/>
      </c>
      <c r="P1682" s="17">
        <f>32</f>
        <v/>
      </c>
      <c r="Q1682" s="17">
        <f>J1682+L1682+N1682+O1682-P1682-M1682</f>
        <v/>
      </c>
    </row>
    <row r="1683">
      <c r="A1683" s="16" t="inlineStr">
        <is>
          <t>5.15-5.21</t>
        </is>
      </c>
      <c r="B1683" s="16" t="inlineStr">
        <is>
          <t>PO-128-07515979704950864</t>
        </is>
      </c>
      <c r="C1683" s="16" t="inlineStr">
        <is>
          <t>Delivered</t>
        </is>
      </c>
      <c r="D1683" s="16" t="inlineStr">
        <is>
          <t>128-07516000676470864</t>
        </is>
      </c>
      <c r="E1683" s="16" t="inlineStr">
        <is>
          <t>Delivered</t>
        </is>
      </c>
      <c r="F1683" s="16" t="inlineStr">
        <is>
          <t>LV25W22</t>
        </is>
      </c>
      <c r="G168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83" s="16" t="inlineStr">
        <is>
          <t>LV25W32</t>
        </is>
      </c>
      <c r="I1683" s="16" t="n">
        <v>4</v>
      </c>
      <c r="J1683" s="17" t="n">
        <v>361.72</v>
      </c>
      <c r="K1683" s="17" t="n">
        <v>322.7</v>
      </c>
      <c r="L1683" s="17" t="n">
        <v>0</v>
      </c>
      <c r="M1683" s="17" t="n">
        <v>0</v>
      </c>
      <c r="N1683" s="17">
        <f>K1683*0.08+L1683*0.08</f>
        <v/>
      </c>
      <c r="O1683" s="17">
        <f>-(K1683*0.025+L1683*0.025)</f>
        <v/>
      </c>
      <c r="P1683" s="17">
        <f>32</f>
        <v/>
      </c>
      <c r="Q1683" s="17">
        <f>J1683+L1683+N1683+O1683-P1683-M1683</f>
        <v/>
      </c>
    </row>
    <row r="1684">
      <c r="A1684" s="16" t="inlineStr">
        <is>
          <t>5.15-5.21</t>
        </is>
      </c>
      <c r="B1684" s="16" t="inlineStr">
        <is>
          <t>PO-128-07006934733433770</t>
        </is>
      </c>
      <c r="C1684" s="16" t="inlineStr">
        <is>
          <t>Delivered</t>
        </is>
      </c>
      <c r="D1684" s="16" t="inlineStr">
        <is>
          <t>128-07006987162233770</t>
        </is>
      </c>
      <c r="E1684" s="16" t="inlineStr">
        <is>
          <t>Delivered</t>
        </is>
      </c>
      <c r="F1684" s="16" t="inlineStr">
        <is>
          <t>LB02235-rojo</t>
        </is>
      </c>
      <c r="G1684" s="16" t="inlineStr">
        <is>
          <t>Audífonos Inalámbricos para la Cabeza, Recargables y Multifuncionales - Conectan a Varios Dispositivos, soportan Radio FM, Tarjeta TF y AUX - 4 Horas de Reproducción Musical - Ideal para Trabajo Cotidiano, Juegos y Estudio</t>
        </is>
      </c>
      <c r="H1684" s="16" t="inlineStr">
        <is>
          <t>ROJO</t>
        </is>
      </c>
      <c r="I1684" s="16" t="n">
        <v>1</v>
      </c>
      <c r="J1684" s="17" t="n">
        <v>36.5</v>
      </c>
      <c r="K1684" s="17" t="n">
        <v>49.61</v>
      </c>
      <c r="L1684" s="17" t="n">
        <v>25.86</v>
      </c>
      <c r="M1684" s="17" t="n">
        <v>0</v>
      </c>
      <c r="N1684" s="17">
        <f>K1684*0.08+L1684*0.08</f>
        <v/>
      </c>
      <c r="O1684" s="17">
        <f>-(K1684*0.025+L1684*0.025)</f>
        <v/>
      </c>
      <c r="P1684" s="17">
        <f>32</f>
        <v/>
      </c>
      <c r="Q1684" s="17">
        <f>J1684+L1684+N1684+O1684-P1684-M1684</f>
        <v/>
      </c>
    </row>
    <row r="1685">
      <c r="A1685" s="16" t="inlineStr">
        <is>
          <t>5.15-5.21</t>
        </is>
      </c>
      <c r="B1685" s="16" t="inlineStr">
        <is>
          <t>PO-128-07333496330871825</t>
        </is>
      </c>
      <c r="C1685" s="16" t="inlineStr">
        <is>
          <t>Delivered</t>
        </is>
      </c>
      <c r="D1685" s="16" t="inlineStr">
        <is>
          <t>128-07333543516791825</t>
        </is>
      </c>
      <c r="E1685" s="16" t="inlineStr">
        <is>
          <t>Delivered</t>
        </is>
      </c>
      <c r="F1685" s="16" t="inlineStr">
        <is>
          <t>S09W18IB</t>
        </is>
      </c>
      <c r="G168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685" s="16" t="inlineStr">
        <is>
          <t>1 pieza</t>
        </is>
      </c>
      <c r="I1685" s="16" t="n">
        <v>1</v>
      </c>
      <c r="J1685" s="17" t="n">
        <v>22.99</v>
      </c>
      <c r="K1685" s="17" t="n">
        <v>33.62</v>
      </c>
      <c r="L1685" s="17" t="n">
        <v>25.86</v>
      </c>
      <c r="M1685" s="17" t="n">
        <v>0</v>
      </c>
      <c r="N1685" s="17">
        <f>K1685*0.08+L1685*0.08</f>
        <v/>
      </c>
      <c r="O1685" s="17">
        <f>-(K1685*0.025+L1685*0.025)</f>
        <v/>
      </c>
      <c r="P1685" s="17">
        <f>32</f>
        <v/>
      </c>
      <c r="Q1685" s="17">
        <f>J1685+L1685+N1685+O1685-P1685-M1685</f>
        <v/>
      </c>
    </row>
    <row r="1686">
      <c r="A1686" s="16" t="inlineStr">
        <is>
          <t>5.15-5.21</t>
        </is>
      </c>
      <c r="B1686" s="16" t="inlineStr">
        <is>
          <t>PO-128-07070422858872305</t>
        </is>
      </c>
      <c r="C1686" s="16" t="inlineStr">
        <is>
          <t>Delivered</t>
        </is>
      </c>
      <c r="D1686" s="16" t="inlineStr">
        <is>
          <t>128-07070462835832305</t>
        </is>
      </c>
      <c r="E1686" s="16" t="inlineStr">
        <is>
          <t>Delivered</t>
        </is>
      </c>
      <c r="F1686" s="16" t="inlineStr">
        <is>
          <t>LB02235-negro</t>
        </is>
      </c>
      <c r="G1686" s="16" t="inlineStr">
        <is>
          <t>Audífonos Inalámbricos para la Cabeza, Recargables y Multifuncionales - Conectan a Varios Dispositivos, soportan Radio FM, Tarjeta TF y AUX - 4 Horas de Reproducción Musical - Ideal para Trabajo Cotidiano, Juegos y Estudio</t>
        </is>
      </c>
      <c r="H1686" s="16" t="inlineStr">
        <is>
          <t>NEGRO</t>
        </is>
      </c>
      <c r="I1686" s="16" t="n">
        <v>1</v>
      </c>
      <c r="J1686" s="17" t="n">
        <v>36.5</v>
      </c>
      <c r="K1686" s="17" t="n">
        <v>44.65</v>
      </c>
      <c r="L1686" s="17" t="n">
        <v>25.86</v>
      </c>
      <c r="M1686" s="17" t="n">
        <v>0</v>
      </c>
      <c r="N1686" s="17">
        <f>K1686*0.08+L1686*0.08</f>
        <v/>
      </c>
      <c r="O1686" s="17">
        <f>-(K1686*0.025+L1686*0.025)</f>
        <v/>
      </c>
      <c r="P1686" s="17">
        <f>32</f>
        <v/>
      </c>
      <c r="Q1686" s="17">
        <f>J1686+L1686+N1686+O1686-P1686-M1686</f>
        <v/>
      </c>
    </row>
    <row r="1687">
      <c r="A1687" s="16" t="inlineStr">
        <is>
          <t>5.15-5.21</t>
        </is>
      </c>
      <c r="B1687" s="16" t="inlineStr">
        <is>
          <t>PO-128-07320183665272033</t>
        </is>
      </c>
      <c r="C1687" s="16" t="inlineStr">
        <is>
          <t>Delivered</t>
        </is>
      </c>
      <c r="D1687" s="16" t="inlineStr">
        <is>
          <t>128-07320110264952033</t>
        </is>
      </c>
      <c r="E1687" s="16" t="inlineStr">
        <is>
          <t>Delivered</t>
        </is>
      </c>
      <c r="F1687" s="16" t="inlineStr">
        <is>
          <t>LV25W22</t>
        </is>
      </c>
      <c r="G168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87" s="16" t="inlineStr">
        <is>
          <t>LV25W32</t>
        </is>
      </c>
      <c r="I1687" s="16" t="n">
        <v>1</v>
      </c>
      <c r="J1687" s="17" t="n">
        <v>90.43000000000001</v>
      </c>
      <c r="K1687" s="17" t="n">
        <v>100.84</v>
      </c>
      <c r="L1687" s="17" t="n">
        <v>25.86</v>
      </c>
      <c r="M1687" s="17" t="n">
        <v>0</v>
      </c>
      <c r="N1687" s="17">
        <f>K1687*0.08+L1687*0.08</f>
        <v/>
      </c>
      <c r="O1687" s="17">
        <f>-(K1687*0.025+L1687*0.025)</f>
        <v/>
      </c>
      <c r="P1687" s="17">
        <f>32</f>
        <v/>
      </c>
      <c r="Q1687" s="17">
        <f>J1687+L1687+N1687+O1687-P1687-M1687</f>
        <v/>
      </c>
    </row>
    <row r="1688">
      <c r="A1688" s="16" t="inlineStr">
        <is>
          <t>5.15-5.21</t>
        </is>
      </c>
      <c r="B1688" s="16" t="inlineStr">
        <is>
          <t>PO-128-06905582910073414</t>
        </is>
      </c>
      <c r="C1688" s="16" t="inlineStr">
        <is>
          <t>Delivered</t>
        </is>
      </c>
      <c r="D1688" s="16" t="inlineStr">
        <is>
          <t>128-06905624853113414</t>
        </is>
      </c>
      <c r="E1688" s="16" t="inlineStr">
        <is>
          <t>Delivered</t>
        </is>
      </c>
      <c r="F1688" s="16" t="inlineStr">
        <is>
          <t>LV25W22</t>
        </is>
      </c>
      <c r="G16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88" s="16" t="inlineStr">
        <is>
          <t>LV25W32</t>
        </is>
      </c>
      <c r="I1688" s="16" t="n">
        <v>1</v>
      </c>
      <c r="J1688" s="17" t="n">
        <v>90.43000000000001</v>
      </c>
      <c r="K1688" s="17" t="n">
        <v>100.84</v>
      </c>
      <c r="L1688" s="17" t="n">
        <v>25.86</v>
      </c>
      <c r="M1688" s="17" t="n">
        <v>0</v>
      </c>
      <c r="N1688" s="17">
        <f>K1688*0.08+L1688*0.08</f>
        <v/>
      </c>
      <c r="O1688" s="17">
        <f>-(K1688*0.025+L1688*0.025)</f>
        <v/>
      </c>
      <c r="P1688" s="17">
        <f>32</f>
        <v/>
      </c>
      <c r="Q1688" s="17">
        <f>J1688+L1688+N1688+O1688-P1688-M1688</f>
        <v/>
      </c>
    </row>
    <row r="1689">
      <c r="A1689" s="16" t="inlineStr">
        <is>
          <t>5.15-5.21</t>
        </is>
      </c>
      <c r="B1689" s="16" t="inlineStr">
        <is>
          <t>PO-128-07378496702071621</t>
        </is>
      </c>
      <c r="C1689" s="16" t="inlineStr">
        <is>
          <t>Delivered</t>
        </is>
      </c>
      <c r="D1689" s="16" t="inlineStr">
        <is>
          <t>128-07378538645111621</t>
        </is>
      </c>
      <c r="E1689" s="16" t="inlineStr">
        <is>
          <t>Delivered</t>
        </is>
      </c>
      <c r="F1689" s="16" t="inlineStr">
        <is>
          <t>LV25W22</t>
        </is>
      </c>
      <c r="G16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89" s="16" t="inlineStr">
        <is>
          <t>LV25W32</t>
        </is>
      </c>
      <c r="I1689" s="16" t="n">
        <v>1</v>
      </c>
      <c r="J1689" s="17" t="n">
        <v>90.43000000000001</v>
      </c>
      <c r="K1689" s="17" t="n">
        <v>100.84</v>
      </c>
      <c r="L1689" s="17" t="n">
        <v>25.86</v>
      </c>
      <c r="M1689" s="17" t="n">
        <v>0</v>
      </c>
      <c r="N1689" s="17">
        <f>K1689*0.08+L1689*0.08</f>
        <v/>
      </c>
      <c r="O1689" s="17">
        <f>-(K1689*0.025+L1689*0.025)</f>
        <v/>
      </c>
      <c r="P1689" s="17">
        <f>32</f>
        <v/>
      </c>
      <c r="Q1689" s="17">
        <f>J1689+L1689+N1689+O1689-P1689-M1689</f>
        <v/>
      </c>
    </row>
    <row r="1690">
      <c r="A1690" s="16" t="inlineStr">
        <is>
          <t>5.15-5.21</t>
        </is>
      </c>
      <c r="B1690" s="16" t="inlineStr">
        <is>
          <t>PO-128-06874560522873473</t>
        </is>
      </c>
      <c r="C1690" s="16" t="inlineStr">
        <is>
          <t>Delivered</t>
        </is>
      </c>
      <c r="D1690" s="16" t="inlineStr">
        <is>
          <t>128-06874629991033473</t>
        </is>
      </c>
      <c r="E1690" s="16" t="inlineStr">
        <is>
          <t>Delivered</t>
        </is>
      </c>
      <c r="F1690" s="16" t="inlineStr">
        <is>
          <t>LV25W22</t>
        </is>
      </c>
      <c r="G169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90" s="16" t="inlineStr">
        <is>
          <t>LV25W32</t>
        </is>
      </c>
      <c r="I1690" s="16" t="n">
        <v>1</v>
      </c>
      <c r="J1690" s="17" t="n">
        <v>90.43000000000001</v>
      </c>
      <c r="K1690" s="17" t="n">
        <v>100.84</v>
      </c>
      <c r="L1690" s="17" t="n">
        <v>25.86</v>
      </c>
      <c r="M1690" s="17" t="n">
        <v>0</v>
      </c>
      <c r="N1690" s="17">
        <f>K1690*0.08+L1690*0.08</f>
        <v/>
      </c>
      <c r="O1690" s="17">
        <f>-(K1690*0.025+L1690*0.025)</f>
        <v/>
      </c>
      <c r="P1690" s="17">
        <f>32</f>
        <v/>
      </c>
      <c r="Q1690" s="17">
        <f>J1690+L1690+N1690+O1690-P1690-M1690</f>
        <v/>
      </c>
    </row>
    <row r="1691">
      <c r="A1691" s="16" t="inlineStr">
        <is>
          <t>5.15-5.21</t>
        </is>
      </c>
      <c r="B1691" s="16" t="inlineStr">
        <is>
          <t>PO-128-07475388257910914</t>
        </is>
      </c>
      <c r="C1691" s="16" t="inlineStr">
        <is>
          <t>Delivered</t>
        </is>
      </c>
      <c r="D1691" s="16" t="inlineStr">
        <is>
          <t>128-07475414472310914</t>
        </is>
      </c>
      <c r="E1691" s="16" t="inlineStr">
        <is>
          <t>Delivered</t>
        </is>
      </c>
      <c r="F1691" s="16" t="inlineStr">
        <is>
          <t>KTS-1678Y</t>
        </is>
      </c>
      <c r="G1691" s="16" t="inlineStr">
        <is>
          <t>Bocina portátil Inalámbrico, de 3 pulgadas, tamaño de bolsillo, 170 g, con asa, compatible con TF, USB y Micro SD, con radio FM y función TWS (True Wireless Stereo), adecuada para relajarse en casa o viajar al aire libre.</t>
        </is>
      </c>
      <c r="H1691" s="16" t="inlineStr">
        <is>
          <t>KTS-1678Y</t>
        </is>
      </c>
      <c r="I1691" s="16" t="n">
        <v>1</v>
      </c>
      <c r="J1691" s="17" t="n">
        <v>40</v>
      </c>
      <c r="K1691" s="17" t="n">
        <v>46.22</v>
      </c>
      <c r="L1691" s="17" t="n">
        <v>25.86</v>
      </c>
      <c r="M1691" s="17" t="n">
        <v>0</v>
      </c>
      <c r="N1691" s="17">
        <f>K1691*0.08+L1691*0.08</f>
        <v/>
      </c>
      <c r="O1691" s="17">
        <f>-(K1691*0.025+L1691*0.025)</f>
        <v/>
      </c>
      <c r="P1691" s="17">
        <f>32</f>
        <v/>
      </c>
      <c r="Q1691" s="17">
        <f>J1691+L1691+N1691+O1691-P1691-M1691</f>
        <v/>
      </c>
    </row>
    <row r="1692">
      <c r="A1692" s="16" t="inlineStr">
        <is>
          <t>5.15-5.21</t>
        </is>
      </c>
      <c r="B1692" s="16" t="inlineStr">
        <is>
          <t>PO-128-06987132501113888</t>
        </is>
      </c>
      <c r="C1692" s="16" t="inlineStr">
        <is>
          <t>Delivered</t>
        </is>
      </c>
      <c r="D1692" s="16" t="inlineStr">
        <is>
          <t>128-06987200658553888</t>
        </is>
      </c>
      <c r="E1692" s="16" t="inlineStr">
        <is>
          <t>Delivered</t>
        </is>
      </c>
      <c r="F1692" s="16" t="inlineStr">
        <is>
          <t>LV25W22</t>
        </is>
      </c>
      <c r="G16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92" s="16" t="inlineStr">
        <is>
          <t>LV25W32</t>
        </is>
      </c>
      <c r="I1692" s="16" t="n">
        <v>3</v>
      </c>
      <c r="J1692" s="17" t="n">
        <v>271.29</v>
      </c>
      <c r="K1692" s="17" t="n">
        <v>302.52</v>
      </c>
      <c r="L1692" s="17" t="n">
        <v>0</v>
      </c>
      <c r="M1692" s="17" t="n">
        <v>0</v>
      </c>
      <c r="N1692" s="17">
        <f>K1692*0.08+L1692*0.08</f>
        <v/>
      </c>
      <c r="O1692" s="17">
        <f>-(K1692*0.025+L1692*0.025)</f>
        <v/>
      </c>
      <c r="P1692" s="17">
        <f>32</f>
        <v/>
      </c>
      <c r="Q1692" s="17">
        <f>J1692+L1692+N1692+O1692-P1692-M1692</f>
        <v/>
      </c>
    </row>
    <row r="1693">
      <c r="A1693" s="16" t="inlineStr">
        <is>
          <t>5.15-5.21</t>
        </is>
      </c>
      <c r="B1693" s="16" t="inlineStr">
        <is>
          <t>PO-128-07534348718710754</t>
        </is>
      </c>
      <c r="C1693" s="16" t="inlineStr">
        <is>
          <t>Delivered</t>
        </is>
      </c>
      <c r="D1693" s="16" t="inlineStr">
        <is>
          <t>128-07534338232950754</t>
        </is>
      </c>
      <c r="E1693" s="16" t="inlineStr">
        <is>
          <t>Delivered</t>
        </is>
      </c>
      <c r="F1693" s="16" t="inlineStr">
        <is>
          <t>LV25W22</t>
        </is>
      </c>
      <c r="G169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93" s="16" t="inlineStr">
        <is>
          <t>LV25W32</t>
        </is>
      </c>
      <c r="I1693" s="16" t="n">
        <v>1</v>
      </c>
      <c r="J1693" s="17" t="n">
        <v>90.43000000000001</v>
      </c>
      <c r="K1693" s="17" t="n">
        <v>100.84</v>
      </c>
      <c r="L1693" s="17" t="n">
        <v>25.86</v>
      </c>
      <c r="M1693" s="17" t="n">
        <v>0</v>
      </c>
      <c r="N1693" s="17">
        <f>K1693*0.08+L1693*0.08</f>
        <v/>
      </c>
      <c r="O1693" s="17">
        <f>-(K1693*0.025+L1693*0.025)</f>
        <v/>
      </c>
      <c r="P1693" s="17">
        <f>32</f>
        <v/>
      </c>
      <c r="Q1693" s="17">
        <f>J1693+L1693+N1693+O1693-P1693-M1693</f>
        <v/>
      </c>
    </row>
    <row r="1694">
      <c r="A1694" s="16" t="inlineStr">
        <is>
          <t>5.15-5.21</t>
        </is>
      </c>
      <c r="B1694" s="16" t="inlineStr">
        <is>
          <t>PO-128-07035040835193666</t>
        </is>
      </c>
      <c r="C1694" s="16" t="inlineStr">
        <is>
          <t>Delivered</t>
        </is>
      </c>
      <c r="D1694" s="16" t="inlineStr">
        <is>
          <t>128-07035030349433666</t>
        </is>
      </c>
      <c r="E1694" s="16" t="inlineStr">
        <is>
          <t>Delivered</t>
        </is>
      </c>
      <c r="F1694" s="16" t="inlineStr">
        <is>
          <t>KTS-1678V</t>
        </is>
      </c>
      <c r="G1694" s="16" t="inlineStr">
        <is>
          <t>Bocina portátil Inalámbrico, de 3 pulgadas, tamaño de bolsillo, 170 g, con asa, compatible con TF, USB y Micro SD, con radio FM y función TWS (True Wireless Stereo), adecuada para relajarse en casa o viajar al aire libre.</t>
        </is>
      </c>
      <c r="H1694" s="16" t="inlineStr">
        <is>
          <t>KTS-1678V</t>
        </is>
      </c>
      <c r="I1694" s="16" t="n">
        <v>1</v>
      </c>
      <c r="J1694" s="17" t="n">
        <v>40</v>
      </c>
      <c r="K1694" s="17" t="n">
        <v>48.28</v>
      </c>
      <c r="L1694" s="17" t="n">
        <v>25.86</v>
      </c>
      <c r="M1694" s="17" t="n">
        <v>0</v>
      </c>
      <c r="N1694" s="17">
        <f>K1694*0.08+L1694*0.08</f>
        <v/>
      </c>
      <c r="O1694" s="17">
        <f>-(K1694*0.025+L1694*0.025)</f>
        <v/>
      </c>
      <c r="P1694" s="17">
        <f>32</f>
        <v/>
      </c>
      <c r="Q1694" s="17">
        <f>J1694+L1694+N1694+O1694-P1694-M1694</f>
        <v/>
      </c>
    </row>
    <row r="1695">
      <c r="A1695" s="16" t="inlineStr">
        <is>
          <t>5.15-5.21</t>
        </is>
      </c>
      <c r="B1695" s="16" t="inlineStr">
        <is>
          <t>PO-128-07099155192952260</t>
        </is>
      </c>
      <c r="C1695" s="16" t="inlineStr">
        <is>
          <t>Delivered</t>
        </is>
      </c>
      <c r="D1695" s="16" t="inlineStr">
        <is>
          <t>128-07099193203832260</t>
        </is>
      </c>
      <c r="E1695" s="16" t="inlineStr">
        <is>
          <t>Delivered</t>
        </is>
      </c>
      <c r="F1695" s="16" t="inlineStr">
        <is>
          <t>LB02235-negro</t>
        </is>
      </c>
      <c r="G1695" s="16" t="inlineStr">
        <is>
          <t>Audífonos Inalámbricos para la Cabeza, Recargables y Multifuncionales - Conectan a Varios Dispositivos, soportan Radio FM, Tarjeta TF y AUX - 4 Horas de Reproducción Musical - Ideal para Trabajo Cotidiano, Juegos y Estudio</t>
        </is>
      </c>
      <c r="H1695" s="16" t="inlineStr">
        <is>
          <t>NEGRO</t>
        </is>
      </c>
      <c r="I1695" s="16" t="n">
        <v>1</v>
      </c>
      <c r="J1695" s="17" t="n">
        <v>36.5</v>
      </c>
      <c r="K1695" s="17" t="n">
        <v>49.61</v>
      </c>
      <c r="L1695" s="17" t="n">
        <v>6.78</v>
      </c>
      <c r="M1695" s="17" t="n">
        <v>0</v>
      </c>
      <c r="N1695" s="17">
        <f>K1695*0.08+L1695*0.08</f>
        <v/>
      </c>
      <c r="O1695" s="17">
        <f>-(K1695*0.025+L1695*0.025)</f>
        <v/>
      </c>
      <c r="P1695" s="17">
        <f>32</f>
        <v/>
      </c>
      <c r="Q1695" s="17">
        <f>J1695+L1695+N1695+O1695-P1695-M1695</f>
        <v/>
      </c>
    </row>
    <row r="1696">
      <c r="A1696" s="16" t="inlineStr">
        <is>
          <t>5.15-5.21</t>
        </is>
      </c>
      <c r="B1696" s="16" t="inlineStr">
        <is>
          <t>PO-128-07099155192952260</t>
        </is>
      </c>
      <c r="C1696" s="16" t="inlineStr">
        <is>
          <t>Delivered</t>
        </is>
      </c>
      <c r="D1696" s="16" t="inlineStr">
        <is>
          <t>128-07099151260792260</t>
        </is>
      </c>
      <c r="E1696" s="16" t="inlineStr">
        <is>
          <t>Delivered</t>
        </is>
      </c>
      <c r="F1696" s="16" t="inlineStr">
        <is>
          <t>MB-178-N</t>
        </is>
      </c>
      <c r="G1696" s="16" t="inlineStr">
        <is>
          <t>Bocina de Barra Bluetooth LINK BITS con dos altavoces, sonido de alta calidad y multifuncional (Bluetooth, Radio FM, USB, TF, AUX, TWS), ideal para juegos, reuniones, oficina y cine en casa.</t>
        </is>
      </c>
      <c r="H1696" s="16" t="inlineStr">
        <is>
          <t>NEGRO</t>
        </is>
      </c>
      <c r="I1696" s="16" t="n">
        <v>1</v>
      </c>
      <c r="J1696" s="17" t="n">
        <v>120</v>
      </c>
      <c r="K1696" s="17" t="n">
        <v>139.34</v>
      </c>
      <c r="L1696" s="17" t="n">
        <v>19.08</v>
      </c>
      <c r="M1696" s="17" t="n">
        <v>0</v>
      </c>
      <c r="N1696" s="17">
        <f>K1696*0.08+L1696*0.08</f>
        <v/>
      </c>
      <c r="O1696" s="17">
        <f>-(K1696*0.025+L1696*0.025)</f>
        <v/>
      </c>
      <c r="P1696" s="17">
        <f>32</f>
        <v/>
      </c>
      <c r="Q1696" s="17">
        <f>J1696+L1696+N1696+O1696-P1696-M1696</f>
        <v/>
      </c>
    </row>
    <row r="1697">
      <c r="A1697" s="16" t="inlineStr">
        <is>
          <t>5.15-5.21</t>
        </is>
      </c>
      <c r="B1697" s="16" t="inlineStr">
        <is>
          <t>PO-128-07254184064631400</t>
        </is>
      </c>
      <c r="C1697" s="16" t="inlineStr">
        <is>
          <t>Delivered</t>
        </is>
      </c>
      <c r="D1697" s="16" t="inlineStr">
        <is>
          <t>128-07254210279031400</t>
        </is>
      </c>
      <c r="E1697" s="16" t="inlineStr">
        <is>
          <t>Delivered</t>
        </is>
      </c>
      <c r="F1697" s="16" t="inlineStr">
        <is>
          <t>LB02235-negro</t>
        </is>
      </c>
      <c r="G1697" s="16" t="inlineStr">
        <is>
          <t>Audífonos Inalámbricos para la Cabeza, Recargables y Multifuncionales - Conectan a Varios Dispositivos, soportan Radio FM, Tarjeta TF y AUX - 4 Horas de Reproducción Musical - Ideal para Trabajo Cotidiano, Juegos y Estudio</t>
        </is>
      </c>
      <c r="H1697" s="16" t="inlineStr">
        <is>
          <t>NEGRO</t>
        </is>
      </c>
      <c r="I1697" s="16" t="n">
        <v>1</v>
      </c>
      <c r="J1697" s="17" t="n">
        <v>36.5</v>
      </c>
      <c r="K1697" s="17" t="n">
        <v>49.61</v>
      </c>
      <c r="L1697" s="17" t="n">
        <v>25.86</v>
      </c>
      <c r="M1697" s="17" t="n">
        <v>0</v>
      </c>
      <c r="N1697" s="17">
        <f>K1697*0.08+L1697*0.08</f>
        <v/>
      </c>
      <c r="O1697" s="17">
        <f>-(K1697*0.025+L1697*0.025)</f>
        <v/>
      </c>
      <c r="P1697" s="17">
        <f>32</f>
        <v/>
      </c>
      <c r="Q1697" s="17">
        <f>J1697+L1697+N1697+O1697-P1697-M1697</f>
        <v/>
      </c>
    </row>
    <row r="1698">
      <c r="A1698" s="16" t="inlineStr">
        <is>
          <t>5.15-5.21</t>
        </is>
      </c>
      <c r="B1698" s="16" t="inlineStr">
        <is>
          <t>PO-128-07034037074553672</t>
        </is>
      </c>
      <c r="C1698" s="16" t="inlineStr">
        <is>
          <t>Delivered</t>
        </is>
      </c>
      <c r="D1698" s="16" t="inlineStr">
        <is>
          <t>128-07034141932153672</t>
        </is>
      </c>
      <c r="E1698" s="16" t="inlineStr">
        <is>
          <t>Delivered</t>
        </is>
      </c>
      <c r="F1698" s="16" t="inlineStr">
        <is>
          <t>VA384T-N</t>
        </is>
      </c>
      <c r="G1698" s="16" t="inlineStr">
        <is>
          <t>Bocina Portátil Bluetooth de 3 Pulgadas con Radio FM, USB TF TWS, Sonido Estéreo 5W, Bocina Recargable para Hogar Exterior Viaje Fiesta Camping</t>
        </is>
      </c>
      <c r="H1698" s="16" t="inlineStr">
        <is>
          <t>NEGRO</t>
        </is>
      </c>
      <c r="I1698" s="16" t="n">
        <v>1</v>
      </c>
      <c r="J1698" s="17" t="n">
        <v>46</v>
      </c>
      <c r="K1698" s="17" t="n">
        <v>56.72</v>
      </c>
      <c r="L1698" s="17" t="n">
        <v>25.86</v>
      </c>
      <c r="M1698" s="17" t="n">
        <v>0</v>
      </c>
      <c r="N1698" s="17">
        <f>K1698*0.08+L1698*0.08</f>
        <v/>
      </c>
      <c r="O1698" s="17">
        <f>-(K1698*0.025+L1698*0.025)</f>
        <v/>
      </c>
      <c r="P1698" s="17">
        <f>32</f>
        <v/>
      </c>
      <c r="Q1698" s="17">
        <f>J1698+L1698+N1698+O1698-P1698-M1698</f>
        <v/>
      </c>
    </row>
    <row r="1699">
      <c r="A1699" s="16" t="inlineStr">
        <is>
          <t>5.15-5.21</t>
        </is>
      </c>
      <c r="B1699" s="16" t="inlineStr">
        <is>
          <t>PO-128-07413888271990256</t>
        </is>
      </c>
      <c r="C1699" s="16" t="inlineStr">
        <is>
          <t>Delivered</t>
        </is>
      </c>
      <c r="D1699" s="16" t="inlineStr">
        <is>
          <t>128-07413909243510256</t>
        </is>
      </c>
      <c r="E1699" s="16" t="inlineStr">
        <is>
          <t>Delivered</t>
        </is>
      </c>
      <c r="F1699" s="16" t="inlineStr">
        <is>
          <t>LV25W22</t>
        </is>
      </c>
      <c r="G16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699" s="16" t="inlineStr">
        <is>
          <t>LV25W32</t>
        </is>
      </c>
      <c r="I1699" s="16" t="n">
        <v>1</v>
      </c>
      <c r="J1699" s="17" t="n">
        <v>90.43000000000001</v>
      </c>
      <c r="K1699" s="17" t="n">
        <v>100.84</v>
      </c>
      <c r="L1699" s="17" t="n">
        <v>25.86</v>
      </c>
      <c r="M1699" s="17" t="n">
        <v>0</v>
      </c>
      <c r="N1699" s="17">
        <f>K1699*0.08+L1699*0.08</f>
        <v/>
      </c>
      <c r="O1699" s="17">
        <f>-(K1699*0.025+L1699*0.025)</f>
        <v/>
      </c>
      <c r="P1699" s="17">
        <f>32</f>
        <v/>
      </c>
      <c r="Q1699" s="17">
        <f>J1699+L1699+N1699+O1699-P1699-M1699</f>
        <v/>
      </c>
    </row>
    <row r="1700">
      <c r="A1700" s="16" t="inlineStr">
        <is>
          <t>5.15-5.21</t>
        </is>
      </c>
      <c r="B1700" s="16" t="inlineStr">
        <is>
          <t>PO-128-07515942692470864</t>
        </is>
      </c>
      <c r="C1700" s="16" t="inlineStr">
        <is>
          <t>Delivered</t>
        </is>
      </c>
      <c r="D1700" s="16" t="inlineStr">
        <is>
          <t>128-07516022646390864</t>
        </is>
      </c>
      <c r="E1700" s="16" t="inlineStr">
        <is>
          <t>Delivered</t>
        </is>
      </c>
      <c r="F1700" s="16" t="inlineStr">
        <is>
          <t>KTS-1678N</t>
        </is>
      </c>
      <c r="G1700" s="16" t="inlineStr">
        <is>
          <t>Bocina portátil Inalámbrico, de 3 pulgadas, tamaño de bolsillo, 170 g, con asa, compatible con TF, USB y Micro SD, con radio FM y función TWS (True Wireless Stereo), adecuada para relajarse en casa o viajar al aire libre.</t>
        </is>
      </c>
      <c r="H1700" s="16" t="inlineStr">
        <is>
          <t>KTS-1678N</t>
        </is>
      </c>
      <c r="I1700" s="16" t="n">
        <v>1</v>
      </c>
      <c r="J1700" s="17" t="n">
        <v>40</v>
      </c>
      <c r="K1700" s="17" t="n">
        <v>48.28</v>
      </c>
      <c r="L1700" s="17" t="n">
        <v>25.86</v>
      </c>
      <c r="M1700" s="17" t="n">
        <v>0</v>
      </c>
      <c r="N1700" s="17">
        <f>K1700*0.08+L1700*0.08</f>
        <v/>
      </c>
      <c r="O1700" s="17">
        <f>-(K1700*0.025+L1700*0.025)</f>
        <v/>
      </c>
      <c r="P1700" s="17">
        <f>32</f>
        <v/>
      </c>
      <c r="Q1700" s="17">
        <f>J1700+L1700+N1700+O1700-P1700-M1700</f>
        <v/>
      </c>
    </row>
    <row r="1701">
      <c r="A1701" s="16" t="inlineStr">
        <is>
          <t>5.15-5.21</t>
        </is>
      </c>
      <c r="B1701" s="16" t="inlineStr">
        <is>
          <t>PO-128-07502244629110818</t>
        </is>
      </c>
      <c r="C1701" s="16" t="inlineStr">
        <is>
          <t>Delivered</t>
        </is>
      </c>
      <c r="D1701" s="16" t="inlineStr">
        <is>
          <t>128-07502202686070818</t>
        </is>
      </c>
      <c r="E1701" s="16" t="inlineStr">
        <is>
          <t>Delivered</t>
        </is>
      </c>
      <c r="F1701" s="16" t="inlineStr">
        <is>
          <t>LV25W22</t>
        </is>
      </c>
      <c r="G17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01" s="16" t="inlineStr">
        <is>
          <t>LV25W32</t>
        </is>
      </c>
      <c r="I1701" s="16" t="n">
        <v>2</v>
      </c>
      <c r="J1701" s="17" t="n">
        <v>180.86</v>
      </c>
      <c r="K1701" s="17" t="n">
        <v>201.68</v>
      </c>
      <c r="L1701" s="17" t="n">
        <v>25.86</v>
      </c>
      <c r="M1701" s="17" t="n">
        <v>0</v>
      </c>
      <c r="N1701" s="17">
        <f>K1701*0.08+L1701*0.08</f>
        <v/>
      </c>
      <c r="O1701" s="17">
        <f>-(K1701*0.025+L1701*0.025)</f>
        <v/>
      </c>
      <c r="P1701" s="17">
        <f>32</f>
        <v/>
      </c>
      <c r="Q1701" s="17">
        <f>J1701+L1701+N1701+O1701-P1701-M1701</f>
        <v/>
      </c>
    </row>
    <row r="1702">
      <c r="A1702" s="16" t="inlineStr">
        <is>
          <t>5.15-5.21</t>
        </is>
      </c>
      <c r="B1702" s="16" t="inlineStr">
        <is>
          <t>PO-128-07313644815992006</t>
        </is>
      </c>
      <c r="C1702" s="16" t="inlineStr">
        <is>
          <t>Delivered</t>
        </is>
      </c>
      <c r="D1702" s="16" t="inlineStr">
        <is>
          <t>128-07313665787512006</t>
        </is>
      </c>
      <c r="E1702" s="16" t="inlineStr">
        <is>
          <t>Delivered</t>
        </is>
      </c>
      <c r="F1702" s="16" t="inlineStr">
        <is>
          <t>LV25W22</t>
        </is>
      </c>
      <c r="G170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02" s="16" t="inlineStr">
        <is>
          <t>LV25W32</t>
        </is>
      </c>
      <c r="I1702" s="16" t="n">
        <v>2</v>
      </c>
      <c r="J1702" s="17" t="n">
        <v>180.86</v>
      </c>
      <c r="K1702" s="17" t="n">
        <v>201.68</v>
      </c>
      <c r="L1702" s="17" t="n">
        <v>25.86</v>
      </c>
      <c r="M1702" s="17" t="n">
        <v>0</v>
      </c>
      <c r="N1702" s="17">
        <f>K1702*0.08+L1702*0.08</f>
        <v/>
      </c>
      <c r="O1702" s="17">
        <f>-(K1702*0.025+L1702*0.025)</f>
        <v/>
      </c>
      <c r="P1702" s="17">
        <f>32</f>
        <v/>
      </c>
      <c r="Q1702" s="17">
        <f>J1702+L1702+N1702+O1702-P1702-M1702</f>
        <v/>
      </c>
    </row>
    <row r="1703">
      <c r="A1703" s="16" t="inlineStr">
        <is>
          <t>5.15-5.21</t>
        </is>
      </c>
      <c r="B1703" s="16" t="inlineStr">
        <is>
          <t>PO-128-07445312277110199</t>
        </is>
      </c>
      <c r="C1703" s="16" t="inlineStr">
        <is>
          <t>Delivered</t>
        </is>
      </c>
      <c r="D1703" s="16" t="inlineStr">
        <is>
          <t>128-07445388298870199</t>
        </is>
      </c>
      <c r="E1703" s="16" t="inlineStr">
        <is>
          <t>Delivered</t>
        </is>
      </c>
      <c r="F1703" s="16" t="inlineStr">
        <is>
          <t>KTS-1678Y</t>
        </is>
      </c>
      <c r="G1703" s="16" t="inlineStr">
        <is>
          <t>Bocina portátil Inalámbrico, de 3 pulgadas, tamaño de bolsillo, 170 g, con asa, compatible con TF, USB y Micro SD, con radio FM y función TWS (True Wireless Stereo), adecuada para relajarse en casa o viajar al aire libre.</t>
        </is>
      </c>
      <c r="H1703" s="16" t="inlineStr">
        <is>
          <t>KTS-1678Y</t>
        </is>
      </c>
      <c r="I1703" s="16" t="n">
        <v>1</v>
      </c>
      <c r="J1703" s="17" t="n">
        <v>40</v>
      </c>
      <c r="K1703" s="17" t="n">
        <v>46.22</v>
      </c>
      <c r="L1703" s="17" t="n">
        <v>25.86</v>
      </c>
      <c r="M1703" s="17" t="n">
        <v>0</v>
      </c>
      <c r="N1703" s="17">
        <f>K1703*0.08+L1703*0.08</f>
        <v/>
      </c>
      <c r="O1703" s="17">
        <f>-(K1703*0.025+L1703*0.025)</f>
        <v/>
      </c>
      <c r="P1703" s="17">
        <f>32</f>
        <v/>
      </c>
      <c r="Q1703" s="17">
        <f>J1703+L1703+N1703+O1703-P1703-M1703</f>
        <v/>
      </c>
    </row>
    <row r="1704">
      <c r="A1704" s="16" t="inlineStr">
        <is>
          <t>5.15-5.21</t>
        </is>
      </c>
      <c r="B1704" s="16" t="inlineStr">
        <is>
          <t>PO-128-06908043656313401</t>
        </is>
      </c>
      <c r="C1704" s="16" t="inlineStr">
        <is>
          <t>Delivered</t>
        </is>
      </c>
      <c r="D1704" s="16" t="inlineStr">
        <is>
          <t>128-06908148513913401</t>
        </is>
      </c>
      <c r="E1704" s="16" t="inlineStr">
        <is>
          <t>Delivered</t>
        </is>
      </c>
      <c r="F1704" s="16" t="inlineStr">
        <is>
          <t>LV25W22</t>
        </is>
      </c>
      <c r="G17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04" s="16" t="inlineStr">
        <is>
          <t>LV25W32</t>
        </is>
      </c>
      <c r="I1704" s="16" t="n">
        <v>5</v>
      </c>
      <c r="J1704" s="17" t="n">
        <v>452.15</v>
      </c>
      <c r="K1704" s="17" t="n">
        <v>504.2</v>
      </c>
      <c r="L1704" s="17" t="n">
        <v>0</v>
      </c>
      <c r="M1704" s="17" t="n">
        <v>0</v>
      </c>
      <c r="N1704" s="17">
        <f>K1704*0.08+L1704*0.08</f>
        <v/>
      </c>
      <c r="O1704" s="17">
        <f>-(K1704*0.025+L1704*0.025)</f>
        <v/>
      </c>
      <c r="P1704" s="17">
        <f>32</f>
        <v/>
      </c>
      <c r="Q1704" s="17">
        <f>J1704+L1704+N1704+O1704-P1704-M1704</f>
        <v/>
      </c>
    </row>
    <row r="1705">
      <c r="A1705" s="16" t="inlineStr">
        <is>
          <t>5.15-5.21</t>
        </is>
      </c>
      <c r="B1705" s="16" t="inlineStr">
        <is>
          <t>PO-128-07415136435830315</t>
        </is>
      </c>
      <c r="C1705" s="16" t="inlineStr">
        <is>
          <t>Delivered</t>
        </is>
      </c>
      <c r="D1705" s="16" t="inlineStr">
        <is>
          <t>128-07415157407350315</t>
        </is>
      </c>
      <c r="E1705" s="16" t="inlineStr">
        <is>
          <t>Delivered</t>
        </is>
      </c>
      <c r="F1705" s="16" t="inlineStr">
        <is>
          <t>LV25W22</t>
        </is>
      </c>
      <c r="G17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05" s="16" t="inlineStr">
        <is>
          <t>LV25W32</t>
        </is>
      </c>
      <c r="I1705" s="16" t="n">
        <v>2</v>
      </c>
      <c r="J1705" s="17" t="n">
        <v>180.86</v>
      </c>
      <c r="K1705" s="17" t="n">
        <v>201.68</v>
      </c>
      <c r="L1705" s="17" t="n">
        <v>25.86</v>
      </c>
      <c r="M1705" s="17" t="n">
        <v>0</v>
      </c>
      <c r="N1705" s="17">
        <f>K1705*0.08+L1705*0.08</f>
        <v/>
      </c>
      <c r="O1705" s="17">
        <f>-(K1705*0.025+L1705*0.025)</f>
        <v/>
      </c>
      <c r="P1705" s="17">
        <f>32</f>
        <v/>
      </c>
      <c r="Q1705" s="17">
        <f>J1705+L1705+N1705+O1705-P1705-M1705</f>
        <v/>
      </c>
    </row>
    <row r="1706">
      <c r="A1706" s="16" t="inlineStr">
        <is>
          <t>5.15-5.21</t>
        </is>
      </c>
      <c r="B1706" s="16" t="inlineStr">
        <is>
          <t>PO-128-06985363195513898</t>
        </is>
      </c>
      <c r="C1706" s="16" t="inlineStr">
        <is>
          <t>Delivered</t>
        </is>
      </c>
      <c r="D1706" s="16" t="inlineStr">
        <is>
          <t>128-06985380234873898</t>
        </is>
      </c>
      <c r="E1706" s="16" t="inlineStr">
        <is>
          <t>Delivered</t>
        </is>
      </c>
      <c r="F1706" s="16" t="inlineStr">
        <is>
          <t>LV25W22</t>
        </is>
      </c>
      <c r="G17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06" s="16" t="inlineStr">
        <is>
          <t>LV25W32</t>
        </is>
      </c>
      <c r="I1706" s="16" t="n">
        <v>1</v>
      </c>
      <c r="J1706" s="17" t="n">
        <v>90.43000000000001</v>
      </c>
      <c r="K1706" s="17" t="n">
        <v>100.84</v>
      </c>
      <c r="L1706" s="17" t="n">
        <v>25.86</v>
      </c>
      <c r="M1706" s="17" t="n">
        <v>0</v>
      </c>
      <c r="N1706" s="17">
        <f>K1706*0.08+L1706*0.08</f>
        <v/>
      </c>
      <c r="O1706" s="17">
        <f>-(K1706*0.025+L1706*0.025)</f>
        <v/>
      </c>
      <c r="P1706" s="17">
        <f>32</f>
        <v/>
      </c>
      <c r="Q1706" s="17">
        <f>J1706+L1706+N1706+O1706-P1706-M1706</f>
        <v/>
      </c>
    </row>
    <row r="1707">
      <c r="A1707" s="16" t="inlineStr">
        <is>
          <t>5.15-5.21</t>
        </is>
      </c>
      <c r="B1707" s="16" t="inlineStr">
        <is>
          <t>PO-128-07041963111033691</t>
        </is>
      </c>
      <c r="C1707" s="16" t="inlineStr">
        <is>
          <t>Delivered</t>
        </is>
      </c>
      <c r="D1707" s="16" t="inlineStr">
        <is>
          <t>128-07041973596793691</t>
        </is>
      </c>
      <c r="E1707" s="16" t="inlineStr">
        <is>
          <t>Delivered</t>
        </is>
      </c>
      <c r="F1707" s="16" t="inlineStr">
        <is>
          <t>FA028</t>
        </is>
      </c>
      <c r="G1707" s="16" t="inlineStr">
        <is>
          <t>Extractor de agua para garrafas de agua, compatible con carga USB, extractor de agua automático, práctico, con dos modos de toma de agua: manual y programado, ideal para dormitorios, salones, oficinas, uso al aire libre y otros escenarios.</t>
        </is>
      </c>
      <c r="H1707" s="16" t="inlineStr">
        <is>
          <t>FA028</t>
        </is>
      </c>
      <c r="I1707" s="16" t="n">
        <v>1</v>
      </c>
      <c r="J1707" s="17" t="n">
        <v>27</v>
      </c>
      <c r="K1707" s="17" t="n">
        <v>36.58</v>
      </c>
      <c r="L1707" s="17" t="n">
        <v>25.86</v>
      </c>
      <c r="M1707" s="17" t="n">
        <v>0</v>
      </c>
      <c r="N1707" s="17">
        <f>K1707*0.08+L1707*0.08</f>
        <v/>
      </c>
      <c r="O1707" s="17">
        <f>-(K1707*0.025+L1707*0.025)</f>
        <v/>
      </c>
      <c r="P1707" s="17">
        <f>32</f>
        <v/>
      </c>
      <c r="Q1707" s="17">
        <f>J1707+L1707+N1707+O1707-P1707-M1707</f>
        <v/>
      </c>
    </row>
    <row r="1708">
      <c r="A1708" s="16" t="inlineStr">
        <is>
          <t>5.15-5.21</t>
        </is>
      </c>
      <c r="B1708" s="16" t="inlineStr">
        <is>
          <t>PO-128-07313901174392004</t>
        </is>
      </c>
      <c r="C1708" s="16" t="inlineStr">
        <is>
          <t>Delivered</t>
        </is>
      </c>
      <c r="D1708" s="16" t="inlineStr">
        <is>
          <t>128-07314006031992004</t>
        </is>
      </c>
      <c r="E1708" s="16" t="inlineStr">
        <is>
          <t>Delivered</t>
        </is>
      </c>
      <c r="F1708" s="16" t="inlineStr">
        <is>
          <t>MCM-001R</t>
        </is>
      </c>
      <c r="G1708" s="16" t="inlineStr">
        <is>
          <t>Musicord Altavoz Inalámbrico BT Portátil: ¡Sonido impactante, luces LED multicolores y 4 horas de autonomía! Compatible con TWS, FM, TF y USB – Imprescindible para fiestas y viajes</t>
        </is>
      </c>
      <c r="H1708" s="16" t="inlineStr">
        <is>
          <t>ROJO</t>
        </is>
      </c>
      <c r="I1708" s="16" t="n">
        <v>1</v>
      </c>
      <c r="J1708" s="17" t="n">
        <v>66.5</v>
      </c>
      <c r="K1708" s="17" t="n">
        <v>31.19</v>
      </c>
      <c r="L1708" s="17" t="n">
        <v>25.86</v>
      </c>
      <c r="M1708" s="17" t="n">
        <v>0</v>
      </c>
      <c r="N1708" s="17">
        <f>K1708*0.08+L1708*0.08</f>
        <v/>
      </c>
      <c r="O1708" s="17">
        <f>-(K1708*0.025+L1708*0.025)</f>
        <v/>
      </c>
      <c r="P1708" s="17">
        <f>32</f>
        <v/>
      </c>
      <c r="Q1708" s="17">
        <f>J1708+L1708+N1708+O1708-P1708-M1708</f>
        <v/>
      </c>
    </row>
    <row r="1709">
      <c r="A1709" s="16" t="inlineStr">
        <is>
          <t>5.15-5.21</t>
        </is>
      </c>
      <c r="B1709" s="16" t="inlineStr">
        <is>
          <t>PO-128-07039907559033703</t>
        </is>
      </c>
      <c r="C1709" s="16" t="inlineStr">
        <is>
          <t>Delivered</t>
        </is>
      </c>
      <c r="D1709" s="16" t="inlineStr">
        <is>
          <t>128-07040043873913703</t>
        </is>
      </c>
      <c r="E1709" s="16" t="inlineStr">
        <is>
          <t>Delivered</t>
        </is>
      </c>
      <c r="F1709" s="16" t="inlineStr">
        <is>
          <t>LB02235-negro</t>
        </is>
      </c>
      <c r="G1709" s="16" t="inlineStr">
        <is>
          <t>Audífonos Inalámbricos para la Cabeza, Recargables y Multifuncionales - Conectan a Varios Dispositivos, soportan Radio FM, Tarjeta TF y AUX - 4 Horas de Reproducción Musical - Ideal para Trabajo Cotidiano, Juegos y Estudio</t>
        </is>
      </c>
      <c r="H1709" s="16" t="inlineStr">
        <is>
          <t>NEGRO</t>
        </is>
      </c>
      <c r="I1709" s="16" t="n">
        <v>1</v>
      </c>
      <c r="J1709" s="17" t="n">
        <v>36.5</v>
      </c>
      <c r="K1709" s="17" t="n">
        <v>6.51</v>
      </c>
      <c r="L1709" s="17" t="n">
        <v>25.86</v>
      </c>
      <c r="M1709" s="17" t="n">
        <v>0</v>
      </c>
      <c r="N1709" s="17">
        <f>K1709*0.08+L1709*0.08</f>
        <v/>
      </c>
      <c r="O1709" s="17">
        <f>-(K1709*0.025+L1709*0.025)</f>
        <v/>
      </c>
      <c r="P1709" s="17">
        <f>32</f>
        <v/>
      </c>
      <c r="Q1709" s="17">
        <f>J1709+L1709+N1709+O1709-P1709-M1709</f>
        <v/>
      </c>
    </row>
    <row r="1710">
      <c r="A1710" s="16" t="inlineStr">
        <is>
          <t>5.15-5.21</t>
        </is>
      </c>
      <c r="B1710" s="16" t="inlineStr">
        <is>
          <t>PO-128-07386304983671639</t>
        </is>
      </c>
      <c r="C1710" s="16" t="inlineStr">
        <is>
          <t>Delivered</t>
        </is>
      </c>
      <c r="D1710" s="16" t="inlineStr">
        <is>
          <t>128-07386263040631639</t>
        </is>
      </c>
      <c r="E1710" s="16" t="inlineStr">
        <is>
          <t>Delivered</t>
        </is>
      </c>
      <c r="F1710" s="16" t="inlineStr">
        <is>
          <t>LV25W22</t>
        </is>
      </c>
      <c r="G17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0" s="16" t="inlineStr">
        <is>
          <t>LV25W32</t>
        </is>
      </c>
      <c r="I1710" s="16" t="n">
        <v>1</v>
      </c>
      <c r="J1710" s="17" t="n">
        <v>90.43000000000001</v>
      </c>
      <c r="K1710" s="17" t="n">
        <v>80.68000000000001</v>
      </c>
      <c r="L1710" s="17" t="n">
        <v>25.86</v>
      </c>
      <c r="M1710" s="17" t="n">
        <v>0</v>
      </c>
      <c r="N1710" s="17">
        <f>K1710*0.08+L1710*0.08</f>
        <v/>
      </c>
      <c r="O1710" s="17">
        <f>-(K1710*0.025+L1710*0.025)</f>
        <v/>
      </c>
      <c r="P1710" s="17">
        <f>32</f>
        <v/>
      </c>
      <c r="Q1710" s="17">
        <f>J1710+L1710+N1710+O1710-P1710-M1710</f>
        <v/>
      </c>
    </row>
    <row r="1711">
      <c r="A1711" s="16" t="inlineStr">
        <is>
          <t>5.15-5.21</t>
        </is>
      </c>
      <c r="B1711" s="16" t="inlineStr">
        <is>
          <t>PO-128-07469677814390116</t>
        </is>
      </c>
      <c r="C1711" s="16" t="inlineStr">
        <is>
          <t>Delivered</t>
        </is>
      </c>
      <c r="D1711" s="16" t="inlineStr">
        <is>
          <t>128-07469698785910116</t>
        </is>
      </c>
      <c r="E1711" s="16" t="inlineStr">
        <is>
          <t>Delivered</t>
        </is>
      </c>
      <c r="F1711" s="16" t="inlineStr">
        <is>
          <t>LV25W22</t>
        </is>
      </c>
      <c r="G17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1" s="16" t="inlineStr">
        <is>
          <t>LV25W32</t>
        </is>
      </c>
      <c r="I1711" s="16" t="n">
        <v>2</v>
      </c>
      <c r="J1711" s="17" t="n">
        <v>180.86</v>
      </c>
      <c r="K1711" s="17" t="n">
        <v>201.68</v>
      </c>
      <c r="L1711" s="17" t="n">
        <v>25.86</v>
      </c>
      <c r="M1711" s="17" t="n">
        <v>0</v>
      </c>
      <c r="N1711" s="17">
        <f>K1711*0.08+L1711*0.08</f>
        <v/>
      </c>
      <c r="O1711" s="17">
        <f>-(K1711*0.025+L1711*0.025)</f>
        <v/>
      </c>
      <c r="P1711" s="17">
        <f>32</f>
        <v/>
      </c>
      <c r="Q1711" s="17">
        <f>J1711+L1711+N1711+O1711-P1711-M1711</f>
        <v/>
      </c>
    </row>
    <row r="1712">
      <c r="A1712" s="16" t="inlineStr">
        <is>
          <t>5.15-5.21</t>
        </is>
      </c>
      <c r="B1712" s="16" t="inlineStr">
        <is>
          <t>PO-128-07079199969912381</t>
        </is>
      </c>
      <c r="C1712" s="16" t="inlineStr">
        <is>
          <t>Delivered</t>
        </is>
      </c>
      <c r="D1712" s="16" t="inlineStr">
        <is>
          <t>128-07079241912952381</t>
        </is>
      </c>
      <c r="E1712" s="16" t="inlineStr">
        <is>
          <t>Delivered</t>
        </is>
      </c>
      <c r="F1712" s="16" t="inlineStr">
        <is>
          <t>VB347T</t>
        </is>
      </c>
      <c r="G171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12" s="16" t="inlineStr">
        <is>
          <t>1 pieza</t>
        </is>
      </c>
      <c r="I1712" s="16" t="n">
        <v>1</v>
      </c>
      <c r="J1712" s="17" t="n">
        <v>77.90000000000001</v>
      </c>
      <c r="K1712" s="17" t="n">
        <v>40.78</v>
      </c>
      <c r="L1712" s="17" t="n">
        <v>25.86</v>
      </c>
      <c r="M1712" s="17" t="n">
        <v>0</v>
      </c>
      <c r="N1712" s="17">
        <f>K1712*0.08+L1712*0.08</f>
        <v/>
      </c>
      <c r="O1712" s="17">
        <f>-(K1712*0.025+L1712*0.025)</f>
        <v/>
      </c>
      <c r="P1712" s="17">
        <f>32</f>
        <v/>
      </c>
      <c r="Q1712" s="17">
        <f>J1712+L1712+N1712+O1712-P1712-M1712</f>
        <v/>
      </c>
    </row>
    <row r="1713">
      <c r="A1713" s="16" t="inlineStr">
        <is>
          <t>5.15-5.21</t>
        </is>
      </c>
      <c r="B1713" s="16" t="inlineStr">
        <is>
          <t>PO-128-06970502974074053</t>
        </is>
      </c>
      <c r="C1713" s="16" t="inlineStr">
        <is>
          <t>Delivered</t>
        </is>
      </c>
      <c r="D1713" s="16" t="inlineStr">
        <is>
          <t>128-06970482002554053</t>
        </is>
      </c>
      <c r="E1713" s="16" t="inlineStr">
        <is>
          <t>Delivered</t>
        </is>
      </c>
      <c r="F1713" s="16" t="inlineStr">
        <is>
          <t>LV25W22</t>
        </is>
      </c>
      <c r="G17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3" s="16" t="inlineStr">
        <is>
          <t>LV25W32</t>
        </is>
      </c>
      <c r="I1713" s="16" t="n">
        <v>1</v>
      </c>
      <c r="J1713" s="17" t="n">
        <v>90.43000000000001</v>
      </c>
      <c r="K1713" s="17" t="n">
        <v>100.84</v>
      </c>
      <c r="L1713" s="17" t="n">
        <v>25.86</v>
      </c>
      <c r="M1713" s="17" t="n">
        <v>0</v>
      </c>
      <c r="N1713" s="17">
        <f>K1713*0.08+L1713*0.08</f>
        <v/>
      </c>
      <c r="O1713" s="17">
        <f>-(K1713*0.025+L1713*0.025)</f>
        <v/>
      </c>
      <c r="P1713" s="17">
        <f>32</f>
        <v/>
      </c>
      <c r="Q1713" s="17">
        <f>J1713+L1713+N1713+O1713-P1713-M1713</f>
        <v/>
      </c>
    </row>
    <row r="1714">
      <c r="A1714" s="16" t="inlineStr">
        <is>
          <t>5.15-5.21</t>
        </is>
      </c>
      <c r="B1714" s="16" t="inlineStr">
        <is>
          <t>PO-128-07433606113910141</t>
        </is>
      </c>
      <c r="C1714" s="16" t="inlineStr">
        <is>
          <t>Delivered</t>
        </is>
      </c>
      <c r="D1714" s="16" t="inlineStr">
        <is>
          <t>128-07433532713590141</t>
        </is>
      </c>
      <c r="E1714" s="16" t="inlineStr">
        <is>
          <t>Delivered</t>
        </is>
      </c>
      <c r="F1714" s="16" t="inlineStr">
        <is>
          <t>LV25W22</t>
        </is>
      </c>
      <c r="G171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4" s="16" t="inlineStr">
        <is>
          <t>LV25W32</t>
        </is>
      </c>
      <c r="I1714" s="16" t="n">
        <v>2</v>
      </c>
      <c r="J1714" s="17" t="n">
        <v>180.86</v>
      </c>
      <c r="K1714" s="17" t="n">
        <v>165.86</v>
      </c>
      <c r="L1714" s="17" t="n">
        <v>25.86</v>
      </c>
      <c r="M1714" s="17" t="n">
        <v>0</v>
      </c>
      <c r="N1714" s="17">
        <f>K1714*0.08+L1714*0.08</f>
        <v/>
      </c>
      <c r="O1714" s="17">
        <f>-(K1714*0.025+L1714*0.025)</f>
        <v/>
      </c>
      <c r="P1714" s="17">
        <f>32</f>
        <v/>
      </c>
      <c r="Q1714" s="17">
        <f>J1714+L1714+N1714+O1714-P1714-M1714</f>
        <v/>
      </c>
    </row>
    <row r="1715">
      <c r="A1715" s="16" t="inlineStr">
        <is>
          <t>5.15-5.21</t>
        </is>
      </c>
      <c r="B1715" s="16" t="inlineStr">
        <is>
          <t>PO-128-06957690255993169</t>
        </is>
      </c>
      <c r="C1715" s="16" t="inlineStr">
        <is>
          <t>Delivered</t>
        </is>
      </c>
      <c r="D1715" s="16" t="inlineStr">
        <is>
          <t>128-06957700741753169</t>
        </is>
      </c>
      <c r="E1715" s="16" t="inlineStr">
        <is>
          <t>Delivered</t>
        </is>
      </c>
      <c r="F1715" s="16" t="inlineStr">
        <is>
          <t>VB347T</t>
        </is>
      </c>
      <c r="G171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15" s="16" t="inlineStr">
        <is>
          <t>1 pieza</t>
        </is>
      </c>
      <c r="I1715" s="16" t="n">
        <v>1</v>
      </c>
      <c r="J1715" s="17" t="n">
        <v>77.90000000000001</v>
      </c>
      <c r="K1715" s="17" t="n">
        <v>92.5</v>
      </c>
      <c r="L1715" s="17" t="n">
        <v>25.86</v>
      </c>
      <c r="M1715" s="17" t="n">
        <v>0</v>
      </c>
      <c r="N1715" s="17">
        <f>K1715*0.08+L1715*0.08</f>
        <v/>
      </c>
      <c r="O1715" s="17">
        <f>-(K1715*0.025+L1715*0.025)</f>
        <v/>
      </c>
      <c r="P1715" s="17">
        <f>32</f>
        <v/>
      </c>
      <c r="Q1715" s="17">
        <f>J1715+L1715+N1715+O1715-P1715-M1715</f>
        <v/>
      </c>
    </row>
    <row r="1716">
      <c r="A1716" s="16" t="inlineStr">
        <is>
          <t>5.15-5.21</t>
        </is>
      </c>
      <c r="B1716" s="16" t="inlineStr">
        <is>
          <t>PO-128-07104975882872290</t>
        </is>
      </c>
      <c r="C1716" s="16" t="inlineStr">
        <is>
          <t>Delivered</t>
        </is>
      </c>
      <c r="D1716" s="16" t="inlineStr">
        <is>
          <t>128-07104933939832290</t>
        </is>
      </c>
      <c r="E1716" s="16" t="inlineStr">
        <is>
          <t>Delivered</t>
        </is>
      </c>
      <c r="F1716" s="16" t="inlineStr">
        <is>
          <t>LV25W22</t>
        </is>
      </c>
      <c r="G17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6" s="16" t="inlineStr">
        <is>
          <t>LV25W32</t>
        </is>
      </c>
      <c r="I1716" s="16" t="n">
        <v>3</v>
      </c>
      <c r="J1716" s="17" t="n">
        <v>271.29</v>
      </c>
      <c r="K1716" s="17" t="n">
        <v>302.52</v>
      </c>
      <c r="L1716" s="17" t="n">
        <v>0</v>
      </c>
      <c r="M1716" s="17" t="n">
        <v>0</v>
      </c>
      <c r="N1716" s="17">
        <f>K1716*0.08+L1716*0.08</f>
        <v/>
      </c>
      <c r="O1716" s="17">
        <f>-(K1716*0.025+L1716*0.025)</f>
        <v/>
      </c>
      <c r="P1716" s="17">
        <f>32</f>
        <v/>
      </c>
      <c r="Q1716" s="17">
        <f>J1716+L1716+N1716+O1716-P1716-M1716</f>
        <v/>
      </c>
    </row>
    <row r="1717">
      <c r="A1717" s="16" t="inlineStr">
        <is>
          <t>5.15-5.21</t>
        </is>
      </c>
      <c r="B1717" s="16" t="inlineStr">
        <is>
          <t>PO-128-07315787274871995</t>
        </is>
      </c>
      <c r="C1717" s="16" t="inlineStr">
        <is>
          <t>Delivered</t>
        </is>
      </c>
      <c r="D1717" s="16" t="inlineStr">
        <is>
          <t>128-07315745331831995</t>
        </is>
      </c>
      <c r="E1717" s="16" t="inlineStr">
        <is>
          <t>Delivered</t>
        </is>
      </c>
      <c r="F1717" s="16" t="inlineStr">
        <is>
          <t>LV25W22</t>
        </is>
      </c>
      <c r="G17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7" s="16" t="inlineStr">
        <is>
          <t>LV25W32</t>
        </is>
      </c>
      <c r="I1717" s="16" t="n">
        <v>2</v>
      </c>
      <c r="J1717" s="17" t="n">
        <v>180.86</v>
      </c>
      <c r="K1717" s="17" t="n">
        <v>201.68</v>
      </c>
      <c r="L1717" s="17" t="n">
        <v>25.86</v>
      </c>
      <c r="M1717" s="17" t="n">
        <v>0</v>
      </c>
      <c r="N1717" s="17">
        <f>K1717*0.08+L1717*0.08</f>
        <v/>
      </c>
      <c r="O1717" s="17">
        <f>-(K1717*0.025+L1717*0.025)</f>
        <v/>
      </c>
      <c r="P1717" s="17">
        <f>32</f>
        <v/>
      </c>
      <c r="Q1717" s="17">
        <f>J1717+L1717+N1717+O1717-P1717-M1717</f>
        <v/>
      </c>
    </row>
    <row r="1718">
      <c r="A1718" s="16" t="inlineStr">
        <is>
          <t>5.15-5.21</t>
        </is>
      </c>
      <c r="B1718" s="16" t="inlineStr">
        <is>
          <t>PO-128-06930978760313265</t>
        </is>
      </c>
      <c r="C1718" s="16" t="inlineStr">
        <is>
          <t>Delivered</t>
        </is>
      </c>
      <c r="D1718" s="16" t="inlineStr">
        <is>
          <t>128-06930936817273265</t>
        </is>
      </c>
      <c r="E1718" s="16" t="inlineStr">
        <is>
          <t>Delivered</t>
        </is>
      </c>
      <c r="F1718" s="16" t="inlineStr">
        <is>
          <t>LV25W22</t>
        </is>
      </c>
      <c r="G17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8" s="16" t="inlineStr">
        <is>
          <t>LV25W32</t>
        </is>
      </c>
      <c r="I1718" s="16" t="n">
        <v>2</v>
      </c>
      <c r="J1718" s="17" t="n">
        <v>180.86</v>
      </c>
      <c r="K1718" s="17" t="n">
        <v>201.68</v>
      </c>
      <c r="L1718" s="17" t="n">
        <v>25.86</v>
      </c>
      <c r="M1718" s="17" t="n">
        <v>0</v>
      </c>
      <c r="N1718" s="17">
        <f>K1718*0.08+L1718*0.08</f>
        <v/>
      </c>
      <c r="O1718" s="17">
        <f>-(K1718*0.025+L1718*0.025)</f>
        <v/>
      </c>
      <c r="P1718" s="17">
        <f>32</f>
        <v/>
      </c>
      <c r="Q1718" s="17">
        <f>J1718+L1718+N1718+O1718-P1718-M1718</f>
        <v/>
      </c>
    </row>
    <row r="1719">
      <c r="A1719" s="16" t="inlineStr">
        <is>
          <t>5.15-5.21</t>
        </is>
      </c>
      <c r="B1719" s="16" t="inlineStr">
        <is>
          <t>PO-128-07516798863990669</t>
        </is>
      </c>
      <c r="C1719" s="16" t="inlineStr">
        <is>
          <t>Delivered</t>
        </is>
      </c>
      <c r="D1719" s="16" t="inlineStr">
        <is>
          <t>128-07516851292790669</t>
        </is>
      </c>
      <c r="E1719" s="16" t="inlineStr">
        <is>
          <t>Delivered</t>
        </is>
      </c>
      <c r="F1719" s="16" t="inlineStr">
        <is>
          <t>LV25W22</t>
        </is>
      </c>
      <c r="G17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19" s="16" t="inlineStr">
        <is>
          <t>LV25W32</t>
        </is>
      </c>
      <c r="I1719" s="16" t="n">
        <v>1</v>
      </c>
      <c r="J1719" s="17" t="n">
        <v>90.43000000000001</v>
      </c>
      <c r="K1719" s="17" t="n">
        <v>100.84</v>
      </c>
      <c r="L1719" s="17" t="n">
        <v>25.86</v>
      </c>
      <c r="M1719" s="17" t="n">
        <v>0</v>
      </c>
      <c r="N1719" s="17">
        <f>K1719*0.08+L1719*0.08</f>
        <v/>
      </c>
      <c r="O1719" s="17">
        <f>-(K1719*0.025+L1719*0.025)</f>
        <v/>
      </c>
      <c r="P1719" s="17">
        <f>32</f>
        <v/>
      </c>
      <c r="Q1719" s="17">
        <f>J1719+L1719+N1719+O1719-P1719-M1719</f>
        <v/>
      </c>
    </row>
    <row r="1720">
      <c r="A1720" s="16" t="inlineStr">
        <is>
          <t>5.15-5.21</t>
        </is>
      </c>
      <c r="B1720" s="16" t="inlineStr">
        <is>
          <t>PO-128-07031109653113626</t>
        </is>
      </c>
      <c r="C1720" s="16" t="inlineStr">
        <is>
          <t>Delivered</t>
        </is>
      </c>
      <c r="D1720" s="16" t="inlineStr">
        <is>
          <t>128-07031114895993626</t>
        </is>
      </c>
      <c r="E1720" s="16" t="inlineStr">
        <is>
          <t>Delivered</t>
        </is>
      </c>
      <c r="F1720" s="16" t="inlineStr">
        <is>
          <t>FA028</t>
        </is>
      </c>
      <c r="G1720" s="16" t="inlineStr">
        <is>
          <t>Extractor de agua para garrafas de agua, compatible con carga USB, extractor de agua automático, práctico, con dos modos de toma de agua: manual y programado, ideal para dormitorios, salones, oficinas, uso al aire libre y otros escenarios.</t>
        </is>
      </c>
      <c r="H1720" s="16" t="inlineStr">
        <is>
          <t>FA028</t>
        </is>
      </c>
      <c r="I1720" s="16" t="n">
        <v>1</v>
      </c>
      <c r="J1720" s="17" t="n">
        <v>27</v>
      </c>
      <c r="K1720" s="17" t="n">
        <v>36.58</v>
      </c>
      <c r="L1720" s="17" t="n">
        <v>25.86</v>
      </c>
      <c r="M1720" s="17" t="n">
        <v>0</v>
      </c>
      <c r="N1720" s="17">
        <f>K1720*0.08+L1720*0.08</f>
        <v/>
      </c>
      <c r="O1720" s="17">
        <f>-(K1720*0.025+L1720*0.025)</f>
        <v/>
      </c>
      <c r="P1720" s="17">
        <f>32</f>
        <v/>
      </c>
      <c r="Q1720" s="17">
        <f>J1720+L1720+N1720+O1720-P1720-M1720</f>
        <v/>
      </c>
    </row>
    <row r="1721">
      <c r="A1721" s="16" t="inlineStr">
        <is>
          <t>5.15-5.21</t>
        </is>
      </c>
      <c r="B1721" s="16" t="inlineStr">
        <is>
          <t>PO-128-07349827594871726</t>
        </is>
      </c>
      <c r="C1721" s="16" t="inlineStr">
        <is>
          <t>Delivered</t>
        </is>
      </c>
      <c r="D1721" s="16" t="inlineStr">
        <is>
          <t>128-07349785651831726</t>
        </is>
      </c>
      <c r="E1721" s="16" t="inlineStr">
        <is>
          <t>Delivered</t>
        </is>
      </c>
      <c r="F1721" s="16" t="inlineStr">
        <is>
          <t>LV25W22</t>
        </is>
      </c>
      <c r="G172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21" s="16" t="inlineStr">
        <is>
          <t>LV25W32</t>
        </is>
      </c>
      <c r="I1721" s="16" t="n">
        <v>1</v>
      </c>
      <c r="J1721" s="17" t="n">
        <v>90.43000000000001</v>
      </c>
      <c r="K1721" s="17" t="n">
        <v>100.84</v>
      </c>
      <c r="L1721" s="17" t="n">
        <v>25.86</v>
      </c>
      <c r="M1721" s="17" t="n">
        <v>0</v>
      </c>
      <c r="N1721" s="17">
        <f>K1721*0.08+L1721*0.08</f>
        <v/>
      </c>
      <c r="O1721" s="17">
        <f>-(K1721*0.025+L1721*0.025)</f>
        <v/>
      </c>
      <c r="P1721" s="17">
        <f>32</f>
        <v/>
      </c>
      <c r="Q1721" s="17">
        <f>J1721+L1721+N1721+O1721-P1721-M1721</f>
        <v/>
      </c>
    </row>
    <row r="1722">
      <c r="A1722" s="16" t="inlineStr">
        <is>
          <t>5.15-5.21</t>
        </is>
      </c>
      <c r="B1722" s="16" t="inlineStr">
        <is>
          <t>PO-128-07328172918391793</t>
        </is>
      </c>
      <c r="C1722" s="16" t="inlineStr">
        <is>
          <t>Delivered</t>
        </is>
      </c>
      <c r="D1722" s="16" t="inlineStr">
        <is>
          <t>128-07328141461111793</t>
        </is>
      </c>
      <c r="E1722" s="16" t="inlineStr">
        <is>
          <t>Delivered</t>
        </is>
      </c>
      <c r="F1722" s="16" t="inlineStr">
        <is>
          <t>LV34W04</t>
        </is>
      </c>
      <c r="G172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722" s="16" t="inlineStr">
        <is>
          <t>LV34W04</t>
        </is>
      </c>
      <c r="I1722" s="16" t="n">
        <v>1</v>
      </c>
      <c r="J1722" s="17" t="n">
        <v>220</v>
      </c>
      <c r="K1722" s="17" t="n">
        <v>278.82</v>
      </c>
      <c r="L1722" s="17" t="n">
        <v>0</v>
      </c>
      <c r="M1722" s="17" t="n">
        <v>0</v>
      </c>
      <c r="N1722" s="17">
        <f>K1722*0.08+L1722*0.08</f>
        <v/>
      </c>
      <c r="O1722" s="17">
        <f>-(K1722*0.025+L1722*0.025)</f>
        <v/>
      </c>
      <c r="P1722" s="17">
        <f>32</f>
        <v/>
      </c>
      <c r="Q1722" s="17">
        <f>J1722+L1722+N1722+O1722-P1722-M1722</f>
        <v/>
      </c>
    </row>
    <row r="1723">
      <c r="A1723" s="16" t="inlineStr">
        <is>
          <t>5.15-5.21</t>
        </is>
      </c>
      <c r="B1723" s="16" t="inlineStr">
        <is>
          <t>PO-128-07155245240952822</t>
        </is>
      </c>
      <c r="C1723" s="16" t="inlineStr">
        <is>
          <t>Delivered</t>
        </is>
      </c>
      <c r="D1723" s="16" t="inlineStr">
        <is>
          <t>128-07155297669752822</t>
        </is>
      </c>
      <c r="E1723" s="16" t="inlineStr">
        <is>
          <t>Delivered</t>
        </is>
      </c>
      <c r="F1723" s="16" t="inlineStr">
        <is>
          <t>MCM-001N</t>
        </is>
      </c>
      <c r="G1723" s="16" t="inlineStr">
        <is>
          <t>Musicord Altavoz Inalámbrico BT Portátil: ¡Sonido impactante, luces LED multicolores y 4 horas de autonomía! Compatible con TWS, FM, TF y USB – Imprescindible para fiestas y viajes</t>
        </is>
      </c>
      <c r="H1723" s="16" t="inlineStr">
        <is>
          <t>NEGRO</t>
        </is>
      </c>
      <c r="I1723" s="16" t="n">
        <v>1</v>
      </c>
      <c r="J1723" s="17" t="n">
        <v>61</v>
      </c>
      <c r="K1723" s="17" t="n">
        <v>68.79000000000001</v>
      </c>
      <c r="L1723" s="17" t="n">
        <v>25.86</v>
      </c>
      <c r="M1723" s="17" t="n">
        <v>0</v>
      </c>
      <c r="N1723" s="17">
        <f>K1723*0.08+L1723*0.08</f>
        <v/>
      </c>
      <c r="O1723" s="17">
        <f>-(K1723*0.025+L1723*0.025)</f>
        <v/>
      </c>
      <c r="P1723" s="17">
        <f>32</f>
        <v/>
      </c>
      <c r="Q1723" s="17">
        <f>J1723+L1723+N1723+O1723-P1723-M1723</f>
        <v/>
      </c>
    </row>
    <row r="1724">
      <c r="A1724" s="16" t="inlineStr">
        <is>
          <t>5.15-5.21</t>
        </is>
      </c>
      <c r="B1724" s="16" t="inlineStr">
        <is>
          <t>PO-128-07489902359671021</t>
        </is>
      </c>
      <c r="C1724" s="16" t="inlineStr">
        <is>
          <t>Delivered</t>
        </is>
      </c>
      <c r="D1724" s="16" t="inlineStr">
        <is>
          <t>128-07489928574071021</t>
        </is>
      </c>
      <c r="E1724" s="16" t="inlineStr">
        <is>
          <t>Delivered</t>
        </is>
      </c>
      <c r="F1724" s="16" t="inlineStr">
        <is>
          <t>LV25W22</t>
        </is>
      </c>
      <c r="G17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24" s="16" t="inlineStr">
        <is>
          <t>LV25W32</t>
        </is>
      </c>
      <c r="I1724" s="16" t="n">
        <v>1</v>
      </c>
      <c r="J1724" s="17" t="n">
        <v>90.43000000000001</v>
      </c>
      <c r="K1724" s="17" t="n">
        <v>100.84</v>
      </c>
      <c r="L1724" s="17" t="n">
        <v>25.86</v>
      </c>
      <c r="M1724" s="17" t="n">
        <v>0</v>
      </c>
      <c r="N1724" s="17">
        <f>K1724*0.08+L1724*0.08</f>
        <v/>
      </c>
      <c r="O1724" s="17">
        <f>-(K1724*0.025+L1724*0.025)</f>
        <v/>
      </c>
      <c r="P1724" s="17">
        <f>32</f>
        <v/>
      </c>
      <c r="Q1724" s="17">
        <f>J1724+L1724+N1724+O1724-P1724-M1724</f>
        <v/>
      </c>
    </row>
    <row r="1725">
      <c r="A1725" s="16" t="inlineStr">
        <is>
          <t>5.15-5.21</t>
        </is>
      </c>
      <c r="B1725" s="16" t="inlineStr">
        <is>
          <t>PO-128-07235760502391510</t>
        </is>
      </c>
      <c r="C1725" s="16" t="inlineStr">
        <is>
          <t>Delivered</t>
        </is>
      </c>
      <c r="D1725" s="16" t="inlineStr">
        <is>
          <t>128-07235718559351510</t>
        </is>
      </c>
      <c r="E1725" s="16" t="inlineStr">
        <is>
          <t>Delivered</t>
        </is>
      </c>
      <c r="F1725" s="16" t="inlineStr">
        <is>
          <t>MCM-001N</t>
        </is>
      </c>
      <c r="G1725" s="16" t="inlineStr">
        <is>
          <t>Musicord Altavoz Inalámbrico BT Portátil: ¡Sonido impactante, luces LED multicolores y 4 horas de autonomía! Compatible con TWS, FM, TF y USB – Imprescindible para fiestas y viajes</t>
        </is>
      </c>
      <c r="H1725" s="16" t="inlineStr">
        <is>
          <t>NEGRO</t>
        </is>
      </c>
      <c r="I1725" s="16" t="n">
        <v>1</v>
      </c>
      <c r="J1725" s="17" t="n">
        <v>61</v>
      </c>
      <c r="K1725" s="17" t="n">
        <v>68.79000000000001</v>
      </c>
      <c r="L1725" s="17" t="n">
        <v>25.86</v>
      </c>
      <c r="M1725" s="17" t="n">
        <v>0</v>
      </c>
      <c r="N1725" s="17">
        <f>K1725*0.08+L1725*0.08</f>
        <v/>
      </c>
      <c r="O1725" s="17">
        <f>-(K1725*0.025+L1725*0.025)</f>
        <v/>
      </c>
      <c r="P1725" s="17">
        <f>32</f>
        <v/>
      </c>
      <c r="Q1725" s="17">
        <f>J1725+L1725+N1725+O1725-P1725-M1725</f>
        <v/>
      </c>
    </row>
    <row r="1726">
      <c r="A1726" s="16" t="inlineStr">
        <is>
          <t>5.15-5.21</t>
        </is>
      </c>
      <c r="B1726" s="16" t="inlineStr">
        <is>
          <t>PO-128-07414425805430319</t>
        </is>
      </c>
      <c r="C1726" s="16" t="inlineStr">
        <is>
          <t>Delivered</t>
        </is>
      </c>
      <c r="D1726" s="16" t="inlineStr">
        <is>
          <t>128-07414467748470319</t>
        </is>
      </c>
      <c r="E1726" s="16" t="inlineStr">
        <is>
          <t>Delivered</t>
        </is>
      </c>
      <c r="F1726" s="16" t="inlineStr">
        <is>
          <t>LV25W22</t>
        </is>
      </c>
      <c r="G17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26" s="16" t="inlineStr">
        <is>
          <t>LV25W32</t>
        </is>
      </c>
      <c r="I1726" s="16" t="n">
        <v>1</v>
      </c>
      <c r="J1726" s="17" t="n">
        <v>90.43000000000001</v>
      </c>
      <c r="K1726" s="17" t="n">
        <v>57.74</v>
      </c>
      <c r="L1726" s="17" t="n">
        <v>25.86</v>
      </c>
      <c r="M1726" s="17" t="n">
        <v>0</v>
      </c>
      <c r="N1726" s="17">
        <f>K1726*0.08+L1726*0.08</f>
        <v/>
      </c>
      <c r="O1726" s="17">
        <f>-(K1726*0.025+L1726*0.025)</f>
        <v/>
      </c>
      <c r="P1726" s="17">
        <f>32</f>
        <v/>
      </c>
      <c r="Q1726" s="17">
        <f>J1726+L1726+N1726+O1726-P1726-M1726</f>
        <v/>
      </c>
    </row>
    <row r="1727">
      <c r="A1727" s="16" t="inlineStr">
        <is>
          <t>5.15-5.21</t>
        </is>
      </c>
      <c r="B1727" s="16" t="inlineStr">
        <is>
          <t>PO-128-07524309653110686</t>
        </is>
      </c>
      <c r="C1727" s="16" t="inlineStr">
        <is>
          <t>Delivered</t>
        </is>
      </c>
      <c r="D1727" s="16" t="inlineStr">
        <is>
          <t>128-07524351596150686</t>
        </is>
      </c>
      <c r="E1727" s="16" t="inlineStr">
        <is>
          <t>Delivered</t>
        </is>
      </c>
      <c r="F1727" s="16" t="inlineStr">
        <is>
          <t>LV25W22</t>
        </is>
      </c>
      <c r="G17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27" s="16" t="inlineStr">
        <is>
          <t>LV25W32</t>
        </is>
      </c>
      <c r="I1727" s="16" t="n">
        <v>2</v>
      </c>
      <c r="J1727" s="17" t="n">
        <v>180.86</v>
      </c>
      <c r="K1727" s="17" t="n">
        <v>118.92</v>
      </c>
      <c r="L1727" s="17" t="n">
        <v>25.86</v>
      </c>
      <c r="M1727" s="17" t="n">
        <v>0</v>
      </c>
      <c r="N1727" s="17">
        <f>K1727*0.08+L1727*0.08</f>
        <v/>
      </c>
      <c r="O1727" s="17">
        <f>-(K1727*0.025+L1727*0.025)</f>
        <v/>
      </c>
      <c r="P1727" s="17">
        <f>32</f>
        <v/>
      </c>
      <c r="Q1727" s="17">
        <f>J1727+L1727+N1727+O1727-P1727-M1727</f>
        <v/>
      </c>
    </row>
    <row r="1728">
      <c r="A1728" s="16" t="inlineStr">
        <is>
          <t>5.15-5.21</t>
        </is>
      </c>
      <c r="B1728" s="16" t="inlineStr">
        <is>
          <t>PO-128-07041406669433692</t>
        </is>
      </c>
      <c r="C1728" s="16" t="inlineStr">
        <is>
          <t>Delivered</t>
        </is>
      </c>
      <c r="D1728" s="16" t="inlineStr">
        <is>
          <t>128-07041558712953692</t>
        </is>
      </c>
      <c r="E1728" s="16" t="inlineStr">
        <is>
          <t>Delivered</t>
        </is>
      </c>
      <c r="F1728" s="16" t="inlineStr">
        <is>
          <t>LV25W22</t>
        </is>
      </c>
      <c r="G172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28" s="16" t="inlineStr">
        <is>
          <t>LV25W32</t>
        </is>
      </c>
      <c r="I1728" s="16" t="n">
        <v>1</v>
      </c>
      <c r="J1728" s="17" t="n">
        <v>90.43000000000001</v>
      </c>
      <c r="K1728" s="17" t="n">
        <v>100.84</v>
      </c>
      <c r="L1728" s="17" t="n">
        <v>25.86</v>
      </c>
      <c r="M1728" s="17" t="n">
        <v>0</v>
      </c>
      <c r="N1728" s="17">
        <f>K1728*0.08+L1728*0.08</f>
        <v/>
      </c>
      <c r="O1728" s="17">
        <f>-(K1728*0.025+L1728*0.025)</f>
        <v/>
      </c>
      <c r="P1728" s="17">
        <f>32</f>
        <v/>
      </c>
      <c r="Q1728" s="17">
        <f>J1728+L1728+N1728+O1728-P1728-M1728</f>
        <v/>
      </c>
    </row>
    <row r="1729">
      <c r="A1729" s="16" t="inlineStr">
        <is>
          <t>5.15-5.21</t>
        </is>
      </c>
      <c r="B1729" s="16" t="inlineStr">
        <is>
          <t>PO-128-07452717450870027</t>
        </is>
      </c>
      <c r="C1729" s="16" t="inlineStr">
        <is>
          <t>Delivered</t>
        </is>
      </c>
      <c r="D1729" s="16" t="inlineStr">
        <is>
          <t>128-07452738422390027</t>
        </is>
      </c>
      <c r="E1729" s="16" t="inlineStr">
        <is>
          <t>Delivered</t>
        </is>
      </c>
      <c r="F1729" s="16" t="inlineStr">
        <is>
          <t>KTS-1678Y</t>
        </is>
      </c>
      <c r="G1729" s="16" t="inlineStr">
        <is>
          <t>Bocina portátil Inalámbrico, de 3 pulgadas, tamaño de bolsillo, 170 g, con asa, compatible con TF, USB y Micro SD, con radio FM y función TWS (True Wireless Stereo), adecuada para relajarse en casa o viajar al aire libre.</t>
        </is>
      </c>
      <c r="H1729" s="16" t="inlineStr">
        <is>
          <t>KTS-1678Y</t>
        </is>
      </c>
      <c r="I1729" s="16" t="n">
        <v>2</v>
      </c>
      <c r="J1729" s="17" t="n">
        <v>80</v>
      </c>
      <c r="K1729" s="17" t="n">
        <v>75.27</v>
      </c>
      <c r="L1729" s="17" t="n">
        <v>0</v>
      </c>
      <c r="M1729" s="17" t="n">
        <v>0</v>
      </c>
      <c r="N1729" s="17">
        <f>K1729*0.08+L1729*0.08</f>
        <v/>
      </c>
      <c r="O1729" s="17">
        <f>-(K1729*0.025+L1729*0.025)</f>
        <v/>
      </c>
      <c r="P1729" s="17">
        <f>32</f>
        <v/>
      </c>
      <c r="Q1729" s="17">
        <f>J1729+L1729+N1729+O1729-P1729-M1729</f>
        <v/>
      </c>
    </row>
    <row r="1730">
      <c r="A1730" s="16" t="inlineStr">
        <is>
          <t>5.15-5.21</t>
        </is>
      </c>
      <c r="B1730" s="16" t="inlineStr">
        <is>
          <t>PO-128-07452717450870027</t>
        </is>
      </c>
      <c r="C1730" s="16" t="inlineStr">
        <is>
          <t>Delivered</t>
        </is>
      </c>
      <c r="D1730" s="16" t="inlineStr">
        <is>
          <t>128-07452633564790027</t>
        </is>
      </c>
      <c r="E1730" s="16" t="inlineStr">
        <is>
          <t>Delivered</t>
        </is>
      </c>
      <c r="F1730" s="16" t="inlineStr">
        <is>
          <t>SA325T</t>
        </is>
      </c>
      <c r="G1730" s="16" t="inlineStr">
        <is>
          <t>Subwoofer Portátil Inalámbrico con Luces RGB, Sonido de Alta Potencia y Batería Duradera, TWS TF USB, Perfecto para Campamento Fiestas y Entretenimiento en Casa</t>
        </is>
      </c>
      <c r="H1730" s="16" t="inlineStr">
        <is>
          <t>NEGRO</t>
        </is>
      </c>
      <c r="I1730" s="16" t="n">
        <v>1</v>
      </c>
      <c r="J1730" s="17" t="n">
        <v>36</v>
      </c>
      <c r="K1730" s="17" t="n">
        <v>36.66</v>
      </c>
      <c r="L1730" s="17" t="n">
        <v>0</v>
      </c>
      <c r="M1730" s="17" t="n">
        <v>0</v>
      </c>
      <c r="N1730" s="17">
        <f>K1730*0.08+L1730*0.08</f>
        <v/>
      </c>
      <c r="O1730" s="17">
        <f>-(K1730*0.025+L1730*0.025)</f>
        <v/>
      </c>
      <c r="P1730" s="17">
        <f>32</f>
        <v/>
      </c>
      <c r="Q1730" s="17">
        <f>J1730+L1730+N1730+O1730-P1730-M1730</f>
        <v/>
      </c>
    </row>
    <row r="1731">
      <c r="A1731" s="16" t="inlineStr">
        <is>
          <t>5.15-5.21</t>
        </is>
      </c>
      <c r="B1731" s="16" t="inlineStr">
        <is>
          <t>PO-128-07452717450870027</t>
        </is>
      </c>
      <c r="C1731" s="16" t="inlineStr">
        <is>
          <t>Delivered</t>
        </is>
      </c>
      <c r="D1731" s="16" t="inlineStr">
        <is>
          <t>128-07452696479350027</t>
        </is>
      </c>
      <c r="E1731" s="16" t="inlineStr">
        <is>
          <t>Delivered</t>
        </is>
      </c>
      <c r="F1731" s="16" t="inlineStr">
        <is>
          <t>SA323T</t>
        </is>
      </c>
      <c r="G1731" s="16" t="inlineStr">
        <is>
          <t>Linkbits Bocina Portátil Parlantes BT Portátiles con Iluminación de Ambiente | 1 Hora de Duración, FM, TWS, TF/Micro SD | Ideal para Hogar, Fiestas y Viajes</t>
        </is>
      </c>
      <c r="H1731" s="16" t="inlineStr">
        <is>
          <t>SA323T</t>
        </is>
      </c>
      <c r="I1731" s="16" t="n">
        <v>2</v>
      </c>
      <c r="J1731" s="17" t="n">
        <v>75.42</v>
      </c>
      <c r="K1731" s="17" t="n">
        <v>76.17</v>
      </c>
      <c r="L1731" s="17" t="n">
        <v>0</v>
      </c>
      <c r="M1731" s="17" t="n">
        <v>0</v>
      </c>
      <c r="N1731" s="17">
        <f>K1731*0.08+L1731*0.08</f>
        <v/>
      </c>
      <c r="O1731" s="17">
        <f>-(K1731*0.025+L1731*0.025)</f>
        <v/>
      </c>
      <c r="P1731" s="17">
        <f>32</f>
        <v/>
      </c>
      <c r="Q1731" s="17">
        <f>J1731+L1731+N1731+O1731-P1731-M1731</f>
        <v/>
      </c>
    </row>
    <row r="1732">
      <c r="A1732" s="16" t="inlineStr">
        <is>
          <t>5.15-5.21</t>
        </is>
      </c>
      <c r="B1732" s="16" t="inlineStr">
        <is>
          <t>PO-128-07452717450870027</t>
        </is>
      </c>
      <c r="C1732" s="16" t="inlineStr">
        <is>
          <t>Delivered</t>
        </is>
      </c>
      <c r="D1732" s="16" t="inlineStr">
        <is>
          <t>128-07452654536310027</t>
        </is>
      </c>
      <c r="E1732" s="16" t="inlineStr">
        <is>
          <t>Delivered</t>
        </is>
      </c>
      <c r="F1732" s="16" t="inlineStr">
        <is>
          <t>VA384T-A</t>
        </is>
      </c>
      <c r="G1732" s="16" t="inlineStr">
        <is>
          <t>Bocina Portátil Bluetooth de 3 Pulgadas con Radio FM, USB TF TWS, Sonido Estéreo 5W, Bocina Recargable para Hogar Exterior Viaje Fiesta Camping</t>
        </is>
      </c>
      <c r="H1732" s="16" t="inlineStr">
        <is>
          <t>AZUL</t>
        </is>
      </c>
      <c r="I1732" s="16" t="n">
        <v>1</v>
      </c>
      <c r="J1732" s="17" t="n">
        <v>46</v>
      </c>
      <c r="K1732" s="17" t="n">
        <v>46.19</v>
      </c>
      <c r="L1732" s="17" t="n">
        <v>0</v>
      </c>
      <c r="M1732" s="17" t="n">
        <v>0</v>
      </c>
      <c r="N1732" s="17">
        <f>K1732*0.08+L1732*0.08</f>
        <v/>
      </c>
      <c r="O1732" s="17">
        <f>-(K1732*0.025+L1732*0.025)</f>
        <v/>
      </c>
      <c r="P1732" s="17">
        <f>32</f>
        <v/>
      </c>
      <c r="Q1732" s="17">
        <f>J1732+L1732+N1732+O1732-P1732-M1732</f>
        <v/>
      </c>
    </row>
    <row r="1733">
      <c r="A1733" s="16" t="inlineStr">
        <is>
          <t>5.15-5.21</t>
        </is>
      </c>
      <c r="B1733" s="16" t="inlineStr">
        <is>
          <t>PO-128-07297959491191141</t>
        </is>
      </c>
      <c r="C1733" s="16" t="inlineStr">
        <is>
          <t>Delivered</t>
        </is>
      </c>
      <c r="D1733" s="16" t="inlineStr">
        <is>
          <t>128-07297980462711141</t>
        </is>
      </c>
      <c r="E1733" s="16" t="inlineStr">
        <is>
          <t>Delivered</t>
        </is>
      </c>
      <c r="F1733" s="16" t="inlineStr">
        <is>
          <t>LB02235-negro</t>
        </is>
      </c>
      <c r="G1733" s="16" t="inlineStr">
        <is>
          <t>Audífonos Inalámbricos para la Cabeza, Recargables y Multifuncionales - Conectan a Varios Dispositivos, soportan Radio FM, Tarjeta TF y AUX - 4 Horas de Reproducción Musical - Ideal para Trabajo Cotidiano, Juegos y Estudio</t>
        </is>
      </c>
      <c r="H1733" s="16" t="inlineStr">
        <is>
          <t>NEGRO</t>
        </is>
      </c>
      <c r="I1733" s="16" t="n">
        <v>1</v>
      </c>
      <c r="J1733" s="17" t="n">
        <v>36.5</v>
      </c>
      <c r="K1733" s="17" t="n">
        <v>26.77</v>
      </c>
      <c r="L1733" s="17" t="n">
        <v>25.86</v>
      </c>
      <c r="M1733" s="17" t="n">
        <v>0</v>
      </c>
      <c r="N1733" s="17">
        <f>K1733*0.08+L1733*0.08</f>
        <v/>
      </c>
      <c r="O1733" s="17">
        <f>-(K1733*0.025+L1733*0.025)</f>
        <v/>
      </c>
      <c r="P1733" s="17">
        <f>32</f>
        <v/>
      </c>
      <c r="Q1733" s="17">
        <f>J1733+L1733+N1733+O1733-P1733-M1733</f>
        <v/>
      </c>
    </row>
    <row r="1734">
      <c r="A1734" s="16" t="inlineStr">
        <is>
          <t>5.15-5.21</t>
        </is>
      </c>
      <c r="B1734" s="16" t="inlineStr">
        <is>
          <t>PO-128-07141561406073033</t>
        </is>
      </c>
      <c r="C1734" s="16" t="inlineStr">
        <is>
          <t>Delivered</t>
        </is>
      </c>
      <c r="D1734" s="16" t="inlineStr">
        <is>
          <t>128-07141721313913033</t>
        </is>
      </c>
      <c r="E1734" s="16" t="inlineStr">
        <is>
          <t>Delivered</t>
        </is>
      </c>
      <c r="F1734" s="16" t="inlineStr">
        <is>
          <t>LV25W22</t>
        </is>
      </c>
      <c r="G173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34" s="16" t="inlineStr">
        <is>
          <t>LV25W32</t>
        </is>
      </c>
      <c r="I1734" s="16" t="n">
        <v>3</v>
      </c>
      <c r="J1734" s="17" t="n">
        <v>271.29</v>
      </c>
      <c r="K1734" s="17" t="n">
        <v>302.52</v>
      </c>
      <c r="L1734" s="17" t="n">
        <v>0</v>
      </c>
      <c r="M1734" s="17" t="n">
        <v>0</v>
      </c>
      <c r="N1734" s="17">
        <f>K1734*0.08+L1734*0.08</f>
        <v/>
      </c>
      <c r="O1734" s="17">
        <f>-(K1734*0.025+L1734*0.025)</f>
        <v/>
      </c>
      <c r="P1734" s="17">
        <f>32</f>
        <v/>
      </c>
      <c r="Q1734" s="17">
        <f>J1734+L1734+N1734+O1734-P1734-M1734</f>
        <v/>
      </c>
    </row>
    <row r="1735">
      <c r="A1735" s="16" t="inlineStr">
        <is>
          <t>5.15-5.21</t>
        </is>
      </c>
      <c r="B1735" s="16" t="inlineStr">
        <is>
          <t>PO-128-07075101307512340</t>
        </is>
      </c>
      <c r="C1735" s="16" t="inlineStr">
        <is>
          <t>Delivered</t>
        </is>
      </c>
      <c r="D1735" s="16" t="inlineStr">
        <is>
          <t>128-07075059364472340</t>
        </is>
      </c>
      <c r="E1735" s="16" t="inlineStr">
        <is>
          <t>Delivered</t>
        </is>
      </c>
      <c r="F1735" s="16" t="inlineStr">
        <is>
          <t>SA325T</t>
        </is>
      </c>
      <c r="G1735" s="16" t="inlineStr">
        <is>
          <t>Subwoofer Portátil Inalámbrico con Luces RGB, Sonido de Alta Potencia y Batería Duradera, TWS TF USB, Perfecto para Campamento Fiestas y Entretenimiento en Casa</t>
        </is>
      </c>
      <c r="H1735" s="16" t="inlineStr">
        <is>
          <t>NEGRO</t>
        </is>
      </c>
      <c r="I1735" s="16" t="n">
        <v>1</v>
      </c>
      <c r="J1735" s="17" t="n">
        <v>36</v>
      </c>
      <c r="K1735" s="17" t="n">
        <v>36.03</v>
      </c>
      <c r="L1735" s="17" t="n">
        <v>25.86</v>
      </c>
      <c r="M1735" s="17" t="n">
        <v>0</v>
      </c>
      <c r="N1735" s="17">
        <f>K1735*0.08+L1735*0.08</f>
        <v/>
      </c>
      <c r="O1735" s="17">
        <f>-(K1735*0.025+L1735*0.025)</f>
        <v/>
      </c>
      <c r="P1735" s="17">
        <f>32</f>
        <v/>
      </c>
      <c r="Q1735" s="17">
        <f>J1735+L1735+N1735+O1735-P1735-M1735</f>
        <v/>
      </c>
    </row>
    <row r="1736">
      <c r="A1736" s="16" t="inlineStr">
        <is>
          <t>5.15-5.21</t>
        </is>
      </c>
      <c r="B1736" s="16" t="inlineStr">
        <is>
          <t>PO-128-07541395292790520</t>
        </is>
      </c>
      <c r="C1736" s="16" t="inlineStr">
        <is>
          <t>Delivered</t>
        </is>
      </c>
      <c r="D1736" s="16" t="inlineStr">
        <is>
          <t>128-07541500150390520</t>
        </is>
      </c>
      <c r="E1736" s="16" t="inlineStr">
        <is>
          <t>Delivered</t>
        </is>
      </c>
      <c r="F1736" s="16" t="inlineStr">
        <is>
          <t>SA323T</t>
        </is>
      </c>
      <c r="G1736" s="16" t="inlineStr">
        <is>
          <t>Linkbits Bocina Portátil Parlantes BT Portátiles con Iluminación de Ambiente | 1 Hora de Duración, FM, TWS, TF/Micro SD | Ideal para Hogar, Fiestas y Viajes</t>
        </is>
      </c>
      <c r="H1736" s="16" t="inlineStr">
        <is>
          <t>SA323T</t>
        </is>
      </c>
      <c r="I1736" s="16" t="n">
        <v>1</v>
      </c>
      <c r="J1736" s="17" t="n">
        <v>37.71</v>
      </c>
      <c r="K1736" s="17" t="n">
        <v>46.77</v>
      </c>
      <c r="L1736" s="17" t="n">
        <v>25.86</v>
      </c>
      <c r="M1736" s="17" t="n">
        <v>0</v>
      </c>
      <c r="N1736" s="17">
        <f>K1736*0.08+L1736*0.08</f>
        <v/>
      </c>
      <c r="O1736" s="17">
        <f>-(K1736*0.025+L1736*0.025)</f>
        <v/>
      </c>
      <c r="P1736" s="17">
        <f>32</f>
        <v/>
      </c>
      <c r="Q1736" s="17">
        <f>J1736+L1736+N1736+O1736-P1736-M1736</f>
        <v/>
      </c>
    </row>
    <row r="1737">
      <c r="A1737" s="16" t="inlineStr">
        <is>
          <t>5.15-5.21</t>
        </is>
      </c>
      <c r="B1737" s="16" t="inlineStr">
        <is>
          <t>PO-128-07067939927672318</t>
        </is>
      </c>
      <c r="C1737" s="16" t="inlineStr">
        <is>
          <t>Delivered</t>
        </is>
      </c>
      <c r="D1737" s="16" t="inlineStr">
        <is>
          <t>128-07068044785272318</t>
        </is>
      </c>
      <c r="E1737" s="16" t="inlineStr">
        <is>
          <t>Delivered</t>
        </is>
      </c>
      <c r="F1737" s="16" t="inlineStr">
        <is>
          <t>LV25W22</t>
        </is>
      </c>
      <c r="G17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37" s="16" t="inlineStr">
        <is>
          <t>LV25W32</t>
        </is>
      </c>
      <c r="I1737" s="16" t="n">
        <v>1</v>
      </c>
      <c r="J1737" s="17" t="n">
        <v>90.43000000000001</v>
      </c>
      <c r="K1737" s="17" t="n">
        <v>100.84</v>
      </c>
      <c r="L1737" s="17" t="n">
        <v>25.86</v>
      </c>
      <c r="M1737" s="17" t="n">
        <v>0</v>
      </c>
      <c r="N1737" s="17">
        <f>K1737*0.08+L1737*0.08</f>
        <v/>
      </c>
      <c r="O1737" s="17">
        <f>-(K1737*0.025+L1737*0.025)</f>
        <v/>
      </c>
      <c r="P1737" s="17">
        <f>32</f>
        <v/>
      </c>
      <c r="Q1737" s="17">
        <f>J1737+L1737+N1737+O1737-P1737-M1737</f>
        <v/>
      </c>
    </row>
    <row r="1738">
      <c r="A1738" s="16" t="inlineStr">
        <is>
          <t>5.15-5.21</t>
        </is>
      </c>
      <c r="B1738" s="16" t="inlineStr">
        <is>
          <t>PO-128-07052461886072477</t>
        </is>
      </c>
      <c r="C1738" s="16" t="inlineStr">
        <is>
          <t>Delivered</t>
        </is>
      </c>
      <c r="D1738" s="16" t="inlineStr">
        <is>
          <t>128-07052419943032477</t>
        </is>
      </c>
      <c r="E1738" s="16" t="inlineStr">
        <is>
          <t>Delivered</t>
        </is>
      </c>
      <c r="F1738" s="16" t="inlineStr">
        <is>
          <t>LV25W22</t>
        </is>
      </c>
      <c r="G173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38" s="16" t="inlineStr">
        <is>
          <t>LV25W32</t>
        </is>
      </c>
      <c r="I1738" s="16" t="n">
        <v>1</v>
      </c>
      <c r="J1738" s="17" t="n">
        <v>90.43000000000001</v>
      </c>
      <c r="K1738" s="17" t="n">
        <v>70.59</v>
      </c>
      <c r="L1738" s="17" t="n">
        <v>25.86</v>
      </c>
      <c r="M1738" s="17" t="n">
        <v>0</v>
      </c>
      <c r="N1738" s="17">
        <f>K1738*0.08+L1738*0.08</f>
        <v/>
      </c>
      <c r="O1738" s="17">
        <f>-(K1738*0.025+L1738*0.025)</f>
        <v/>
      </c>
      <c r="P1738" s="17">
        <f>32</f>
        <v/>
      </c>
      <c r="Q1738" s="17">
        <f>J1738+L1738+N1738+O1738-P1738-M1738</f>
        <v/>
      </c>
    </row>
    <row r="1739">
      <c r="A1739" s="16" t="inlineStr">
        <is>
          <t>5.15-5.21</t>
        </is>
      </c>
      <c r="B1739" s="16" t="inlineStr">
        <is>
          <t>PO-128-07362547548791778</t>
        </is>
      </c>
      <c r="C1739" s="16" t="inlineStr">
        <is>
          <t>Delivered</t>
        </is>
      </c>
      <c r="D1739" s="16" t="inlineStr">
        <is>
          <t>128-07362537063031778</t>
        </is>
      </c>
      <c r="E1739" s="16" t="inlineStr">
        <is>
          <t>Delivered</t>
        </is>
      </c>
      <c r="F1739" s="16" t="inlineStr">
        <is>
          <t>SA325T</t>
        </is>
      </c>
      <c r="G1739" s="16" t="inlineStr">
        <is>
          <t>Subwoofer Portátil Inalámbrico con Luces RGB, Sonido de Alta Potencia y Batería Duradera, TWS TF USB, Perfecto para Campamento Fiestas y Entretenimiento en Casa</t>
        </is>
      </c>
      <c r="H1739" s="16" t="inlineStr">
        <is>
          <t>NEGRO</t>
        </is>
      </c>
      <c r="I1739" s="16" t="n">
        <v>2</v>
      </c>
      <c r="J1739" s="17" t="n">
        <v>72</v>
      </c>
      <c r="K1739" s="17" t="n">
        <v>87.83</v>
      </c>
      <c r="L1739" s="17" t="n">
        <v>25.86</v>
      </c>
      <c r="M1739" s="17" t="n">
        <v>0</v>
      </c>
      <c r="N1739" s="17">
        <f>K1739*0.08+L1739*0.08</f>
        <v/>
      </c>
      <c r="O1739" s="17">
        <f>-(K1739*0.025+L1739*0.025)</f>
        <v/>
      </c>
      <c r="P1739" s="17">
        <f>32</f>
        <v/>
      </c>
      <c r="Q1739" s="17">
        <f>J1739+L1739+N1739+O1739-P1739-M1739</f>
        <v/>
      </c>
    </row>
    <row r="1740">
      <c r="A1740" s="16" t="inlineStr">
        <is>
          <t>5.15-5.21</t>
        </is>
      </c>
      <c r="B1740" s="16" t="inlineStr">
        <is>
          <t>PO-128-07120274023032134</t>
        </is>
      </c>
      <c r="C1740" s="16" t="inlineStr">
        <is>
          <t>Delivered</t>
        </is>
      </c>
      <c r="D1740" s="16" t="inlineStr">
        <is>
          <t>128-07120294994552134</t>
        </is>
      </c>
      <c r="E1740" s="16" t="inlineStr">
        <is>
          <t>Delivered</t>
        </is>
      </c>
      <c r="F1740" s="16" t="inlineStr">
        <is>
          <t>LV25W22</t>
        </is>
      </c>
      <c r="G17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40" s="16" t="inlineStr">
        <is>
          <t>LV25W32</t>
        </is>
      </c>
      <c r="I1740" s="16" t="n">
        <v>1</v>
      </c>
      <c r="J1740" s="17" t="n">
        <v>90.43000000000001</v>
      </c>
      <c r="K1740" s="17" t="n">
        <v>100.84</v>
      </c>
      <c r="L1740" s="17" t="n">
        <v>25.86</v>
      </c>
      <c r="M1740" s="17" t="n">
        <v>0</v>
      </c>
      <c r="N1740" s="17">
        <f>K1740*0.08+L1740*0.08</f>
        <v/>
      </c>
      <c r="O1740" s="17">
        <f>-(K1740*0.025+L1740*0.025)</f>
        <v/>
      </c>
      <c r="P1740" s="17">
        <f>32</f>
        <v/>
      </c>
      <c r="Q1740" s="17">
        <f>J1740+L1740+N1740+O1740-P1740-M1740</f>
        <v/>
      </c>
    </row>
    <row r="1741">
      <c r="A1741" s="16" t="inlineStr">
        <is>
          <t>5.15-5.21</t>
        </is>
      </c>
      <c r="B1741" s="16" t="inlineStr">
        <is>
          <t>PO-128-07301442714231121</t>
        </is>
      </c>
      <c r="C1741" s="16" t="inlineStr">
        <is>
          <t>Delivered</t>
        </is>
      </c>
      <c r="D1741" s="16" t="inlineStr">
        <is>
          <t>128-07301400771191121</t>
        </is>
      </c>
      <c r="E1741" s="16" t="inlineStr">
        <is>
          <t>Delivered</t>
        </is>
      </c>
      <c r="F1741" s="16" t="inlineStr">
        <is>
          <t>LB02235-negro</t>
        </is>
      </c>
      <c r="G1741" s="16" t="inlineStr">
        <is>
          <t>Audífonos Inalámbricos para la Cabeza, Recargables y Multifuncionales - Conectan a Varios Dispositivos, soportan Radio FM, Tarjeta TF y AUX - 4 Horas de Reproducción Musical - Ideal para Trabajo Cotidiano, Juegos y Estudio</t>
        </is>
      </c>
      <c r="H1741" s="16" t="inlineStr">
        <is>
          <t>NEGRO</t>
        </is>
      </c>
      <c r="I1741" s="16" t="n">
        <v>1</v>
      </c>
      <c r="J1741" s="17" t="n">
        <v>36.5</v>
      </c>
      <c r="K1741" s="17" t="n">
        <v>6.51</v>
      </c>
      <c r="L1741" s="17" t="n">
        <v>25.86</v>
      </c>
      <c r="M1741" s="17" t="n">
        <v>0</v>
      </c>
      <c r="N1741" s="17">
        <f>K1741*0.08+L1741*0.08</f>
        <v/>
      </c>
      <c r="O1741" s="17">
        <f>-(K1741*0.025+L1741*0.025)</f>
        <v/>
      </c>
      <c r="P1741" s="17">
        <f>32</f>
        <v/>
      </c>
      <c r="Q1741" s="17">
        <f>J1741+L1741+N1741+O1741-P1741-M1741</f>
        <v/>
      </c>
    </row>
    <row r="1742">
      <c r="A1742" s="16" t="inlineStr">
        <is>
          <t>5.15-5.21</t>
        </is>
      </c>
      <c r="B1742" s="16" t="inlineStr">
        <is>
          <t>PO-128-07190296929912807</t>
        </is>
      </c>
      <c r="C1742" s="16" t="inlineStr">
        <is>
          <t>Delivered</t>
        </is>
      </c>
      <c r="D1742" s="16" t="inlineStr">
        <is>
          <t>128-07190334940792807</t>
        </is>
      </c>
      <c r="E1742" s="16" t="inlineStr">
        <is>
          <t>Delivered</t>
        </is>
      </c>
      <c r="F1742" s="16" t="inlineStr">
        <is>
          <t>LB02235-negro</t>
        </is>
      </c>
      <c r="G1742" s="16" t="inlineStr">
        <is>
          <t>Audífonos Inalámbricos para la Cabeza, Recargables y Multifuncionales - Conectan a Varios Dispositivos, soportan Radio FM, Tarjeta TF y AUX - 4 Horas de Reproducción Musical - Ideal para Trabajo Cotidiano, Juegos y Estudio</t>
        </is>
      </c>
      <c r="H1742" s="16" t="inlineStr">
        <is>
          <t>NEGRO</t>
        </is>
      </c>
      <c r="I1742" s="16" t="n">
        <v>1</v>
      </c>
      <c r="J1742" s="17" t="n">
        <v>36.5</v>
      </c>
      <c r="K1742" s="17" t="n">
        <v>49.61</v>
      </c>
      <c r="L1742" s="17" t="n">
        <v>25.86</v>
      </c>
      <c r="M1742" s="17" t="n">
        <v>0</v>
      </c>
      <c r="N1742" s="17">
        <f>K1742*0.08+L1742*0.08</f>
        <v/>
      </c>
      <c r="O1742" s="17">
        <f>-(K1742*0.025+L1742*0.025)</f>
        <v/>
      </c>
      <c r="P1742" s="17">
        <f>32</f>
        <v/>
      </c>
      <c r="Q1742" s="17">
        <f>J1742+L1742+N1742+O1742-P1742-M1742</f>
        <v/>
      </c>
    </row>
    <row r="1743">
      <c r="A1743" s="16" t="inlineStr">
        <is>
          <t>5.15-5.21</t>
        </is>
      </c>
      <c r="B1743" s="16" t="inlineStr">
        <is>
          <t>PO-128-06914994028153230</t>
        </is>
      </c>
      <c r="C1743" s="16" t="inlineStr">
        <is>
          <t>Delivered</t>
        </is>
      </c>
      <c r="D1743" s="16" t="inlineStr">
        <is>
          <t>128-06915046456953230</t>
        </is>
      </c>
      <c r="E1743" s="16" t="inlineStr">
        <is>
          <t>Delivered</t>
        </is>
      </c>
      <c r="F1743" s="16" t="inlineStr">
        <is>
          <t>LV25W22</t>
        </is>
      </c>
      <c r="G174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43" s="16" t="inlineStr">
        <is>
          <t>LV25W32</t>
        </is>
      </c>
      <c r="I1743" s="16" t="n">
        <v>1</v>
      </c>
      <c r="J1743" s="17" t="n">
        <v>90.43000000000001</v>
      </c>
      <c r="K1743" s="17" t="n">
        <v>100.84</v>
      </c>
      <c r="L1743" s="17" t="n">
        <v>25.86</v>
      </c>
      <c r="M1743" s="17" t="n">
        <v>0</v>
      </c>
      <c r="N1743" s="17">
        <f>K1743*0.08+L1743*0.08</f>
        <v/>
      </c>
      <c r="O1743" s="17">
        <f>-(K1743*0.025+L1743*0.025)</f>
        <v/>
      </c>
      <c r="P1743" s="17">
        <f>32</f>
        <v/>
      </c>
      <c r="Q1743" s="17">
        <f>J1743+L1743+N1743+O1743-P1743-M1743</f>
        <v/>
      </c>
    </row>
    <row r="1744">
      <c r="A1744" s="16" t="inlineStr">
        <is>
          <t>5.15-5.21</t>
        </is>
      </c>
      <c r="B1744" s="16" t="inlineStr">
        <is>
          <t>PO-128-07306107822711925</t>
        </is>
      </c>
      <c r="C1744" s="16" t="inlineStr">
        <is>
          <t>Delivered</t>
        </is>
      </c>
      <c r="D1744" s="16" t="inlineStr">
        <is>
          <t>128-07306065879671925</t>
        </is>
      </c>
      <c r="E1744" s="16" t="inlineStr">
        <is>
          <t>Delivered</t>
        </is>
      </c>
      <c r="F1744" s="16" t="inlineStr">
        <is>
          <t>SA323T</t>
        </is>
      </c>
      <c r="G1744" s="16" t="inlineStr">
        <is>
          <t>Linkbits Bocina Portátil Parlantes BT Portátiles con Iluminación de Ambiente | 1 Hora de Duración, FM, TWS, TF/Micro SD | Ideal para Hogar, Fiestas y Viajes</t>
        </is>
      </c>
      <c r="H1744" s="16" t="inlineStr">
        <is>
          <t>SA323T</t>
        </is>
      </c>
      <c r="I1744" s="16" t="n">
        <v>1</v>
      </c>
      <c r="J1744" s="17" t="n">
        <v>37.71</v>
      </c>
      <c r="K1744" s="17" t="n">
        <v>46.77</v>
      </c>
      <c r="L1744" s="17" t="n">
        <v>25.86</v>
      </c>
      <c r="M1744" s="17" t="n">
        <v>0</v>
      </c>
      <c r="N1744" s="17">
        <f>K1744*0.08+L1744*0.08</f>
        <v/>
      </c>
      <c r="O1744" s="17">
        <f>-(K1744*0.025+L1744*0.025)</f>
        <v/>
      </c>
      <c r="P1744" s="17">
        <f>32</f>
        <v/>
      </c>
      <c r="Q1744" s="17">
        <f>J1744+L1744+N1744+O1744-P1744-M1744</f>
        <v/>
      </c>
    </row>
    <row r="1745">
      <c r="A1745" s="16" t="inlineStr">
        <is>
          <t>5.15-5.21</t>
        </is>
      </c>
      <c r="B1745" s="16" t="inlineStr">
        <is>
          <t>PO-128-07426368947830374</t>
        </is>
      </c>
      <c r="C1745" s="16" t="inlineStr">
        <is>
          <t>Delivered</t>
        </is>
      </c>
      <c r="D1745" s="16" t="inlineStr">
        <is>
          <t>128-07426421376630374</t>
        </is>
      </c>
      <c r="E1745" s="16" t="inlineStr">
        <is>
          <t>Delivered</t>
        </is>
      </c>
      <c r="F1745" s="16" t="inlineStr">
        <is>
          <t>LV25W22</t>
        </is>
      </c>
      <c r="G174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45" s="16" t="inlineStr">
        <is>
          <t>LV25W32</t>
        </is>
      </c>
      <c r="I1745" s="16" t="n">
        <v>1</v>
      </c>
      <c r="J1745" s="17" t="n">
        <v>90.43000000000001</v>
      </c>
      <c r="K1745" s="17" t="n">
        <v>18.08</v>
      </c>
      <c r="L1745" s="17" t="n">
        <v>25.86</v>
      </c>
      <c r="M1745" s="17" t="n">
        <v>0</v>
      </c>
      <c r="N1745" s="17">
        <f>K1745*0.08+L1745*0.08</f>
        <v/>
      </c>
      <c r="O1745" s="17">
        <f>-(K1745*0.025+L1745*0.025)</f>
        <v/>
      </c>
      <c r="P1745" s="17">
        <f>32</f>
        <v/>
      </c>
      <c r="Q1745" s="17">
        <f>J1745+L1745+N1745+O1745-P1745-M1745</f>
        <v/>
      </c>
    </row>
    <row r="1746">
      <c r="A1746" s="16" t="inlineStr">
        <is>
          <t>5.15-5.21</t>
        </is>
      </c>
      <c r="B1746" s="16" t="inlineStr">
        <is>
          <t>PO-128-07463099372150093</t>
        </is>
      </c>
      <c r="C1746" s="16" t="inlineStr">
        <is>
          <t>Delivered</t>
        </is>
      </c>
      <c r="D1746" s="16" t="inlineStr">
        <is>
          <t>128-07463083643510093</t>
        </is>
      </c>
      <c r="E1746" s="16" t="inlineStr">
        <is>
          <t>Delivered</t>
        </is>
      </c>
      <c r="F1746" s="16" t="inlineStr">
        <is>
          <t>LB02235-negro</t>
        </is>
      </c>
      <c r="G1746" s="16" t="inlineStr">
        <is>
          <t>Audífonos Inalámbricos para la Cabeza, Recargables y Multifuncionales - Conectan a Varios Dispositivos, soportan Radio FM, Tarjeta TF y AUX - 4 Horas de Reproducción Musical - Ideal para Trabajo Cotidiano, Juegos y Estudio</t>
        </is>
      </c>
      <c r="H1746" s="16" t="inlineStr">
        <is>
          <t>NEGRO</t>
        </is>
      </c>
      <c r="I1746" s="16" t="n">
        <v>1</v>
      </c>
      <c r="J1746" s="17" t="n">
        <v>36.5</v>
      </c>
      <c r="K1746" s="17" t="n">
        <v>49.61</v>
      </c>
      <c r="L1746" s="17" t="n">
        <v>25.86</v>
      </c>
      <c r="M1746" s="17" t="n">
        <v>0</v>
      </c>
      <c r="N1746" s="17">
        <f>K1746*0.08+L1746*0.08</f>
        <v/>
      </c>
      <c r="O1746" s="17">
        <f>-(K1746*0.025+L1746*0.025)</f>
        <v/>
      </c>
      <c r="P1746" s="17">
        <f>32</f>
        <v/>
      </c>
      <c r="Q1746" s="17">
        <f>J1746+L1746+N1746+O1746-P1746-M1746</f>
        <v/>
      </c>
    </row>
    <row r="1747">
      <c r="A1747" s="16" t="inlineStr">
        <is>
          <t>5.15-5.21</t>
        </is>
      </c>
      <c r="B1747" s="16" t="inlineStr">
        <is>
          <t>PO-128-07152115635832843</t>
        </is>
      </c>
      <c r="C1747" s="16" t="inlineStr">
        <is>
          <t>Delivered</t>
        </is>
      </c>
      <c r="D1747" s="16" t="inlineStr">
        <is>
          <t>128-07152073692792843</t>
        </is>
      </c>
      <c r="E1747" s="16" t="inlineStr">
        <is>
          <t>Delivered</t>
        </is>
      </c>
      <c r="F1747" s="16" t="inlineStr">
        <is>
          <t>LV25W22</t>
        </is>
      </c>
      <c r="G17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47" s="16" t="inlineStr">
        <is>
          <t>LV25W32</t>
        </is>
      </c>
      <c r="I1747" s="16" t="n">
        <v>2</v>
      </c>
      <c r="J1747" s="17" t="n">
        <v>180.86</v>
      </c>
      <c r="K1747" s="17" t="n">
        <v>201.68</v>
      </c>
      <c r="L1747" s="17" t="n">
        <v>25.86</v>
      </c>
      <c r="M1747" s="17" t="n">
        <v>0</v>
      </c>
      <c r="N1747" s="17">
        <f>K1747*0.08+L1747*0.08</f>
        <v/>
      </c>
      <c r="O1747" s="17">
        <f>-(K1747*0.025+L1747*0.025)</f>
        <v/>
      </c>
      <c r="P1747" s="17">
        <f>32</f>
        <v/>
      </c>
      <c r="Q1747" s="17">
        <f>J1747+L1747+N1747+O1747-P1747-M1747</f>
        <v/>
      </c>
    </row>
    <row r="1748">
      <c r="A1748" s="16" t="inlineStr">
        <is>
          <t>5.15-5.21</t>
        </is>
      </c>
      <c r="B1748" s="16" t="inlineStr">
        <is>
          <t>PO-128-07060993818232552</t>
        </is>
      </c>
      <c r="C1748" s="16" t="inlineStr">
        <is>
          <t>Delivered</t>
        </is>
      </c>
      <c r="D1748" s="16" t="inlineStr">
        <is>
          <t>128-07061020032632552</t>
        </is>
      </c>
      <c r="E1748" s="16" t="inlineStr">
        <is>
          <t>Delivered</t>
        </is>
      </c>
      <c r="F1748" s="16" t="inlineStr">
        <is>
          <t>MCM-001R</t>
        </is>
      </c>
      <c r="G1748" s="16" t="inlineStr">
        <is>
          <t>Musicord Altavoz Inalámbrico BT Portátil: ¡Sonido impactante, luces LED multicolores y 4 horas de autonomía! Compatible con TWS, FM, TF y USB – Imprescindible para fiestas y viajes</t>
        </is>
      </c>
      <c r="H1748" s="16" t="inlineStr">
        <is>
          <t>ROJO</t>
        </is>
      </c>
      <c r="I1748" s="16" t="n">
        <v>1</v>
      </c>
      <c r="J1748" s="17" t="n">
        <v>66.5</v>
      </c>
      <c r="K1748" s="17" t="n">
        <v>74.29000000000001</v>
      </c>
      <c r="L1748" s="17" t="n">
        <v>25.86</v>
      </c>
      <c r="M1748" s="17" t="n">
        <v>0</v>
      </c>
      <c r="N1748" s="17">
        <f>K1748*0.08+L1748*0.08</f>
        <v/>
      </c>
      <c r="O1748" s="17">
        <f>-(K1748*0.025+L1748*0.025)</f>
        <v/>
      </c>
      <c r="P1748" s="17">
        <f>32</f>
        <v/>
      </c>
      <c r="Q1748" s="17">
        <f>J1748+L1748+N1748+O1748-P1748-M1748</f>
        <v/>
      </c>
    </row>
    <row r="1749">
      <c r="A1749" s="16" t="inlineStr">
        <is>
          <t>5.15-5.21</t>
        </is>
      </c>
      <c r="B1749" s="16" t="inlineStr">
        <is>
          <t>PO-128-07019622421113822</t>
        </is>
      </c>
      <c r="C1749" s="16" t="inlineStr">
        <is>
          <t>Delivered</t>
        </is>
      </c>
      <c r="D1749" s="16" t="inlineStr">
        <is>
          <t>128-07019727278713822</t>
        </is>
      </c>
      <c r="E1749" s="16" t="inlineStr">
        <is>
          <t>Delivered</t>
        </is>
      </c>
      <c r="F1749" s="16" t="inlineStr">
        <is>
          <t>LV25W22</t>
        </is>
      </c>
      <c r="G174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49" s="16" t="inlineStr">
        <is>
          <t>LV25W32</t>
        </is>
      </c>
      <c r="I1749" s="16" t="n">
        <v>1</v>
      </c>
      <c r="J1749" s="17" t="n">
        <v>90.43000000000001</v>
      </c>
      <c r="K1749" s="17" t="n">
        <v>100.84</v>
      </c>
      <c r="L1749" s="17" t="n">
        <v>25.86</v>
      </c>
      <c r="M1749" s="17" t="n">
        <v>0</v>
      </c>
      <c r="N1749" s="17">
        <f>K1749*0.08+L1749*0.08</f>
        <v/>
      </c>
      <c r="O1749" s="17">
        <f>-(K1749*0.025+L1749*0.025)</f>
        <v/>
      </c>
      <c r="P1749" s="17">
        <f>32</f>
        <v/>
      </c>
      <c r="Q1749" s="17">
        <f>J1749+L1749+N1749+O1749-P1749-M1749</f>
        <v/>
      </c>
    </row>
    <row r="1750">
      <c r="A1750" s="16" t="inlineStr">
        <is>
          <t>5.15-5.21</t>
        </is>
      </c>
      <c r="B1750" s="16" t="inlineStr">
        <is>
          <t>PO-128-07284332892791028</t>
        </is>
      </c>
      <c r="C1750" s="16" t="inlineStr">
        <is>
          <t>Delivered</t>
        </is>
      </c>
      <c r="D1750" s="16" t="inlineStr">
        <is>
          <t>128-07284498698871028</t>
        </is>
      </c>
      <c r="E1750" s="16" t="inlineStr">
        <is>
          <t>Delivered</t>
        </is>
      </c>
      <c r="F1750" s="16" t="inlineStr">
        <is>
          <t>MCM-001N</t>
        </is>
      </c>
      <c r="G1750" s="16" t="inlineStr">
        <is>
          <t>Musicord Altavoz Inalámbrico BT Portátil: ¡Sonido impactante, luces LED multicolores y 4 horas de autonomía! Compatible con TWS, FM, TF y USB – Imprescindible para fiestas y viajes</t>
        </is>
      </c>
      <c r="H1750" s="16" t="inlineStr">
        <is>
          <t>NEGRO</t>
        </is>
      </c>
      <c r="I1750" s="16" t="n">
        <v>1</v>
      </c>
      <c r="J1750" s="17" t="n">
        <v>61</v>
      </c>
      <c r="K1750" s="17" t="n">
        <v>8.449999999999999</v>
      </c>
      <c r="L1750" s="17" t="n">
        <v>25.86</v>
      </c>
      <c r="M1750" s="17" t="n">
        <v>0</v>
      </c>
      <c r="N1750" s="17">
        <f>K1750*0.08+L1750*0.08</f>
        <v/>
      </c>
      <c r="O1750" s="17">
        <f>-(K1750*0.025+L1750*0.025)</f>
        <v/>
      </c>
      <c r="P1750" s="17">
        <f>32</f>
        <v/>
      </c>
      <c r="Q1750" s="17">
        <f>J1750+L1750+N1750+O1750-P1750-M1750</f>
        <v/>
      </c>
    </row>
    <row r="1751">
      <c r="A1751" s="16" t="inlineStr">
        <is>
          <t>5.15-5.21</t>
        </is>
      </c>
      <c r="B1751" s="16" t="inlineStr">
        <is>
          <t>PO-128-07298211855991138</t>
        </is>
      </c>
      <c r="C1751" s="16" t="inlineStr">
        <is>
          <t>Delivered</t>
        </is>
      </c>
      <c r="D1751" s="16" t="inlineStr">
        <is>
          <t>128-07298243313271138</t>
        </is>
      </c>
      <c r="E1751" s="16" t="inlineStr">
        <is>
          <t>Delivered</t>
        </is>
      </c>
      <c r="F1751" s="16" t="inlineStr">
        <is>
          <t>LV25W22</t>
        </is>
      </c>
      <c r="G17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51" s="16" t="inlineStr">
        <is>
          <t>LV25W32</t>
        </is>
      </c>
      <c r="I1751" s="16" t="n">
        <v>3</v>
      </c>
      <c r="J1751" s="17" t="n">
        <v>271.29</v>
      </c>
      <c r="K1751" s="17" t="n">
        <v>290.76</v>
      </c>
      <c r="L1751" s="17" t="n">
        <v>0</v>
      </c>
      <c r="M1751" s="17" t="n">
        <v>0</v>
      </c>
      <c r="N1751" s="17">
        <f>K1751*0.08+L1751*0.08</f>
        <v/>
      </c>
      <c r="O1751" s="17">
        <f>-(K1751*0.025+L1751*0.025)</f>
        <v/>
      </c>
      <c r="P1751" s="17">
        <f>32</f>
        <v/>
      </c>
      <c r="Q1751" s="17">
        <f>J1751+L1751+N1751+O1751-P1751-M1751</f>
        <v/>
      </c>
    </row>
    <row r="1752">
      <c r="A1752" s="16" t="inlineStr">
        <is>
          <t>5.15-5.21</t>
        </is>
      </c>
      <c r="B1752" s="16" t="inlineStr">
        <is>
          <t>PO-128-07490693683831014</t>
        </is>
      </c>
      <c r="C1752" s="16" t="inlineStr">
        <is>
          <t>Delivered</t>
        </is>
      </c>
      <c r="D1752" s="16" t="inlineStr">
        <is>
          <t>128-07490857523831014</t>
        </is>
      </c>
      <c r="E1752" s="16" t="inlineStr">
        <is>
          <t>Delivered</t>
        </is>
      </c>
      <c r="F1752" s="16" t="inlineStr">
        <is>
          <t>MCM-001A</t>
        </is>
      </c>
      <c r="G1752" s="16" t="inlineStr">
        <is>
          <t>Musicord Altavoz Inalámbrico BT Portátil: ¡Sonido impactante, luces LED multicolores y 4 horas de autonomía! Compatible con TWS, FM, TF y USB – Imprescindible para fiestas y viajes</t>
        </is>
      </c>
      <c r="H1752" s="16" t="inlineStr">
        <is>
          <t>AZUL</t>
        </is>
      </c>
      <c r="I1752" s="16" t="n">
        <v>1</v>
      </c>
      <c r="J1752" s="17" t="n">
        <v>51</v>
      </c>
      <c r="K1752" s="17" t="n">
        <v>5.95</v>
      </c>
      <c r="L1752" s="17" t="n">
        <v>25.86</v>
      </c>
      <c r="M1752" s="17" t="n">
        <v>0</v>
      </c>
      <c r="N1752" s="17">
        <f>K1752*0.08+L1752*0.08</f>
        <v/>
      </c>
      <c r="O1752" s="17">
        <f>-(K1752*0.025+L1752*0.025)</f>
        <v/>
      </c>
      <c r="P1752" s="17">
        <f>32</f>
        <v/>
      </c>
      <c r="Q1752" s="17">
        <f>J1752+L1752+N1752+O1752-P1752-M1752</f>
        <v/>
      </c>
    </row>
    <row r="1753">
      <c r="A1753" s="16" t="inlineStr">
        <is>
          <t>5.15-5.21</t>
        </is>
      </c>
      <c r="B1753" s="16" t="inlineStr">
        <is>
          <t>PO-128-07030251233913633</t>
        </is>
      </c>
      <c r="C1753" s="16" t="inlineStr">
        <is>
          <t>Delivered</t>
        </is>
      </c>
      <c r="D1753" s="16" t="inlineStr">
        <is>
          <t>128-07030261719673633</t>
        </is>
      </c>
      <c r="E1753" s="16" t="inlineStr">
        <is>
          <t>Delivered</t>
        </is>
      </c>
      <c r="F1753" s="16" t="inlineStr">
        <is>
          <t>LB02235-negro</t>
        </is>
      </c>
      <c r="G1753" s="16" t="inlineStr">
        <is>
          <t>Audífonos Inalámbricos para la Cabeza, Recargables y Multifuncionales - Conectan a Varios Dispositivos, soportan Radio FM, Tarjeta TF y AUX - 4 Horas de Reproducción Musical - Ideal para Trabajo Cotidiano, Juegos y Estudio</t>
        </is>
      </c>
      <c r="H1753" s="16" t="inlineStr">
        <is>
          <t>NEGRO</t>
        </is>
      </c>
      <c r="I1753" s="16" t="n">
        <v>1</v>
      </c>
      <c r="J1753" s="17" t="n">
        <v>36.5</v>
      </c>
      <c r="K1753" s="17" t="n">
        <v>49.61</v>
      </c>
      <c r="L1753" s="17" t="n">
        <v>25.86</v>
      </c>
      <c r="M1753" s="17" t="n">
        <v>0</v>
      </c>
      <c r="N1753" s="17">
        <f>K1753*0.08+L1753*0.08</f>
        <v/>
      </c>
      <c r="O1753" s="17">
        <f>-(K1753*0.025+L1753*0.025)</f>
        <v/>
      </c>
      <c r="P1753" s="17">
        <f>32</f>
        <v/>
      </c>
      <c r="Q1753" s="17">
        <f>J1753+L1753+N1753+O1753-P1753-M1753</f>
        <v/>
      </c>
    </row>
    <row r="1754">
      <c r="A1754" s="16" t="inlineStr">
        <is>
          <t>5.15-5.21</t>
        </is>
      </c>
      <c r="B1754" s="16" t="inlineStr">
        <is>
          <t>PO-128-07375439329911575</t>
        </is>
      </c>
      <c r="C1754" s="16" t="inlineStr">
        <is>
          <t>Delivered</t>
        </is>
      </c>
      <c r="D1754" s="16" t="inlineStr">
        <is>
          <t>128-07375591373431575</t>
        </is>
      </c>
      <c r="E1754" s="16" t="inlineStr">
        <is>
          <t>Delivered</t>
        </is>
      </c>
      <c r="F1754" s="16" t="inlineStr">
        <is>
          <t>LV25W22</t>
        </is>
      </c>
      <c r="G17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54" s="16" t="inlineStr">
        <is>
          <t>LV25W32</t>
        </is>
      </c>
      <c r="I1754" s="16" t="n">
        <v>1</v>
      </c>
      <c r="J1754" s="17" t="n">
        <v>90.43000000000001</v>
      </c>
      <c r="K1754" s="17" t="n">
        <v>100.84</v>
      </c>
      <c r="L1754" s="17" t="n">
        <v>25.86</v>
      </c>
      <c r="M1754" s="17" t="n">
        <v>0</v>
      </c>
      <c r="N1754" s="17">
        <f>K1754*0.08+L1754*0.08</f>
        <v/>
      </c>
      <c r="O1754" s="17">
        <f>-(K1754*0.025+L1754*0.025)</f>
        <v/>
      </c>
      <c r="P1754" s="17">
        <f>32</f>
        <v/>
      </c>
      <c r="Q1754" s="17">
        <f>J1754+L1754+N1754+O1754-P1754-M1754</f>
        <v/>
      </c>
    </row>
    <row r="1755">
      <c r="A1755" s="16" t="inlineStr">
        <is>
          <t>5.15-5.21</t>
        </is>
      </c>
      <c r="B1755" s="16" t="inlineStr">
        <is>
          <t>PO-128-07109768223352071</t>
        </is>
      </c>
      <c r="C1755" s="16" t="inlineStr">
        <is>
          <t>Delivered</t>
        </is>
      </c>
      <c r="D1755" s="16" t="inlineStr">
        <is>
          <t>128-07109844245112071</t>
        </is>
      </c>
      <c r="E1755" s="16" t="inlineStr">
        <is>
          <t>Delivered</t>
        </is>
      </c>
      <c r="F1755" s="16" t="inlineStr">
        <is>
          <t>LB02235-blanco</t>
        </is>
      </c>
      <c r="G1755" s="16" t="inlineStr">
        <is>
          <t>Audífonos Inalámbricos para la Cabeza, Recargables y Multifuncionales - Conectan a Varios Dispositivos, soportan Radio FM, Tarjeta TF y AUX - 4 Horas de Reproducción Musical - Ideal para Trabajo Cotidiano, Juegos y Estudio</t>
        </is>
      </c>
      <c r="H1755" s="16" t="inlineStr">
        <is>
          <t>BLANCO</t>
        </is>
      </c>
      <c r="I1755" s="16" t="n">
        <v>1</v>
      </c>
      <c r="J1755" s="17" t="n">
        <v>36.5</v>
      </c>
      <c r="K1755" s="17" t="n">
        <v>49.61</v>
      </c>
      <c r="L1755" s="17" t="n">
        <v>25.86</v>
      </c>
      <c r="M1755" s="17" t="n">
        <v>0</v>
      </c>
      <c r="N1755" s="17">
        <f>K1755*0.08+L1755*0.08</f>
        <v/>
      </c>
      <c r="O1755" s="17">
        <f>-(K1755*0.025+L1755*0.025)</f>
        <v/>
      </c>
      <c r="P1755" s="17">
        <f>32</f>
        <v/>
      </c>
      <c r="Q1755" s="17">
        <f>J1755+L1755+N1755+O1755-P1755-M1755</f>
        <v/>
      </c>
    </row>
    <row r="1756">
      <c r="A1756" s="16" t="inlineStr">
        <is>
          <t>5.15-5.21</t>
        </is>
      </c>
      <c r="B1756" s="16" t="inlineStr">
        <is>
          <t>PO-128-07075677450872336</t>
        </is>
      </c>
      <c r="C1756" s="16" t="inlineStr">
        <is>
          <t>Delivered</t>
        </is>
      </c>
      <c r="D1756" s="16" t="inlineStr">
        <is>
          <t>128-07075687936632336</t>
        </is>
      </c>
      <c r="E1756" s="16" t="inlineStr">
        <is>
          <t>Delivered</t>
        </is>
      </c>
      <c r="F1756" s="16" t="inlineStr">
        <is>
          <t>LB02235-negro</t>
        </is>
      </c>
      <c r="G1756" s="16" t="inlineStr">
        <is>
          <t>Audífonos Inalámbricos para la Cabeza, Recargables y Multifuncionales - Conectan a Varios Dispositivos, soportan Radio FM, Tarjeta TF y AUX - 4 Horas de Reproducción Musical - Ideal para Trabajo Cotidiano, Juegos y Estudio</t>
        </is>
      </c>
      <c r="H1756" s="16" t="inlineStr">
        <is>
          <t>NEGRO</t>
        </is>
      </c>
      <c r="I1756" s="16" t="n">
        <v>1</v>
      </c>
      <c r="J1756" s="17" t="n">
        <v>36.5</v>
      </c>
      <c r="K1756" s="17" t="n">
        <v>49.61</v>
      </c>
      <c r="L1756" s="17" t="n">
        <v>25.86</v>
      </c>
      <c r="M1756" s="17" t="n">
        <v>0</v>
      </c>
      <c r="N1756" s="17">
        <f>K1756*0.08+L1756*0.08</f>
        <v/>
      </c>
      <c r="O1756" s="17">
        <f>-(K1756*0.025+L1756*0.025)</f>
        <v/>
      </c>
      <c r="P1756" s="17">
        <f>32</f>
        <v/>
      </c>
      <c r="Q1756" s="17">
        <f>J1756+L1756+N1756+O1756-P1756-M1756</f>
        <v/>
      </c>
    </row>
    <row r="1757">
      <c r="A1757" s="16" t="inlineStr">
        <is>
          <t>5.15-5.21</t>
        </is>
      </c>
      <c r="B1757" s="16" t="inlineStr">
        <is>
          <t>PO-128-07156588954232878</t>
        </is>
      </c>
      <c r="C1757" s="16" t="inlineStr">
        <is>
          <t>Delivered</t>
        </is>
      </c>
      <c r="D1757" s="16" t="inlineStr">
        <is>
          <t>128-07156641383032878</t>
        </is>
      </c>
      <c r="E1757" s="16" t="inlineStr">
        <is>
          <t>Delivered</t>
        </is>
      </c>
      <c r="F1757" s="16" t="inlineStr">
        <is>
          <t>VB347T</t>
        </is>
      </c>
      <c r="G175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57" s="16" t="inlineStr">
        <is>
          <t>1 pieza</t>
        </is>
      </c>
      <c r="I1757" s="16" t="n">
        <v>1</v>
      </c>
      <c r="J1757" s="17" t="n">
        <v>77.90000000000001</v>
      </c>
      <c r="K1757" s="17" t="n">
        <v>9.74</v>
      </c>
      <c r="L1757" s="17" t="n">
        <v>25.86</v>
      </c>
      <c r="M1757" s="17" t="n">
        <v>0</v>
      </c>
      <c r="N1757" s="17">
        <f>K1757*0.08+L1757*0.08</f>
        <v/>
      </c>
      <c r="O1757" s="17">
        <f>-(K1757*0.025+L1757*0.025)</f>
        <v/>
      </c>
      <c r="P1757" s="17">
        <f>32</f>
        <v/>
      </c>
      <c r="Q1757" s="17">
        <f>J1757+L1757+N1757+O1757-P1757-M1757</f>
        <v/>
      </c>
    </row>
    <row r="1758">
      <c r="A1758" s="16" t="inlineStr">
        <is>
          <t>5.15-5.21</t>
        </is>
      </c>
      <c r="B1758" s="16" t="inlineStr">
        <is>
          <t>PO-128-07031077530233626</t>
        </is>
      </c>
      <c r="C1758" s="16" t="inlineStr">
        <is>
          <t>Delivered</t>
        </is>
      </c>
      <c r="D1758" s="16" t="inlineStr">
        <is>
          <t>128-07031119473273626</t>
        </is>
      </c>
      <c r="E1758" s="16" t="inlineStr">
        <is>
          <t>Delivered</t>
        </is>
      </c>
      <c r="F1758" s="16" t="inlineStr">
        <is>
          <t>MB-178-B</t>
        </is>
      </c>
      <c r="G1758" s="16" t="inlineStr">
        <is>
          <t>Bocina de Barra Bluetooth LINK BITS con dos altavoces, sonido de alta calidad y multifuncional (Bluetooth, Radio FM, USB, TF, AUX, TWS), ideal para juegos, reuniones, oficina y cine en casa.</t>
        </is>
      </c>
      <c r="H1758" s="16" t="inlineStr">
        <is>
          <t>BLANCO</t>
        </is>
      </c>
      <c r="I1758" s="16" t="n">
        <v>1</v>
      </c>
      <c r="J1758" s="17" t="n">
        <v>119</v>
      </c>
      <c r="K1758" s="17" t="n">
        <v>62.51</v>
      </c>
      <c r="L1758" s="17" t="n">
        <v>25.86</v>
      </c>
      <c r="M1758" s="17" t="n">
        <v>0</v>
      </c>
      <c r="N1758" s="17">
        <f>K1758*0.08+L1758*0.08</f>
        <v/>
      </c>
      <c r="O1758" s="17">
        <f>-(K1758*0.025+L1758*0.025)</f>
        <v/>
      </c>
      <c r="P1758" s="17">
        <f>32</f>
        <v/>
      </c>
      <c r="Q1758" s="17">
        <f>J1758+L1758+N1758+O1758-P1758-M1758</f>
        <v/>
      </c>
    </row>
    <row r="1759">
      <c r="A1759" s="16" t="inlineStr">
        <is>
          <t>5.15-5.21</t>
        </is>
      </c>
      <c r="B1759" s="16" t="inlineStr">
        <is>
          <t>PO-128-07435831194230191</t>
        </is>
      </c>
      <c r="C1759" s="16" t="inlineStr">
        <is>
          <t>Delivered</t>
        </is>
      </c>
      <c r="D1759" s="16" t="inlineStr">
        <is>
          <t>128-07435850199670191</t>
        </is>
      </c>
      <c r="E1759" s="16" t="inlineStr">
        <is>
          <t>Delivered</t>
        </is>
      </c>
      <c r="F1759" s="16" t="inlineStr">
        <is>
          <t>LB02235-rojo</t>
        </is>
      </c>
      <c r="G1759" s="16" t="inlineStr">
        <is>
          <t>Audífonos Inalámbricos para la Cabeza, Recargables y Multifuncionales - Conectan a Varios Dispositivos, soportan Radio FM, Tarjeta TF y AUX - 4 Horas de Reproducción Musical - Ideal para Trabajo Cotidiano, Juegos y Estudio</t>
        </is>
      </c>
      <c r="H1759" s="16" t="inlineStr">
        <is>
          <t>ROJO</t>
        </is>
      </c>
      <c r="I1759" s="16" t="n">
        <v>1</v>
      </c>
      <c r="J1759" s="17" t="n">
        <v>36.5</v>
      </c>
      <c r="K1759" s="17" t="n">
        <v>49.61</v>
      </c>
      <c r="L1759" s="17" t="n">
        <v>25.86</v>
      </c>
      <c r="M1759" s="17" t="n">
        <v>0</v>
      </c>
      <c r="N1759" s="17">
        <f>K1759*0.08+L1759*0.08</f>
        <v/>
      </c>
      <c r="O1759" s="17">
        <f>-(K1759*0.025+L1759*0.025)</f>
        <v/>
      </c>
      <c r="P1759" s="17">
        <f>32</f>
        <v/>
      </c>
      <c r="Q1759" s="17">
        <f>J1759+L1759+N1759+O1759-P1759-M1759</f>
        <v/>
      </c>
    </row>
    <row r="1760">
      <c r="A1760" s="16" t="inlineStr">
        <is>
          <t>5.15-5.21</t>
        </is>
      </c>
      <c r="B1760" s="16" t="inlineStr">
        <is>
          <t>PO-128-06915090273913231</t>
        </is>
      </c>
      <c r="C1760" s="16" t="inlineStr">
        <is>
          <t>Delivered</t>
        </is>
      </c>
      <c r="D1760" s="16" t="inlineStr">
        <is>
          <t>128-06915082409593231</t>
        </is>
      </c>
      <c r="E1760" s="16" t="inlineStr">
        <is>
          <t>Delivered</t>
        </is>
      </c>
      <c r="F1760" s="16" t="inlineStr">
        <is>
          <t>LV25W22</t>
        </is>
      </c>
      <c r="G176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60" s="16" t="inlineStr">
        <is>
          <t>LV25W32</t>
        </is>
      </c>
      <c r="I1760" s="16" t="n">
        <v>1</v>
      </c>
      <c r="J1760" s="17" t="n">
        <v>90.43000000000001</v>
      </c>
      <c r="K1760" s="17" t="n">
        <v>100.84</v>
      </c>
      <c r="L1760" s="17" t="n">
        <v>25.86</v>
      </c>
      <c r="M1760" s="17" t="n">
        <v>0</v>
      </c>
      <c r="N1760" s="17">
        <f>K1760*0.08+L1760*0.08</f>
        <v/>
      </c>
      <c r="O1760" s="17">
        <f>-(K1760*0.025+L1760*0.025)</f>
        <v/>
      </c>
      <c r="P1760" s="17">
        <f>32</f>
        <v/>
      </c>
      <c r="Q1760" s="17">
        <f>J1760+L1760+N1760+O1760-P1760-M1760</f>
        <v/>
      </c>
    </row>
    <row r="1761">
      <c r="A1761" s="16" t="inlineStr">
        <is>
          <t>5.15-5.21</t>
        </is>
      </c>
      <c r="B1761" s="16" t="inlineStr">
        <is>
          <t>PO-128-07314273608312002</t>
        </is>
      </c>
      <c r="C1761" s="16" t="inlineStr">
        <is>
          <t>Delivered</t>
        </is>
      </c>
      <c r="D1761" s="16" t="inlineStr">
        <is>
          <t>128-07314231665272002</t>
        </is>
      </c>
      <c r="E1761" s="16" t="inlineStr">
        <is>
          <t>Delivered</t>
        </is>
      </c>
      <c r="F1761" s="16" t="inlineStr">
        <is>
          <t>LB02235-blanco</t>
        </is>
      </c>
      <c r="G1761" s="16" t="inlineStr">
        <is>
          <t>Audífonos Inalámbricos para la Cabeza, Recargables y Multifuncionales - Conectan a Varios Dispositivos, soportan Radio FM, Tarjeta TF y AUX - 4 Horas de Reproducción Musical - Ideal para Trabajo Cotidiano, Juegos y Estudio</t>
        </is>
      </c>
      <c r="H1761" s="16" t="inlineStr">
        <is>
          <t>BLANCO</t>
        </is>
      </c>
      <c r="I1761" s="16" t="n">
        <v>1</v>
      </c>
      <c r="J1761" s="17" t="n">
        <v>36.5</v>
      </c>
      <c r="K1761" s="17" t="n">
        <v>49.61</v>
      </c>
      <c r="L1761" s="17" t="n">
        <v>25.86</v>
      </c>
      <c r="M1761" s="17" t="n">
        <v>0</v>
      </c>
      <c r="N1761" s="17">
        <f>K1761*0.08+L1761*0.08</f>
        <v/>
      </c>
      <c r="O1761" s="17">
        <f>-(K1761*0.025+L1761*0.025)</f>
        <v/>
      </c>
      <c r="P1761" s="17">
        <f>32</f>
        <v/>
      </c>
      <c r="Q1761" s="17">
        <f>J1761+L1761+N1761+O1761-P1761-M1761</f>
        <v/>
      </c>
    </row>
    <row r="1762">
      <c r="A1762" s="16" t="inlineStr">
        <is>
          <t>5.15-5.21</t>
        </is>
      </c>
      <c r="B1762" s="16" t="inlineStr">
        <is>
          <t>PO-128-07290108938871058</t>
        </is>
      </c>
      <c r="C1762" s="16" t="inlineStr">
        <is>
          <t>Delivered</t>
        </is>
      </c>
      <c r="D1762" s="16" t="inlineStr">
        <is>
          <t>128-07290051267191058</t>
        </is>
      </c>
      <c r="E1762" s="16" t="inlineStr">
        <is>
          <t>Delivered</t>
        </is>
      </c>
      <c r="F1762" s="16" t="inlineStr">
        <is>
          <t>KTS-1678Y</t>
        </is>
      </c>
      <c r="G1762" s="16" t="inlineStr">
        <is>
          <t>Bocina portátil Inalámbrico, de 3 pulgadas, tamaño de bolsillo, 170 g, con asa, compatible con TF, USB y Micro SD, con radio FM y función TWS (True Wireless Stereo), adecuada para relajarse en casa o viajar al aire libre.</t>
        </is>
      </c>
      <c r="H1762" s="16" t="inlineStr">
        <is>
          <t>KTS-1678Y</t>
        </is>
      </c>
      <c r="I1762" s="16" t="n">
        <v>1</v>
      </c>
      <c r="J1762" s="17" t="n">
        <v>40</v>
      </c>
      <c r="K1762" s="17" t="n">
        <v>36.98</v>
      </c>
      <c r="L1762" s="17" t="n">
        <v>12.65</v>
      </c>
      <c r="M1762" s="17" t="n">
        <v>0</v>
      </c>
      <c r="N1762" s="17">
        <f>K1762*0.08+L1762*0.08</f>
        <v/>
      </c>
      <c r="O1762" s="17">
        <f>-(K1762*0.025+L1762*0.025)</f>
        <v/>
      </c>
      <c r="P1762" s="17">
        <f>32</f>
        <v/>
      </c>
      <c r="Q1762" s="17">
        <f>J1762+L1762+N1762+O1762-P1762-M1762</f>
        <v/>
      </c>
    </row>
    <row r="1763">
      <c r="A1763" s="16" t="inlineStr">
        <is>
          <t>5.15-5.21</t>
        </is>
      </c>
      <c r="B1763" s="16" t="inlineStr">
        <is>
          <t>PO-128-07290108938871058</t>
        </is>
      </c>
      <c r="C1763" s="16" t="inlineStr">
        <is>
          <t>Delivered</t>
        </is>
      </c>
      <c r="D1763" s="16" t="inlineStr">
        <is>
          <t>128-07290061752951058</t>
        </is>
      </c>
      <c r="E1763" s="16" t="inlineStr">
        <is>
          <t>Delivered</t>
        </is>
      </c>
      <c r="F1763" s="16" t="inlineStr">
        <is>
          <t>KTS-1678V</t>
        </is>
      </c>
      <c r="G1763" s="16" t="inlineStr">
        <is>
          <t>Bocina portátil Inalámbrico, de 3 pulgadas, tamaño de bolsillo, 170 g, con asa, compatible con TF, USB y Micro SD, con radio FM y función TWS (True Wireless Stereo), adecuada para relajarse en casa o viajar al aire libre.</t>
        </is>
      </c>
      <c r="H1763" s="16" t="inlineStr">
        <is>
          <t>KTS-1678V</t>
        </is>
      </c>
      <c r="I1763" s="16" t="n">
        <v>1</v>
      </c>
      <c r="J1763" s="17" t="n">
        <v>40</v>
      </c>
      <c r="K1763" s="17" t="n">
        <v>38.62</v>
      </c>
      <c r="L1763" s="17" t="n">
        <v>13.22</v>
      </c>
      <c r="M1763" s="17" t="n">
        <v>0</v>
      </c>
      <c r="N1763" s="17">
        <f>K1763*0.08+L1763*0.08</f>
        <v/>
      </c>
      <c r="O1763" s="17">
        <f>-(K1763*0.025+L1763*0.025)</f>
        <v/>
      </c>
      <c r="P1763" s="17">
        <f>32</f>
        <v/>
      </c>
      <c r="Q1763" s="17">
        <f>J1763+L1763+N1763+O1763-P1763-M1763</f>
        <v/>
      </c>
    </row>
    <row r="1764">
      <c r="A1764" s="16" t="inlineStr">
        <is>
          <t>5.15-5.21</t>
        </is>
      </c>
      <c r="B1764" s="16" t="inlineStr">
        <is>
          <t>PO-128-07158669937272866</t>
        </is>
      </c>
      <c r="C1764" s="16" t="inlineStr">
        <is>
          <t>Delivered</t>
        </is>
      </c>
      <c r="D1764" s="16" t="inlineStr">
        <is>
          <t>128-07158627994232866</t>
        </is>
      </c>
      <c r="E1764" s="16" t="inlineStr">
        <is>
          <t>Delivered</t>
        </is>
      </c>
      <c r="F1764" s="16" t="inlineStr">
        <is>
          <t>LB02235-negro</t>
        </is>
      </c>
      <c r="G1764" s="16" t="inlineStr">
        <is>
          <t>Audífonos Inalámbricos para la Cabeza, Recargables y Multifuncionales - Conectan a Varios Dispositivos, soportan Radio FM, Tarjeta TF y AUX - 4 Horas de Reproducción Musical - Ideal para Trabajo Cotidiano, Juegos y Estudio</t>
        </is>
      </c>
      <c r="H1764" s="16" t="inlineStr">
        <is>
          <t>NEGRO</t>
        </is>
      </c>
      <c r="I1764" s="16" t="n">
        <v>1</v>
      </c>
      <c r="J1764" s="17" t="n">
        <v>36.5</v>
      </c>
      <c r="K1764" s="17" t="n">
        <v>49.61</v>
      </c>
      <c r="L1764" s="17" t="n">
        <v>25.86</v>
      </c>
      <c r="M1764" s="17" t="n">
        <v>0</v>
      </c>
      <c r="N1764" s="17">
        <f>K1764*0.08+L1764*0.08</f>
        <v/>
      </c>
      <c r="O1764" s="17">
        <f>-(K1764*0.025+L1764*0.025)</f>
        <v/>
      </c>
      <c r="P1764" s="17">
        <f>32</f>
        <v/>
      </c>
      <c r="Q1764" s="17">
        <f>J1764+L1764+N1764+O1764-P1764-M1764</f>
        <v/>
      </c>
    </row>
    <row r="1765">
      <c r="A1765" s="16" t="inlineStr">
        <is>
          <t>5.15-5.21</t>
        </is>
      </c>
      <c r="B1765" s="16" t="inlineStr">
        <is>
          <t>PO-128-07476051200630910</t>
        </is>
      </c>
      <c r="C1765" s="16" t="inlineStr">
        <is>
          <t>Delivered</t>
        </is>
      </c>
      <c r="D1765" s="16" t="inlineStr">
        <is>
          <t>128-07476024986230910</t>
        </is>
      </c>
      <c r="E1765" s="16" t="inlineStr">
        <is>
          <t>Delivered</t>
        </is>
      </c>
      <c r="F1765" s="16" t="inlineStr">
        <is>
          <t>LB02235-negro</t>
        </is>
      </c>
      <c r="G1765" s="16" t="inlineStr">
        <is>
          <t>Audífonos Inalámbricos para la Cabeza, Recargables y Multifuncionales - Conectan a Varios Dispositivos, soportan Radio FM, Tarjeta TF y AUX - 4 Horas de Reproducción Musical - Ideal para Trabajo Cotidiano, Juegos y Estudio</t>
        </is>
      </c>
      <c r="H1765" s="16" t="inlineStr">
        <is>
          <t>NEGRO</t>
        </is>
      </c>
      <c r="I1765" s="16" t="n">
        <v>1</v>
      </c>
      <c r="J1765" s="17" t="n">
        <v>36.5</v>
      </c>
      <c r="K1765" s="17" t="n">
        <v>29.76</v>
      </c>
      <c r="L1765" s="17" t="n">
        <v>25.86</v>
      </c>
      <c r="M1765" s="17" t="n">
        <v>0</v>
      </c>
      <c r="N1765" s="17">
        <f>K1765*0.08+L1765*0.08</f>
        <v/>
      </c>
      <c r="O1765" s="17">
        <f>-(K1765*0.025+L1765*0.025)</f>
        <v/>
      </c>
      <c r="P1765" s="17">
        <f>32</f>
        <v/>
      </c>
      <c r="Q1765" s="17">
        <f>J1765+L1765+N1765+O1765-P1765-M1765</f>
        <v/>
      </c>
    </row>
    <row r="1766">
      <c r="A1766" s="16" t="inlineStr">
        <is>
          <t>5.15-5.21</t>
        </is>
      </c>
      <c r="B1766" s="16" t="inlineStr">
        <is>
          <t>PO-128-07556479601270622</t>
        </is>
      </c>
      <c r="C1766" s="16" t="inlineStr">
        <is>
          <t>Delivered</t>
        </is>
      </c>
      <c r="D1766" s="16" t="inlineStr">
        <is>
          <t>128-07556584458870622</t>
        </is>
      </c>
      <c r="E1766" s="16" t="inlineStr">
        <is>
          <t>Delivered</t>
        </is>
      </c>
      <c r="F1766" s="16" t="inlineStr">
        <is>
          <t>SA323T</t>
        </is>
      </c>
      <c r="G1766" s="16" t="inlineStr">
        <is>
          <t>Linkbits Bocina Portátil Parlantes BT Portátiles con Iluminación de Ambiente | 1 Hora de Duración, FM, TWS, TF/Micro SD | Ideal para Hogar, Fiestas y Viajes</t>
        </is>
      </c>
      <c r="H1766" s="16" t="inlineStr">
        <is>
          <t>SA323T</t>
        </is>
      </c>
      <c r="I1766" s="16" t="n">
        <v>1</v>
      </c>
      <c r="J1766" s="17" t="n">
        <v>37.71</v>
      </c>
      <c r="K1766" s="17" t="n">
        <v>3.67</v>
      </c>
      <c r="L1766" s="17" t="n">
        <v>25.86</v>
      </c>
      <c r="M1766" s="17" t="n">
        <v>0</v>
      </c>
      <c r="N1766" s="17">
        <f>K1766*0.08+L1766*0.08</f>
        <v/>
      </c>
      <c r="O1766" s="17">
        <f>-(K1766*0.025+L1766*0.025)</f>
        <v/>
      </c>
      <c r="P1766" s="17">
        <f>32</f>
        <v/>
      </c>
      <c r="Q1766" s="17">
        <f>J1766+L1766+N1766+O1766-P1766-M1766</f>
        <v/>
      </c>
    </row>
    <row r="1767">
      <c r="A1767" s="16" t="inlineStr">
        <is>
          <t>5.15-5.21</t>
        </is>
      </c>
      <c r="B1767" s="16" t="inlineStr">
        <is>
          <t>PO-128-07427385784950368</t>
        </is>
      </c>
      <c r="C1767" s="16" t="inlineStr">
        <is>
          <t>Delivered</t>
        </is>
      </c>
      <c r="D1767" s="16" t="inlineStr">
        <is>
          <t>128-07427406756470368</t>
        </is>
      </c>
      <c r="E1767" s="16" t="inlineStr">
        <is>
          <t>Delivered</t>
        </is>
      </c>
      <c r="F1767" s="16" t="inlineStr">
        <is>
          <t>LV34W04</t>
        </is>
      </c>
      <c r="G176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1767" s="16" t="inlineStr">
        <is>
          <t>LV34W04</t>
        </is>
      </c>
      <c r="I1767" s="16" t="n">
        <v>1</v>
      </c>
      <c r="J1767" s="17" t="n">
        <v>220</v>
      </c>
      <c r="K1767" s="17" t="n">
        <v>278.82</v>
      </c>
      <c r="L1767" s="17" t="n">
        <v>0</v>
      </c>
      <c r="M1767" s="17" t="n">
        <v>0</v>
      </c>
      <c r="N1767" s="17">
        <f>K1767*0.08+L1767*0.08</f>
        <v/>
      </c>
      <c r="O1767" s="17">
        <f>-(K1767*0.025+L1767*0.025)</f>
        <v/>
      </c>
      <c r="P1767" s="17">
        <f>32</f>
        <v/>
      </c>
      <c r="Q1767" s="17">
        <f>J1767+L1767+N1767+O1767-P1767-M1767</f>
        <v/>
      </c>
    </row>
    <row r="1768">
      <c r="A1768" s="16" t="inlineStr">
        <is>
          <t>5.15-5.21</t>
        </is>
      </c>
      <c r="B1768" s="16" t="inlineStr">
        <is>
          <t>PO-128-07344988964471693</t>
        </is>
      </c>
      <c r="C1768" s="16" t="inlineStr">
        <is>
          <t>Delivered</t>
        </is>
      </c>
      <c r="D1768" s="16" t="inlineStr">
        <is>
          <t>128-07344962750071693</t>
        </is>
      </c>
      <c r="E1768" s="16" t="inlineStr">
        <is>
          <t>Delivered</t>
        </is>
      </c>
      <c r="F1768" s="16" t="inlineStr">
        <is>
          <t>LV25W22</t>
        </is>
      </c>
      <c r="G17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68" s="16" t="inlineStr">
        <is>
          <t>LV25W32</t>
        </is>
      </c>
      <c r="I1768" s="16" t="n">
        <v>1</v>
      </c>
      <c r="J1768" s="17" t="n">
        <v>90.43000000000001</v>
      </c>
      <c r="K1768" s="17" t="n">
        <v>100.84</v>
      </c>
      <c r="L1768" s="17" t="n">
        <v>25.86</v>
      </c>
      <c r="M1768" s="17" t="n">
        <v>0</v>
      </c>
      <c r="N1768" s="17">
        <f>K1768*0.08+L1768*0.08</f>
        <v/>
      </c>
      <c r="O1768" s="17">
        <f>-(K1768*0.025+L1768*0.025)</f>
        <v/>
      </c>
      <c r="P1768" s="17">
        <f>32</f>
        <v/>
      </c>
      <c r="Q1768" s="17">
        <f>J1768+L1768+N1768+O1768-P1768-M1768</f>
        <v/>
      </c>
    </row>
    <row r="1769">
      <c r="A1769" s="16" t="inlineStr">
        <is>
          <t>5.15-5.21</t>
        </is>
      </c>
      <c r="B1769" s="16" t="inlineStr">
        <is>
          <t>PO-128-07047322092152443</t>
        </is>
      </c>
      <c r="C1769" s="16" t="inlineStr">
        <is>
          <t>Delivered</t>
        </is>
      </c>
      <c r="D1769" s="16" t="inlineStr">
        <is>
          <t>128-07047364035192443</t>
        </is>
      </c>
      <c r="E1769" s="16" t="inlineStr">
        <is>
          <t>Delivered</t>
        </is>
      </c>
      <c r="F1769" s="16" t="inlineStr">
        <is>
          <t>SA325T</t>
        </is>
      </c>
      <c r="G1769" s="16" t="inlineStr">
        <is>
          <t>Subwoofer Portátil Inalámbrico con Luces RGB, Sonido de Alta Potencia y Batería Duradera, TWS TF USB, Perfecto para Campamento Fiestas y Entretenimiento en Casa</t>
        </is>
      </c>
      <c r="H1769" s="16" t="inlineStr">
        <is>
          <t>NEGRO</t>
        </is>
      </c>
      <c r="I1769" s="16" t="n">
        <v>1</v>
      </c>
      <c r="J1769" s="17" t="n">
        <v>36</v>
      </c>
      <c r="K1769" s="17" t="n">
        <v>45.04</v>
      </c>
      <c r="L1769" s="17" t="n">
        <v>25.86</v>
      </c>
      <c r="M1769" s="17" t="n">
        <v>0</v>
      </c>
      <c r="N1769" s="17">
        <f>K1769*0.08+L1769*0.08</f>
        <v/>
      </c>
      <c r="O1769" s="17">
        <f>-(K1769*0.025+L1769*0.025)</f>
        <v/>
      </c>
      <c r="P1769" s="17">
        <f>32</f>
        <v/>
      </c>
      <c r="Q1769" s="17">
        <f>J1769+L1769+N1769+O1769-P1769-M1769</f>
        <v/>
      </c>
    </row>
    <row r="1770">
      <c r="A1770" s="16" t="inlineStr">
        <is>
          <t>5.15-5.21</t>
        </is>
      </c>
      <c r="B1770" s="16" t="inlineStr">
        <is>
          <t>PO-128-07199596406392622</t>
        </is>
      </c>
      <c r="C1770" s="16" t="inlineStr">
        <is>
          <t>Delivered</t>
        </is>
      </c>
      <c r="D1770" s="16" t="inlineStr">
        <is>
          <t>128-07199554463352622</t>
        </is>
      </c>
      <c r="E1770" s="16" t="inlineStr">
        <is>
          <t>Delivered</t>
        </is>
      </c>
      <c r="F1770" s="16" t="inlineStr">
        <is>
          <t>LV25W22</t>
        </is>
      </c>
      <c r="G17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70" s="16" t="inlineStr">
        <is>
          <t>LV25W32</t>
        </is>
      </c>
      <c r="I1770" s="16" t="n">
        <v>3</v>
      </c>
      <c r="J1770" s="17" t="n">
        <v>271.29</v>
      </c>
      <c r="K1770" s="17" t="n">
        <v>302.52</v>
      </c>
      <c r="L1770" s="17" t="n">
        <v>0</v>
      </c>
      <c r="M1770" s="17" t="n">
        <v>0</v>
      </c>
      <c r="N1770" s="17">
        <f>K1770*0.08+L1770*0.08</f>
        <v/>
      </c>
      <c r="O1770" s="17">
        <f>-(K1770*0.025+L1770*0.025)</f>
        <v/>
      </c>
      <c r="P1770" s="17">
        <f>32</f>
        <v/>
      </c>
      <c r="Q1770" s="17">
        <f>J1770+L1770+N1770+O1770-P1770-M1770</f>
        <v/>
      </c>
    </row>
    <row r="1771">
      <c r="A1771" s="16" t="inlineStr">
        <is>
          <t>5.15-5.21</t>
        </is>
      </c>
      <c r="B1771" s="16" t="inlineStr">
        <is>
          <t>PO-128-07343066870391894</t>
        </is>
      </c>
      <c r="C1771" s="16" t="inlineStr">
        <is>
          <t>Delivered</t>
        </is>
      </c>
      <c r="D1771" s="16" t="inlineStr">
        <is>
          <t>128-07343203185271894</t>
        </is>
      </c>
      <c r="E1771" s="16" t="inlineStr">
        <is>
          <t>Delivered</t>
        </is>
      </c>
      <c r="F1771" s="16" t="inlineStr">
        <is>
          <t>KTS-1678Y</t>
        </is>
      </c>
      <c r="G1771" s="16" t="inlineStr">
        <is>
          <t>Bocina portátil Inalámbrico, de 3 pulgadas, tamaño de bolsillo, 170 g, con asa, compatible con TF, USB y Micro SD, con radio FM y función TWS (True Wireless Stereo), adecuada para relajarse en casa o viajar al aire libre.</t>
        </is>
      </c>
      <c r="H1771" s="16" t="inlineStr">
        <is>
          <t>KTS-1678Y</t>
        </is>
      </c>
      <c r="I1771" s="16" t="n">
        <v>1</v>
      </c>
      <c r="J1771" s="17" t="n">
        <v>40</v>
      </c>
      <c r="K1771" s="17" t="n">
        <v>3.12</v>
      </c>
      <c r="L1771" s="17" t="n">
        <v>25.86</v>
      </c>
      <c r="M1771" s="17" t="n">
        <v>0</v>
      </c>
      <c r="N1771" s="17">
        <f>K1771*0.08+L1771*0.08</f>
        <v/>
      </c>
      <c r="O1771" s="17">
        <f>-(K1771*0.025+L1771*0.025)</f>
        <v/>
      </c>
      <c r="P1771" s="17">
        <f>32</f>
        <v/>
      </c>
      <c r="Q1771" s="17">
        <f>J1771+L1771+N1771+O1771-P1771-M1771</f>
        <v/>
      </c>
    </row>
    <row r="1772">
      <c r="A1772" s="16" t="inlineStr">
        <is>
          <t>5.15-5.21</t>
        </is>
      </c>
      <c r="B1772" s="16" t="inlineStr">
        <is>
          <t>PO-128-07304167619191934</t>
        </is>
      </c>
      <c r="C1772" s="16" t="inlineStr">
        <is>
          <t>Delivered</t>
        </is>
      </c>
      <c r="D1772" s="16" t="inlineStr">
        <is>
          <t>128-07304157133431934</t>
        </is>
      </c>
      <c r="E1772" s="16" t="inlineStr">
        <is>
          <t>Delivered</t>
        </is>
      </c>
      <c r="F1772" s="16" t="inlineStr">
        <is>
          <t>LV25W22</t>
        </is>
      </c>
      <c r="G177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72" s="16" t="inlineStr">
        <is>
          <t>LV25W32</t>
        </is>
      </c>
      <c r="I1772" s="16" t="n">
        <v>3</v>
      </c>
      <c r="J1772" s="17" t="n">
        <v>271.29</v>
      </c>
      <c r="K1772" s="17" t="n">
        <v>263.6</v>
      </c>
      <c r="L1772" s="17" t="n">
        <v>0</v>
      </c>
      <c r="M1772" s="17" t="n">
        <v>0</v>
      </c>
      <c r="N1772" s="17">
        <f>K1772*0.08+L1772*0.08</f>
        <v/>
      </c>
      <c r="O1772" s="17">
        <f>-(K1772*0.025+L1772*0.025)</f>
        <v/>
      </c>
      <c r="P1772" s="17">
        <f>32</f>
        <v/>
      </c>
      <c r="Q1772" s="17">
        <f>J1772+L1772+N1772+O1772-P1772-M1772</f>
        <v/>
      </c>
    </row>
    <row r="1773">
      <c r="A1773" s="16" t="inlineStr">
        <is>
          <t>5.15-5.21</t>
        </is>
      </c>
      <c r="B1773" s="16" t="inlineStr">
        <is>
          <t>PO-128-06900704691833381</t>
        </is>
      </c>
      <c r="C1773" s="16" t="inlineStr">
        <is>
          <t>Delivered</t>
        </is>
      </c>
      <c r="D1773" s="16" t="inlineStr">
        <is>
          <t>128-06900662748793381</t>
        </is>
      </c>
      <c r="E1773" s="16" t="inlineStr">
        <is>
          <t>Delivered</t>
        </is>
      </c>
      <c r="F1773" s="16" t="inlineStr">
        <is>
          <t>LV25W22</t>
        </is>
      </c>
      <c r="G17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73" s="16" t="inlineStr">
        <is>
          <t>LV25W32</t>
        </is>
      </c>
      <c r="I1773" s="16" t="n">
        <v>1</v>
      </c>
      <c r="J1773" s="17" t="n">
        <v>90.43000000000001</v>
      </c>
      <c r="K1773" s="17" t="n">
        <v>81.94</v>
      </c>
      <c r="L1773" s="17" t="n">
        <v>25.86</v>
      </c>
      <c r="M1773" s="17" t="n">
        <v>0</v>
      </c>
      <c r="N1773" s="17">
        <f>K1773*0.08+L1773*0.08</f>
        <v/>
      </c>
      <c r="O1773" s="17">
        <f>-(K1773*0.025+L1773*0.025)</f>
        <v/>
      </c>
      <c r="P1773" s="17">
        <f>32</f>
        <v/>
      </c>
      <c r="Q1773" s="17">
        <f>J1773+L1773+N1773+O1773-P1773-M1773</f>
        <v/>
      </c>
    </row>
    <row r="1774">
      <c r="A1774" s="16" t="inlineStr">
        <is>
          <t>5.15-5.21</t>
        </is>
      </c>
      <c r="B1774" s="16" t="inlineStr">
        <is>
          <t>PO-128-07061449493112551</t>
        </is>
      </c>
      <c r="C1774" s="16" t="inlineStr">
        <is>
          <t>Delivered</t>
        </is>
      </c>
      <c r="D1774" s="16" t="inlineStr">
        <is>
          <t>128-07061525514872551</t>
        </is>
      </c>
      <c r="E1774" s="16" t="inlineStr">
        <is>
          <t>Delivered</t>
        </is>
      </c>
      <c r="F1774" s="16" t="inlineStr">
        <is>
          <t>LV25W22</t>
        </is>
      </c>
      <c r="G17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74" s="16" t="inlineStr">
        <is>
          <t>LV25W32</t>
        </is>
      </c>
      <c r="I1774" s="16" t="n">
        <v>1</v>
      </c>
      <c r="J1774" s="17" t="n">
        <v>90.43000000000001</v>
      </c>
      <c r="K1774" s="17" t="n">
        <v>100.84</v>
      </c>
      <c r="L1774" s="17" t="n">
        <v>25.86</v>
      </c>
      <c r="M1774" s="17" t="n">
        <v>0</v>
      </c>
      <c r="N1774" s="17">
        <f>K1774*0.08+L1774*0.08</f>
        <v/>
      </c>
      <c r="O1774" s="17">
        <f>-(K1774*0.025+L1774*0.025)</f>
        <v/>
      </c>
      <c r="P1774" s="17">
        <f>32</f>
        <v/>
      </c>
      <c r="Q1774" s="17">
        <f>J1774+L1774+N1774+O1774-P1774-M1774</f>
        <v/>
      </c>
    </row>
    <row r="1775">
      <c r="A1775" s="16" t="inlineStr">
        <is>
          <t>5.15-5.21</t>
        </is>
      </c>
      <c r="B1775" s="16" t="inlineStr">
        <is>
          <t>PO-128-07498607391350777</t>
        </is>
      </c>
      <c r="C1775" s="16" t="inlineStr">
        <is>
          <t>Delivered</t>
        </is>
      </c>
      <c r="D1775" s="16" t="inlineStr">
        <is>
          <t>128-07498591662710777</t>
        </is>
      </c>
      <c r="E1775" s="16" t="inlineStr">
        <is>
          <t>Delivered</t>
        </is>
      </c>
      <c r="F1775" s="16" t="inlineStr">
        <is>
          <t>MCM-001A</t>
        </is>
      </c>
      <c r="G1775" s="16" t="inlineStr">
        <is>
          <t>Musicord Altavoz Inalámbrico BT Portátil: ¡Sonido impactante, luces LED multicolores y 4 horas de autonomía! Compatible con TWS, FM, TF y USB – Imprescindible para fiestas y viajes</t>
        </is>
      </c>
      <c r="H1775" s="16" t="inlineStr">
        <is>
          <t>AZUL</t>
        </is>
      </c>
      <c r="I1775" s="16" t="n">
        <v>1</v>
      </c>
      <c r="J1775" s="17" t="n">
        <v>51</v>
      </c>
      <c r="K1775" s="17" t="n">
        <v>59.4</v>
      </c>
      <c r="L1775" s="17" t="n">
        <v>25.86</v>
      </c>
      <c r="M1775" s="17" t="n">
        <v>0</v>
      </c>
      <c r="N1775" s="17">
        <f>K1775*0.08+L1775*0.08</f>
        <v/>
      </c>
      <c r="O1775" s="17">
        <f>-(K1775*0.025+L1775*0.025)</f>
        <v/>
      </c>
      <c r="P1775" s="17">
        <f>32</f>
        <v/>
      </c>
      <c r="Q1775" s="17">
        <f>J1775+L1775+N1775+O1775-P1775-M1775</f>
        <v/>
      </c>
    </row>
    <row r="1776">
      <c r="A1776" s="16" t="inlineStr">
        <is>
          <t>5.15-5.21</t>
        </is>
      </c>
      <c r="B1776" s="16" t="inlineStr">
        <is>
          <t>PO-128-07158823506552867</t>
        </is>
      </c>
      <c r="C1776" s="16" t="inlineStr">
        <is>
          <t>Delivered</t>
        </is>
      </c>
      <c r="D1776" s="16" t="inlineStr">
        <is>
          <t>128-07158781563512867</t>
        </is>
      </c>
      <c r="E1776" s="16" t="inlineStr">
        <is>
          <t>Delivered</t>
        </is>
      </c>
      <c r="F1776" s="16" t="inlineStr">
        <is>
          <t>SA325T</t>
        </is>
      </c>
      <c r="G1776" s="16" t="inlineStr">
        <is>
          <t>Subwoofer Portátil Inalámbrico con Luces RGB, Sonido de Alta Potencia y Batería Duradera, TWS TF USB, Perfecto para Campamento Fiestas y Entretenimiento en Casa</t>
        </is>
      </c>
      <c r="H1776" s="16" t="inlineStr">
        <is>
          <t>NEGRO</t>
        </is>
      </c>
      <c r="I1776" s="16" t="n">
        <v>1</v>
      </c>
      <c r="J1776" s="17" t="n">
        <v>36</v>
      </c>
      <c r="K1776" s="17" t="n">
        <v>45.04</v>
      </c>
      <c r="L1776" s="17" t="n">
        <v>25.86</v>
      </c>
      <c r="M1776" s="17" t="n">
        <v>0</v>
      </c>
      <c r="N1776" s="17">
        <f>K1776*0.08+L1776*0.08</f>
        <v/>
      </c>
      <c r="O1776" s="17">
        <f>-(K1776*0.025+L1776*0.025)</f>
        <v/>
      </c>
      <c r="P1776" s="17">
        <f>32</f>
        <v/>
      </c>
      <c r="Q1776" s="17">
        <f>J1776+L1776+N1776+O1776-P1776-M1776</f>
        <v/>
      </c>
    </row>
    <row r="1777">
      <c r="A1777" s="16" t="inlineStr">
        <is>
          <t>5.15-5.21</t>
        </is>
      </c>
      <c r="B1777" s="16" t="inlineStr">
        <is>
          <t>PO-128-07242340659831281</t>
        </is>
      </c>
      <c r="C1777" s="16" t="inlineStr">
        <is>
          <t>Delivered</t>
        </is>
      </c>
      <c r="D1777" s="16" t="inlineStr">
        <is>
          <t>128-07242361631351281</t>
        </is>
      </c>
      <c r="E1777" s="16" t="inlineStr">
        <is>
          <t>Delivered</t>
        </is>
      </c>
      <c r="F1777" s="16" t="inlineStr">
        <is>
          <t>KTS-1678Y</t>
        </is>
      </c>
      <c r="G1777" s="16" t="inlineStr">
        <is>
          <t>Bocina portátil Inalámbrico, de 3 pulgadas, tamaño de bolsillo, 170 g, con asa, compatible con TF, USB y Micro SD, con radio FM y función TWS (True Wireless Stereo), adecuada para relajarse en casa o viajar al aire libre.</t>
        </is>
      </c>
      <c r="H1777" s="16" t="inlineStr">
        <is>
          <t>KTS-1678Y</t>
        </is>
      </c>
      <c r="I1777" s="16" t="n">
        <v>1</v>
      </c>
      <c r="J1777" s="17" t="n">
        <v>40</v>
      </c>
      <c r="K1777" s="17" t="n">
        <v>3.12</v>
      </c>
      <c r="L1777" s="17" t="n">
        <v>25.86</v>
      </c>
      <c r="M1777" s="17" t="n">
        <v>0</v>
      </c>
      <c r="N1777" s="17">
        <f>K1777*0.08+L1777*0.08</f>
        <v/>
      </c>
      <c r="O1777" s="17">
        <f>-(K1777*0.025+L1777*0.025)</f>
        <v/>
      </c>
      <c r="P1777" s="17">
        <f>32</f>
        <v/>
      </c>
      <c r="Q1777" s="17">
        <f>J1777+L1777+N1777+O1777-P1777-M1777</f>
        <v/>
      </c>
    </row>
    <row r="1778">
      <c r="A1778" s="16" t="inlineStr">
        <is>
          <t>5.15-5.21</t>
        </is>
      </c>
      <c r="B1778" s="16" t="inlineStr">
        <is>
          <t>PO-128-07097595986552270</t>
        </is>
      </c>
      <c r="C1778" s="16" t="inlineStr">
        <is>
          <t>Delivered</t>
        </is>
      </c>
      <c r="D1778" s="16" t="inlineStr">
        <is>
          <t>128-07097585500792270</t>
        </is>
      </c>
      <c r="E1778" s="16" t="inlineStr">
        <is>
          <t>Delivered</t>
        </is>
      </c>
      <c r="F1778" s="16" t="inlineStr">
        <is>
          <t>MB-185R</t>
        </is>
      </c>
      <c r="G1778" s="16" t="inlineStr">
        <is>
          <t>Bocina Radio FM/Reproductor, Compatible con Tarjeta TF, USB, Bluetooth, Aplicable para celular, computadora, Ipad y consola.</t>
        </is>
      </c>
      <c r="H1778" s="16" t="inlineStr">
        <is>
          <t>ROJO/MB-185</t>
        </is>
      </c>
      <c r="I1778" s="16" t="n">
        <v>1</v>
      </c>
      <c r="J1778" s="17" t="n">
        <v>71.31</v>
      </c>
      <c r="K1778" s="17" t="n">
        <v>84.23999999999999</v>
      </c>
      <c r="L1778" s="17" t="n">
        <v>25.86</v>
      </c>
      <c r="M1778" s="17" t="n">
        <v>0</v>
      </c>
      <c r="N1778" s="17">
        <f>K1778*0.08+L1778*0.08</f>
        <v/>
      </c>
      <c r="O1778" s="17">
        <f>-(K1778*0.025+L1778*0.025)</f>
        <v/>
      </c>
      <c r="P1778" s="17">
        <f>32</f>
        <v/>
      </c>
      <c r="Q1778" s="17">
        <f>J1778+L1778+N1778+O1778-P1778-M1778</f>
        <v/>
      </c>
    </row>
    <row r="1779">
      <c r="A1779" s="16" t="inlineStr">
        <is>
          <t>5.15-5.21</t>
        </is>
      </c>
      <c r="B1779" s="16" t="inlineStr">
        <is>
          <t>PO-128-07102739128952241</t>
        </is>
      </c>
      <c r="C1779" s="16" t="inlineStr">
        <is>
          <t>Delivered</t>
        </is>
      </c>
      <c r="D1779" s="16" t="inlineStr">
        <is>
          <t>128-07102786314872241</t>
        </is>
      </c>
      <c r="E1779" s="16" t="inlineStr">
        <is>
          <t>Delivered</t>
        </is>
      </c>
      <c r="F1779" s="16" t="inlineStr">
        <is>
          <t>SA325T</t>
        </is>
      </c>
      <c r="G1779" s="16" t="inlineStr">
        <is>
          <t>Subwoofer Portátil Inalámbrico con Luces RGB, Sonido de Alta Potencia y Batería Duradera, TWS TF USB, Perfecto para Campamento Fiestas y Entretenimiento en Casa</t>
        </is>
      </c>
      <c r="H1779" s="16" t="inlineStr">
        <is>
          <t>NEGRO</t>
        </is>
      </c>
      <c r="I1779" s="16" t="n">
        <v>1</v>
      </c>
      <c r="J1779" s="17" t="n">
        <v>36</v>
      </c>
      <c r="K1779" s="17" t="n">
        <v>36.03</v>
      </c>
      <c r="L1779" s="17" t="n">
        <v>25.86</v>
      </c>
      <c r="M1779" s="17" t="n">
        <v>0</v>
      </c>
      <c r="N1779" s="17">
        <f>K1779*0.08+L1779*0.08</f>
        <v/>
      </c>
      <c r="O1779" s="17">
        <f>-(K1779*0.025+L1779*0.025)</f>
        <v/>
      </c>
      <c r="P1779" s="17">
        <f>32</f>
        <v/>
      </c>
      <c r="Q1779" s="17">
        <f>J1779+L1779+N1779+O1779-P1779-M1779</f>
        <v/>
      </c>
    </row>
    <row r="1780">
      <c r="A1780" s="16" t="inlineStr">
        <is>
          <t>5.15-5.21</t>
        </is>
      </c>
      <c r="B1780" s="16" t="inlineStr">
        <is>
          <t>PO-128-07017639404153834</t>
        </is>
      </c>
      <c r="C1780" s="16" t="inlineStr">
        <is>
          <t>Delivered</t>
        </is>
      </c>
      <c r="D1780" s="16" t="inlineStr">
        <is>
          <t>128-07017614500473834</t>
        </is>
      </c>
      <c r="E1780" s="16" t="inlineStr">
        <is>
          <t>Delivered</t>
        </is>
      </c>
      <c r="F1780" s="16" t="inlineStr">
        <is>
          <t>VB347T</t>
        </is>
      </c>
      <c r="G178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780" s="16" t="inlineStr">
        <is>
          <t>1 pieza</t>
        </is>
      </c>
      <c r="I1780" s="16" t="n">
        <v>1</v>
      </c>
      <c r="J1780" s="17" t="n">
        <v>77.90000000000001</v>
      </c>
      <c r="K1780" s="17" t="n">
        <v>69.38</v>
      </c>
      <c r="L1780" s="17" t="n">
        <v>13.97</v>
      </c>
      <c r="M1780" s="17" t="n">
        <v>0</v>
      </c>
      <c r="N1780" s="17">
        <f>K1780*0.08+L1780*0.08</f>
        <v/>
      </c>
      <c r="O1780" s="17">
        <f>-(K1780*0.025+L1780*0.025)</f>
        <v/>
      </c>
      <c r="P1780" s="17">
        <f>32</f>
        <v/>
      </c>
      <c r="Q1780" s="17">
        <f>J1780+L1780+N1780+O1780-P1780-M1780</f>
        <v/>
      </c>
    </row>
    <row r="1781">
      <c r="A1781" s="16" t="inlineStr">
        <is>
          <t>5.15-5.21</t>
        </is>
      </c>
      <c r="B1781" s="16" t="inlineStr">
        <is>
          <t>PO-128-07017639404153834</t>
        </is>
      </c>
      <c r="C1781" s="16" t="inlineStr">
        <is>
          <t>Delivered</t>
        </is>
      </c>
      <c r="D1781" s="16" t="inlineStr">
        <is>
          <t>128-07017597461113834</t>
        </is>
      </c>
      <c r="E1781" s="16" t="inlineStr">
        <is>
          <t>Delivered</t>
        </is>
      </c>
      <c r="F1781" s="16" t="inlineStr">
        <is>
          <t>MCM-001N</t>
        </is>
      </c>
      <c r="G1781" s="16" t="inlineStr">
        <is>
          <t>Musicord Altavoz Inalámbrico BT Portátil: ¡Sonido impactante, luces LED multicolores y 4 horas de autonomía! Compatible con TWS, FM, TF y USB – Imprescindible para fiestas y viajes</t>
        </is>
      </c>
      <c r="H1781" s="16" t="inlineStr">
        <is>
          <t>NEGRO</t>
        </is>
      </c>
      <c r="I1781" s="16" t="n">
        <v>1</v>
      </c>
      <c r="J1781" s="17" t="n">
        <v>66</v>
      </c>
      <c r="K1781" s="17" t="n">
        <v>59.03</v>
      </c>
      <c r="L1781" s="17" t="n">
        <v>11.89</v>
      </c>
      <c r="M1781" s="17" t="n">
        <v>0</v>
      </c>
      <c r="N1781" s="17">
        <f>K1781*0.08+L1781*0.08</f>
        <v/>
      </c>
      <c r="O1781" s="17">
        <f>-(K1781*0.025+L1781*0.025)</f>
        <v/>
      </c>
      <c r="P1781" s="17">
        <f>32</f>
        <v/>
      </c>
      <c r="Q1781" s="17">
        <f>J1781+L1781+N1781+O1781-P1781-M1781</f>
        <v/>
      </c>
    </row>
    <row r="1782">
      <c r="A1782" s="16" t="inlineStr">
        <is>
          <t>5.15-5.21</t>
        </is>
      </c>
      <c r="B1782" s="16" t="inlineStr">
        <is>
          <t>PO-128-07004608005753720</t>
        </is>
      </c>
      <c r="C1782" s="16" t="inlineStr">
        <is>
          <t>Delivered</t>
        </is>
      </c>
      <c r="D1782" s="16" t="inlineStr">
        <is>
          <t>128-07004618491513720</t>
        </is>
      </c>
      <c r="E1782" s="16" t="inlineStr">
        <is>
          <t>Delivered</t>
        </is>
      </c>
      <c r="F1782" s="16" t="inlineStr">
        <is>
          <t>LV25W22</t>
        </is>
      </c>
      <c r="G178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82" s="16" t="inlineStr">
        <is>
          <t>LV25W32</t>
        </is>
      </c>
      <c r="I1782" s="16" t="n">
        <v>1</v>
      </c>
      <c r="J1782" s="17" t="n">
        <v>90.43000000000001</v>
      </c>
      <c r="K1782" s="17" t="n">
        <v>100.84</v>
      </c>
      <c r="L1782" s="17" t="n">
        <v>25.86</v>
      </c>
      <c r="M1782" s="17" t="n">
        <v>0</v>
      </c>
      <c r="N1782" s="17">
        <f>K1782*0.08+L1782*0.08</f>
        <v/>
      </c>
      <c r="O1782" s="17">
        <f>-(K1782*0.025+L1782*0.025)</f>
        <v/>
      </c>
      <c r="P1782" s="17">
        <f>32</f>
        <v/>
      </c>
      <c r="Q1782" s="17">
        <f>J1782+L1782+N1782+O1782-P1782-M1782</f>
        <v/>
      </c>
    </row>
    <row r="1783">
      <c r="A1783" s="16" t="inlineStr">
        <is>
          <t>5.15-5.21</t>
        </is>
      </c>
      <c r="B1783" s="16" t="inlineStr">
        <is>
          <t>PO-128-06959296497273990</t>
        </is>
      </c>
      <c r="C1783" s="16" t="inlineStr">
        <is>
          <t>Delivered</t>
        </is>
      </c>
      <c r="D1783" s="16" t="inlineStr">
        <is>
          <t>128-06959317468793990</t>
        </is>
      </c>
      <c r="E1783" s="16" t="inlineStr">
        <is>
          <t>Delivered</t>
        </is>
      </c>
      <c r="F1783" s="16" t="inlineStr">
        <is>
          <t>LB02235-azul</t>
        </is>
      </c>
      <c r="G1783" s="16" t="inlineStr">
        <is>
          <t>Audífonos Inalámbricos para la Cabeza, Recargables y Multifuncionales - Conectan a Varios Dispositivos, soportan Radio FM, Tarjeta TF y AUX - 4 Horas de Reproducción Musical - Ideal para Trabajo Cotidiano, Juegos y Estudio</t>
        </is>
      </c>
      <c r="H1783" s="16" t="inlineStr">
        <is>
          <t>AZUL</t>
        </is>
      </c>
      <c r="I1783" s="16" t="n">
        <v>1</v>
      </c>
      <c r="J1783" s="17" t="n">
        <v>35</v>
      </c>
      <c r="K1783" s="17" t="n">
        <v>48.11</v>
      </c>
      <c r="L1783" s="17" t="n">
        <v>25.86</v>
      </c>
      <c r="M1783" s="17" t="n">
        <v>0</v>
      </c>
      <c r="N1783" s="17">
        <f>K1783*0.08+L1783*0.08</f>
        <v/>
      </c>
      <c r="O1783" s="17">
        <f>-(K1783*0.025+L1783*0.025)</f>
        <v/>
      </c>
      <c r="P1783" s="17">
        <f>32</f>
        <v/>
      </c>
      <c r="Q1783" s="17">
        <f>J1783+L1783+N1783+O1783-P1783-M1783</f>
        <v/>
      </c>
    </row>
    <row r="1784">
      <c r="A1784" s="16" t="inlineStr">
        <is>
          <t>5.15-5.21</t>
        </is>
      </c>
      <c r="B1784" s="16" t="inlineStr">
        <is>
          <t>PO-128-07009359483513757</t>
        </is>
      </c>
      <c r="C1784" s="16" t="inlineStr">
        <is>
          <t>Delivered</t>
        </is>
      </c>
      <c r="D1784" s="16" t="inlineStr">
        <is>
          <t>128-07009511527033757</t>
        </is>
      </c>
      <c r="E1784" s="16" t="inlineStr">
        <is>
          <t>Delivered</t>
        </is>
      </c>
      <c r="F1784" s="16" t="inlineStr">
        <is>
          <t>LB02235-blanco</t>
        </is>
      </c>
      <c r="G1784" s="16" t="inlineStr">
        <is>
          <t>Audífonos Inalámbricos para la Cabeza, Recargables y Multifuncionales - Conectan a Varios Dispositivos, soportan Radio FM, Tarjeta TF y AUX - 4 Horas de Reproducción Musical - Ideal para Trabajo Cotidiano, Juegos y Estudio</t>
        </is>
      </c>
      <c r="H1784" s="16" t="inlineStr">
        <is>
          <t>BLANCO</t>
        </is>
      </c>
      <c r="I1784" s="16" t="n">
        <v>2</v>
      </c>
      <c r="J1784" s="17" t="n">
        <v>73</v>
      </c>
      <c r="K1784" s="17" t="n">
        <v>99.22</v>
      </c>
      <c r="L1784" s="17" t="n">
        <v>25.86</v>
      </c>
      <c r="M1784" s="17" t="n">
        <v>0</v>
      </c>
      <c r="N1784" s="17">
        <f>K1784*0.08+L1784*0.08</f>
        <v/>
      </c>
      <c r="O1784" s="17">
        <f>-(K1784*0.025+L1784*0.025)</f>
        <v/>
      </c>
      <c r="P1784" s="17">
        <f>32</f>
        <v/>
      </c>
      <c r="Q1784" s="17">
        <f>J1784+L1784+N1784+O1784-P1784-M1784</f>
        <v/>
      </c>
    </row>
    <row r="1785">
      <c r="A1785" s="16" t="inlineStr">
        <is>
          <t>5.15-5.21</t>
        </is>
      </c>
      <c r="B1785" s="16" t="inlineStr">
        <is>
          <t>PO-128-07188311107192755</t>
        </is>
      </c>
      <c r="C1785" s="16" t="inlineStr">
        <is>
          <t>Delivered</t>
        </is>
      </c>
      <c r="D1785" s="16" t="inlineStr">
        <is>
          <t>128-07188290135672755</t>
        </is>
      </c>
      <c r="E1785" s="16" t="inlineStr">
        <is>
          <t>Delivered</t>
        </is>
      </c>
      <c r="F1785" s="16" t="inlineStr">
        <is>
          <t>MCM-001A</t>
        </is>
      </c>
      <c r="G1785" s="16" t="inlineStr">
        <is>
          <t>Musicord Altavoz Inalámbrico BT Portátil: ¡Sonido impactante, luces LED multicolores y 4 horas de autonomía! Compatible con TWS, FM, TF y USB – Imprescindible para fiestas y viajes</t>
        </is>
      </c>
      <c r="H1785" s="16" t="inlineStr">
        <is>
          <t>AZUL</t>
        </is>
      </c>
      <c r="I1785" s="16" t="n">
        <v>1</v>
      </c>
      <c r="J1785" s="17" t="n">
        <v>51</v>
      </c>
      <c r="K1785" s="17" t="n">
        <v>59.4</v>
      </c>
      <c r="L1785" s="17" t="n">
        <v>25.86</v>
      </c>
      <c r="M1785" s="17" t="n">
        <v>0</v>
      </c>
      <c r="N1785" s="17">
        <f>K1785*0.08+L1785*0.08</f>
        <v/>
      </c>
      <c r="O1785" s="17">
        <f>-(K1785*0.025+L1785*0.025)</f>
        <v/>
      </c>
      <c r="P1785" s="17">
        <f>32</f>
        <v/>
      </c>
      <c r="Q1785" s="17">
        <f>J1785+L1785+N1785+O1785-P1785-M1785</f>
        <v/>
      </c>
    </row>
    <row r="1786">
      <c r="A1786" s="16" t="inlineStr">
        <is>
          <t>5.15-5.21</t>
        </is>
      </c>
      <c r="B1786" s="16" t="inlineStr">
        <is>
          <t>PO-128-06894613228153353</t>
        </is>
      </c>
      <c r="C1786" s="16" t="inlineStr">
        <is>
          <t>Delivered</t>
        </is>
      </c>
      <c r="D1786" s="16" t="inlineStr">
        <is>
          <t>128-06894749543033353</t>
        </is>
      </c>
      <c r="E1786" s="16" t="inlineStr">
        <is>
          <t>Delivered</t>
        </is>
      </c>
      <c r="F1786" s="16" t="inlineStr">
        <is>
          <t>LV25W22</t>
        </is>
      </c>
      <c r="G17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86" s="16" t="inlineStr">
        <is>
          <t>LV25W32</t>
        </is>
      </c>
      <c r="I1786" s="16" t="n">
        <v>3</v>
      </c>
      <c r="J1786" s="17" t="n">
        <v>271.29</v>
      </c>
      <c r="K1786" s="17" t="n">
        <v>242.03</v>
      </c>
      <c r="L1786" s="17" t="n">
        <v>0</v>
      </c>
      <c r="M1786" s="17" t="n">
        <v>0</v>
      </c>
      <c r="N1786" s="17">
        <f>K1786*0.08+L1786*0.08</f>
        <v/>
      </c>
      <c r="O1786" s="17">
        <f>-(K1786*0.025+L1786*0.025)</f>
        <v/>
      </c>
      <c r="P1786" s="17">
        <f>32</f>
        <v/>
      </c>
      <c r="Q1786" s="17">
        <f>J1786+L1786+N1786+O1786-P1786-M1786</f>
        <v/>
      </c>
    </row>
    <row r="1787">
      <c r="A1787" s="16" t="inlineStr">
        <is>
          <t>5.15-5.21</t>
        </is>
      </c>
      <c r="B1787" s="16" t="inlineStr">
        <is>
          <t>PO-128-06883427958393546</t>
        </is>
      </c>
      <c r="C1787" s="16" t="inlineStr">
        <is>
          <t>Delivered</t>
        </is>
      </c>
      <c r="D1787" s="16" t="inlineStr">
        <is>
          <t>128-06883469901433546</t>
        </is>
      </c>
      <c r="E1787" s="16" t="inlineStr">
        <is>
          <t>Delivered</t>
        </is>
      </c>
      <c r="F1787" s="16" t="inlineStr">
        <is>
          <t>LV25W22</t>
        </is>
      </c>
      <c r="G178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87" s="16" t="inlineStr">
        <is>
          <t>LV25W32</t>
        </is>
      </c>
      <c r="I1787" s="16" t="n">
        <v>1</v>
      </c>
      <c r="J1787" s="17" t="n">
        <v>90.43000000000001</v>
      </c>
      <c r="K1787" s="17" t="n">
        <v>100.84</v>
      </c>
      <c r="L1787" s="17" t="n">
        <v>25.86</v>
      </c>
      <c r="M1787" s="17" t="n">
        <v>0</v>
      </c>
      <c r="N1787" s="17">
        <f>K1787*0.08+L1787*0.08</f>
        <v/>
      </c>
      <c r="O1787" s="17">
        <f>-(K1787*0.025+L1787*0.025)</f>
        <v/>
      </c>
      <c r="P1787" s="17">
        <f>32</f>
        <v/>
      </c>
      <c r="Q1787" s="17">
        <f>J1787+L1787+N1787+O1787-P1787-M1787</f>
        <v/>
      </c>
    </row>
    <row r="1788">
      <c r="A1788" s="16" t="inlineStr">
        <is>
          <t>5.15-5.21</t>
        </is>
      </c>
      <c r="B1788" s="16" t="inlineStr">
        <is>
          <t>PO-128-07447453287030248</t>
        </is>
      </c>
      <c r="C1788" s="16" t="inlineStr">
        <is>
          <t>Delivered</t>
        </is>
      </c>
      <c r="D1788" s="16" t="inlineStr">
        <is>
          <t>128-07447495230070248</t>
        </is>
      </c>
      <c r="E1788" s="16" t="inlineStr">
        <is>
          <t>Delivered</t>
        </is>
      </c>
      <c r="F1788" s="16" t="inlineStr">
        <is>
          <t>LV25W22</t>
        </is>
      </c>
      <c r="G17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88" s="16" t="inlineStr">
        <is>
          <t>LV25W32</t>
        </is>
      </c>
      <c r="I1788" s="16" t="n">
        <v>1</v>
      </c>
      <c r="J1788" s="17" t="n">
        <v>90.43000000000001</v>
      </c>
      <c r="K1788" s="17" t="n">
        <v>85.72</v>
      </c>
      <c r="L1788" s="17" t="n">
        <v>25.86</v>
      </c>
      <c r="M1788" s="17" t="n">
        <v>0</v>
      </c>
      <c r="N1788" s="17">
        <f>K1788*0.08+L1788*0.08</f>
        <v/>
      </c>
      <c r="O1788" s="17">
        <f>-(K1788*0.025+L1788*0.025)</f>
        <v/>
      </c>
      <c r="P1788" s="17">
        <f>32</f>
        <v/>
      </c>
      <c r="Q1788" s="17">
        <f>J1788+L1788+N1788+O1788-P1788-M1788</f>
        <v/>
      </c>
    </row>
    <row r="1789">
      <c r="A1789" s="16" t="inlineStr">
        <is>
          <t>5.15-5.21</t>
        </is>
      </c>
      <c r="B1789" s="16" t="inlineStr">
        <is>
          <t>PO-128-07417732024950299</t>
        </is>
      </c>
      <c r="C1789" s="16" t="inlineStr">
        <is>
          <t>Delivered</t>
        </is>
      </c>
      <c r="D1789" s="16" t="inlineStr">
        <is>
          <t>128-07417836882550299</t>
        </is>
      </c>
      <c r="E1789" s="16" t="inlineStr">
        <is>
          <t>Delivered</t>
        </is>
      </c>
      <c r="F1789" s="16" t="inlineStr">
        <is>
          <t>S09W18IB</t>
        </is>
      </c>
      <c r="G178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789" s="16" t="inlineStr">
        <is>
          <t>1 pieza</t>
        </is>
      </c>
      <c r="I1789" s="16" t="n">
        <v>10</v>
      </c>
      <c r="J1789" s="17" t="n">
        <v>229.9</v>
      </c>
      <c r="K1789" s="17" t="n">
        <v>60.8</v>
      </c>
      <c r="L1789" s="17" t="n">
        <v>0</v>
      </c>
      <c r="M1789" s="17" t="n">
        <v>0</v>
      </c>
      <c r="N1789" s="17">
        <f>K1789*0.08+L1789*0.08</f>
        <v/>
      </c>
      <c r="O1789" s="17">
        <f>-(K1789*0.025+L1789*0.025)</f>
        <v/>
      </c>
      <c r="P1789" s="17">
        <f>32</f>
        <v/>
      </c>
      <c r="Q1789" s="17">
        <f>J1789+L1789+N1789+O1789-P1789-M1789</f>
        <v/>
      </c>
    </row>
    <row r="1790">
      <c r="A1790" s="16" t="inlineStr">
        <is>
          <t>5.15-5.21</t>
        </is>
      </c>
      <c r="B1790" s="16" t="inlineStr">
        <is>
          <t>PO-128-07121741691512126</t>
        </is>
      </c>
      <c r="C1790" s="16" t="inlineStr">
        <is>
          <t>Delivered</t>
        </is>
      </c>
      <c r="D1790" s="16" t="inlineStr">
        <is>
          <t>128-07121699748472126</t>
        </is>
      </c>
      <c r="E1790" s="16" t="inlineStr">
        <is>
          <t>Delivered</t>
        </is>
      </c>
      <c r="F1790" s="16" t="inlineStr">
        <is>
          <t>LV25W22</t>
        </is>
      </c>
      <c r="G179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90" s="16" t="inlineStr">
        <is>
          <t>LV25W32</t>
        </is>
      </c>
      <c r="I1790" s="16" t="n">
        <v>3</v>
      </c>
      <c r="J1790" s="17" t="n">
        <v>271.29</v>
      </c>
      <c r="K1790" s="17" t="n">
        <v>242.03</v>
      </c>
      <c r="L1790" s="17" t="n">
        <v>0</v>
      </c>
      <c r="M1790" s="17" t="n">
        <v>0</v>
      </c>
      <c r="N1790" s="17">
        <f>K1790*0.08+L1790*0.08</f>
        <v/>
      </c>
      <c r="O1790" s="17">
        <f>-(K1790*0.025+L1790*0.025)</f>
        <v/>
      </c>
      <c r="P1790" s="17">
        <f>32</f>
        <v/>
      </c>
      <c r="Q1790" s="17">
        <f>J1790+L1790+N1790+O1790-P1790-M1790</f>
        <v/>
      </c>
    </row>
    <row r="1791">
      <c r="A1791" s="16" t="inlineStr">
        <is>
          <t>5.15-5.21</t>
        </is>
      </c>
      <c r="B1791" s="16" t="inlineStr">
        <is>
          <t>PO-128-06882689577593550</t>
        </is>
      </c>
      <c r="C1791" s="16" t="inlineStr">
        <is>
          <t>Delivered</t>
        </is>
      </c>
      <c r="D1791" s="16" t="inlineStr">
        <is>
          <t>128-06882849485433550</t>
        </is>
      </c>
      <c r="E1791" s="16" t="inlineStr">
        <is>
          <t>Delivered</t>
        </is>
      </c>
      <c r="F1791" s="16" t="inlineStr">
        <is>
          <t>LB02235-blanco</t>
        </is>
      </c>
      <c r="G1791" s="16" t="inlineStr">
        <is>
          <t>Audífonos Inalámbricos para la Cabeza, Recargables y Multifuncionales - Conectan a Varios Dispositivos, soportan Radio FM, Tarjeta TF y AUX - 4 Horas de Reproducción Musical - Ideal para Trabajo Cotidiano, Juegos y Estudio</t>
        </is>
      </c>
      <c r="H1791" s="16" t="inlineStr">
        <is>
          <t>BLANCO</t>
        </is>
      </c>
      <c r="I1791" s="16" t="n">
        <v>1</v>
      </c>
      <c r="J1791" s="17" t="n">
        <v>36.5</v>
      </c>
      <c r="K1791" s="17" t="n">
        <v>6.51</v>
      </c>
      <c r="L1791" s="17" t="n">
        <v>25.86</v>
      </c>
      <c r="M1791" s="17" t="n">
        <v>0</v>
      </c>
      <c r="N1791" s="17">
        <f>K1791*0.08+L1791*0.08</f>
        <v/>
      </c>
      <c r="O1791" s="17">
        <f>-(K1791*0.025+L1791*0.025)</f>
        <v/>
      </c>
      <c r="P1791" s="17">
        <f>32</f>
        <v/>
      </c>
      <c r="Q1791" s="17">
        <f>J1791+L1791+N1791+O1791-P1791-M1791</f>
        <v/>
      </c>
    </row>
    <row r="1792">
      <c r="A1792" s="16" t="inlineStr">
        <is>
          <t>5.15-5.21</t>
        </is>
      </c>
      <c r="B1792" s="16" t="inlineStr">
        <is>
          <t>PO-128-07294974526071095</t>
        </is>
      </c>
      <c r="C1792" s="16" t="inlineStr">
        <is>
          <t>Delivered</t>
        </is>
      </c>
      <c r="D1792" s="16" t="inlineStr">
        <is>
          <t>128-07295016469111095</t>
        </is>
      </c>
      <c r="E1792" s="16" t="inlineStr">
        <is>
          <t>Delivered</t>
        </is>
      </c>
      <c r="F1792" s="16" t="inlineStr">
        <is>
          <t>S09W18IB</t>
        </is>
      </c>
      <c r="G179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792" s="16" t="inlineStr">
        <is>
          <t>1 pieza</t>
        </is>
      </c>
      <c r="I1792" s="16" t="n">
        <v>11</v>
      </c>
      <c r="J1792" s="17" t="n">
        <v>252.89</v>
      </c>
      <c r="K1792" s="17" t="n">
        <v>369.82</v>
      </c>
      <c r="L1792" s="17" t="n">
        <v>0</v>
      </c>
      <c r="M1792" s="17" t="n">
        <v>0</v>
      </c>
      <c r="N1792" s="17">
        <f>K1792*0.08+L1792*0.08</f>
        <v/>
      </c>
      <c r="O1792" s="17">
        <f>-(K1792*0.025+L1792*0.025)</f>
        <v/>
      </c>
      <c r="P1792" s="17">
        <f>32</f>
        <v/>
      </c>
      <c r="Q1792" s="17">
        <f>J1792+L1792+N1792+O1792-P1792-M1792</f>
        <v/>
      </c>
    </row>
    <row r="1793">
      <c r="A1793" s="16" t="inlineStr">
        <is>
          <t>5.15-5.21</t>
        </is>
      </c>
      <c r="B1793" s="16" t="inlineStr">
        <is>
          <t>PO-128-07125338010232168</t>
        </is>
      </c>
      <c r="C1793" s="16" t="inlineStr">
        <is>
          <t>Delivered</t>
        </is>
      </c>
      <c r="D1793" s="16" t="inlineStr">
        <is>
          <t>128-07125432382072168</t>
        </is>
      </c>
      <c r="E1793" s="16" t="inlineStr">
        <is>
          <t>Delivered</t>
        </is>
      </c>
      <c r="F1793" s="16" t="inlineStr">
        <is>
          <t>SA8058T</t>
        </is>
      </c>
      <c r="G1793"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1793" s="16" t="inlineStr">
        <is>
          <t>SA8058T</t>
        </is>
      </c>
      <c r="I1793" s="16" t="n">
        <v>1</v>
      </c>
      <c r="J1793" s="17" t="n">
        <v>162.6</v>
      </c>
      <c r="K1793" s="17" t="n">
        <v>185.25</v>
      </c>
      <c r="L1793" s="17" t="n">
        <v>0</v>
      </c>
      <c r="M1793" s="17" t="n">
        <v>86.20999999999999</v>
      </c>
      <c r="N1793" s="17">
        <f>K1793*0.08+L1793*0.08</f>
        <v/>
      </c>
      <c r="O1793" s="17">
        <f>-(K1793*0.025+L1793*0.025)</f>
        <v/>
      </c>
      <c r="P1793" s="17">
        <f>32</f>
        <v/>
      </c>
      <c r="Q1793" s="17">
        <f>J1793+L1793+N1793+O1793-P1793-M1793</f>
        <v/>
      </c>
    </row>
    <row r="1794">
      <c r="A1794" s="16" t="inlineStr">
        <is>
          <t>5.15-5.21</t>
        </is>
      </c>
      <c r="B1794" s="16" t="inlineStr">
        <is>
          <t>PO-128-07125338010232168</t>
        </is>
      </c>
      <c r="C1794" s="16" t="inlineStr">
        <is>
          <t>Delivered</t>
        </is>
      </c>
      <c r="D1794" s="16" t="inlineStr">
        <is>
          <t>128-07125379953272168</t>
        </is>
      </c>
      <c r="E1794" s="16" t="inlineStr">
        <is>
          <t>Delivered</t>
        </is>
      </c>
      <c r="F1794" s="16" t="inlineStr">
        <is>
          <t>MB-176</t>
        </is>
      </c>
      <c r="G1794" s="16" t="inlineStr">
        <is>
          <t>Linkbits Altavoz Bluetooth Portátil - Luces LED RGB 360°, Bajos Potentes de 24W, Estéreo TWS y Asa para Exterior/Fiestas</t>
        </is>
      </c>
      <c r="H1794" s="16" t="inlineStr">
        <is>
          <t>MB-176</t>
        </is>
      </c>
      <c r="I1794" s="16" t="n">
        <v>1</v>
      </c>
      <c r="J1794" s="17" t="n">
        <v>150</v>
      </c>
      <c r="K1794" s="17" t="n">
        <v>180.15</v>
      </c>
      <c r="L1794" s="17" t="n">
        <v>0</v>
      </c>
      <c r="M1794" s="17" t="n">
        <v>0</v>
      </c>
      <c r="N1794" s="17">
        <f>K1794*0.08+L1794*0.08</f>
        <v/>
      </c>
      <c r="O1794" s="17">
        <f>-(K1794*0.025+L1794*0.025)</f>
        <v/>
      </c>
      <c r="P1794" s="17">
        <f>32</f>
        <v/>
      </c>
      <c r="Q1794" s="17">
        <f>J1794+L1794+N1794+O1794-P1794-M1794</f>
        <v/>
      </c>
    </row>
    <row r="1795">
      <c r="A1795" s="16" t="inlineStr">
        <is>
          <t>5.15-5.21</t>
        </is>
      </c>
      <c r="B1795" s="16" t="inlineStr">
        <is>
          <t>PO-128-07033826120313674</t>
        </is>
      </c>
      <c r="C1795" s="16" t="inlineStr">
        <is>
          <t>Delivered</t>
        </is>
      </c>
      <c r="D1795" s="16" t="inlineStr">
        <is>
          <t>128-07033836606073674</t>
        </is>
      </c>
      <c r="E1795" s="16" t="inlineStr">
        <is>
          <t>Delivered</t>
        </is>
      </c>
      <c r="F1795" s="16" t="inlineStr">
        <is>
          <t>LB02235-blanco</t>
        </is>
      </c>
      <c r="G1795" s="16" t="inlineStr">
        <is>
          <t>Audífonos Inalámbricos para la Cabeza, Recargables y Multifuncionales - Conectan a Varios Dispositivos, soportan Radio FM, Tarjeta TF y AUX - 4 Horas de Reproducción Musical - Ideal para Trabajo Cotidiano, Juegos y Estudio</t>
        </is>
      </c>
      <c r="H1795" s="16" t="inlineStr">
        <is>
          <t>BLANCO</t>
        </is>
      </c>
      <c r="I1795" s="16" t="n">
        <v>1</v>
      </c>
      <c r="J1795" s="17" t="n">
        <v>36.5</v>
      </c>
      <c r="K1795" s="17" t="n">
        <v>49.61</v>
      </c>
      <c r="L1795" s="17" t="n">
        <v>25.86</v>
      </c>
      <c r="M1795" s="17" t="n">
        <v>0</v>
      </c>
      <c r="N1795" s="17">
        <f>K1795*0.08+L1795*0.08</f>
        <v/>
      </c>
      <c r="O1795" s="17">
        <f>-(K1795*0.025+L1795*0.025)</f>
        <v/>
      </c>
      <c r="P1795" s="17">
        <f>32</f>
        <v/>
      </c>
      <c r="Q1795" s="17">
        <f>J1795+L1795+N1795+O1795-P1795-M1795</f>
        <v/>
      </c>
    </row>
    <row r="1796">
      <c r="A1796" s="16" t="inlineStr">
        <is>
          <t>5.15-5.21</t>
        </is>
      </c>
      <c r="B1796" s="16" t="inlineStr">
        <is>
          <t>PO-128-06998450463353948</t>
        </is>
      </c>
      <c r="C1796" s="16" t="inlineStr">
        <is>
          <t>Delivered</t>
        </is>
      </c>
      <c r="D1796" s="16" t="inlineStr">
        <is>
          <t>128-06998462259833948</t>
        </is>
      </c>
      <c r="E1796" s="16" t="inlineStr">
        <is>
          <t>Delivered</t>
        </is>
      </c>
      <c r="F1796" s="16" t="inlineStr">
        <is>
          <t>LV25W22</t>
        </is>
      </c>
      <c r="G17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96" s="16" t="inlineStr">
        <is>
          <t>LV25W32</t>
        </is>
      </c>
      <c r="I1796" s="16" t="n">
        <v>1</v>
      </c>
      <c r="J1796" s="17" t="n">
        <v>90.43000000000001</v>
      </c>
      <c r="K1796" s="17" t="n">
        <v>100.84</v>
      </c>
      <c r="L1796" s="17" t="n">
        <v>25.86</v>
      </c>
      <c r="M1796" s="17" t="n">
        <v>0</v>
      </c>
      <c r="N1796" s="17">
        <f>K1796*0.08+L1796*0.08</f>
        <v/>
      </c>
      <c r="O1796" s="17">
        <f>-(K1796*0.025+L1796*0.025)</f>
        <v/>
      </c>
      <c r="P1796" s="17">
        <f>32</f>
        <v/>
      </c>
      <c r="Q1796" s="17">
        <f>J1796+L1796+N1796+O1796-P1796-M1796</f>
        <v/>
      </c>
    </row>
    <row r="1797">
      <c r="A1797" s="16" t="inlineStr">
        <is>
          <t>5.15-5.21</t>
        </is>
      </c>
      <c r="B1797" s="16" t="inlineStr">
        <is>
          <t>PO-128-07139617751672981</t>
        </is>
      </c>
      <c r="C1797" s="16" t="inlineStr">
        <is>
          <t>Delivered</t>
        </is>
      </c>
      <c r="D1797" s="16" t="inlineStr">
        <is>
          <t>128-07139607265912981</t>
        </is>
      </c>
      <c r="E1797" s="16" t="inlineStr">
        <is>
          <t>Delivered</t>
        </is>
      </c>
      <c r="F1797" s="16" t="inlineStr">
        <is>
          <t>LV25W22</t>
        </is>
      </c>
      <c r="G17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97" s="16" t="inlineStr">
        <is>
          <t>LV25W32</t>
        </is>
      </c>
      <c r="I1797" s="16" t="n">
        <v>1</v>
      </c>
      <c r="J1797" s="17" t="n">
        <v>90.43000000000001</v>
      </c>
      <c r="K1797" s="17" t="n">
        <v>100.84</v>
      </c>
      <c r="L1797" s="17" t="n">
        <v>25.86</v>
      </c>
      <c r="M1797" s="17" t="n">
        <v>0</v>
      </c>
      <c r="N1797" s="17">
        <f>K1797*0.08+L1797*0.08</f>
        <v/>
      </c>
      <c r="O1797" s="17">
        <f>-(K1797*0.025+L1797*0.025)</f>
        <v/>
      </c>
      <c r="P1797" s="17">
        <f>32</f>
        <v/>
      </c>
      <c r="Q1797" s="17">
        <f>J1797+L1797+N1797+O1797-P1797-M1797</f>
        <v/>
      </c>
    </row>
    <row r="1798">
      <c r="A1798" s="16" t="inlineStr">
        <is>
          <t>5.15-5.21</t>
        </is>
      </c>
      <c r="B1798" s="16" t="inlineStr">
        <is>
          <t>PO-128-06880296837753503</t>
        </is>
      </c>
      <c r="C1798" s="16" t="inlineStr">
        <is>
          <t>Delivered</t>
        </is>
      </c>
      <c r="D1798" s="16" t="inlineStr">
        <is>
          <t>128-06880254894713503</t>
        </is>
      </c>
      <c r="E1798" s="16" t="inlineStr">
        <is>
          <t>Delivered</t>
        </is>
      </c>
      <c r="F1798" s="16" t="inlineStr">
        <is>
          <t>LV25W22</t>
        </is>
      </c>
      <c r="G17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98" s="16" t="inlineStr">
        <is>
          <t>LV25W32</t>
        </is>
      </c>
      <c r="I1798" s="16" t="n">
        <v>1</v>
      </c>
      <c r="J1798" s="17" t="n">
        <v>90.43000000000001</v>
      </c>
      <c r="K1798" s="17" t="n">
        <v>100.84</v>
      </c>
      <c r="L1798" s="17" t="n">
        <v>25.86</v>
      </c>
      <c r="M1798" s="17" t="n">
        <v>0</v>
      </c>
      <c r="N1798" s="17">
        <f>K1798*0.08+L1798*0.08</f>
        <v/>
      </c>
      <c r="O1798" s="17">
        <f>-(K1798*0.025+L1798*0.025)</f>
        <v/>
      </c>
      <c r="P1798" s="17">
        <f>32</f>
        <v/>
      </c>
      <c r="Q1798" s="17">
        <f>J1798+L1798+N1798+O1798-P1798-M1798</f>
        <v/>
      </c>
    </row>
    <row r="1799">
      <c r="A1799" s="16" t="inlineStr">
        <is>
          <t>5.15-5.21</t>
        </is>
      </c>
      <c r="B1799" s="16" t="inlineStr">
        <is>
          <t>PO-128-07112378107512055</t>
        </is>
      </c>
      <c r="C1799" s="16" t="inlineStr">
        <is>
          <t>Delivered</t>
        </is>
      </c>
      <c r="D1799" s="16" t="inlineStr">
        <is>
          <t>128-07112514422392055</t>
        </is>
      </c>
      <c r="E1799" s="16" t="inlineStr">
        <is>
          <t>Delivered</t>
        </is>
      </c>
      <c r="F1799" s="16" t="inlineStr">
        <is>
          <t>LV25W22</t>
        </is>
      </c>
      <c r="G17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799" s="16" t="inlineStr">
        <is>
          <t>LV25W32</t>
        </is>
      </c>
      <c r="I1799" s="16" t="n">
        <v>3</v>
      </c>
      <c r="J1799" s="17" t="n">
        <v>271.29</v>
      </c>
      <c r="K1799" s="17" t="n">
        <v>259.42</v>
      </c>
      <c r="L1799" s="17" t="n">
        <v>0</v>
      </c>
      <c r="M1799" s="17" t="n">
        <v>0</v>
      </c>
      <c r="N1799" s="17">
        <f>K1799*0.08+L1799*0.08</f>
        <v/>
      </c>
      <c r="O1799" s="17">
        <f>-(K1799*0.025+L1799*0.025)</f>
        <v/>
      </c>
      <c r="P1799" s="17">
        <f>32</f>
        <v/>
      </c>
      <c r="Q1799" s="17">
        <f>J1799+L1799+N1799+O1799-P1799-M1799</f>
        <v/>
      </c>
    </row>
    <row r="1800">
      <c r="A1800" s="16" t="inlineStr">
        <is>
          <t>5.15-5.21</t>
        </is>
      </c>
      <c r="B1800" s="16" t="inlineStr">
        <is>
          <t>PO-128-07393447711350442</t>
        </is>
      </c>
      <c r="C1800" s="16" t="inlineStr">
        <is>
          <t>Delivered</t>
        </is>
      </c>
      <c r="D1800" s="16" t="inlineStr">
        <is>
          <t>128-07393489654390442</t>
        </is>
      </c>
      <c r="E1800" s="16" t="inlineStr">
        <is>
          <t>Delivered</t>
        </is>
      </c>
      <c r="F1800" s="16" t="inlineStr">
        <is>
          <t>LV25W22</t>
        </is>
      </c>
      <c r="G180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00" s="16" t="inlineStr">
        <is>
          <t>LV25W32</t>
        </is>
      </c>
      <c r="I1800" s="16" t="n">
        <v>2</v>
      </c>
      <c r="J1800" s="17" t="n">
        <v>180.86</v>
      </c>
      <c r="K1800" s="17" t="n">
        <v>201.68</v>
      </c>
      <c r="L1800" s="17" t="n">
        <v>25.86</v>
      </c>
      <c r="M1800" s="17" t="n">
        <v>0</v>
      </c>
      <c r="N1800" s="17">
        <f>K1800*0.08+L1800*0.08</f>
        <v/>
      </c>
      <c r="O1800" s="17">
        <f>-(K1800*0.025+L1800*0.025)</f>
        <v/>
      </c>
      <c r="P1800" s="17">
        <f>32</f>
        <v/>
      </c>
      <c r="Q1800" s="17">
        <f>J1800+L1800+N1800+O1800-P1800-M1800</f>
        <v/>
      </c>
    </row>
    <row r="1801">
      <c r="A1801" s="16" t="inlineStr">
        <is>
          <t>5.15-5.21</t>
        </is>
      </c>
      <c r="B1801" s="16" t="inlineStr">
        <is>
          <t>PO-128-07154436961912829</t>
        </is>
      </c>
      <c r="C1801" s="16" t="inlineStr">
        <is>
          <t>Delivered</t>
        </is>
      </c>
      <c r="D1801" s="16" t="inlineStr">
        <is>
          <t>128-07154395018872829</t>
        </is>
      </c>
      <c r="E1801" s="16" t="inlineStr">
        <is>
          <t>Delivered</t>
        </is>
      </c>
      <c r="F1801" s="16" t="inlineStr">
        <is>
          <t>MB-185N</t>
        </is>
      </c>
      <c r="G1801" s="16" t="inlineStr">
        <is>
          <t>Bocina Radio FM/Reproductor, Compatible con Tarjeta TF, USB, Bluetooth, Aplicable para celular, computadora, Ipad y consola.</t>
        </is>
      </c>
      <c r="H1801" s="16" t="inlineStr">
        <is>
          <t>NEGRO/MB-185</t>
        </is>
      </c>
      <c r="I1801" s="16" t="n">
        <v>1</v>
      </c>
      <c r="J1801" s="17" t="n">
        <v>71.31</v>
      </c>
      <c r="K1801" s="17" t="n">
        <v>84.23999999999999</v>
      </c>
      <c r="L1801" s="17" t="n">
        <v>25.86</v>
      </c>
      <c r="M1801" s="17" t="n">
        <v>0</v>
      </c>
      <c r="N1801" s="17">
        <f>K1801*0.08+L1801*0.08</f>
        <v/>
      </c>
      <c r="O1801" s="17">
        <f>-(K1801*0.025+L1801*0.025)</f>
        <v/>
      </c>
      <c r="P1801" s="17">
        <f>32</f>
        <v/>
      </c>
      <c r="Q1801" s="17">
        <f>J1801+L1801+N1801+O1801-P1801-M1801</f>
        <v/>
      </c>
    </row>
    <row r="1802">
      <c r="A1802" s="16" t="inlineStr">
        <is>
          <t>5.15-5.21</t>
        </is>
      </c>
      <c r="B1802" s="16" t="inlineStr">
        <is>
          <t>PO-128-06983630787193847</t>
        </is>
      </c>
      <c r="C1802" s="16" t="inlineStr">
        <is>
          <t>Delivered</t>
        </is>
      </c>
      <c r="D1802" s="16" t="inlineStr">
        <is>
          <t>128-06983651758713847</t>
        </is>
      </c>
      <c r="E1802" s="16" t="inlineStr">
        <is>
          <t>Delivered</t>
        </is>
      </c>
      <c r="F1802" s="16" t="inlineStr">
        <is>
          <t>LV25W22</t>
        </is>
      </c>
      <c r="G180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02" s="16" t="inlineStr">
        <is>
          <t>LV25W32</t>
        </is>
      </c>
      <c r="I1802" s="16" t="n">
        <v>1</v>
      </c>
      <c r="J1802" s="17" t="n">
        <v>90.43000000000001</v>
      </c>
      <c r="K1802" s="17" t="n">
        <v>100.84</v>
      </c>
      <c r="L1802" s="17" t="n">
        <v>25.86</v>
      </c>
      <c r="M1802" s="17" t="n">
        <v>0</v>
      </c>
      <c r="N1802" s="17">
        <f>K1802*0.08+L1802*0.08</f>
        <v/>
      </c>
      <c r="O1802" s="17">
        <f>-(K1802*0.025+L1802*0.025)</f>
        <v/>
      </c>
      <c r="P1802" s="17">
        <f>32</f>
        <v/>
      </c>
      <c r="Q1802" s="17">
        <f>J1802+L1802+N1802+O1802-P1802-M1802</f>
        <v/>
      </c>
    </row>
    <row r="1803">
      <c r="A1803" s="16" t="inlineStr">
        <is>
          <t>5.15-5.21</t>
        </is>
      </c>
      <c r="B1803" s="16" t="inlineStr">
        <is>
          <t>PO-128-07410613171830276</t>
        </is>
      </c>
      <c r="C1803" s="16" t="inlineStr">
        <is>
          <t>Delivered</t>
        </is>
      </c>
      <c r="D1803" s="16" t="inlineStr">
        <is>
          <t>128-07410602686070276</t>
        </is>
      </c>
      <c r="E1803" s="16" t="inlineStr">
        <is>
          <t>Delivered</t>
        </is>
      </c>
      <c r="F1803" s="16" t="inlineStr">
        <is>
          <t>LB02235-negro</t>
        </is>
      </c>
      <c r="G1803" s="16" t="inlineStr">
        <is>
          <t>Audífonos Inalámbricos para la Cabeza, Recargables y Multifuncionales - Conectan a Varios Dispositivos, soportan Radio FM, Tarjeta TF y AUX - 4 Horas de Reproducción Musical - Ideal para Trabajo Cotidiano, Juegos y Estudio</t>
        </is>
      </c>
      <c r="H1803" s="16" t="inlineStr">
        <is>
          <t>NEGRO</t>
        </is>
      </c>
      <c r="I1803" s="16" t="n">
        <v>1</v>
      </c>
      <c r="J1803" s="17" t="n">
        <v>36.5</v>
      </c>
      <c r="K1803" s="17" t="n">
        <v>42.73</v>
      </c>
      <c r="L1803" s="17" t="n">
        <v>25.86</v>
      </c>
      <c r="M1803" s="17" t="n">
        <v>0</v>
      </c>
      <c r="N1803" s="17">
        <f>K1803*0.08+L1803*0.08</f>
        <v/>
      </c>
      <c r="O1803" s="17">
        <f>-(K1803*0.025+L1803*0.025)</f>
        <v/>
      </c>
      <c r="P1803" s="17">
        <f>32</f>
        <v/>
      </c>
      <c r="Q1803" s="17">
        <f>J1803+L1803+N1803+O1803-P1803-M1803</f>
        <v/>
      </c>
    </row>
    <row r="1804">
      <c r="A1804" s="16" t="inlineStr">
        <is>
          <t>5.15-5.21</t>
        </is>
      </c>
      <c r="B1804" s="16" t="inlineStr">
        <is>
          <t>PO-128-07047220275832442</t>
        </is>
      </c>
      <c r="C1804" s="16" t="inlineStr">
        <is>
          <t>Delivered</t>
        </is>
      </c>
      <c r="D1804" s="16" t="inlineStr">
        <is>
          <t>128-07047241247352442</t>
        </is>
      </c>
      <c r="E1804" s="16" t="inlineStr">
        <is>
          <t>Delivered</t>
        </is>
      </c>
      <c r="F1804" s="16" t="inlineStr">
        <is>
          <t>LV25W22</t>
        </is>
      </c>
      <c r="G18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04" s="16" t="inlineStr">
        <is>
          <t>LV25W32</t>
        </is>
      </c>
      <c r="I1804" s="16" t="n">
        <v>1</v>
      </c>
      <c r="J1804" s="17" t="n">
        <v>90.43000000000001</v>
      </c>
      <c r="K1804" s="17" t="n">
        <v>80.68000000000001</v>
      </c>
      <c r="L1804" s="17" t="n">
        <v>25.86</v>
      </c>
      <c r="M1804" s="17" t="n">
        <v>0</v>
      </c>
      <c r="N1804" s="17">
        <f>K1804*0.08+L1804*0.08</f>
        <v/>
      </c>
      <c r="O1804" s="17">
        <f>-(K1804*0.025+L1804*0.025)</f>
        <v/>
      </c>
      <c r="P1804" s="17">
        <f>32</f>
        <v/>
      </c>
      <c r="Q1804" s="17">
        <f>J1804+L1804+N1804+O1804-P1804-M1804</f>
        <v/>
      </c>
    </row>
    <row r="1805">
      <c r="A1805" s="16" t="inlineStr">
        <is>
          <t>5.15-5.21</t>
        </is>
      </c>
      <c r="B1805" s="16" t="inlineStr">
        <is>
          <t>PO-128-06987165205113888</t>
        </is>
      </c>
      <c r="C1805" s="16" t="inlineStr">
        <is>
          <t>Delivered</t>
        </is>
      </c>
      <c r="D1805" s="16" t="inlineStr">
        <is>
          <t>128-06987123262073888</t>
        </is>
      </c>
      <c r="E1805" s="16" t="inlineStr">
        <is>
          <t>Delivered</t>
        </is>
      </c>
      <c r="F1805" s="16" t="inlineStr">
        <is>
          <t>MB-185R</t>
        </is>
      </c>
      <c r="G1805" s="16" t="inlineStr">
        <is>
          <t>Bocina Radio FM/Reproductor, Compatible con Tarjeta TF, USB, Bluetooth, Aplicable para celular, computadora, Ipad y consola.</t>
        </is>
      </c>
      <c r="H1805" s="16" t="inlineStr">
        <is>
          <t>ROJO/MB-185</t>
        </is>
      </c>
      <c r="I1805" s="16" t="n">
        <v>1</v>
      </c>
      <c r="J1805" s="17" t="n">
        <v>71.31</v>
      </c>
      <c r="K1805" s="17" t="n">
        <v>84.23999999999999</v>
      </c>
      <c r="L1805" s="17" t="n">
        <v>25.86</v>
      </c>
      <c r="M1805" s="17" t="n">
        <v>0</v>
      </c>
      <c r="N1805" s="17">
        <f>K1805*0.08+L1805*0.08</f>
        <v/>
      </c>
      <c r="O1805" s="17">
        <f>-(K1805*0.025+L1805*0.025)</f>
        <v/>
      </c>
      <c r="P1805" s="17">
        <f>32</f>
        <v/>
      </c>
      <c r="Q1805" s="17">
        <f>J1805+L1805+N1805+O1805-P1805-M1805</f>
        <v/>
      </c>
    </row>
    <row r="1806">
      <c r="A1806" s="16" t="inlineStr">
        <is>
          <t>5.15-5.21</t>
        </is>
      </c>
      <c r="B1806" s="16" t="inlineStr">
        <is>
          <t>PO-128-06935491379833300</t>
        </is>
      </c>
      <c r="C1806" s="16" t="inlineStr">
        <is>
          <t>Delivered</t>
        </is>
      </c>
      <c r="D1806" s="16" t="inlineStr">
        <is>
          <t>128-06935449436793300</t>
        </is>
      </c>
      <c r="E1806" s="16" t="inlineStr">
        <is>
          <t>Delivered</t>
        </is>
      </c>
      <c r="F1806" s="16" t="inlineStr">
        <is>
          <t>MB-185N</t>
        </is>
      </c>
      <c r="G1806" s="16" t="inlineStr">
        <is>
          <t>Bocina Radio FM/Reproductor, Compatible con Tarjeta TF, USB, Bluetooth, Aplicable para celular, computadora, Ipad y consola.</t>
        </is>
      </c>
      <c r="H1806" s="16" t="inlineStr">
        <is>
          <t>NEGRO/MB-185</t>
        </is>
      </c>
      <c r="I1806" s="16" t="n">
        <v>1</v>
      </c>
      <c r="J1806" s="17" t="n">
        <v>71.31</v>
      </c>
      <c r="K1806" s="17" t="n">
        <v>84.23999999999999</v>
      </c>
      <c r="L1806" s="17" t="n">
        <v>25.86</v>
      </c>
      <c r="M1806" s="17" t="n">
        <v>0</v>
      </c>
      <c r="N1806" s="17">
        <f>K1806*0.08+L1806*0.08</f>
        <v/>
      </c>
      <c r="O1806" s="17">
        <f>-(K1806*0.025+L1806*0.025)</f>
        <v/>
      </c>
      <c r="P1806" s="17">
        <f>32</f>
        <v/>
      </c>
      <c r="Q1806" s="17">
        <f>J1806+L1806+N1806+O1806-P1806-M1806</f>
        <v/>
      </c>
    </row>
    <row r="1807">
      <c r="A1807" s="16" t="inlineStr">
        <is>
          <t>5.15-5.21</t>
        </is>
      </c>
      <c r="B1807" s="16" t="inlineStr">
        <is>
          <t>PO-128-12875463644791625</t>
        </is>
      </c>
      <c r="C1807" s="16" t="inlineStr">
        <is>
          <t>Delivered</t>
        </is>
      </c>
      <c r="D1807" s="16" t="inlineStr">
        <is>
          <t>128-12875484616311625</t>
        </is>
      </c>
      <c r="E1807" s="16" t="inlineStr">
        <is>
          <t>Delivered</t>
        </is>
      </c>
      <c r="F1807" s="16" t="inlineStr">
        <is>
          <t>LV25W22</t>
        </is>
      </c>
      <c r="G18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07" s="16" t="inlineStr">
        <is>
          <t>LV25W32</t>
        </is>
      </c>
      <c r="I1807" s="16" t="n">
        <v>1</v>
      </c>
      <c r="J1807" s="17" t="n">
        <v>90.43000000000001</v>
      </c>
      <c r="K1807" s="17" t="n">
        <v>100.84</v>
      </c>
      <c r="L1807" s="17" t="n">
        <v>25.86</v>
      </c>
      <c r="M1807" s="17" t="n">
        <v>0</v>
      </c>
      <c r="N1807" s="17">
        <f>K1807*0.08+L1807*0.08</f>
        <v/>
      </c>
      <c r="O1807" s="17">
        <f>-(K1807*0.025+L1807*0.025)</f>
        <v/>
      </c>
      <c r="P1807" s="17">
        <f>32</f>
        <v/>
      </c>
      <c r="Q1807" s="17">
        <f>J1807+L1807+N1807+O1807-P1807-M1807</f>
        <v/>
      </c>
    </row>
    <row r="1808">
      <c r="A1808" s="16" t="inlineStr">
        <is>
          <t>5.15-5.21</t>
        </is>
      </c>
      <c r="B1808" s="16" t="inlineStr">
        <is>
          <t>PO-128-12539972772473686</t>
        </is>
      </c>
      <c r="C1808" s="16" t="inlineStr">
        <is>
          <t>Delivered</t>
        </is>
      </c>
      <c r="D1808" s="16" t="inlineStr">
        <is>
          <t>128-12540040929913686</t>
        </is>
      </c>
      <c r="E1808" s="16" t="inlineStr">
        <is>
          <t>Delivered</t>
        </is>
      </c>
      <c r="F1808" s="16" t="inlineStr">
        <is>
          <t>LV25W22</t>
        </is>
      </c>
      <c r="G180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08" s="16" t="inlineStr">
        <is>
          <t>LV25W32</t>
        </is>
      </c>
      <c r="I1808" s="16" t="n">
        <v>1</v>
      </c>
      <c r="J1808" s="17" t="n">
        <v>90.43000000000001</v>
      </c>
      <c r="K1808" s="17" t="n">
        <v>80.67</v>
      </c>
      <c r="L1808" s="17" t="n">
        <v>25.86</v>
      </c>
      <c r="M1808" s="17" t="n">
        <v>0</v>
      </c>
      <c r="N1808" s="17">
        <f>K1808*0.08+L1808*0.08</f>
        <v/>
      </c>
      <c r="O1808" s="17">
        <f>-(K1808*0.025+L1808*0.025)</f>
        <v/>
      </c>
      <c r="P1808" s="17">
        <f>32</f>
        <v/>
      </c>
      <c r="Q1808" s="17">
        <f>J1808+L1808+N1808+O1808-P1808-M1808</f>
        <v/>
      </c>
    </row>
    <row r="1809">
      <c r="A1809" s="16" t="inlineStr">
        <is>
          <t>5.15-5.21</t>
        </is>
      </c>
      <c r="B1809" s="16" t="inlineStr">
        <is>
          <t>PO-128-13044237445750555</t>
        </is>
      </c>
      <c r="C1809" s="16" t="inlineStr">
        <is>
          <t>Delivered</t>
        </is>
      </c>
      <c r="D1809" s="16" t="inlineStr">
        <is>
          <t>128-13044258417270555</t>
        </is>
      </c>
      <c r="E1809" s="16" t="inlineStr">
        <is>
          <t>Delivered</t>
        </is>
      </c>
      <c r="F1809" s="16" t="inlineStr">
        <is>
          <t>LV64W25</t>
        </is>
      </c>
      <c r="G1809" s="16" t="inlineStr">
        <is>
          <t>Ventilador de Techo LED TIANLAI con 5 Aspas, Control Remoto, 3 Colores Luz, 3 Velocidades, Temporizador, Fácil Instalación, E27 para Baño Cocina Dormitorio Salón</t>
        </is>
      </c>
      <c r="H1809" s="16" t="inlineStr">
        <is>
          <t>LV64W25</t>
        </is>
      </c>
      <c r="I1809" s="16" t="n">
        <v>1</v>
      </c>
      <c r="J1809" s="17" t="n">
        <v>120</v>
      </c>
      <c r="K1809" s="17" t="n">
        <v>163.11</v>
      </c>
      <c r="L1809" s="17" t="n">
        <v>25.86</v>
      </c>
      <c r="M1809" s="17" t="n">
        <v>0</v>
      </c>
      <c r="N1809" s="17">
        <f>K1809*0.08+L1809*0.08</f>
        <v/>
      </c>
      <c r="O1809" s="17">
        <f>-(K1809*0.025+L1809*0.025)</f>
        <v/>
      </c>
      <c r="P1809" s="17">
        <f>32</f>
        <v/>
      </c>
      <c r="Q1809" s="17">
        <f>J1809+L1809+N1809+O1809-P1809-M1809</f>
        <v/>
      </c>
    </row>
    <row r="1810">
      <c r="A1810" s="16" t="inlineStr">
        <is>
          <t>5.15-5.21</t>
        </is>
      </c>
      <c r="B1810" s="16" t="inlineStr">
        <is>
          <t>PO-128-13017285130870651</t>
        </is>
      </c>
      <c r="C1810" s="16" t="inlineStr">
        <is>
          <t>Delivered</t>
        </is>
      </c>
      <c r="D1810" s="16" t="inlineStr">
        <is>
          <t>128-13017421445750651</t>
        </is>
      </c>
      <c r="E1810" s="16" t="inlineStr">
        <is>
          <t>Delivered</t>
        </is>
      </c>
      <c r="F1810" s="16" t="inlineStr">
        <is>
          <t>LB02235-blanco</t>
        </is>
      </c>
      <c r="G1810" s="16" t="inlineStr">
        <is>
          <t>Audífonos Inalámbricos para la Cabeza, Recargables y Multifuncionales - Conectan a Varios Dispositivos, soportan Radio FM, Tarjeta TF y AUX - 4 Horas de Reproducción Musical - Ideal para Trabajo Cotidiano, Juegos y Estudio</t>
        </is>
      </c>
      <c r="H1810" s="16" t="inlineStr">
        <is>
          <t>BLANCO</t>
        </is>
      </c>
      <c r="I1810" s="16" t="n">
        <v>1</v>
      </c>
      <c r="J1810" s="17" t="n">
        <v>36.5</v>
      </c>
      <c r="K1810" s="17" t="n">
        <v>49.61</v>
      </c>
      <c r="L1810" s="17" t="n">
        <v>25.86</v>
      </c>
      <c r="M1810" s="17" t="n">
        <v>0</v>
      </c>
      <c r="N1810" s="17">
        <f>K1810*0.08+L1810*0.08</f>
        <v/>
      </c>
      <c r="O1810" s="17">
        <f>-(K1810*0.025+L1810*0.025)</f>
        <v/>
      </c>
      <c r="P1810" s="17">
        <f>32</f>
        <v/>
      </c>
      <c r="Q1810" s="17">
        <f>J1810+L1810+N1810+O1810-P1810-M1810</f>
        <v/>
      </c>
    </row>
    <row r="1811">
      <c r="A1811" s="16" t="inlineStr">
        <is>
          <t>5.15-5.21</t>
        </is>
      </c>
      <c r="B1811" s="16" t="inlineStr">
        <is>
          <t>PO-128-12380087235193489</t>
        </is>
      </c>
      <c r="C1811" s="16" t="inlineStr">
        <is>
          <t>Delivered</t>
        </is>
      </c>
      <c r="D1811" s="16" t="inlineStr">
        <is>
          <t>128-12380097720953489</t>
        </is>
      </c>
      <c r="E1811" s="16" t="inlineStr">
        <is>
          <t>Delivered</t>
        </is>
      </c>
      <c r="F1811" s="16" t="inlineStr">
        <is>
          <t>LV25W22</t>
        </is>
      </c>
      <c r="G18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1" s="16" t="inlineStr">
        <is>
          <t>LV25W32</t>
        </is>
      </c>
      <c r="I1811" s="16" t="n">
        <v>2</v>
      </c>
      <c r="J1811" s="17" t="n">
        <v>180.86</v>
      </c>
      <c r="K1811" s="17" t="n">
        <v>201.68</v>
      </c>
      <c r="L1811" s="17" t="n">
        <v>25.86</v>
      </c>
      <c r="M1811" s="17" t="n">
        <v>0</v>
      </c>
      <c r="N1811" s="17">
        <f>K1811*0.08+L1811*0.08</f>
        <v/>
      </c>
      <c r="O1811" s="17">
        <f>-(K1811*0.025+L1811*0.025)</f>
        <v/>
      </c>
      <c r="P1811" s="17">
        <f>32</f>
        <v/>
      </c>
      <c r="Q1811" s="17">
        <f>J1811+L1811+N1811+O1811-P1811-M1811</f>
        <v/>
      </c>
    </row>
    <row r="1812">
      <c r="A1812" s="16" t="inlineStr">
        <is>
          <t>5.15-5.21</t>
        </is>
      </c>
      <c r="B1812" s="16" t="inlineStr">
        <is>
          <t>PO-128-12711130773112666</t>
        </is>
      </c>
      <c r="C1812" s="16" t="inlineStr">
        <is>
          <t>Delivered</t>
        </is>
      </c>
      <c r="D1812" s="16" t="inlineStr">
        <is>
          <t>128-12711235630712666</t>
        </is>
      </c>
      <c r="E1812" s="16" t="inlineStr">
        <is>
          <t>Delivered</t>
        </is>
      </c>
      <c r="F1812" s="16" t="inlineStr">
        <is>
          <t>LV25W22</t>
        </is>
      </c>
      <c r="G18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2" s="16" t="inlineStr">
        <is>
          <t>LV25W32</t>
        </is>
      </c>
      <c r="I1812" s="16" t="n">
        <v>1</v>
      </c>
      <c r="J1812" s="17" t="n">
        <v>90.43000000000001</v>
      </c>
      <c r="K1812" s="17" t="n">
        <v>100.84</v>
      </c>
      <c r="L1812" s="17" t="n">
        <v>25.86</v>
      </c>
      <c r="M1812" s="17" t="n">
        <v>0</v>
      </c>
      <c r="N1812" s="17">
        <f>K1812*0.08+L1812*0.08</f>
        <v/>
      </c>
      <c r="O1812" s="17">
        <f>-(K1812*0.025+L1812*0.025)</f>
        <v/>
      </c>
      <c r="P1812" s="17">
        <f>32</f>
        <v/>
      </c>
      <c r="Q1812" s="17">
        <f>J1812+L1812+N1812+O1812-P1812-M1812</f>
        <v/>
      </c>
    </row>
    <row r="1813">
      <c r="A1813" s="16" t="inlineStr">
        <is>
          <t>5.15-5.21</t>
        </is>
      </c>
      <c r="B1813" s="16" t="inlineStr">
        <is>
          <t>PO-128-12462432794234023</t>
        </is>
      </c>
      <c r="C1813" s="16" t="inlineStr">
        <is>
          <t>Delivered</t>
        </is>
      </c>
      <c r="D1813" s="16" t="inlineStr">
        <is>
          <t>128-12462449833594023</t>
        </is>
      </c>
      <c r="E1813" s="16" t="inlineStr">
        <is>
          <t>Delivered</t>
        </is>
      </c>
      <c r="F1813" s="16" t="inlineStr">
        <is>
          <t>LV25W22</t>
        </is>
      </c>
      <c r="G18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3" s="16" t="inlineStr">
        <is>
          <t>LV25W32</t>
        </is>
      </c>
      <c r="I1813" s="16" t="n">
        <v>1</v>
      </c>
      <c r="J1813" s="17" t="n">
        <v>90.43000000000001</v>
      </c>
      <c r="K1813" s="17" t="n">
        <v>80.68000000000001</v>
      </c>
      <c r="L1813" s="17" t="n">
        <v>25.86</v>
      </c>
      <c r="M1813" s="17" t="n">
        <v>0</v>
      </c>
      <c r="N1813" s="17">
        <f>K1813*0.08+L1813*0.08</f>
        <v/>
      </c>
      <c r="O1813" s="17">
        <f>-(K1813*0.025+L1813*0.025)</f>
        <v/>
      </c>
      <c r="P1813" s="17">
        <f>32</f>
        <v/>
      </c>
      <c r="Q1813" s="17">
        <f>J1813+L1813+N1813+O1813-P1813-M1813</f>
        <v/>
      </c>
    </row>
    <row r="1814">
      <c r="A1814" s="16" t="inlineStr">
        <is>
          <t>5.15-5.21</t>
        </is>
      </c>
      <c r="B1814" s="16" t="inlineStr">
        <is>
          <t>PO-128-12629935703672958</t>
        </is>
      </c>
      <c r="C1814" s="16" t="inlineStr">
        <is>
          <t>Delivered</t>
        </is>
      </c>
      <c r="D1814" s="16" t="inlineStr">
        <is>
          <t>128-12629899003512958</t>
        </is>
      </c>
      <c r="E1814" s="16" t="inlineStr">
        <is>
          <t>Delivered</t>
        </is>
      </c>
      <c r="F1814" s="16" t="inlineStr">
        <is>
          <t>LV25W22</t>
        </is>
      </c>
      <c r="G181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4" s="16" t="inlineStr">
        <is>
          <t>LV25W32</t>
        </is>
      </c>
      <c r="I1814" s="16" t="n">
        <v>3</v>
      </c>
      <c r="J1814" s="17" t="n">
        <v>271.29</v>
      </c>
      <c r="K1814" s="17" t="n">
        <v>302.52</v>
      </c>
      <c r="L1814" s="17" t="n">
        <v>0</v>
      </c>
      <c r="M1814" s="17" t="n">
        <v>0</v>
      </c>
      <c r="N1814" s="17">
        <f>K1814*0.08+L1814*0.08</f>
        <v/>
      </c>
      <c r="O1814" s="17">
        <f>-(K1814*0.025+L1814*0.025)</f>
        <v/>
      </c>
      <c r="P1814" s="17">
        <f>32</f>
        <v/>
      </c>
      <c r="Q1814" s="17">
        <f>J1814+L1814+N1814+O1814-P1814-M1814</f>
        <v/>
      </c>
    </row>
    <row r="1815">
      <c r="A1815" s="16" t="inlineStr">
        <is>
          <t>5.15-5.21</t>
        </is>
      </c>
      <c r="B1815" s="16" t="inlineStr">
        <is>
          <t>PO-128-13056247342710611</t>
        </is>
      </c>
      <c r="C1815" s="16" t="inlineStr">
        <is>
          <t>Delivered</t>
        </is>
      </c>
      <c r="D1815" s="16" t="inlineStr">
        <is>
          <t>128-13056273557110611</t>
        </is>
      </c>
      <c r="E1815" s="16" t="inlineStr">
        <is>
          <t>Delivered</t>
        </is>
      </c>
      <c r="F1815" s="16" t="inlineStr">
        <is>
          <t>LV25W22</t>
        </is>
      </c>
      <c r="G18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5" s="16" t="inlineStr">
        <is>
          <t>LV25W32</t>
        </is>
      </c>
      <c r="I1815" s="16" t="n">
        <v>1</v>
      </c>
      <c r="J1815" s="17" t="n">
        <v>90.43000000000001</v>
      </c>
      <c r="K1815" s="17" t="n">
        <v>100.84</v>
      </c>
      <c r="L1815" s="17" t="n">
        <v>25.86</v>
      </c>
      <c r="M1815" s="17" t="n">
        <v>0</v>
      </c>
      <c r="N1815" s="17">
        <f>K1815*0.08+L1815*0.08</f>
        <v/>
      </c>
      <c r="O1815" s="17">
        <f>-(K1815*0.025+L1815*0.025)</f>
        <v/>
      </c>
      <c r="P1815" s="17">
        <f>32</f>
        <v/>
      </c>
      <c r="Q1815" s="17">
        <f>J1815+L1815+N1815+O1815-P1815-M1815</f>
        <v/>
      </c>
    </row>
    <row r="1816">
      <c r="A1816" s="16" t="inlineStr">
        <is>
          <t>5.15-5.21</t>
        </is>
      </c>
      <c r="B1816" s="16" t="inlineStr">
        <is>
          <t>PO-128-12834556713591869</t>
        </is>
      </c>
      <c r="C1816" s="16" t="inlineStr">
        <is>
          <t>Delivered</t>
        </is>
      </c>
      <c r="D1816" s="16" t="inlineStr">
        <is>
          <t>128-12834514770551869</t>
        </is>
      </c>
      <c r="E1816" s="16" t="inlineStr">
        <is>
          <t>Delivered</t>
        </is>
      </c>
      <c r="F1816" s="16" t="inlineStr">
        <is>
          <t>T5050RGB07</t>
        </is>
      </c>
      <c r="G1816"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1816" s="16" t="inlineStr">
        <is>
          <t>T5050RGB07</t>
        </is>
      </c>
      <c r="I1816" s="16" t="n">
        <v>1</v>
      </c>
      <c r="J1816" s="17" t="n">
        <v>50</v>
      </c>
      <c r="K1816" s="17" t="n">
        <v>67.34999999999999</v>
      </c>
      <c r="L1816" s="17" t="n">
        <v>25.86</v>
      </c>
      <c r="M1816" s="17" t="n">
        <v>0</v>
      </c>
      <c r="N1816" s="17">
        <f>K1816*0.08+L1816*0.08</f>
        <v/>
      </c>
      <c r="O1816" s="17">
        <f>-(K1816*0.025+L1816*0.025)</f>
        <v/>
      </c>
      <c r="P1816" s="17">
        <f>32</f>
        <v/>
      </c>
      <c r="Q1816" s="17">
        <f>J1816+L1816+N1816+O1816-P1816-M1816</f>
        <v/>
      </c>
    </row>
    <row r="1817">
      <c r="A1817" s="16" t="inlineStr">
        <is>
          <t>5.15-5.21</t>
        </is>
      </c>
      <c r="B1817" s="16" t="inlineStr">
        <is>
          <t>PO-128-12758055752311173</t>
        </is>
      </c>
      <c r="C1817" s="16" t="inlineStr">
        <is>
          <t>Delivered</t>
        </is>
      </c>
      <c r="D1817" s="16" t="inlineStr">
        <is>
          <t>128-12758013809271173</t>
        </is>
      </c>
      <c r="E1817" s="16" t="inlineStr">
        <is>
          <t>Delivered</t>
        </is>
      </c>
      <c r="F1817" s="16" t="inlineStr">
        <is>
          <t>LV25W22</t>
        </is>
      </c>
      <c r="G18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7" s="16" t="inlineStr">
        <is>
          <t>LV25W32</t>
        </is>
      </c>
      <c r="I1817" s="16" t="n">
        <v>1</v>
      </c>
      <c r="J1817" s="17" t="n">
        <v>90.43000000000001</v>
      </c>
      <c r="K1817" s="17" t="n">
        <v>40.5</v>
      </c>
      <c r="L1817" s="17" t="n">
        <v>25.86</v>
      </c>
      <c r="M1817" s="17" t="n">
        <v>0</v>
      </c>
      <c r="N1817" s="17">
        <f>K1817*0.08+L1817*0.08</f>
        <v/>
      </c>
      <c r="O1817" s="17">
        <f>-(K1817*0.025+L1817*0.025)</f>
        <v/>
      </c>
      <c r="P1817" s="17">
        <f>32</f>
        <v/>
      </c>
      <c r="Q1817" s="17">
        <f>J1817+L1817+N1817+O1817-P1817-M1817</f>
        <v/>
      </c>
    </row>
    <row r="1818">
      <c r="A1818" s="16" t="inlineStr">
        <is>
          <t>5.15-5.21</t>
        </is>
      </c>
      <c r="B1818" s="16" t="inlineStr">
        <is>
          <t>PO-128-12704846910072640</t>
        </is>
      </c>
      <c r="C1818" s="16" t="inlineStr">
        <is>
          <t>Delivered</t>
        </is>
      </c>
      <c r="D1818" s="16" t="inlineStr">
        <is>
          <t>128-12704873124472640</t>
        </is>
      </c>
      <c r="E1818" s="16" t="inlineStr">
        <is>
          <t>Delivered</t>
        </is>
      </c>
      <c r="F1818" s="16" t="inlineStr">
        <is>
          <t>LV25W22</t>
        </is>
      </c>
      <c r="G18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8" s="16" t="inlineStr">
        <is>
          <t>LV25W32</t>
        </is>
      </c>
      <c r="I1818" s="16" t="n">
        <v>1</v>
      </c>
      <c r="J1818" s="17" t="n">
        <v>90.43000000000001</v>
      </c>
      <c r="K1818" s="17" t="n">
        <v>100.84</v>
      </c>
      <c r="L1818" s="17" t="n">
        <v>25.86</v>
      </c>
      <c r="M1818" s="17" t="n">
        <v>0</v>
      </c>
      <c r="N1818" s="17">
        <f>K1818*0.08+L1818*0.08</f>
        <v/>
      </c>
      <c r="O1818" s="17">
        <f>-(K1818*0.025+L1818*0.025)</f>
        <v/>
      </c>
      <c r="P1818" s="17">
        <f>32</f>
        <v/>
      </c>
      <c r="Q1818" s="17">
        <f>J1818+L1818+N1818+O1818-P1818-M1818</f>
        <v/>
      </c>
    </row>
    <row r="1819">
      <c r="A1819" s="16" t="inlineStr">
        <is>
          <t>5.15-5.21</t>
        </is>
      </c>
      <c r="B1819" s="16" t="inlineStr">
        <is>
          <t>PO-128-12747162860151365</t>
        </is>
      </c>
      <c r="C1819" s="16" t="inlineStr">
        <is>
          <t>Delivered</t>
        </is>
      </c>
      <c r="D1819" s="16" t="inlineStr">
        <is>
          <t>128-12747179899511365</t>
        </is>
      </c>
      <c r="E1819" s="16" t="inlineStr">
        <is>
          <t>Delivered</t>
        </is>
      </c>
      <c r="F1819" s="16" t="inlineStr">
        <is>
          <t>LV25W22</t>
        </is>
      </c>
      <c r="G18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19" s="16" t="inlineStr">
        <is>
          <t>LV25W32</t>
        </is>
      </c>
      <c r="I1819" s="16" t="n">
        <v>1</v>
      </c>
      <c r="J1819" s="17" t="n">
        <v>90.43000000000001</v>
      </c>
      <c r="K1819" s="17" t="n">
        <v>72.61</v>
      </c>
      <c r="L1819" s="17" t="n">
        <v>25.86</v>
      </c>
      <c r="M1819" s="17" t="n">
        <v>0</v>
      </c>
      <c r="N1819" s="17">
        <f>K1819*0.08+L1819*0.08</f>
        <v/>
      </c>
      <c r="O1819" s="17">
        <f>-(K1819*0.025+L1819*0.025)</f>
        <v/>
      </c>
      <c r="P1819" s="17">
        <f>32</f>
        <v/>
      </c>
      <c r="Q1819" s="17">
        <f>J1819+L1819+N1819+O1819-P1819-M1819</f>
        <v/>
      </c>
    </row>
    <row r="1820">
      <c r="A1820" s="16" t="inlineStr">
        <is>
          <t>5.15-5.21</t>
        </is>
      </c>
      <c r="B1820" s="16" t="inlineStr">
        <is>
          <t>PO-128-13018662759030643</t>
        </is>
      </c>
      <c r="C1820" s="16" t="inlineStr">
        <is>
          <t>Delivered</t>
        </is>
      </c>
      <c r="D1820" s="16" t="inlineStr">
        <is>
          <t>128-13018704702070643</t>
        </is>
      </c>
      <c r="E1820" s="16" t="inlineStr">
        <is>
          <t>Delivered</t>
        </is>
      </c>
      <c r="F1820" s="16" t="inlineStr">
        <is>
          <t>LV25W22</t>
        </is>
      </c>
      <c r="G182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20" s="16" t="inlineStr">
        <is>
          <t>LV25W32</t>
        </is>
      </c>
      <c r="I1820" s="16" t="n">
        <v>3</v>
      </c>
      <c r="J1820" s="17" t="n">
        <v>271.29</v>
      </c>
      <c r="K1820" s="17" t="n">
        <v>219.75</v>
      </c>
      <c r="L1820" s="17" t="n">
        <v>0</v>
      </c>
      <c r="M1820" s="17" t="n">
        <v>0</v>
      </c>
      <c r="N1820" s="17">
        <f>K1820*0.08+L1820*0.08</f>
        <v/>
      </c>
      <c r="O1820" s="17">
        <f>-(K1820*0.025+L1820*0.025)</f>
        <v/>
      </c>
      <c r="P1820" s="17">
        <f>32</f>
        <v/>
      </c>
      <c r="Q1820" s="17">
        <f>J1820+L1820+N1820+O1820-P1820-M1820</f>
        <v/>
      </c>
    </row>
    <row r="1821">
      <c r="A1821" s="16" t="inlineStr">
        <is>
          <t>5.15-5.21</t>
        </is>
      </c>
      <c r="B1821" s="16" t="inlineStr">
        <is>
          <t>PO-128-12605587333752273</t>
        </is>
      </c>
      <c r="C1821" s="16" t="inlineStr">
        <is>
          <t>Delivered</t>
        </is>
      </c>
      <c r="D1821" s="16" t="inlineStr">
        <is>
          <t>128-12605608305272273</t>
        </is>
      </c>
      <c r="E1821" s="16" t="inlineStr">
        <is>
          <t>Delivered</t>
        </is>
      </c>
      <c r="F1821" s="16" t="inlineStr">
        <is>
          <t>KTS-1678V</t>
        </is>
      </c>
      <c r="G1821" s="16" t="inlineStr">
        <is>
          <t>Bocina portátil Inalámbrico, de 3 pulgadas, tamaño de bolsillo, 170 g, con asa, compatible con TF, USB y Micro SD, con radio FM y función TWS (True Wireless Stereo), adecuada para relajarse en casa o viajar al aire libre.</t>
        </is>
      </c>
      <c r="H1821" s="16" t="inlineStr">
        <is>
          <t>KTS-1678V</t>
        </is>
      </c>
      <c r="I1821" s="16" t="n">
        <v>2</v>
      </c>
      <c r="J1821" s="17" t="n">
        <v>80</v>
      </c>
      <c r="K1821" s="17" t="n">
        <v>96.56</v>
      </c>
      <c r="L1821" s="17" t="n">
        <v>25.86</v>
      </c>
      <c r="M1821" s="17" t="n">
        <v>0</v>
      </c>
      <c r="N1821" s="17">
        <f>K1821*0.08+L1821*0.08</f>
        <v/>
      </c>
      <c r="O1821" s="17">
        <f>-(K1821*0.025+L1821*0.025)</f>
        <v/>
      </c>
      <c r="P1821" s="17">
        <f>32</f>
        <v/>
      </c>
      <c r="Q1821" s="17">
        <f>J1821+L1821+N1821+O1821-P1821-M1821</f>
        <v/>
      </c>
    </row>
    <row r="1822">
      <c r="A1822" s="16" t="inlineStr">
        <is>
          <t>5.15-5.21</t>
        </is>
      </c>
      <c r="B1822" s="16" t="inlineStr">
        <is>
          <t>PO-128-12728237041271476</t>
        </is>
      </c>
      <c r="C1822" s="16" t="inlineStr">
        <is>
          <t>Delivered</t>
        </is>
      </c>
      <c r="D1822" s="16" t="inlineStr">
        <is>
          <t>128-12728341898871476</t>
        </is>
      </c>
      <c r="E1822" s="16" t="inlineStr">
        <is>
          <t>Delivered</t>
        </is>
      </c>
      <c r="F1822" s="16" t="inlineStr">
        <is>
          <t>LB02235-azul</t>
        </is>
      </c>
      <c r="G1822" s="16" t="inlineStr">
        <is>
          <t>Audífonos Inalámbricos para la Cabeza, Recargables y Multifuncionales - Conectan a Varios Dispositivos, soportan Radio FM, Tarjeta TF y AUX - 4 Horas de Reproducción Musical - Ideal para Trabajo Cotidiano, Juegos y Estudio</t>
        </is>
      </c>
      <c r="H1822" s="16" t="inlineStr">
        <is>
          <t>AZUL</t>
        </is>
      </c>
      <c r="I1822" s="16" t="n">
        <v>1</v>
      </c>
      <c r="J1822" s="17" t="n">
        <v>35</v>
      </c>
      <c r="K1822" s="17" t="n">
        <v>48.11</v>
      </c>
      <c r="L1822" s="17" t="n">
        <v>25.86</v>
      </c>
      <c r="M1822" s="17" t="n">
        <v>0</v>
      </c>
      <c r="N1822" s="17">
        <f>K1822*0.08+L1822*0.08</f>
        <v/>
      </c>
      <c r="O1822" s="17">
        <f>-(K1822*0.025+L1822*0.025)</f>
        <v/>
      </c>
      <c r="P1822" s="17">
        <f>32</f>
        <v/>
      </c>
      <c r="Q1822" s="17">
        <f>J1822+L1822+N1822+O1822-P1822-M1822</f>
        <v/>
      </c>
    </row>
    <row r="1823">
      <c r="A1823" s="16" t="inlineStr">
        <is>
          <t>5.15-5.21</t>
        </is>
      </c>
      <c r="B1823" s="16" t="inlineStr">
        <is>
          <t>PO-128-12844015811191682</t>
        </is>
      </c>
      <c r="C1823" s="16" t="inlineStr">
        <is>
          <t>Delivered</t>
        </is>
      </c>
      <c r="D1823" s="16" t="inlineStr">
        <is>
          <t>128-12844083968631682</t>
        </is>
      </c>
      <c r="E1823" s="16" t="inlineStr">
        <is>
          <t>Delivered</t>
        </is>
      </c>
      <c r="F1823" s="16" t="inlineStr">
        <is>
          <t>LV25W22</t>
        </is>
      </c>
      <c r="G182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23" s="16" t="inlineStr">
        <is>
          <t>LV25W32</t>
        </is>
      </c>
      <c r="I1823" s="16" t="n">
        <v>1</v>
      </c>
      <c r="J1823" s="17" t="n">
        <v>90.43000000000001</v>
      </c>
      <c r="K1823" s="17" t="n">
        <v>100.84</v>
      </c>
      <c r="L1823" s="17" t="n">
        <v>25.86</v>
      </c>
      <c r="M1823" s="17" t="n">
        <v>0</v>
      </c>
      <c r="N1823" s="17">
        <f>K1823*0.08+L1823*0.08</f>
        <v/>
      </c>
      <c r="O1823" s="17">
        <f>-(K1823*0.025+L1823*0.025)</f>
        <v/>
      </c>
      <c r="P1823" s="17">
        <f>32</f>
        <v/>
      </c>
      <c r="Q1823" s="17">
        <f>J1823+L1823+N1823+O1823-P1823-M1823</f>
        <v/>
      </c>
    </row>
    <row r="1824">
      <c r="A1824" s="16" t="inlineStr">
        <is>
          <t>5.15-5.21</t>
        </is>
      </c>
      <c r="B1824" s="16" t="inlineStr">
        <is>
          <t>PO-128-12559638436472547</t>
        </is>
      </c>
      <c r="C1824" s="16" t="inlineStr">
        <is>
          <t>Delivered</t>
        </is>
      </c>
      <c r="D1824" s="16" t="inlineStr">
        <is>
          <t>128-12559680379512547</t>
        </is>
      </c>
      <c r="E1824" s="16" t="inlineStr">
        <is>
          <t>Delivered</t>
        </is>
      </c>
      <c r="F1824" s="16" t="inlineStr">
        <is>
          <t>LV25W22</t>
        </is>
      </c>
      <c r="G18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24" s="16" t="inlineStr">
        <is>
          <t>LV25W32</t>
        </is>
      </c>
      <c r="I1824" s="16" t="n">
        <v>2</v>
      </c>
      <c r="J1824" s="17" t="n">
        <v>180.86</v>
      </c>
      <c r="K1824" s="17" t="n">
        <v>201.68</v>
      </c>
      <c r="L1824" s="17" t="n">
        <v>25.86</v>
      </c>
      <c r="M1824" s="17" t="n">
        <v>0</v>
      </c>
      <c r="N1824" s="17">
        <f>K1824*0.08+L1824*0.08</f>
        <v/>
      </c>
      <c r="O1824" s="17">
        <f>-(K1824*0.025+L1824*0.025)</f>
        <v/>
      </c>
      <c r="P1824" s="17">
        <f>32</f>
        <v/>
      </c>
      <c r="Q1824" s="17">
        <f>J1824+L1824+N1824+O1824-P1824-M1824</f>
        <v/>
      </c>
    </row>
    <row r="1825">
      <c r="A1825" s="16" t="inlineStr">
        <is>
          <t>5.15-5.21</t>
        </is>
      </c>
      <c r="B1825" s="16" t="inlineStr">
        <is>
          <t>PO-128-12527085138553637</t>
        </is>
      </c>
      <c r="C1825" s="16" t="inlineStr">
        <is>
          <t>Delivered</t>
        </is>
      </c>
      <c r="D1825" s="16" t="inlineStr">
        <is>
          <t>128-12527106110073637</t>
        </is>
      </c>
      <c r="E1825" s="16" t="inlineStr">
        <is>
          <t>Delivered</t>
        </is>
      </c>
      <c r="F1825" s="16" t="inlineStr">
        <is>
          <t>LV25W22</t>
        </is>
      </c>
      <c r="G18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25" s="16" t="inlineStr">
        <is>
          <t>LV25W32</t>
        </is>
      </c>
      <c r="I1825" s="16" t="n">
        <v>2</v>
      </c>
      <c r="J1825" s="17" t="n">
        <v>180.86</v>
      </c>
      <c r="K1825" s="17" t="n">
        <v>178.18</v>
      </c>
      <c r="L1825" s="17" t="n">
        <v>25.86</v>
      </c>
      <c r="M1825" s="17" t="n">
        <v>0</v>
      </c>
      <c r="N1825" s="17">
        <f>K1825*0.08+L1825*0.08</f>
        <v/>
      </c>
      <c r="O1825" s="17">
        <f>-(K1825*0.025+L1825*0.025)</f>
        <v/>
      </c>
      <c r="P1825" s="17">
        <f>32</f>
        <v/>
      </c>
      <c r="Q1825" s="17">
        <f>J1825+L1825+N1825+O1825-P1825-M1825</f>
        <v/>
      </c>
    </row>
    <row r="1826">
      <c r="A1826" s="16" t="inlineStr">
        <is>
          <t>5.15-5.21</t>
        </is>
      </c>
      <c r="B1826" s="16" t="inlineStr">
        <is>
          <t>PO-128-12578122250872373</t>
        </is>
      </c>
      <c r="C1826" s="16" t="inlineStr">
        <is>
          <t>Delivered</t>
        </is>
      </c>
      <c r="D1826" s="16" t="inlineStr">
        <is>
          <t>128-12578164193912373</t>
        </is>
      </c>
      <c r="E1826" s="16" t="inlineStr">
        <is>
          <t>Delivered</t>
        </is>
      </c>
      <c r="F1826" s="16" t="inlineStr">
        <is>
          <t>SA323T</t>
        </is>
      </c>
      <c r="G1826" s="16" t="inlineStr">
        <is>
          <t>Linkbits Bocina Portátil Parlantes BT Portátiles con Iluminación de Ambiente | 1 Hora de Duración, FM, TWS, TF/Micro SD | Ideal para Hogar, Fiestas y Viajes</t>
        </is>
      </c>
      <c r="H1826" s="16" t="inlineStr">
        <is>
          <t>SA323T</t>
        </is>
      </c>
      <c r="I1826" s="16" t="n">
        <v>1</v>
      </c>
      <c r="J1826" s="17" t="n">
        <v>37.71</v>
      </c>
      <c r="K1826" s="17" t="n">
        <v>3.65</v>
      </c>
      <c r="L1826" s="17" t="n">
        <v>25.86</v>
      </c>
      <c r="M1826" s="17" t="n">
        <v>0</v>
      </c>
      <c r="N1826" s="17">
        <f>K1826*0.08+L1826*0.08</f>
        <v/>
      </c>
      <c r="O1826" s="17">
        <f>-(K1826*0.025+L1826*0.025)</f>
        <v/>
      </c>
      <c r="P1826" s="17">
        <f>32</f>
        <v/>
      </c>
      <c r="Q1826" s="17">
        <f>J1826+L1826+N1826+O1826-P1826-M1826</f>
        <v/>
      </c>
    </row>
    <row r="1827">
      <c r="A1827" s="16" t="inlineStr">
        <is>
          <t>5.15-5.21</t>
        </is>
      </c>
      <c r="B1827" s="16" t="inlineStr">
        <is>
          <t>PO-128-12967469322870114</t>
        </is>
      </c>
      <c r="C1827" s="16" t="inlineStr">
        <is>
          <t>Delivered</t>
        </is>
      </c>
      <c r="D1827" s="16" t="inlineStr">
        <is>
          <t>128-12967486362230114</t>
        </is>
      </c>
      <c r="E1827" s="16" t="inlineStr">
        <is>
          <t>Delivered</t>
        </is>
      </c>
      <c r="F1827" s="16" t="inlineStr">
        <is>
          <t>MB-178-N</t>
        </is>
      </c>
      <c r="G1827" s="16" t="inlineStr">
        <is>
          <t>Bocina de Barra Bluetooth LINK BITS con dos altavoces, sonido de alta calidad y multifuncional (Bluetooth, Radio FM, USB, TF, AUX, TWS), ideal para juegos, reuniones, oficina y cine en casa.</t>
        </is>
      </c>
      <c r="H1827" s="16" t="inlineStr">
        <is>
          <t>NEGRO</t>
        </is>
      </c>
      <c r="I1827" s="16" t="n">
        <v>1</v>
      </c>
      <c r="J1827" s="17" t="n">
        <v>120</v>
      </c>
      <c r="K1827" s="17" t="n">
        <v>139.33</v>
      </c>
      <c r="L1827" s="17" t="n">
        <v>25.86</v>
      </c>
      <c r="M1827" s="17" t="n">
        <v>0</v>
      </c>
      <c r="N1827" s="17">
        <f>K1827*0.08+L1827*0.08</f>
        <v/>
      </c>
      <c r="O1827" s="17">
        <f>-(K1827*0.025+L1827*0.025)</f>
        <v/>
      </c>
      <c r="P1827" s="17">
        <f>32</f>
        <v/>
      </c>
      <c r="Q1827" s="17">
        <f>J1827+L1827+N1827+O1827-P1827-M1827</f>
        <v/>
      </c>
    </row>
    <row r="1828">
      <c r="A1828" s="16" t="inlineStr">
        <is>
          <t>5.15-5.21</t>
        </is>
      </c>
      <c r="B1828" s="16" t="inlineStr">
        <is>
          <t>PO-128-12982925435510982</t>
        </is>
      </c>
      <c r="C1828" s="16" t="inlineStr">
        <is>
          <t>Delivered</t>
        </is>
      </c>
      <c r="D1828" s="16" t="inlineStr">
        <is>
          <t>128-12982949028470982</t>
        </is>
      </c>
      <c r="E1828" s="16" t="inlineStr">
        <is>
          <t>Delivered</t>
        </is>
      </c>
      <c r="F1828" s="16" t="inlineStr">
        <is>
          <t>VB347T</t>
        </is>
      </c>
      <c r="G182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828" s="16" t="inlineStr">
        <is>
          <t>1 pieza</t>
        </is>
      </c>
      <c r="I1828" s="16" t="n">
        <v>1</v>
      </c>
      <c r="J1828" s="17" t="n">
        <v>77.90000000000001</v>
      </c>
      <c r="K1828" s="17" t="n">
        <v>92.5</v>
      </c>
      <c r="L1828" s="17" t="n">
        <v>25.86</v>
      </c>
      <c r="M1828" s="17" t="n">
        <v>0</v>
      </c>
      <c r="N1828" s="17">
        <f>K1828*0.08+L1828*0.08</f>
        <v/>
      </c>
      <c r="O1828" s="17">
        <f>-(K1828*0.025+L1828*0.025)</f>
        <v/>
      </c>
      <c r="P1828" s="17">
        <f>32</f>
        <v/>
      </c>
      <c r="Q1828" s="17">
        <f>J1828+L1828+N1828+O1828-P1828-M1828</f>
        <v/>
      </c>
    </row>
    <row r="1829">
      <c r="A1829" s="16" t="inlineStr">
        <is>
          <t>5.15-5.21</t>
        </is>
      </c>
      <c r="B1829" s="16" t="inlineStr">
        <is>
          <t>PO-128-13045647217270544</t>
        </is>
      </c>
      <c r="C1829" s="16" t="inlineStr">
        <is>
          <t>Delivered</t>
        </is>
      </c>
      <c r="D1829" s="16" t="inlineStr">
        <is>
          <t>128-13045657703030544</t>
        </is>
      </c>
      <c r="E1829" s="16" t="inlineStr">
        <is>
          <t>Delivered</t>
        </is>
      </c>
      <c r="F1829" s="16" t="inlineStr">
        <is>
          <t>FA028</t>
        </is>
      </c>
      <c r="G1829" s="16" t="inlineStr">
        <is>
          <t>Extractor de agua para garrafas de agua, compatible con carga USB, extractor de agua automático, práctico, con dos modos de toma de agua: manual y programado, ideal para dormitorios, salones, oficinas, uso al aire libre y otros escenarios.</t>
        </is>
      </c>
      <c r="H1829" s="16" t="inlineStr">
        <is>
          <t>FA028</t>
        </is>
      </c>
      <c r="I1829" s="16" t="n">
        <v>1</v>
      </c>
      <c r="J1829" s="17" t="n">
        <v>27</v>
      </c>
      <c r="K1829" s="17" t="n">
        <v>36.58</v>
      </c>
      <c r="L1829" s="17" t="n">
        <v>25.86</v>
      </c>
      <c r="M1829" s="17" t="n">
        <v>0</v>
      </c>
      <c r="N1829" s="17">
        <f>K1829*0.08+L1829*0.08</f>
        <v/>
      </c>
      <c r="O1829" s="17">
        <f>-(K1829*0.025+L1829*0.025)</f>
        <v/>
      </c>
      <c r="P1829" s="17">
        <f>32</f>
        <v/>
      </c>
      <c r="Q1829" s="17">
        <f>J1829+L1829+N1829+O1829-P1829-M1829</f>
        <v/>
      </c>
    </row>
    <row r="1830">
      <c r="A1830" s="16" t="inlineStr">
        <is>
          <t>5.15-5.21</t>
        </is>
      </c>
      <c r="B1830" s="16" t="inlineStr">
        <is>
          <t>PO-128-12899878446710455</t>
        </is>
      </c>
      <c r="C1830" s="16" t="inlineStr">
        <is>
          <t>Delivered</t>
        </is>
      </c>
      <c r="D1830" s="16" t="inlineStr">
        <is>
          <t>128-12899912525430455</t>
        </is>
      </c>
      <c r="E1830" s="16" t="inlineStr">
        <is>
          <t>Delivered</t>
        </is>
      </c>
      <c r="F1830" s="16" t="inlineStr">
        <is>
          <t>LB02235-azul</t>
        </is>
      </c>
      <c r="G1830" s="16" t="inlineStr">
        <is>
          <t>Audífonos Inalámbricos para la Cabeza, Recargables y Multifuncionales - Conectan a Varios Dispositivos, soportan Radio FM, Tarjeta TF y AUX - 4 Horas de Reproducción Musical - Ideal para Trabajo Cotidiano, Juegos y Estudio</t>
        </is>
      </c>
      <c r="H1830" s="16" t="inlineStr">
        <is>
          <t>AZUL</t>
        </is>
      </c>
      <c r="I1830" s="16" t="n">
        <v>1</v>
      </c>
      <c r="J1830" s="17" t="n">
        <v>35</v>
      </c>
      <c r="K1830" s="17" t="n">
        <v>38.5</v>
      </c>
      <c r="L1830" s="17" t="n">
        <v>25.86</v>
      </c>
      <c r="M1830" s="17" t="n">
        <v>0</v>
      </c>
      <c r="N1830" s="17">
        <f>K1830*0.08+L1830*0.08</f>
        <v/>
      </c>
      <c r="O1830" s="17">
        <f>-(K1830*0.025+L1830*0.025)</f>
        <v/>
      </c>
      <c r="P1830" s="17">
        <f>32</f>
        <v/>
      </c>
      <c r="Q1830" s="17">
        <f>J1830+L1830+N1830+O1830-P1830-M1830</f>
        <v/>
      </c>
    </row>
    <row r="1831">
      <c r="A1831" s="16" t="inlineStr">
        <is>
          <t>5.15-5.21</t>
        </is>
      </c>
      <c r="B1831" s="16" t="inlineStr">
        <is>
          <t>PO-128-12740418642551340</t>
        </is>
      </c>
      <c r="C1831" s="16" t="inlineStr">
        <is>
          <t>Delivered</t>
        </is>
      </c>
      <c r="D1831" s="16" t="inlineStr">
        <is>
          <t>128-12740376699511340</t>
        </is>
      </c>
      <c r="E1831" s="16" t="inlineStr">
        <is>
          <t>Delivered</t>
        </is>
      </c>
      <c r="F1831" s="16" t="inlineStr">
        <is>
          <t>LV25W22</t>
        </is>
      </c>
      <c r="G183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31" s="16" t="inlineStr">
        <is>
          <t>LV25W32</t>
        </is>
      </c>
      <c r="I1831" s="16" t="n">
        <v>1</v>
      </c>
      <c r="J1831" s="17" t="n">
        <v>90.43000000000001</v>
      </c>
      <c r="K1831" s="17" t="n">
        <v>14.63</v>
      </c>
      <c r="L1831" s="17" t="n">
        <v>25.86</v>
      </c>
      <c r="M1831" s="17" t="n">
        <v>0</v>
      </c>
      <c r="N1831" s="17">
        <f>K1831*0.08+L1831*0.08</f>
        <v/>
      </c>
      <c r="O1831" s="17">
        <f>-(K1831*0.025+L1831*0.025)</f>
        <v/>
      </c>
      <c r="P1831" s="17">
        <f>32</f>
        <v/>
      </c>
      <c r="Q1831" s="17">
        <f>J1831+L1831+N1831+O1831-P1831-M1831</f>
        <v/>
      </c>
    </row>
    <row r="1832">
      <c r="A1832" s="16" t="inlineStr">
        <is>
          <t>5.15-5.21</t>
        </is>
      </c>
      <c r="B1832" s="16" t="inlineStr">
        <is>
          <t>PO-128-12685105178232759</t>
        </is>
      </c>
      <c r="C1832" s="16" t="inlineStr">
        <is>
          <t>Delivered</t>
        </is>
      </c>
      <c r="D1832" s="16" t="inlineStr">
        <is>
          <t>128-12685241493112759</t>
        </is>
      </c>
      <c r="E1832" s="16" t="inlineStr">
        <is>
          <t>Delivered</t>
        </is>
      </c>
      <c r="F1832" s="16" t="inlineStr">
        <is>
          <t>LV64W25</t>
        </is>
      </c>
      <c r="G1832" s="16" t="inlineStr">
        <is>
          <t>Ventilador de Techo LED TIANLAI con 5 Aspas, Control Remoto, 3 Colores Luz, 3 Velocidades, Temporizador, Fácil Instalación, E27 para Baño Cocina Dormitorio Salón</t>
        </is>
      </c>
      <c r="H1832" s="16" t="inlineStr">
        <is>
          <t>LV64W25</t>
        </is>
      </c>
      <c r="I1832" s="16" t="n">
        <v>2</v>
      </c>
      <c r="J1832" s="17" t="n">
        <v>240</v>
      </c>
      <c r="K1832" s="17" t="n">
        <v>260.98</v>
      </c>
      <c r="L1832" s="17" t="n">
        <v>0</v>
      </c>
      <c r="M1832" s="17" t="n">
        <v>0</v>
      </c>
      <c r="N1832" s="17">
        <f>K1832*0.08+L1832*0.08</f>
        <v/>
      </c>
      <c r="O1832" s="17">
        <f>-(K1832*0.025+L1832*0.025)</f>
        <v/>
      </c>
      <c r="P1832" s="17">
        <f>32</f>
        <v/>
      </c>
      <c r="Q1832" s="17">
        <f>J1832+L1832+N1832+O1832-P1832-M1832</f>
        <v/>
      </c>
    </row>
    <row r="1833">
      <c r="A1833" s="16" t="inlineStr">
        <is>
          <t>5.15-5.21</t>
        </is>
      </c>
      <c r="B1833" s="16" t="inlineStr">
        <is>
          <t>PO-128-12530447022713617</t>
        </is>
      </c>
      <c r="C1833" s="16" t="inlineStr">
        <is>
          <t>Delivered</t>
        </is>
      </c>
      <c r="D1833" s="16" t="inlineStr">
        <is>
          <t>128-12530431294073617</t>
        </is>
      </c>
      <c r="E1833" s="16" t="inlineStr">
        <is>
          <t>Delivered</t>
        </is>
      </c>
      <c r="F1833" s="16" t="inlineStr">
        <is>
          <t>MB-185N</t>
        </is>
      </c>
      <c r="G1833" s="16" t="inlineStr">
        <is>
          <t>Bocina Radio FM/Reproductor, Compatible con Tarjeta TF, USB, Bluetooth, Aplicable para celular, computadora, Ipad y consola.</t>
        </is>
      </c>
      <c r="H1833" s="16" t="inlineStr">
        <is>
          <t>NEGRO/MB-185</t>
        </is>
      </c>
      <c r="I1833" s="16" t="n">
        <v>1</v>
      </c>
      <c r="J1833" s="17" t="n">
        <v>71.31</v>
      </c>
      <c r="K1833" s="17" t="n">
        <v>84.23999999999999</v>
      </c>
      <c r="L1833" s="17" t="n">
        <v>25.86</v>
      </c>
      <c r="M1833" s="17" t="n">
        <v>0</v>
      </c>
      <c r="N1833" s="17">
        <f>K1833*0.08+L1833*0.08</f>
        <v/>
      </c>
      <c r="O1833" s="17">
        <f>-(K1833*0.025+L1833*0.025)</f>
        <v/>
      </c>
      <c r="P1833" s="17">
        <f>32</f>
        <v/>
      </c>
      <c r="Q1833" s="17">
        <f>J1833+L1833+N1833+O1833-P1833-M1833</f>
        <v/>
      </c>
    </row>
    <row r="1834">
      <c r="A1834" s="16" t="inlineStr">
        <is>
          <t>5.15-5.21</t>
        </is>
      </c>
      <c r="B1834" s="16" t="inlineStr">
        <is>
          <t>PO-128-12726421018231489</t>
        </is>
      </c>
      <c r="C1834" s="16" t="inlineStr">
        <is>
          <t>Delivered</t>
        </is>
      </c>
      <c r="D1834" s="16" t="inlineStr">
        <is>
          <t>128-12726462961271489</t>
        </is>
      </c>
      <c r="E1834" s="16" t="inlineStr">
        <is>
          <t>Delivered</t>
        </is>
      </c>
      <c r="F1834" s="16" t="inlineStr">
        <is>
          <t>MB-184N</t>
        </is>
      </c>
      <c r="G1834" s="16" t="inlineStr">
        <is>
          <t>Link bits Portable Bluetooth Speaker - 800W Peak Power, 50W Full-Range Audio with Dual Bass System &amp; Deep Bass Membranes, Powerful &amp; Distortion-Free Sound, IP65 Waterproof Dustproof, TWS Support &amp; 6H Battery for Outdoor/Party</t>
        </is>
      </c>
      <c r="H1834" s="16" t="inlineStr">
        <is>
          <t>NEGRO/MB-184</t>
        </is>
      </c>
      <c r="I1834" s="16" t="n">
        <v>1</v>
      </c>
      <c r="J1834" s="17" t="n">
        <v>588</v>
      </c>
      <c r="K1834" s="17" t="n">
        <v>620.02</v>
      </c>
      <c r="L1834" s="17" t="n">
        <v>0</v>
      </c>
      <c r="M1834" s="17" t="n">
        <v>0</v>
      </c>
      <c r="N1834" s="17">
        <f>K1834*0.08+L1834*0.08</f>
        <v/>
      </c>
      <c r="O1834" s="17">
        <f>-(K1834*0.025+L1834*0.025)</f>
        <v/>
      </c>
      <c r="P1834" s="17">
        <f>32</f>
        <v/>
      </c>
      <c r="Q1834" s="17">
        <f>J1834+L1834+N1834+O1834-P1834-M1834</f>
        <v/>
      </c>
    </row>
    <row r="1835">
      <c r="A1835" s="16" t="inlineStr">
        <is>
          <t>5.15-5.21</t>
        </is>
      </c>
      <c r="B1835" s="16" t="inlineStr">
        <is>
          <t>PO-128-12627287061112974</t>
        </is>
      </c>
      <c r="C1835" s="16" t="inlineStr">
        <is>
          <t>Delivered</t>
        </is>
      </c>
      <c r="D1835" s="16" t="inlineStr">
        <is>
          <t>128-12627266089592974</t>
        </is>
      </c>
      <c r="E1835" s="16" t="inlineStr">
        <is>
          <t>Delivered</t>
        </is>
      </c>
      <c r="F1835" s="16" t="inlineStr">
        <is>
          <t>MCM-001N</t>
        </is>
      </c>
      <c r="G1835" s="16" t="inlineStr">
        <is>
          <t>Musicord Altavoz Inalámbrico BT Portátil: ¡Sonido impactante, luces LED multicolores y 4 horas de autonomía! Compatible con TWS, FM, TF y USB – Imprescindible para fiestas y viajes</t>
        </is>
      </c>
      <c r="H1835" s="16" t="inlineStr">
        <is>
          <t>NEGRO</t>
        </is>
      </c>
      <c r="I1835" s="16" t="n">
        <v>1</v>
      </c>
      <c r="J1835" s="17" t="n">
        <v>66</v>
      </c>
      <c r="K1835" s="17" t="n">
        <v>51.65</v>
      </c>
      <c r="L1835" s="17" t="n">
        <v>25.86</v>
      </c>
      <c r="M1835" s="17" t="n">
        <v>0</v>
      </c>
      <c r="N1835" s="17">
        <f>K1835*0.08+L1835*0.08</f>
        <v/>
      </c>
      <c r="O1835" s="17">
        <f>-(K1835*0.025+L1835*0.025)</f>
        <v/>
      </c>
      <c r="P1835" s="17">
        <f>32</f>
        <v/>
      </c>
      <c r="Q1835" s="17">
        <f>J1835+L1835+N1835+O1835-P1835-M1835</f>
        <v/>
      </c>
    </row>
    <row r="1836">
      <c r="A1836" s="16" t="inlineStr">
        <is>
          <t>5.15-5.21</t>
        </is>
      </c>
      <c r="B1836" s="16" t="inlineStr">
        <is>
          <t>PO-128-12676843397752745</t>
        </is>
      </c>
      <c r="C1836" s="16" t="inlineStr">
        <is>
          <t>Delivered</t>
        </is>
      </c>
      <c r="D1836" s="16" t="inlineStr">
        <is>
          <t>128-12676801454712745</t>
        </is>
      </c>
      <c r="E1836" s="16" t="inlineStr">
        <is>
          <t>Delivered</t>
        </is>
      </c>
      <c r="F1836" s="16" t="inlineStr">
        <is>
          <t>VA384T-R</t>
        </is>
      </c>
      <c r="G1836" s="16" t="inlineStr">
        <is>
          <t>Bocina Portátil Bluetooth de 3 Pulgadas con Radio FM, USB TF TWS, Sonido Estéreo 5W, Bocina Recargable para Hogar Exterior Viaje Fiesta Camping</t>
        </is>
      </c>
      <c r="H1836" s="16" t="inlineStr">
        <is>
          <t>ROJO</t>
        </is>
      </c>
      <c r="I1836" s="16" t="n">
        <v>1</v>
      </c>
      <c r="J1836" s="17" t="n">
        <v>46</v>
      </c>
      <c r="K1836" s="17" t="n">
        <v>56.72</v>
      </c>
      <c r="L1836" s="17" t="n">
        <v>25.86</v>
      </c>
      <c r="M1836" s="17" t="n">
        <v>0</v>
      </c>
      <c r="N1836" s="17">
        <f>K1836*0.08+L1836*0.08</f>
        <v/>
      </c>
      <c r="O1836" s="17">
        <f>-(K1836*0.025+L1836*0.025)</f>
        <v/>
      </c>
      <c r="P1836" s="17">
        <f>32</f>
        <v/>
      </c>
      <c r="Q1836" s="17">
        <f>J1836+L1836+N1836+O1836-P1836-M1836</f>
        <v/>
      </c>
    </row>
    <row r="1837">
      <c r="A1837" s="16" t="inlineStr">
        <is>
          <t>5.15-5.21</t>
        </is>
      </c>
      <c r="B1837" s="16" t="inlineStr">
        <is>
          <t>PO-128-12962779505270078</t>
        </is>
      </c>
      <c r="C1837" s="16" t="inlineStr">
        <is>
          <t>Delivered</t>
        </is>
      </c>
      <c r="D1837" s="16" t="inlineStr">
        <is>
          <t>128-12962784748150078</t>
        </is>
      </c>
      <c r="E1837" s="16" t="inlineStr">
        <is>
          <t>Delivered</t>
        </is>
      </c>
      <c r="F1837" s="16" t="inlineStr">
        <is>
          <t>LV25W22</t>
        </is>
      </c>
      <c r="G18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37" s="16" t="inlineStr">
        <is>
          <t>LV25W32</t>
        </is>
      </c>
      <c r="I1837" s="16" t="n">
        <v>1</v>
      </c>
      <c r="J1837" s="17" t="n">
        <v>90.43000000000001</v>
      </c>
      <c r="K1837" s="17" t="n">
        <v>100.84</v>
      </c>
      <c r="L1837" s="17" t="n">
        <v>25.86</v>
      </c>
      <c r="M1837" s="17" t="n">
        <v>0</v>
      </c>
      <c r="N1837" s="17">
        <f>K1837*0.08+L1837*0.08</f>
        <v/>
      </c>
      <c r="O1837" s="17">
        <f>-(K1837*0.025+L1837*0.025)</f>
        <v/>
      </c>
      <c r="P1837" s="17">
        <f>32</f>
        <v/>
      </c>
      <c r="Q1837" s="17">
        <f>J1837+L1837+N1837+O1837-P1837-M1837</f>
        <v/>
      </c>
    </row>
    <row r="1838">
      <c r="A1838" s="16" t="inlineStr">
        <is>
          <t>5.15-5.21</t>
        </is>
      </c>
      <c r="B1838" s="16" t="inlineStr">
        <is>
          <t>PO-128-12711388288632667</t>
        </is>
      </c>
      <c r="C1838" s="16" t="inlineStr">
        <is>
          <t>Delivered</t>
        </is>
      </c>
      <c r="D1838" s="16" t="inlineStr">
        <is>
          <t>128-12711423678072667</t>
        </is>
      </c>
      <c r="E1838" s="16" t="inlineStr">
        <is>
          <t>Delivered</t>
        </is>
      </c>
      <c r="F1838" s="16" t="inlineStr">
        <is>
          <t>LV25W22</t>
        </is>
      </c>
      <c r="G183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38" s="16" t="inlineStr">
        <is>
          <t>LV25W32</t>
        </is>
      </c>
      <c r="I1838" s="16" t="n">
        <v>3</v>
      </c>
      <c r="J1838" s="17" t="n">
        <v>271.29</v>
      </c>
      <c r="K1838" s="17" t="n">
        <v>302.52</v>
      </c>
      <c r="L1838" s="17" t="n">
        <v>0</v>
      </c>
      <c r="M1838" s="17" t="n">
        <v>0</v>
      </c>
      <c r="N1838" s="17">
        <f>K1838*0.08+L1838*0.08</f>
        <v/>
      </c>
      <c r="O1838" s="17">
        <f>-(K1838*0.025+L1838*0.025)</f>
        <v/>
      </c>
      <c r="P1838" s="17">
        <f>32</f>
        <v/>
      </c>
      <c r="Q1838" s="17">
        <f>J1838+L1838+N1838+O1838-P1838-M1838</f>
        <v/>
      </c>
    </row>
    <row r="1839">
      <c r="A1839" s="16" t="inlineStr">
        <is>
          <t>5.15-5.21</t>
        </is>
      </c>
      <c r="B1839" s="16" t="inlineStr">
        <is>
          <t>PO-128-12985687020150966</t>
        </is>
      </c>
      <c r="C1839" s="16" t="inlineStr">
        <is>
          <t>Delivered</t>
        </is>
      </c>
      <c r="D1839" s="16" t="inlineStr">
        <is>
          <t>128-12985718477430966</t>
        </is>
      </c>
      <c r="E1839" s="16" t="inlineStr">
        <is>
          <t>Delivered</t>
        </is>
      </c>
      <c r="F1839" s="16" t="inlineStr">
        <is>
          <t>LV25W22</t>
        </is>
      </c>
      <c r="G18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39" s="16" t="inlineStr">
        <is>
          <t>LV25W32</t>
        </is>
      </c>
      <c r="I1839" s="16" t="n">
        <v>1</v>
      </c>
      <c r="J1839" s="17" t="n">
        <v>90.43000000000001</v>
      </c>
      <c r="K1839" s="17" t="n">
        <v>100.84</v>
      </c>
      <c r="L1839" s="17" t="n">
        <v>25.86</v>
      </c>
      <c r="M1839" s="17" t="n">
        <v>0</v>
      </c>
      <c r="N1839" s="17">
        <f>K1839*0.08+L1839*0.08</f>
        <v/>
      </c>
      <c r="O1839" s="17">
        <f>-(K1839*0.025+L1839*0.025)</f>
        <v/>
      </c>
      <c r="P1839" s="17">
        <f>32</f>
        <v/>
      </c>
      <c r="Q1839" s="17">
        <f>J1839+L1839+N1839+O1839-P1839-M1839</f>
        <v/>
      </c>
    </row>
    <row r="1840">
      <c r="A1840" s="16" t="inlineStr">
        <is>
          <t>5.15-5.21</t>
        </is>
      </c>
      <c r="B1840" s="16" t="inlineStr">
        <is>
          <t>PO-128-12741998910071330</t>
        </is>
      </c>
      <c r="C1840" s="16" t="inlineStr">
        <is>
          <t>Delivered</t>
        </is>
      </c>
      <c r="D1840" s="16" t="inlineStr">
        <is>
          <t>128-12741977938551330</t>
        </is>
      </c>
      <c r="E1840" s="16" t="inlineStr">
        <is>
          <t>Delivered</t>
        </is>
      </c>
      <c r="F1840" s="16" t="inlineStr">
        <is>
          <t>LV25W22</t>
        </is>
      </c>
      <c r="G18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40" s="16" t="inlineStr">
        <is>
          <t>LV25W32</t>
        </is>
      </c>
      <c r="I1840" s="16" t="n">
        <v>1</v>
      </c>
      <c r="J1840" s="17" t="n">
        <v>90.43000000000001</v>
      </c>
      <c r="K1840" s="17" t="n">
        <v>88.37</v>
      </c>
      <c r="L1840" s="17" t="n">
        <v>25.86</v>
      </c>
      <c r="M1840" s="17" t="n">
        <v>0</v>
      </c>
      <c r="N1840" s="17">
        <f>K1840*0.08+L1840*0.08</f>
        <v/>
      </c>
      <c r="O1840" s="17">
        <f>-(K1840*0.025+L1840*0.025)</f>
        <v/>
      </c>
      <c r="P1840" s="17">
        <f>32</f>
        <v/>
      </c>
      <c r="Q1840" s="17">
        <f>J1840+L1840+N1840+O1840-P1840-M1840</f>
        <v/>
      </c>
    </row>
    <row r="1841">
      <c r="A1841" s="16" t="inlineStr">
        <is>
          <t>5.15-5.21</t>
        </is>
      </c>
      <c r="B1841" s="16" t="inlineStr">
        <is>
          <t>PO-128-12485151887993887</t>
        </is>
      </c>
      <c r="C1841" s="16" t="inlineStr">
        <is>
          <t>Delivered</t>
        </is>
      </c>
      <c r="D1841" s="16" t="inlineStr">
        <is>
          <t>128-12485136159353887</t>
        </is>
      </c>
      <c r="E1841" s="16" t="inlineStr">
        <is>
          <t>Delivered</t>
        </is>
      </c>
      <c r="F1841" s="16" t="inlineStr">
        <is>
          <t>FA028</t>
        </is>
      </c>
      <c r="G1841" s="16" t="inlineStr">
        <is>
          <t>Extractor de agua para garrafas de agua, compatible con carga USB, extractor de agua automático, práctico, con dos modos de toma de agua: manual y programado, ideal para dormitorios, salones, oficinas, uso al aire libre y otros escenarios.</t>
        </is>
      </c>
      <c r="H1841" s="16" t="inlineStr">
        <is>
          <t>FA028</t>
        </is>
      </c>
      <c r="I1841" s="16" t="n">
        <v>1</v>
      </c>
      <c r="J1841" s="17" t="n">
        <v>27</v>
      </c>
      <c r="K1841" s="17" t="n">
        <v>36.58</v>
      </c>
      <c r="L1841" s="17" t="n">
        <v>25.86</v>
      </c>
      <c r="M1841" s="17" t="n">
        <v>0</v>
      </c>
      <c r="N1841" s="17">
        <f>K1841*0.08+L1841*0.08</f>
        <v/>
      </c>
      <c r="O1841" s="17">
        <f>-(K1841*0.025+L1841*0.025)</f>
        <v/>
      </c>
      <c r="P1841" s="17">
        <f>32</f>
        <v/>
      </c>
      <c r="Q1841" s="17">
        <f>J1841+L1841+N1841+O1841-P1841-M1841</f>
        <v/>
      </c>
    </row>
    <row r="1842">
      <c r="A1842" s="16" t="inlineStr">
        <is>
          <t>5.15-5.21</t>
        </is>
      </c>
      <c r="B1842" s="16" t="inlineStr">
        <is>
          <t>PO-128-12564569472632324</t>
        </is>
      </c>
      <c r="C1842" s="16" t="inlineStr">
        <is>
          <t>Delivered</t>
        </is>
      </c>
      <c r="D1842" s="16" t="inlineStr">
        <is>
          <t>128-12564590444152324</t>
        </is>
      </c>
      <c r="E1842" s="16" t="inlineStr">
        <is>
          <t>Delivered</t>
        </is>
      </c>
      <c r="F1842" s="16" t="inlineStr">
        <is>
          <t>LB02235-negro</t>
        </is>
      </c>
      <c r="G1842" s="16" t="inlineStr">
        <is>
          <t>Audífonos Inalámbricos para la Cabeza, Recargables y Multifuncionales - Conectan a Varios Dispositivos, soportan Radio FM, Tarjeta TF y AUX - 4 Horas de Reproducción Musical - Ideal para Trabajo Cotidiano, Juegos y Estudio</t>
        </is>
      </c>
      <c r="H1842" s="16" t="inlineStr">
        <is>
          <t>NEGRO</t>
        </is>
      </c>
      <c r="I1842" s="16" t="n">
        <v>1</v>
      </c>
      <c r="J1842" s="17" t="n">
        <v>36.5</v>
      </c>
      <c r="K1842" s="17" t="n">
        <v>49.61</v>
      </c>
      <c r="L1842" s="17" t="n">
        <v>25.86</v>
      </c>
      <c r="M1842" s="17" t="n">
        <v>0</v>
      </c>
      <c r="N1842" s="17">
        <f>K1842*0.08+L1842*0.08</f>
        <v/>
      </c>
      <c r="O1842" s="17">
        <f>-(K1842*0.025+L1842*0.025)</f>
        <v/>
      </c>
      <c r="P1842" s="17">
        <f>32</f>
        <v/>
      </c>
      <c r="Q1842" s="17">
        <f>J1842+L1842+N1842+O1842-P1842-M1842</f>
        <v/>
      </c>
    </row>
    <row r="1843">
      <c r="A1843" s="16" t="inlineStr">
        <is>
          <t>5.15-5.21</t>
        </is>
      </c>
      <c r="B1843" s="16" t="inlineStr">
        <is>
          <t>PO-128-12849530486391715</t>
        </is>
      </c>
      <c r="C1843" s="16" t="inlineStr">
        <is>
          <t>Delivered</t>
        </is>
      </c>
      <c r="D1843" s="16" t="inlineStr">
        <is>
          <t>128-12849635343991715</t>
        </is>
      </c>
      <c r="E1843" s="16" t="inlineStr">
        <is>
          <t>Delivered</t>
        </is>
      </c>
      <c r="F1843" s="16" t="inlineStr">
        <is>
          <t>MB-178-N</t>
        </is>
      </c>
      <c r="G1843" s="16" t="inlineStr">
        <is>
          <t>Bocina de Barra Bluetooth LINK BITS con dos altavoces, sonido de alta calidad y multifuncional (Bluetooth, Radio FM, USB, TF, AUX, TWS), ideal para juegos, reuniones, oficina y cine en casa.</t>
        </is>
      </c>
      <c r="H1843" s="16" t="inlineStr">
        <is>
          <t>NEGRO</t>
        </is>
      </c>
      <c r="I1843" s="16" t="n">
        <v>1</v>
      </c>
      <c r="J1843" s="17" t="n">
        <v>120</v>
      </c>
      <c r="K1843" s="17" t="n">
        <v>139.33</v>
      </c>
      <c r="L1843" s="17" t="n">
        <v>25.86</v>
      </c>
      <c r="M1843" s="17" t="n">
        <v>0</v>
      </c>
      <c r="N1843" s="17">
        <f>K1843*0.08+L1843*0.08</f>
        <v/>
      </c>
      <c r="O1843" s="17">
        <f>-(K1843*0.025+L1843*0.025)</f>
        <v/>
      </c>
      <c r="P1843" s="17">
        <f>32</f>
        <v/>
      </c>
      <c r="Q1843" s="17">
        <f>J1843+L1843+N1843+O1843-P1843-M1843</f>
        <v/>
      </c>
    </row>
    <row r="1844">
      <c r="A1844" s="16" t="inlineStr">
        <is>
          <t>5.15-5.21</t>
        </is>
      </c>
      <c r="B1844" s="16" t="inlineStr">
        <is>
          <t>PO-128-12538792438393695</t>
        </is>
      </c>
      <c r="C1844" s="16" t="inlineStr">
        <is>
          <t>Delivered</t>
        </is>
      </c>
      <c r="D1844" s="16" t="inlineStr">
        <is>
          <t>128-12538826517113695</t>
        </is>
      </c>
      <c r="E1844" s="16" t="inlineStr">
        <is>
          <t>Delivered</t>
        </is>
      </c>
      <c r="F1844" s="16" t="inlineStr">
        <is>
          <t>KTS-1678Y</t>
        </is>
      </c>
      <c r="G1844" s="16" t="inlineStr">
        <is>
          <t>Bocina portátil Inalámbrico, de 3 pulgadas, tamaño de bolsillo, 170 g, con asa, compatible con TF, USB y Micro SD, con radio FM y función TWS (True Wireless Stereo), adecuada para relajarse en casa o viajar al aire libre.</t>
        </is>
      </c>
      <c r="H1844" s="16" t="inlineStr">
        <is>
          <t>KTS-1678Y</t>
        </is>
      </c>
      <c r="I1844" s="16" t="n">
        <v>1</v>
      </c>
      <c r="J1844" s="17" t="n">
        <v>40</v>
      </c>
      <c r="K1844" s="17" t="n">
        <v>46.2</v>
      </c>
      <c r="L1844" s="17" t="n">
        <v>25.86</v>
      </c>
      <c r="M1844" s="17" t="n">
        <v>0</v>
      </c>
      <c r="N1844" s="17">
        <f>K1844*0.08+L1844*0.08</f>
        <v/>
      </c>
      <c r="O1844" s="17">
        <f>-(K1844*0.025+L1844*0.025)</f>
        <v/>
      </c>
      <c r="P1844" s="17">
        <f>32</f>
        <v/>
      </c>
      <c r="Q1844" s="17">
        <f>J1844+L1844+N1844+O1844-P1844-M1844</f>
        <v/>
      </c>
    </row>
    <row r="1845">
      <c r="A1845" s="16" t="inlineStr">
        <is>
          <t>5.15-5.21</t>
        </is>
      </c>
      <c r="B1845" s="16" t="inlineStr">
        <is>
          <t>PO-128-12587488615032189</t>
        </is>
      </c>
      <c r="C1845" s="16" t="inlineStr">
        <is>
          <t>Delivered</t>
        </is>
      </c>
      <c r="D1845" s="16" t="inlineStr">
        <is>
          <t>128-12587522693752189</t>
        </is>
      </c>
      <c r="E1845" s="16" t="inlineStr">
        <is>
          <t>Delivered</t>
        </is>
      </c>
      <c r="F1845" s="16" t="inlineStr">
        <is>
          <t>MCM-001N</t>
        </is>
      </c>
      <c r="G1845" s="16" t="inlineStr">
        <is>
          <t>Musicord Altavoz Inalámbrico BT Portátil: ¡Sonido impactante, luces LED multicolores y 4 horas de autonomía! Compatible con TWS, FM, TF y USB – Imprescindible para fiestas y viajes</t>
        </is>
      </c>
      <c r="H1845" s="16" t="inlineStr">
        <is>
          <t>NEGRO</t>
        </is>
      </c>
      <c r="I1845" s="16" t="n">
        <v>1</v>
      </c>
      <c r="J1845" s="17" t="n">
        <v>61</v>
      </c>
      <c r="K1845" s="17" t="n">
        <v>68.79000000000001</v>
      </c>
      <c r="L1845" s="17" t="n">
        <v>25.86</v>
      </c>
      <c r="M1845" s="17" t="n">
        <v>0</v>
      </c>
      <c r="N1845" s="17">
        <f>K1845*0.08+L1845*0.08</f>
        <v/>
      </c>
      <c r="O1845" s="17">
        <f>-(K1845*0.025+L1845*0.025)</f>
        <v/>
      </c>
      <c r="P1845" s="17">
        <f>32</f>
        <v/>
      </c>
      <c r="Q1845" s="17">
        <f>J1845+L1845+N1845+O1845-P1845-M1845</f>
        <v/>
      </c>
    </row>
    <row r="1846">
      <c r="A1846" s="16" t="inlineStr">
        <is>
          <t>5.15-5.21</t>
        </is>
      </c>
      <c r="B1846" s="16" t="inlineStr">
        <is>
          <t>PO-128-12759848755831160</t>
        </is>
      </c>
      <c r="C1846" s="16" t="inlineStr">
        <is>
          <t>Delivered</t>
        </is>
      </c>
      <c r="D1846" s="16" t="inlineStr">
        <is>
          <t>128-12759869727351160</t>
        </is>
      </c>
      <c r="E1846" s="16" t="inlineStr">
        <is>
          <t>Delivered</t>
        </is>
      </c>
      <c r="F1846" s="16" t="inlineStr">
        <is>
          <t>LV25W22</t>
        </is>
      </c>
      <c r="G18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46" s="16" t="inlineStr">
        <is>
          <t>LV25W32</t>
        </is>
      </c>
      <c r="I1846" s="16" t="n">
        <v>1</v>
      </c>
      <c r="J1846" s="17" t="n">
        <v>90.43000000000001</v>
      </c>
      <c r="K1846" s="17" t="n">
        <v>100.84</v>
      </c>
      <c r="L1846" s="17" t="n">
        <v>25.86</v>
      </c>
      <c r="M1846" s="17" t="n">
        <v>0</v>
      </c>
      <c r="N1846" s="17">
        <f>K1846*0.08+L1846*0.08</f>
        <v/>
      </c>
      <c r="O1846" s="17">
        <f>-(K1846*0.025+L1846*0.025)</f>
        <v/>
      </c>
      <c r="P1846" s="17">
        <f>32</f>
        <v/>
      </c>
      <c r="Q1846" s="17">
        <f>J1846+L1846+N1846+O1846-P1846-M1846</f>
        <v/>
      </c>
    </row>
    <row r="1847">
      <c r="A1847" s="16" t="inlineStr">
        <is>
          <t>5.15-5.21</t>
        </is>
      </c>
      <c r="B1847" s="16" t="inlineStr">
        <is>
          <t>PO-128-13005327908470851</t>
        </is>
      </c>
      <c r="C1847" s="16" t="inlineStr">
        <is>
          <t>Delivered</t>
        </is>
      </c>
      <c r="D1847" s="16" t="inlineStr">
        <is>
          <t>128-13005354122870851</t>
        </is>
      </c>
      <c r="E1847" s="16" t="inlineStr">
        <is>
          <t>Delivered</t>
        </is>
      </c>
      <c r="F1847" s="16" t="inlineStr">
        <is>
          <t>FA028</t>
        </is>
      </c>
      <c r="G1847" s="16" t="inlineStr">
        <is>
          <t>Extractor de agua para garrafas de agua, compatible con carga USB, extractor de agua automático, práctico, con dos modos de toma de agua: manual y programado, ideal para dormitorios, salones, oficinas, uso al aire libre y otros escenarios.</t>
        </is>
      </c>
      <c r="H1847" s="16" t="inlineStr">
        <is>
          <t>FA028</t>
        </is>
      </c>
      <c r="I1847" s="16" t="n">
        <v>1</v>
      </c>
      <c r="J1847" s="17" t="n">
        <v>27</v>
      </c>
      <c r="K1847" s="17" t="n">
        <v>36.58</v>
      </c>
      <c r="L1847" s="17" t="n">
        <v>25.86</v>
      </c>
      <c r="M1847" s="17" t="n">
        <v>0</v>
      </c>
      <c r="N1847" s="17">
        <f>K1847*0.08+L1847*0.08</f>
        <v/>
      </c>
      <c r="O1847" s="17">
        <f>-(K1847*0.025+L1847*0.025)</f>
        <v/>
      </c>
      <c r="P1847" s="17">
        <f>32</f>
        <v/>
      </c>
      <c r="Q1847" s="17">
        <f>J1847+L1847+N1847+O1847-P1847-M1847</f>
        <v/>
      </c>
    </row>
    <row r="1848">
      <c r="A1848" s="16" t="inlineStr">
        <is>
          <t>5.15-5.21</t>
        </is>
      </c>
      <c r="B1848" s="16" t="inlineStr">
        <is>
          <t>PO-128-12648833976952846</t>
        </is>
      </c>
      <c r="C1848" s="16" t="inlineStr">
        <is>
          <t>Delivered</t>
        </is>
      </c>
      <c r="D1848" s="16" t="inlineStr">
        <is>
          <t>128-12648792033912846</t>
        </is>
      </c>
      <c r="E1848" s="16" t="inlineStr">
        <is>
          <t>Delivered</t>
        </is>
      </c>
      <c r="F1848" s="16" t="inlineStr">
        <is>
          <t>MB-185N</t>
        </is>
      </c>
      <c r="G1848" s="16" t="inlineStr">
        <is>
          <t>Bocina Radio FM/Reproductor, Compatible con Tarjeta TF, USB, Bluetooth, Aplicable para celular, computadora, Ipad y consola.</t>
        </is>
      </c>
      <c r="H1848" s="16" t="inlineStr">
        <is>
          <t>NEGRO/MB-185</t>
        </is>
      </c>
      <c r="I1848" s="16" t="n">
        <v>1</v>
      </c>
      <c r="J1848" s="17" t="n">
        <v>71.31</v>
      </c>
      <c r="K1848" s="17" t="n">
        <v>84.23999999999999</v>
      </c>
      <c r="L1848" s="17" t="n">
        <v>25.86</v>
      </c>
      <c r="M1848" s="17" t="n">
        <v>0</v>
      </c>
      <c r="N1848" s="17">
        <f>K1848*0.08+L1848*0.08</f>
        <v/>
      </c>
      <c r="O1848" s="17">
        <f>-(K1848*0.025+L1848*0.025)</f>
        <v/>
      </c>
      <c r="P1848" s="17">
        <f>32</f>
        <v/>
      </c>
      <c r="Q1848" s="17">
        <f>J1848+L1848+N1848+O1848-P1848-M1848</f>
        <v/>
      </c>
    </row>
    <row r="1849">
      <c r="A1849" s="16" t="inlineStr">
        <is>
          <t>5.15-5.21</t>
        </is>
      </c>
      <c r="B1849" s="16" t="inlineStr">
        <is>
          <t>PO-128-12493746161273962</t>
        </is>
      </c>
      <c r="C1849" s="16" t="inlineStr">
        <is>
          <t>Delivered</t>
        </is>
      </c>
      <c r="D1849" s="16" t="inlineStr">
        <is>
          <t>128-12493822183033962</t>
        </is>
      </c>
      <c r="E1849" s="16" t="inlineStr">
        <is>
          <t>Delivered</t>
        </is>
      </c>
      <c r="F1849" s="16" t="inlineStr">
        <is>
          <t>S58W60</t>
        </is>
      </c>
      <c r="G1849"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1849" s="16" t="inlineStr">
        <is>
          <t>1 pieza</t>
        </is>
      </c>
      <c r="I1849" s="16" t="n">
        <v>2</v>
      </c>
      <c r="J1849" s="17" t="n">
        <v>84</v>
      </c>
      <c r="K1849" s="17" t="n">
        <v>32.84</v>
      </c>
      <c r="L1849" s="17" t="n">
        <v>25.86</v>
      </c>
      <c r="M1849" s="17" t="n">
        <v>0</v>
      </c>
      <c r="N1849" s="17">
        <f>K1849*0.08+L1849*0.08</f>
        <v/>
      </c>
      <c r="O1849" s="17">
        <f>-(K1849*0.025+L1849*0.025)</f>
        <v/>
      </c>
      <c r="P1849" s="17">
        <f>32</f>
        <v/>
      </c>
      <c r="Q1849" s="17">
        <f>J1849+L1849+N1849+O1849-P1849-M1849</f>
        <v/>
      </c>
    </row>
    <row r="1850">
      <c r="A1850" s="16" t="inlineStr">
        <is>
          <t>5.15-5.21</t>
        </is>
      </c>
      <c r="B1850" s="16" t="inlineStr">
        <is>
          <t>PO-128-12803747891831922</t>
        </is>
      </c>
      <c r="C1850" s="16" t="inlineStr">
        <is>
          <t>Delivered</t>
        </is>
      </c>
      <c r="D1850" s="16" t="inlineStr">
        <is>
          <t>128-12803774106231922</t>
        </is>
      </c>
      <c r="E1850" s="16" t="inlineStr">
        <is>
          <t>Delivered</t>
        </is>
      </c>
      <c r="F1850" s="16" t="inlineStr">
        <is>
          <t>MCM-001A</t>
        </is>
      </c>
      <c r="G1850" s="16" t="inlineStr">
        <is>
          <t>Musicord Altavoz Inalámbrico BT Portátil: ¡Sonido impactante, luces LED multicolores y 4 horas de autonomía! Compatible con TWS, FM, TF y USB – Imprescindible para fiestas y viajes</t>
        </is>
      </c>
      <c r="H1850" s="16" t="inlineStr">
        <is>
          <t>AZUL</t>
        </is>
      </c>
      <c r="I1850" s="16" t="n">
        <v>1</v>
      </c>
      <c r="J1850" s="17" t="n">
        <v>51</v>
      </c>
      <c r="K1850" s="17" t="n">
        <v>59.4</v>
      </c>
      <c r="L1850" s="17" t="n">
        <v>25.86</v>
      </c>
      <c r="M1850" s="17" t="n">
        <v>0</v>
      </c>
      <c r="N1850" s="17">
        <f>K1850*0.08+L1850*0.08</f>
        <v/>
      </c>
      <c r="O1850" s="17">
        <f>-(K1850*0.025+L1850*0.025)</f>
        <v/>
      </c>
      <c r="P1850" s="17">
        <f>32</f>
        <v/>
      </c>
      <c r="Q1850" s="17">
        <f>J1850+L1850+N1850+O1850-P1850-M1850</f>
        <v/>
      </c>
    </row>
    <row r="1851">
      <c r="A1851" s="16" t="inlineStr">
        <is>
          <t>5.15-5.21</t>
        </is>
      </c>
      <c r="B1851" s="16" t="inlineStr">
        <is>
          <t>PO-128-12903761434230494</t>
        </is>
      </c>
      <c r="C1851" s="16" t="inlineStr">
        <is>
          <t>Delivered</t>
        </is>
      </c>
      <c r="D1851" s="16" t="inlineStr">
        <is>
          <t>128-12903719491190494</t>
        </is>
      </c>
      <c r="E1851" s="16" t="inlineStr">
        <is>
          <t>Delivered</t>
        </is>
      </c>
      <c r="F1851" s="16" t="inlineStr">
        <is>
          <t>LV25W22</t>
        </is>
      </c>
      <c r="G18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51" s="16" t="inlineStr">
        <is>
          <t>LV25W32</t>
        </is>
      </c>
      <c r="I1851" s="16" t="n">
        <v>1</v>
      </c>
      <c r="J1851" s="17" t="n">
        <v>90.43000000000001</v>
      </c>
      <c r="K1851" s="17" t="n">
        <v>100.84</v>
      </c>
      <c r="L1851" s="17" t="n">
        <v>25.86</v>
      </c>
      <c r="M1851" s="17" t="n">
        <v>0</v>
      </c>
      <c r="N1851" s="17">
        <f>K1851*0.08+L1851*0.08</f>
        <v/>
      </c>
      <c r="O1851" s="17">
        <f>-(K1851*0.025+L1851*0.025)</f>
        <v/>
      </c>
      <c r="P1851" s="17">
        <f>32</f>
        <v/>
      </c>
      <c r="Q1851" s="17">
        <f>J1851+L1851+N1851+O1851-P1851-M1851</f>
        <v/>
      </c>
    </row>
    <row r="1852">
      <c r="A1852" s="16" t="inlineStr">
        <is>
          <t>5.15-5.21</t>
        </is>
      </c>
      <c r="B1852" s="16" t="inlineStr">
        <is>
          <t>PO-128-13024384333430673</t>
        </is>
      </c>
      <c r="C1852" s="16" t="inlineStr">
        <is>
          <t>Delivered</t>
        </is>
      </c>
      <c r="D1852" s="16" t="inlineStr">
        <is>
          <t>128-13024405304950673</t>
        </is>
      </c>
      <c r="E1852" s="16" t="inlineStr">
        <is>
          <t>Delivered</t>
        </is>
      </c>
      <c r="F1852" s="16" t="inlineStr">
        <is>
          <t>LV25W22</t>
        </is>
      </c>
      <c r="G18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52" s="16" t="inlineStr">
        <is>
          <t>LV25W32</t>
        </is>
      </c>
      <c r="I1852" s="16" t="n">
        <v>1</v>
      </c>
      <c r="J1852" s="17" t="n">
        <v>90.43000000000001</v>
      </c>
      <c r="K1852" s="17" t="n">
        <v>100.84</v>
      </c>
      <c r="L1852" s="17" t="n">
        <v>25.86</v>
      </c>
      <c r="M1852" s="17" t="n">
        <v>0</v>
      </c>
      <c r="N1852" s="17">
        <f>K1852*0.08+L1852*0.08</f>
        <v/>
      </c>
      <c r="O1852" s="17">
        <f>-(K1852*0.025+L1852*0.025)</f>
        <v/>
      </c>
      <c r="P1852" s="17">
        <f>32</f>
        <v/>
      </c>
      <c r="Q1852" s="17">
        <f>J1852+L1852+N1852+O1852-P1852-M1852</f>
        <v/>
      </c>
    </row>
    <row r="1853">
      <c r="A1853" s="16" t="inlineStr">
        <is>
          <t>5.15-5.21</t>
        </is>
      </c>
      <c r="B1853" s="16" t="inlineStr">
        <is>
          <t>PO-128-12483103375993899</t>
        </is>
      </c>
      <c r="C1853" s="16" t="inlineStr">
        <is>
          <t>Delivered</t>
        </is>
      </c>
      <c r="D1853" s="16" t="inlineStr">
        <is>
          <t>128-12483113861753899</t>
        </is>
      </c>
      <c r="E1853" s="16" t="inlineStr">
        <is>
          <t>Delivered</t>
        </is>
      </c>
      <c r="F1853" s="16" t="inlineStr">
        <is>
          <t>LV25W22</t>
        </is>
      </c>
      <c r="G185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53" s="16" t="inlineStr">
        <is>
          <t>LV25W32</t>
        </is>
      </c>
      <c r="I1853" s="16" t="n">
        <v>1</v>
      </c>
      <c r="J1853" s="17" t="n">
        <v>90.43000000000001</v>
      </c>
      <c r="K1853" s="17" t="n">
        <v>100.84</v>
      </c>
      <c r="L1853" s="17" t="n">
        <v>25.86</v>
      </c>
      <c r="M1853" s="17" t="n">
        <v>0</v>
      </c>
      <c r="N1853" s="17">
        <f>K1853*0.08+L1853*0.08</f>
        <v/>
      </c>
      <c r="O1853" s="17">
        <f>-(K1853*0.025+L1853*0.025)</f>
        <v/>
      </c>
      <c r="P1853" s="17">
        <f>32</f>
        <v/>
      </c>
      <c r="Q1853" s="17">
        <f>J1853+L1853+N1853+O1853-P1853-M1853</f>
        <v/>
      </c>
    </row>
    <row r="1854">
      <c r="A1854" s="16" t="inlineStr">
        <is>
          <t>5.15-5.21</t>
        </is>
      </c>
      <c r="B1854" s="16" t="inlineStr">
        <is>
          <t>PO-128-12556202025592502</t>
        </is>
      </c>
      <c r="C1854" s="16" t="inlineStr">
        <is>
          <t>Delivered</t>
        </is>
      </c>
      <c r="D1854" s="16" t="inlineStr">
        <is>
          <t>128-12556160082552502</t>
        </is>
      </c>
      <c r="E1854" s="16" t="inlineStr">
        <is>
          <t>Delivered</t>
        </is>
      </c>
      <c r="F1854" s="16" t="inlineStr">
        <is>
          <t>MCM-001G</t>
        </is>
      </c>
      <c r="G1854" s="16" t="inlineStr">
        <is>
          <t>Musicord Altavoz Inalámbrico BT Portátil: ¡Sonido impactante, luces LED multicolores y 4 horas de autonomía! Compatible con TWS, FM, TF y USB – Imprescindible para fiestas y viajes</t>
        </is>
      </c>
      <c r="H1854" s="16" t="inlineStr">
        <is>
          <t>GRIS</t>
        </is>
      </c>
      <c r="I1854" s="16" t="n">
        <v>1</v>
      </c>
      <c r="J1854" s="17" t="n">
        <v>51</v>
      </c>
      <c r="K1854" s="17" t="n">
        <v>7.07</v>
      </c>
      <c r="L1854" s="17" t="n">
        <v>25.86</v>
      </c>
      <c r="M1854" s="17" t="n">
        <v>0</v>
      </c>
      <c r="N1854" s="17">
        <f>K1854*0.08+L1854*0.08</f>
        <v/>
      </c>
      <c r="O1854" s="17">
        <f>-(K1854*0.025+L1854*0.025)</f>
        <v/>
      </c>
      <c r="P1854" s="17">
        <f>32</f>
        <v/>
      </c>
      <c r="Q1854" s="17">
        <f>J1854+L1854+N1854+O1854-P1854-M1854</f>
        <v/>
      </c>
    </row>
    <row r="1855">
      <c r="A1855" s="16" t="inlineStr">
        <is>
          <t>5.15-5.21</t>
        </is>
      </c>
      <c r="B1855" s="16" t="inlineStr">
        <is>
          <t>PO-128-12584168643192401</t>
        </is>
      </c>
      <c r="C1855" s="16" t="inlineStr">
        <is>
          <t>Delivered</t>
        </is>
      </c>
      <c r="D1855" s="16" t="inlineStr">
        <is>
          <t>128-12584110971512401</t>
        </is>
      </c>
      <c r="E1855" s="16" t="inlineStr">
        <is>
          <t>Delivered</t>
        </is>
      </c>
      <c r="F1855" s="16" t="inlineStr">
        <is>
          <t>MB-185A</t>
        </is>
      </c>
      <c r="G1855" s="16" t="inlineStr">
        <is>
          <t>Bocina Radio FM/Reproductor, Compatible con Tarjeta TF, USB, Bluetooth, Aplicable para celular, computadora, Ipad y consola.</t>
        </is>
      </c>
      <c r="H1855" s="16" t="inlineStr">
        <is>
          <t>AZUL/MB-185</t>
        </is>
      </c>
      <c r="I1855" s="16" t="n">
        <v>1</v>
      </c>
      <c r="J1855" s="17" t="n">
        <v>71.31</v>
      </c>
      <c r="K1855" s="17" t="n">
        <v>84.23999999999999</v>
      </c>
      <c r="L1855" s="17" t="n">
        <v>25.86</v>
      </c>
      <c r="M1855" s="17" t="n">
        <v>0</v>
      </c>
      <c r="N1855" s="17">
        <f>K1855*0.08+L1855*0.08</f>
        <v/>
      </c>
      <c r="O1855" s="17">
        <f>-(K1855*0.025+L1855*0.025)</f>
        <v/>
      </c>
      <c r="P1855" s="17">
        <f>32</f>
        <v/>
      </c>
      <c r="Q1855" s="17">
        <f>J1855+L1855+N1855+O1855-P1855-M1855</f>
        <v/>
      </c>
    </row>
    <row r="1856">
      <c r="A1856" s="16" t="inlineStr">
        <is>
          <t>5.15-5.21</t>
        </is>
      </c>
      <c r="B1856" s="16" t="inlineStr">
        <is>
          <t>PO-128-12694302270072577</t>
        </is>
      </c>
      <c r="C1856" s="16" t="inlineStr">
        <is>
          <t>Delivered</t>
        </is>
      </c>
      <c r="D1856" s="16" t="inlineStr">
        <is>
          <t>128-12694312632952577</t>
        </is>
      </c>
      <c r="E1856" s="16" t="inlineStr">
        <is>
          <t>Delivered</t>
        </is>
      </c>
      <c r="F1856" s="16" t="inlineStr">
        <is>
          <t>MCM-001A</t>
        </is>
      </c>
      <c r="G1856" s="16" t="inlineStr">
        <is>
          <t>Musicord Altavoz Inalámbrico BT Portátil: ¡Sonido impactante, luces LED multicolores y 4 horas de autonomía! Compatible con TWS, FM, TF y USB – Imprescindible para fiestas y viajes</t>
        </is>
      </c>
      <c r="H1856" s="16" t="inlineStr">
        <is>
          <t>AZUL</t>
        </is>
      </c>
      <c r="I1856" s="16" t="n">
        <v>1</v>
      </c>
      <c r="J1856" s="17" t="n">
        <v>51</v>
      </c>
      <c r="K1856" s="17" t="n">
        <v>49.84</v>
      </c>
      <c r="L1856" s="17" t="n">
        <v>25.86</v>
      </c>
      <c r="M1856" s="17" t="n">
        <v>0</v>
      </c>
      <c r="N1856" s="17">
        <f>K1856*0.08+L1856*0.08</f>
        <v/>
      </c>
      <c r="O1856" s="17">
        <f>-(K1856*0.025+L1856*0.025)</f>
        <v/>
      </c>
      <c r="P1856" s="17">
        <f>32</f>
        <v/>
      </c>
      <c r="Q1856" s="17">
        <f>J1856+L1856+N1856+O1856-P1856-M1856</f>
        <v/>
      </c>
    </row>
    <row r="1857">
      <c r="A1857" s="16" t="inlineStr">
        <is>
          <t>5.15-5.21</t>
        </is>
      </c>
      <c r="B1857" s="16" t="inlineStr">
        <is>
          <t>PO-128-12952911176310011</t>
        </is>
      </c>
      <c r="C1857" s="16" t="inlineStr">
        <is>
          <t>Delivered</t>
        </is>
      </c>
      <c r="D1857" s="16" t="inlineStr">
        <is>
          <t>128-12952963605110011</t>
        </is>
      </c>
      <c r="E1857" s="16" t="inlineStr">
        <is>
          <t>Delivered</t>
        </is>
      </c>
      <c r="F1857" s="16" t="inlineStr">
        <is>
          <t>VB347T</t>
        </is>
      </c>
      <c r="G185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857" s="16" t="inlineStr">
        <is>
          <t>1 pieza</t>
        </is>
      </c>
      <c r="I1857" s="16" t="n">
        <v>1</v>
      </c>
      <c r="J1857" s="17" t="n">
        <v>77.90000000000001</v>
      </c>
      <c r="K1857" s="17" t="n">
        <v>92.5</v>
      </c>
      <c r="L1857" s="17" t="n">
        <v>25.86</v>
      </c>
      <c r="M1857" s="17" t="n">
        <v>0</v>
      </c>
      <c r="N1857" s="17">
        <f>K1857*0.08+L1857*0.08</f>
        <v/>
      </c>
      <c r="O1857" s="17">
        <f>-(K1857*0.025+L1857*0.025)</f>
        <v/>
      </c>
      <c r="P1857" s="17">
        <f>32</f>
        <v/>
      </c>
      <c r="Q1857" s="17">
        <f>J1857+L1857+N1857+O1857-P1857-M1857</f>
        <v/>
      </c>
    </row>
    <row r="1858">
      <c r="A1858" s="16" t="inlineStr">
        <is>
          <t>5.15-5.21</t>
        </is>
      </c>
      <c r="B1858" s="16" t="inlineStr">
        <is>
          <t>PO-128-12882394419831647</t>
        </is>
      </c>
      <c r="C1858" s="16" t="inlineStr">
        <is>
          <t>Delivered</t>
        </is>
      </c>
      <c r="D1858" s="16" t="inlineStr">
        <is>
          <t>128-12882462577271647</t>
        </is>
      </c>
      <c r="E1858" s="16" t="inlineStr">
        <is>
          <t>Delivered</t>
        </is>
      </c>
      <c r="F1858" s="16" t="inlineStr">
        <is>
          <t>LB02235-rojo</t>
        </is>
      </c>
      <c r="G1858" s="16" t="inlineStr">
        <is>
          <t>Audífonos Inalámbricos para la Cabeza, Recargables y Multifuncionales - Conectan a Varios Dispositivos, soportan Radio FM, Tarjeta TF y AUX - 4 Horas de Reproducción Musical - Ideal para Trabajo Cotidiano, Juegos y Estudio</t>
        </is>
      </c>
      <c r="H1858" s="16" t="inlineStr">
        <is>
          <t>ROJO</t>
        </is>
      </c>
      <c r="I1858" s="16" t="n">
        <v>1</v>
      </c>
      <c r="J1858" s="17" t="n">
        <v>36.5</v>
      </c>
      <c r="K1858" s="17" t="n">
        <v>49.61</v>
      </c>
      <c r="L1858" s="17" t="n">
        <v>25.86</v>
      </c>
      <c r="M1858" s="17" t="n">
        <v>0</v>
      </c>
      <c r="N1858" s="17">
        <f>K1858*0.08+L1858*0.08</f>
        <v/>
      </c>
      <c r="O1858" s="17">
        <f>-(K1858*0.025+L1858*0.025)</f>
        <v/>
      </c>
      <c r="P1858" s="17">
        <f>32</f>
        <v/>
      </c>
      <c r="Q1858" s="17">
        <f>J1858+L1858+N1858+O1858-P1858-M1858</f>
        <v/>
      </c>
    </row>
    <row r="1859">
      <c r="A1859" s="16" t="inlineStr">
        <is>
          <t>5.15-5.21</t>
        </is>
      </c>
      <c r="B1859" s="16" t="inlineStr">
        <is>
          <t>PO-128-13038483881590525</t>
        </is>
      </c>
      <c r="C1859" s="16" t="inlineStr">
        <is>
          <t>Delivered</t>
        </is>
      </c>
      <c r="D1859" s="16" t="inlineStr">
        <is>
          <t>128-13038462910070525</t>
        </is>
      </c>
      <c r="E1859" s="16" t="inlineStr">
        <is>
          <t>Delivered</t>
        </is>
      </c>
      <c r="F1859" s="16" t="inlineStr">
        <is>
          <t>LV25W22</t>
        </is>
      </c>
      <c r="G18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59" s="16" t="inlineStr">
        <is>
          <t>LV25W32</t>
        </is>
      </c>
      <c r="I1859" s="16" t="n">
        <v>1</v>
      </c>
      <c r="J1859" s="17" t="n">
        <v>90.43000000000001</v>
      </c>
      <c r="K1859" s="17" t="n">
        <v>70.59</v>
      </c>
      <c r="L1859" s="17" t="n">
        <v>25.86</v>
      </c>
      <c r="M1859" s="17" t="n">
        <v>0</v>
      </c>
      <c r="N1859" s="17">
        <f>K1859*0.08+L1859*0.08</f>
        <v/>
      </c>
      <c r="O1859" s="17">
        <f>-(K1859*0.025+L1859*0.025)</f>
        <v/>
      </c>
      <c r="P1859" s="17">
        <f>32</f>
        <v/>
      </c>
      <c r="Q1859" s="17">
        <f>J1859+L1859+N1859+O1859-P1859-M1859</f>
        <v/>
      </c>
    </row>
    <row r="1860">
      <c r="A1860" s="16" t="inlineStr">
        <is>
          <t>5.15-5.21</t>
        </is>
      </c>
      <c r="B1860" s="16" t="inlineStr">
        <is>
          <t>PO-128-12455787428473996</t>
        </is>
      </c>
      <c r="C1860" s="16" t="inlineStr">
        <is>
          <t>Delivered</t>
        </is>
      </c>
      <c r="D1860" s="16" t="inlineStr">
        <is>
          <t>128-12455821507193996</t>
        </is>
      </c>
      <c r="E1860" s="16" t="inlineStr">
        <is>
          <t>Delivered</t>
        </is>
      </c>
      <c r="F1860" s="16" t="inlineStr">
        <is>
          <t>LV25W22</t>
        </is>
      </c>
      <c r="G186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60" s="16" t="inlineStr">
        <is>
          <t>LV25W32</t>
        </is>
      </c>
      <c r="I1860" s="16" t="n">
        <v>1</v>
      </c>
      <c r="J1860" s="17" t="n">
        <v>90.43000000000001</v>
      </c>
      <c r="K1860" s="17" t="n">
        <v>80.68000000000001</v>
      </c>
      <c r="L1860" s="17" t="n">
        <v>25.86</v>
      </c>
      <c r="M1860" s="17" t="n">
        <v>0</v>
      </c>
      <c r="N1860" s="17">
        <f>K1860*0.08+L1860*0.08</f>
        <v/>
      </c>
      <c r="O1860" s="17">
        <f>-(K1860*0.025+L1860*0.025)</f>
        <v/>
      </c>
      <c r="P1860" s="17">
        <f>32</f>
        <v/>
      </c>
      <c r="Q1860" s="17">
        <f>J1860+L1860+N1860+O1860-P1860-M1860</f>
        <v/>
      </c>
    </row>
    <row r="1861">
      <c r="A1861" s="16" t="inlineStr">
        <is>
          <t>5.15-5.21</t>
        </is>
      </c>
      <c r="B1861" s="16" t="inlineStr">
        <is>
          <t>PO-128-12881603016311650</t>
        </is>
      </c>
      <c r="C1861" s="16" t="inlineStr">
        <is>
          <t>Delivered</t>
        </is>
      </c>
      <c r="D1861" s="16" t="inlineStr">
        <is>
          <t>128-12881644959351650</t>
        </is>
      </c>
      <c r="E1861" s="16" t="inlineStr">
        <is>
          <t>Delivered</t>
        </is>
      </c>
      <c r="F1861" s="16" t="inlineStr">
        <is>
          <t>MCM-001G</t>
        </is>
      </c>
      <c r="G1861" s="16" t="inlineStr">
        <is>
          <t>Musicord Altavoz Inalámbrico BT Portátil: ¡Sonido impactante, luces LED multicolores y 4 horas de autonomía! Compatible con TWS, FM, TF y USB – Imprescindible para fiestas y viajes</t>
        </is>
      </c>
      <c r="H1861" s="16" t="inlineStr">
        <is>
          <t>GRIS</t>
        </is>
      </c>
      <c r="I1861" s="16" t="n">
        <v>1</v>
      </c>
      <c r="J1861" s="17" t="n">
        <v>51</v>
      </c>
      <c r="K1861" s="17" t="n">
        <v>58.79</v>
      </c>
      <c r="L1861" s="17" t="n">
        <v>25.86</v>
      </c>
      <c r="M1861" s="17" t="n">
        <v>0</v>
      </c>
      <c r="N1861" s="17">
        <f>K1861*0.08+L1861*0.08</f>
        <v/>
      </c>
      <c r="O1861" s="17">
        <f>-(K1861*0.025+L1861*0.025)</f>
        <v/>
      </c>
      <c r="P1861" s="17">
        <f>32</f>
        <v/>
      </c>
      <c r="Q1861" s="17">
        <f>J1861+L1861+N1861+O1861-P1861-M1861</f>
        <v/>
      </c>
    </row>
    <row r="1862">
      <c r="A1862" s="16" t="inlineStr">
        <is>
          <t>5.15-5.21</t>
        </is>
      </c>
      <c r="B1862" s="16" t="inlineStr">
        <is>
          <t>PO-128-12701696292472594</t>
        </is>
      </c>
      <c r="C1862" s="16" t="inlineStr">
        <is>
          <t>Delivered</t>
        </is>
      </c>
      <c r="D1862" s="16" t="inlineStr">
        <is>
          <t>128-12701860132472594</t>
        </is>
      </c>
      <c r="E1862" s="16" t="inlineStr">
        <is>
          <t>Delivered</t>
        </is>
      </c>
      <c r="F1862" s="16" t="inlineStr">
        <is>
          <t>LB02235-negro</t>
        </is>
      </c>
      <c r="G1862" s="16" t="inlineStr">
        <is>
          <t>Audífonos Inalámbricos para la Cabeza, Recargables y Multifuncionales - Conectan a Varios Dispositivos, soportan Radio FM, Tarjeta TF y AUX - 4 Horas de Reproducción Musical - Ideal para Trabajo Cotidiano, Juegos y Estudio</t>
        </is>
      </c>
      <c r="H1862" s="16" t="inlineStr">
        <is>
          <t>NEGRO</t>
        </is>
      </c>
      <c r="I1862" s="16" t="n">
        <v>1</v>
      </c>
      <c r="J1862" s="17" t="n">
        <v>36.5</v>
      </c>
      <c r="K1862" s="17" t="n">
        <v>49.61</v>
      </c>
      <c r="L1862" s="17" t="n">
        <v>25.86</v>
      </c>
      <c r="M1862" s="17" t="n">
        <v>0</v>
      </c>
      <c r="N1862" s="17">
        <f>K1862*0.08+L1862*0.08</f>
        <v/>
      </c>
      <c r="O1862" s="17">
        <f>-(K1862*0.025+L1862*0.025)</f>
        <v/>
      </c>
      <c r="P1862" s="17">
        <f>32</f>
        <v/>
      </c>
      <c r="Q1862" s="17">
        <f>J1862+L1862+N1862+O1862-P1862-M1862</f>
        <v/>
      </c>
    </row>
    <row r="1863">
      <c r="A1863" s="16" t="inlineStr">
        <is>
          <t>5.15-5.21</t>
        </is>
      </c>
      <c r="B1863" s="16" t="inlineStr">
        <is>
          <t>PO-128-12544706325112442</t>
        </is>
      </c>
      <c r="C1863" s="16" t="inlineStr">
        <is>
          <t>Delivered</t>
        </is>
      </c>
      <c r="D1863" s="16" t="inlineStr">
        <is>
          <t>128-12544740403832442</t>
        </is>
      </c>
      <c r="E1863" s="16" t="inlineStr">
        <is>
          <t>Delivered</t>
        </is>
      </c>
      <c r="F1863" s="16" t="inlineStr">
        <is>
          <t>LV25W22</t>
        </is>
      </c>
      <c r="G18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63" s="16" t="inlineStr">
        <is>
          <t>LV25W32</t>
        </is>
      </c>
      <c r="I1863" s="16" t="n">
        <v>1</v>
      </c>
      <c r="J1863" s="17" t="n">
        <v>90.43000000000001</v>
      </c>
      <c r="K1863" s="17" t="n">
        <v>100.84</v>
      </c>
      <c r="L1863" s="17" t="n">
        <v>25.86</v>
      </c>
      <c r="M1863" s="17" t="n">
        <v>0</v>
      </c>
      <c r="N1863" s="17">
        <f>K1863*0.08+L1863*0.08</f>
        <v/>
      </c>
      <c r="O1863" s="17">
        <f>-(K1863*0.025+L1863*0.025)</f>
        <v/>
      </c>
      <c r="P1863" s="17">
        <f>32</f>
        <v/>
      </c>
      <c r="Q1863" s="17">
        <f>J1863+L1863+N1863+O1863-P1863-M1863</f>
        <v/>
      </c>
    </row>
    <row r="1864">
      <c r="A1864" s="16" t="inlineStr">
        <is>
          <t>5.15-5.21</t>
        </is>
      </c>
      <c r="B1864" s="16" t="inlineStr">
        <is>
          <t>PO-128-12643361055353070</t>
        </is>
      </c>
      <c r="C1864" s="16" t="inlineStr">
        <is>
          <t>Delivered</t>
        </is>
      </c>
      <c r="D1864" s="16" t="inlineStr">
        <is>
          <t>128-12643345326713070</t>
        </is>
      </c>
      <c r="E1864" s="16" t="inlineStr">
        <is>
          <t>Delivered</t>
        </is>
      </c>
      <c r="F1864" s="16" t="inlineStr">
        <is>
          <t>MB-184R</t>
        </is>
      </c>
      <c r="G1864" s="16" t="inlineStr">
        <is>
          <t>Link bits Portable Bluetooth Speaker - 800W Peak Power, 50W Full-Range Audio with Dual Bass System &amp; Deep Bass Membranes, Powerful &amp; Distortion-Free Sound, IP65 Waterproof Dustproof, TWS Support &amp; 6H Battery for Outdoor/Party</t>
        </is>
      </c>
      <c r="H1864" s="16" t="inlineStr">
        <is>
          <t>ROJO/MB-184</t>
        </is>
      </c>
      <c r="I1864" s="16" t="n">
        <v>1</v>
      </c>
      <c r="J1864" s="17" t="n">
        <v>588</v>
      </c>
      <c r="K1864" s="17" t="n">
        <v>697.61</v>
      </c>
      <c r="L1864" s="17" t="n">
        <v>0</v>
      </c>
      <c r="M1864" s="17" t="n">
        <v>0</v>
      </c>
      <c r="N1864" s="17">
        <f>K1864*0.08+L1864*0.08</f>
        <v/>
      </c>
      <c r="O1864" s="17">
        <f>-(K1864*0.025+L1864*0.025)</f>
        <v/>
      </c>
      <c r="P1864" s="17">
        <f>32</f>
        <v/>
      </c>
      <c r="Q1864" s="17">
        <f>J1864+L1864+N1864+O1864-P1864-M1864</f>
        <v/>
      </c>
    </row>
    <row r="1865">
      <c r="A1865" s="16" t="inlineStr">
        <is>
          <t>5.15-5.21</t>
        </is>
      </c>
      <c r="B1865" s="16" t="inlineStr">
        <is>
          <t>PO-128-12584671811192204</t>
        </is>
      </c>
      <c r="C1865" s="16" t="inlineStr">
        <is>
          <t>Delivered</t>
        </is>
      </c>
      <c r="D1865" s="16" t="inlineStr">
        <is>
          <t>128-12584650839672204</t>
        </is>
      </c>
      <c r="E1865" s="16" t="inlineStr">
        <is>
          <t>Delivered</t>
        </is>
      </c>
      <c r="F1865" s="16" t="inlineStr">
        <is>
          <t>MCM-001N</t>
        </is>
      </c>
      <c r="G1865" s="16" t="inlineStr">
        <is>
          <t>Musicord Altavoz Inalámbrico BT Portátil: ¡Sonido impactante, luces LED multicolores y 4 horas de autonomía! Compatible con TWS, FM, TF y USB – Imprescindible para fiestas y viajes</t>
        </is>
      </c>
      <c r="H1865" s="16" t="inlineStr">
        <is>
          <t>NEGRO</t>
        </is>
      </c>
      <c r="I1865" s="16" t="n">
        <v>1</v>
      </c>
      <c r="J1865" s="17" t="n">
        <v>66</v>
      </c>
      <c r="K1865" s="17" t="n">
        <v>73.79000000000001</v>
      </c>
      <c r="L1865" s="17" t="n">
        <v>25.86</v>
      </c>
      <c r="M1865" s="17" t="n">
        <v>0</v>
      </c>
      <c r="N1865" s="17">
        <f>K1865*0.08+L1865*0.08</f>
        <v/>
      </c>
      <c r="O1865" s="17">
        <f>-(K1865*0.025+L1865*0.025)</f>
        <v/>
      </c>
      <c r="P1865" s="17">
        <f>32</f>
        <v/>
      </c>
      <c r="Q1865" s="17">
        <f>J1865+L1865+N1865+O1865-P1865-M1865</f>
        <v/>
      </c>
    </row>
    <row r="1866">
      <c r="A1866" s="16" t="inlineStr">
        <is>
          <t>5.15-5.21</t>
        </is>
      </c>
      <c r="B1866" s="16" t="inlineStr">
        <is>
          <t>PO-128-12870618552951588</t>
        </is>
      </c>
      <c r="C1866" s="16" t="inlineStr">
        <is>
          <t>Delivered</t>
        </is>
      </c>
      <c r="D1866" s="16" t="inlineStr">
        <is>
          <t>128-12870576609911588</t>
        </is>
      </c>
      <c r="E1866" s="16" t="inlineStr">
        <is>
          <t>Delivered</t>
        </is>
      </c>
      <c r="F1866" s="16" t="inlineStr">
        <is>
          <t>LV25W22</t>
        </is>
      </c>
      <c r="G18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66" s="16" t="inlineStr">
        <is>
          <t>LV25W32</t>
        </is>
      </c>
      <c r="I1866" s="16" t="n">
        <v>1</v>
      </c>
      <c r="J1866" s="17" t="n">
        <v>90.43000000000001</v>
      </c>
      <c r="K1866" s="17" t="n">
        <v>100.84</v>
      </c>
      <c r="L1866" s="17" t="n">
        <v>25.86</v>
      </c>
      <c r="M1866" s="17" t="n">
        <v>0</v>
      </c>
      <c r="N1866" s="17">
        <f>K1866*0.08+L1866*0.08</f>
        <v/>
      </c>
      <c r="O1866" s="17">
        <f>-(K1866*0.025+L1866*0.025)</f>
        <v/>
      </c>
      <c r="P1866" s="17">
        <f>32</f>
        <v/>
      </c>
      <c r="Q1866" s="17">
        <f>J1866+L1866+N1866+O1866-P1866-M1866</f>
        <v/>
      </c>
    </row>
    <row r="1867">
      <c r="A1867" s="16" t="inlineStr">
        <is>
          <t>5.15-5.21</t>
        </is>
      </c>
      <c r="B1867" s="16" t="inlineStr">
        <is>
          <t>PO-128-12426264771193276</t>
        </is>
      </c>
      <c r="C1867" s="16" t="inlineStr">
        <is>
          <t>Delivered</t>
        </is>
      </c>
      <c r="D1867" s="16" t="inlineStr">
        <is>
          <t>128-12426306714233276</t>
        </is>
      </c>
      <c r="E1867" s="16" t="inlineStr">
        <is>
          <t>Delivered</t>
        </is>
      </c>
      <c r="F1867" s="16" t="inlineStr">
        <is>
          <t>MCM-001G</t>
        </is>
      </c>
      <c r="G1867" s="16" t="inlineStr">
        <is>
          <t>Musicord Altavoz Inalámbrico BT Portátil: ¡Sonido impactante, luces LED multicolores y 4 horas de autonomía! Compatible con TWS, FM, TF y USB – Imprescindible para fiestas y viajes</t>
        </is>
      </c>
      <c r="H1867" s="16" t="inlineStr">
        <is>
          <t>GRIS</t>
        </is>
      </c>
      <c r="I1867" s="16" t="n">
        <v>2</v>
      </c>
      <c r="J1867" s="17" t="n">
        <v>102</v>
      </c>
      <c r="K1867" s="17" t="n">
        <v>117.58</v>
      </c>
      <c r="L1867" s="17" t="n">
        <v>25.86</v>
      </c>
      <c r="M1867" s="17" t="n">
        <v>0</v>
      </c>
      <c r="N1867" s="17">
        <f>K1867*0.08+L1867*0.08</f>
        <v/>
      </c>
      <c r="O1867" s="17">
        <f>-(K1867*0.025+L1867*0.025)</f>
        <v/>
      </c>
      <c r="P1867" s="17">
        <f>32</f>
        <v/>
      </c>
      <c r="Q1867" s="17">
        <f>J1867+L1867+N1867+O1867-P1867-M1867</f>
        <v/>
      </c>
    </row>
    <row r="1868">
      <c r="A1868" s="16" t="inlineStr">
        <is>
          <t>5.15-5.21</t>
        </is>
      </c>
      <c r="B1868" s="16" t="inlineStr">
        <is>
          <t>PO-128-12699387064952608</t>
        </is>
      </c>
      <c r="C1868" s="16" t="inlineStr">
        <is>
          <t>Delivered</t>
        </is>
      </c>
      <c r="D1868" s="16" t="inlineStr">
        <is>
          <t>128-12699366093432608</t>
        </is>
      </c>
      <c r="E1868" s="16" t="inlineStr">
        <is>
          <t>Delivered</t>
        </is>
      </c>
      <c r="F1868" s="16" t="inlineStr">
        <is>
          <t>FA028</t>
        </is>
      </c>
      <c r="G1868" s="16" t="inlineStr">
        <is>
          <t>Extractor de agua para garrafas de agua, compatible con carga USB, extractor de agua automático, práctico, con dos modos de toma de agua: manual y programado, ideal para dormitorios, salones, oficinas, uso al aire libre y otros escenarios.</t>
        </is>
      </c>
      <c r="H1868" s="16" t="inlineStr">
        <is>
          <t>FA028</t>
        </is>
      </c>
      <c r="I1868" s="16" t="n">
        <v>1</v>
      </c>
      <c r="J1868" s="17" t="n">
        <v>30</v>
      </c>
      <c r="K1868" s="17" t="n">
        <v>39.58</v>
      </c>
      <c r="L1868" s="17" t="n">
        <v>25.86</v>
      </c>
      <c r="M1868" s="17" t="n">
        <v>0</v>
      </c>
      <c r="N1868" s="17">
        <f>K1868*0.08+L1868*0.08</f>
        <v/>
      </c>
      <c r="O1868" s="17">
        <f>-(K1868*0.025+L1868*0.025)</f>
        <v/>
      </c>
      <c r="P1868" s="17">
        <f>32</f>
        <v/>
      </c>
      <c r="Q1868" s="17">
        <f>J1868+L1868+N1868+O1868-P1868-M1868</f>
        <v/>
      </c>
    </row>
    <row r="1869">
      <c r="A1869" s="16" t="inlineStr">
        <is>
          <t>5.15-5.21</t>
        </is>
      </c>
      <c r="B1869" s="16" t="inlineStr">
        <is>
          <t>PO-128-12566459699832315</t>
        </is>
      </c>
      <c r="C1869" s="16" t="inlineStr">
        <is>
          <t>Delivered</t>
        </is>
      </c>
      <c r="D1869" s="16" t="inlineStr">
        <is>
          <t>128-12566464942712315</t>
        </is>
      </c>
      <c r="E1869" s="16" t="inlineStr">
        <is>
          <t>Delivered</t>
        </is>
      </c>
      <c r="F1869" s="16" t="inlineStr">
        <is>
          <t>MCM-001G</t>
        </is>
      </c>
      <c r="G1869" s="16" t="inlineStr">
        <is>
          <t>Musicord Altavoz Inalámbrico BT Portátil: ¡Sonido impactante, luces LED multicolores y 4 horas de autonomía! Compatible con TWS, FM, TF y USB – Imprescindible para fiestas y viajes</t>
        </is>
      </c>
      <c r="H1869" s="16" t="inlineStr">
        <is>
          <t>GRIS</t>
        </is>
      </c>
      <c r="I1869" s="16" t="n">
        <v>1</v>
      </c>
      <c r="J1869" s="17" t="n">
        <v>51.07</v>
      </c>
      <c r="K1869" s="17" t="n">
        <v>55.01</v>
      </c>
      <c r="L1869" s="17" t="n">
        <v>25.86</v>
      </c>
      <c r="M1869" s="17" t="n">
        <v>0</v>
      </c>
      <c r="N1869" s="17">
        <f>K1869*0.08+L1869*0.08</f>
        <v/>
      </c>
      <c r="O1869" s="17">
        <f>-(K1869*0.025+L1869*0.025)</f>
        <v/>
      </c>
      <c r="P1869" s="17">
        <f>32</f>
        <v/>
      </c>
      <c r="Q1869" s="17">
        <f>J1869+L1869+N1869+O1869-P1869-M1869</f>
        <v/>
      </c>
    </row>
    <row r="1870">
      <c r="A1870" s="16" t="inlineStr">
        <is>
          <t>5.15-5.21</t>
        </is>
      </c>
      <c r="B1870" s="16" t="inlineStr">
        <is>
          <t>PO-128-12520912200313608</t>
        </is>
      </c>
      <c r="C1870" s="16" t="inlineStr">
        <is>
          <t>Delivered</t>
        </is>
      </c>
      <c r="D1870" s="16" t="inlineStr">
        <is>
          <t>128-12520891228793608</t>
        </is>
      </c>
      <c r="E1870" s="16" t="inlineStr">
        <is>
          <t>Delivered</t>
        </is>
      </c>
      <c r="F1870" s="16" t="inlineStr">
        <is>
          <t>FA028</t>
        </is>
      </c>
      <c r="G1870" s="16" t="inlineStr">
        <is>
          <t>Extractor de agua para garrafas de agua, compatible con carga USB, extractor de agua automático, práctico, con dos modos de toma de agua: manual y programado, ideal para dormitorios, salones, oficinas, uso al aire libre y otros escenarios.</t>
        </is>
      </c>
      <c r="H1870" s="16" t="inlineStr">
        <is>
          <t>FA028</t>
        </is>
      </c>
      <c r="I1870" s="16" t="n">
        <v>1</v>
      </c>
      <c r="J1870" s="17" t="n">
        <v>30</v>
      </c>
      <c r="K1870" s="17" t="n">
        <v>39.58</v>
      </c>
      <c r="L1870" s="17" t="n">
        <v>25.86</v>
      </c>
      <c r="M1870" s="17" t="n">
        <v>3</v>
      </c>
      <c r="N1870" s="17">
        <f>K1870*0.08+L1870*0.08</f>
        <v/>
      </c>
      <c r="O1870" s="17">
        <f>-(K1870*0.025+L1870*0.025)</f>
        <v/>
      </c>
      <c r="P1870" s="17">
        <f>32</f>
        <v/>
      </c>
      <c r="Q1870" s="17">
        <f>J1870+L1870+N1870+O1870-P1870-M1870</f>
        <v/>
      </c>
    </row>
    <row r="1871">
      <c r="A1871" s="16" t="inlineStr">
        <is>
          <t>5.15-5.21</t>
        </is>
      </c>
      <c r="B1871" s="16" t="inlineStr">
        <is>
          <t>PO-128-12834150349431871</t>
        </is>
      </c>
      <c r="C1871" s="16" t="inlineStr">
        <is>
          <t>Delivered</t>
        </is>
      </c>
      <c r="D1871" s="16" t="inlineStr">
        <is>
          <t>128-12834108406391871</t>
        </is>
      </c>
      <c r="E1871" s="16" t="inlineStr">
        <is>
          <t>Delivered</t>
        </is>
      </c>
      <c r="F1871" s="16" t="inlineStr">
        <is>
          <t>MCM-001G</t>
        </is>
      </c>
      <c r="G1871" s="16" t="inlineStr">
        <is>
          <t>Musicord Altavoz Inalámbrico BT Portátil: ¡Sonido impactante, luces LED multicolores y 4 horas de autonomía! Compatible con TWS, FM, TF y USB – Imprescindible para fiestas y viajes</t>
        </is>
      </c>
      <c r="H1871" s="16" t="inlineStr">
        <is>
          <t>GRIS</t>
        </is>
      </c>
      <c r="I1871" s="16" t="n">
        <v>1</v>
      </c>
      <c r="J1871" s="17" t="n">
        <v>51.07</v>
      </c>
      <c r="K1871" s="17" t="n">
        <v>58.86</v>
      </c>
      <c r="L1871" s="17" t="n">
        <v>25.86</v>
      </c>
      <c r="M1871" s="17" t="n">
        <v>0</v>
      </c>
      <c r="N1871" s="17">
        <f>K1871*0.08+L1871*0.08</f>
        <v/>
      </c>
      <c r="O1871" s="17">
        <f>-(K1871*0.025+L1871*0.025)</f>
        <v/>
      </c>
      <c r="P1871" s="17">
        <f>32</f>
        <v/>
      </c>
      <c r="Q1871" s="17">
        <f>J1871+L1871+N1871+O1871-P1871-M1871</f>
        <v/>
      </c>
    </row>
    <row r="1872">
      <c r="A1872" s="16" t="inlineStr">
        <is>
          <t>5.15-5.21</t>
        </is>
      </c>
      <c r="B1872" s="16" t="inlineStr">
        <is>
          <t>PO-128-12583883182712403</t>
        </is>
      </c>
      <c r="C1872" s="16" t="inlineStr">
        <is>
          <t>Delivered</t>
        </is>
      </c>
      <c r="D1872" s="16" t="inlineStr">
        <is>
          <t>128-12583841239672403</t>
        </is>
      </c>
      <c r="E1872" s="16" t="inlineStr">
        <is>
          <t>Delivered</t>
        </is>
      </c>
      <c r="F1872" s="16" t="inlineStr">
        <is>
          <t>LB02235-negro</t>
        </is>
      </c>
      <c r="G1872" s="16" t="inlineStr">
        <is>
          <t>Audífonos Inalámbricos para la Cabeza, Recargables y Multifuncionales - Conectan a Varios Dispositivos, soportan Radio FM, Tarjeta TF y AUX - 4 Horas de Reproducción Musical - Ideal para Trabajo Cotidiano, Juegos y Estudio</t>
        </is>
      </c>
      <c r="H1872" s="16" t="inlineStr">
        <is>
          <t>NEGRO</t>
        </is>
      </c>
      <c r="I1872" s="16" t="n">
        <v>1</v>
      </c>
      <c r="J1872" s="17" t="n">
        <v>37</v>
      </c>
      <c r="K1872" s="17" t="n">
        <v>50.11</v>
      </c>
      <c r="L1872" s="17" t="n">
        <v>25.86</v>
      </c>
      <c r="M1872" s="17" t="n">
        <v>0</v>
      </c>
      <c r="N1872" s="17">
        <f>K1872*0.08+L1872*0.08</f>
        <v/>
      </c>
      <c r="O1872" s="17">
        <f>-(K1872*0.025+L1872*0.025)</f>
        <v/>
      </c>
      <c r="P1872" s="17">
        <f>32</f>
        <v/>
      </c>
      <c r="Q1872" s="17">
        <f>J1872+L1872+N1872+O1872-P1872-M1872</f>
        <v/>
      </c>
    </row>
    <row r="1873">
      <c r="A1873" s="16" t="inlineStr">
        <is>
          <t>5.15-5.21</t>
        </is>
      </c>
      <c r="B1873" s="16" t="inlineStr">
        <is>
          <t>PO-128-12873425306231573</t>
        </is>
      </c>
      <c r="C1873" s="16" t="inlineStr">
        <is>
          <t>Delivered</t>
        </is>
      </c>
      <c r="D1873" s="16" t="inlineStr">
        <is>
          <t>128-12873372877431573</t>
        </is>
      </c>
      <c r="E1873" s="16" t="inlineStr">
        <is>
          <t>Delivered</t>
        </is>
      </c>
      <c r="F1873" s="16" t="inlineStr">
        <is>
          <t>MCM-001G</t>
        </is>
      </c>
      <c r="G1873" s="16" t="inlineStr">
        <is>
          <t>Musicord Altavoz Inalámbrico BT Portátil: ¡Sonido impactante, luces LED multicolores y 4 horas de autonomía! Compatible con TWS, FM, TF y USB – Imprescindible para fiestas y viajes</t>
        </is>
      </c>
      <c r="H1873" s="16" t="inlineStr">
        <is>
          <t>GRIS</t>
        </is>
      </c>
      <c r="I1873" s="16" t="n">
        <v>1</v>
      </c>
      <c r="J1873" s="17" t="n">
        <v>51.07</v>
      </c>
      <c r="K1873" s="17" t="n">
        <v>58.86</v>
      </c>
      <c r="L1873" s="17" t="n">
        <v>25.86</v>
      </c>
      <c r="M1873" s="17" t="n">
        <v>0</v>
      </c>
      <c r="N1873" s="17">
        <f>K1873*0.08+L1873*0.08</f>
        <v/>
      </c>
      <c r="O1873" s="17">
        <f>-(K1873*0.025+L1873*0.025)</f>
        <v/>
      </c>
      <c r="P1873" s="17">
        <f>32</f>
        <v/>
      </c>
      <c r="Q1873" s="17">
        <f>J1873+L1873+N1873+O1873-P1873-M1873</f>
        <v/>
      </c>
    </row>
    <row r="1874">
      <c r="A1874" s="16" t="inlineStr">
        <is>
          <t>5.15-5.21</t>
        </is>
      </c>
      <c r="B1874" s="16" t="inlineStr">
        <is>
          <t>PO-128-12506172155513760</t>
        </is>
      </c>
      <c r="C1874" s="16" t="inlineStr">
        <is>
          <t>Delivered</t>
        </is>
      </c>
      <c r="D1874" s="16" t="inlineStr">
        <is>
          <t>128-12506224584313760</t>
        </is>
      </c>
      <c r="E1874" s="16" t="inlineStr">
        <is>
          <t>Delivered</t>
        </is>
      </c>
      <c r="F1874" s="16" t="inlineStr">
        <is>
          <t>MCM-001N</t>
        </is>
      </c>
      <c r="G1874" s="16" t="inlineStr">
        <is>
          <t>Musicord Altavoz Inalámbrico BT Portátil: ¡Sonido impactante, luces LED multicolores y 4 horas de autonomía! Compatible con TWS, FM, TF y USB – Imprescindible para fiestas y viajes</t>
        </is>
      </c>
      <c r="H1874" s="16" t="inlineStr">
        <is>
          <t>NEGRO</t>
        </is>
      </c>
      <c r="I1874" s="16" t="n">
        <v>1</v>
      </c>
      <c r="J1874" s="17" t="n">
        <v>61</v>
      </c>
      <c r="K1874" s="17" t="n">
        <v>15.34</v>
      </c>
      <c r="L1874" s="17" t="n">
        <v>25.86</v>
      </c>
      <c r="M1874" s="17" t="n">
        <v>0</v>
      </c>
      <c r="N1874" s="17">
        <f>K1874*0.08+L1874*0.08</f>
        <v/>
      </c>
      <c r="O1874" s="17">
        <f>-(K1874*0.025+L1874*0.025)</f>
        <v/>
      </c>
      <c r="P1874" s="17">
        <f>32</f>
        <v/>
      </c>
      <c r="Q1874" s="17">
        <f>J1874+L1874+N1874+O1874-P1874-M1874</f>
        <v/>
      </c>
    </row>
    <row r="1875">
      <c r="A1875" s="16" t="inlineStr">
        <is>
          <t>5.15-5.21</t>
        </is>
      </c>
      <c r="B1875" s="16" t="inlineStr">
        <is>
          <t>PO-128-12554238311032515</t>
        </is>
      </c>
      <c r="C1875" s="16" t="inlineStr">
        <is>
          <t>Delivered</t>
        </is>
      </c>
      <c r="D1875" s="16" t="inlineStr">
        <is>
          <t>128-12554251418232515</t>
        </is>
      </c>
      <c r="E1875" s="16" t="inlineStr">
        <is>
          <t>Delivered</t>
        </is>
      </c>
      <c r="F1875" s="16" t="inlineStr">
        <is>
          <t>LB02235-negro</t>
        </is>
      </c>
      <c r="G1875" s="16" t="inlineStr">
        <is>
          <t>Audífonos Inalámbricos para la Cabeza, Recargables y Multifuncionales - Conectan a Varios Dispositivos, soportan Radio FM, Tarjeta TF y AUX - 4 Horas de Reproducción Musical - Ideal para Trabajo Cotidiano, Juegos y Estudio</t>
        </is>
      </c>
      <c r="H1875" s="16" t="inlineStr">
        <is>
          <t>NEGRO</t>
        </is>
      </c>
      <c r="I1875" s="16" t="n">
        <v>1</v>
      </c>
      <c r="J1875" s="17" t="n">
        <v>37</v>
      </c>
      <c r="K1875" s="17" t="n">
        <v>50.11</v>
      </c>
      <c r="L1875" s="17" t="n">
        <v>25.86</v>
      </c>
      <c r="M1875" s="17" t="n">
        <v>0</v>
      </c>
      <c r="N1875" s="17">
        <f>K1875*0.08+L1875*0.08</f>
        <v/>
      </c>
      <c r="O1875" s="17">
        <f>-(K1875*0.025+L1875*0.025)</f>
        <v/>
      </c>
      <c r="P1875" s="17">
        <f>32</f>
        <v/>
      </c>
      <c r="Q1875" s="17">
        <f>J1875+L1875+N1875+O1875-P1875-M1875</f>
        <v/>
      </c>
    </row>
    <row r="1876">
      <c r="A1876" s="16" t="inlineStr">
        <is>
          <t>5.15-5.21</t>
        </is>
      </c>
      <c r="B1876" s="16" t="inlineStr">
        <is>
          <t>PO-128-12864800425591558</t>
        </is>
      </c>
      <c r="C1876" s="16" t="inlineStr">
        <is>
          <t>Delivered</t>
        </is>
      </c>
      <c r="D1876" s="16" t="inlineStr">
        <is>
          <t>128-12864821397111558</t>
        </is>
      </c>
      <c r="E1876" s="16" t="inlineStr">
        <is>
          <t>Delivered</t>
        </is>
      </c>
      <c r="F1876" s="16" t="inlineStr">
        <is>
          <t>LV25W22</t>
        </is>
      </c>
      <c r="G18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76" s="16" t="inlineStr">
        <is>
          <t>LV25W32</t>
        </is>
      </c>
      <c r="I1876" s="16" t="n">
        <v>1</v>
      </c>
      <c r="J1876" s="17" t="n">
        <v>120</v>
      </c>
      <c r="K1876" s="17" t="n">
        <v>110.85</v>
      </c>
      <c r="L1876" s="17" t="n">
        <v>25.86</v>
      </c>
      <c r="M1876" s="17" t="n">
        <v>0</v>
      </c>
      <c r="N1876" s="17">
        <f>K1876*0.08+L1876*0.08</f>
        <v/>
      </c>
      <c r="O1876" s="17">
        <f>-(K1876*0.025+L1876*0.025)</f>
        <v/>
      </c>
      <c r="P1876" s="17">
        <f>32</f>
        <v/>
      </c>
      <c r="Q1876" s="17">
        <f>J1876+L1876+N1876+O1876-P1876-M1876</f>
        <v/>
      </c>
    </row>
    <row r="1877">
      <c r="A1877" s="16" t="inlineStr">
        <is>
          <t>5.15-5.21</t>
        </is>
      </c>
      <c r="B1877" s="16" t="inlineStr">
        <is>
          <t>PO-128-12675290829432688</t>
        </is>
      </c>
      <c r="C1877" s="16" t="inlineStr">
        <is>
          <t>Delivered</t>
        </is>
      </c>
      <c r="D1877" s="16" t="inlineStr">
        <is>
          <t>128-12675343258232688</t>
        </is>
      </c>
      <c r="E1877" s="16" t="inlineStr">
        <is>
          <t>Delivered</t>
        </is>
      </c>
      <c r="F1877" s="16" t="inlineStr">
        <is>
          <t>LB02235-rojo</t>
        </is>
      </c>
      <c r="G1877" s="16" t="inlineStr">
        <is>
          <t>Audífonos Inalámbricos para la Cabeza, Recargables y Multifuncionales - Conectan a Varios Dispositivos, soportan Radio FM, Tarjeta TF y AUX - 4 Horas de Reproducción Musical - Ideal para Trabajo Cotidiano, Juegos y Estudio</t>
        </is>
      </c>
      <c r="H1877" s="16" t="inlineStr">
        <is>
          <t>ROJO</t>
        </is>
      </c>
      <c r="I1877" s="16" t="n">
        <v>1</v>
      </c>
      <c r="J1877" s="17" t="n">
        <v>38</v>
      </c>
      <c r="K1877" s="17" t="n">
        <v>51.11</v>
      </c>
      <c r="L1877" s="17" t="n">
        <v>25.86</v>
      </c>
      <c r="M1877" s="17" t="n">
        <v>0</v>
      </c>
      <c r="N1877" s="17">
        <f>K1877*0.08+L1877*0.08</f>
        <v/>
      </c>
      <c r="O1877" s="17">
        <f>-(K1877*0.025+L1877*0.025)</f>
        <v/>
      </c>
      <c r="P1877" s="17">
        <f>32</f>
        <v/>
      </c>
      <c r="Q1877" s="17">
        <f>J1877+L1877+N1877+O1877-P1877-M1877</f>
        <v/>
      </c>
    </row>
    <row r="1878">
      <c r="A1878" s="16" t="inlineStr">
        <is>
          <t>5.15-5.21</t>
        </is>
      </c>
      <c r="B1878" s="16" t="inlineStr">
        <is>
          <t>PO-128-12792165607031097</t>
        </is>
      </c>
      <c r="C1878" s="16" t="inlineStr">
        <is>
          <t>Delivered</t>
        </is>
      </c>
      <c r="D1878" s="16" t="inlineStr">
        <is>
          <t>128-12792155121271097</t>
        </is>
      </c>
      <c r="E1878" s="16" t="inlineStr">
        <is>
          <t>Delivered</t>
        </is>
      </c>
      <c r="F1878" s="16" t="inlineStr">
        <is>
          <t>LV25W22</t>
        </is>
      </c>
      <c r="G18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78" s="16" t="inlineStr">
        <is>
          <t>LV25W32</t>
        </is>
      </c>
      <c r="I1878" s="16" t="n">
        <v>1</v>
      </c>
      <c r="J1878" s="17" t="n">
        <v>120</v>
      </c>
      <c r="K1878" s="17" t="n">
        <v>130.41</v>
      </c>
      <c r="L1878" s="17" t="n">
        <v>25.86</v>
      </c>
      <c r="M1878" s="17" t="n">
        <v>0</v>
      </c>
      <c r="N1878" s="17">
        <f>K1878*0.08+L1878*0.08</f>
        <v/>
      </c>
      <c r="O1878" s="17">
        <f>-(K1878*0.025+L1878*0.025)</f>
        <v/>
      </c>
      <c r="P1878" s="17">
        <f>32</f>
        <v/>
      </c>
      <c r="Q1878" s="17">
        <f>J1878+L1878+N1878+O1878-P1878-M1878</f>
        <v/>
      </c>
    </row>
    <row r="1879">
      <c r="A1879" s="16" t="inlineStr">
        <is>
          <t>5.15-5.21</t>
        </is>
      </c>
      <c r="B1879" s="16" t="inlineStr">
        <is>
          <t>PO-128-12993762304630790</t>
        </is>
      </c>
      <c r="C1879" s="16" t="inlineStr">
        <is>
          <t>Delivered</t>
        </is>
      </c>
      <c r="D1879" s="16" t="inlineStr">
        <is>
          <t>128-12993720361590790</t>
        </is>
      </c>
      <c r="E1879" s="16" t="inlineStr">
        <is>
          <t>Delivered</t>
        </is>
      </c>
      <c r="F1879" s="16" t="inlineStr">
        <is>
          <t>S09W18IB</t>
        </is>
      </c>
      <c r="G187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1879" s="16" t="inlineStr">
        <is>
          <t>1 pieza</t>
        </is>
      </c>
      <c r="I1879" s="16" t="n">
        <v>3</v>
      </c>
      <c r="J1879" s="17" t="n">
        <v>69</v>
      </c>
      <c r="K1879" s="17" t="n">
        <v>14.72</v>
      </c>
      <c r="L1879" s="17" t="n">
        <v>25.86</v>
      </c>
      <c r="M1879" s="17" t="n">
        <v>0</v>
      </c>
      <c r="N1879" s="17">
        <f>K1879*0.08+L1879*0.08</f>
        <v/>
      </c>
      <c r="O1879" s="17">
        <f>-(K1879*0.025+L1879*0.025)</f>
        <v/>
      </c>
      <c r="P1879" s="17">
        <f>32</f>
        <v/>
      </c>
      <c r="Q1879" s="17">
        <f>J1879+L1879+N1879+O1879-P1879-M1879</f>
        <v/>
      </c>
    </row>
    <row r="1880">
      <c r="A1880" s="16" t="inlineStr">
        <is>
          <t>5.15-5.21</t>
        </is>
      </c>
      <c r="B1880" s="16" t="inlineStr">
        <is>
          <t>PO-128-12585539994232201</t>
        </is>
      </c>
      <c r="C1880" s="16" t="inlineStr">
        <is>
          <t>Delivered</t>
        </is>
      </c>
      <c r="D1880" s="16" t="inlineStr">
        <is>
          <t>128-12585560965752201</t>
        </is>
      </c>
      <c r="E1880" s="16" t="inlineStr">
        <is>
          <t>Delivered</t>
        </is>
      </c>
      <c r="F1880" s="16" t="inlineStr">
        <is>
          <t>MB-185A</t>
        </is>
      </c>
      <c r="G1880" s="16" t="inlineStr">
        <is>
          <t>Bocina Radio FM/Reproductor, Compatible con Tarjeta TF, USB, Bluetooth, Aplicable para celular, computadora, Ipad y consola.</t>
        </is>
      </c>
      <c r="H1880" s="16" t="inlineStr">
        <is>
          <t>AZUL/MB-185</t>
        </is>
      </c>
      <c r="I1880" s="16" t="n">
        <v>1</v>
      </c>
      <c r="J1880" s="17" t="n">
        <v>75.5</v>
      </c>
      <c r="K1880" s="17" t="n">
        <v>88.44</v>
      </c>
      <c r="L1880" s="17" t="n">
        <v>25.86</v>
      </c>
      <c r="M1880" s="17" t="n">
        <v>0</v>
      </c>
      <c r="N1880" s="17">
        <f>K1880*0.08+L1880*0.08</f>
        <v/>
      </c>
      <c r="O1880" s="17">
        <f>-(K1880*0.025+L1880*0.025)</f>
        <v/>
      </c>
      <c r="P1880" s="17">
        <f>32</f>
        <v/>
      </c>
      <c r="Q1880" s="17">
        <f>J1880+L1880+N1880+O1880-P1880-M1880</f>
        <v/>
      </c>
    </row>
    <row r="1881">
      <c r="A1881" s="16" t="inlineStr">
        <is>
          <t>5.15-5.21</t>
        </is>
      </c>
      <c r="B1881" s="16" t="inlineStr">
        <is>
          <t>PO-128-12785963239031068</t>
        </is>
      </c>
      <c r="C1881" s="16" t="inlineStr">
        <is>
          <t>Delivered</t>
        </is>
      </c>
      <c r="D1881" s="16" t="inlineStr">
        <is>
          <t>128-12785997317751068</t>
        </is>
      </c>
      <c r="E1881" s="16" t="inlineStr">
        <is>
          <t>Delivered</t>
        </is>
      </c>
      <c r="F1881" s="16" t="inlineStr">
        <is>
          <t>MCM-001R</t>
        </is>
      </c>
      <c r="G1881" s="16" t="inlineStr">
        <is>
          <t>Musicord Altavoz Inalámbrico BT Portátil: ¡Sonido impactante, luces LED multicolores y 4 horas de autonomía! Compatible con TWS, FM, TF y USB – Imprescindible para fiestas y viajes</t>
        </is>
      </c>
      <c r="H1881" s="16" t="inlineStr">
        <is>
          <t>ROJO</t>
        </is>
      </c>
      <c r="I1881" s="16" t="n">
        <v>1</v>
      </c>
      <c r="J1881" s="17" t="n">
        <v>66.5</v>
      </c>
      <c r="K1881" s="17" t="n">
        <v>74.29000000000001</v>
      </c>
      <c r="L1881" s="17" t="n">
        <v>25.86</v>
      </c>
      <c r="M1881" s="17" t="n">
        <v>0</v>
      </c>
      <c r="N1881" s="17">
        <f>K1881*0.08+L1881*0.08</f>
        <v/>
      </c>
      <c r="O1881" s="17">
        <f>-(K1881*0.025+L1881*0.025)</f>
        <v/>
      </c>
      <c r="P1881" s="17">
        <f>32</f>
        <v/>
      </c>
      <c r="Q1881" s="17">
        <f>J1881+L1881+N1881+O1881-P1881-M1881</f>
        <v/>
      </c>
    </row>
    <row r="1882">
      <c r="A1882" s="16" t="inlineStr">
        <is>
          <t>5.15-5.21</t>
        </is>
      </c>
      <c r="B1882" s="16" t="inlineStr">
        <is>
          <t>PO-128-13024480000630673</t>
        </is>
      </c>
      <c r="C1882" s="16" t="inlineStr">
        <is>
          <t>Delivered</t>
        </is>
      </c>
      <c r="D1882" s="16" t="inlineStr">
        <is>
          <t>128-13024438057590673</t>
        </is>
      </c>
      <c r="E1882" s="16" t="inlineStr">
        <is>
          <t>Delivered</t>
        </is>
      </c>
      <c r="F1882" s="16" t="inlineStr">
        <is>
          <t>MCM-001A</t>
        </is>
      </c>
      <c r="G1882" s="16" t="inlineStr">
        <is>
          <t>Musicord Altavoz Inalámbrico BT Portátil: ¡Sonido impactante, luces LED multicolores y 4 horas de autonomía! Compatible con TWS, FM, TF y USB – Imprescindible para fiestas y viajes</t>
        </is>
      </c>
      <c r="H1882" s="16" t="inlineStr">
        <is>
          <t>AZUL</t>
        </is>
      </c>
      <c r="I1882" s="16" t="n">
        <v>1</v>
      </c>
      <c r="J1882" s="17" t="n">
        <v>51.08</v>
      </c>
      <c r="K1882" s="17" t="n">
        <v>59.47</v>
      </c>
      <c r="L1882" s="17" t="n">
        <v>25.86</v>
      </c>
      <c r="M1882" s="17" t="n">
        <v>0</v>
      </c>
      <c r="N1882" s="17">
        <f>K1882*0.08+L1882*0.08</f>
        <v/>
      </c>
      <c r="O1882" s="17">
        <f>-(K1882*0.025+L1882*0.025)</f>
        <v/>
      </c>
      <c r="P1882" s="17">
        <f>32</f>
        <v/>
      </c>
      <c r="Q1882" s="17">
        <f>J1882+L1882+N1882+O1882-P1882-M1882</f>
        <v/>
      </c>
    </row>
    <row r="1883">
      <c r="A1883" s="16" t="inlineStr">
        <is>
          <t>5.15-5.21</t>
        </is>
      </c>
      <c r="B1883" s="16" t="inlineStr">
        <is>
          <t>PO-128-12732948664951512</t>
        </is>
      </c>
      <c r="C1883" s="16" t="inlineStr">
        <is>
          <t>Delivered</t>
        </is>
      </c>
      <c r="D1883" s="16" t="inlineStr">
        <is>
          <t>128-12732990607991512</t>
        </is>
      </c>
      <c r="E1883" s="16" t="inlineStr">
        <is>
          <t>Delivered</t>
        </is>
      </c>
      <c r="F1883" s="16" t="inlineStr">
        <is>
          <t>LB02235-azul</t>
        </is>
      </c>
      <c r="G1883" s="16" t="inlineStr">
        <is>
          <t>Audífonos Inalámbricos para la Cabeza, Recargables y Multifuncionales - Conectan a Varios Dispositivos, soportan Radio FM, Tarjeta TF y AUX - 4 Horas de Reproducción Musical - Ideal para Trabajo Cotidiano, Juegos y Estudio</t>
        </is>
      </c>
      <c r="H1883" s="16" t="inlineStr">
        <is>
          <t>AZUL</t>
        </is>
      </c>
      <c r="I1883" s="16" t="n">
        <v>1</v>
      </c>
      <c r="J1883" s="17" t="n">
        <v>36.8</v>
      </c>
      <c r="K1883" s="17" t="n">
        <v>39.94</v>
      </c>
      <c r="L1883" s="17" t="n">
        <v>25.86</v>
      </c>
      <c r="M1883" s="17" t="n">
        <v>8.630000000000001</v>
      </c>
      <c r="N1883" s="17">
        <f>K1883*0.08+L1883*0.08</f>
        <v/>
      </c>
      <c r="O1883" s="17">
        <f>-(K1883*0.025+L1883*0.025)</f>
        <v/>
      </c>
      <c r="P1883" s="17">
        <f>32</f>
        <v/>
      </c>
      <c r="Q1883" s="17">
        <f>J1883+L1883+N1883+O1883-P1883-M1883</f>
        <v/>
      </c>
    </row>
    <row r="1884">
      <c r="A1884" s="16" t="inlineStr">
        <is>
          <t>5.15-5.21</t>
        </is>
      </c>
      <c r="B1884" s="16" t="inlineStr">
        <is>
          <t>PO-128-12952751944310010</t>
        </is>
      </c>
      <c r="C1884" s="16" t="inlineStr">
        <is>
          <t>Delivered</t>
        </is>
      </c>
      <c r="D1884" s="16" t="inlineStr">
        <is>
          <t>128-12952710001270010</t>
        </is>
      </c>
      <c r="E1884" s="16" t="inlineStr">
        <is>
          <t>Delivered</t>
        </is>
      </c>
      <c r="F1884" s="16" t="inlineStr">
        <is>
          <t>LB02235-negro</t>
        </is>
      </c>
      <c r="G1884" s="16" t="inlineStr">
        <is>
          <t>Audífonos Inalámbricos para la Cabeza, Recargables y Multifuncionales - Conectan a Varios Dispositivos, soportan Radio FM, Tarjeta TF y AUX - 4 Horas de Reproducción Musical - Ideal para Trabajo Cotidiano, Juegos y Estudio</t>
        </is>
      </c>
      <c r="H1884" s="16" t="inlineStr">
        <is>
          <t>NEGRO</t>
        </is>
      </c>
      <c r="I1884" s="16" t="n">
        <v>1</v>
      </c>
      <c r="J1884" s="17" t="n">
        <v>37</v>
      </c>
      <c r="K1884" s="17" t="n">
        <v>50.11</v>
      </c>
      <c r="L1884" s="17" t="n">
        <v>25.86</v>
      </c>
      <c r="M1884" s="17" t="n">
        <v>0</v>
      </c>
      <c r="N1884" s="17">
        <f>K1884*0.08+L1884*0.08</f>
        <v/>
      </c>
      <c r="O1884" s="17">
        <f>-(K1884*0.025+L1884*0.025)</f>
        <v/>
      </c>
      <c r="P1884" s="17">
        <f>32</f>
        <v/>
      </c>
      <c r="Q1884" s="17">
        <f>J1884+L1884+N1884+O1884-P1884-M1884</f>
        <v/>
      </c>
    </row>
    <row r="1885">
      <c r="A1885" s="16" t="inlineStr">
        <is>
          <t>5.15-5.21</t>
        </is>
      </c>
      <c r="B1885" s="16" t="inlineStr">
        <is>
          <t>PO-128-13037726515830528</t>
        </is>
      </c>
      <c r="C1885" s="16" t="inlineStr">
        <is>
          <t>Delivered</t>
        </is>
      </c>
      <c r="D1885" s="16" t="inlineStr">
        <is>
          <t>128-13037684572790528</t>
        </is>
      </c>
      <c r="E1885" s="16" t="inlineStr">
        <is>
          <t>Delivered</t>
        </is>
      </c>
      <c r="F1885" s="16" t="inlineStr">
        <is>
          <t>LV25W22</t>
        </is>
      </c>
      <c r="G18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85" s="16" t="inlineStr">
        <is>
          <t>LV25W32</t>
        </is>
      </c>
      <c r="I1885" s="16" t="n">
        <v>1</v>
      </c>
      <c r="J1885" s="17" t="n">
        <v>90.43000000000001</v>
      </c>
      <c r="K1885" s="17" t="n">
        <v>100.84</v>
      </c>
      <c r="L1885" s="17" t="n">
        <v>25.86</v>
      </c>
      <c r="M1885" s="17" t="n">
        <v>0</v>
      </c>
      <c r="N1885" s="17">
        <f>K1885*0.08+L1885*0.08</f>
        <v/>
      </c>
      <c r="O1885" s="17">
        <f>-(K1885*0.025+L1885*0.025)</f>
        <v/>
      </c>
      <c r="P1885" s="17">
        <f>32</f>
        <v/>
      </c>
      <c r="Q1885" s="17">
        <f>J1885+L1885+N1885+O1885-P1885-M1885</f>
        <v/>
      </c>
    </row>
    <row r="1886">
      <c r="A1886" s="16" t="inlineStr">
        <is>
          <t>5.15-5.21</t>
        </is>
      </c>
      <c r="B1886" s="16" t="inlineStr">
        <is>
          <t>PO-128-12428967813753324</t>
        </is>
      </c>
      <c r="C1886" s="16" t="inlineStr">
        <is>
          <t>Delivered</t>
        </is>
      </c>
      <c r="D1886" s="16" t="inlineStr">
        <is>
          <t>128-12429009756793324</t>
        </is>
      </c>
      <c r="E1886" s="16" t="inlineStr">
        <is>
          <t>Delivered</t>
        </is>
      </c>
      <c r="F1886" s="16" t="inlineStr">
        <is>
          <t>LV25W22</t>
        </is>
      </c>
      <c r="G18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86" s="16" t="inlineStr">
        <is>
          <t>LV25W32</t>
        </is>
      </c>
      <c r="I1886" s="16" t="n">
        <v>1</v>
      </c>
      <c r="J1886" s="17" t="n">
        <v>90.43000000000001</v>
      </c>
      <c r="K1886" s="17" t="n">
        <v>100.84</v>
      </c>
      <c r="L1886" s="17" t="n">
        <v>25.86</v>
      </c>
      <c r="M1886" s="17" t="n">
        <v>0</v>
      </c>
      <c r="N1886" s="17">
        <f>K1886*0.08+L1886*0.08</f>
        <v/>
      </c>
      <c r="O1886" s="17">
        <f>-(K1886*0.025+L1886*0.025)</f>
        <v/>
      </c>
      <c r="P1886" s="17">
        <f>32</f>
        <v/>
      </c>
      <c r="Q1886" s="17">
        <f>J1886+L1886+N1886+O1886-P1886-M1886</f>
        <v/>
      </c>
    </row>
    <row r="1887">
      <c r="A1887" s="16" t="inlineStr">
        <is>
          <t>5.15-5.21</t>
        </is>
      </c>
      <c r="B1887" s="16" t="inlineStr">
        <is>
          <t>PO-128-12559682048632547</t>
        </is>
      </c>
      <c r="C1887" s="16" t="inlineStr">
        <is>
          <t>Delivered</t>
        </is>
      </c>
      <c r="D1887" s="16" t="inlineStr">
        <is>
          <t>128-12559750206072547</t>
        </is>
      </c>
      <c r="E1887" s="16" t="inlineStr">
        <is>
          <t>Delivered</t>
        </is>
      </c>
      <c r="F1887" s="16" t="inlineStr">
        <is>
          <t>LB02235-blanco</t>
        </is>
      </c>
      <c r="G1887" s="16" t="inlineStr">
        <is>
          <t>Audífonos Inalámbricos para la Cabeza, Recargables y Multifuncionales - Conectan a Varios Dispositivos, soportan Radio FM, Tarjeta TF y AUX - 4 Horas de Reproducción Musical - Ideal para Trabajo Cotidiano, Juegos y Estudio</t>
        </is>
      </c>
      <c r="H1887" s="16" t="inlineStr">
        <is>
          <t>BLANCO</t>
        </is>
      </c>
      <c r="I1887" s="16" t="n">
        <v>1</v>
      </c>
      <c r="J1887" s="17" t="n">
        <v>38</v>
      </c>
      <c r="K1887" s="17" t="n">
        <v>51.11</v>
      </c>
      <c r="L1887" s="17" t="n">
        <v>25.86</v>
      </c>
      <c r="M1887" s="17" t="n">
        <v>0</v>
      </c>
      <c r="N1887" s="17">
        <f>K1887*0.08+L1887*0.08</f>
        <v/>
      </c>
      <c r="O1887" s="17">
        <f>-(K1887*0.025+L1887*0.025)</f>
        <v/>
      </c>
      <c r="P1887" s="17">
        <f>32</f>
        <v/>
      </c>
      <c r="Q1887" s="17">
        <f>J1887+L1887+N1887+O1887-P1887-M1887</f>
        <v/>
      </c>
    </row>
    <row r="1888">
      <c r="A1888" s="16" t="inlineStr">
        <is>
          <t>5.15-5.21</t>
        </is>
      </c>
      <c r="B1888" s="16" t="inlineStr">
        <is>
          <t>PO-128-12532148813433671</t>
        </is>
      </c>
      <c r="C1888" s="16" t="inlineStr">
        <is>
          <t>Delivered</t>
        </is>
      </c>
      <c r="D1888" s="16" t="inlineStr">
        <is>
          <t>128-12532106870393671</t>
        </is>
      </c>
      <c r="E1888" s="16" t="inlineStr">
        <is>
          <t>Delivered</t>
        </is>
      </c>
      <c r="F1888" s="16" t="inlineStr">
        <is>
          <t>LV25W22</t>
        </is>
      </c>
      <c r="G18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88" s="16" t="inlineStr">
        <is>
          <t>LV25W32</t>
        </is>
      </c>
      <c r="I1888" s="16" t="n">
        <v>1</v>
      </c>
      <c r="J1888" s="17" t="n">
        <v>90.43000000000001</v>
      </c>
      <c r="K1888" s="17" t="n">
        <v>100.84</v>
      </c>
      <c r="L1888" s="17" t="n">
        <v>25.86</v>
      </c>
      <c r="M1888" s="17" t="n">
        <v>0</v>
      </c>
      <c r="N1888" s="17">
        <f>K1888*0.08+L1888*0.08</f>
        <v/>
      </c>
      <c r="O1888" s="17">
        <f>-(K1888*0.025+L1888*0.025)</f>
        <v/>
      </c>
      <c r="P1888" s="17">
        <f>32</f>
        <v/>
      </c>
      <c r="Q1888" s="17">
        <f>J1888+L1888+N1888+O1888-P1888-M1888</f>
        <v/>
      </c>
    </row>
    <row r="1889">
      <c r="A1889" s="16" t="inlineStr">
        <is>
          <t>5.15-5.21</t>
        </is>
      </c>
      <c r="B1889" s="16" t="inlineStr">
        <is>
          <t>PO-128-12535166654073653</t>
        </is>
      </c>
      <c r="C1889" s="16" t="inlineStr">
        <is>
          <t>Delivered</t>
        </is>
      </c>
      <c r="D1889" s="16" t="inlineStr">
        <is>
          <t>128-12535145682553653</t>
        </is>
      </c>
      <c r="E1889" s="16" t="inlineStr">
        <is>
          <t>Delivered</t>
        </is>
      </c>
      <c r="F1889" s="16" t="inlineStr">
        <is>
          <t>LB02235-rojo</t>
        </is>
      </c>
      <c r="G1889" s="16" t="inlineStr">
        <is>
          <t>Audífonos Inalámbricos para la Cabeza, Recargables y Multifuncionales - Conectan a Varios Dispositivos, soportan Radio FM, Tarjeta TF y AUX - 4 Horas de Reproducción Musical - Ideal para Trabajo Cotidiano, Juegos y Estudio</t>
        </is>
      </c>
      <c r="H1889" s="16" t="inlineStr">
        <is>
          <t>ROJO</t>
        </is>
      </c>
      <c r="I1889" s="16" t="n">
        <v>1</v>
      </c>
      <c r="J1889" s="17" t="n">
        <v>38</v>
      </c>
      <c r="K1889" s="17" t="n">
        <v>51.11</v>
      </c>
      <c r="L1889" s="17" t="n">
        <v>25.86</v>
      </c>
      <c r="M1889" s="17" t="n">
        <v>0</v>
      </c>
      <c r="N1889" s="17">
        <f>K1889*0.08+L1889*0.08</f>
        <v/>
      </c>
      <c r="O1889" s="17">
        <f>-(K1889*0.025+L1889*0.025)</f>
        <v/>
      </c>
      <c r="P1889" s="17">
        <f>32</f>
        <v/>
      </c>
      <c r="Q1889" s="17">
        <f>J1889+L1889+N1889+O1889-P1889-M1889</f>
        <v/>
      </c>
    </row>
    <row r="1890">
      <c r="A1890" s="16" t="inlineStr">
        <is>
          <t>5.15-5.21</t>
        </is>
      </c>
      <c r="B1890" s="16" t="inlineStr">
        <is>
          <t>PO-128-12451247375993193</t>
        </is>
      </c>
      <c r="C1890" s="16" t="inlineStr">
        <is>
          <t>Delivered</t>
        </is>
      </c>
      <c r="D1890" s="16" t="inlineStr">
        <is>
          <t>128-12451236890233193</t>
        </is>
      </c>
      <c r="E1890" s="16" t="inlineStr">
        <is>
          <t>Delivered</t>
        </is>
      </c>
      <c r="F1890" s="16" t="inlineStr">
        <is>
          <t>VB347T</t>
        </is>
      </c>
      <c r="G189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890" s="16" t="inlineStr">
        <is>
          <t>1 pieza</t>
        </is>
      </c>
      <c r="I1890" s="16" t="n">
        <v>1</v>
      </c>
      <c r="J1890" s="17" t="n">
        <v>79.90000000000001</v>
      </c>
      <c r="K1890" s="17" t="n">
        <v>94.5</v>
      </c>
      <c r="L1890" s="17" t="n">
        <v>25.86</v>
      </c>
      <c r="M1890" s="17" t="n">
        <v>0</v>
      </c>
      <c r="N1890" s="17">
        <f>K1890*0.08+L1890*0.08</f>
        <v/>
      </c>
      <c r="O1890" s="17">
        <f>-(K1890*0.025+L1890*0.025)</f>
        <v/>
      </c>
      <c r="P1890" s="17">
        <f>32</f>
        <v/>
      </c>
      <c r="Q1890" s="17">
        <f>J1890+L1890+N1890+O1890-P1890-M1890</f>
        <v/>
      </c>
    </row>
    <row r="1891">
      <c r="A1891" s="16" t="inlineStr">
        <is>
          <t>5.15-5.21</t>
        </is>
      </c>
      <c r="B1891" s="16" t="inlineStr">
        <is>
          <t>PO-128-12516529357433826</t>
        </is>
      </c>
      <c r="C1891" s="16" t="inlineStr">
        <is>
          <t>Delivered</t>
        </is>
      </c>
      <c r="D1891" s="16" t="inlineStr">
        <is>
          <t>128-12516487414393826</t>
        </is>
      </c>
      <c r="E1891" s="16" t="inlineStr">
        <is>
          <t>Delivered</t>
        </is>
      </c>
      <c r="F1891" s="16" t="inlineStr">
        <is>
          <t>MCM-001G</t>
        </is>
      </c>
      <c r="G1891" s="16" t="inlineStr">
        <is>
          <t>Musicord Altavoz Inalámbrico BT Portátil: ¡Sonido impactante, luces LED multicolores y 4 horas de autonomía! Compatible con TWS, FM, TF y USB – Imprescindible para fiestas y viajes</t>
        </is>
      </c>
      <c r="H1891" s="16" t="inlineStr">
        <is>
          <t>GRIS</t>
        </is>
      </c>
      <c r="I1891" s="16" t="n">
        <v>1</v>
      </c>
      <c r="J1891" s="17" t="n">
        <v>51.07</v>
      </c>
      <c r="K1891" s="17" t="n">
        <v>58.86</v>
      </c>
      <c r="L1891" s="17" t="n">
        <v>25.86</v>
      </c>
      <c r="M1891" s="17" t="n">
        <v>0</v>
      </c>
      <c r="N1891" s="17">
        <f>K1891*0.08+L1891*0.08</f>
        <v/>
      </c>
      <c r="O1891" s="17">
        <f>-(K1891*0.025+L1891*0.025)</f>
        <v/>
      </c>
      <c r="P1891" s="17">
        <f>32</f>
        <v/>
      </c>
      <c r="Q1891" s="17">
        <f>J1891+L1891+N1891+O1891-P1891-M1891</f>
        <v/>
      </c>
    </row>
    <row r="1892">
      <c r="A1892" s="16" t="inlineStr">
        <is>
          <t>5.15-5.21</t>
        </is>
      </c>
      <c r="B1892" s="16" t="inlineStr">
        <is>
          <t>PO-128-12438704466553074</t>
        </is>
      </c>
      <c r="C1892" s="16" t="inlineStr">
        <is>
          <t>Delivered</t>
        </is>
      </c>
      <c r="D1892" s="16" t="inlineStr">
        <is>
          <t>128-12438746409593074</t>
        </is>
      </c>
      <c r="E1892" s="16" t="inlineStr">
        <is>
          <t>Delivered</t>
        </is>
      </c>
      <c r="F1892" s="16" t="inlineStr">
        <is>
          <t>LV25W22</t>
        </is>
      </c>
      <c r="G18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92" s="16" t="inlineStr">
        <is>
          <t>LV25W32</t>
        </is>
      </c>
      <c r="I1892" s="16" t="n">
        <v>1</v>
      </c>
      <c r="J1892" s="17" t="n">
        <v>90.43000000000001</v>
      </c>
      <c r="K1892" s="17" t="n">
        <v>100.84</v>
      </c>
      <c r="L1892" s="17" t="n">
        <v>25.86</v>
      </c>
      <c r="M1892" s="17" t="n">
        <v>0</v>
      </c>
      <c r="N1892" s="17">
        <f>K1892*0.08+L1892*0.08</f>
        <v/>
      </c>
      <c r="O1892" s="17">
        <f>-(K1892*0.025+L1892*0.025)</f>
        <v/>
      </c>
      <c r="P1892" s="17">
        <f>32</f>
        <v/>
      </c>
      <c r="Q1892" s="17">
        <f>J1892+L1892+N1892+O1892-P1892-M1892</f>
        <v/>
      </c>
    </row>
    <row r="1893">
      <c r="A1893" s="16" t="inlineStr">
        <is>
          <t>5.15-5.21</t>
        </is>
      </c>
      <c r="B1893" s="16" t="inlineStr">
        <is>
          <t>PO-128-12521604260473604</t>
        </is>
      </c>
      <c r="C1893" s="16" t="inlineStr">
        <is>
          <t>Delivered</t>
        </is>
      </c>
      <c r="D1893" s="16" t="inlineStr">
        <is>
          <t>128-12521656689273604</t>
        </is>
      </c>
      <c r="E1893" s="16" t="inlineStr">
        <is>
          <t>Delivered</t>
        </is>
      </c>
      <c r="F1893" s="16" t="inlineStr">
        <is>
          <t>LV25W22</t>
        </is>
      </c>
      <c r="G189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93" s="16" t="inlineStr">
        <is>
          <t>LV25W32</t>
        </is>
      </c>
      <c r="I1893" s="16" t="n">
        <v>1</v>
      </c>
      <c r="J1893" s="17" t="n">
        <v>90.43000000000001</v>
      </c>
      <c r="K1893" s="17" t="n">
        <v>100.84</v>
      </c>
      <c r="L1893" s="17" t="n">
        <v>25.86</v>
      </c>
      <c r="M1893" s="17" t="n">
        <v>0</v>
      </c>
      <c r="N1893" s="17">
        <f>K1893*0.08+L1893*0.08</f>
        <v/>
      </c>
      <c r="O1893" s="17">
        <f>-(K1893*0.025+L1893*0.025)</f>
        <v/>
      </c>
      <c r="P1893" s="17">
        <f>32</f>
        <v/>
      </c>
      <c r="Q1893" s="17">
        <f>J1893+L1893+N1893+O1893-P1893-M1893</f>
        <v/>
      </c>
    </row>
    <row r="1894">
      <c r="A1894" s="16" t="inlineStr">
        <is>
          <t>5.15-5.21</t>
        </is>
      </c>
      <c r="B1894" s="16" t="inlineStr">
        <is>
          <t>PO-128-12502631332473719</t>
        </is>
      </c>
      <c r="C1894" s="16" t="inlineStr">
        <is>
          <t>Delivered</t>
        </is>
      </c>
      <c r="D1894" s="16" t="inlineStr">
        <is>
          <t>128-12502599875193719</t>
        </is>
      </c>
      <c r="E1894" s="16" t="inlineStr">
        <is>
          <t>Delivered</t>
        </is>
      </c>
      <c r="F1894" s="16" t="inlineStr">
        <is>
          <t>LB02235-rojo</t>
        </is>
      </c>
      <c r="G1894" s="16" t="inlineStr">
        <is>
          <t>Audífonos Inalámbricos para la Cabeza, Recargables y Multifuncionales - Conectan a Varios Dispositivos, soportan Radio FM, Tarjeta TF y AUX - 4 Horas de Reproducción Musical - Ideal para Trabajo Cotidiano, Juegos y Estudio</t>
        </is>
      </c>
      <c r="H1894" s="16" t="inlineStr">
        <is>
          <t>ROJO</t>
        </is>
      </c>
      <c r="I1894" s="16" t="n">
        <v>1</v>
      </c>
      <c r="J1894" s="17" t="n">
        <v>38</v>
      </c>
      <c r="K1894" s="17" t="n">
        <v>51.11</v>
      </c>
      <c r="L1894" s="17" t="n">
        <v>25.86</v>
      </c>
      <c r="M1894" s="17" t="n">
        <v>0</v>
      </c>
      <c r="N1894" s="17">
        <f>K1894*0.08+L1894*0.08</f>
        <v/>
      </c>
      <c r="O1894" s="17">
        <f>-(K1894*0.025+L1894*0.025)</f>
        <v/>
      </c>
      <c r="P1894" s="17">
        <f>32</f>
        <v/>
      </c>
      <c r="Q1894" s="17">
        <f>J1894+L1894+N1894+O1894-P1894-M1894</f>
        <v/>
      </c>
    </row>
    <row r="1895">
      <c r="A1895" s="16" t="inlineStr">
        <is>
          <t>5.15-5.21</t>
        </is>
      </c>
      <c r="B1895" s="16" t="inlineStr">
        <is>
          <t>PO-128-12450361344633199</t>
        </is>
      </c>
      <c r="C1895" s="16" t="inlineStr">
        <is>
          <t>Delivered</t>
        </is>
      </c>
      <c r="D1895" s="16" t="inlineStr">
        <is>
          <t>128-12450277458553199</t>
        </is>
      </c>
      <c r="E1895" s="16" t="inlineStr">
        <is>
          <t>Delivered</t>
        </is>
      </c>
      <c r="F1895" s="16" t="inlineStr">
        <is>
          <t>LB02235-negro</t>
        </is>
      </c>
      <c r="G1895" s="16" t="inlineStr">
        <is>
          <t>Audífonos Inalámbricos para la Cabeza, Recargables y Multifuncionales - Conectan a Varios Dispositivos, soportan Radio FM, Tarjeta TF y AUX - 4 Horas de Reproducción Musical - Ideal para Trabajo Cotidiano, Juegos y Estudio</t>
        </is>
      </c>
      <c r="H1895" s="16" t="inlineStr">
        <is>
          <t>NEGRO</t>
        </is>
      </c>
      <c r="I1895" s="16" t="n">
        <v>1</v>
      </c>
      <c r="J1895" s="17" t="n">
        <v>45.31</v>
      </c>
      <c r="K1895" s="17" t="n">
        <v>58.41</v>
      </c>
      <c r="L1895" s="17" t="n">
        <v>13.79</v>
      </c>
      <c r="M1895" s="17" t="n">
        <v>0</v>
      </c>
      <c r="N1895" s="17">
        <f>K1895*0.08+L1895*0.08</f>
        <v/>
      </c>
      <c r="O1895" s="17">
        <f>-(K1895*0.025+L1895*0.025)</f>
        <v/>
      </c>
      <c r="P1895" s="17">
        <f>32</f>
        <v/>
      </c>
      <c r="Q1895" s="17">
        <f>J1895+L1895+N1895+O1895-P1895-M1895</f>
        <v/>
      </c>
    </row>
    <row r="1896">
      <c r="A1896" s="16" t="inlineStr">
        <is>
          <t>5.15-5.21</t>
        </is>
      </c>
      <c r="B1896" s="16" t="inlineStr">
        <is>
          <t>PO-128-12450361344633199</t>
        </is>
      </c>
      <c r="C1896" s="16" t="inlineStr">
        <is>
          <t>Delivered</t>
        </is>
      </c>
      <c r="D1896" s="16" t="inlineStr">
        <is>
          <t>128-12450319401593199</t>
        </is>
      </c>
      <c r="E1896" s="16" t="inlineStr">
        <is>
          <t>Delivered</t>
        </is>
      </c>
      <c r="F1896" s="16" t="inlineStr">
        <is>
          <t>LB02235-rojo</t>
        </is>
      </c>
      <c r="G1896" s="16" t="inlineStr">
        <is>
          <t>Audífonos Inalámbricos para la Cabeza, Recargables y Multifuncionales - Conectan a Varios Dispositivos, soportan Radio FM, Tarjeta TF y AUX - 4 Horas de Reproducción Musical - Ideal para Trabajo Cotidiano, Juegos y Estudio</t>
        </is>
      </c>
      <c r="H1896" s="16" t="inlineStr">
        <is>
          <t>ROJO</t>
        </is>
      </c>
      <c r="I1896" s="16" t="n">
        <v>1</v>
      </c>
      <c r="J1896" s="17" t="n">
        <v>38</v>
      </c>
      <c r="K1896" s="17" t="n">
        <v>51.11</v>
      </c>
      <c r="L1896" s="17" t="n">
        <v>12.07</v>
      </c>
      <c r="M1896" s="17" t="n">
        <v>0</v>
      </c>
      <c r="N1896" s="17">
        <f>K1896*0.08+L1896*0.08</f>
        <v/>
      </c>
      <c r="O1896" s="17">
        <f>-(K1896*0.025+L1896*0.025)</f>
        <v/>
      </c>
      <c r="P1896" s="17">
        <f>32</f>
        <v/>
      </c>
      <c r="Q1896" s="17">
        <f>J1896+L1896+N1896+O1896-P1896-M1896</f>
        <v/>
      </c>
    </row>
    <row r="1897">
      <c r="A1897" s="16" t="inlineStr">
        <is>
          <t>5.15-5.21</t>
        </is>
      </c>
      <c r="B1897" s="16" t="inlineStr">
        <is>
          <t>PO-128-12699499484792608</t>
        </is>
      </c>
      <c r="C1897" s="16" t="inlineStr">
        <is>
          <t>Delivered</t>
        </is>
      </c>
      <c r="D1897" s="16" t="inlineStr">
        <is>
          <t>128-12699478513272608</t>
        </is>
      </c>
      <c r="E1897" s="16" t="inlineStr">
        <is>
          <t>Delivered</t>
        </is>
      </c>
      <c r="F1897" s="16" t="inlineStr">
        <is>
          <t>MCM-001G</t>
        </is>
      </c>
      <c r="G1897" s="16" t="inlineStr">
        <is>
          <t>Musicord Altavoz Inalámbrico BT Portátil: ¡Sonido impactante, luces LED multicolores y 4 horas de autonomía! Compatible con TWS, FM, TF y USB – Imprescindible para fiestas y viajes</t>
        </is>
      </c>
      <c r="H1897" s="16" t="inlineStr">
        <is>
          <t>GRIS</t>
        </is>
      </c>
      <c r="I1897" s="16" t="n">
        <v>1</v>
      </c>
      <c r="J1897" s="17" t="n">
        <v>51.07</v>
      </c>
      <c r="K1897" s="17" t="n">
        <v>47.08</v>
      </c>
      <c r="L1897" s="17" t="n">
        <v>25.86</v>
      </c>
      <c r="M1897" s="17" t="n">
        <v>0</v>
      </c>
      <c r="N1897" s="17">
        <f>K1897*0.08+L1897*0.08</f>
        <v/>
      </c>
      <c r="O1897" s="17">
        <f>-(K1897*0.025+L1897*0.025)</f>
        <v/>
      </c>
      <c r="P1897" s="17">
        <f>32</f>
        <v/>
      </c>
      <c r="Q1897" s="17">
        <f>J1897+L1897+N1897+O1897-P1897-M1897</f>
        <v/>
      </c>
    </row>
    <row r="1898">
      <c r="A1898" s="16" t="inlineStr">
        <is>
          <t>5.15-5.21</t>
        </is>
      </c>
      <c r="B1898" s="16" t="inlineStr">
        <is>
          <t>PO-128-12584720712312204</t>
        </is>
      </c>
      <c r="C1898" s="16" t="inlineStr">
        <is>
          <t>Delivered</t>
        </is>
      </c>
      <c r="D1898" s="16" t="inlineStr">
        <is>
          <t>128-12584754791032204</t>
        </is>
      </c>
      <c r="E1898" s="16" t="inlineStr">
        <is>
          <t>Delivered</t>
        </is>
      </c>
      <c r="F1898" s="16" t="inlineStr">
        <is>
          <t>LV25W22</t>
        </is>
      </c>
      <c r="G18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898" s="16" t="inlineStr">
        <is>
          <t>LV25W32</t>
        </is>
      </c>
      <c r="I1898" s="16" t="n">
        <v>1</v>
      </c>
      <c r="J1898" s="17" t="n">
        <v>120</v>
      </c>
      <c r="K1898" s="17" t="n">
        <v>130.41</v>
      </c>
      <c r="L1898" s="17" t="n">
        <v>25.86</v>
      </c>
      <c r="M1898" s="17" t="n">
        <v>0</v>
      </c>
      <c r="N1898" s="17">
        <f>K1898*0.08+L1898*0.08</f>
        <v/>
      </c>
      <c r="O1898" s="17">
        <f>-(K1898*0.025+L1898*0.025)</f>
        <v/>
      </c>
      <c r="P1898" s="17">
        <f>32</f>
        <v/>
      </c>
      <c r="Q1898" s="17">
        <f>J1898+L1898+N1898+O1898-P1898-M1898</f>
        <v/>
      </c>
    </row>
    <row r="1899">
      <c r="A1899" s="16" t="inlineStr">
        <is>
          <t>5.15-5.21</t>
        </is>
      </c>
      <c r="B1899" s="16" t="inlineStr">
        <is>
          <t>PO-128-12655095808632872</t>
        </is>
      </c>
      <c r="C1899" s="16" t="inlineStr">
        <is>
          <t>Delivered</t>
        </is>
      </c>
      <c r="D1899" s="16" t="inlineStr">
        <is>
          <t>128-12655116780152872</t>
        </is>
      </c>
      <c r="E1899" s="16" t="inlineStr">
        <is>
          <t>Delivered</t>
        </is>
      </c>
      <c r="F1899" s="16" t="inlineStr">
        <is>
          <t>LB02235-rojo</t>
        </is>
      </c>
      <c r="G1899" s="16" t="inlineStr">
        <is>
          <t>Audífonos Inalámbricos para la Cabeza, Recargables y Multifuncionales - Conectan a Varios Dispositivos, soportan Radio FM, Tarjeta TF y AUX - 4 Horas de Reproducción Musical - Ideal para Trabajo Cotidiano, Juegos y Estudio</t>
        </is>
      </c>
      <c r="H1899" s="16" t="inlineStr">
        <is>
          <t>ROJO</t>
        </is>
      </c>
      <c r="I1899" s="16" t="n">
        <v>1</v>
      </c>
      <c r="J1899" s="17" t="n">
        <v>38</v>
      </c>
      <c r="K1899" s="17" t="n">
        <v>51.11</v>
      </c>
      <c r="L1899" s="17" t="n">
        <v>25.86</v>
      </c>
      <c r="M1899" s="17" t="n">
        <v>0</v>
      </c>
      <c r="N1899" s="17">
        <f>K1899*0.08+L1899*0.08</f>
        <v/>
      </c>
      <c r="O1899" s="17">
        <f>-(K1899*0.025+L1899*0.025)</f>
        <v/>
      </c>
      <c r="P1899" s="17">
        <f>32</f>
        <v/>
      </c>
      <c r="Q1899" s="17">
        <f>J1899+L1899+N1899+O1899-P1899-M1899</f>
        <v/>
      </c>
    </row>
    <row r="1900">
      <c r="A1900" s="16" t="inlineStr">
        <is>
          <t>5.15-5.21</t>
        </is>
      </c>
      <c r="B1900" s="16" t="inlineStr">
        <is>
          <t>PO-128-12861201741431772</t>
        </is>
      </c>
      <c r="C1900" s="16" t="inlineStr">
        <is>
          <t>Delivered</t>
        </is>
      </c>
      <c r="D1900" s="16" t="inlineStr">
        <is>
          <t>128-12861222712951772</t>
        </is>
      </c>
      <c r="E1900" s="16" t="inlineStr">
        <is>
          <t>Delivered</t>
        </is>
      </c>
      <c r="F1900" s="16" t="inlineStr">
        <is>
          <t>LV25W22</t>
        </is>
      </c>
      <c r="G190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0" s="16" t="inlineStr">
        <is>
          <t>LV25W32</t>
        </is>
      </c>
      <c r="I1900" s="16" t="n">
        <v>1</v>
      </c>
      <c r="J1900" s="17" t="n">
        <v>90.43000000000001</v>
      </c>
      <c r="K1900" s="17" t="n">
        <v>100.84</v>
      </c>
      <c r="L1900" s="17" t="n">
        <v>25.86</v>
      </c>
      <c r="M1900" s="17" t="n">
        <v>0</v>
      </c>
      <c r="N1900" s="17">
        <f>K1900*0.08+L1900*0.08</f>
        <v/>
      </c>
      <c r="O1900" s="17">
        <f>-(K1900*0.025+L1900*0.025)</f>
        <v/>
      </c>
      <c r="P1900" s="17">
        <f>32</f>
        <v/>
      </c>
      <c r="Q1900" s="17">
        <f>J1900+L1900+N1900+O1900-P1900-M1900</f>
        <v/>
      </c>
    </row>
    <row r="1901">
      <c r="A1901" s="16" t="inlineStr">
        <is>
          <t>5.15-5.21</t>
        </is>
      </c>
      <c r="B1901" s="16" t="inlineStr">
        <is>
          <t>PO-128-12946088458870242</t>
        </is>
      </c>
      <c r="C1901" s="16" t="inlineStr">
        <is>
          <t>Delivered</t>
        </is>
      </c>
      <c r="D1901" s="16" t="inlineStr">
        <is>
          <t>128-12946109430390242</t>
        </is>
      </c>
      <c r="E1901" s="16" t="inlineStr">
        <is>
          <t>Delivered</t>
        </is>
      </c>
      <c r="F1901" s="16" t="inlineStr">
        <is>
          <t>LV25W22</t>
        </is>
      </c>
      <c r="G19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1" s="16" t="inlineStr">
        <is>
          <t>LV25W32</t>
        </is>
      </c>
      <c r="I1901" s="16" t="n">
        <v>1</v>
      </c>
      <c r="J1901" s="17" t="n">
        <v>90.43000000000001</v>
      </c>
      <c r="K1901" s="17" t="n">
        <v>100.84</v>
      </c>
      <c r="L1901" s="17" t="n">
        <v>25.86</v>
      </c>
      <c r="M1901" s="17" t="n">
        <v>0</v>
      </c>
      <c r="N1901" s="17">
        <f>K1901*0.08+L1901*0.08</f>
        <v/>
      </c>
      <c r="O1901" s="17">
        <f>-(K1901*0.025+L1901*0.025)</f>
        <v/>
      </c>
      <c r="P1901" s="17">
        <f>32</f>
        <v/>
      </c>
      <c r="Q1901" s="17">
        <f>J1901+L1901+N1901+O1901-P1901-M1901</f>
        <v/>
      </c>
    </row>
    <row r="1902">
      <c r="A1902" s="16" t="inlineStr">
        <is>
          <t>5.15-5.21</t>
        </is>
      </c>
      <c r="B1902" s="16" t="inlineStr">
        <is>
          <t>PO-128-12420459244153249</t>
        </is>
      </c>
      <c r="C1902" s="16" t="inlineStr">
        <is>
          <t>Delivered</t>
        </is>
      </c>
      <c r="D1902" s="16" t="inlineStr">
        <is>
          <t>128-12420480215673249</t>
        </is>
      </c>
      <c r="E1902" s="16" t="inlineStr">
        <is>
          <t>Delivered</t>
        </is>
      </c>
      <c r="F1902" s="16" t="inlineStr">
        <is>
          <t>LB02235-rojo</t>
        </is>
      </c>
      <c r="G1902" s="16" t="inlineStr">
        <is>
          <t>Audífonos Inalámbricos para la Cabeza, Recargables y Multifuncionales - Conectan a Varios Dispositivos, soportan Radio FM, Tarjeta TF y AUX - 4 Horas de Reproducción Musical - Ideal para Trabajo Cotidiano, Juegos y Estudio</t>
        </is>
      </c>
      <c r="H1902" s="16" t="inlineStr">
        <is>
          <t>ROJO</t>
        </is>
      </c>
      <c r="I1902" s="16" t="n">
        <v>1</v>
      </c>
      <c r="J1902" s="17" t="n">
        <v>38</v>
      </c>
      <c r="K1902" s="17" t="n">
        <v>51.11</v>
      </c>
      <c r="L1902" s="17" t="n">
        <v>25.86</v>
      </c>
      <c r="M1902" s="17" t="n">
        <v>0</v>
      </c>
      <c r="N1902" s="17">
        <f>K1902*0.08+L1902*0.08</f>
        <v/>
      </c>
      <c r="O1902" s="17">
        <f>-(K1902*0.025+L1902*0.025)</f>
        <v/>
      </c>
      <c r="P1902" s="17">
        <f>32</f>
        <v/>
      </c>
      <c r="Q1902" s="17">
        <f>J1902+L1902+N1902+O1902-P1902-M1902</f>
        <v/>
      </c>
    </row>
    <row r="1903">
      <c r="A1903" s="16" t="inlineStr">
        <is>
          <t>5.15-5.21</t>
        </is>
      </c>
      <c r="B1903" s="16" t="inlineStr">
        <is>
          <t>PO-128-13051544085110639</t>
        </is>
      </c>
      <c r="C1903" s="16" t="inlineStr">
        <is>
          <t>Delivered</t>
        </is>
      </c>
      <c r="D1903" s="16" t="inlineStr">
        <is>
          <t>128-13051586028150639</t>
        </is>
      </c>
      <c r="E1903" s="16" t="inlineStr">
        <is>
          <t>Delivered</t>
        </is>
      </c>
      <c r="F1903" s="16" t="inlineStr">
        <is>
          <t>LV25W22</t>
        </is>
      </c>
      <c r="G19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3" s="16" t="inlineStr">
        <is>
          <t>LV25W32</t>
        </is>
      </c>
      <c r="I1903" s="16" t="n">
        <v>2</v>
      </c>
      <c r="J1903" s="17" t="n">
        <v>180.86</v>
      </c>
      <c r="K1903" s="17" t="n">
        <v>161.36</v>
      </c>
      <c r="L1903" s="17" t="n">
        <v>25.86</v>
      </c>
      <c r="M1903" s="17" t="n">
        <v>0</v>
      </c>
      <c r="N1903" s="17">
        <f>K1903*0.08+L1903*0.08</f>
        <v/>
      </c>
      <c r="O1903" s="17">
        <f>-(K1903*0.025+L1903*0.025)</f>
        <v/>
      </c>
      <c r="P1903" s="17">
        <f>32</f>
        <v/>
      </c>
      <c r="Q1903" s="17">
        <f>J1903+L1903+N1903+O1903-P1903-M1903</f>
        <v/>
      </c>
    </row>
    <row r="1904">
      <c r="A1904" s="16" t="inlineStr">
        <is>
          <t>5.15-5.21</t>
        </is>
      </c>
      <c r="B1904" s="16" t="inlineStr">
        <is>
          <t>PO-128-12992055649910992</t>
        </is>
      </c>
      <c r="C1904" s="16" t="inlineStr">
        <is>
          <t>Delivered</t>
        </is>
      </c>
      <c r="D1904" s="16" t="inlineStr">
        <is>
          <t>128-12992076621430992</t>
        </is>
      </c>
      <c r="E1904" s="16" t="inlineStr">
        <is>
          <t>Delivered</t>
        </is>
      </c>
      <c r="F1904" s="16" t="inlineStr">
        <is>
          <t>LV25W22</t>
        </is>
      </c>
      <c r="G19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4" s="16" t="inlineStr">
        <is>
          <t>LV25W32</t>
        </is>
      </c>
      <c r="I1904" s="16" t="n">
        <v>2</v>
      </c>
      <c r="J1904" s="17" t="n">
        <v>180.86</v>
      </c>
      <c r="K1904" s="17" t="n">
        <v>201.68</v>
      </c>
      <c r="L1904" s="17" t="n">
        <v>25.86</v>
      </c>
      <c r="M1904" s="17" t="n">
        <v>0</v>
      </c>
      <c r="N1904" s="17">
        <f>K1904*0.08+L1904*0.08</f>
        <v/>
      </c>
      <c r="O1904" s="17">
        <f>-(K1904*0.025+L1904*0.025)</f>
        <v/>
      </c>
      <c r="P1904" s="17">
        <f>32</f>
        <v/>
      </c>
      <c r="Q1904" s="17">
        <f>J1904+L1904+N1904+O1904-P1904-M1904</f>
        <v/>
      </c>
    </row>
    <row r="1905">
      <c r="A1905" s="16" t="inlineStr">
        <is>
          <t>5.15-5.21</t>
        </is>
      </c>
      <c r="B1905" s="16" t="inlineStr">
        <is>
          <t>PO-128-12548571054712485</t>
        </is>
      </c>
      <c r="C1905" s="16" t="inlineStr">
        <is>
          <t>Delivered</t>
        </is>
      </c>
      <c r="D1905" s="16" t="inlineStr">
        <is>
          <t>128-12548565811832485</t>
        </is>
      </c>
      <c r="E1905" s="16" t="inlineStr">
        <is>
          <t>Delivered</t>
        </is>
      </c>
      <c r="F1905" s="16" t="inlineStr">
        <is>
          <t>LV25W22</t>
        </is>
      </c>
      <c r="G19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5" s="16" t="inlineStr">
        <is>
          <t>LV25W32</t>
        </is>
      </c>
      <c r="I1905" s="16" t="n">
        <v>1</v>
      </c>
      <c r="J1905" s="17" t="n">
        <v>90.43000000000001</v>
      </c>
      <c r="K1905" s="17" t="n">
        <v>83.01000000000001</v>
      </c>
      <c r="L1905" s="17" t="n">
        <v>25.86</v>
      </c>
      <c r="M1905" s="17" t="n">
        <v>0</v>
      </c>
      <c r="N1905" s="17">
        <f>K1905*0.08+L1905*0.08</f>
        <v/>
      </c>
      <c r="O1905" s="17">
        <f>-(K1905*0.025+L1905*0.025)</f>
        <v/>
      </c>
      <c r="P1905" s="17">
        <f>32</f>
        <v/>
      </c>
      <c r="Q1905" s="17">
        <f>J1905+L1905+N1905+O1905-P1905-M1905</f>
        <v/>
      </c>
    </row>
    <row r="1906">
      <c r="A1906" s="16" t="inlineStr">
        <is>
          <t>5.15-5.21</t>
        </is>
      </c>
      <c r="B1906" s="16" t="inlineStr">
        <is>
          <t>PO-128-12553035269752523</t>
        </is>
      </c>
      <c r="C1906" s="16" t="inlineStr">
        <is>
          <t>Delivered</t>
        </is>
      </c>
      <c r="D1906" s="16" t="inlineStr">
        <is>
          <t>128-12553040512632523</t>
        </is>
      </c>
      <c r="E1906" s="16" t="inlineStr">
        <is>
          <t>Delivered</t>
        </is>
      </c>
      <c r="F1906" s="16" t="inlineStr">
        <is>
          <t>LV25W22</t>
        </is>
      </c>
      <c r="G19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6" s="16" t="inlineStr">
        <is>
          <t>LV25W32</t>
        </is>
      </c>
      <c r="I1906" s="16" t="n">
        <v>3</v>
      </c>
      <c r="J1906" s="17" t="n">
        <v>271.29</v>
      </c>
      <c r="K1906" s="17" t="n">
        <v>302.52</v>
      </c>
      <c r="L1906" s="17" t="n">
        <v>0</v>
      </c>
      <c r="M1906" s="17" t="n">
        <v>0</v>
      </c>
      <c r="N1906" s="17">
        <f>K1906*0.08+L1906*0.08</f>
        <v/>
      </c>
      <c r="O1906" s="17">
        <f>-(K1906*0.025+L1906*0.025)</f>
        <v/>
      </c>
      <c r="P1906" s="17">
        <f>32</f>
        <v/>
      </c>
      <c r="Q1906" s="17">
        <f>J1906+L1906+N1906+O1906-P1906-M1906</f>
        <v/>
      </c>
    </row>
    <row r="1907">
      <c r="A1907" s="16" t="inlineStr">
        <is>
          <t>5.15-5.21</t>
        </is>
      </c>
      <c r="B1907" s="16" t="inlineStr">
        <is>
          <t>PO-128-12588560143992183</t>
        </is>
      </c>
      <c r="C1907" s="16" t="inlineStr">
        <is>
          <t>Delivered</t>
        </is>
      </c>
      <c r="D1907" s="16" t="inlineStr">
        <is>
          <t>128-12588581115512183</t>
        </is>
      </c>
      <c r="E1907" s="16" t="inlineStr">
        <is>
          <t>Delivered</t>
        </is>
      </c>
      <c r="F1907" s="16" t="inlineStr">
        <is>
          <t>LV25W22</t>
        </is>
      </c>
      <c r="G19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07" s="16" t="inlineStr">
        <is>
          <t>LV25W32</t>
        </is>
      </c>
      <c r="I1907" s="16" t="n">
        <v>1</v>
      </c>
      <c r="J1907" s="17" t="n">
        <v>90.43000000000001</v>
      </c>
      <c r="K1907" s="17" t="n">
        <v>70.59</v>
      </c>
      <c r="L1907" s="17" t="n">
        <v>25.86</v>
      </c>
      <c r="M1907" s="17" t="n">
        <v>0</v>
      </c>
      <c r="N1907" s="17">
        <f>K1907*0.08+L1907*0.08</f>
        <v/>
      </c>
      <c r="O1907" s="17">
        <f>-(K1907*0.025+L1907*0.025)</f>
        <v/>
      </c>
      <c r="P1907" s="17">
        <f>32</f>
        <v/>
      </c>
      <c r="Q1907" s="17">
        <f>J1907+L1907+N1907+O1907-P1907-M1907</f>
        <v/>
      </c>
    </row>
    <row r="1908">
      <c r="A1908" s="16" t="inlineStr">
        <is>
          <t>5.15-5.21</t>
        </is>
      </c>
      <c r="B1908" s="16" t="inlineStr">
        <is>
          <t>PO-128-12856343562871739</t>
        </is>
      </c>
      <c r="C1908" s="16" t="inlineStr">
        <is>
          <t>Delivered</t>
        </is>
      </c>
      <c r="D1908" s="16" t="inlineStr">
        <is>
          <t>128-12856301619831739</t>
        </is>
      </c>
      <c r="E1908" s="16" t="inlineStr">
        <is>
          <t>Delivered</t>
        </is>
      </c>
      <c r="F1908" s="16" t="inlineStr">
        <is>
          <t>S39W48</t>
        </is>
      </c>
      <c r="G1908"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1908" s="16" t="inlineStr">
        <is>
          <t>1 pieza</t>
        </is>
      </c>
      <c r="I1908" s="16" t="n">
        <v>2</v>
      </c>
      <c r="J1908" s="17" t="n">
        <v>60</v>
      </c>
      <c r="K1908" s="17" t="n">
        <v>85.16</v>
      </c>
      <c r="L1908" s="17" t="n">
        <v>25.86</v>
      </c>
      <c r="M1908" s="17" t="n">
        <v>0</v>
      </c>
      <c r="N1908" s="17">
        <f>K1908*0.08+L1908*0.08</f>
        <v/>
      </c>
      <c r="O1908" s="17">
        <f>-(K1908*0.025+L1908*0.025)</f>
        <v/>
      </c>
      <c r="P1908" s="17">
        <f>32</f>
        <v/>
      </c>
      <c r="Q1908" s="17">
        <f>J1908+L1908+N1908+O1908-P1908-M1908</f>
        <v/>
      </c>
    </row>
    <row r="1909">
      <c r="A1909" s="16" t="inlineStr">
        <is>
          <t>5.15-5.21</t>
        </is>
      </c>
      <c r="B1909" s="16" t="inlineStr">
        <is>
          <t>PO-128-12493161636473967</t>
        </is>
      </c>
      <c r="C1909" s="16" t="inlineStr">
        <is>
          <t>Delivered</t>
        </is>
      </c>
      <c r="D1909" s="16" t="inlineStr">
        <is>
          <t>128-12493187850873967</t>
        </is>
      </c>
      <c r="E1909" s="16" t="inlineStr">
        <is>
          <t>Delivered</t>
        </is>
      </c>
      <c r="F1909" s="16" t="inlineStr">
        <is>
          <t>LB02235-negro</t>
        </is>
      </c>
      <c r="G1909" s="16" t="inlineStr">
        <is>
          <t>Audífonos Inalámbricos para la Cabeza, Recargables y Multifuncionales - Conectan a Varios Dispositivos, soportan Radio FM, Tarjeta TF y AUX - 4 Horas de Reproducción Musical - Ideal para Trabajo Cotidiano, Juegos y Estudio</t>
        </is>
      </c>
      <c r="H1909" s="16" t="inlineStr">
        <is>
          <t>NEGRO</t>
        </is>
      </c>
      <c r="I1909" s="16" t="n">
        <v>1</v>
      </c>
      <c r="J1909" s="17" t="n">
        <v>45.31</v>
      </c>
      <c r="K1909" s="17" t="n">
        <v>58.41</v>
      </c>
      <c r="L1909" s="17" t="n">
        <v>25.86</v>
      </c>
      <c r="M1909" s="17" t="n">
        <v>0</v>
      </c>
      <c r="N1909" s="17">
        <f>K1909*0.08+L1909*0.08</f>
        <v/>
      </c>
      <c r="O1909" s="17">
        <f>-(K1909*0.025+L1909*0.025)</f>
        <v/>
      </c>
      <c r="P1909" s="17">
        <f>32</f>
        <v/>
      </c>
      <c r="Q1909" s="17">
        <f>J1909+L1909+N1909+O1909-P1909-M1909</f>
        <v/>
      </c>
    </row>
    <row r="1910">
      <c r="A1910" s="16" t="inlineStr">
        <is>
          <t>5.15-5.21</t>
        </is>
      </c>
      <c r="B1910" s="16" t="inlineStr">
        <is>
          <t>PO-128-12885194056310415</t>
        </is>
      </c>
      <c r="C1910" s="16" t="inlineStr">
        <is>
          <t>Delivered</t>
        </is>
      </c>
      <c r="D1910" s="16" t="inlineStr">
        <is>
          <t>128-12885215027830415</t>
        </is>
      </c>
      <c r="E1910" s="16" t="inlineStr">
        <is>
          <t>Delivered</t>
        </is>
      </c>
      <c r="F1910" s="16" t="inlineStr">
        <is>
          <t>LB02235-azul</t>
        </is>
      </c>
      <c r="G1910" s="16" t="inlineStr">
        <is>
          <t>Audífonos Inalámbricos para la Cabeza, Recargables y Multifuncionales - Conectan a Varios Dispositivos, soportan Radio FM, Tarjeta TF y AUX - 4 Horas de Reproducción Musical - Ideal para Trabajo Cotidiano, Juegos y Estudio</t>
        </is>
      </c>
      <c r="H1910" s="16" t="inlineStr">
        <is>
          <t>AZUL</t>
        </is>
      </c>
      <c r="I1910" s="16" t="n">
        <v>1</v>
      </c>
      <c r="J1910" s="17" t="n">
        <v>36.8</v>
      </c>
      <c r="K1910" s="17" t="n">
        <v>49.91</v>
      </c>
      <c r="L1910" s="17" t="n">
        <v>25.86</v>
      </c>
      <c r="M1910" s="17" t="n">
        <v>0</v>
      </c>
      <c r="N1910" s="17">
        <f>K1910*0.08+L1910*0.08</f>
        <v/>
      </c>
      <c r="O1910" s="17">
        <f>-(K1910*0.025+L1910*0.025)</f>
        <v/>
      </c>
      <c r="P1910" s="17">
        <f>32</f>
        <v/>
      </c>
      <c r="Q1910" s="17">
        <f>J1910+L1910+N1910+O1910-P1910-M1910</f>
        <v/>
      </c>
    </row>
    <row r="1911">
      <c r="A1911" s="16" t="inlineStr">
        <is>
          <t>5.15-5.21</t>
        </is>
      </c>
      <c r="B1911" s="16" t="inlineStr">
        <is>
          <t>PO-128-12571412245112349</t>
        </is>
      </c>
      <c r="C1911" s="16" t="inlineStr">
        <is>
          <t>Delivered</t>
        </is>
      </c>
      <c r="D1911" s="16" t="inlineStr">
        <is>
          <t>128-12571454188152349</t>
        </is>
      </c>
      <c r="E1911" s="16" t="inlineStr">
        <is>
          <t>Delivered</t>
        </is>
      </c>
      <c r="F1911" s="16" t="inlineStr">
        <is>
          <t>MCM-001G</t>
        </is>
      </c>
      <c r="G1911" s="16" t="inlineStr">
        <is>
          <t>Musicord Altavoz Inalámbrico BT Portátil: ¡Sonido impactante, luces LED multicolores y 4 horas de autonomía! Compatible con TWS, FM, TF y USB – Imprescindible para fiestas y viajes</t>
        </is>
      </c>
      <c r="H1911" s="16" t="inlineStr">
        <is>
          <t>GRIS</t>
        </is>
      </c>
      <c r="I1911" s="16" t="n">
        <v>1</v>
      </c>
      <c r="J1911" s="17" t="n">
        <v>51.07</v>
      </c>
      <c r="K1911" s="17" t="n">
        <v>15.76</v>
      </c>
      <c r="L1911" s="17" t="n">
        <v>25.86</v>
      </c>
      <c r="M1911" s="17" t="n">
        <v>0</v>
      </c>
      <c r="N1911" s="17">
        <f>K1911*0.08+L1911*0.08</f>
        <v/>
      </c>
      <c r="O1911" s="17">
        <f>-(K1911*0.025+L1911*0.025)</f>
        <v/>
      </c>
      <c r="P1911" s="17">
        <f>32</f>
        <v/>
      </c>
      <c r="Q1911" s="17">
        <f>J1911+L1911+N1911+O1911-P1911-M1911</f>
        <v/>
      </c>
    </row>
    <row r="1912">
      <c r="A1912" s="16" t="inlineStr">
        <is>
          <t>5.15-5.21</t>
        </is>
      </c>
      <c r="B1912" s="16" t="inlineStr">
        <is>
          <t>PO-128-12552804639352522</t>
        </is>
      </c>
      <c r="C1912" s="16" t="inlineStr">
        <is>
          <t>Delivered</t>
        </is>
      </c>
      <c r="D1912" s="16" t="inlineStr">
        <is>
          <t>128-12552736481912522</t>
        </is>
      </c>
      <c r="E1912" s="16" t="inlineStr">
        <is>
          <t>Delivered</t>
        </is>
      </c>
      <c r="F1912" s="16" t="inlineStr">
        <is>
          <t>LV25W22</t>
        </is>
      </c>
      <c r="G19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12" s="16" t="inlineStr">
        <is>
          <t>LV25W32</t>
        </is>
      </c>
      <c r="I1912" s="16" t="n">
        <v>4</v>
      </c>
      <c r="J1912" s="17" t="n">
        <v>361.72</v>
      </c>
      <c r="K1912" s="17" t="n">
        <v>403.36</v>
      </c>
      <c r="L1912" s="17" t="n">
        <v>0</v>
      </c>
      <c r="M1912" s="17" t="n">
        <v>0</v>
      </c>
      <c r="N1912" s="17">
        <f>K1912*0.08+L1912*0.08</f>
        <v/>
      </c>
      <c r="O1912" s="17">
        <f>-(K1912*0.025+L1912*0.025)</f>
        <v/>
      </c>
      <c r="P1912" s="17">
        <f>32</f>
        <v/>
      </c>
      <c r="Q1912" s="17">
        <f>J1912+L1912+N1912+O1912-P1912-M1912</f>
        <v/>
      </c>
    </row>
    <row r="1913">
      <c r="A1913" s="16" t="inlineStr">
        <is>
          <t>5.15-5.21</t>
        </is>
      </c>
      <c r="B1913" s="16" t="inlineStr">
        <is>
          <t>PO-128-12384346286713526</t>
        </is>
      </c>
      <c r="C1913" s="16" t="inlineStr">
        <is>
          <t>Delivered</t>
        </is>
      </c>
      <c r="D1913" s="16" t="inlineStr">
        <is>
          <t>128-12384325315193526</t>
        </is>
      </c>
      <c r="E1913" s="16" t="inlineStr">
        <is>
          <t>Delivered</t>
        </is>
      </c>
      <c r="F1913" s="16" t="inlineStr">
        <is>
          <t>LV25W22</t>
        </is>
      </c>
      <c r="G19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13" s="16" t="inlineStr">
        <is>
          <t>LV25W32</t>
        </is>
      </c>
      <c r="I1913" s="16" t="n">
        <v>1</v>
      </c>
      <c r="J1913" s="17" t="n">
        <v>90.43000000000001</v>
      </c>
      <c r="K1913" s="17" t="n">
        <v>100.84</v>
      </c>
      <c r="L1913" s="17" t="n">
        <v>25.86</v>
      </c>
      <c r="M1913" s="17" t="n">
        <v>0</v>
      </c>
      <c r="N1913" s="17">
        <f>K1913*0.08+L1913*0.08</f>
        <v/>
      </c>
      <c r="O1913" s="17">
        <f>-(K1913*0.025+L1913*0.025)</f>
        <v/>
      </c>
      <c r="P1913" s="17">
        <f>32</f>
        <v/>
      </c>
      <c r="Q1913" s="17">
        <f>J1913+L1913+N1913+O1913-P1913-M1913</f>
        <v/>
      </c>
    </row>
    <row r="1914">
      <c r="A1914" s="16" t="inlineStr">
        <is>
          <t>5.15-5.21</t>
        </is>
      </c>
      <c r="B1914" s="16" t="inlineStr">
        <is>
          <t>PO-128-02020418156150660</t>
        </is>
      </c>
      <c r="C1914" s="16" t="inlineStr">
        <is>
          <t>Delivered</t>
        </is>
      </c>
      <c r="D1914" s="16" t="inlineStr">
        <is>
          <t>128-02020439127670660</t>
        </is>
      </c>
      <c r="E1914" s="16" t="inlineStr">
        <is>
          <t>Delivered</t>
        </is>
      </c>
      <c r="F1914" s="16" t="inlineStr">
        <is>
          <t>LB02235-azul</t>
        </is>
      </c>
      <c r="G1914" s="16" t="inlineStr">
        <is>
          <t>Audífonos Inalámbricos para la Cabeza, Recargables y Multifuncionales - Conectan a Varios Dispositivos, soportan Radio FM, Tarjeta TF y AUX - 4 Horas de Reproducción Musical - Ideal para Trabajo Cotidiano, Juegos y Estudio</t>
        </is>
      </c>
      <c r="H1914" s="16" t="inlineStr">
        <is>
          <t>AZUL</t>
        </is>
      </c>
      <c r="I1914" s="16" t="n">
        <v>1</v>
      </c>
      <c r="J1914" s="17" t="n">
        <v>36.8</v>
      </c>
      <c r="K1914" s="17" t="n">
        <v>49.91</v>
      </c>
      <c r="L1914" s="17" t="n">
        <v>25.86</v>
      </c>
      <c r="M1914" s="17" t="n">
        <v>0</v>
      </c>
      <c r="N1914" s="17">
        <f>K1914*0.08+L1914*0.08</f>
        <v/>
      </c>
      <c r="O1914" s="17">
        <f>-(K1914*0.025+L1914*0.025)</f>
        <v/>
      </c>
      <c r="P1914" s="17">
        <f>32</f>
        <v/>
      </c>
      <c r="Q1914" s="17">
        <f>J1914+L1914+N1914+O1914-P1914-M1914</f>
        <v/>
      </c>
    </row>
    <row r="1915">
      <c r="A1915" s="16" t="inlineStr">
        <is>
          <t>5.15-5.21</t>
        </is>
      </c>
      <c r="B1915" s="16" t="inlineStr">
        <is>
          <t>PO-128-02007736924790801</t>
        </is>
      </c>
      <c r="C1915" s="16" t="inlineStr">
        <is>
          <t>Delivered</t>
        </is>
      </c>
      <c r="D1915" s="16" t="inlineStr">
        <is>
          <t>128-02007888968310801</t>
        </is>
      </c>
      <c r="E1915" s="16" t="inlineStr">
        <is>
          <t>Delivered</t>
        </is>
      </c>
      <c r="F1915" s="16" t="inlineStr">
        <is>
          <t>LV25W22</t>
        </is>
      </c>
      <c r="G19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15" s="16" t="inlineStr">
        <is>
          <t>LV25W32</t>
        </is>
      </c>
      <c r="I1915" s="16" t="n">
        <v>1</v>
      </c>
      <c r="J1915" s="17" t="n">
        <v>90.43000000000001</v>
      </c>
      <c r="K1915" s="17" t="n">
        <v>100.84</v>
      </c>
      <c r="L1915" s="17" t="n">
        <v>25.86</v>
      </c>
      <c r="M1915" s="17" t="n">
        <v>0</v>
      </c>
      <c r="N1915" s="17">
        <f>K1915*0.08+L1915*0.08</f>
        <v/>
      </c>
      <c r="O1915" s="17">
        <f>-(K1915*0.025+L1915*0.025)</f>
        <v/>
      </c>
      <c r="P1915" s="17">
        <f>32</f>
        <v/>
      </c>
      <c r="Q1915" s="17">
        <f>J1915+L1915+N1915+O1915-P1915-M1915</f>
        <v/>
      </c>
    </row>
    <row r="1916">
      <c r="A1916" s="16" t="inlineStr">
        <is>
          <t>5.15-5.21</t>
        </is>
      </c>
      <c r="B1916" s="16" t="inlineStr">
        <is>
          <t>PO-128-01475773998714034</t>
        </is>
      </c>
      <c r="C1916" s="16" t="inlineStr">
        <is>
          <t>Delivered</t>
        </is>
      </c>
      <c r="D1916" s="16" t="inlineStr">
        <is>
          <t>128-01475815941754034</t>
        </is>
      </c>
      <c r="E1916" s="16" t="inlineStr">
        <is>
          <t>Delivered</t>
        </is>
      </c>
      <c r="F1916" s="16" t="inlineStr">
        <is>
          <t>SA325T</t>
        </is>
      </c>
      <c r="G1916" s="16" t="inlineStr">
        <is>
          <t>Subwoofer Portátil Inalámbrico con Luces RGB, Sonido de Alta Potencia y Batería Duradera, TWS TF USB, Perfecto para Campamento Fiestas y Entretenimiento en Casa</t>
        </is>
      </c>
      <c r="H1916" s="16" t="inlineStr">
        <is>
          <t>NEGRO</t>
        </is>
      </c>
      <c r="I1916" s="16" t="n">
        <v>1</v>
      </c>
      <c r="J1916" s="17" t="n">
        <v>38</v>
      </c>
      <c r="K1916" s="17" t="n">
        <v>47.04</v>
      </c>
      <c r="L1916" s="17" t="n">
        <v>25.86</v>
      </c>
      <c r="M1916" s="17" t="n">
        <v>0</v>
      </c>
      <c r="N1916" s="17">
        <f>K1916*0.08+L1916*0.08</f>
        <v/>
      </c>
      <c r="O1916" s="17">
        <f>-(K1916*0.025+L1916*0.025)</f>
        <v/>
      </c>
      <c r="P1916" s="17">
        <f>32</f>
        <v/>
      </c>
      <c r="Q1916" s="17">
        <f>J1916+L1916+N1916+O1916-P1916-M1916</f>
        <v/>
      </c>
    </row>
    <row r="1917">
      <c r="A1917" s="16" t="inlineStr">
        <is>
          <t>5.15-5.21</t>
        </is>
      </c>
      <c r="B1917" s="16" t="inlineStr">
        <is>
          <t>PO-128-01540998006393711</t>
        </is>
      </c>
      <c r="C1917" s="16" t="inlineStr">
        <is>
          <t>Delivered</t>
        </is>
      </c>
      <c r="D1917" s="16" t="inlineStr">
        <is>
          <t>128-01541134321273711</t>
        </is>
      </c>
      <c r="E1917" s="16" t="inlineStr">
        <is>
          <t>Delivered</t>
        </is>
      </c>
      <c r="F1917" s="16" t="inlineStr">
        <is>
          <t>LV25W22</t>
        </is>
      </c>
      <c r="G19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17" s="16" t="inlineStr">
        <is>
          <t>LV25W32</t>
        </is>
      </c>
      <c r="I1917" s="16" t="n">
        <v>3</v>
      </c>
      <c r="J1917" s="17" t="n">
        <v>271.29</v>
      </c>
      <c r="K1917" s="17" t="n">
        <v>302.52</v>
      </c>
      <c r="L1917" s="17" t="n">
        <v>0</v>
      </c>
      <c r="M1917" s="17" t="n">
        <v>0</v>
      </c>
      <c r="N1917" s="17">
        <f>K1917*0.08+L1917*0.08</f>
        <v/>
      </c>
      <c r="O1917" s="17">
        <f>-(K1917*0.025+L1917*0.025)</f>
        <v/>
      </c>
      <c r="P1917" s="17">
        <f>32</f>
        <v/>
      </c>
      <c r="Q1917" s="17">
        <f>J1917+L1917+N1917+O1917-P1917-M1917</f>
        <v/>
      </c>
    </row>
    <row r="1918">
      <c r="A1918" s="16" t="inlineStr">
        <is>
          <t>5.15-5.21</t>
        </is>
      </c>
      <c r="B1918" s="16" t="inlineStr">
        <is>
          <t>PO-128-01960510065270059</t>
        </is>
      </c>
      <c r="C1918" s="16" t="inlineStr">
        <is>
          <t>Delivered</t>
        </is>
      </c>
      <c r="D1918" s="16" t="inlineStr">
        <is>
          <t>128-01960515308150059</t>
        </is>
      </c>
      <c r="E1918" s="16" t="inlineStr">
        <is>
          <t>Delivered</t>
        </is>
      </c>
      <c r="F1918" s="16" t="inlineStr">
        <is>
          <t>MCM-001G</t>
        </is>
      </c>
      <c r="G1918" s="16" t="inlineStr">
        <is>
          <t>Musicord Altavoz Inalámbrico BT Portátil: ¡Sonido impactante, luces LED multicolores y 4 horas de autonomía! Compatible con TWS, FM, TF y USB – Imprescindible para fiestas y viajes</t>
        </is>
      </c>
      <c r="H1918" s="16" t="inlineStr">
        <is>
          <t>GRIS</t>
        </is>
      </c>
      <c r="I1918" s="16" t="n">
        <v>1</v>
      </c>
      <c r="J1918" s="17" t="n">
        <v>51.07</v>
      </c>
      <c r="K1918" s="17" t="n">
        <v>58.86</v>
      </c>
      <c r="L1918" s="17" t="n">
        <v>25.86</v>
      </c>
      <c r="M1918" s="17" t="n">
        <v>0</v>
      </c>
      <c r="N1918" s="17">
        <f>K1918*0.08+L1918*0.08</f>
        <v/>
      </c>
      <c r="O1918" s="17">
        <f>-(K1918*0.025+L1918*0.025)</f>
        <v/>
      </c>
      <c r="P1918" s="17">
        <f>32</f>
        <v/>
      </c>
      <c r="Q1918" s="17">
        <f>J1918+L1918+N1918+O1918-P1918-M1918</f>
        <v/>
      </c>
    </row>
    <row r="1919">
      <c r="A1919" s="16" t="inlineStr">
        <is>
          <t>5.15-5.21</t>
        </is>
      </c>
      <c r="B1919" s="16" t="inlineStr">
        <is>
          <t>PO-128-01566779300472532</t>
        </is>
      </c>
      <c r="C1919" s="16" t="inlineStr">
        <is>
          <t>Delivered</t>
        </is>
      </c>
      <c r="D1919" s="16" t="inlineStr">
        <is>
          <t>128-01566800271992532</t>
        </is>
      </c>
      <c r="E1919" s="16" t="inlineStr">
        <is>
          <t>Delivered</t>
        </is>
      </c>
      <c r="F1919" s="16" t="inlineStr">
        <is>
          <t>LV25W22</t>
        </is>
      </c>
      <c r="G19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19" s="16" t="inlineStr">
        <is>
          <t>LV25W32</t>
        </is>
      </c>
      <c r="I1919" s="16" t="n">
        <v>1</v>
      </c>
      <c r="J1919" s="17" t="n">
        <v>90.43000000000001</v>
      </c>
      <c r="K1919" s="17" t="n">
        <v>100.84</v>
      </c>
      <c r="L1919" s="17" t="n">
        <v>25.86</v>
      </c>
      <c r="M1919" s="17" t="n">
        <v>0</v>
      </c>
      <c r="N1919" s="17">
        <f>K1919*0.08+L1919*0.08</f>
        <v/>
      </c>
      <c r="O1919" s="17">
        <f>-(K1919*0.025+L1919*0.025)</f>
        <v/>
      </c>
      <c r="P1919" s="17">
        <f>32</f>
        <v/>
      </c>
      <c r="Q1919" s="17">
        <f>J1919+L1919+N1919+O1919-P1919-M1919</f>
        <v/>
      </c>
    </row>
    <row r="1920">
      <c r="A1920" s="16" t="inlineStr">
        <is>
          <t>5.15-5.21</t>
        </is>
      </c>
      <c r="B1920" s="16" t="inlineStr">
        <is>
          <t>PO-128-01426286121593243</t>
        </is>
      </c>
      <c r="C1920" s="16" t="inlineStr">
        <is>
          <t>Delivered</t>
        </is>
      </c>
      <c r="D1920" s="16" t="inlineStr">
        <is>
          <t>128-01426328064633243</t>
        </is>
      </c>
      <c r="E1920" s="16" t="inlineStr">
        <is>
          <t>Delivered</t>
        </is>
      </c>
      <c r="F1920" s="16" t="inlineStr">
        <is>
          <t>LV25W22</t>
        </is>
      </c>
      <c r="G192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20" s="16" t="inlineStr">
        <is>
          <t>LV25W32</t>
        </is>
      </c>
      <c r="I1920" s="16" t="n">
        <v>3</v>
      </c>
      <c r="J1920" s="17" t="n">
        <v>271.29</v>
      </c>
      <c r="K1920" s="17" t="n">
        <v>302.52</v>
      </c>
      <c r="L1920" s="17" t="n">
        <v>0</v>
      </c>
      <c r="M1920" s="17" t="n">
        <v>0</v>
      </c>
      <c r="N1920" s="17">
        <f>K1920*0.08+L1920*0.08</f>
        <v/>
      </c>
      <c r="O1920" s="17">
        <f>-(K1920*0.025+L1920*0.025)</f>
        <v/>
      </c>
      <c r="P1920" s="17">
        <f>32</f>
        <v/>
      </c>
      <c r="Q1920" s="17">
        <f>J1920+L1920+N1920+O1920-P1920-M1920</f>
        <v/>
      </c>
    </row>
    <row r="1921">
      <c r="A1921" s="16" t="inlineStr">
        <is>
          <t>5.15-5.21</t>
        </is>
      </c>
      <c r="B1921" s="16" t="inlineStr">
        <is>
          <t>PO-128-01722403139191412</t>
        </is>
      </c>
      <c r="C1921" s="16" t="inlineStr">
        <is>
          <t>Delivered</t>
        </is>
      </c>
      <c r="D1921" s="16" t="inlineStr">
        <is>
          <t>128-01722371681911412</t>
        </is>
      </c>
      <c r="E1921" s="16" t="inlineStr">
        <is>
          <t>Delivered</t>
        </is>
      </c>
      <c r="F1921" s="16" t="inlineStr">
        <is>
          <t>KTS-1678Y</t>
        </is>
      </c>
      <c r="G1921" s="16" t="inlineStr">
        <is>
          <t>Bocina portátil Inalámbrico, de 3 pulgadas, tamaño de bolsillo, 170 g, con asa, compatible con TF, USB y Micro SD, con radio FM y función TWS (True Wireless Stereo), adecuada para relajarse en casa o viajar al aire libre.</t>
        </is>
      </c>
      <c r="H1921" s="16" t="inlineStr">
        <is>
          <t>KTS-1678Y</t>
        </is>
      </c>
      <c r="I1921" s="16" t="n">
        <v>1</v>
      </c>
      <c r="J1921" s="17" t="n">
        <v>41</v>
      </c>
      <c r="K1921" s="17" t="n">
        <v>42.48</v>
      </c>
      <c r="L1921" s="17" t="n">
        <v>25.86</v>
      </c>
      <c r="M1921" s="17" t="n">
        <v>0</v>
      </c>
      <c r="N1921" s="17">
        <f>K1921*0.08+L1921*0.08</f>
        <v/>
      </c>
      <c r="O1921" s="17">
        <f>-(K1921*0.025+L1921*0.025)</f>
        <v/>
      </c>
      <c r="P1921" s="17">
        <f>32</f>
        <v/>
      </c>
      <c r="Q1921" s="17">
        <f>J1921+L1921+N1921+O1921-P1921-M1921</f>
        <v/>
      </c>
    </row>
    <row r="1922">
      <c r="A1922" s="16" t="inlineStr">
        <is>
          <t>5.15-5.21</t>
        </is>
      </c>
      <c r="B1922" s="16" t="inlineStr">
        <is>
          <t>PO-128-01982474798710950</t>
        </is>
      </c>
      <c r="C1922" s="16" t="inlineStr">
        <is>
          <t>Delivered</t>
        </is>
      </c>
      <c r="D1922" s="16" t="inlineStr">
        <is>
          <t>128-01982422369910950</t>
        </is>
      </c>
      <c r="E1922" s="16" t="inlineStr">
        <is>
          <t>Delivered</t>
        </is>
      </c>
      <c r="F1922" s="16" t="inlineStr">
        <is>
          <t>MCM-001N</t>
        </is>
      </c>
      <c r="G1922" s="16" t="inlineStr">
        <is>
          <t>Musicord Altavoz Inalámbrico BT Portátil: ¡Sonido impactante, luces LED multicolores y 4 horas de autonomía! Compatible con TWS, FM, TF y USB – Imprescindible para fiestas y viajes</t>
        </is>
      </c>
      <c r="H1922" s="16" t="inlineStr">
        <is>
          <t>NEGRO</t>
        </is>
      </c>
      <c r="I1922" s="16" t="n">
        <v>1</v>
      </c>
      <c r="J1922" s="17" t="n">
        <v>61</v>
      </c>
      <c r="K1922" s="17" t="n">
        <v>62.82</v>
      </c>
      <c r="L1922" s="17" t="n">
        <v>25.86</v>
      </c>
      <c r="M1922" s="17" t="n">
        <v>0</v>
      </c>
      <c r="N1922" s="17">
        <f>K1922*0.08+L1922*0.08</f>
        <v/>
      </c>
      <c r="O1922" s="17">
        <f>-(K1922*0.025+L1922*0.025)</f>
        <v/>
      </c>
      <c r="P1922" s="17">
        <f>32</f>
        <v/>
      </c>
      <c r="Q1922" s="17">
        <f>J1922+L1922+N1922+O1922-P1922-M1922</f>
        <v/>
      </c>
    </row>
    <row r="1923">
      <c r="A1923" s="16" t="inlineStr">
        <is>
          <t>5.15-5.21</t>
        </is>
      </c>
      <c r="B1923" s="16" t="inlineStr">
        <is>
          <t>PO-128-01566020460152536</t>
        </is>
      </c>
      <c r="C1923" s="16" t="inlineStr">
        <is>
          <t>Delivered</t>
        </is>
      </c>
      <c r="D1923" s="16" t="inlineStr">
        <is>
          <t>128-01566041431672536</t>
        </is>
      </c>
      <c r="E1923" s="16" t="inlineStr">
        <is>
          <t>Delivered</t>
        </is>
      </c>
      <c r="F1923" s="16" t="inlineStr">
        <is>
          <t>LB02235-blanco</t>
        </is>
      </c>
      <c r="G1923" s="16" t="inlineStr">
        <is>
          <t>Audífonos Inalámbricos para la Cabeza, Recargables y Multifuncionales - Conectan a Varios Dispositivos, soportan Radio FM, Tarjeta TF y AUX - 4 Horas de Reproducción Musical - Ideal para Trabajo Cotidiano, Juegos y Estudio</t>
        </is>
      </c>
      <c r="H1923" s="16" t="inlineStr">
        <is>
          <t>BLANCO</t>
        </is>
      </c>
      <c r="I1923" s="16" t="n">
        <v>1</v>
      </c>
      <c r="J1923" s="17" t="n">
        <v>38</v>
      </c>
      <c r="K1923" s="17" t="n">
        <v>51.11</v>
      </c>
      <c r="L1923" s="17" t="n">
        <v>25.86</v>
      </c>
      <c r="M1923" s="17" t="n">
        <v>0</v>
      </c>
      <c r="N1923" s="17">
        <f>K1923*0.08+L1923*0.08</f>
        <v/>
      </c>
      <c r="O1923" s="17">
        <f>-(K1923*0.025+L1923*0.025)</f>
        <v/>
      </c>
      <c r="P1923" s="17">
        <f>32</f>
        <v/>
      </c>
      <c r="Q1923" s="17">
        <f>J1923+L1923+N1923+O1923-P1923-M1923</f>
        <v/>
      </c>
    </row>
    <row r="1924">
      <c r="A1924" s="16" t="inlineStr">
        <is>
          <t>5.15-5.21</t>
        </is>
      </c>
      <c r="B1924" s="16" t="inlineStr">
        <is>
          <t>PO-128-01843436472951909</t>
        </is>
      </c>
      <c r="C1924" s="16" t="inlineStr">
        <is>
          <t>Delivered</t>
        </is>
      </c>
      <c r="D1924" s="16" t="inlineStr">
        <is>
          <t>128-01843457444471909</t>
        </is>
      </c>
      <c r="E1924" s="16" t="inlineStr">
        <is>
          <t>Delivered</t>
        </is>
      </c>
      <c r="F1924" s="16" t="inlineStr">
        <is>
          <t>LV25W22</t>
        </is>
      </c>
      <c r="G19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24" s="16" t="inlineStr">
        <is>
          <t>LV25W32</t>
        </is>
      </c>
      <c r="I1924" s="16" t="n">
        <v>1</v>
      </c>
      <c r="J1924" s="17" t="n">
        <v>90.43000000000001</v>
      </c>
      <c r="K1924" s="17" t="n">
        <v>100.84</v>
      </c>
      <c r="L1924" s="17" t="n">
        <v>25.86</v>
      </c>
      <c r="M1924" s="17" t="n">
        <v>0</v>
      </c>
      <c r="N1924" s="17">
        <f>K1924*0.08+L1924*0.08</f>
        <v/>
      </c>
      <c r="O1924" s="17">
        <f>-(K1924*0.025+L1924*0.025)</f>
        <v/>
      </c>
      <c r="P1924" s="17">
        <f>32</f>
        <v/>
      </c>
      <c r="Q1924" s="17">
        <f>J1924+L1924+N1924+O1924-P1924-M1924</f>
        <v/>
      </c>
    </row>
    <row r="1925">
      <c r="A1925" s="16" t="inlineStr">
        <is>
          <t>5.15-5.21</t>
        </is>
      </c>
      <c r="B1925" s="16" t="inlineStr">
        <is>
          <t>PO-128-01410966569593396</t>
        </is>
      </c>
      <c r="C1925" s="16" t="inlineStr">
        <is>
          <t>Delivered</t>
        </is>
      </c>
      <c r="D1925" s="16" t="inlineStr">
        <is>
          <t>128-01411021619833396</t>
        </is>
      </c>
      <c r="E1925" s="16" t="inlineStr">
        <is>
          <t>Delivered</t>
        </is>
      </c>
      <c r="F1925" s="16" t="inlineStr">
        <is>
          <t>SA8056T</t>
        </is>
      </c>
      <c r="G192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925" s="16" t="inlineStr">
        <is>
          <t>SA8056T</t>
        </is>
      </c>
      <c r="I1925" s="16" t="n">
        <v>1</v>
      </c>
      <c r="J1925" s="17" t="n">
        <v>123.9</v>
      </c>
      <c r="K1925" s="17" t="n">
        <v>123.81</v>
      </c>
      <c r="L1925" s="17" t="n">
        <v>25.86</v>
      </c>
      <c r="M1925" s="17" t="n">
        <v>0</v>
      </c>
      <c r="N1925" s="17">
        <f>K1925*0.08+L1925*0.08</f>
        <v/>
      </c>
      <c r="O1925" s="17">
        <f>-(K1925*0.025+L1925*0.025)</f>
        <v/>
      </c>
      <c r="P1925" s="17">
        <f>32</f>
        <v/>
      </c>
      <c r="Q1925" s="17">
        <f>J1925+L1925+N1925+O1925-P1925-M1925</f>
        <v/>
      </c>
    </row>
    <row r="1926">
      <c r="A1926" s="16" t="inlineStr">
        <is>
          <t>5.15-5.21</t>
        </is>
      </c>
      <c r="B1926" s="16" t="inlineStr">
        <is>
          <t>PO-128-01799218729591146</t>
        </is>
      </c>
      <c r="C1926" s="16" t="inlineStr">
        <is>
          <t>Delivered</t>
        </is>
      </c>
      <c r="D1926" s="16" t="inlineStr">
        <is>
          <t>128-01799223972471146</t>
        </is>
      </c>
      <c r="E1926" s="16" t="inlineStr">
        <is>
          <t>Delivered</t>
        </is>
      </c>
      <c r="F1926" s="16" t="inlineStr">
        <is>
          <t>LV25W22</t>
        </is>
      </c>
      <c r="G19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26" s="16" t="inlineStr">
        <is>
          <t>LV25W32</t>
        </is>
      </c>
      <c r="I1926" s="16" t="n">
        <v>1</v>
      </c>
      <c r="J1926" s="17" t="n">
        <v>90.43000000000001</v>
      </c>
      <c r="K1926" s="17" t="n">
        <v>88.27</v>
      </c>
      <c r="L1926" s="17" t="n">
        <v>25.86</v>
      </c>
      <c r="M1926" s="17" t="n">
        <v>0</v>
      </c>
      <c r="N1926" s="17">
        <f>K1926*0.08+L1926*0.08</f>
        <v/>
      </c>
      <c r="O1926" s="17">
        <f>-(K1926*0.025+L1926*0.025)</f>
        <v/>
      </c>
      <c r="P1926" s="17">
        <f>32</f>
        <v/>
      </c>
      <c r="Q1926" s="17">
        <f>J1926+L1926+N1926+O1926-P1926-M1926</f>
        <v/>
      </c>
    </row>
    <row r="1927">
      <c r="A1927" s="16" t="inlineStr">
        <is>
          <t>5.15-5.21</t>
        </is>
      </c>
      <c r="B1927" s="16" t="inlineStr">
        <is>
          <t>PO-128-01908155817590499</t>
        </is>
      </c>
      <c r="C1927" s="16" t="inlineStr">
        <is>
          <t>Delivered</t>
        </is>
      </c>
      <c r="D1927" s="16" t="inlineStr">
        <is>
          <t>128-01908134846070499</t>
        </is>
      </c>
      <c r="E1927" s="16" t="inlineStr">
        <is>
          <t>Delivered</t>
        </is>
      </c>
      <c r="F1927" s="16" t="inlineStr">
        <is>
          <t>MCM-001G</t>
        </is>
      </c>
      <c r="G1927" s="16" t="inlineStr">
        <is>
          <t>Musicord Altavoz Inalámbrico BT Portátil: ¡Sonido impactante, luces LED multicolores y 4 horas de autonomía! Compatible con TWS, FM, TF y USB – Imprescindible para fiestas y viajes</t>
        </is>
      </c>
      <c r="H1927" s="16" t="inlineStr">
        <is>
          <t>GRIS</t>
        </is>
      </c>
      <c r="I1927" s="16" t="n">
        <v>1</v>
      </c>
      <c r="J1927" s="17" t="n">
        <v>51.07</v>
      </c>
      <c r="K1927" s="17" t="n">
        <v>58.86</v>
      </c>
      <c r="L1927" s="17" t="n">
        <v>25.86</v>
      </c>
      <c r="M1927" s="17" t="n">
        <v>0</v>
      </c>
      <c r="N1927" s="17">
        <f>K1927*0.08+L1927*0.08</f>
        <v/>
      </c>
      <c r="O1927" s="17">
        <f>-(K1927*0.025+L1927*0.025)</f>
        <v/>
      </c>
      <c r="P1927" s="17">
        <f>32</f>
        <v/>
      </c>
      <c r="Q1927" s="17">
        <f>J1927+L1927+N1927+O1927-P1927-M1927</f>
        <v/>
      </c>
    </row>
    <row r="1928">
      <c r="A1928" s="16" t="inlineStr">
        <is>
          <t>5.15-5.21</t>
        </is>
      </c>
      <c r="B1928" s="16" t="inlineStr">
        <is>
          <t>PO-128-01455409654393196</t>
        </is>
      </c>
      <c r="C1928" s="16" t="inlineStr">
        <is>
          <t>Delivered</t>
        </is>
      </c>
      <c r="D1928" s="16" t="inlineStr">
        <is>
          <t>128-01455414897273196</t>
        </is>
      </c>
      <c r="E1928" s="16" t="inlineStr">
        <is>
          <t>Delivered</t>
        </is>
      </c>
      <c r="F1928" s="16" t="inlineStr">
        <is>
          <t>LV25W22</t>
        </is>
      </c>
      <c r="G192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28" s="16" t="inlineStr">
        <is>
          <t>LV25W32</t>
        </is>
      </c>
      <c r="I1928" s="16" t="n">
        <v>1</v>
      </c>
      <c r="J1928" s="17" t="n">
        <v>90.43000000000001</v>
      </c>
      <c r="K1928" s="17" t="n">
        <v>100.84</v>
      </c>
      <c r="L1928" s="17" t="n">
        <v>25.86</v>
      </c>
      <c r="M1928" s="17" t="n">
        <v>0</v>
      </c>
      <c r="N1928" s="17">
        <f>K1928*0.08+L1928*0.08</f>
        <v/>
      </c>
      <c r="O1928" s="17">
        <f>-(K1928*0.025+L1928*0.025)</f>
        <v/>
      </c>
      <c r="P1928" s="17">
        <f>32</f>
        <v/>
      </c>
      <c r="Q1928" s="17">
        <f>J1928+L1928+N1928+O1928-P1928-M1928</f>
        <v/>
      </c>
    </row>
    <row r="1929">
      <c r="A1929" s="16" t="inlineStr">
        <is>
          <t>5.15-5.21</t>
        </is>
      </c>
      <c r="B1929" s="16" t="inlineStr">
        <is>
          <t>PO-128-01822054154872034</t>
        </is>
      </c>
      <c r="C1929" s="16" t="inlineStr">
        <is>
          <t>Delivered</t>
        </is>
      </c>
      <c r="D1929" s="16" t="inlineStr">
        <is>
          <t>128-01822017454712034</t>
        </is>
      </c>
      <c r="E1929" s="16" t="inlineStr">
        <is>
          <t>Delivered</t>
        </is>
      </c>
      <c r="F1929" s="16" t="inlineStr">
        <is>
          <t>LV25W22</t>
        </is>
      </c>
      <c r="G19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29" s="16" t="inlineStr">
        <is>
          <t>LV25W32</t>
        </is>
      </c>
      <c r="I1929" s="16" t="n">
        <v>3</v>
      </c>
      <c r="J1929" s="17" t="n">
        <v>271.29</v>
      </c>
      <c r="K1929" s="17" t="n">
        <v>302.52</v>
      </c>
      <c r="L1929" s="17" t="n">
        <v>0</v>
      </c>
      <c r="M1929" s="17" t="n">
        <v>0</v>
      </c>
      <c r="N1929" s="17">
        <f>K1929*0.08+L1929*0.08</f>
        <v/>
      </c>
      <c r="O1929" s="17">
        <f>-(K1929*0.025+L1929*0.025)</f>
        <v/>
      </c>
      <c r="P1929" s="17">
        <f>32</f>
        <v/>
      </c>
      <c r="Q1929" s="17">
        <f>J1929+L1929+N1929+O1929-P1929-M1929</f>
        <v/>
      </c>
    </row>
    <row r="1930">
      <c r="A1930" s="16" t="inlineStr">
        <is>
          <t>5.15-5.21</t>
        </is>
      </c>
      <c r="B1930" s="16" t="inlineStr">
        <is>
          <t>PO-128-01939799296630180</t>
        </is>
      </c>
      <c r="C1930" s="16" t="inlineStr">
        <is>
          <t>Delivered</t>
        </is>
      </c>
      <c r="D1930" s="16" t="inlineStr">
        <is>
          <t>128-01939794053750180</t>
        </is>
      </c>
      <c r="E1930" s="16" t="inlineStr">
        <is>
          <t>Delivered</t>
        </is>
      </c>
      <c r="F1930" s="16" t="inlineStr">
        <is>
          <t>KTS-1678V</t>
        </is>
      </c>
      <c r="G1930" s="16" t="inlineStr">
        <is>
          <t>Bocina portátil Inalámbrico, de 3 pulgadas, tamaño de bolsillo, 170 g, con asa, compatible con TF, USB y Micro SD, con radio FM y función TWS (True Wireless Stereo), adecuada para relajarse en casa o viajar al aire libre.</t>
        </is>
      </c>
      <c r="H1930" s="16" t="inlineStr">
        <is>
          <t>KTS-1678V</t>
        </is>
      </c>
      <c r="I1930" s="16" t="n">
        <v>4</v>
      </c>
      <c r="J1930" s="17" t="n">
        <v>170</v>
      </c>
      <c r="K1930" s="17" t="n">
        <v>171.21</v>
      </c>
      <c r="L1930" s="17" t="n">
        <v>25.88</v>
      </c>
      <c r="M1930" s="17" t="n">
        <v>0</v>
      </c>
      <c r="N1930" s="17">
        <f>K1930*0.08+L1930*0.08</f>
        <v/>
      </c>
      <c r="O1930" s="17">
        <f>-(K1930*0.025+L1930*0.025)</f>
        <v/>
      </c>
      <c r="P1930" s="17">
        <f>32</f>
        <v/>
      </c>
      <c r="Q1930" s="17">
        <f>J1930+L1930+N1930+O1930-P1930-M1930</f>
        <v/>
      </c>
    </row>
    <row r="1931">
      <c r="A1931" s="16" t="inlineStr">
        <is>
          <t>5.15-5.21</t>
        </is>
      </c>
      <c r="B1931" s="16" t="inlineStr">
        <is>
          <t>PO-128-01769383992951196</t>
        </is>
      </c>
      <c r="C1931" s="16" t="inlineStr">
        <is>
          <t>Delivered</t>
        </is>
      </c>
      <c r="D1931" s="16" t="inlineStr">
        <is>
          <t>128-01769352535671196</t>
        </is>
      </c>
      <c r="E1931" s="16" t="inlineStr">
        <is>
          <t>Delivered</t>
        </is>
      </c>
      <c r="F1931" s="16" t="inlineStr">
        <is>
          <t>KTS-1678Y</t>
        </is>
      </c>
      <c r="G1931" s="16" t="inlineStr">
        <is>
          <t>Bocina portátil Inalámbrico, de 3 pulgadas, tamaño de bolsillo, 170 g, con asa, compatible con TF, USB y Micro SD, con radio FM y función TWS (True Wireless Stereo), adecuada para relajarse en casa o viajar al aire libre.</t>
        </is>
      </c>
      <c r="H1931" s="16" t="inlineStr">
        <is>
          <t>KTS-1678Y</t>
        </is>
      </c>
      <c r="I1931" s="16" t="n">
        <v>1</v>
      </c>
      <c r="J1931" s="17" t="n">
        <v>41</v>
      </c>
      <c r="K1931" s="17" t="n">
        <v>40.11</v>
      </c>
      <c r="L1931" s="17" t="n">
        <v>25.86</v>
      </c>
      <c r="M1931" s="17" t="n">
        <v>0</v>
      </c>
      <c r="N1931" s="17">
        <f>K1931*0.08+L1931*0.08</f>
        <v/>
      </c>
      <c r="O1931" s="17">
        <f>-(K1931*0.025+L1931*0.025)</f>
        <v/>
      </c>
      <c r="P1931" s="17">
        <f>32</f>
        <v/>
      </c>
      <c r="Q1931" s="17">
        <f>J1931+L1931+N1931+O1931-P1931-M1931</f>
        <v/>
      </c>
    </row>
    <row r="1932">
      <c r="A1932" s="16" t="inlineStr">
        <is>
          <t>5.15-5.21</t>
        </is>
      </c>
      <c r="B1932" s="16" t="inlineStr">
        <is>
          <t>PO-128-01648092815993009</t>
        </is>
      </c>
      <c r="C1932" s="16" t="inlineStr">
        <is>
          <t>Delivered</t>
        </is>
      </c>
      <c r="D1932" s="16" t="inlineStr">
        <is>
          <t>128-01648071844473009</t>
        </is>
      </c>
      <c r="E1932" s="16" t="inlineStr">
        <is>
          <t>Delivered</t>
        </is>
      </c>
      <c r="F1932" s="16" t="inlineStr">
        <is>
          <t>LV25W22</t>
        </is>
      </c>
      <c r="G193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2" s="16" t="inlineStr">
        <is>
          <t>LV25W32</t>
        </is>
      </c>
      <c r="I1932" s="16" t="n">
        <v>1</v>
      </c>
      <c r="J1932" s="17" t="n">
        <v>90.43000000000001</v>
      </c>
      <c r="K1932" s="17" t="n">
        <v>70.59</v>
      </c>
      <c r="L1932" s="17" t="n">
        <v>25.86</v>
      </c>
      <c r="M1932" s="17" t="n">
        <v>0</v>
      </c>
      <c r="N1932" s="17">
        <f>K1932*0.08+L1932*0.08</f>
        <v/>
      </c>
      <c r="O1932" s="17">
        <f>-(K1932*0.025+L1932*0.025)</f>
        <v/>
      </c>
      <c r="P1932" s="17">
        <f>32</f>
        <v/>
      </c>
      <c r="Q1932" s="17">
        <f>J1932+L1932+N1932+O1932-P1932-M1932</f>
        <v/>
      </c>
    </row>
    <row r="1933">
      <c r="A1933" s="16" t="inlineStr">
        <is>
          <t>5.15-5.21</t>
        </is>
      </c>
      <c r="B1933" s="16" t="inlineStr">
        <is>
          <t>PO-128-01813032049271960</t>
        </is>
      </c>
      <c r="C1933" s="16" t="inlineStr">
        <is>
          <t>Delivered</t>
        </is>
      </c>
      <c r="D1933" s="16" t="inlineStr">
        <is>
          <t>128-01813112003191960</t>
        </is>
      </c>
      <c r="E1933" s="16" t="inlineStr">
        <is>
          <t>Delivered</t>
        </is>
      </c>
      <c r="F1933" s="16" t="inlineStr">
        <is>
          <t>LV25W22</t>
        </is>
      </c>
      <c r="G193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3" s="16" t="inlineStr">
        <is>
          <t>LV25W32</t>
        </is>
      </c>
      <c r="I1933" s="16" t="n">
        <v>1</v>
      </c>
      <c r="J1933" s="17" t="n">
        <v>90.43000000000001</v>
      </c>
      <c r="K1933" s="17" t="n">
        <v>78.04000000000001</v>
      </c>
      <c r="L1933" s="17" t="n">
        <v>25.86</v>
      </c>
      <c r="M1933" s="17" t="n">
        <v>0</v>
      </c>
      <c r="N1933" s="17">
        <f>K1933*0.08+L1933*0.08</f>
        <v/>
      </c>
      <c r="O1933" s="17">
        <f>-(K1933*0.025+L1933*0.025)</f>
        <v/>
      </c>
      <c r="P1933" s="17">
        <f>32</f>
        <v/>
      </c>
      <c r="Q1933" s="17">
        <f>J1933+L1933+N1933+O1933-P1933-M1933</f>
        <v/>
      </c>
    </row>
    <row r="1934">
      <c r="A1934" s="16" t="inlineStr">
        <is>
          <t>5.15-5.21</t>
        </is>
      </c>
      <c r="B1934" s="16" t="inlineStr">
        <is>
          <t>PO-128-01995872855670998</t>
        </is>
      </c>
      <c r="C1934" s="16" t="inlineStr">
        <is>
          <t>Delivered</t>
        </is>
      </c>
      <c r="D1934" s="16" t="inlineStr">
        <is>
          <t>128-01995841398390998</t>
        </is>
      </c>
      <c r="E1934" s="16" t="inlineStr">
        <is>
          <t>Delivered</t>
        </is>
      </c>
      <c r="F1934" s="16" t="inlineStr">
        <is>
          <t>LV25W22</t>
        </is>
      </c>
      <c r="G193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4" s="16" t="inlineStr">
        <is>
          <t>LV25W32</t>
        </is>
      </c>
      <c r="I1934" s="16" t="n">
        <v>1</v>
      </c>
      <c r="J1934" s="17" t="n">
        <v>90.43000000000001</v>
      </c>
      <c r="K1934" s="17" t="n">
        <v>100.84</v>
      </c>
      <c r="L1934" s="17" t="n">
        <v>25.86</v>
      </c>
      <c r="M1934" s="17" t="n">
        <v>0</v>
      </c>
      <c r="N1934" s="17">
        <f>K1934*0.08+L1934*0.08</f>
        <v/>
      </c>
      <c r="O1934" s="17">
        <f>-(K1934*0.025+L1934*0.025)</f>
        <v/>
      </c>
      <c r="P1934" s="17">
        <f>32</f>
        <v/>
      </c>
      <c r="Q1934" s="17">
        <f>J1934+L1934+N1934+O1934-P1934-M1934</f>
        <v/>
      </c>
    </row>
    <row r="1935">
      <c r="A1935" s="16" t="inlineStr">
        <is>
          <t>5.15-5.21</t>
        </is>
      </c>
      <c r="B1935" s="16" t="inlineStr">
        <is>
          <t>PO-128-01604997735032240</t>
        </is>
      </c>
      <c r="C1935" s="16" t="inlineStr">
        <is>
          <t>Delivered</t>
        </is>
      </c>
      <c r="D1935" s="16" t="inlineStr">
        <is>
          <t>128-01604992492152240</t>
        </is>
      </c>
      <c r="E1935" s="16" t="inlineStr">
        <is>
          <t>Delivered</t>
        </is>
      </c>
      <c r="F1935" s="16" t="inlineStr">
        <is>
          <t>LV25W22</t>
        </is>
      </c>
      <c r="G193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5" s="16" t="inlineStr">
        <is>
          <t>LV25W32</t>
        </is>
      </c>
      <c r="I1935" s="16" t="n">
        <v>3</v>
      </c>
      <c r="J1935" s="17" t="n">
        <v>271.29</v>
      </c>
      <c r="K1935" s="17" t="n">
        <v>302.52</v>
      </c>
      <c r="L1935" s="17" t="n">
        <v>0</v>
      </c>
      <c r="M1935" s="17" t="n">
        <v>0</v>
      </c>
      <c r="N1935" s="17">
        <f>K1935*0.08+L1935*0.08</f>
        <v/>
      </c>
      <c r="O1935" s="17">
        <f>-(K1935*0.025+L1935*0.025)</f>
        <v/>
      </c>
      <c r="P1935" s="17">
        <f>32</f>
        <v/>
      </c>
      <c r="Q1935" s="17">
        <f>J1935+L1935+N1935+O1935-P1935-M1935</f>
        <v/>
      </c>
    </row>
    <row r="1936">
      <c r="A1936" s="16" t="inlineStr">
        <is>
          <t>5.15-5.21</t>
        </is>
      </c>
      <c r="B1936" s="16" t="inlineStr">
        <is>
          <t>PO-128-01482196434553868</t>
        </is>
      </c>
      <c r="C1936" s="16" t="inlineStr">
        <is>
          <t>Delivered</t>
        </is>
      </c>
      <c r="D1936" s="16" t="inlineStr">
        <is>
          <t>128-01482248863353868</t>
        </is>
      </c>
      <c r="E1936" s="16" t="inlineStr">
        <is>
          <t>Delivered</t>
        </is>
      </c>
      <c r="F1936" s="16" t="inlineStr">
        <is>
          <t>LV25W22</t>
        </is>
      </c>
      <c r="G193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6" s="16" t="inlineStr">
        <is>
          <t>LV25W32</t>
        </is>
      </c>
      <c r="I1936" s="16" t="n">
        <v>3</v>
      </c>
      <c r="J1936" s="17" t="n">
        <v>271.29</v>
      </c>
      <c r="K1936" s="17" t="n">
        <v>259.42</v>
      </c>
      <c r="L1936" s="17" t="n">
        <v>0</v>
      </c>
      <c r="M1936" s="17" t="n">
        <v>0</v>
      </c>
      <c r="N1936" s="17">
        <f>K1936*0.08+L1936*0.08</f>
        <v/>
      </c>
      <c r="O1936" s="17">
        <f>-(K1936*0.025+L1936*0.025)</f>
        <v/>
      </c>
      <c r="P1936" s="17">
        <f>32</f>
        <v/>
      </c>
      <c r="Q1936" s="17">
        <f>J1936+L1936+N1936+O1936-P1936-M1936</f>
        <v/>
      </c>
    </row>
    <row r="1937">
      <c r="A1937" s="16" t="inlineStr">
        <is>
          <t>5.15-5.21</t>
        </is>
      </c>
      <c r="B1937" s="16" t="inlineStr">
        <is>
          <t>PO-128-01483384392313863</t>
        </is>
      </c>
      <c r="C1937" s="16" t="inlineStr">
        <is>
          <t>Delivered</t>
        </is>
      </c>
      <c r="D1937" s="16" t="inlineStr">
        <is>
          <t>128-01483405363833863</t>
        </is>
      </c>
      <c r="E1937" s="16" t="inlineStr">
        <is>
          <t>Delivered</t>
        </is>
      </c>
      <c r="F1937" s="16" t="inlineStr">
        <is>
          <t>LV25W22</t>
        </is>
      </c>
      <c r="G19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7" s="16" t="inlineStr">
        <is>
          <t>LV25W32</t>
        </is>
      </c>
      <c r="I1937" s="16" t="n">
        <v>1</v>
      </c>
      <c r="J1937" s="17" t="n">
        <v>90.43000000000001</v>
      </c>
      <c r="K1937" s="17" t="n">
        <v>100.84</v>
      </c>
      <c r="L1937" s="17" t="n">
        <v>25.86</v>
      </c>
      <c r="M1937" s="17" t="n">
        <v>0</v>
      </c>
      <c r="N1937" s="17">
        <f>K1937*0.08+L1937*0.08</f>
        <v/>
      </c>
      <c r="O1937" s="17">
        <f>-(K1937*0.025+L1937*0.025)</f>
        <v/>
      </c>
      <c r="P1937" s="17">
        <f>32</f>
        <v/>
      </c>
      <c r="Q1937" s="17">
        <f>J1937+L1937+N1937+O1937-P1937-M1937</f>
        <v/>
      </c>
    </row>
    <row r="1938">
      <c r="A1938" s="16" t="inlineStr">
        <is>
          <t>5.15-5.21</t>
        </is>
      </c>
      <c r="B1938" s="16" t="inlineStr">
        <is>
          <t>PO-128-01596961183352224</t>
        </is>
      </c>
      <c r="C1938" s="16" t="inlineStr">
        <is>
          <t>Delivered</t>
        </is>
      </c>
      <c r="D1938" s="16" t="inlineStr">
        <is>
          <t>128-01596982154872224</t>
        </is>
      </c>
      <c r="E1938" s="16" t="inlineStr">
        <is>
          <t>Delivered</t>
        </is>
      </c>
      <c r="F1938" s="16" t="inlineStr">
        <is>
          <t>LV25W22</t>
        </is>
      </c>
      <c r="G193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8" s="16" t="inlineStr">
        <is>
          <t>LV25W32</t>
        </is>
      </c>
      <c r="I1938" s="16" t="n">
        <v>3</v>
      </c>
      <c r="J1938" s="17" t="n">
        <v>271.29</v>
      </c>
      <c r="K1938" s="17" t="n">
        <v>250.8</v>
      </c>
      <c r="L1938" s="17" t="n">
        <v>0</v>
      </c>
      <c r="M1938" s="17" t="n">
        <v>0</v>
      </c>
      <c r="N1938" s="17">
        <f>K1938*0.08+L1938*0.08</f>
        <v/>
      </c>
      <c r="O1938" s="17">
        <f>-(K1938*0.025+L1938*0.025)</f>
        <v/>
      </c>
      <c r="P1938" s="17">
        <f>32</f>
        <v/>
      </c>
      <c r="Q1938" s="17">
        <f>J1938+L1938+N1938+O1938-P1938-M1938</f>
        <v/>
      </c>
    </row>
    <row r="1939">
      <c r="A1939" s="16" t="inlineStr">
        <is>
          <t>5.15-5.21</t>
        </is>
      </c>
      <c r="B1939" s="16" t="inlineStr">
        <is>
          <t>PO-128-01589305452152206</t>
        </is>
      </c>
      <c r="C1939" s="16" t="inlineStr">
        <is>
          <t>Delivered</t>
        </is>
      </c>
      <c r="D1939" s="16" t="inlineStr">
        <is>
          <t>128-01589263509112206</t>
        </is>
      </c>
      <c r="E1939" s="16" t="inlineStr">
        <is>
          <t>Delivered</t>
        </is>
      </c>
      <c r="F1939" s="16" t="inlineStr">
        <is>
          <t>LV25W22</t>
        </is>
      </c>
      <c r="G19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39" s="16" t="inlineStr">
        <is>
          <t>LV25W32</t>
        </is>
      </c>
      <c r="I1939" s="16" t="n">
        <v>2</v>
      </c>
      <c r="J1939" s="17" t="n">
        <v>180.86</v>
      </c>
      <c r="K1939" s="17" t="n">
        <v>201.68</v>
      </c>
      <c r="L1939" s="17" t="n">
        <v>25.86</v>
      </c>
      <c r="M1939" s="17" t="n">
        <v>0</v>
      </c>
      <c r="N1939" s="17">
        <f>K1939*0.08+L1939*0.08</f>
        <v/>
      </c>
      <c r="O1939" s="17">
        <f>-(K1939*0.025+L1939*0.025)</f>
        <v/>
      </c>
      <c r="P1939" s="17">
        <f>32</f>
        <v/>
      </c>
      <c r="Q1939" s="17">
        <f>J1939+L1939+N1939+O1939-P1939-M1939</f>
        <v/>
      </c>
    </row>
    <row r="1940">
      <c r="A1940" s="16" t="inlineStr">
        <is>
          <t>5.15-5.21</t>
        </is>
      </c>
      <c r="B1940" s="16" t="inlineStr">
        <is>
          <t>PO-128-01934156969590150</t>
        </is>
      </c>
      <c r="C1940" s="16" t="inlineStr">
        <is>
          <t>Delivered</t>
        </is>
      </c>
      <c r="D1940" s="16" t="inlineStr">
        <is>
          <t>128-01934135998070150</t>
        </is>
      </c>
      <c r="E1940" s="16" t="inlineStr">
        <is>
          <t>Delivered</t>
        </is>
      </c>
      <c r="F1940" s="16" t="inlineStr">
        <is>
          <t>LV25W22</t>
        </is>
      </c>
      <c r="G19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40" s="16" t="inlineStr">
        <is>
          <t>LV25W32</t>
        </is>
      </c>
      <c r="I1940" s="16" t="n">
        <v>4</v>
      </c>
      <c r="J1940" s="17" t="n">
        <v>361.72</v>
      </c>
      <c r="K1940" s="17" t="n">
        <v>403.36</v>
      </c>
      <c r="L1940" s="17" t="n">
        <v>0</v>
      </c>
      <c r="M1940" s="17" t="n">
        <v>0</v>
      </c>
      <c r="N1940" s="17">
        <f>K1940*0.08+L1940*0.08</f>
        <v/>
      </c>
      <c r="O1940" s="17">
        <f>-(K1940*0.025+L1940*0.025)</f>
        <v/>
      </c>
      <c r="P1940" s="17">
        <f>32</f>
        <v/>
      </c>
      <c r="Q1940" s="17">
        <f>J1940+L1940+N1940+O1940-P1940-M1940</f>
        <v/>
      </c>
    </row>
    <row r="1941">
      <c r="A1941" s="16" t="inlineStr">
        <is>
          <t>5.15-5.21</t>
        </is>
      </c>
      <c r="B1941" s="16" t="inlineStr">
        <is>
          <t>PO-128-01621589110392143</t>
        </is>
      </c>
      <c r="C1941" s="16" t="inlineStr">
        <is>
          <t>Delivered</t>
        </is>
      </c>
      <c r="D1941" s="16" t="inlineStr">
        <is>
          <t>128-01621610081912143</t>
        </is>
      </c>
      <c r="E1941" s="16" t="inlineStr">
        <is>
          <t>Delivered</t>
        </is>
      </c>
      <c r="F1941" s="16" t="inlineStr">
        <is>
          <t>LB02235-negro</t>
        </is>
      </c>
      <c r="G1941" s="16" t="inlineStr">
        <is>
          <t>Audífonos Inalámbricos para la Cabeza, Recargables y Multifuncionales - Conectan a Varios Dispositivos, soportan Radio FM, Tarjeta TF y AUX - 4 Horas de Reproducción Musical - Ideal para Trabajo Cotidiano, Juegos y Estudio</t>
        </is>
      </c>
      <c r="H1941" s="16" t="inlineStr">
        <is>
          <t>NEGRO</t>
        </is>
      </c>
      <c r="I1941" s="16" t="n">
        <v>1</v>
      </c>
      <c r="J1941" s="17" t="n">
        <v>45.31</v>
      </c>
      <c r="K1941" s="17" t="n">
        <v>58.41</v>
      </c>
      <c r="L1941" s="17" t="n">
        <v>25.86</v>
      </c>
      <c r="M1941" s="17" t="n">
        <v>0</v>
      </c>
      <c r="N1941" s="17">
        <f>K1941*0.08+L1941*0.08</f>
        <v/>
      </c>
      <c r="O1941" s="17">
        <f>-(K1941*0.025+L1941*0.025)</f>
        <v/>
      </c>
      <c r="P1941" s="17">
        <f>32</f>
        <v/>
      </c>
      <c r="Q1941" s="17">
        <f>J1941+L1941+N1941+O1941-P1941-M1941</f>
        <v/>
      </c>
    </row>
    <row r="1942">
      <c r="A1942" s="16" t="inlineStr">
        <is>
          <t>5.15-5.21</t>
        </is>
      </c>
      <c r="B1942" s="16" t="inlineStr">
        <is>
          <t>PO-128-01740479053431304</t>
        </is>
      </c>
      <c r="C1942" s="16" t="inlineStr">
        <is>
          <t>Delivered</t>
        </is>
      </c>
      <c r="D1942" s="16" t="inlineStr">
        <is>
          <t>128-01740489047671304</t>
        </is>
      </c>
      <c r="E1942" s="16" t="inlineStr">
        <is>
          <t>Delivered</t>
        </is>
      </c>
      <c r="F1942" s="16" t="inlineStr">
        <is>
          <t>KTS-1678Y</t>
        </is>
      </c>
      <c r="G1942" s="16" t="inlineStr">
        <is>
          <t>Bocina portátil Inalámbrico, de 3 pulgadas, tamaño de bolsillo, 170 g, con asa, compatible con TF, USB y Micro SD, con radio FM y función TWS (True Wireless Stereo), adecuada para relajarse en casa o viajar al aire libre.</t>
        </is>
      </c>
      <c r="H1942" s="16" t="inlineStr">
        <is>
          <t>KTS-1678Y</t>
        </is>
      </c>
      <c r="I1942" s="16" t="n">
        <v>1</v>
      </c>
      <c r="J1942" s="17" t="n">
        <v>41</v>
      </c>
      <c r="K1942" s="17" t="n">
        <v>47.2</v>
      </c>
      <c r="L1942" s="17" t="n">
        <v>25.86</v>
      </c>
      <c r="M1942" s="17" t="n">
        <v>0</v>
      </c>
      <c r="N1942" s="17">
        <f>K1942*0.08+L1942*0.08</f>
        <v/>
      </c>
      <c r="O1942" s="17">
        <f>-(K1942*0.025+L1942*0.025)</f>
        <v/>
      </c>
      <c r="P1942" s="17">
        <f>32</f>
        <v/>
      </c>
      <c r="Q1942" s="17">
        <f>J1942+L1942+N1942+O1942-P1942-M1942</f>
        <v/>
      </c>
    </row>
    <row r="1943">
      <c r="A1943" s="16" t="inlineStr">
        <is>
          <t>5.15-5.21</t>
        </is>
      </c>
      <c r="B1943" s="16" t="inlineStr">
        <is>
          <t>PO-128-01661529370232865</t>
        </is>
      </c>
      <c r="C1943" s="16" t="inlineStr">
        <is>
          <t>Delivered</t>
        </is>
      </c>
      <c r="D1943" s="16" t="inlineStr">
        <is>
          <t>128-01661571313272865</t>
        </is>
      </c>
      <c r="E1943" s="16" t="inlineStr">
        <is>
          <t>Delivered</t>
        </is>
      </c>
      <c r="F1943" s="16" t="inlineStr">
        <is>
          <t>LB02235-rojo</t>
        </is>
      </c>
      <c r="G1943" s="16" t="inlineStr">
        <is>
          <t>Audífonos Inalámbricos para la Cabeza, Recargables y Multifuncionales - Conectan a Varios Dispositivos, soportan Radio FM, Tarjeta TF y AUX - 4 Horas de Reproducción Musical - Ideal para Trabajo Cotidiano, Juegos y Estudio</t>
        </is>
      </c>
      <c r="H1943" s="16" t="inlineStr">
        <is>
          <t>ROJO</t>
        </is>
      </c>
      <c r="I1943" s="16" t="n">
        <v>1</v>
      </c>
      <c r="J1943" s="17" t="n">
        <v>38</v>
      </c>
      <c r="K1943" s="17" t="n">
        <v>10.88</v>
      </c>
      <c r="L1943" s="17" t="n">
        <v>12.06</v>
      </c>
      <c r="M1943" s="17" t="n">
        <v>0</v>
      </c>
      <c r="N1943" s="17">
        <f>K1943*0.08+L1943*0.08</f>
        <v/>
      </c>
      <c r="O1943" s="17">
        <f>-(K1943*0.025+L1943*0.025)</f>
        <v/>
      </c>
      <c r="P1943" s="17">
        <f>32</f>
        <v/>
      </c>
      <c r="Q1943" s="17">
        <f>J1943+L1943+N1943+O1943-P1943-M1943</f>
        <v/>
      </c>
    </row>
    <row r="1944">
      <c r="A1944" s="16" t="inlineStr">
        <is>
          <t>5.15-5.21</t>
        </is>
      </c>
      <c r="B1944" s="16" t="inlineStr">
        <is>
          <t>PO-128-01661529370232865</t>
        </is>
      </c>
      <c r="C1944" s="16" t="inlineStr">
        <is>
          <t>Delivered</t>
        </is>
      </c>
      <c r="D1944" s="16" t="inlineStr">
        <is>
          <t>128-01661592284792865</t>
        </is>
      </c>
      <c r="E1944" s="16" t="inlineStr">
        <is>
          <t>Delivered</t>
        </is>
      </c>
      <c r="F1944" s="16" t="inlineStr">
        <is>
          <t>LB02235-negro</t>
        </is>
      </c>
      <c r="G1944" s="16" t="inlineStr">
        <is>
          <t>Audífonos Inalámbricos para la Cabeza, Recargables y Multifuncionales - Conectan a Varios Dispositivos, soportan Radio FM, Tarjeta TF y AUX - 4 Horas de Reproducción Musical - Ideal para Trabajo Cotidiano, Juegos y Estudio</t>
        </is>
      </c>
      <c r="H1944" s="16" t="inlineStr">
        <is>
          <t>NEGRO</t>
        </is>
      </c>
      <c r="I1944" s="16" t="n">
        <v>1</v>
      </c>
      <c r="J1944" s="17" t="n">
        <v>45.31</v>
      </c>
      <c r="K1944" s="17" t="n">
        <v>12.44</v>
      </c>
      <c r="L1944" s="17" t="n">
        <v>13.8</v>
      </c>
      <c r="M1944" s="17" t="n">
        <v>0</v>
      </c>
      <c r="N1944" s="17">
        <f>K1944*0.08+L1944*0.08</f>
        <v/>
      </c>
      <c r="O1944" s="17">
        <f>-(K1944*0.025+L1944*0.025)</f>
        <v/>
      </c>
      <c r="P1944" s="17">
        <f>32</f>
        <v/>
      </c>
      <c r="Q1944" s="17">
        <f>J1944+L1944+N1944+O1944-P1944-M1944</f>
        <v/>
      </c>
    </row>
    <row r="1945">
      <c r="A1945" s="16" t="inlineStr">
        <is>
          <t>5.15-5.21</t>
        </is>
      </c>
      <c r="B1945" s="16" t="inlineStr">
        <is>
          <t>PO-128-01847858862711688</t>
        </is>
      </c>
      <c r="C1945" s="16" t="inlineStr">
        <is>
          <t>Delivered</t>
        </is>
      </c>
      <c r="D1945" s="16" t="inlineStr">
        <is>
          <t>128-01847869348471688</t>
        </is>
      </c>
      <c r="E1945" s="16" t="inlineStr">
        <is>
          <t>Delivered</t>
        </is>
      </c>
      <c r="F1945" s="16" t="inlineStr">
        <is>
          <t>MCM-001N</t>
        </is>
      </c>
      <c r="G1945" s="16" t="inlineStr">
        <is>
          <t>Musicord Altavoz Inalámbrico BT Portátil: ¡Sonido impactante, luces LED multicolores y 4 horas de autonomía! Compatible con TWS, FM, TF y USB – Imprescindible para fiestas y viajes</t>
        </is>
      </c>
      <c r="H1945" s="16" t="inlineStr">
        <is>
          <t>NEGRO</t>
        </is>
      </c>
      <c r="I1945" s="16" t="n">
        <v>1</v>
      </c>
      <c r="J1945" s="17" t="n">
        <v>61</v>
      </c>
      <c r="K1945" s="17" t="n">
        <v>68.79000000000001</v>
      </c>
      <c r="L1945" s="17" t="n">
        <v>25.86</v>
      </c>
      <c r="M1945" s="17" t="n">
        <v>0</v>
      </c>
      <c r="N1945" s="17">
        <f>K1945*0.08+L1945*0.08</f>
        <v/>
      </c>
      <c r="O1945" s="17">
        <f>-(K1945*0.025+L1945*0.025)</f>
        <v/>
      </c>
      <c r="P1945" s="17">
        <f>32</f>
        <v/>
      </c>
      <c r="Q1945" s="17">
        <f>J1945+L1945+N1945+O1945-P1945-M1945</f>
        <v/>
      </c>
    </row>
    <row r="1946">
      <c r="A1946" s="16" t="inlineStr">
        <is>
          <t>5.15-5.21</t>
        </is>
      </c>
      <c r="B1946" s="16" t="inlineStr">
        <is>
          <t>PO-128-01666101924472900</t>
        </is>
      </c>
      <c r="C1946" s="16" t="inlineStr">
        <is>
          <t>Delivered</t>
        </is>
      </c>
      <c r="D1946" s="16" t="inlineStr">
        <is>
          <t>128-01666080952952900</t>
        </is>
      </c>
      <c r="E1946" s="16" t="inlineStr">
        <is>
          <t>Delivered</t>
        </is>
      </c>
      <c r="F1946" s="16" t="inlineStr">
        <is>
          <t>KTS-1678V</t>
        </is>
      </c>
      <c r="G1946" s="16" t="inlineStr">
        <is>
          <t>Bocina portátil Inalámbrico, de 3 pulgadas, tamaño de bolsillo, 170 g, con asa, compatible con TF, USB y Micro SD, con radio FM y función TWS (True Wireless Stereo), adecuada para relajarse en casa o viajar al aire libre.</t>
        </is>
      </c>
      <c r="H1946" s="16" t="inlineStr">
        <is>
          <t>KTS-1678V</t>
        </is>
      </c>
      <c r="I1946" s="16" t="n">
        <v>1</v>
      </c>
      <c r="J1946" s="17" t="n">
        <v>42.5</v>
      </c>
      <c r="K1946" s="17" t="n">
        <v>50.77</v>
      </c>
      <c r="L1946" s="17" t="n">
        <v>25.86</v>
      </c>
      <c r="M1946" s="17" t="n">
        <v>0</v>
      </c>
      <c r="N1946" s="17">
        <f>K1946*0.08+L1946*0.08</f>
        <v/>
      </c>
      <c r="O1946" s="17">
        <f>-(K1946*0.025+L1946*0.025)</f>
        <v/>
      </c>
      <c r="P1946" s="17">
        <f>32</f>
        <v/>
      </c>
      <c r="Q1946" s="17">
        <f>J1946+L1946+N1946+O1946-P1946-M1946</f>
        <v/>
      </c>
    </row>
    <row r="1947">
      <c r="A1947" s="16" t="inlineStr">
        <is>
          <t>5.15-5.21</t>
        </is>
      </c>
      <c r="B1947" s="16" t="inlineStr">
        <is>
          <t>PO-128-01905588772470448</t>
        </is>
      </c>
      <c r="C1947" s="16" t="inlineStr">
        <is>
          <t>Delivered</t>
        </is>
      </c>
      <c r="D1947" s="16" t="inlineStr">
        <is>
          <t>128-01905693630070448</t>
        </is>
      </c>
      <c r="E1947" s="16" t="inlineStr">
        <is>
          <t>Delivered</t>
        </is>
      </c>
      <c r="F1947" s="16" t="inlineStr">
        <is>
          <t>LV25W22</t>
        </is>
      </c>
      <c r="G19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47" s="16" t="inlineStr">
        <is>
          <t>LV25W32</t>
        </is>
      </c>
      <c r="I1947" s="16" t="n">
        <v>2</v>
      </c>
      <c r="J1947" s="17" t="n">
        <v>180.86</v>
      </c>
      <c r="K1947" s="17" t="n">
        <v>158.58</v>
      </c>
      <c r="L1947" s="17" t="n">
        <v>25.86</v>
      </c>
      <c r="M1947" s="17" t="n">
        <v>0</v>
      </c>
      <c r="N1947" s="17">
        <f>K1947*0.08+L1947*0.08</f>
        <v/>
      </c>
      <c r="O1947" s="17">
        <f>-(K1947*0.025+L1947*0.025)</f>
        <v/>
      </c>
      <c r="P1947" s="17">
        <f>32</f>
        <v/>
      </c>
      <c r="Q1947" s="17">
        <f>J1947+L1947+N1947+O1947-P1947-M1947</f>
        <v/>
      </c>
    </row>
    <row r="1948">
      <c r="A1948" s="16" t="inlineStr">
        <is>
          <t>5.15-5.21</t>
        </is>
      </c>
      <c r="B1948" s="16" t="inlineStr">
        <is>
          <t>PO-128-01722054636151414</t>
        </is>
      </c>
      <c r="C1948" s="16" t="inlineStr">
        <is>
          <t>Delivered</t>
        </is>
      </c>
      <c r="D1948" s="16" t="inlineStr">
        <is>
          <t>128-01722075607671414</t>
        </is>
      </c>
      <c r="E1948" s="16" t="inlineStr">
        <is>
          <t>Delivered</t>
        </is>
      </c>
      <c r="F1948" s="16" t="inlineStr">
        <is>
          <t>MCM-001R</t>
        </is>
      </c>
      <c r="G1948" s="16" t="inlineStr">
        <is>
          <t>Musicord Altavoz Inalámbrico BT Portátil: ¡Sonido impactante, luces LED multicolores y 4 horas de autonomía! Compatible con TWS, FM, TF y USB – Imprescindible para fiestas y viajes</t>
        </is>
      </c>
      <c r="H1948" s="16" t="inlineStr">
        <is>
          <t>ROJO</t>
        </is>
      </c>
      <c r="I1948" s="16" t="n">
        <v>1</v>
      </c>
      <c r="J1948" s="17" t="n">
        <v>66.5</v>
      </c>
      <c r="K1948" s="17" t="n">
        <v>74.29000000000001</v>
      </c>
      <c r="L1948" s="17" t="n">
        <v>25.86</v>
      </c>
      <c r="M1948" s="17" t="n">
        <v>0</v>
      </c>
      <c r="N1948" s="17">
        <f>K1948*0.08+L1948*0.08</f>
        <v/>
      </c>
      <c r="O1948" s="17">
        <f>-(K1948*0.025+L1948*0.025)</f>
        <v/>
      </c>
      <c r="P1948" s="17">
        <f>32</f>
        <v/>
      </c>
      <c r="Q1948" s="17">
        <f>J1948+L1948+N1948+O1948-P1948-M1948</f>
        <v/>
      </c>
    </row>
    <row r="1949">
      <c r="A1949" s="16" t="inlineStr">
        <is>
          <t>5.15-5.21</t>
        </is>
      </c>
      <c r="B1949" s="16" t="inlineStr">
        <is>
          <t>PO-128-01864225531511785</t>
        </is>
      </c>
      <c r="C1949" s="16" t="inlineStr">
        <is>
          <t>Delivered</t>
        </is>
      </c>
      <c r="D1949" s="16" t="inlineStr">
        <is>
          <t>128-01864246503031785</t>
        </is>
      </c>
      <c r="E1949" s="16" t="inlineStr">
        <is>
          <t>Delivered</t>
        </is>
      </c>
      <c r="F1949" s="16" t="inlineStr">
        <is>
          <t>KTS-1678Y</t>
        </is>
      </c>
      <c r="G1949" s="16" t="inlineStr">
        <is>
          <t>Bocina portátil Inalámbrico, de 3 pulgadas, tamaño de bolsillo, 170 g, con asa, compatible con TF, USB y Micro SD, con radio FM y función TWS (True Wireless Stereo), adecuada para relajarse en casa o viajar al aire libre.</t>
        </is>
      </c>
      <c r="H1949" s="16" t="inlineStr">
        <is>
          <t>KTS-1678Y</t>
        </is>
      </c>
      <c r="I1949" s="16" t="n">
        <v>1</v>
      </c>
      <c r="J1949" s="17" t="n">
        <v>41</v>
      </c>
      <c r="K1949" s="17" t="n">
        <v>47.2</v>
      </c>
      <c r="L1949" s="17" t="n">
        <v>25.86</v>
      </c>
      <c r="M1949" s="17" t="n">
        <v>0</v>
      </c>
      <c r="N1949" s="17">
        <f>K1949*0.08+L1949*0.08</f>
        <v/>
      </c>
      <c r="O1949" s="17">
        <f>-(K1949*0.025+L1949*0.025)</f>
        <v/>
      </c>
      <c r="P1949" s="17">
        <f>32</f>
        <v/>
      </c>
      <c r="Q1949" s="17">
        <f>J1949+L1949+N1949+O1949-P1949-M1949</f>
        <v/>
      </c>
    </row>
    <row r="1950">
      <c r="A1950" s="16" t="inlineStr">
        <is>
          <t>5.15-5.21</t>
        </is>
      </c>
      <c r="B1950" s="16" t="inlineStr">
        <is>
          <t>PO-128-01616563175032109</t>
        </is>
      </c>
      <c r="C1950" s="16" t="inlineStr">
        <is>
          <t>Delivered</t>
        </is>
      </c>
      <c r="D1950" s="16" t="inlineStr">
        <is>
          <t>128-01616542203512109</t>
        </is>
      </c>
      <c r="E1950" s="16" t="inlineStr">
        <is>
          <t>Delivered</t>
        </is>
      </c>
      <c r="F1950" s="16" t="inlineStr">
        <is>
          <t>FA028</t>
        </is>
      </c>
      <c r="G1950" s="16" t="inlineStr">
        <is>
          <t>Extractor de agua para garrafas de agua, compatible con carga USB, extractor de agua automático, práctico, con dos modos de toma de agua: manual y programado, ideal para dormitorios, salones, oficinas, uso al aire libre y otros escenarios.</t>
        </is>
      </c>
      <c r="H1950" s="16" t="inlineStr">
        <is>
          <t>FA028</t>
        </is>
      </c>
      <c r="I1950" s="16" t="n">
        <v>1</v>
      </c>
      <c r="J1950" s="17" t="n">
        <v>30</v>
      </c>
      <c r="K1950" s="17" t="n">
        <v>39.58</v>
      </c>
      <c r="L1950" s="17" t="n">
        <v>25.86</v>
      </c>
      <c r="M1950" s="17" t="n">
        <v>0</v>
      </c>
      <c r="N1950" s="17">
        <f>K1950*0.08+L1950*0.08</f>
        <v/>
      </c>
      <c r="O1950" s="17">
        <f>-(K1950*0.025+L1950*0.025)</f>
        <v/>
      </c>
      <c r="P1950" s="17">
        <f>32</f>
        <v/>
      </c>
      <c r="Q1950" s="17">
        <f>J1950+L1950+N1950+O1950-P1950-M1950</f>
        <v/>
      </c>
    </row>
    <row r="1951">
      <c r="A1951" s="16" t="inlineStr">
        <is>
          <t>5.15-5.21</t>
        </is>
      </c>
      <c r="B1951" s="16" t="inlineStr">
        <is>
          <t>PO-128-01996725842550995</t>
        </is>
      </c>
      <c r="C1951" s="16" t="inlineStr">
        <is>
          <t>Delivered</t>
        </is>
      </c>
      <c r="D1951" s="16" t="inlineStr">
        <is>
          <t>128-01996704871030995</t>
        </is>
      </c>
      <c r="E1951" s="16" t="inlineStr">
        <is>
          <t>Delivered</t>
        </is>
      </c>
      <c r="F1951" s="16" t="inlineStr">
        <is>
          <t>LB02235-negro</t>
        </is>
      </c>
      <c r="G1951" s="16" t="inlineStr">
        <is>
          <t>Audífonos Inalámbricos para la Cabeza, Recargables y Multifuncionales - Conectan a Varios Dispositivos, soportan Radio FM, Tarjeta TF y AUX - 4 Horas de Reproducción Musical - Ideal para Trabajo Cotidiano, Juegos y Estudio</t>
        </is>
      </c>
      <c r="H1951" s="16" t="inlineStr">
        <is>
          <t>NEGRO</t>
        </is>
      </c>
      <c r="I1951" s="16" t="n">
        <v>1</v>
      </c>
      <c r="J1951" s="17" t="n">
        <v>45.31</v>
      </c>
      <c r="K1951" s="17" t="n">
        <v>58.41</v>
      </c>
      <c r="L1951" s="17" t="n">
        <v>25.86</v>
      </c>
      <c r="M1951" s="17" t="n">
        <v>0</v>
      </c>
      <c r="N1951" s="17">
        <f>K1951*0.08+L1951*0.08</f>
        <v/>
      </c>
      <c r="O1951" s="17">
        <f>-(K1951*0.025+L1951*0.025)</f>
        <v/>
      </c>
      <c r="P1951" s="17">
        <f>32</f>
        <v/>
      </c>
      <c r="Q1951" s="17">
        <f>J1951+L1951+N1951+O1951-P1951-M1951</f>
        <v/>
      </c>
    </row>
    <row r="1952">
      <c r="A1952" s="16" t="inlineStr">
        <is>
          <t>5.15-5.21</t>
        </is>
      </c>
      <c r="B1952" s="16" t="inlineStr">
        <is>
          <t>PO-128-01888535588471638</t>
        </is>
      </c>
      <c r="C1952" s="16" t="inlineStr">
        <is>
          <t>Delivered</t>
        </is>
      </c>
      <c r="D1952" s="16" t="inlineStr">
        <is>
          <t>128-01888561802871638</t>
        </is>
      </c>
      <c r="E1952" s="16" t="inlineStr">
        <is>
          <t>Delivered</t>
        </is>
      </c>
      <c r="F1952" s="16" t="inlineStr">
        <is>
          <t>LB02235-azul</t>
        </is>
      </c>
      <c r="G1952" s="16" t="inlineStr">
        <is>
          <t>Audífonos Inalámbricos para la Cabeza, Recargables y Multifuncionales - Conectan a Varios Dispositivos, soportan Radio FM, Tarjeta TF y AUX - 4 Horas de Reproducción Musical - Ideal para Trabajo Cotidiano, Juegos y Estudio</t>
        </is>
      </c>
      <c r="H1952" s="16" t="inlineStr">
        <is>
          <t>AZUL</t>
        </is>
      </c>
      <c r="I1952" s="16" t="n">
        <v>2</v>
      </c>
      <c r="J1952" s="17" t="n">
        <v>73.59999999999999</v>
      </c>
      <c r="K1952" s="17" t="n">
        <v>77.37</v>
      </c>
      <c r="L1952" s="17" t="n">
        <v>25.86</v>
      </c>
      <c r="M1952" s="17" t="n">
        <v>0</v>
      </c>
      <c r="N1952" s="17">
        <f>K1952*0.08+L1952*0.08</f>
        <v/>
      </c>
      <c r="O1952" s="17">
        <f>-(K1952*0.025+L1952*0.025)</f>
        <v/>
      </c>
      <c r="P1952" s="17">
        <f>32</f>
        <v/>
      </c>
      <c r="Q1952" s="17">
        <f>J1952+L1952+N1952+O1952-P1952-M1952</f>
        <v/>
      </c>
    </row>
    <row r="1953">
      <c r="A1953" s="16" t="inlineStr">
        <is>
          <t>5.15-5.21</t>
        </is>
      </c>
      <c r="B1953" s="16" t="inlineStr">
        <is>
          <t>PO-128-01650572867193056</t>
        </is>
      </c>
      <c r="C1953" s="16" t="inlineStr">
        <is>
          <t>Delivered</t>
        </is>
      </c>
      <c r="D1953" s="16" t="inlineStr">
        <is>
          <t>128-01650578110073056</t>
        </is>
      </c>
      <c r="E1953" s="16" t="inlineStr">
        <is>
          <t>Delivered</t>
        </is>
      </c>
      <c r="F1953" s="16" t="inlineStr">
        <is>
          <t>LV25W22</t>
        </is>
      </c>
      <c r="G195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53" s="16" t="inlineStr">
        <is>
          <t>LV25W32</t>
        </is>
      </c>
      <c r="I1953" s="16" t="n">
        <v>1</v>
      </c>
      <c r="J1953" s="17" t="n">
        <v>90.43000000000001</v>
      </c>
      <c r="K1953" s="17" t="n">
        <v>100.84</v>
      </c>
      <c r="L1953" s="17" t="n">
        <v>25.86</v>
      </c>
      <c r="M1953" s="17" t="n">
        <v>0</v>
      </c>
      <c r="N1953" s="17">
        <f>K1953*0.08+L1953*0.08</f>
        <v/>
      </c>
      <c r="O1953" s="17">
        <f>-(K1953*0.025+L1953*0.025)</f>
        <v/>
      </c>
      <c r="P1953" s="17">
        <f>32</f>
        <v/>
      </c>
      <c r="Q1953" s="17">
        <f>J1953+L1953+N1953+O1953-P1953-M1953</f>
        <v/>
      </c>
    </row>
    <row r="1954">
      <c r="A1954" s="16" t="inlineStr">
        <is>
          <t>5.15-5.21</t>
        </is>
      </c>
      <c r="B1954" s="16" t="inlineStr">
        <is>
          <t>PO-128-01592906220152184</t>
        </is>
      </c>
      <c r="C1954" s="16" t="inlineStr">
        <is>
          <t>Delivered</t>
        </is>
      </c>
      <c r="D1954" s="16" t="inlineStr">
        <is>
          <t>128-01592885248632184</t>
        </is>
      </c>
      <c r="E1954" s="16" t="inlineStr">
        <is>
          <t>Delivered</t>
        </is>
      </c>
      <c r="F1954" s="16" t="inlineStr">
        <is>
          <t>MCM-001G</t>
        </is>
      </c>
      <c r="G1954" s="16" t="inlineStr">
        <is>
          <t>Musicord Altavoz Inalámbrico BT Portátil: ¡Sonido impactante, luces LED multicolores y 4 horas de autonomía! Compatible con TWS, FM, TF y USB – Imprescindible para fiestas y viajes</t>
        </is>
      </c>
      <c r="H1954" s="16" t="inlineStr">
        <is>
          <t>GRIS</t>
        </is>
      </c>
      <c r="I1954" s="16" t="n">
        <v>1</v>
      </c>
      <c r="J1954" s="17" t="n">
        <v>51.07</v>
      </c>
      <c r="K1954" s="17" t="n">
        <v>58.86</v>
      </c>
      <c r="L1954" s="17" t="n">
        <v>25.86</v>
      </c>
      <c r="M1954" s="17" t="n">
        <v>0</v>
      </c>
      <c r="N1954" s="17">
        <f>K1954*0.08+L1954*0.08</f>
        <v/>
      </c>
      <c r="O1954" s="17">
        <f>-(K1954*0.025+L1954*0.025)</f>
        <v/>
      </c>
      <c r="P1954" s="17">
        <f>32</f>
        <v/>
      </c>
      <c r="Q1954" s="17">
        <f>J1954+L1954+N1954+O1954-P1954-M1954</f>
        <v/>
      </c>
    </row>
    <row r="1955">
      <c r="A1955" s="16" t="inlineStr">
        <is>
          <t>5.15-5.21</t>
        </is>
      </c>
      <c r="B1955" s="16" t="inlineStr">
        <is>
          <t>PO-128-01762032684151176</t>
        </is>
      </c>
      <c r="C1955" s="16" t="inlineStr">
        <is>
          <t>Delivered</t>
        </is>
      </c>
      <c r="D1955" s="16" t="inlineStr">
        <is>
          <t>128-01762006469751176</t>
        </is>
      </c>
      <c r="E1955" s="16" t="inlineStr">
        <is>
          <t>Delivered</t>
        </is>
      </c>
      <c r="F1955" s="16" t="inlineStr">
        <is>
          <t>LV25W22</t>
        </is>
      </c>
      <c r="G19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55" s="16" t="inlineStr">
        <is>
          <t>LV25W32</t>
        </is>
      </c>
      <c r="I1955" s="16" t="n">
        <v>1</v>
      </c>
      <c r="J1955" s="17" t="n">
        <v>90.43000000000001</v>
      </c>
      <c r="K1955" s="17" t="n">
        <v>83.83</v>
      </c>
      <c r="L1955" s="17" t="n">
        <v>25.86</v>
      </c>
      <c r="M1955" s="17" t="n">
        <v>0</v>
      </c>
      <c r="N1955" s="17">
        <f>K1955*0.08+L1955*0.08</f>
        <v/>
      </c>
      <c r="O1955" s="17">
        <f>-(K1955*0.025+L1955*0.025)</f>
        <v/>
      </c>
      <c r="P1955" s="17">
        <f>32</f>
        <v/>
      </c>
      <c r="Q1955" s="17">
        <f>J1955+L1955+N1955+O1955-P1955-M1955</f>
        <v/>
      </c>
    </row>
    <row r="1956">
      <c r="A1956" s="16" t="inlineStr">
        <is>
          <t>5.15-5.21</t>
        </is>
      </c>
      <c r="B1956" s="16" t="inlineStr">
        <is>
          <t>PO-128-01627012777592175</t>
        </is>
      </c>
      <c r="C1956" s="16" t="inlineStr">
        <is>
          <t>Delivered</t>
        </is>
      </c>
      <c r="D1956" s="16" t="inlineStr">
        <is>
          <t>128-01626970834552175</t>
        </is>
      </c>
      <c r="E1956" s="16" t="inlineStr">
        <is>
          <t>Delivered</t>
        </is>
      </c>
      <c r="F1956" s="16" t="inlineStr">
        <is>
          <t>LB02235-rojo</t>
        </is>
      </c>
      <c r="G1956" s="16" t="inlineStr">
        <is>
          <t>Audífonos Inalámbricos para la Cabeza, Recargables y Multifuncionales - Conectan a Varios Dispositivos, soportan Radio FM, Tarjeta TF y AUX - 4 Horas de Reproducción Musical - Ideal para Trabajo Cotidiano, Juegos y Estudio</t>
        </is>
      </c>
      <c r="H1956" s="16" t="inlineStr">
        <is>
          <t>ROJO</t>
        </is>
      </c>
      <c r="I1956" s="16" t="n">
        <v>1</v>
      </c>
      <c r="J1956" s="17" t="n">
        <v>38</v>
      </c>
      <c r="K1956" s="17" t="n">
        <v>7.5</v>
      </c>
      <c r="L1956" s="17" t="n">
        <v>13.1</v>
      </c>
      <c r="M1956" s="17" t="n">
        <v>0.22</v>
      </c>
      <c r="N1956" s="17">
        <f>K1956*0.08+L1956*0.08</f>
        <v/>
      </c>
      <c r="O1956" s="17">
        <f>-(K1956*0.025+L1956*0.025)</f>
        <v/>
      </c>
      <c r="P1956" s="17">
        <f>32</f>
        <v/>
      </c>
      <c r="Q1956" s="17">
        <f>J1956+L1956+N1956+O1956-P1956-M1956</f>
        <v/>
      </c>
    </row>
    <row r="1957">
      <c r="A1957" s="16" t="inlineStr">
        <is>
          <t>5.15-5.21</t>
        </is>
      </c>
      <c r="B1957" s="16" t="inlineStr">
        <is>
          <t>PO-128-01627012777592175</t>
        </is>
      </c>
      <c r="C1957" s="16" t="inlineStr">
        <is>
          <t>Delivered</t>
        </is>
      </c>
      <c r="D1957" s="16" t="inlineStr">
        <is>
          <t>128-01626928891512175</t>
        </is>
      </c>
      <c r="E1957" s="16" t="inlineStr">
        <is>
          <t>Delivered</t>
        </is>
      </c>
      <c r="F1957" s="16" t="inlineStr">
        <is>
          <t>LB02235-azul</t>
        </is>
      </c>
      <c r="G1957" s="16" t="inlineStr">
        <is>
          <t>Audífonos Inalámbricos para la Cabeza, Recargables y Multifuncionales - Conectan a Varios Dispositivos, soportan Radio FM, Tarjeta TF y AUX - 4 Horas de Reproducción Musical - Ideal para Trabajo Cotidiano, Juegos y Estudio</t>
        </is>
      </c>
      <c r="H1957" s="16" t="inlineStr">
        <is>
          <t>AZUL</t>
        </is>
      </c>
      <c r="I1957" s="16" t="n">
        <v>1</v>
      </c>
      <c r="J1957" s="17" t="n">
        <v>36.8</v>
      </c>
      <c r="K1957" s="17" t="n">
        <v>7.32</v>
      </c>
      <c r="L1957" s="17" t="n">
        <v>12.76</v>
      </c>
      <c r="M1957" s="17" t="n">
        <v>0.27</v>
      </c>
      <c r="N1957" s="17">
        <f>K1957*0.08+L1957*0.08</f>
        <v/>
      </c>
      <c r="O1957" s="17">
        <f>-(K1957*0.025+L1957*0.025)</f>
        <v/>
      </c>
      <c r="P1957" s="17">
        <f>32</f>
        <v/>
      </c>
      <c r="Q1957" s="17">
        <f>J1957+L1957+N1957+O1957-P1957-M1957</f>
        <v/>
      </c>
    </row>
    <row r="1958">
      <c r="A1958" s="16" t="inlineStr">
        <is>
          <t>5.15-5.21</t>
        </is>
      </c>
      <c r="B1958" s="16" t="inlineStr">
        <is>
          <t>PO-128-01736823567991518</t>
        </is>
      </c>
      <c r="C1958" s="16" t="inlineStr">
        <is>
          <t>Delivered</t>
        </is>
      </c>
      <c r="D1958" s="16" t="inlineStr">
        <is>
          <t>128-01736857646711518</t>
        </is>
      </c>
      <c r="E1958" s="16" t="inlineStr">
        <is>
          <t>Delivered</t>
        </is>
      </c>
      <c r="F1958" s="16" t="inlineStr">
        <is>
          <t>LV42W08</t>
        </is>
      </c>
      <c r="G1958" s="16" t="inlineStr">
        <is>
          <t>TIANLAI Ventilador de techo con luz LED RGB E27, 6 pulgadas, 40W, motor silencioso, fácil instalación, alto brillo 3800 lm, 127V. Ideal para dormitorios, salas y cocinas del hogar.</t>
        </is>
      </c>
      <c r="H1958" s="16" t="inlineStr">
        <is>
          <t>1 pieza</t>
        </is>
      </c>
      <c r="I1958" s="16" t="n">
        <v>1</v>
      </c>
      <c r="J1958" s="17" t="n">
        <v>186.25</v>
      </c>
      <c r="K1958" s="17" t="n">
        <v>216.41</v>
      </c>
      <c r="L1958" s="17" t="n">
        <v>25.86</v>
      </c>
      <c r="M1958" s="17" t="n">
        <v>0</v>
      </c>
      <c r="N1958" s="17">
        <f>K1958*0.08+L1958*0.08</f>
        <v/>
      </c>
      <c r="O1958" s="17">
        <f>-(K1958*0.025+L1958*0.025)</f>
        <v/>
      </c>
      <c r="P1958" s="17">
        <f>32</f>
        <v/>
      </c>
      <c r="Q1958" s="17">
        <f>J1958+L1958+N1958+O1958-P1958-M1958</f>
        <v/>
      </c>
    </row>
    <row r="1959">
      <c r="A1959" s="16" t="inlineStr">
        <is>
          <t>5.15-5.21</t>
        </is>
      </c>
      <c r="B1959" s="16" t="inlineStr">
        <is>
          <t>PO-128-01721282693751421</t>
        </is>
      </c>
      <c r="C1959" s="16" t="inlineStr">
        <is>
          <t>Delivered</t>
        </is>
      </c>
      <c r="D1959" s="16" t="inlineStr">
        <is>
          <t>128-01721303665271421</t>
        </is>
      </c>
      <c r="E1959" s="16" t="inlineStr">
        <is>
          <t>Delivered</t>
        </is>
      </c>
      <c r="F1959" s="16" t="inlineStr">
        <is>
          <t>MB-185N</t>
        </is>
      </c>
      <c r="G1959" s="16" t="inlineStr">
        <is>
          <t>Bocina Radio FM/Reproductor, Compatible con Tarjeta TF, USB, Bluetooth, Aplicable para celular, computadora, Ipad y consola.</t>
        </is>
      </c>
      <c r="H1959" s="16" t="inlineStr">
        <is>
          <t>NEGRO/MB-185</t>
        </is>
      </c>
      <c r="I1959" s="16" t="n">
        <v>1</v>
      </c>
      <c r="J1959" s="17" t="n">
        <v>75.5</v>
      </c>
      <c r="K1959" s="17" t="n">
        <v>88.44</v>
      </c>
      <c r="L1959" s="17" t="n">
        <v>25.86</v>
      </c>
      <c r="M1959" s="17" t="n">
        <v>0</v>
      </c>
      <c r="N1959" s="17">
        <f>K1959*0.08+L1959*0.08</f>
        <v/>
      </c>
      <c r="O1959" s="17">
        <f>-(K1959*0.025+L1959*0.025)</f>
        <v/>
      </c>
      <c r="P1959" s="17">
        <f>32</f>
        <v/>
      </c>
      <c r="Q1959" s="17">
        <f>J1959+L1959+N1959+O1959-P1959-M1959</f>
        <v/>
      </c>
    </row>
    <row r="1960">
      <c r="A1960" s="16" t="inlineStr">
        <is>
          <t>5.15-5.21</t>
        </is>
      </c>
      <c r="B1960" s="16" t="inlineStr">
        <is>
          <t>PO-128-01799202023031146</t>
        </is>
      </c>
      <c r="C1960" s="16" t="inlineStr">
        <is>
          <t>Delivered</t>
        </is>
      </c>
      <c r="D1960" s="16" t="inlineStr">
        <is>
          <t>128-01799254451831146</t>
        </is>
      </c>
      <c r="E1960" s="16" t="inlineStr">
        <is>
          <t>Delivered</t>
        </is>
      </c>
      <c r="F1960" s="16" t="inlineStr">
        <is>
          <t>VB347T</t>
        </is>
      </c>
      <c r="G196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960" s="16" t="inlineStr">
        <is>
          <t>1 pieza</t>
        </is>
      </c>
      <c r="I1960" s="16" t="n">
        <v>1</v>
      </c>
      <c r="J1960" s="17" t="n">
        <v>79.90000000000001</v>
      </c>
      <c r="K1960" s="17" t="n">
        <v>94.5</v>
      </c>
      <c r="L1960" s="17" t="n">
        <v>25.86</v>
      </c>
      <c r="M1960" s="17" t="n">
        <v>0</v>
      </c>
      <c r="N1960" s="17">
        <f>K1960*0.08+L1960*0.08</f>
        <v/>
      </c>
      <c r="O1960" s="17">
        <f>-(K1960*0.025+L1960*0.025)</f>
        <v/>
      </c>
      <c r="P1960" s="17">
        <f>32</f>
        <v/>
      </c>
      <c r="Q1960" s="17">
        <f>J1960+L1960+N1960+O1960-P1960-M1960</f>
        <v/>
      </c>
    </row>
    <row r="1961">
      <c r="A1961" s="16" t="inlineStr">
        <is>
          <t>5.15-5.21</t>
        </is>
      </c>
      <c r="B1961" s="16" t="inlineStr">
        <is>
          <t>PO-128-01749758812791315</t>
        </is>
      </c>
      <c r="C1961" s="16" t="inlineStr">
        <is>
          <t>Delivered</t>
        </is>
      </c>
      <c r="D1961" s="16" t="inlineStr">
        <is>
          <t>128-01749716746871315</t>
        </is>
      </c>
      <c r="E1961" s="16" t="inlineStr">
        <is>
          <t>Delivered</t>
        </is>
      </c>
      <c r="F1961" s="16" t="inlineStr">
        <is>
          <t>LV25W22</t>
        </is>
      </c>
      <c r="G19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61" s="16" t="inlineStr">
        <is>
          <t>LV25W32</t>
        </is>
      </c>
      <c r="I1961" s="16" t="n">
        <v>1</v>
      </c>
      <c r="J1961" s="17" t="n">
        <v>90.43000000000001</v>
      </c>
      <c r="K1961" s="17" t="n">
        <v>93.59</v>
      </c>
      <c r="L1961" s="17" t="n">
        <v>25.86</v>
      </c>
      <c r="M1961" s="17" t="n">
        <v>0</v>
      </c>
      <c r="N1961" s="17">
        <f>K1961*0.08+L1961*0.08</f>
        <v/>
      </c>
      <c r="O1961" s="17">
        <f>-(K1961*0.025+L1961*0.025)</f>
        <v/>
      </c>
      <c r="P1961" s="17">
        <f>32</f>
        <v/>
      </c>
      <c r="Q1961" s="17">
        <f>J1961+L1961+N1961+O1961-P1961-M1961</f>
        <v/>
      </c>
    </row>
    <row r="1962">
      <c r="A1962" s="16" t="inlineStr">
        <is>
          <t>5.15-5.21</t>
        </is>
      </c>
      <c r="B1962" s="16" t="inlineStr">
        <is>
          <t>PO-128-01395661502073552</t>
        </is>
      </c>
      <c r="C1962" s="16" t="inlineStr">
        <is>
          <t>Delivered</t>
        </is>
      </c>
      <c r="D1962" s="16" t="inlineStr">
        <is>
          <t>128-01395619559033552</t>
        </is>
      </c>
      <c r="E1962" s="16" t="inlineStr">
        <is>
          <t>Delivered</t>
        </is>
      </c>
      <c r="F1962" s="16" t="inlineStr">
        <is>
          <t>LB02235-negro</t>
        </is>
      </c>
      <c r="G1962" s="16" t="inlineStr">
        <is>
          <t>Audífonos Inalámbricos para la Cabeza, Recargables y Multifuncionales - Conectan a Varios Dispositivos, soportan Radio FM, Tarjeta TF y AUX - 4 Horas de Reproducción Musical - Ideal para Trabajo Cotidiano, Juegos y Estudio</t>
        </is>
      </c>
      <c r="H1962" s="16" t="inlineStr">
        <is>
          <t>NEGRO</t>
        </is>
      </c>
      <c r="I1962" s="16" t="n">
        <v>1</v>
      </c>
      <c r="J1962" s="17" t="n">
        <v>45.31</v>
      </c>
      <c r="K1962" s="17" t="n">
        <v>58.41</v>
      </c>
      <c r="L1962" s="17" t="n">
        <v>25.86</v>
      </c>
      <c r="M1962" s="17" t="n">
        <v>0</v>
      </c>
      <c r="N1962" s="17">
        <f>K1962*0.08+L1962*0.08</f>
        <v/>
      </c>
      <c r="O1962" s="17">
        <f>-(K1962*0.025+L1962*0.025)</f>
        <v/>
      </c>
      <c r="P1962" s="17">
        <f>32</f>
        <v/>
      </c>
      <c r="Q1962" s="17">
        <f>J1962+L1962+N1962+O1962-P1962-M1962</f>
        <v/>
      </c>
    </row>
    <row r="1963">
      <c r="A1963" s="16" t="inlineStr">
        <is>
          <t>5.15-5.21</t>
        </is>
      </c>
      <c r="B1963" s="16" t="inlineStr">
        <is>
          <t>PO-128-01527044931193603</t>
        </is>
      </c>
      <c r="C1963" s="16" t="inlineStr">
        <is>
          <t>Delivered</t>
        </is>
      </c>
      <c r="D1963" s="16" t="inlineStr">
        <is>
          <t>128-01527002988153603</t>
        </is>
      </c>
      <c r="E1963" s="16" t="inlineStr">
        <is>
          <t>Delivered</t>
        </is>
      </c>
      <c r="F1963" s="16" t="inlineStr">
        <is>
          <t>SA325T</t>
        </is>
      </c>
      <c r="G1963" s="16" t="inlineStr">
        <is>
          <t>Subwoofer Portátil Inalámbrico con Luces RGB, Sonido de Alta Potencia y Batería Duradera, TWS TF USB, Perfecto para Campamento Fiestas y Entretenimiento en Casa</t>
        </is>
      </c>
      <c r="H1963" s="16" t="inlineStr">
        <is>
          <t>NEGRO</t>
        </is>
      </c>
      <c r="I1963" s="16" t="n">
        <v>1</v>
      </c>
      <c r="J1963" s="17" t="n">
        <v>38</v>
      </c>
      <c r="K1963" s="17" t="n">
        <v>47.04</v>
      </c>
      <c r="L1963" s="17" t="n">
        <v>25.86</v>
      </c>
      <c r="M1963" s="17" t="n">
        <v>0</v>
      </c>
      <c r="N1963" s="17">
        <f>K1963*0.08+L1963*0.08</f>
        <v/>
      </c>
      <c r="O1963" s="17">
        <f>-(K1963*0.025+L1963*0.025)</f>
        <v/>
      </c>
      <c r="P1963" s="17">
        <f>32</f>
        <v/>
      </c>
      <c r="Q1963" s="17">
        <f>J1963+L1963+N1963+O1963-P1963-M1963</f>
        <v/>
      </c>
    </row>
    <row r="1964">
      <c r="A1964" s="16" t="inlineStr">
        <is>
          <t>5.15-5.21</t>
        </is>
      </c>
      <c r="B1964" s="16" t="inlineStr">
        <is>
          <t>PO-128-01905252188790450</t>
        </is>
      </c>
      <c r="C1964" s="16" t="inlineStr">
        <is>
          <t>Delivered</t>
        </is>
      </c>
      <c r="D1964" s="16" t="inlineStr">
        <is>
          <t>128-01905273160310450</t>
        </is>
      </c>
      <c r="E1964" s="16" t="inlineStr">
        <is>
          <t>Delivered</t>
        </is>
      </c>
      <c r="F1964" s="16" t="inlineStr">
        <is>
          <t>LB02235-azul</t>
        </is>
      </c>
      <c r="G1964" s="16" t="inlineStr">
        <is>
          <t>Audífonos Inalámbricos para la Cabeza, Recargables y Multifuncionales - Conectan a Varios Dispositivos, soportan Radio FM, Tarjeta TF y AUX - 4 Horas de Reproducción Musical - Ideal para Trabajo Cotidiano, Juegos y Estudio</t>
        </is>
      </c>
      <c r="H1964" s="16" t="inlineStr">
        <is>
          <t>AZUL</t>
        </is>
      </c>
      <c r="I1964" s="16" t="n">
        <v>1</v>
      </c>
      <c r="J1964" s="17" t="n">
        <v>36.8</v>
      </c>
      <c r="K1964" s="17" t="n">
        <v>42.43</v>
      </c>
      <c r="L1964" s="17" t="n">
        <v>25.86</v>
      </c>
      <c r="M1964" s="17" t="n">
        <v>0</v>
      </c>
      <c r="N1964" s="17">
        <f>K1964*0.08+L1964*0.08</f>
        <v/>
      </c>
      <c r="O1964" s="17">
        <f>-(K1964*0.025+L1964*0.025)</f>
        <v/>
      </c>
      <c r="P1964" s="17">
        <f>32</f>
        <v/>
      </c>
      <c r="Q1964" s="17">
        <f>J1964+L1964+N1964+O1964-P1964-M1964</f>
        <v/>
      </c>
    </row>
    <row r="1965">
      <c r="A1965" s="16" t="inlineStr">
        <is>
          <t>5.15-5.21</t>
        </is>
      </c>
      <c r="B1965" s="16" t="inlineStr">
        <is>
          <t>PO-128-01380943739513513</t>
        </is>
      </c>
      <c r="C1965" s="16" t="inlineStr">
        <is>
          <t>Delivered</t>
        </is>
      </c>
      <c r="D1965" s="16" t="inlineStr">
        <is>
          <t>128-01380954225273513</t>
        </is>
      </c>
      <c r="E1965" s="16" t="inlineStr">
        <is>
          <t>Delivered</t>
        </is>
      </c>
      <c r="F1965" s="16" t="inlineStr">
        <is>
          <t>MCM-001G</t>
        </is>
      </c>
      <c r="G1965" s="16" t="inlineStr">
        <is>
          <t>Musicord Altavoz Inalámbrico BT Portátil: ¡Sonido impactante, luces LED multicolores y 4 horas de autonomía! Compatible con TWS, FM, TF y USB – Imprescindible para fiestas y viajes</t>
        </is>
      </c>
      <c r="H1965" s="16" t="inlineStr">
        <is>
          <t>GRIS</t>
        </is>
      </c>
      <c r="I1965" s="16" t="n">
        <v>1</v>
      </c>
      <c r="J1965" s="17" t="n">
        <v>51.07</v>
      </c>
      <c r="K1965" s="17" t="n">
        <v>58.86</v>
      </c>
      <c r="L1965" s="17" t="n">
        <v>25.86</v>
      </c>
      <c r="M1965" s="17" t="n">
        <v>0</v>
      </c>
      <c r="N1965" s="17">
        <f>K1965*0.08+L1965*0.08</f>
        <v/>
      </c>
      <c r="O1965" s="17">
        <f>-(K1965*0.025+L1965*0.025)</f>
        <v/>
      </c>
      <c r="P1965" s="17">
        <f>32</f>
        <v/>
      </c>
      <c r="Q1965" s="17">
        <f>J1965+L1965+N1965+O1965-P1965-M1965</f>
        <v/>
      </c>
    </row>
    <row r="1966">
      <c r="A1966" s="16" t="inlineStr">
        <is>
          <t>5.15-5.21</t>
        </is>
      </c>
      <c r="B1966" s="16" t="inlineStr">
        <is>
          <t>PO-128-02040809078390538</t>
        </is>
      </c>
      <c r="C1966" s="16" t="inlineStr">
        <is>
          <t>Delivered</t>
        </is>
      </c>
      <c r="D1966" s="16" t="inlineStr">
        <is>
          <t>128-02040814321270538</t>
        </is>
      </c>
      <c r="E1966" s="16" t="inlineStr">
        <is>
          <t>Delivered</t>
        </is>
      </c>
      <c r="F1966" s="16" t="inlineStr">
        <is>
          <t>LV25W22</t>
        </is>
      </c>
      <c r="G19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66" s="16" t="inlineStr">
        <is>
          <t>LV25W32</t>
        </is>
      </c>
      <c r="I1966" s="16" t="n">
        <v>3</v>
      </c>
      <c r="J1966" s="17" t="n">
        <v>271.29</v>
      </c>
      <c r="K1966" s="17" t="n">
        <v>302.52</v>
      </c>
      <c r="L1966" s="17" t="n">
        <v>0</v>
      </c>
      <c r="M1966" s="17" t="n">
        <v>0</v>
      </c>
      <c r="N1966" s="17">
        <f>K1966*0.08+L1966*0.08</f>
        <v/>
      </c>
      <c r="O1966" s="17">
        <f>-(K1966*0.025+L1966*0.025)</f>
        <v/>
      </c>
      <c r="P1966" s="17">
        <f>32</f>
        <v/>
      </c>
      <c r="Q1966" s="17">
        <f>J1966+L1966+N1966+O1966-P1966-M1966</f>
        <v/>
      </c>
    </row>
    <row r="1967">
      <c r="A1967" s="16" t="inlineStr">
        <is>
          <t>5.15-5.21</t>
        </is>
      </c>
      <c r="B1967" s="16" t="inlineStr">
        <is>
          <t>PO-128-01774856126071228</t>
        </is>
      </c>
      <c r="C1967" s="16" t="inlineStr">
        <is>
          <t>Delivered</t>
        </is>
      </c>
      <c r="D1967" s="16" t="inlineStr">
        <is>
          <t>128-01774835154551228</t>
        </is>
      </c>
      <c r="E1967" s="16" t="inlineStr">
        <is>
          <t>Delivered</t>
        </is>
      </c>
      <c r="F1967" s="16" t="inlineStr">
        <is>
          <t>FA028</t>
        </is>
      </c>
      <c r="G1967" s="16" t="inlineStr">
        <is>
          <t>Extractor de agua para garrafas de agua, compatible con carga USB, extractor de agua automático, práctico, con dos modos de toma de agua: manual y programado, ideal para dormitorios, salones, oficinas, uso al aire libre y otros escenarios.</t>
        </is>
      </c>
      <c r="H1967" s="16" t="inlineStr">
        <is>
          <t>FA028</t>
        </is>
      </c>
      <c r="I1967" s="16" t="n">
        <v>1</v>
      </c>
      <c r="J1967" s="17" t="n">
        <v>30</v>
      </c>
      <c r="K1967" s="17" t="n">
        <v>6.34</v>
      </c>
      <c r="L1967" s="17" t="n">
        <v>25.86</v>
      </c>
      <c r="M1967" s="17" t="n">
        <v>0</v>
      </c>
      <c r="N1967" s="17">
        <f>K1967*0.08+L1967*0.08</f>
        <v/>
      </c>
      <c r="O1967" s="17">
        <f>-(K1967*0.025+L1967*0.025)</f>
        <v/>
      </c>
      <c r="P1967" s="17">
        <f>32</f>
        <v/>
      </c>
      <c r="Q1967" s="17">
        <f>J1967+L1967+N1967+O1967-P1967-M1967</f>
        <v/>
      </c>
    </row>
    <row r="1968">
      <c r="A1968" s="16" t="inlineStr">
        <is>
          <t>5.15-5.21</t>
        </is>
      </c>
      <c r="B1968" s="16" t="inlineStr">
        <is>
          <t>PO-128-01625044844152120</t>
        </is>
      </c>
      <c r="C1968" s="16" t="inlineStr">
        <is>
          <t>Delivered</t>
        </is>
      </c>
      <c r="D1968" s="16" t="inlineStr">
        <is>
          <t>128-01625120865912120</t>
        </is>
      </c>
      <c r="E1968" s="16" t="inlineStr">
        <is>
          <t>Delivered</t>
        </is>
      </c>
      <c r="F1968" s="16" t="inlineStr">
        <is>
          <t>MCM-001A</t>
        </is>
      </c>
      <c r="G1968" s="16" t="inlineStr">
        <is>
          <t>Musicord Altavoz Inalámbrico BT Portátil: ¡Sonido impactante, luces LED multicolores y 4 horas de autonomía! Compatible con TWS, FM, TF y USB – Imprescindible para fiestas y viajes</t>
        </is>
      </c>
      <c r="H1968" s="16" t="inlineStr">
        <is>
          <t>AZUL</t>
        </is>
      </c>
      <c r="I1968" s="16" t="n">
        <v>1</v>
      </c>
      <c r="J1968" s="17" t="n">
        <v>51.08</v>
      </c>
      <c r="K1968" s="17" t="n">
        <v>59.47</v>
      </c>
      <c r="L1968" s="17" t="n">
        <v>25.86</v>
      </c>
      <c r="M1968" s="17" t="n">
        <v>0</v>
      </c>
      <c r="N1968" s="17">
        <f>K1968*0.08+L1968*0.08</f>
        <v/>
      </c>
      <c r="O1968" s="17">
        <f>-(K1968*0.025+L1968*0.025)</f>
        <v/>
      </c>
      <c r="P1968" s="17">
        <f>32</f>
        <v/>
      </c>
      <c r="Q1968" s="17">
        <f>J1968+L1968+N1968+O1968-P1968-M1968</f>
        <v/>
      </c>
    </row>
    <row r="1969">
      <c r="A1969" s="16" t="inlineStr">
        <is>
          <t>5.15-5.21</t>
        </is>
      </c>
      <c r="B1969" s="16" t="inlineStr">
        <is>
          <t>PO-128-01551106652792435</t>
        </is>
      </c>
      <c r="C1969" s="16" t="inlineStr">
        <is>
          <t>Delivered</t>
        </is>
      </c>
      <c r="D1969" s="16" t="inlineStr">
        <is>
          <t>128-01551116155512435</t>
        </is>
      </c>
      <c r="E1969" s="16" t="inlineStr">
        <is>
          <t>Delivered</t>
        </is>
      </c>
      <c r="F1969" s="16" t="inlineStr">
        <is>
          <t>LV25W22</t>
        </is>
      </c>
      <c r="G19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69" s="16" t="inlineStr">
        <is>
          <t>LV25W32</t>
        </is>
      </c>
      <c r="I1969" s="16" t="n">
        <v>1</v>
      </c>
      <c r="J1969" s="17" t="n">
        <v>90.43000000000001</v>
      </c>
      <c r="K1969" s="17" t="n">
        <v>100.84</v>
      </c>
      <c r="L1969" s="17" t="n">
        <v>25.86</v>
      </c>
      <c r="M1969" s="17" t="n">
        <v>0</v>
      </c>
      <c r="N1969" s="17">
        <f>K1969*0.08+L1969*0.08</f>
        <v/>
      </c>
      <c r="O1969" s="17">
        <f>-(K1969*0.025+L1969*0.025)</f>
        <v/>
      </c>
      <c r="P1969" s="17">
        <f>32</f>
        <v/>
      </c>
      <c r="Q1969" s="17">
        <f>J1969+L1969+N1969+O1969-P1969-M1969</f>
        <v/>
      </c>
    </row>
    <row r="1970">
      <c r="A1970" s="16" t="inlineStr">
        <is>
          <t>5.15-5.21</t>
        </is>
      </c>
      <c r="B1970" s="16" t="inlineStr">
        <is>
          <t>PO-128-01980378624630901</t>
        </is>
      </c>
      <c r="C1970" s="16" t="inlineStr">
        <is>
          <t>Delivered</t>
        </is>
      </c>
      <c r="D1970" s="16" t="inlineStr">
        <is>
          <t>128-01980336681590901</t>
        </is>
      </c>
      <c r="E1970" s="16" t="inlineStr">
        <is>
          <t>Delivered</t>
        </is>
      </c>
      <c r="F1970" s="16" t="inlineStr">
        <is>
          <t>VB347T</t>
        </is>
      </c>
      <c r="G197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1970" s="16" t="inlineStr">
        <is>
          <t>1 pieza</t>
        </is>
      </c>
      <c r="I1970" s="16" t="n">
        <v>1</v>
      </c>
      <c r="J1970" s="17" t="n">
        <v>79.90000000000001</v>
      </c>
      <c r="K1970" s="17" t="n">
        <v>94.5</v>
      </c>
      <c r="L1970" s="17" t="n">
        <v>25.86</v>
      </c>
      <c r="M1970" s="17" t="n">
        <v>0</v>
      </c>
      <c r="N1970" s="17">
        <f>K1970*0.08+L1970*0.08</f>
        <v/>
      </c>
      <c r="O1970" s="17">
        <f>-(K1970*0.025+L1970*0.025)</f>
        <v/>
      </c>
      <c r="P1970" s="17">
        <f>32</f>
        <v/>
      </c>
      <c r="Q1970" s="17">
        <f>J1970+L1970+N1970+O1970-P1970-M1970</f>
        <v/>
      </c>
    </row>
    <row r="1971">
      <c r="A1971" s="16" t="inlineStr">
        <is>
          <t>5.15-5.21</t>
        </is>
      </c>
      <c r="B1971" s="16" t="inlineStr">
        <is>
          <t>PO-128-01874623079031595</t>
        </is>
      </c>
      <c r="C1971" s="16" t="inlineStr">
        <is>
          <t>Delivered</t>
        </is>
      </c>
      <c r="D1971" s="16" t="inlineStr">
        <is>
          <t>128-01874596864631595</t>
        </is>
      </c>
      <c r="E1971" s="16" t="inlineStr">
        <is>
          <t>Delivered</t>
        </is>
      </c>
      <c r="F1971" s="16" t="inlineStr">
        <is>
          <t>LV25W22</t>
        </is>
      </c>
      <c r="G197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1" s="16" t="inlineStr">
        <is>
          <t>LV25W32</t>
        </is>
      </c>
      <c r="I1971" s="16" t="n">
        <v>1</v>
      </c>
      <c r="J1971" s="17" t="n">
        <v>90.43000000000001</v>
      </c>
      <c r="K1971" s="17" t="n">
        <v>100.84</v>
      </c>
      <c r="L1971" s="17" t="n">
        <v>25.86</v>
      </c>
      <c r="M1971" s="17" t="n">
        <v>0</v>
      </c>
      <c r="N1971" s="17">
        <f>K1971*0.08+L1971*0.08</f>
        <v/>
      </c>
      <c r="O1971" s="17">
        <f>-(K1971*0.025+L1971*0.025)</f>
        <v/>
      </c>
      <c r="P1971" s="17">
        <f>32</f>
        <v/>
      </c>
      <c r="Q1971" s="17">
        <f>J1971+L1971+N1971+O1971-P1971-M1971</f>
        <v/>
      </c>
    </row>
    <row r="1972">
      <c r="A1972" s="16" t="inlineStr">
        <is>
          <t>5.15-5.21</t>
        </is>
      </c>
      <c r="B1972" s="16" t="inlineStr">
        <is>
          <t>PO-128-01461174200953995</t>
        </is>
      </c>
      <c r="C1972" s="16" t="inlineStr">
        <is>
          <t>Delivered</t>
        </is>
      </c>
      <c r="D1972" s="16" t="inlineStr">
        <is>
          <t>128-01461166336633995</t>
        </is>
      </c>
      <c r="E1972" s="16" t="inlineStr">
        <is>
          <t>Delivered</t>
        </is>
      </c>
      <c r="F1972" s="16" t="inlineStr">
        <is>
          <t>LV25W22</t>
        </is>
      </c>
      <c r="G197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2" s="16" t="inlineStr">
        <is>
          <t>LV25W32</t>
        </is>
      </c>
      <c r="I1972" s="16" t="n">
        <v>1</v>
      </c>
      <c r="J1972" s="17" t="n">
        <v>90.43000000000001</v>
      </c>
      <c r="K1972" s="17" t="n">
        <v>85.72</v>
      </c>
      <c r="L1972" s="17" t="n">
        <v>25.86</v>
      </c>
      <c r="M1972" s="17" t="n">
        <v>0</v>
      </c>
      <c r="N1972" s="17">
        <f>K1972*0.08+L1972*0.08</f>
        <v/>
      </c>
      <c r="O1972" s="17">
        <f>-(K1972*0.025+L1972*0.025)</f>
        <v/>
      </c>
      <c r="P1972" s="17">
        <f>32</f>
        <v/>
      </c>
      <c r="Q1972" s="17">
        <f>J1972+L1972+N1972+O1972-P1972-M1972</f>
        <v/>
      </c>
    </row>
    <row r="1973">
      <c r="A1973" s="16" t="inlineStr">
        <is>
          <t>5.15-5.21</t>
        </is>
      </c>
      <c r="B1973" s="16" t="inlineStr">
        <is>
          <t>PO-128-01683789855352730</t>
        </is>
      </c>
      <c r="C1973" s="16" t="inlineStr">
        <is>
          <t>Delivered</t>
        </is>
      </c>
      <c r="D1973" s="16" t="inlineStr">
        <is>
          <t>128-01683795098232730</t>
        </is>
      </c>
      <c r="E1973" s="16" t="inlineStr">
        <is>
          <t>Delivered</t>
        </is>
      </c>
      <c r="F1973" s="16" t="inlineStr">
        <is>
          <t>LV25W22</t>
        </is>
      </c>
      <c r="G19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3" s="16" t="inlineStr">
        <is>
          <t>LV25W32</t>
        </is>
      </c>
      <c r="I1973" s="16" t="n">
        <v>2</v>
      </c>
      <c r="J1973" s="17" t="n">
        <v>180.86</v>
      </c>
      <c r="K1973" s="17" t="n">
        <v>161.35</v>
      </c>
      <c r="L1973" s="17" t="n">
        <v>25.86</v>
      </c>
      <c r="M1973" s="17" t="n">
        <v>0</v>
      </c>
      <c r="N1973" s="17">
        <f>K1973*0.08+L1973*0.08</f>
        <v/>
      </c>
      <c r="O1973" s="17">
        <f>-(K1973*0.025+L1973*0.025)</f>
        <v/>
      </c>
      <c r="P1973" s="17">
        <f>32</f>
        <v/>
      </c>
      <c r="Q1973" s="17">
        <f>J1973+L1973+N1973+O1973-P1973-M1973</f>
        <v/>
      </c>
    </row>
    <row r="1974">
      <c r="A1974" s="16" t="inlineStr">
        <is>
          <t>5.15-5.21</t>
        </is>
      </c>
      <c r="B1974" s="16" t="inlineStr">
        <is>
          <t>PO-128-01793842407031114</t>
        </is>
      </c>
      <c r="C1974" s="16" t="inlineStr">
        <is>
          <t>Delivered</t>
        </is>
      </c>
      <c r="D1974" s="16" t="inlineStr">
        <is>
          <t>128-01793827989111114</t>
        </is>
      </c>
      <c r="E1974" s="16" t="inlineStr">
        <is>
          <t>Delivered</t>
        </is>
      </c>
      <c r="F1974" s="16" t="inlineStr">
        <is>
          <t>SA325T</t>
        </is>
      </c>
      <c r="G1974" s="16" t="inlineStr">
        <is>
          <t>Subwoofer Portátil Inalámbrico con Luces RGB, Sonido de Alta Potencia y Batería Duradera, TWS TF USB, Perfecto para Campamento Fiestas y Entretenimiento en Casa</t>
        </is>
      </c>
      <c r="H1974" s="16" t="inlineStr">
        <is>
          <t>NEGRO</t>
        </is>
      </c>
      <c r="I1974" s="16" t="n">
        <v>3</v>
      </c>
      <c r="J1974" s="17" t="n">
        <v>114</v>
      </c>
      <c r="K1974" s="17" t="n">
        <v>127</v>
      </c>
      <c r="L1974" s="17" t="n">
        <v>25.86</v>
      </c>
      <c r="M1974" s="17" t="n">
        <v>0</v>
      </c>
      <c r="N1974" s="17">
        <f>K1974*0.08+L1974*0.08</f>
        <v/>
      </c>
      <c r="O1974" s="17">
        <f>-(K1974*0.025+L1974*0.025)</f>
        <v/>
      </c>
      <c r="P1974" s="17">
        <f>32</f>
        <v/>
      </c>
      <c r="Q1974" s="17">
        <f>J1974+L1974+N1974+O1974-P1974-M1974</f>
        <v/>
      </c>
    </row>
    <row r="1975">
      <c r="A1975" s="16" t="inlineStr">
        <is>
          <t>5.15-5.21</t>
        </is>
      </c>
      <c r="B1975" s="16" t="inlineStr">
        <is>
          <t>PO-128-01737165194871516</t>
        </is>
      </c>
      <c r="C1975" s="16" t="inlineStr">
        <is>
          <t>Delivered</t>
        </is>
      </c>
      <c r="D1975" s="16" t="inlineStr">
        <is>
          <t>128-01737123251831516</t>
        </is>
      </c>
      <c r="E1975" s="16" t="inlineStr">
        <is>
          <t>Delivered</t>
        </is>
      </c>
      <c r="F1975" s="16" t="inlineStr">
        <is>
          <t>LV25W22</t>
        </is>
      </c>
      <c r="G19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5" s="16" t="inlineStr">
        <is>
          <t>LV25W32</t>
        </is>
      </c>
      <c r="I1975" s="16" t="n">
        <v>1</v>
      </c>
      <c r="J1975" s="17" t="n">
        <v>90.43000000000001</v>
      </c>
      <c r="K1975" s="17" t="n">
        <v>100.84</v>
      </c>
      <c r="L1975" s="17" t="n">
        <v>25.86</v>
      </c>
      <c r="M1975" s="17" t="n">
        <v>0</v>
      </c>
      <c r="N1975" s="17">
        <f>K1975*0.08+L1975*0.08</f>
        <v/>
      </c>
      <c r="O1975" s="17">
        <f>-(K1975*0.025+L1975*0.025)</f>
        <v/>
      </c>
      <c r="P1975" s="17">
        <f>32</f>
        <v/>
      </c>
      <c r="Q1975" s="17">
        <f>J1975+L1975+N1975+O1975-P1975-M1975</f>
        <v/>
      </c>
    </row>
    <row r="1976">
      <c r="A1976" s="16" t="inlineStr">
        <is>
          <t>5.15-5.21</t>
        </is>
      </c>
      <c r="B1976" s="16" t="inlineStr">
        <is>
          <t>PO-128-01851457434231669</t>
        </is>
      </c>
      <c r="C1976" s="16" t="inlineStr">
        <is>
          <t>Delivered</t>
        </is>
      </c>
      <c r="D1976" s="16" t="inlineStr">
        <is>
          <t>128-01851525591671669</t>
        </is>
      </c>
      <c r="E1976" s="16" t="inlineStr">
        <is>
          <t>Delivered</t>
        </is>
      </c>
      <c r="F1976" s="16" t="inlineStr">
        <is>
          <t>LV25W22</t>
        </is>
      </c>
      <c r="G19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6" s="16" t="inlineStr">
        <is>
          <t>LV25W32</t>
        </is>
      </c>
      <c r="I1976" s="16" t="n">
        <v>1</v>
      </c>
      <c r="J1976" s="17" t="n">
        <v>90.43000000000001</v>
      </c>
      <c r="K1976" s="17" t="n">
        <v>100.84</v>
      </c>
      <c r="L1976" s="17" t="n">
        <v>25.86</v>
      </c>
      <c r="M1976" s="17" t="n">
        <v>0</v>
      </c>
      <c r="N1976" s="17">
        <f>K1976*0.08+L1976*0.08</f>
        <v/>
      </c>
      <c r="O1976" s="17">
        <f>-(K1976*0.025+L1976*0.025)</f>
        <v/>
      </c>
      <c r="P1976" s="17">
        <f>32</f>
        <v/>
      </c>
      <c r="Q1976" s="17">
        <f>J1976+L1976+N1976+O1976-P1976-M1976</f>
        <v/>
      </c>
    </row>
    <row r="1977">
      <c r="A1977" s="16" t="inlineStr">
        <is>
          <t>5.15-5.21</t>
        </is>
      </c>
      <c r="B1977" s="16" t="inlineStr">
        <is>
          <t>PO-128-01703678446712612</t>
        </is>
      </c>
      <c r="C1977" s="16" t="inlineStr">
        <is>
          <t>Delivered</t>
        </is>
      </c>
      <c r="D1977" s="16" t="inlineStr">
        <is>
          <t>128-01703699418232612</t>
        </is>
      </c>
      <c r="E1977" s="16" t="inlineStr">
        <is>
          <t>Delivered</t>
        </is>
      </c>
      <c r="F1977" s="16" t="inlineStr">
        <is>
          <t>LV25W22</t>
        </is>
      </c>
      <c r="G19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77" s="16" t="inlineStr">
        <is>
          <t>LV25W32</t>
        </is>
      </c>
      <c r="I1977" s="16" t="n">
        <v>2</v>
      </c>
      <c r="J1977" s="17" t="n">
        <v>180.86</v>
      </c>
      <c r="K1977" s="17" t="n">
        <v>201.68</v>
      </c>
      <c r="L1977" s="17" t="n">
        <v>25.86</v>
      </c>
      <c r="M1977" s="17" t="n">
        <v>0</v>
      </c>
      <c r="N1977" s="17">
        <f>K1977*0.08+L1977*0.08</f>
        <v/>
      </c>
      <c r="O1977" s="17">
        <f>-(K1977*0.025+L1977*0.025)</f>
        <v/>
      </c>
      <c r="P1977" s="17">
        <f>32</f>
        <v/>
      </c>
      <c r="Q1977" s="17">
        <f>J1977+L1977+N1977+O1977-P1977-M1977</f>
        <v/>
      </c>
    </row>
    <row r="1978">
      <c r="A1978" s="16" t="inlineStr">
        <is>
          <t>5.15-5.21</t>
        </is>
      </c>
      <c r="B1978" s="16" t="inlineStr">
        <is>
          <t>PO-128-01853494313591721</t>
        </is>
      </c>
      <c r="C1978" s="16" t="inlineStr">
        <is>
          <t>Delivered</t>
        </is>
      </c>
      <c r="D1978" s="16" t="inlineStr">
        <is>
          <t>128-01853515285111721</t>
        </is>
      </c>
      <c r="E1978" s="16" t="inlineStr">
        <is>
          <t>Delivered</t>
        </is>
      </c>
      <c r="F1978" s="16" t="inlineStr">
        <is>
          <t>LB02235-azul</t>
        </is>
      </c>
      <c r="G1978" s="16" t="inlineStr">
        <is>
          <t>Audífonos Inalámbricos para la Cabeza, Recargables y Multifuncionales - Conectan a Varios Dispositivos, soportan Radio FM, Tarjeta TF y AUX - 4 Horas de Reproducción Musical - Ideal para Trabajo Cotidiano, Juegos y Estudio</t>
        </is>
      </c>
      <c r="H1978" s="16" t="inlineStr">
        <is>
          <t>AZUL</t>
        </is>
      </c>
      <c r="I1978" s="16" t="n">
        <v>1</v>
      </c>
      <c r="J1978" s="17" t="n">
        <v>36.8</v>
      </c>
      <c r="K1978" s="17" t="n">
        <v>49.91</v>
      </c>
      <c r="L1978" s="17" t="n">
        <v>25.86</v>
      </c>
      <c r="M1978" s="17" t="n">
        <v>0</v>
      </c>
      <c r="N1978" s="17">
        <f>K1978*0.08+L1978*0.08</f>
        <v/>
      </c>
      <c r="O1978" s="17">
        <f>-(K1978*0.025+L1978*0.025)</f>
        <v/>
      </c>
      <c r="P1978" s="17">
        <f>32</f>
        <v/>
      </c>
      <c r="Q1978" s="17">
        <f>J1978+L1978+N1978+O1978-P1978-M1978</f>
        <v/>
      </c>
    </row>
    <row r="1979">
      <c r="A1979" s="16" t="inlineStr">
        <is>
          <t>5.15-5.21</t>
        </is>
      </c>
      <c r="B1979" s="16" t="inlineStr">
        <is>
          <t>PO-128-01727405983351446</t>
        </is>
      </c>
      <c r="C1979" s="16" t="inlineStr">
        <is>
          <t>Delivered</t>
        </is>
      </c>
      <c r="D1979" s="16" t="inlineStr">
        <is>
          <t>128-01727387633271446</t>
        </is>
      </c>
      <c r="E1979" s="16" t="inlineStr">
        <is>
          <t>Delivered</t>
        </is>
      </c>
      <c r="F1979" s="16" t="inlineStr">
        <is>
          <t>SA8056T</t>
        </is>
      </c>
      <c r="G197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1979" s="16" t="inlineStr">
        <is>
          <t>SA8056T</t>
        </is>
      </c>
      <c r="I1979" s="16" t="n">
        <v>1</v>
      </c>
      <c r="J1979" s="17" t="n">
        <v>123.9</v>
      </c>
      <c r="K1979" s="17" t="n">
        <v>115.43</v>
      </c>
      <c r="L1979" s="17" t="n">
        <v>25.86</v>
      </c>
      <c r="M1979" s="17" t="n">
        <v>0</v>
      </c>
      <c r="N1979" s="17">
        <f>K1979*0.08+L1979*0.08</f>
        <v/>
      </c>
      <c r="O1979" s="17">
        <f>-(K1979*0.025+L1979*0.025)</f>
        <v/>
      </c>
      <c r="P1979" s="17">
        <f>32</f>
        <v/>
      </c>
      <c r="Q1979" s="17">
        <f>J1979+L1979+N1979+O1979-P1979-M1979</f>
        <v/>
      </c>
    </row>
    <row r="1980">
      <c r="A1980" s="16" t="inlineStr">
        <is>
          <t>5.15-5.21</t>
        </is>
      </c>
      <c r="B1980" s="16" t="inlineStr">
        <is>
          <t>PO-128-01774994647671229</t>
        </is>
      </c>
      <c r="C1980" s="16" t="inlineStr">
        <is>
          <t>Delivered</t>
        </is>
      </c>
      <c r="D1980" s="16" t="inlineStr">
        <is>
          <t>128-01775020862071229</t>
        </is>
      </c>
      <c r="E1980" s="16" t="inlineStr">
        <is>
          <t>Delivered</t>
        </is>
      </c>
      <c r="F1980" s="16" t="inlineStr">
        <is>
          <t>MCM-001G</t>
        </is>
      </c>
      <c r="G1980" s="16" t="inlineStr">
        <is>
          <t>Musicord Altavoz Inalámbrico BT Portátil: ¡Sonido impactante, luces LED multicolores y 4 horas de autonomía! Compatible con TWS, FM, TF y USB – Imprescindible para fiestas y viajes</t>
        </is>
      </c>
      <c r="H1980" s="16" t="inlineStr">
        <is>
          <t>GRIS</t>
        </is>
      </c>
      <c r="I1980" s="16" t="n">
        <v>1</v>
      </c>
      <c r="J1980" s="17" t="n">
        <v>51.07</v>
      </c>
      <c r="K1980" s="17" t="n">
        <v>46.97</v>
      </c>
      <c r="L1980" s="17" t="n">
        <v>7.9</v>
      </c>
      <c r="M1980" s="17" t="n">
        <v>0</v>
      </c>
      <c r="N1980" s="17">
        <f>K1980*0.08+L1980*0.08</f>
        <v/>
      </c>
      <c r="O1980" s="17">
        <f>-(K1980*0.025+L1980*0.025)</f>
        <v/>
      </c>
      <c r="P1980" s="17">
        <f>32</f>
        <v/>
      </c>
      <c r="Q1980" s="17">
        <f>J1980+L1980+N1980+O1980-P1980-M1980</f>
        <v/>
      </c>
    </row>
    <row r="1981">
      <c r="A1981" s="16" t="inlineStr">
        <is>
          <t>5.15-5.21</t>
        </is>
      </c>
      <c r="B1981" s="16" t="inlineStr">
        <is>
          <t>PO-128-01774994647671229</t>
        </is>
      </c>
      <c r="C1981" s="16" t="inlineStr">
        <is>
          <t>Delivered</t>
        </is>
      </c>
      <c r="D1981" s="16" t="inlineStr">
        <is>
          <t>128-01774999890551229</t>
        </is>
      </c>
      <c r="E1981" s="16" t="inlineStr">
        <is>
          <t>Delivered</t>
        </is>
      </c>
      <c r="F1981" s="16" t="inlineStr">
        <is>
          <t>MCM-001R</t>
        </is>
      </c>
      <c r="G1981" s="16" t="inlineStr">
        <is>
          <t>Musicord Altavoz Inalámbrico BT Portátil: ¡Sonido impactante, luces LED multicolores y 4 horas de autonomía! Compatible con TWS, FM, TF y USB – Imprescindible para fiestas y viajes</t>
        </is>
      </c>
      <c r="H1981" s="16" t="inlineStr">
        <is>
          <t>ROJO</t>
        </is>
      </c>
      <c r="I1981" s="16" t="n">
        <v>1</v>
      </c>
      <c r="J1981" s="17" t="n">
        <v>66.5</v>
      </c>
      <c r="K1981" s="17" t="n">
        <v>59.3</v>
      </c>
      <c r="L1981" s="17" t="n">
        <v>9.98</v>
      </c>
      <c r="M1981" s="17" t="n">
        <v>0</v>
      </c>
      <c r="N1981" s="17">
        <f>K1981*0.08+L1981*0.08</f>
        <v/>
      </c>
      <c r="O1981" s="17">
        <f>-(K1981*0.025+L1981*0.025)</f>
        <v/>
      </c>
      <c r="P1981" s="17">
        <f>32</f>
        <v/>
      </c>
      <c r="Q1981" s="17">
        <f>J1981+L1981+N1981+O1981-P1981-M1981</f>
        <v/>
      </c>
    </row>
    <row r="1982">
      <c r="A1982" s="16" t="inlineStr">
        <is>
          <t>5.15-5.21</t>
        </is>
      </c>
      <c r="B1982" s="16" t="inlineStr">
        <is>
          <t>PO-128-01774994647671229</t>
        </is>
      </c>
      <c r="C1982" s="16" t="inlineStr">
        <is>
          <t>Delivered</t>
        </is>
      </c>
      <c r="D1982" s="16" t="inlineStr">
        <is>
          <t>128-01774978919031229</t>
        </is>
      </c>
      <c r="E1982" s="16" t="inlineStr">
        <is>
          <t>Delivered</t>
        </is>
      </c>
      <c r="F1982" s="16" t="inlineStr">
        <is>
          <t>MCM-001A</t>
        </is>
      </c>
      <c r="G1982" s="16" t="inlineStr">
        <is>
          <t>Musicord Altavoz Inalámbrico BT Portátil: ¡Sonido impactante, luces LED multicolores y 4 horas de autonomía! Compatible con TWS, FM, TF y USB – Imprescindible para fiestas y viajes</t>
        </is>
      </c>
      <c r="H1982" s="16" t="inlineStr">
        <is>
          <t>AZUL</t>
        </is>
      </c>
      <c r="I1982" s="16" t="n">
        <v>1</v>
      </c>
      <c r="J1982" s="17" t="n">
        <v>51.08</v>
      </c>
      <c r="K1982" s="17" t="n">
        <v>47.46</v>
      </c>
      <c r="L1982" s="17" t="n">
        <v>7.98</v>
      </c>
      <c r="M1982" s="17" t="n">
        <v>0</v>
      </c>
      <c r="N1982" s="17">
        <f>K1982*0.08+L1982*0.08</f>
        <v/>
      </c>
      <c r="O1982" s="17">
        <f>-(K1982*0.025+L1982*0.025)</f>
        <v/>
      </c>
      <c r="P1982" s="17">
        <f>32</f>
        <v/>
      </c>
      <c r="Q1982" s="17">
        <f>J1982+L1982+N1982+O1982-P1982-M1982</f>
        <v/>
      </c>
    </row>
    <row r="1983">
      <c r="A1983" s="16" t="inlineStr">
        <is>
          <t>5.15-5.21</t>
        </is>
      </c>
      <c r="B1983" s="16" t="inlineStr">
        <is>
          <t>PO-128-01395447834233555</t>
        </is>
      </c>
      <c r="C1983" s="16" t="inlineStr">
        <is>
          <t>Delivered</t>
        </is>
      </c>
      <c r="D1983" s="16" t="inlineStr">
        <is>
          <t>128-01395523855993555</t>
        </is>
      </c>
      <c r="E1983" s="16" t="inlineStr">
        <is>
          <t>Delivered</t>
        </is>
      </c>
      <c r="F1983" s="16" t="inlineStr">
        <is>
          <t>KTS-1678Y</t>
        </is>
      </c>
      <c r="G1983" s="16" t="inlineStr">
        <is>
          <t>Bocina portátil Inalámbrico, de 3 pulgadas, tamaño de bolsillo, 170 g, con asa, compatible con TF, USB y Micro SD, con radio FM y función TWS (True Wireless Stereo), adecuada para relajarse en casa o viajar al aire libre.</t>
        </is>
      </c>
      <c r="H1983" s="16" t="inlineStr">
        <is>
          <t>KTS-1678Y</t>
        </is>
      </c>
      <c r="I1983" s="16" t="n">
        <v>1</v>
      </c>
      <c r="J1983" s="17" t="n">
        <v>41</v>
      </c>
      <c r="K1983" s="17" t="n">
        <v>4.1</v>
      </c>
      <c r="L1983" s="17" t="n">
        <v>25.86</v>
      </c>
      <c r="M1983" s="17" t="n">
        <v>0</v>
      </c>
      <c r="N1983" s="17">
        <f>K1983*0.08+L1983*0.08</f>
        <v/>
      </c>
      <c r="O1983" s="17">
        <f>-(K1983*0.025+L1983*0.025)</f>
        <v/>
      </c>
      <c r="P1983" s="17">
        <f>32</f>
        <v/>
      </c>
      <c r="Q1983" s="17">
        <f>J1983+L1983+N1983+O1983-P1983-M1983</f>
        <v/>
      </c>
    </row>
    <row r="1984">
      <c r="A1984" s="16" t="inlineStr">
        <is>
          <t>5.15-5.21</t>
        </is>
      </c>
      <c r="B1984" s="16" t="inlineStr">
        <is>
          <t>PO-128-01964745918070032</t>
        </is>
      </c>
      <c r="C1984" s="16" t="inlineStr">
        <is>
          <t>Delivered</t>
        </is>
      </c>
      <c r="D1984" s="16" t="inlineStr">
        <is>
          <t>128-01964751012470032</t>
        </is>
      </c>
      <c r="E1984" s="16" t="inlineStr">
        <is>
          <t>Delivered</t>
        </is>
      </c>
      <c r="F1984" s="16" t="inlineStr">
        <is>
          <t>LV25W22</t>
        </is>
      </c>
      <c r="G198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84" s="16" t="inlineStr">
        <is>
          <t>LV25W32</t>
        </is>
      </c>
      <c r="I1984" s="16" t="n">
        <v>1</v>
      </c>
      <c r="J1984" s="17" t="n">
        <v>90.43000000000001</v>
      </c>
      <c r="K1984" s="17" t="n">
        <v>100.84</v>
      </c>
      <c r="L1984" s="17" t="n">
        <v>12.93</v>
      </c>
      <c r="M1984" s="17" t="n">
        <v>0</v>
      </c>
      <c r="N1984" s="17">
        <f>K1984*0.08+L1984*0.08</f>
        <v/>
      </c>
      <c r="O1984" s="17">
        <f>-(K1984*0.025+L1984*0.025)</f>
        <v/>
      </c>
      <c r="P1984" s="17">
        <f>32</f>
        <v/>
      </c>
      <c r="Q1984" s="17">
        <f>J1984+L1984+N1984+O1984-P1984-M1984</f>
        <v/>
      </c>
    </row>
    <row r="1985">
      <c r="A1985" s="16" t="inlineStr">
        <is>
          <t>5.15-5.21</t>
        </is>
      </c>
      <c r="B1985" s="16" t="inlineStr">
        <is>
          <t>PO-128-01964745918070032</t>
        </is>
      </c>
      <c r="C1985" s="16" t="inlineStr">
        <is>
          <t>Delivered</t>
        </is>
      </c>
      <c r="D1985" s="16" t="inlineStr">
        <is>
          <t>128-01964703975030032</t>
        </is>
      </c>
      <c r="E1985" s="16" t="inlineStr">
        <is>
          <t>Delivered</t>
        </is>
      </c>
      <c r="F1985" s="16" t="inlineStr">
        <is>
          <t>LV25W22</t>
        </is>
      </c>
      <c r="G19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85" s="16" t="inlineStr">
        <is>
          <t>LV25W32</t>
        </is>
      </c>
      <c r="I1985" s="16" t="n">
        <v>1</v>
      </c>
      <c r="J1985" s="17" t="n">
        <v>90.43000000000001</v>
      </c>
      <c r="K1985" s="17" t="n">
        <v>100.84</v>
      </c>
      <c r="L1985" s="17" t="n">
        <v>12.93</v>
      </c>
      <c r="M1985" s="17" t="n">
        <v>0</v>
      </c>
      <c r="N1985" s="17">
        <f>K1985*0.08+L1985*0.08</f>
        <v/>
      </c>
      <c r="O1985" s="17">
        <f>-(K1985*0.025+L1985*0.025)</f>
        <v/>
      </c>
      <c r="P1985" s="17">
        <f>32</f>
        <v/>
      </c>
      <c r="Q1985" s="17">
        <f>J1985+L1985+N1985+O1985-P1985-M1985</f>
        <v/>
      </c>
    </row>
    <row r="1986">
      <c r="A1986" s="16" t="inlineStr">
        <is>
          <t>5.15-5.21</t>
        </is>
      </c>
      <c r="B1986" s="16" t="inlineStr">
        <is>
          <t>PO-128-02006910897270804</t>
        </is>
      </c>
      <c r="C1986" s="16" t="inlineStr">
        <is>
          <t>Delivered</t>
        </is>
      </c>
      <c r="D1986" s="16" t="inlineStr">
        <is>
          <t>128-02007047212150804</t>
        </is>
      </c>
      <c r="E1986" s="16" t="inlineStr">
        <is>
          <t>Delivered</t>
        </is>
      </c>
      <c r="F1986" s="16" t="inlineStr">
        <is>
          <t>LV25W22</t>
        </is>
      </c>
      <c r="G19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86" s="16" t="inlineStr">
        <is>
          <t>LV25W32</t>
        </is>
      </c>
      <c r="I1986" s="16" t="n">
        <v>3</v>
      </c>
      <c r="J1986" s="17" t="n">
        <v>271.29</v>
      </c>
      <c r="K1986" s="17" t="n">
        <v>302.52</v>
      </c>
      <c r="L1986" s="17" t="n">
        <v>0</v>
      </c>
      <c r="M1986" s="17" t="n">
        <v>0</v>
      </c>
      <c r="N1986" s="17">
        <f>K1986*0.08+L1986*0.08</f>
        <v/>
      </c>
      <c r="O1986" s="17">
        <f>-(K1986*0.025+L1986*0.025)</f>
        <v/>
      </c>
      <c r="P1986" s="17">
        <f>32</f>
        <v/>
      </c>
      <c r="Q1986" s="17">
        <f>J1986+L1986+N1986+O1986-P1986-M1986</f>
        <v/>
      </c>
    </row>
    <row r="1987">
      <c r="A1987" s="16" t="inlineStr">
        <is>
          <t>5.15-5.21</t>
        </is>
      </c>
      <c r="B1987" s="16" t="inlineStr">
        <is>
          <t>PO-128-01724795771511462</t>
        </is>
      </c>
      <c r="C1987" s="16" t="inlineStr">
        <is>
          <t>Delivered</t>
        </is>
      </c>
      <c r="D1987" s="16" t="inlineStr">
        <is>
          <t>128-01724848200311462</t>
        </is>
      </c>
      <c r="E1987" s="16" t="inlineStr">
        <is>
          <t>Delivered</t>
        </is>
      </c>
      <c r="F1987" s="16" t="inlineStr">
        <is>
          <t>SA323T</t>
        </is>
      </c>
      <c r="G1987" s="16" t="inlineStr">
        <is>
          <t>Linkbits Bocina Portátil Parlantes BT Portátiles con Iluminación de Ambiente | 1 Hora de Duración, FM, TWS, TF/Micro SD | Ideal para Hogar, Fiestas y Viajes</t>
        </is>
      </c>
      <c r="H1987" s="16" t="inlineStr">
        <is>
          <t>SA323T</t>
        </is>
      </c>
      <c r="I1987" s="16" t="n">
        <v>1</v>
      </c>
      <c r="J1987" s="17" t="n">
        <v>46</v>
      </c>
      <c r="K1987" s="17" t="n">
        <v>55.04</v>
      </c>
      <c r="L1987" s="17" t="n">
        <v>25.86</v>
      </c>
      <c r="M1987" s="17" t="n">
        <v>0</v>
      </c>
      <c r="N1987" s="17">
        <f>K1987*0.08+L1987*0.08</f>
        <v/>
      </c>
      <c r="O1987" s="17">
        <f>-(K1987*0.025+L1987*0.025)</f>
        <v/>
      </c>
      <c r="P1987" s="17">
        <f>32</f>
        <v/>
      </c>
      <c r="Q1987" s="17">
        <f>J1987+L1987+N1987+O1987-P1987-M1987</f>
        <v/>
      </c>
    </row>
    <row r="1988">
      <c r="A1988" s="16" t="inlineStr">
        <is>
          <t>5.15-5.21</t>
        </is>
      </c>
      <c r="B1988" s="16" t="inlineStr">
        <is>
          <t>PO-128-01616477481592108</t>
        </is>
      </c>
      <c r="C1988" s="16" t="inlineStr">
        <is>
          <t>Delivered</t>
        </is>
      </c>
      <c r="D1988" s="16" t="inlineStr">
        <is>
          <t>128-01616466995832108</t>
        </is>
      </c>
      <c r="E1988" s="16" t="inlineStr">
        <is>
          <t>Delivered</t>
        </is>
      </c>
      <c r="F1988" s="16" t="inlineStr">
        <is>
          <t>MCM-001N</t>
        </is>
      </c>
      <c r="G1988" s="16" t="inlineStr">
        <is>
          <t>Musicord Altavoz Inalámbrico BT Portátil: ¡Sonido impactante, luces LED multicolores y 4 horas de autonomía! Compatible con TWS, FM, TF y USB – Imprescindible para fiestas y viajes</t>
        </is>
      </c>
      <c r="H1988" s="16" t="inlineStr">
        <is>
          <t>NEGRO</t>
        </is>
      </c>
      <c r="I1988" s="16" t="n">
        <v>1</v>
      </c>
      <c r="J1988" s="17" t="n">
        <v>61</v>
      </c>
      <c r="K1988" s="17" t="n">
        <v>68.79000000000001</v>
      </c>
      <c r="L1988" s="17" t="n">
        <v>25.86</v>
      </c>
      <c r="M1988" s="17" t="n">
        <v>0</v>
      </c>
      <c r="N1988" s="17">
        <f>K1988*0.08+L1988*0.08</f>
        <v/>
      </c>
      <c r="O1988" s="17">
        <f>-(K1988*0.025+L1988*0.025)</f>
        <v/>
      </c>
      <c r="P1988" s="17">
        <f>32</f>
        <v/>
      </c>
      <c r="Q1988" s="17">
        <f>J1988+L1988+N1988+O1988-P1988-M1988</f>
        <v/>
      </c>
    </row>
    <row r="1989">
      <c r="A1989" s="16" t="inlineStr">
        <is>
          <t>5.15-5.21</t>
        </is>
      </c>
      <c r="B1989" s="16" t="inlineStr">
        <is>
          <t>PO-128-01959288929910000</t>
        </is>
      </c>
      <c r="C1989" s="16" t="inlineStr">
        <is>
          <t>Delivered</t>
        </is>
      </c>
      <c r="D1989" s="16" t="inlineStr">
        <is>
          <t>128-01959330872950000</t>
        </is>
      </c>
      <c r="E1989" s="16" t="inlineStr">
        <is>
          <t>Delivered</t>
        </is>
      </c>
      <c r="F1989" s="16" t="inlineStr">
        <is>
          <t>LV25W22</t>
        </is>
      </c>
      <c r="G19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89" s="16" t="inlineStr">
        <is>
          <t>LV25W32</t>
        </is>
      </c>
      <c r="I1989" s="16" t="n">
        <v>1</v>
      </c>
      <c r="J1989" s="17" t="n">
        <v>90.43000000000001</v>
      </c>
      <c r="K1989" s="17" t="n">
        <v>18.08</v>
      </c>
      <c r="L1989" s="17" t="n">
        <v>25.86</v>
      </c>
      <c r="M1989" s="17" t="n">
        <v>0</v>
      </c>
      <c r="N1989" s="17">
        <f>K1989*0.08+L1989*0.08</f>
        <v/>
      </c>
      <c r="O1989" s="17">
        <f>-(K1989*0.025+L1989*0.025)</f>
        <v/>
      </c>
      <c r="P1989" s="17">
        <f>32</f>
        <v/>
      </c>
      <c r="Q1989" s="17">
        <f>J1989+L1989+N1989+O1989-P1989-M1989</f>
        <v/>
      </c>
    </row>
    <row r="1990">
      <c r="A1990" s="16" t="inlineStr">
        <is>
          <t>5.15-5.21</t>
        </is>
      </c>
      <c r="B1990" s="16" t="inlineStr">
        <is>
          <t>PO-128-01927594558070383</t>
        </is>
      </c>
      <c r="C1990" s="16" t="inlineStr">
        <is>
          <t>Delivered</t>
        </is>
      </c>
      <c r="D1990" s="16" t="inlineStr">
        <is>
          <t>128-01927563100790383</t>
        </is>
      </c>
      <c r="E1990" s="16" t="inlineStr">
        <is>
          <t>Delivered</t>
        </is>
      </c>
      <c r="F1990" s="16" t="inlineStr">
        <is>
          <t>LV25W22</t>
        </is>
      </c>
      <c r="G199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90" s="16" t="inlineStr">
        <is>
          <t>LV25W32</t>
        </is>
      </c>
      <c r="I1990" s="16" t="n">
        <v>1</v>
      </c>
      <c r="J1990" s="17" t="n">
        <v>90.43000000000001</v>
      </c>
      <c r="K1990" s="17" t="n">
        <v>100.84</v>
      </c>
      <c r="L1990" s="17" t="n">
        <v>25.86</v>
      </c>
      <c r="M1990" s="17" t="n">
        <v>0</v>
      </c>
      <c r="N1990" s="17">
        <f>K1990*0.08+L1990*0.08</f>
        <v/>
      </c>
      <c r="O1990" s="17">
        <f>-(K1990*0.025+L1990*0.025)</f>
        <v/>
      </c>
      <c r="P1990" s="17">
        <f>32</f>
        <v/>
      </c>
      <c r="Q1990" s="17">
        <f>J1990+L1990+N1990+O1990-P1990-M1990</f>
        <v/>
      </c>
    </row>
    <row r="1991">
      <c r="A1991" s="16" t="inlineStr">
        <is>
          <t>5.15-5.21</t>
        </is>
      </c>
      <c r="B1991" s="16" t="inlineStr">
        <is>
          <t>PO-128-02030582840950729</t>
        </is>
      </c>
      <c r="C1991" s="16" t="inlineStr">
        <is>
          <t>Delivered</t>
        </is>
      </c>
      <c r="D1991" s="16" t="inlineStr">
        <is>
          <t>128-02030564490870729</t>
        </is>
      </c>
      <c r="E1991" s="16" t="inlineStr">
        <is>
          <t>Delivered</t>
        </is>
      </c>
      <c r="F1991" s="16" t="inlineStr">
        <is>
          <t>LV25W22</t>
        </is>
      </c>
      <c r="G199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91" s="16" t="inlineStr">
        <is>
          <t>LV25W32</t>
        </is>
      </c>
      <c r="I1991" s="16" t="n">
        <v>1</v>
      </c>
      <c r="J1991" s="17" t="n">
        <v>90.43000000000001</v>
      </c>
      <c r="K1991" s="17" t="n">
        <v>85.51000000000001</v>
      </c>
      <c r="L1991" s="17" t="n">
        <v>25.86</v>
      </c>
      <c r="M1991" s="17" t="n">
        <v>0</v>
      </c>
      <c r="N1991" s="17">
        <f>K1991*0.08+L1991*0.08</f>
        <v/>
      </c>
      <c r="O1991" s="17">
        <f>-(K1991*0.025+L1991*0.025)</f>
        <v/>
      </c>
      <c r="P1991" s="17">
        <f>32</f>
        <v/>
      </c>
      <c r="Q1991" s="17">
        <f>J1991+L1991+N1991+O1991-P1991-M1991</f>
        <v/>
      </c>
    </row>
    <row r="1992">
      <c r="A1992" s="16" t="inlineStr">
        <is>
          <t>5.15-5.21</t>
        </is>
      </c>
      <c r="B1992" s="16" t="inlineStr">
        <is>
          <t>PO-128-01823654482552027</t>
        </is>
      </c>
      <c r="C1992" s="16" t="inlineStr">
        <is>
          <t>Delivered</t>
        </is>
      </c>
      <c r="D1992" s="16" t="inlineStr">
        <is>
          <t>128-01823612539512027</t>
        </is>
      </c>
      <c r="E1992" s="16" t="inlineStr">
        <is>
          <t>Delivered</t>
        </is>
      </c>
      <c r="F1992" s="16" t="inlineStr">
        <is>
          <t>SA325T</t>
        </is>
      </c>
      <c r="G1992" s="16" t="inlineStr">
        <is>
          <t>Subwoofer Portátil Inalámbrico con Luces RGB, Sonido de Alta Potencia y Batería Duradera, TWS TF USB, Perfecto para Campamento Fiestas y Entretenimiento en Casa</t>
        </is>
      </c>
      <c r="H1992" s="16" t="inlineStr">
        <is>
          <t>NEGRO</t>
        </is>
      </c>
      <c r="I1992" s="16" t="n">
        <v>1</v>
      </c>
      <c r="J1992" s="17" t="n">
        <v>38</v>
      </c>
      <c r="K1992" s="17" t="n">
        <v>47.04</v>
      </c>
      <c r="L1992" s="17" t="n">
        <v>25.86</v>
      </c>
      <c r="M1992" s="17" t="n">
        <v>0</v>
      </c>
      <c r="N1992" s="17">
        <f>K1992*0.08+L1992*0.08</f>
        <v/>
      </c>
      <c r="O1992" s="17">
        <f>-(K1992*0.025+L1992*0.025)</f>
        <v/>
      </c>
      <c r="P1992" s="17">
        <f>32</f>
        <v/>
      </c>
      <c r="Q1992" s="17">
        <f>J1992+L1992+N1992+O1992-P1992-M1992</f>
        <v/>
      </c>
    </row>
    <row r="1993">
      <c r="A1993" s="16" t="inlineStr">
        <is>
          <t>5.15-5.21</t>
        </is>
      </c>
      <c r="B1993" s="16" t="inlineStr">
        <is>
          <t>PO-128-01471720254074058</t>
        </is>
      </c>
      <c r="C1993" s="16" t="inlineStr">
        <is>
          <t>Delivered</t>
        </is>
      </c>
      <c r="D1993" s="16" t="inlineStr">
        <is>
          <t>128-01471825111674058</t>
        </is>
      </c>
      <c r="E1993" s="16" t="inlineStr">
        <is>
          <t>Delivered</t>
        </is>
      </c>
      <c r="F1993" s="16" t="inlineStr">
        <is>
          <t>MB-185N</t>
        </is>
      </c>
      <c r="G1993" s="16" t="inlineStr">
        <is>
          <t>Bocina Radio FM/Reproductor, Compatible con Tarjeta TF, USB, Bluetooth, Aplicable para celular, computadora, Ipad y consola.</t>
        </is>
      </c>
      <c r="H1993" s="16" t="inlineStr">
        <is>
          <t>NEGRO/MB-185</t>
        </is>
      </c>
      <c r="I1993" s="16" t="n">
        <v>1</v>
      </c>
      <c r="J1993" s="17" t="n">
        <v>75.5</v>
      </c>
      <c r="K1993" s="17" t="n">
        <v>88.44</v>
      </c>
      <c r="L1993" s="17" t="n">
        <v>25.86</v>
      </c>
      <c r="M1993" s="17" t="n">
        <v>0</v>
      </c>
      <c r="N1993" s="17">
        <f>K1993*0.08+L1993*0.08</f>
        <v/>
      </c>
      <c r="O1993" s="17">
        <f>-(K1993*0.025+L1993*0.025)</f>
        <v/>
      </c>
      <c r="P1993" s="17">
        <f>32</f>
        <v/>
      </c>
      <c r="Q1993" s="17">
        <f>J1993+L1993+N1993+O1993-P1993-M1993</f>
        <v/>
      </c>
    </row>
    <row r="1994">
      <c r="A1994" s="16" t="inlineStr">
        <is>
          <t>5.15-5.21</t>
        </is>
      </c>
      <c r="B1994" s="16" t="inlineStr">
        <is>
          <t>PO-128-01436573793913308</t>
        </is>
      </c>
      <c r="C1994" s="16" t="inlineStr">
        <is>
          <t>Delivered</t>
        </is>
      </c>
      <c r="D1994" s="16" t="inlineStr">
        <is>
          <t>128-01436552822393308</t>
        </is>
      </c>
      <c r="E1994" s="16" t="inlineStr">
        <is>
          <t>Delivered</t>
        </is>
      </c>
      <c r="F1994" s="16" t="inlineStr">
        <is>
          <t>SA325T</t>
        </is>
      </c>
      <c r="G1994" s="16" t="inlineStr">
        <is>
          <t>Subwoofer Portátil Inalámbrico con Luces RGB, Sonido de Alta Potencia y Batería Duradera, TWS TF USB, Perfecto para Campamento Fiestas y Entretenimiento en Casa</t>
        </is>
      </c>
      <c r="H1994" s="16" t="inlineStr">
        <is>
          <t>NEGRO</t>
        </is>
      </c>
      <c r="I1994" s="16" t="n">
        <v>1</v>
      </c>
      <c r="J1994" s="17" t="n">
        <v>38</v>
      </c>
      <c r="K1994" s="17" t="n">
        <v>47.04</v>
      </c>
      <c r="L1994" s="17" t="n">
        <v>25.86</v>
      </c>
      <c r="M1994" s="17" t="n">
        <v>0</v>
      </c>
      <c r="N1994" s="17">
        <f>K1994*0.08+L1994*0.08</f>
        <v/>
      </c>
      <c r="O1994" s="17">
        <f>-(K1994*0.025+L1994*0.025)</f>
        <v/>
      </c>
      <c r="P1994" s="17">
        <f>32</f>
        <v/>
      </c>
      <c r="Q1994" s="17">
        <f>J1994+L1994+N1994+O1994-P1994-M1994</f>
        <v/>
      </c>
    </row>
    <row r="1995">
      <c r="A1995" s="16" t="inlineStr">
        <is>
          <t>5.15-5.21</t>
        </is>
      </c>
      <c r="B1995" s="16" t="inlineStr">
        <is>
          <t>PO-128-01841001733751859</t>
        </is>
      </c>
      <c r="C1995" s="16" t="inlineStr">
        <is>
          <t>Delivered</t>
        </is>
      </c>
      <c r="D1995" s="16" t="inlineStr">
        <is>
          <t>128-01841106591351859</t>
        </is>
      </c>
      <c r="E1995" s="16" t="inlineStr">
        <is>
          <t>Delivered</t>
        </is>
      </c>
      <c r="F1995" s="16" t="inlineStr">
        <is>
          <t>LV25W22</t>
        </is>
      </c>
      <c r="G19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95" s="16" t="inlineStr">
        <is>
          <t>LV25W32</t>
        </is>
      </c>
      <c r="I1995" s="16" t="n">
        <v>4</v>
      </c>
      <c r="J1995" s="17" t="n">
        <v>361.72</v>
      </c>
      <c r="K1995" s="17" t="n">
        <v>403.36</v>
      </c>
      <c r="L1995" s="17" t="n">
        <v>0</v>
      </c>
      <c r="M1995" s="17" t="n">
        <v>0</v>
      </c>
      <c r="N1995" s="17">
        <f>K1995*0.08+L1995*0.08</f>
        <v/>
      </c>
      <c r="O1995" s="17">
        <f>-(K1995*0.025+L1995*0.025)</f>
        <v/>
      </c>
      <c r="P1995" s="17">
        <f>32</f>
        <v/>
      </c>
      <c r="Q1995" s="17">
        <f>J1995+L1995+N1995+O1995-P1995-M1995</f>
        <v/>
      </c>
    </row>
    <row r="1996">
      <c r="A1996" s="16" t="inlineStr">
        <is>
          <t>5.15-5.21</t>
        </is>
      </c>
      <c r="B1996" s="16" t="inlineStr">
        <is>
          <t>PO-128-01509753237113768</t>
        </is>
      </c>
      <c r="C1996" s="16" t="inlineStr">
        <is>
          <t>Delivered</t>
        </is>
      </c>
      <c r="D1996" s="16" t="inlineStr">
        <is>
          <t>128-01509711294073768</t>
        </is>
      </c>
      <c r="E1996" s="16" t="inlineStr">
        <is>
          <t>Delivered</t>
        </is>
      </c>
      <c r="F1996" s="16" t="inlineStr">
        <is>
          <t>LB02235-rojo</t>
        </is>
      </c>
      <c r="G1996" s="16" t="inlineStr">
        <is>
          <t>Audífonos Inalámbricos para la Cabeza, Recargables y Multifuncionales - Conectan a Varios Dispositivos, soportan Radio FM, Tarjeta TF y AUX - 4 Horas de Reproducción Musical - Ideal para Trabajo Cotidiano, Juegos y Estudio</t>
        </is>
      </c>
      <c r="H1996" s="16" t="inlineStr">
        <is>
          <t>ROJO</t>
        </is>
      </c>
      <c r="I1996" s="16" t="n">
        <v>1</v>
      </c>
      <c r="J1996" s="17" t="n">
        <v>38</v>
      </c>
      <c r="K1996" s="17" t="n">
        <v>40.89</v>
      </c>
      <c r="L1996" s="17" t="n">
        <v>25.86</v>
      </c>
      <c r="M1996" s="17" t="n">
        <v>0</v>
      </c>
      <c r="N1996" s="17">
        <f>K1996*0.08+L1996*0.08</f>
        <v/>
      </c>
      <c r="O1996" s="17">
        <f>-(K1996*0.025+L1996*0.025)</f>
        <v/>
      </c>
      <c r="P1996" s="17">
        <f>32</f>
        <v/>
      </c>
      <c r="Q1996" s="17">
        <f>J1996+L1996+N1996+O1996-P1996-M1996</f>
        <v/>
      </c>
    </row>
    <row r="1997">
      <c r="A1997" s="16" t="inlineStr">
        <is>
          <t>5.15-5.21</t>
        </is>
      </c>
      <c r="B1997" s="16" t="inlineStr">
        <is>
          <t>PO-128-02027882650230681</t>
        </is>
      </c>
      <c r="C1997" s="16" t="inlineStr">
        <is>
          <t>Delivered</t>
        </is>
      </c>
      <c r="D1997" s="16" t="inlineStr">
        <is>
          <t>128-02027935079030681</t>
        </is>
      </c>
      <c r="E1997" s="16" t="inlineStr">
        <is>
          <t>Delivered</t>
        </is>
      </c>
      <c r="F1997" s="16" t="inlineStr">
        <is>
          <t>MCM-001G</t>
        </is>
      </c>
      <c r="G1997" s="16" t="inlineStr">
        <is>
          <t>Musicord Altavoz Inalámbrico BT Portátil: ¡Sonido impactante, luces LED multicolores y 4 horas de autonomía! Compatible con TWS, FM, TF y USB – Imprescindible para fiestas y viajes</t>
        </is>
      </c>
      <c r="H1997" s="16" t="inlineStr">
        <is>
          <t>GRIS</t>
        </is>
      </c>
      <c r="I1997" s="16" t="n">
        <v>1</v>
      </c>
      <c r="J1997" s="17" t="n">
        <v>51.07</v>
      </c>
      <c r="K1997" s="17" t="n">
        <v>58.86</v>
      </c>
      <c r="L1997" s="17" t="n">
        <v>25.86</v>
      </c>
      <c r="M1997" s="17" t="n">
        <v>0</v>
      </c>
      <c r="N1997" s="17">
        <f>K1997*0.08+L1997*0.08</f>
        <v/>
      </c>
      <c r="O1997" s="17">
        <f>-(K1997*0.025+L1997*0.025)</f>
        <v/>
      </c>
      <c r="P1997" s="17">
        <f>32</f>
        <v/>
      </c>
      <c r="Q1997" s="17">
        <f>J1997+L1997+N1997+O1997-P1997-M1997</f>
        <v/>
      </c>
    </row>
    <row r="1998">
      <c r="A1998" s="16" t="inlineStr">
        <is>
          <t>5.15-5.21</t>
        </is>
      </c>
      <c r="B1998" s="16" t="inlineStr">
        <is>
          <t>PO-128-01412200533113455</t>
        </is>
      </c>
      <c r="C1998" s="16" t="inlineStr">
        <is>
          <t>Delivered</t>
        </is>
      </c>
      <c r="D1998" s="16" t="inlineStr">
        <is>
          <t>128-01412242476153455</t>
        </is>
      </c>
      <c r="E1998" s="16" t="inlineStr">
        <is>
          <t>Delivered</t>
        </is>
      </c>
      <c r="F1998" s="16" t="inlineStr">
        <is>
          <t>LB02235-rojo</t>
        </is>
      </c>
      <c r="G1998" s="16" t="inlineStr">
        <is>
          <t>Audífonos Inalámbricos para la Cabeza, Recargables y Multifuncionales - Conectan a Varios Dispositivos, soportan Radio FM, Tarjeta TF y AUX - 4 Horas de Reproducción Musical - Ideal para Trabajo Cotidiano, Juegos y Estudio</t>
        </is>
      </c>
      <c r="H1998" s="16" t="inlineStr">
        <is>
          <t>ROJO</t>
        </is>
      </c>
      <c r="I1998" s="16" t="n">
        <v>1</v>
      </c>
      <c r="J1998" s="17" t="n">
        <v>38</v>
      </c>
      <c r="K1998" s="17" t="n">
        <v>51.11</v>
      </c>
      <c r="L1998" s="17" t="n">
        <v>25.86</v>
      </c>
      <c r="M1998" s="17" t="n">
        <v>0</v>
      </c>
      <c r="N1998" s="17">
        <f>K1998*0.08+L1998*0.08</f>
        <v/>
      </c>
      <c r="O1998" s="17">
        <f>-(K1998*0.025+L1998*0.025)</f>
        <v/>
      </c>
      <c r="P1998" s="17">
        <f>32</f>
        <v/>
      </c>
      <c r="Q1998" s="17">
        <f>J1998+L1998+N1998+O1998-P1998-M1998</f>
        <v/>
      </c>
    </row>
    <row r="1999">
      <c r="A1999" s="16" t="inlineStr">
        <is>
          <t>5.15-5.21</t>
        </is>
      </c>
      <c r="B1999" s="16" t="inlineStr">
        <is>
          <t>PO-128-01408210509433415</t>
        </is>
      </c>
      <c r="C1999" s="16" t="inlineStr">
        <is>
          <t>Delivered</t>
        </is>
      </c>
      <c r="D1999" s="16" t="inlineStr">
        <is>
          <t>128-01408200023673415</t>
        </is>
      </c>
      <c r="E1999" s="16" t="inlineStr">
        <is>
          <t>Delivered</t>
        </is>
      </c>
      <c r="F1999" s="16" t="inlineStr">
        <is>
          <t>LV25W22</t>
        </is>
      </c>
      <c r="G19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1999" s="16" t="inlineStr">
        <is>
          <t>LV25W32</t>
        </is>
      </c>
      <c r="I1999" s="16" t="n">
        <v>1</v>
      </c>
      <c r="J1999" s="17" t="n">
        <v>90.43000000000001</v>
      </c>
      <c r="K1999" s="17" t="n">
        <v>100.84</v>
      </c>
      <c r="L1999" s="17" t="n">
        <v>25.86</v>
      </c>
      <c r="M1999" s="17" t="n">
        <v>0</v>
      </c>
      <c r="N1999" s="17">
        <f>K1999*0.08+L1999*0.08</f>
        <v/>
      </c>
      <c r="O1999" s="17">
        <f>-(K1999*0.025+L1999*0.025)</f>
        <v/>
      </c>
      <c r="P1999" s="17">
        <f>32</f>
        <v/>
      </c>
      <c r="Q1999" s="17">
        <f>J1999+L1999+N1999+O1999-P1999-M1999</f>
        <v/>
      </c>
    </row>
    <row r="2000">
      <c r="A2000" s="16" t="inlineStr">
        <is>
          <t>5.15-5.21</t>
        </is>
      </c>
      <c r="B2000" s="16" t="inlineStr">
        <is>
          <t>PO-128-01679728169592693</t>
        </is>
      </c>
      <c r="C2000" s="16" t="inlineStr">
        <is>
          <t>Delivered</t>
        </is>
      </c>
      <c r="D2000" s="16" t="inlineStr">
        <is>
          <t>128-01679686226552693</t>
        </is>
      </c>
      <c r="E2000" s="16" t="inlineStr">
        <is>
          <t>Delivered</t>
        </is>
      </c>
      <c r="F2000" s="16" t="inlineStr">
        <is>
          <t>LB02235-azul</t>
        </is>
      </c>
      <c r="G2000" s="16" t="inlineStr">
        <is>
          <t>Audífonos Inalámbricos para la Cabeza, Recargables y Multifuncionales - Conectan a Varios Dispositivos, soportan Radio FM, Tarjeta TF y AUX - 4 Horas de Reproducción Musical - Ideal para Trabajo Cotidiano, Juegos y Estudio</t>
        </is>
      </c>
      <c r="H2000" s="16" t="inlineStr">
        <is>
          <t>AZUL</t>
        </is>
      </c>
      <c r="I2000" s="16" t="n">
        <v>1</v>
      </c>
      <c r="J2000" s="17" t="n">
        <v>36.8</v>
      </c>
      <c r="K2000" s="17" t="n">
        <v>42.54</v>
      </c>
      <c r="L2000" s="17" t="n">
        <v>8.48</v>
      </c>
      <c r="M2000" s="17" t="n">
        <v>0</v>
      </c>
      <c r="N2000" s="17">
        <f>K2000*0.08+L2000*0.08</f>
        <v/>
      </c>
      <c r="O2000" s="17">
        <f>-(K2000*0.025+L2000*0.025)</f>
        <v/>
      </c>
      <c r="P2000" s="17">
        <f>32</f>
        <v/>
      </c>
      <c r="Q2000" s="17">
        <f>J2000+L2000+N2000+O2000-P2000-M2000</f>
        <v/>
      </c>
    </row>
    <row r="2001">
      <c r="A2001" s="16" t="inlineStr">
        <is>
          <t>5.15-5.21</t>
        </is>
      </c>
      <c r="B2001" s="16" t="inlineStr">
        <is>
          <t>PO-128-01679728169592693</t>
        </is>
      </c>
      <c r="C2001" s="16" t="inlineStr">
        <is>
          <t>Delivered</t>
        </is>
      </c>
      <c r="D2001" s="16" t="inlineStr">
        <is>
          <t>128-01679717683832693</t>
        </is>
      </c>
      <c r="E2001" s="16" t="inlineStr">
        <is>
          <t>Delivered</t>
        </is>
      </c>
      <c r="F2001" s="16" t="inlineStr">
        <is>
          <t>LB02235-blanco</t>
        </is>
      </c>
      <c r="G2001" s="16" t="inlineStr">
        <is>
          <t>Audífonos Inalámbricos para la Cabeza, Recargables y Multifuncionales - Conectan a Varios Dispositivos, soportan Radio FM, Tarjeta TF y AUX - 4 Horas de Reproducción Musical - Ideal para Trabajo Cotidiano, Juegos y Estudio</t>
        </is>
      </c>
      <c r="H2001" s="16" t="inlineStr">
        <is>
          <t>BLANCO</t>
        </is>
      </c>
      <c r="I2001" s="16" t="n">
        <v>1</v>
      </c>
      <c r="J2001" s="17" t="n">
        <v>38</v>
      </c>
      <c r="K2001" s="17" t="n">
        <v>43.57</v>
      </c>
      <c r="L2001" s="17" t="n">
        <v>8.68</v>
      </c>
      <c r="M2001" s="17" t="n">
        <v>0</v>
      </c>
      <c r="N2001" s="17">
        <f>K2001*0.08+L2001*0.08</f>
        <v/>
      </c>
      <c r="O2001" s="17">
        <f>-(K2001*0.025+L2001*0.025)</f>
        <v/>
      </c>
      <c r="P2001" s="17">
        <f>32</f>
        <v/>
      </c>
      <c r="Q2001" s="17">
        <f>J2001+L2001+N2001+O2001-P2001-M2001</f>
        <v/>
      </c>
    </row>
    <row r="2002">
      <c r="A2002" s="16" t="inlineStr">
        <is>
          <t>5.15-5.21</t>
        </is>
      </c>
      <c r="B2002" s="16" t="inlineStr">
        <is>
          <t>PO-128-01679728169592693</t>
        </is>
      </c>
      <c r="C2002" s="16" t="inlineStr">
        <is>
          <t>Delivered</t>
        </is>
      </c>
      <c r="D2002" s="16" t="inlineStr">
        <is>
          <t>128-01679707198072693</t>
        </is>
      </c>
      <c r="E2002" s="16" t="inlineStr">
        <is>
          <t>Delivered</t>
        </is>
      </c>
      <c r="F2002" s="16" t="inlineStr">
        <is>
          <t>LB02235-rojo</t>
        </is>
      </c>
      <c r="G2002" s="16" t="inlineStr">
        <is>
          <t>Audífonos Inalámbricos para la Cabeza, Recargables y Multifuncionales - Conectan a Varios Dispositivos, soportan Radio FM, Tarjeta TF y AUX - 4 Horas de Reproducción Musical - Ideal para Trabajo Cotidiano, Juegos y Estudio</t>
        </is>
      </c>
      <c r="H2002" s="16" t="inlineStr">
        <is>
          <t>ROJO</t>
        </is>
      </c>
      <c r="I2002" s="16" t="n">
        <v>1</v>
      </c>
      <c r="J2002" s="17" t="n">
        <v>38</v>
      </c>
      <c r="K2002" s="17" t="n">
        <v>43.57</v>
      </c>
      <c r="L2002" s="17" t="n">
        <v>8.699999999999999</v>
      </c>
      <c r="M2002" s="17" t="n">
        <v>0</v>
      </c>
      <c r="N2002" s="17">
        <f>K2002*0.08+L2002*0.08</f>
        <v/>
      </c>
      <c r="O2002" s="17">
        <f>-(K2002*0.025+L2002*0.025)</f>
        <v/>
      </c>
      <c r="P2002" s="17">
        <f>32</f>
        <v/>
      </c>
      <c r="Q2002" s="17">
        <f>J2002+L2002+N2002+O2002-P2002-M2002</f>
        <v/>
      </c>
    </row>
    <row r="2003">
      <c r="A2003" s="16" t="inlineStr">
        <is>
          <t>5.15-5.21</t>
        </is>
      </c>
      <c r="B2003" s="16" t="inlineStr">
        <is>
          <t>PO-128-02018074465910866</t>
        </is>
      </c>
      <c r="C2003" s="16" t="inlineStr">
        <is>
          <t>Delivered</t>
        </is>
      </c>
      <c r="D2003" s="16" t="inlineStr">
        <is>
          <t>128-02018121651830866</t>
        </is>
      </c>
      <c r="E2003" s="16" t="inlineStr">
        <is>
          <t>Delivered</t>
        </is>
      </c>
      <c r="F2003" s="16" t="inlineStr">
        <is>
          <t>LV25W22</t>
        </is>
      </c>
      <c r="G20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03" s="16" t="inlineStr">
        <is>
          <t>LV25W32</t>
        </is>
      </c>
      <c r="I2003" s="16" t="n">
        <v>2</v>
      </c>
      <c r="J2003" s="17" t="n">
        <v>180.86</v>
      </c>
      <c r="K2003" s="17" t="n">
        <v>194.72</v>
      </c>
      <c r="L2003" s="17" t="n">
        <v>25.86</v>
      </c>
      <c r="M2003" s="17" t="n">
        <v>0</v>
      </c>
      <c r="N2003" s="17">
        <f>K2003*0.08+L2003*0.08</f>
        <v/>
      </c>
      <c r="O2003" s="17">
        <f>-(K2003*0.025+L2003*0.025)</f>
        <v/>
      </c>
      <c r="P2003" s="17">
        <f>32</f>
        <v/>
      </c>
      <c r="Q2003" s="17">
        <f>J2003+L2003+N2003+O2003-P2003-M2003</f>
        <v/>
      </c>
    </row>
    <row r="2004">
      <c r="A2004" s="16" t="inlineStr">
        <is>
          <t>5.15-5.21</t>
        </is>
      </c>
      <c r="B2004" s="16" t="inlineStr">
        <is>
          <t>PO-128-01463988813433976</t>
        </is>
      </c>
      <c r="C2004" s="16" t="inlineStr">
        <is>
          <t>Delivered</t>
        </is>
      </c>
      <c r="D2004" s="16" t="inlineStr">
        <is>
          <t>128-01464056970873976</t>
        </is>
      </c>
      <c r="E2004" s="16" t="inlineStr">
        <is>
          <t>Delivered</t>
        </is>
      </c>
      <c r="F2004" s="16" t="inlineStr">
        <is>
          <t>MCM-001R</t>
        </is>
      </c>
      <c r="G2004" s="16" t="inlineStr">
        <is>
          <t>Musicord Altavoz Inalámbrico BT Portátil: ¡Sonido impactante, luces LED multicolores y 4 horas de autonomía! Compatible con TWS, FM, TF y USB – Imprescindible para fiestas y viajes</t>
        </is>
      </c>
      <c r="H2004" s="16" t="inlineStr">
        <is>
          <t>ROJO</t>
        </is>
      </c>
      <c r="I2004" s="16" t="n">
        <v>1</v>
      </c>
      <c r="J2004" s="17" t="n">
        <v>66.5</v>
      </c>
      <c r="K2004" s="17" t="n">
        <v>74.29000000000001</v>
      </c>
      <c r="L2004" s="17" t="n">
        <v>25.86</v>
      </c>
      <c r="M2004" s="17" t="n">
        <v>0</v>
      </c>
      <c r="N2004" s="17">
        <f>K2004*0.08+L2004*0.08</f>
        <v/>
      </c>
      <c r="O2004" s="17">
        <f>-(K2004*0.025+L2004*0.025)</f>
        <v/>
      </c>
      <c r="P2004" s="17">
        <f>32</f>
        <v/>
      </c>
      <c r="Q2004" s="17">
        <f>J2004+L2004+N2004+O2004-P2004-M2004</f>
        <v/>
      </c>
    </row>
    <row r="2005">
      <c r="A2005" s="16" t="inlineStr">
        <is>
          <t>5.15-5.21</t>
        </is>
      </c>
      <c r="B2005" s="16" t="inlineStr">
        <is>
          <t>PO-128-01683999140472731</t>
        </is>
      </c>
      <c r="C2005" s="16" t="inlineStr">
        <is>
          <t>Delivered</t>
        </is>
      </c>
      <c r="D2005" s="16" t="inlineStr">
        <is>
          <t>128-01684004383352731</t>
        </is>
      </c>
      <c r="E2005" s="16" t="inlineStr">
        <is>
          <t>Delivered</t>
        </is>
      </c>
      <c r="F2005" s="16" t="inlineStr">
        <is>
          <t>MCM-001N</t>
        </is>
      </c>
      <c r="G2005" s="16" t="inlineStr">
        <is>
          <t>Musicord Altavoz Inalámbrico BT Portátil: ¡Sonido impactante, luces LED multicolores y 4 horas de autonomía! Compatible con TWS, FM, TF y USB – Imprescindible para fiestas y viajes</t>
        </is>
      </c>
      <c r="H2005" s="16" t="inlineStr">
        <is>
          <t>NEGRO</t>
        </is>
      </c>
      <c r="I2005" s="16" t="n">
        <v>1</v>
      </c>
      <c r="J2005" s="17" t="n">
        <v>61</v>
      </c>
      <c r="K2005" s="17" t="n">
        <v>62.26</v>
      </c>
      <c r="L2005" s="17" t="n">
        <v>25.86</v>
      </c>
      <c r="M2005" s="17" t="n">
        <v>0</v>
      </c>
      <c r="N2005" s="17">
        <f>K2005*0.08+L2005*0.08</f>
        <v/>
      </c>
      <c r="O2005" s="17">
        <f>-(K2005*0.025+L2005*0.025)</f>
        <v/>
      </c>
      <c r="P2005" s="17">
        <f>32</f>
        <v/>
      </c>
      <c r="Q2005" s="17">
        <f>J2005+L2005+N2005+O2005-P2005-M2005</f>
        <v/>
      </c>
    </row>
    <row r="2006">
      <c r="A2006" s="16" t="inlineStr">
        <is>
          <t>5.15-5.21</t>
        </is>
      </c>
      <c r="B2006" s="16" t="inlineStr">
        <is>
          <t>PO-128-01985303424630935</t>
        </is>
      </c>
      <c r="C2006" s="16" t="inlineStr">
        <is>
          <t>Delivered</t>
        </is>
      </c>
      <c r="D2006" s="16" t="inlineStr">
        <is>
          <t>128-01985345367670935</t>
        </is>
      </c>
      <c r="E2006" s="16" t="inlineStr">
        <is>
          <t>Delivered</t>
        </is>
      </c>
      <c r="F2006" s="16" t="inlineStr">
        <is>
          <t>MCM-001N</t>
        </is>
      </c>
      <c r="G2006" s="16" t="inlineStr">
        <is>
          <t>Musicord Altavoz Inalámbrico BT Portátil: ¡Sonido impactante, luces LED multicolores y 4 horas de autonomía! Compatible con TWS, FM, TF y USB – Imprescindible para fiestas y viajes</t>
        </is>
      </c>
      <c r="H2006" s="16" t="inlineStr">
        <is>
          <t>NEGRO</t>
        </is>
      </c>
      <c r="I2006" s="16" t="n">
        <v>1</v>
      </c>
      <c r="J2006" s="17" t="n">
        <v>61</v>
      </c>
      <c r="K2006" s="17" t="n">
        <v>68.79000000000001</v>
      </c>
      <c r="L2006" s="17" t="n">
        <v>25.86</v>
      </c>
      <c r="M2006" s="17" t="n">
        <v>0</v>
      </c>
      <c r="N2006" s="17">
        <f>K2006*0.08+L2006*0.08</f>
        <v/>
      </c>
      <c r="O2006" s="17">
        <f>-(K2006*0.025+L2006*0.025)</f>
        <v/>
      </c>
      <c r="P2006" s="17">
        <f>32</f>
        <v/>
      </c>
      <c r="Q2006" s="17">
        <f>J2006+L2006+N2006+O2006-P2006-M2006</f>
        <v/>
      </c>
    </row>
    <row r="2007">
      <c r="A2007" s="16" t="inlineStr">
        <is>
          <t>5.15-5.21</t>
        </is>
      </c>
      <c r="B2007" s="16" t="inlineStr">
        <is>
          <t>PO-128-01426831130233238</t>
        </is>
      </c>
      <c r="C2007" s="16" t="inlineStr">
        <is>
          <t>Delivered</t>
        </is>
      </c>
      <c r="D2007" s="16" t="inlineStr">
        <is>
          <t>128-01426883559033238</t>
        </is>
      </c>
      <c r="E2007" s="16" t="inlineStr">
        <is>
          <t>Delivered</t>
        </is>
      </c>
      <c r="F2007" s="16" t="inlineStr">
        <is>
          <t>FA028</t>
        </is>
      </c>
      <c r="G2007" s="16" t="inlineStr">
        <is>
          <t>Extractor de agua para garrafas de agua, compatible con carga USB, extractor de agua automático, práctico, con dos modos de toma de agua: manual y programado, ideal para dormitorios, salones, oficinas, uso al aire libre y otros escenarios.</t>
        </is>
      </c>
      <c r="H2007" s="16" t="inlineStr">
        <is>
          <t>FA028</t>
        </is>
      </c>
      <c r="I2007" s="16" t="n">
        <v>1</v>
      </c>
      <c r="J2007" s="17" t="n">
        <v>30</v>
      </c>
      <c r="K2007" s="17" t="n">
        <v>39.58</v>
      </c>
      <c r="L2007" s="17" t="n">
        <v>25.86</v>
      </c>
      <c r="M2007" s="17" t="n">
        <v>0</v>
      </c>
      <c r="N2007" s="17">
        <f>K2007*0.08+L2007*0.08</f>
        <v/>
      </c>
      <c r="O2007" s="17">
        <f>-(K2007*0.025+L2007*0.025)</f>
        <v/>
      </c>
      <c r="P2007" s="17">
        <f>32</f>
        <v/>
      </c>
      <c r="Q2007" s="17">
        <f>J2007+L2007+N2007+O2007-P2007-M2007</f>
        <v/>
      </c>
    </row>
    <row r="2008">
      <c r="A2008" s="16" t="inlineStr">
        <is>
          <t>5.15-5.21</t>
        </is>
      </c>
      <c r="B2008" s="16" t="inlineStr">
        <is>
          <t>PO-128-01698885391992576</t>
        </is>
      </c>
      <c r="C2008" s="16" t="inlineStr">
        <is>
          <t>Delivered</t>
        </is>
      </c>
      <c r="D2008" s="16" t="inlineStr">
        <is>
          <t>128-01698906363512576</t>
        </is>
      </c>
      <c r="E2008" s="16" t="inlineStr">
        <is>
          <t>Delivered</t>
        </is>
      </c>
      <c r="F2008" s="16" t="inlineStr">
        <is>
          <t>LV25W22</t>
        </is>
      </c>
      <c r="G200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08" s="16" t="inlineStr">
        <is>
          <t>LV25W32</t>
        </is>
      </c>
      <c r="I2008" s="16" t="n">
        <v>1</v>
      </c>
      <c r="J2008" s="17" t="n">
        <v>90.43000000000001</v>
      </c>
      <c r="K2008" s="17" t="n">
        <v>83.59999999999999</v>
      </c>
      <c r="L2008" s="17" t="n">
        <v>25.86</v>
      </c>
      <c r="M2008" s="17" t="n">
        <v>0</v>
      </c>
      <c r="N2008" s="17">
        <f>K2008*0.08+L2008*0.08</f>
        <v/>
      </c>
      <c r="O2008" s="17">
        <f>-(K2008*0.025+L2008*0.025)</f>
        <v/>
      </c>
      <c r="P2008" s="17">
        <f>32</f>
        <v/>
      </c>
      <c r="Q2008" s="17">
        <f>J2008+L2008+N2008+O2008-P2008-M2008</f>
        <v/>
      </c>
    </row>
    <row r="2009">
      <c r="A2009" s="16" t="inlineStr">
        <is>
          <t>5.15-5.21</t>
        </is>
      </c>
      <c r="B2009" s="16" t="inlineStr">
        <is>
          <t>PO-128-01820540897912045</t>
        </is>
      </c>
      <c r="C2009" s="16" t="inlineStr">
        <is>
          <t>Delivered</t>
        </is>
      </c>
      <c r="D2009" s="16" t="inlineStr">
        <is>
          <t>128-01820616919672045</t>
        </is>
      </c>
      <c r="E2009" s="16" t="inlineStr">
        <is>
          <t>Delivered</t>
        </is>
      </c>
      <c r="F2009" s="16" t="inlineStr">
        <is>
          <t>LB02235-rojo</t>
        </is>
      </c>
      <c r="G2009" s="16" t="inlineStr">
        <is>
          <t>Audífonos Inalámbricos para la Cabeza, Recargables y Multifuncionales - Conectan a Varios Dispositivos, soportan Radio FM, Tarjeta TF y AUX - 4 Horas de Reproducción Musical - Ideal para Trabajo Cotidiano, Juegos y Estudio</t>
        </is>
      </c>
      <c r="H2009" s="16" t="inlineStr">
        <is>
          <t>ROJO</t>
        </is>
      </c>
      <c r="I2009" s="16" t="n">
        <v>1</v>
      </c>
      <c r="J2009" s="17" t="n">
        <v>38</v>
      </c>
      <c r="K2009" s="17" t="n">
        <v>51.11</v>
      </c>
      <c r="L2009" s="17" t="n">
        <v>25.86</v>
      </c>
      <c r="M2009" s="17" t="n">
        <v>0</v>
      </c>
      <c r="N2009" s="17">
        <f>K2009*0.08+L2009*0.08</f>
        <v/>
      </c>
      <c r="O2009" s="17">
        <f>-(K2009*0.025+L2009*0.025)</f>
        <v/>
      </c>
      <c r="P2009" s="17">
        <f>32</f>
        <v/>
      </c>
      <c r="Q2009" s="17">
        <f>J2009+L2009+N2009+O2009-P2009-M2009</f>
        <v/>
      </c>
    </row>
    <row r="2010">
      <c r="A2010" s="16" t="inlineStr">
        <is>
          <t>5.15-5.21</t>
        </is>
      </c>
      <c r="B2010" s="16" t="inlineStr">
        <is>
          <t>PO-128-01423246479993261</t>
        </is>
      </c>
      <c r="C2010" s="16" t="inlineStr">
        <is>
          <t>Delivered</t>
        </is>
      </c>
      <c r="D2010" s="16" t="inlineStr">
        <is>
          <t>128-01423351337593261</t>
        </is>
      </c>
      <c r="E2010" s="16" t="inlineStr">
        <is>
          <t>Delivered</t>
        </is>
      </c>
      <c r="F2010" s="16" t="inlineStr">
        <is>
          <t>MB-185R</t>
        </is>
      </c>
      <c r="G2010" s="16" t="inlineStr">
        <is>
          <t>Bocina Radio FM/Reproductor, Compatible con Tarjeta TF, USB, Bluetooth, Aplicable para celular, computadora, Ipad y consola.</t>
        </is>
      </c>
      <c r="H2010" s="16" t="inlineStr">
        <is>
          <t>ROJO/MB-185</t>
        </is>
      </c>
      <c r="I2010" s="16" t="n">
        <v>1</v>
      </c>
      <c r="J2010" s="17" t="n">
        <v>75.59999999999999</v>
      </c>
      <c r="K2010" s="17" t="n">
        <v>2.32</v>
      </c>
      <c r="L2010" s="17" t="n">
        <v>25.86</v>
      </c>
      <c r="M2010" s="17" t="n">
        <v>0</v>
      </c>
      <c r="N2010" s="17">
        <f>K2010*0.08+L2010*0.08</f>
        <v/>
      </c>
      <c r="O2010" s="17">
        <f>-(K2010*0.025+L2010*0.025)</f>
        <v/>
      </c>
      <c r="P2010" s="17">
        <f>32</f>
        <v/>
      </c>
      <c r="Q2010" s="17">
        <f>J2010+L2010+N2010+O2010-P2010-M2010</f>
        <v/>
      </c>
    </row>
    <row r="2011">
      <c r="A2011" s="16" t="inlineStr">
        <is>
          <t>5.15-5.21</t>
        </is>
      </c>
      <c r="B2011" s="16" t="inlineStr">
        <is>
          <t>PO-128-01664944049272909</t>
        </is>
      </c>
      <c r="C2011" s="16" t="inlineStr">
        <is>
          <t>Delivered</t>
        </is>
      </c>
      <c r="D2011" s="16" t="inlineStr">
        <is>
          <t>128-01664902106232909</t>
        </is>
      </c>
      <c r="E2011" s="16" t="inlineStr">
        <is>
          <t>Delivered</t>
        </is>
      </c>
      <c r="F2011" s="16" t="inlineStr">
        <is>
          <t>LV25W22</t>
        </is>
      </c>
      <c r="G20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11" s="16" t="inlineStr">
        <is>
          <t>LV25W32</t>
        </is>
      </c>
      <c r="I2011" s="16" t="n">
        <v>1</v>
      </c>
      <c r="J2011" s="17" t="n">
        <v>90.43000000000001</v>
      </c>
      <c r="K2011" s="17" t="n">
        <v>100.84</v>
      </c>
      <c r="L2011" s="17" t="n">
        <v>25.86</v>
      </c>
      <c r="M2011" s="17" t="n">
        <v>0</v>
      </c>
      <c r="N2011" s="17">
        <f>K2011*0.08+L2011*0.08</f>
        <v/>
      </c>
      <c r="O2011" s="17">
        <f>-(K2011*0.025+L2011*0.025)</f>
        <v/>
      </c>
      <c r="P2011" s="17">
        <f>32</f>
        <v/>
      </c>
      <c r="Q2011" s="17">
        <f>J2011+L2011+N2011+O2011-P2011-M2011</f>
        <v/>
      </c>
    </row>
    <row r="2012">
      <c r="A2012" s="16" t="inlineStr">
        <is>
          <t>5.15-5.21</t>
        </is>
      </c>
      <c r="B2012" s="16" t="inlineStr">
        <is>
          <t>PO-128-01783686528631049</t>
        </is>
      </c>
      <c r="C2012" s="16" t="inlineStr">
        <is>
          <t>Delivered</t>
        </is>
      </c>
      <c r="D2012" s="16" t="inlineStr">
        <is>
          <t>128-01783738957431049</t>
        </is>
      </c>
      <c r="E2012" s="16" t="inlineStr">
        <is>
          <t>Delivered</t>
        </is>
      </c>
      <c r="F2012" s="16" t="inlineStr">
        <is>
          <t>VA384T-A</t>
        </is>
      </c>
      <c r="G2012" s="16" t="inlineStr">
        <is>
          <t>Bocina Portátil Bluetooth de 3 Pulgadas con Radio FM, USB TF TWS, Sonido Estéreo 5W, Bocina Recargable para Hogar Exterior Viaje Fiesta Camping</t>
        </is>
      </c>
      <c r="H2012" s="16" t="inlineStr">
        <is>
          <t>AZUL</t>
        </is>
      </c>
      <c r="I2012" s="16" t="n">
        <v>1</v>
      </c>
      <c r="J2012" s="17" t="n">
        <v>47.99</v>
      </c>
      <c r="K2012" s="17" t="n">
        <v>58.7</v>
      </c>
      <c r="L2012" s="17" t="n">
        <v>25.86</v>
      </c>
      <c r="M2012" s="17" t="n">
        <v>0</v>
      </c>
      <c r="N2012" s="17">
        <f>K2012*0.08+L2012*0.08</f>
        <v/>
      </c>
      <c r="O2012" s="17">
        <f>-(K2012*0.025+L2012*0.025)</f>
        <v/>
      </c>
      <c r="P2012" s="17">
        <f>32</f>
        <v/>
      </c>
      <c r="Q2012" s="17">
        <f>J2012+L2012+N2012+O2012-P2012-M2012</f>
        <v/>
      </c>
    </row>
    <row r="2013">
      <c r="A2013" s="16" t="inlineStr">
        <is>
          <t>5.15-5.21</t>
        </is>
      </c>
      <c r="B2013" s="16" t="inlineStr">
        <is>
          <t>PO-128-02025894518390693</t>
        </is>
      </c>
      <c r="C2013" s="16" t="inlineStr">
        <is>
          <t>Delivered</t>
        </is>
      </c>
      <c r="D2013" s="16" t="inlineStr">
        <is>
          <t>128-02025886654070693</t>
        </is>
      </c>
      <c r="E2013" s="16" t="inlineStr">
        <is>
          <t>Delivered</t>
        </is>
      </c>
      <c r="F2013" s="16" t="inlineStr">
        <is>
          <t>LB02235-rojo</t>
        </is>
      </c>
      <c r="G2013" s="16" t="inlineStr">
        <is>
          <t>Audífonos Inalámbricos para la Cabeza, Recargables y Multifuncionales - Conectan a Varios Dispositivos, soportan Radio FM, Tarjeta TF y AUX - 4 Horas de Reproducción Musical - Ideal para Trabajo Cotidiano, Juegos y Estudio</t>
        </is>
      </c>
      <c r="H2013" s="16" t="inlineStr">
        <is>
          <t>ROJO</t>
        </is>
      </c>
      <c r="I2013" s="16" t="n">
        <v>1</v>
      </c>
      <c r="J2013" s="17" t="n">
        <v>38</v>
      </c>
      <c r="K2013" s="17" t="n">
        <v>51.11</v>
      </c>
      <c r="L2013" s="17" t="n">
        <v>25.86</v>
      </c>
      <c r="M2013" s="17" t="n">
        <v>0</v>
      </c>
      <c r="N2013" s="17">
        <f>K2013*0.08+L2013*0.08</f>
        <v/>
      </c>
      <c r="O2013" s="17">
        <f>-(K2013*0.025+L2013*0.025)</f>
        <v/>
      </c>
      <c r="P2013" s="17">
        <f>32</f>
        <v/>
      </c>
      <c r="Q2013" s="17">
        <f>J2013+L2013+N2013+O2013-P2013-M2013</f>
        <v/>
      </c>
    </row>
    <row r="2014">
      <c r="A2014" s="16" t="inlineStr">
        <is>
          <t>5.15-5.21</t>
        </is>
      </c>
      <c r="B2014" s="16" t="inlineStr">
        <is>
          <t>PO-128-01794443576951113</t>
        </is>
      </c>
      <c r="C2014" s="16" t="inlineStr">
        <is>
          <t>Delivered</t>
        </is>
      </c>
      <c r="D2014" s="16" t="inlineStr">
        <is>
          <t>128-01794464548471113</t>
        </is>
      </c>
      <c r="E2014" s="16" t="inlineStr">
        <is>
          <t>Delivered</t>
        </is>
      </c>
      <c r="F2014" s="16" t="inlineStr">
        <is>
          <t>LB02235-blanco</t>
        </is>
      </c>
      <c r="G2014" s="16" t="inlineStr">
        <is>
          <t>Audífonos Inalámbricos para la Cabeza, Recargables y Multifuncionales - Conectan a Varios Dispositivos, soportan Radio FM, Tarjeta TF y AUX - 4 Horas de Reproducción Musical - Ideal para Trabajo Cotidiano, Juegos y Estudio</t>
        </is>
      </c>
      <c r="H2014" s="16" t="inlineStr">
        <is>
          <t>BLANCO</t>
        </is>
      </c>
      <c r="I2014" s="16" t="n">
        <v>1</v>
      </c>
      <c r="J2014" s="17" t="n">
        <v>38</v>
      </c>
      <c r="K2014" s="17" t="n">
        <v>51.11</v>
      </c>
      <c r="L2014" s="17" t="n">
        <v>25.86</v>
      </c>
      <c r="M2014" s="17" t="n">
        <v>0</v>
      </c>
      <c r="N2014" s="17">
        <f>K2014*0.08+L2014*0.08</f>
        <v/>
      </c>
      <c r="O2014" s="17">
        <f>-(K2014*0.025+L2014*0.025)</f>
        <v/>
      </c>
      <c r="P2014" s="17">
        <f>32</f>
        <v/>
      </c>
      <c r="Q2014" s="17">
        <f>J2014+L2014+N2014+O2014-P2014-M2014</f>
        <v/>
      </c>
    </row>
    <row r="2015">
      <c r="A2015" s="16" t="inlineStr">
        <is>
          <t>5.15-5.21</t>
        </is>
      </c>
      <c r="B2015" s="16" t="inlineStr">
        <is>
          <t>PO-128-01813911962231957</t>
        </is>
      </c>
      <c r="C2015" s="16" t="inlineStr">
        <is>
          <t>Delivered</t>
        </is>
      </c>
      <c r="D2015" s="16" t="inlineStr">
        <is>
          <t>128-01813949973111957</t>
        </is>
      </c>
      <c r="E2015" s="16" t="inlineStr">
        <is>
          <t>Delivered</t>
        </is>
      </c>
      <c r="F2015" s="16" t="inlineStr">
        <is>
          <t>SA8056T</t>
        </is>
      </c>
      <c r="G201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015" s="16" t="inlineStr">
        <is>
          <t>SA8056T</t>
        </is>
      </c>
      <c r="I2015" s="16" t="n">
        <v>1</v>
      </c>
      <c r="J2015" s="17" t="n">
        <v>123.9</v>
      </c>
      <c r="K2015" s="17" t="n">
        <v>144.28</v>
      </c>
      <c r="L2015" s="17" t="n">
        <v>25.86</v>
      </c>
      <c r="M2015" s="17" t="n">
        <v>0</v>
      </c>
      <c r="N2015" s="17">
        <f>K2015*0.08+L2015*0.08</f>
        <v/>
      </c>
      <c r="O2015" s="17">
        <f>-(K2015*0.025+L2015*0.025)</f>
        <v/>
      </c>
      <c r="P2015" s="17">
        <f>32</f>
        <v/>
      </c>
      <c r="Q2015" s="17">
        <f>J2015+L2015+N2015+O2015-P2015-M2015</f>
        <v/>
      </c>
    </row>
    <row r="2016">
      <c r="A2016" s="16" t="inlineStr">
        <is>
          <t>5.15-5.21</t>
        </is>
      </c>
      <c r="B2016" s="16" t="inlineStr">
        <is>
          <t>PO-128-01902792817270467</t>
        </is>
      </c>
      <c r="C2016" s="16" t="inlineStr">
        <is>
          <t>Delivered</t>
        </is>
      </c>
      <c r="D2016" s="16" t="inlineStr">
        <is>
          <t>128-01902784952950467</t>
        </is>
      </c>
      <c r="E2016" s="16" t="inlineStr">
        <is>
          <t>Delivered</t>
        </is>
      </c>
      <c r="F2016" s="16" t="inlineStr">
        <is>
          <t>LV25W22</t>
        </is>
      </c>
      <c r="G20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16" s="16" t="inlineStr">
        <is>
          <t>LV25W32</t>
        </is>
      </c>
      <c r="I2016" s="16" t="n">
        <v>1</v>
      </c>
      <c r="J2016" s="17" t="n">
        <v>90.43000000000001</v>
      </c>
      <c r="K2016" s="17" t="n">
        <v>100.84</v>
      </c>
      <c r="L2016" s="17" t="n">
        <v>25.86</v>
      </c>
      <c r="M2016" s="17" t="n">
        <v>0</v>
      </c>
      <c r="N2016" s="17">
        <f>K2016*0.08+L2016*0.08</f>
        <v/>
      </c>
      <c r="O2016" s="17">
        <f>-(K2016*0.025+L2016*0.025)</f>
        <v/>
      </c>
      <c r="P2016" s="17">
        <f>32</f>
        <v/>
      </c>
      <c r="Q2016" s="17">
        <f>J2016+L2016+N2016+O2016-P2016-M2016</f>
        <v/>
      </c>
    </row>
    <row r="2017">
      <c r="A2017" s="16" t="inlineStr">
        <is>
          <t>5.15-5.21</t>
        </is>
      </c>
      <c r="B2017" s="16" t="inlineStr">
        <is>
          <t>PO-128-01744115891831285</t>
        </is>
      </c>
      <c r="C2017" s="16" t="inlineStr">
        <is>
          <t>Delivered</t>
        </is>
      </c>
      <c r="D2017" s="16" t="inlineStr">
        <is>
          <t>128-01744136863351285</t>
        </is>
      </c>
      <c r="E2017" s="16" t="inlineStr">
        <is>
          <t>Delivered</t>
        </is>
      </c>
      <c r="F2017" s="16" t="inlineStr">
        <is>
          <t>LV25W22</t>
        </is>
      </c>
      <c r="G20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17" s="16" t="inlineStr">
        <is>
          <t>LV25W32</t>
        </is>
      </c>
      <c r="I2017" s="16" t="n">
        <v>3</v>
      </c>
      <c r="J2017" s="17" t="n">
        <v>271.29</v>
      </c>
      <c r="K2017" s="17" t="n">
        <v>302.52</v>
      </c>
      <c r="L2017" s="17" t="n">
        <v>0</v>
      </c>
      <c r="M2017" s="17" t="n">
        <v>0</v>
      </c>
      <c r="N2017" s="17">
        <f>K2017*0.08+L2017*0.08</f>
        <v/>
      </c>
      <c r="O2017" s="17">
        <f>-(K2017*0.025+L2017*0.025)</f>
        <v/>
      </c>
      <c r="P2017" s="17">
        <f>32</f>
        <v/>
      </c>
      <c r="Q2017" s="17">
        <f>J2017+L2017+N2017+O2017-P2017-M2017</f>
        <v/>
      </c>
    </row>
    <row r="2018">
      <c r="A2018" s="16" t="inlineStr">
        <is>
          <t>5.15-5.21</t>
        </is>
      </c>
      <c r="B2018" s="16" t="inlineStr">
        <is>
          <t>PO-128-01663811395192851</t>
        </is>
      </c>
      <c r="C2018" s="16" t="inlineStr">
        <is>
          <t>Delivered</t>
        </is>
      </c>
      <c r="D2018" s="16" t="inlineStr">
        <is>
          <t>128-01663863823992851</t>
        </is>
      </c>
      <c r="E2018" s="16" t="inlineStr">
        <is>
          <t>Delivered</t>
        </is>
      </c>
      <c r="F2018" s="16" t="inlineStr">
        <is>
          <t>SA8056T</t>
        </is>
      </c>
      <c r="G201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018" s="16" t="inlineStr">
        <is>
          <t>SA8056T</t>
        </is>
      </c>
      <c r="I2018" s="16" t="n">
        <v>1</v>
      </c>
      <c r="J2018" s="17" t="n">
        <v>123.9</v>
      </c>
      <c r="K2018" s="17" t="n">
        <v>144.28</v>
      </c>
      <c r="L2018" s="17" t="n">
        <v>25.86</v>
      </c>
      <c r="M2018" s="17" t="n">
        <v>0</v>
      </c>
      <c r="N2018" s="17">
        <f>K2018*0.08+L2018*0.08</f>
        <v/>
      </c>
      <c r="O2018" s="17">
        <f>-(K2018*0.025+L2018*0.025)</f>
        <v/>
      </c>
      <c r="P2018" s="17">
        <f>32</f>
        <v/>
      </c>
      <c r="Q2018" s="17">
        <f>J2018+L2018+N2018+O2018-P2018-M2018</f>
        <v/>
      </c>
    </row>
    <row r="2019">
      <c r="A2019" s="16" t="inlineStr">
        <is>
          <t>5.15-5.21</t>
        </is>
      </c>
      <c r="B2019" s="16" t="inlineStr">
        <is>
          <t>PO-128-02029262490230673</t>
        </is>
      </c>
      <c r="C2019" s="16" t="inlineStr">
        <is>
          <t>Delivered</t>
        </is>
      </c>
      <c r="D2019" s="16" t="inlineStr">
        <is>
          <t>128-02029304433270673</t>
        </is>
      </c>
      <c r="E2019" s="16" t="inlineStr">
        <is>
          <t>Delivered</t>
        </is>
      </c>
      <c r="F2019" s="16" t="inlineStr">
        <is>
          <t>LV25W22</t>
        </is>
      </c>
      <c r="G20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19" s="16" t="inlineStr">
        <is>
          <t>LV25W32</t>
        </is>
      </c>
      <c r="I2019" s="16" t="n">
        <v>2</v>
      </c>
      <c r="J2019" s="17" t="n">
        <v>180.86</v>
      </c>
      <c r="K2019" s="17" t="n">
        <v>201.68</v>
      </c>
      <c r="L2019" s="17" t="n">
        <v>25.86</v>
      </c>
      <c r="M2019" s="17" t="n">
        <v>0</v>
      </c>
      <c r="N2019" s="17">
        <f>K2019*0.08+L2019*0.08</f>
        <v/>
      </c>
      <c r="O2019" s="17">
        <f>-(K2019*0.025+L2019*0.025)</f>
        <v/>
      </c>
      <c r="P2019" s="17">
        <f>32</f>
        <v/>
      </c>
      <c r="Q2019" s="17">
        <f>J2019+L2019+N2019+O2019-P2019-M2019</f>
        <v/>
      </c>
    </row>
    <row r="2020">
      <c r="A2020" s="16" t="inlineStr">
        <is>
          <t>5.15-5.21</t>
        </is>
      </c>
      <c r="B2020" s="16" t="inlineStr">
        <is>
          <t>PO-128-01732457390711480</t>
        </is>
      </c>
      <c r="C2020" s="16" t="inlineStr">
        <is>
          <t>Delivered</t>
        </is>
      </c>
      <c r="D2020" s="16" t="inlineStr">
        <is>
          <t>128-01732499087991480</t>
        </is>
      </c>
      <c r="E2020" s="16" t="inlineStr">
        <is>
          <t>Delivered</t>
        </is>
      </c>
      <c r="F2020" s="16" t="inlineStr">
        <is>
          <t>MCM-001A</t>
        </is>
      </c>
      <c r="G2020" s="16" t="inlineStr">
        <is>
          <t>Musicord Altavoz Inalámbrico BT Portátil: ¡Sonido impactante, luces LED multicolores y 4 horas de autonomía! Compatible con TWS, FM, TF y USB – Imprescindible para fiestas y viajes</t>
        </is>
      </c>
      <c r="H2020" s="16" t="inlineStr">
        <is>
          <t>AZUL</t>
        </is>
      </c>
      <c r="I2020" s="16" t="n">
        <v>1</v>
      </c>
      <c r="J2020" s="17" t="n">
        <v>51.08</v>
      </c>
      <c r="K2020" s="17" t="n">
        <v>59.47</v>
      </c>
      <c r="L2020" s="17" t="n">
        <v>25.86</v>
      </c>
      <c r="M2020" s="17" t="n">
        <v>0</v>
      </c>
      <c r="N2020" s="17">
        <f>K2020*0.08+L2020*0.08</f>
        <v/>
      </c>
      <c r="O2020" s="17">
        <f>-(K2020*0.025+L2020*0.025)</f>
        <v/>
      </c>
      <c r="P2020" s="17">
        <f>32</f>
        <v/>
      </c>
      <c r="Q2020" s="17">
        <f>J2020+L2020+N2020+O2020-P2020-M2020</f>
        <v/>
      </c>
    </row>
    <row r="2021">
      <c r="A2021" s="16" t="inlineStr">
        <is>
          <t>5.15-5.21</t>
        </is>
      </c>
      <c r="B2021" s="16" t="inlineStr">
        <is>
          <t>PO-128-01412918615673451</t>
        </is>
      </c>
      <c r="C2021" s="16" t="inlineStr">
        <is>
          <t>Delivered</t>
        </is>
      </c>
      <c r="D2021" s="16" t="inlineStr">
        <is>
          <t>128-01412939587193451</t>
        </is>
      </c>
      <c r="E2021" s="16" t="inlineStr">
        <is>
          <t>Delivered</t>
        </is>
      </c>
      <c r="F2021" s="16" t="inlineStr">
        <is>
          <t>LV25W22</t>
        </is>
      </c>
      <c r="G202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1" s="16" t="inlineStr">
        <is>
          <t>LV25W32</t>
        </is>
      </c>
      <c r="I2021" s="16" t="n">
        <v>1</v>
      </c>
      <c r="J2021" s="17" t="n">
        <v>90.43000000000001</v>
      </c>
      <c r="K2021" s="17" t="n">
        <v>100.84</v>
      </c>
      <c r="L2021" s="17" t="n">
        <v>25.86</v>
      </c>
      <c r="M2021" s="17" t="n">
        <v>0</v>
      </c>
      <c r="N2021" s="17">
        <f>K2021*0.08+L2021*0.08</f>
        <v/>
      </c>
      <c r="O2021" s="17">
        <f>-(K2021*0.025+L2021*0.025)</f>
        <v/>
      </c>
      <c r="P2021" s="17">
        <f>32</f>
        <v/>
      </c>
      <c r="Q2021" s="17">
        <f>J2021+L2021+N2021+O2021-P2021-M2021</f>
        <v/>
      </c>
    </row>
    <row r="2022">
      <c r="A2022" s="16" t="inlineStr">
        <is>
          <t>5.15-5.21</t>
        </is>
      </c>
      <c r="B2022" s="16" t="inlineStr">
        <is>
          <t>PO-128-01579825700472390</t>
        </is>
      </c>
      <c r="C2022" s="16" t="inlineStr">
        <is>
          <t>Delivered</t>
        </is>
      </c>
      <c r="D2022" s="16" t="inlineStr">
        <is>
          <t>128-01579804728952390</t>
        </is>
      </c>
      <c r="E2022" s="16" t="inlineStr">
        <is>
          <t>Delivered</t>
        </is>
      </c>
      <c r="F2022" s="16" t="inlineStr">
        <is>
          <t>LB02235-azul</t>
        </is>
      </c>
      <c r="G2022" s="16" t="inlineStr">
        <is>
          <t>Audífonos Inalámbricos para la Cabeza, Recargables y Multifuncionales - Conectan a Varios Dispositivos, soportan Radio FM, Tarjeta TF y AUX - 4 Horas de Reproducción Musical - Ideal para Trabajo Cotidiano, Juegos y Estudio</t>
        </is>
      </c>
      <c r="H2022" s="16" t="inlineStr">
        <is>
          <t>AZUL</t>
        </is>
      </c>
      <c r="I2022" s="16" t="n">
        <v>1</v>
      </c>
      <c r="J2022" s="17" t="n">
        <v>36.8</v>
      </c>
      <c r="K2022" s="17" t="n">
        <v>49.91</v>
      </c>
      <c r="L2022" s="17" t="n">
        <v>25.86</v>
      </c>
      <c r="M2022" s="17" t="n">
        <v>0</v>
      </c>
      <c r="N2022" s="17">
        <f>K2022*0.08+L2022*0.08</f>
        <v/>
      </c>
      <c r="O2022" s="17">
        <f>-(K2022*0.025+L2022*0.025)</f>
        <v/>
      </c>
      <c r="P2022" s="17">
        <f>32</f>
        <v/>
      </c>
      <c r="Q2022" s="17">
        <f>J2022+L2022+N2022+O2022-P2022-M2022</f>
        <v/>
      </c>
    </row>
    <row r="2023">
      <c r="A2023" s="16" t="inlineStr">
        <is>
          <t>5.15-5.21</t>
        </is>
      </c>
      <c r="B2023" s="16" t="inlineStr">
        <is>
          <t>PO-128-01933244488310157</t>
        </is>
      </c>
      <c r="C2023" s="16" t="inlineStr">
        <is>
          <t>Delivered</t>
        </is>
      </c>
      <c r="D2023" s="16" t="inlineStr">
        <is>
          <t>128-01933249731190157</t>
        </is>
      </c>
      <c r="E2023" s="16" t="inlineStr">
        <is>
          <t>Delivered</t>
        </is>
      </c>
      <c r="F2023" s="16" t="inlineStr">
        <is>
          <t>LV25W22</t>
        </is>
      </c>
      <c r="G202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3" s="16" t="inlineStr">
        <is>
          <t>LV25W32</t>
        </is>
      </c>
      <c r="I2023" s="16" t="n">
        <v>1</v>
      </c>
      <c r="J2023" s="17" t="n">
        <v>90.43000000000001</v>
      </c>
      <c r="K2023" s="17" t="n">
        <v>100.84</v>
      </c>
      <c r="L2023" s="17" t="n">
        <v>25.86</v>
      </c>
      <c r="M2023" s="17" t="n">
        <v>0</v>
      </c>
      <c r="N2023" s="17">
        <f>K2023*0.08+L2023*0.08</f>
        <v/>
      </c>
      <c r="O2023" s="17">
        <f>-(K2023*0.025+L2023*0.025)</f>
        <v/>
      </c>
      <c r="P2023" s="17">
        <f>32</f>
        <v/>
      </c>
      <c r="Q2023" s="17">
        <f>J2023+L2023+N2023+O2023-P2023-M2023</f>
        <v/>
      </c>
    </row>
    <row r="2024">
      <c r="A2024" s="16" t="inlineStr">
        <is>
          <t>5.15-5.21</t>
        </is>
      </c>
      <c r="B2024" s="16" t="inlineStr">
        <is>
          <t>PO-128-01568235080312333</t>
        </is>
      </c>
      <c r="C2024" s="16" t="inlineStr">
        <is>
          <t>Delivered</t>
        </is>
      </c>
      <c r="D2024" s="16" t="inlineStr">
        <is>
          <t>128-01568214108792333</t>
        </is>
      </c>
      <c r="E2024" s="16" t="inlineStr">
        <is>
          <t>Delivered</t>
        </is>
      </c>
      <c r="F2024" s="16" t="inlineStr">
        <is>
          <t>VA384T-R</t>
        </is>
      </c>
      <c r="G2024" s="16" t="inlineStr">
        <is>
          <t>Bocina Portátil Bluetooth de 3 Pulgadas con Radio FM, USB TF TWS, Sonido Estéreo 5W, Bocina Recargable para Hogar Exterior Viaje Fiesta Camping</t>
        </is>
      </c>
      <c r="H2024" s="16" t="inlineStr">
        <is>
          <t>ROJO</t>
        </is>
      </c>
      <c r="I2024" s="16" t="n">
        <v>1</v>
      </c>
      <c r="J2024" s="17" t="n">
        <v>50</v>
      </c>
      <c r="K2024" s="17" t="n">
        <v>60.72</v>
      </c>
      <c r="L2024" s="17" t="n">
        <v>25.86</v>
      </c>
      <c r="M2024" s="17" t="n">
        <v>0</v>
      </c>
      <c r="N2024" s="17">
        <f>K2024*0.08+L2024*0.08</f>
        <v/>
      </c>
      <c r="O2024" s="17">
        <f>-(K2024*0.025+L2024*0.025)</f>
        <v/>
      </c>
      <c r="P2024" s="17">
        <f>32</f>
        <v/>
      </c>
      <c r="Q2024" s="17">
        <f>J2024+L2024+N2024+O2024-P2024-M2024</f>
        <v/>
      </c>
    </row>
    <row r="2025">
      <c r="A2025" s="16" t="inlineStr">
        <is>
          <t>5.15-5.21</t>
        </is>
      </c>
      <c r="B2025" s="16" t="inlineStr">
        <is>
          <t>PO-128-01460494520953999</t>
        </is>
      </c>
      <c r="C2025" s="16" t="inlineStr">
        <is>
          <t>Delivered</t>
        </is>
      </c>
      <c r="D2025" s="16" t="inlineStr">
        <is>
          <t>128-01460599378553999</t>
        </is>
      </c>
      <c r="E2025" s="16" t="inlineStr">
        <is>
          <t>Delivered</t>
        </is>
      </c>
      <c r="F2025" s="16" t="inlineStr">
        <is>
          <t>LV25W22</t>
        </is>
      </c>
      <c r="G20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5" s="16" t="inlineStr">
        <is>
          <t>LV25W32</t>
        </is>
      </c>
      <c r="I2025" s="16" t="n">
        <v>1</v>
      </c>
      <c r="J2025" s="17" t="n">
        <v>90.43000000000001</v>
      </c>
      <c r="K2025" s="17" t="n">
        <v>14.63</v>
      </c>
      <c r="L2025" s="17" t="n">
        <v>25.86</v>
      </c>
      <c r="M2025" s="17" t="n">
        <v>0</v>
      </c>
      <c r="N2025" s="17">
        <f>K2025*0.08+L2025*0.08</f>
        <v/>
      </c>
      <c r="O2025" s="17">
        <f>-(K2025*0.025+L2025*0.025)</f>
        <v/>
      </c>
      <c r="P2025" s="17">
        <f>32</f>
        <v/>
      </c>
      <c r="Q2025" s="17">
        <f>J2025+L2025+N2025+O2025-P2025-M2025</f>
        <v/>
      </c>
    </row>
    <row r="2026">
      <c r="A2026" s="16" t="inlineStr">
        <is>
          <t>5.15-5.21</t>
        </is>
      </c>
      <c r="B2026" s="16" t="inlineStr">
        <is>
          <t>PO-128-01524150861433810</t>
        </is>
      </c>
      <c r="C2026" s="16" t="inlineStr">
        <is>
          <t>Delivered</t>
        </is>
      </c>
      <c r="D2026" s="16" t="inlineStr">
        <is>
          <t>128-01524205911673810</t>
        </is>
      </c>
      <c r="E2026" s="16" t="inlineStr">
        <is>
          <t>Delivered</t>
        </is>
      </c>
      <c r="F2026" s="16" t="inlineStr">
        <is>
          <t>MB-185N</t>
        </is>
      </c>
      <c r="G2026" s="16" t="inlineStr">
        <is>
          <t>Bocina Radio FM/Reproductor, Compatible con Tarjeta TF, USB, Bluetooth, Aplicable para celular, computadora, Ipad y consola.</t>
        </is>
      </c>
      <c r="H2026" s="16" t="inlineStr">
        <is>
          <t>NEGRO/MB-185</t>
        </is>
      </c>
      <c r="I2026" s="16" t="n">
        <v>1</v>
      </c>
      <c r="J2026" s="17" t="n">
        <v>75.5</v>
      </c>
      <c r="K2026" s="17" t="n">
        <v>88.44</v>
      </c>
      <c r="L2026" s="17" t="n">
        <v>25.86</v>
      </c>
      <c r="M2026" s="17" t="n">
        <v>0</v>
      </c>
      <c r="N2026" s="17">
        <f>K2026*0.08+L2026*0.08</f>
        <v/>
      </c>
      <c r="O2026" s="17">
        <f>-(K2026*0.025+L2026*0.025)</f>
        <v/>
      </c>
      <c r="P2026" s="17">
        <f>32</f>
        <v/>
      </c>
      <c r="Q2026" s="17">
        <f>J2026+L2026+N2026+O2026-P2026-M2026</f>
        <v/>
      </c>
    </row>
    <row r="2027">
      <c r="A2027" s="16" t="inlineStr">
        <is>
          <t>5.15-5.21</t>
        </is>
      </c>
      <c r="B2027" s="16" t="inlineStr">
        <is>
          <t>PO-128-01722248535671415</t>
        </is>
      </c>
      <c r="C2027" s="16" t="inlineStr">
        <is>
          <t>Delivered</t>
        </is>
      </c>
      <c r="D2027" s="16" t="inlineStr">
        <is>
          <t>128-01722227564151415</t>
        </is>
      </c>
      <c r="E2027" s="16" t="inlineStr">
        <is>
          <t>Delivered</t>
        </is>
      </c>
      <c r="F2027" s="16" t="inlineStr">
        <is>
          <t>LV25W22</t>
        </is>
      </c>
      <c r="G20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7" s="16" t="inlineStr">
        <is>
          <t>LV25W32</t>
        </is>
      </c>
      <c r="I2027" s="16" t="n">
        <v>1</v>
      </c>
      <c r="J2027" s="17" t="n">
        <v>90.43000000000001</v>
      </c>
      <c r="K2027" s="17" t="n">
        <v>100.84</v>
      </c>
      <c r="L2027" s="17" t="n">
        <v>25.86</v>
      </c>
      <c r="M2027" s="17" t="n">
        <v>0</v>
      </c>
      <c r="N2027" s="17">
        <f>K2027*0.08+L2027*0.08</f>
        <v/>
      </c>
      <c r="O2027" s="17">
        <f>-(K2027*0.025+L2027*0.025)</f>
        <v/>
      </c>
      <c r="P2027" s="17">
        <f>32</f>
        <v/>
      </c>
      <c r="Q2027" s="17">
        <f>J2027+L2027+N2027+O2027-P2027-M2027</f>
        <v/>
      </c>
    </row>
    <row r="2028">
      <c r="A2028" s="16" t="inlineStr">
        <is>
          <t>5.15-5.21</t>
        </is>
      </c>
      <c r="B2028" s="16" t="inlineStr">
        <is>
          <t>PO-128-01968409733750074</t>
        </is>
      </c>
      <c r="C2028" s="16" t="inlineStr">
        <is>
          <t>Delivered</t>
        </is>
      </c>
      <c r="D2028" s="16" t="inlineStr">
        <is>
          <t>128-01968430705270074</t>
        </is>
      </c>
      <c r="E2028" s="16" t="inlineStr">
        <is>
          <t>Delivered</t>
        </is>
      </c>
      <c r="F2028" s="16" t="inlineStr">
        <is>
          <t>LV25W22</t>
        </is>
      </c>
      <c r="G202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8" s="16" t="inlineStr">
        <is>
          <t>LV25W32</t>
        </is>
      </c>
      <c r="I2028" s="16" t="n">
        <v>2</v>
      </c>
      <c r="J2028" s="17" t="n">
        <v>180.86</v>
      </c>
      <c r="K2028" s="17" t="n">
        <v>118.92</v>
      </c>
      <c r="L2028" s="17" t="n">
        <v>25.86</v>
      </c>
      <c r="M2028" s="17" t="n">
        <v>0</v>
      </c>
      <c r="N2028" s="17">
        <f>K2028*0.08+L2028*0.08</f>
        <v/>
      </c>
      <c r="O2028" s="17">
        <f>-(K2028*0.025+L2028*0.025)</f>
        <v/>
      </c>
      <c r="P2028" s="17">
        <f>32</f>
        <v/>
      </c>
      <c r="Q2028" s="17">
        <f>J2028+L2028+N2028+O2028-P2028-M2028</f>
        <v/>
      </c>
    </row>
    <row r="2029">
      <c r="A2029" s="16" t="inlineStr">
        <is>
          <t>5.15-5.21</t>
        </is>
      </c>
      <c r="B2029" s="16" t="inlineStr">
        <is>
          <t>PO-128-01458775931513176</t>
        </is>
      </c>
      <c r="C2029" s="16" t="inlineStr">
        <is>
          <t>Delivered</t>
        </is>
      </c>
      <c r="D2029" s="16" t="inlineStr">
        <is>
          <t>128-01458733988473176</t>
        </is>
      </c>
      <c r="E2029" s="16" t="inlineStr">
        <is>
          <t>Delivered</t>
        </is>
      </c>
      <c r="F2029" s="16" t="inlineStr">
        <is>
          <t>LV25W22</t>
        </is>
      </c>
      <c r="G20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29" s="16" t="inlineStr">
        <is>
          <t>LV25W32</t>
        </is>
      </c>
      <c r="I2029" s="16" t="n">
        <v>2</v>
      </c>
      <c r="J2029" s="17" t="n">
        <v>180.86</v>
      </c>
      <c r="K2029" s="17" t="n">
        <v>201.68</v>
      </c>
      <c r="L2029" s="17" t="n">
        <v>25.86</v>
      </c>
      <c r="M2029" s="17" t="n">
        <v>0</v>
      </c>
      <c r="N2029" s="17">
        <f>K2029*0.08+L2029*0.08</f>
        <v/>
      </c>
      <c r="O2029" s="17">
        <f>-(K2029*0.025+L2029*0.025)</f>
        <v/>
      </c>
      <c r="P2029" s="17">
        <f>32</f>
        <v/>
      </c>
      <c r="Q2029" s="17">
        <f>J2029+L2029+N2029+O2029-P2029-M2029</f>
        <v/>
      </c>
    </row>
    <row r="2030">
      <c r="A2030" s="16" t="inlineStr">
        <is>
          <t>5.15-5.21</t>
        </is>
      </c>
      <c r="B2030" s="16" t="inlineStr">
        <is>
          <t>PO-128-01708803635832647</t>
        </is>
      </c>
      <c r="C2030" s="16" t="inlineStr">
        <is>
          <t>Delivered</t>
        </is>
      </c>
      <c r="D2030" s="16" t="inlineStr">
        <is>
          <t>128-01708845578872647</t>
        </is>
      </c>
      <c r="E2030" s="16" t="inlineStr">
        <is>
          <t>Delivered</t>
        </is>
      </c>
      <c r="F2030" s="16" t="inlineStr">
        <is>
          <t>MCM-001G</t>
        </is>
      </c>
      <c r="G2030" s="16" t="inlineStr">
        <is>
          <t>Musicord Altavoz Inalámbrico BT Portátil: ¡Sonido impactante, luces LED multicolores y 4 horas de autonomía! Compatible con TWS, FM, TF y USB – Imprescindible para fiestas y viajes</t>
        </is>
      </c>
      <c r="H2030" s="16" t="inlineStr">
        <is>
          <t>GRIS</t>
        </is>
      </c>
      <c r="I2030" s="16" t="n">
        <v>1</v>
      </c>
      <c r="J2030" s="17" t="n">
        <v>51.07</v>
      </c>
      <c r="K2030" s="17" t="n">
        <v>58.86</v>
      </c>
      <c r="L2030" s="17" t="n">
        <v>25.86</v>
      </c>
      <c r="M2030" s="17" t="n">
        <v>0</v>
      </c>
      <c r="N2030" s="17">
        <f>K2030*0.08+L2030*0.08</f>
        <v/>
      </c>
      <c r="O2030" s="17">
        <f>-(K2030*0.025+L2030*0.025)</f>
        <v/>
      </c>
      <c r="P2030" s="17">
        <f>32</f>
        <v/>
      </c>
      <c r="Q2030" s="17">
        <f>J2030+L2030+N2030+O2030-P2030-M2030</f>
        <v/>
      </c>
    </row>
    <row r="2031">
      <c r="A2031" s="16" t="inlineStr">
        <is>
          <t>5.15-5.21</t>
        </is>
      </c>
      <c r="B2031" s="16" t="inlineStr">
        <is>
          <t>PO-128-01988485530230978</t>
        </is>
      </c>
      <c r="C2031" s="16" t="inlineStr">
        <is>
          <t>Delivered</t>
        </is>
      </c>
      <c r="D2031" s="16" t="inlineStr">
        <is>
          <t>128-01988469801590978</t>
        </is>
      </c>
      <c r="E2031" s="16" t="inlineStr">
        <is>
          <t>Delivered</t>
        </is>
      </c>
      <c r="F2031" s="16" t="inlineStr">
        <is>
          <t>LV25W22</t>
        </is>
      </c>
      <c r="G203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31" s="16" t="inlineStr">
        <is>
          <t>LV25W32</t>
        </is>
      </c>
      <c r="I2031" s="16" t="n">
        <v>1</v>
      </c>
      <c r="J2031" s="17" t="n">
        <v>90.43000000000001</v>
      </c>
      <c r="K2031" s="17" t="n">
        <v>100.84</v>
      </c>
      <c r="L2031" s="17" t="n">
        <v>25.86</v>
      </c>
      <c r="M2031" s="17" t="n">
        <v>0</v>
      </c>
      <c r="N2031" s="17">
        <f>K2031*0.08+L2031*0.08</f>
        <v/>
      </c>
      <c r="O2031" s="17">
        <f>-(K2031*0.025+L2031*0.025)</f>
        <v/>
      </c>
      <c r="P2031" s="17">
        <f>32</f>
        <v/>
      </c>
      <c r="Q2031" s="17">
        <f>J2031+L2031+N2031+O2031-P2031-M2031</f>
        <v/>
      </c>
    </row>
    <row r="2032">
      <c r="A2032" s="16" t="inlineStr">
        <is>
          <t>5.15-5.21</t>
        </is>
      </c>
      <c r="B2032" s="16" t="inlineStr">
        <is>
          <t>PO-128-01614653937272054</t>
        </is>
      </c>
      <c r="C2032" s="16" t="inlineStr">
        <is>
          <t>Delivered</t>
        </is>
      </c>
      <c r="D2032" s="16" t="inlineStr">
        <is>
          <t>128-01614790252152054</t>
        </is>
      </c>
      <c r="E2032" s="16" t="inlineStr">
        <is>
          <t>Delivered</t>
        </is>
      </c>
      <c r="F2032" s="16" t="inlineStr">
        <is>
          <t>LB02235-blanco</t>
        </is>
      </c>
      <c r="G2032" s="16" t="inlineStr">
        <is>
          <t>Audífonos Inalámbricos para la Cabeza, Recargables y Multifuncionales - Conectan a Varios Dispositivos, soportan Radio FM, Tarjeta TF y AUX - 4 Horas de Reproducción Musical - Ideal para Trabajo Cotidiano, Juegos y Estudio</t>
        </is>
      </c>
      <c r="H2032" s="16" t="inlineStr">
        <is>
          <t>BLANCO</t>
        </is>
      </c>
      <c r="I2032" s="16" t="n">
        <v>7</v>
      </c>
      <c r="J2032" s="17" t="n">
        <v>266</v>
      </c>
      <c r="K2032" s="17" t="n">
        <v>288.83</v>
      </c>
      <c r="L2032" s="17" t="n">
        <v>0</v>
      </c>
      <c r="M2032" s="17" t="n">
        <v>0</v>
      </c>
      <c r="N2032" s="17">
        <f>K2032*0.08+L2032*0.08</f>
        <v/>
      </c>
      <c r="O2032" s="17">
        <f>-(K2032*0.025+L2032*0.025)</f>
        <v/>
      </c>
      <c r="P2032" s="17">
        <f>32</f>
        <v/>
      </c>
      <c r="Q2032" s="17">
        <f>J2032+L2032+N2032+O2032-P2032-M2032</f>
        <v/>
      </c>
    </row>
    <row r="2033">
      <c r="A2033" s="16" t="inlineStr">
        <is>
          <t>5.15-5.21</t>
        </is>
      </c>
      <c r="B2033" s="16" t="inlineStr">
        <is>
          <t>PO-128-01914574218870269</t>
        </is>
      </c>
      <c r="C2033" s="16" t="inlineStr">
        <is>
          <t>Delivered</t>
        </is>
      </c>
      <c r="D2033" s="16" t="inlineStr">
        <is>
          <t>128-01914532275830269</t>
        </is>
      </c>
      <c r="E2033" s="16" t="inlineStr">
        <is>
          <t>Delivered</t>
        </is>
      </c>
      <c r="F2033" s="16" t="inlineStr">
        <is>
          <t>LV25W22</t>
        </is>
      </c>
      <c r="G203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33" s="16" t="inlineStr">
        <is>
          <t>LV25W32</t>
        </is>
      </c>
      <c r="I2033" s="16" t="n">
        <v>1</v>
      </c>
      <c r="J2033" s="17" t="n">
        <v>90.43000000000001</v>
      </c>
      <c r="K2033" s="17" t="n">
        <v>100.84</v>
      </c>
      <c r="L2033" s="17" t="n">
        <v>25.86</v>
      </c>
      <c r="M2033" s="17" t="n">
        <v>0</v>
      </c>
      <c r="N2033" s="17">
        <f>K2033*0.08+L2033*0.08</f>
        <v/>
      </c>
      <c r="O2033" s="17">
        <f>-(K2033*0.025+L2033*0.025)</f>
        <v/>
      </c>
      <c r="P2033" s="17">
        <f>32</f>
        <v/>
      </c>
      <c r="Q2033" s="17">
        <f>J2033+L2033+N2033+O2033-P2033-M2033</f>
        <v/>
      </c>
    </row>
    <row r="2034">
      <c r="A2034" s="16" t="inlineStr">
        <is>
          <t>5.15-5.21</t>
        </is>
      </c>
      <c r="B2034" s="16" t="inlineStr">
        <is>
          <t>PO-128-01659983565432872</t>
        </is>
      </c>
      <c r="C2034" s="16" t="inlineStr">
        <is>
          <t>Delivered</t>
        </is>
      </c>
      <c r="D2034" s="16" t="inlineStr">
        <is>
          <t>128-01660017644152872</t>
        </is>
      </c>
      <c r="E2034" s="16" t="inlineStr">
        <is>
          <t>Delivered</t>
        </is>
      </c>
      <c r="F2034" s="16" t="inlineStr">
        <is>
          <t>MCM-001G</t>
        </is>
      </c>
      <c r="G2034" s="16" t="inlineStr">
        <is>
          <t>Musicord Altavoz Inalámbrico BT Portátil: ¡Sonido impactante, luces LED multicolores y 4 horas de autonomía! Compatible con TWS, FM, TF y USB – Imprescindible para fiestas y viajes</t>
        </is>
      </c>
      <c r="H2034" s="16" t="inlineStr">
        <is>
          <t>GRIS</t>
        </is>
      </c>
      <c r="I2034" s="16" t="n">
        <v>1</v>
      </c>
      <c r="J2034" s="17" t="n">
        <v>51.07</v>
      </c>
      <c r="K2034" s="17" t="n">
        <v>58.86</v>
      </c>
      <c r="L2034" s="17" t="n">
        <v>25.86</v>
      </c>
      <c r="M2034" s="17" t="n">
        <v>0</v>
      </c>
      <c r="N2034" s="17">
        <f>K2034*0.08+L2034*0.08</f>
        <v/>
      </c>
      <c r="O2034" s="17">
        <f>-(K2034*0.025+L2034*0.025)</f>
        <v/>
      </c>
      <c r="P2034" s="17">
        <f>32</f>
        <v/>
      </c>
      <c r="Q2034" s="17">
        <f>J2034+L2034+N2034+O2034-P2034-M2034</f>
        <v/>
      </c>
    </row>
    <row r="2035">
      <c r="A2035" s="16" t="inlineStr">
        <is>
          <t>5.15-5.21</t>
        </is>
      </c>
      <c r="B2035" s="16" t="inlineStr">
        <is>
          <t>PO-128-02049952594550548</t>
        </is>
      </c>
      <c r="C2035" s="16" t="inlineStr">
        <is>
          <t>Delivered</t>
        </is>
      </c>
      <c r="D2035" s="16" t="inlineStr">
        <is>
          <t>128-02049973566070548</t>
        </is>
      </c>
      <c r="E2035" s="16" t="inlineStr">
        <is>
          <t>Delivered</t>
        </is>
      </c>
      <c r="F2035" s="16" t="inlineStr">
        <is>
          <t>LB02235-blanco</t>
        </is>
      </c>
      <c r="G2035" s="16" t="inlineStr">
        <is>
          <t>Audífonos Inalámbricos para la Cabeza, Recargables y Multifuncionales - Conectan a Varios Dispositivos, soportan Radio FM, Tarjeta TF y AUX - 4 Horas de Reproducción Musical - Ideal para Trabajo Cotidiano, Juegos y Estudio</t>
        </is>
      </c>
      <c r="H2035" s="16" t="inlineStr">
        <is>
          <t>BLANCO</t>
        </is>
      </c>
      <c r="I2035" s="16" t="n">
        <v>1</v>
      </c>
      <c r="J2035" s="17" t="n">
        <v>38</v>
      </c>
      <c r="K2035" s="17" t="n">
        <v>8.01</v>
      </c>
      <c r="L2035" s="17" t="n">
        <v>25.86</v>
      </c>
      <c r="M2035" s="17" t="n">
        <v>0</v>
      </c>
      <c r="N2035" s="17">
        <f>K2035*0.08+L2035*0.08</f>
        <v/>
      </c>
      <c r="O2035" s="17">
        <f>-(K2035*0.025+L2035*0.025)</f>
        <v/>
      </c>
      <c r="P2035" s="17">
        <f>32</f>
        <v/>
      </c>
      <c r="Q2035" s="17">
        <f>J2035+L2035+N2035+O2035-P2035-M2035</f>
        <v/>
      </c>
    </row>
    <row r="2036">
      <c r="A2036" s="16" t="inlineStr">
        <is>
          <t>5.15-5.21</t>
        </is>
      </c>
      <c r="B2036" s="16" t="inlineStr">
        <is>
          <t>PO-128-01418161879673226</t>
        </is>
      </c>
      <c r="C2036" s="16" t="inlineStr">
        <is>
          <t>Delivered</t>
        </is>
      </c>
      <c r="D2036" s="16" t="inlineStr">
        <is>
          <t>128-01418140908153226</t>
        </is>
      </c>
      <c r="E2036" s="16" t="inlineStr">
        <is>
          <t>Delivered</t>
        </is>
      </c>
      <c r="F2036" s="16" t="inlineStr">
        <is>
          <t>LV25W22</t>
        </is>
      </c>
      <c r="G203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36" s="16" t="inlineStr">
        <is>
          <t>LV25W32</t>
        </is>
      </c>
      <c r="I2036" s="16" t="n">
        <v>1</v>
      </c>
      <c r="J2036" s="17" t="n">
        <v>90.43000000000001</v>
      </c>
      <c r="K2036" s="17" t="n">
        <v>85.56999999999999</v>
      </c>
      <c r="L2036" s="17" t="n">
        <v>25.86</v>
      </c>
      <c r="M2036" s="17" t="n">
        <v>0</v>
      </c>
      <c r="N2036" s="17">
        <f>K2036*0.08+L2036*0.08</f>
        <v/>
      </c>
      <c r="O2036" s="17">
        <f>-(K2036*0.025+L2036*0.025)</f>
        <v/>
      </c>
      <c r="P2036" s="17">
        <f>32</f>
        <v/>
      </c>
      <c r="Q2036" s="17">
        <f>J2036+L2036+N2036+O2036-P2036-M2036</f>
        <v/>
      </c>
    </row>
    <row r="2037">
      <c r="A2037" s="16" t="inlineStr">
        <is>
          <t>5.15-5.21</t>
        </is>
      </c>
      <c r="B2037" s="16" t="inlineStr">
        <is>
          <t>PO-128-01670062024312940</t>
        </is>
      </c>
      <c r="C2037" s="16" t="inlineStr">
        <is>
          <t>Delivered</t>
        </is>
      </c>
      <c r="D2037" s="16" t="inlineStr">
        <is>
          <t>128-01670030567032940</t>
        </is>
      </c>
      <c r="E2037" s="16" t="inlineStr">
        <is>
          <t>Delivered</t>
        </is>
      </c>
      <c r="F2037" s="16" t="inlineStr">
        <is>
          <t>FA028</t>
        </is>
      </c>
      <c r="G2037" s="16" t="inlineStr">
        <is>
          <t>Extractor de agua para garrafas de agua, compatible con carga USB, extractor de agua automático, práctico, con dos modos de toma de agua: manual y programado, ideal para dormitorios, salones, oficinas, uso al aire libre y otros escenarios.</t>
        </is>
      </c>
      <c r="H2037" s="16" t="inlineStr">
        <is>
          <t>FA028</t>
        </is>
      </c>
      <c r="I2037" s="16" t="n">
        <v>1</v>
      </c>
      <c r="J2037" s="17" t="n">
        <v>30</v>
      </c>
      <c r="K2037" s="17" t="n">
        <v>39.58</v>
      </c>
      <c r="L2037" s="17" t="n">
        <v>25.86</v>
      </c>
      <c r="M2037" s="17" t="n">
        <v>0</v>
      </c>
      <c r="N2037" s="17">
        <f>K2037*0.08+L2037*0.08</f>
        <v/>
      </c>
      <c r="O2037" s="17">
        <f>-(K2037*0.025+L2037*0.025)</f>
        <v/>
      </c>
      <c r="P2037" s="17">
        <f>32</f>
        <v/>
      </c>
      <c r="Q2037" s="17">
        <f>J2037+L2037+N2037+O2037-P2037-M2037</f>
        <v/>
      </c>
    </row>
    <row r="2038">
      <c r="A2038" s="16" t="inlineStr">
        <is>
          <t>5.15-5.21</t>
        </is>
      </c>
      <c r="B2038" s="16" t="inlineStr">
        <is>
          <t>PO-128-01938788188790186</t>
        </is>
      </c>
      <c r="C2038" s="16" t="inlineStr">
        <is>
          <t>Delivered</t>
        </is>
      </c>
      <c r="D2038" s="16" t="inlineStr">
        <is>
          <t>128-01938924503670186</t>
        </is>
      </c>
      <c r="E2038" s="16" t="inlineStr">
        <is>
          <t>Delivered</t>
        </is>
      </c>
      <c r="F2038" s="16" t="inlineStr">
        <is>
          <t>MCM-001G</t>
        </is>
      </c>
      <c r="G2038" s="16" t="inlineStr">
        <is>
          <t>Musicord Altavoz Inalámbrico BT Portátil: ¡Sonido impactante, luces LED multicolores y 4 horas de autonomía! Compatible con TWS, FM, TF y USB – Imprescindible para fiestas y viajes</t>
        </is>
      </c>
      <c r="H2038" s="16" t="inlineStr">
        <is>
          <t>GRIS</t>
        </is>
      </c>
      <c r="I2038" s="16" t="n">
        <v>1</v>
      </c>
      <c r="J2038" s="17" t="n">
        <v>51.07</v>
      </c>
      <c r="K2038" s="17" t="n">
        <v>5.41</v>
      </c>
      <c r="L2038" s="17" t="n">
        <v>25.86</v>
      </c>
      <c r="M2038" s="17" t="n">
        <v>0</v>
      </c>
      <c r="N2038" s="17">
        <f>K2038*0.08+L2038*0.08</f>
        <v/>
      </c>
      <c r="O2038" s="17">
        <f>-(K2038*0.025+L2038*0.025)</f>
        <v/>
      </c>
      <c r="P2038" s="17">
        <f>32</f>
        <v/>
      </c>
      <c r="Q2038" s="17">
        <f>J2038+L2038+N2038+O2038-P2038-M2038</f>
        <v/>
      </c>
    </row>
    <row r="2039">
      <c r="A2039" s="16" t="inlineStr">
        <is>
          <t>5.15-5.21</t>
        </is>
      </c>
      <c r="B2039" s="16" t="inlineStr">
        <is>
          <t>PO-128-01590355072632201</t>
        </is>
      </c>
      <c r="C2039" s="16" t="inlineStr">
        <is>
          <t>Delivered</t>
        </is>
      </c>
      <c r="D2039" s="16" t="inlineStr">
        <is>
          <t>128-01590384563832201</t>
        </is>
      </c>
      <c r="E2039" s="16" t="inlineStr">
        <is>
          <t>Delivered</t>
        </is>
      </c>
      <c r="F2039" s="16" t="inlineStr">
        <is>
          <t>MCM-001G</t>
        </is>
      </c>
      <c r="G2039" s="16" t="inlineStr">
        <is>
          <t>Musicord Altavoz Inalámbrico BT Portátil: ¡Sonido impactante, luces LED multicolores y 4 horas de autonomía! Compatible con TWS, FM, TF y USB – Imprescindible para fiestas y viajes</t>
        </is>
      </c>
      <c r="H2039" s="16" t="inlineStr">
        <is>
          <t>GRIS</t>
        </is>
      </c>
      <c r="I2039" s="16" t="n">
        <v>1</v>
      </c>
      <c r="J2039" s="17" t="n">
        <v>51.07</v>
      </c>
      <c r="K2039" s="17" t="n">
        <v>58.86</v>
      </c>
      <c r="L2039" s="17" t="n">
        <v>25.86</v>
      </c>
      <c r="M2039" s="17" t="n">
        <v>0</v>
      </c>
      <c r="N2039" s="17">
        <f>K2039*0.08+L2039*0.08</f>
        <v/>
      </c>
      <c r="O2039" s="17">
        <f>-(K2039*0.025+L2039*0.025)</f>
        <v/>
      </c>
      <c r="P2039" s="17">
        <f>32</f>
        <v/>
      </c>
      <c r="Q2039" s="17">
        <f>J2039+L2039+N2039+O2039-P2039-M2039</f>
        <v/>
      </c>
    </row>
    <row r="2040">
      <c r="A2040" s="16" t="inlineStr">
        <is>
          <t>5.15-5.21</t>
        </is>
      </c>
      <c r="B2040" s="16" t="inlineStr">
        <is>
          <t>PO-128-01912820081270279</t>
        </is>
      </c>
      <c r="C2040" s="16" t="inlineStr">
        <is>
          <t>Delivered</t>
        </is>
      </c>
      <c r="D2040" s="16" t="inlineStr">
        <is>
          <t>128-01912862024310279</t>
        </is>
      </c>
      <c r="E2040" s="16" t="inlineStr">
        <is>
          <t>Delivered</t>
        </is>
      </c>
      <c r="F2040" s="16" t="inlineStr">
        <is>
          <t>VB347T</t>
        </is>
      </c>
      <c r="G204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040" s="16" t="inlineStr">
        <is>
          <t>1 pieza</t>
        </is>
      </c>
      <c r="I2040" s="16" t="n">
        <v>1</v>
      </c>
      <c r="J2040" s="17" t="n">
        <v>79.90000000000001</v>
      </c>
      <c r="K2040" s="17" t="n">
        <v>11.74</v>
      </c>
      <c r="L2040" s="17" t="n">
        <v>25.86</v>
      </c>
      <c r="M2040" s="17" t="n">
        <v>0</v>
      </c>
      <c r="N2040" s="17">
        <f>K2040*0.08+L2040*0.08</f>
        <v/>
      </c>
      <c r="O2040" s="17">
        <f>-(K2040*0.025+L2040*0.025)</f>
        <v/>
      </c>
      <c r="P2040" s="17">
        <f>32</f>
        <v/>
      </c>
      <c r="Q2040" s="17">
        <f>J2040+L2040+N2040+O2040-P2040-M2040</f>
        <v/>
      </c>
    </row>
    <row r="2041">
      <c r="A2041" s="16" t="inlineStr">
        <is>
          <t>5.15-5.21</t>
        </is>
      </c>
      <c r="B2041" s="16" t="inlineStr">
        <is>
          <t>PO-128-01463534223993981</t>
        </is>
      </c>
      <c r="C2041" s="16" t="inlineStr">
        <is>
          <t>Delivered</t>
        </is>
      </c>
      <c r="D2041" s="16" t="inlineStr">
        <is>
          <t>128-01463576167033981</t>
        </is>
      </c>
      <c r="E2041" s="16" t="inlineStr">
        <is>
          <t>Delivered</t>
        </is>
      </c>
      <c r="F2041" s="16" t="inlineStr">
        <is>
          <t>FA028</t>
        </is>
      </c>
      <c r="G2041" s="16" t="inlineStr">
        <is>
          <t>Extractor de agua para garrafas de agua, compatible con carga USB, extractor de agua automático, práctico, con dos modos de toma de agua: manual y programado, ideal para dormitorios, salones, oficinas, uso al aire libre y otros escenarios.</t>
        </is>
      </c>
      <c r="H2041" s="16" t="inlineStr">
        <is>
          <t>FA028</t>
        </is>
      </c>
      <c r="I2041" s="16" t="n">
        <v>1</v>
      </c>
      <c r="J2041" s="17" t="n">
        <v>30</v>
      </c>
      <c r="K2041" s="17" t="n">
        <v>39.58</v>
      </c>
      <c r="L2041" s="17" t="n">
        <v>25.86</v>
      </c>
      <c r="M2041" s="17" t="n">
        <v>0</v>
      </c>
      <c r="N2041" s="17">
        <f>K2041*0.08+L2041*0.08</f>
        <v/>
      </c>
      <c r="O2041" s="17">
        <f>-(K2041*0.025+L2041*0.025)</f>
        <v/>
      </c>
      <c r="P2041" s="17">
        <f>32</f>
        <v/>
      </c>
      <c r="Q2041" s="17">
        <f>J2041+L2041+N2041+O2041-P2041-M2041</f>
        <v/>
      </c>
    </row>
    <row r="2042">
      <c r="A2042" s="16" t="inlineStr">
        <is>
          <t>5.15-5.21</t>
        </is>
      </c>
      <c r="B2042" s="16" t="inlineStr">
        <is>
          <t>PO-128-01519652557433839</t>
        </is>
      </c>
      <c r="C2042" s="16" t="inlineStr">
        <is>
          <t>Delivered</t>
        </is>
      </c>
      <c r="D2042" s="16" t="inlineStr">
        <is>
          <t>128-01519610614393839</t>
        </is>
      </c>
      <c r="E2042" s="16" t="inlineStr">
        <is>
          <t>Delivered</t>
        </is>
      </c>
      <c r="F2042" s="16" t="inlineStr">
        <is>
          <t>SA323T</t>
        </is>
      </c>
      <c r="G2042" s="16" t="inlineStr">
        <is>
          <t>Linkbits Bocina Portátil Parlantes BT Portátiles con Iluminación de Ambiente | 1 Hora de Duración, FM, TWS, TF/Micro SD | Ideal para Hogar, Fiestas y Viajes</t>
        </is>
      </c>
      <c r="H2042" s="16" t="inlineStr">
        <is>
          <t>SA323T</t>
        </is>
      </c>
      <c r="I2042" s="16" t="n">
        <v>1</v>
      </c>
      <c r="J2042" s="17" t="n">
        <v>46</v>
      </c>
      <c r="K2042" s="17" t="n">
        <v>55.04</v>
      </c>
      <c r="L2042" s="17" t="n">
        <v>25.86</v>
      </c>
      <c r="M2042" s="17" t="n">
        <v>0</v>
      </c>
      <c r="N2042" s="17">
        <f>K2042*0.08+L2042*0.08</f>
        <v/>
      </c>
      <c r="O2042" s="17">
        <f>-(K2042*0.025+L2042*0.025)</f>
        <v/>
      </c>
      <c r="P2042" s="17">
        <f>32</f>
        <v/>
      </c>
      <c r="Q2042" s="17">
        <f>J2042+L2042+N2042+O2042-P2042-M2042</f>
        <v/>
      </c>
    </row>
    <row r="2043">
      <c r="A2043" s="16" t="inlineStr">
        <is>
          <t>5.15-5.21</t>
        </is>
      </c>
      <c r="B2043" s="16" t="inlineStr">
        <is>
          <t>PO-128-01568913178232329</t>
        </is>
      </c>
      <c r="C2043" s="16" t="inlineStr">
        <is>
          <t>Delivered</t>
        </is>
      </c>
      <c r="D2043" s="16" t="inlineStr">
        <is>
          <t>128-01568850263672329</t>
        </is>
      </c>
      <c r="E2043" s="16" t="inlineStr">
        <is>
          <t>Delivered</t>
        </is>
      </c>
      <c r="F2043" s="16" t="inlineStr">
        <is>
          <t>MCM-001G</t>
        </is>
      </c>
      <c r="G2043" s="16" t="inlineStr">
        <is>
          <t>Musicord Altavoz Inalámbrico BT Portátil: ¡Sonido impactante, luces LED multicolores y 4 horas de autonomía! Compatible con TWS, FM, TF y USB – Imprescindible para fiestas y viajes</t>
        </is>
      </c>
      <c r="H2043" s="16" t="inlineStr">
        <is>
          <t>GRIS</t>
        </is>
      </c>
      <c r="I2043" s="16" t="n">
        <v>1</v>
      </c>
      <c r="J2043" s="17" t="n">
        <v>51.07</v>
      </c>
      <c r="K2043" s="17" t="n">
        <v>58.86</v>
      </c>
      <c r="L2043" s="17" t="n">
        <v>25.86</v>
      </c>
      <c r="M2043" s="17" t="n">
        <v>0</v>
      </c>
      <c r="N2043" s="17">
        <f>K2043*0.08+L2043*0.08</f>
        <v/>
      </c>
      <c r="O2043" s="17">
        <f>-(K2043*0.025+L2043*0.025)</f>
        <v/>
      </c>
      <c r="P2043" s="17">
        <f>32</f>
        <v/>
      </c>
      <c r="Q2043" s="17">
        <f>J2043+L2043+N2043+O2043-P2043-M2043</f>
        <v/>
      </c>
    </row>
    <row r="2044">
      <c r="A2044" s="16" t="inlineStr">
        <is>
          <t>5.15-5.21</t>
        </is>
      </c>
      <c r="B2044" s="16" t="inlineStr">
        <is>
          <t>PO-128-01819010325111988</t>
        </is>
      </c>
      <c r="C2044" s="16" t="inlineStr">
        <is>
          <t>Delivered</t>
        </is>
      </c>
      <c r="D2044" s="16" t="inlineStr">
        <is>
          <t>128-01819115182711988</t>
        </is>
      </c>
      <c r="E2044" s="16" t="inlineStr">
        <is>
          <t>Delivered</t>
        </is>
      </c>
      <c r="F2044" s="16" t="inlineStr">
        <is>
          <t>VB347T</t>
        </is>
      </c>
      <c r="G204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044" s="16" t="inlineStr">
        <is>
          <t>1 pieza</t>
        </is>
      </c>
      <c r="I2044" s="16" t="n">
        <v>1</v>
      </c>
      <c r="J2044" s="17" t="n">
        <v>79.90000000000001</v>
      </c>
      <c r="K2044" s="17" t="n">
        <v>94.51000000000001</v>
      </c>
      <c r="L2044" s="17" t="n">
        <v>25.86</v>
      </c>
      <c r="M2044" s="17" t="n">
        <v>0</v>
      </c>
      <c r="N2044" s="17">
        <f>K2044*0.08+L2044*0.08</f>
        <v/>
      </c>
      <c r="O2044" s="17">
        <f>-(K2044*0.025+L2044*0.025)</f>
        <v/>
      </c>
      <c r="P2044" s="17">
        <f>32</f>
        <v/>
      </c>
      <c r="Q2044" s="17">
        <f>J2044+L2044+N2044+O2044-P2044-M2044</f>
        <v/>
      </c>
    </row>
    <row r="2045">
      <c r="A2045" s="16" t="inlineStr">
        <is>
          <t>5.15-5.21</t>
        </is>
      </c>
      <c r="B2045" s="16" t="inlineStr">
        <is>
          <t>PO-128-02001253422710774</t>
        </is>
      </c>
      <c r="C2045" s="16" t="inlineStr">
        <is>
          <t>Delivered</t>
        </is>
      </c>
      <c r="D2045" s="16" t="inlineStr">
        <is>
          <t>128-02001211479670774</t>
        </is>
      </c>
      <c r="E2045" s="16" t="inlineStr">
        <is>
          <t>Delivered</t>
        </is>
      </c>
      <c r="F2045" s="16" t="inlineStr">
        <is>
          <t>LB02235-rojo</t>
        </is>
      </c>
      <c r="G2045" s="16" t="inlineStr">
        <is>
          <t>Audífonos Inalámbricos para la Cabeza, Recargables y Multifuncionales - Conectan a Varios Dispositivos, soportan Radio FM, Tarjeta TF y AUX - 4 Horas de Reproducción Musical - Ideal para Trabajo Cotidiano, Juegos y Estudio</t>
        </is>
      </c>
      <c r="H2045" s="16" t="inlineStr">
        <is>
          <t>ROJO</t>
        </is>
      </c>
      <c r="I2045" s="16" t="n">
        <v>1</v>
      </c>
      <c r="J2045" s="17" t="n">
        <v>38</v>
      </c>
      <c r="K2045" s="17" t="n">
        <v>46.37</v>
      </c>
      <c r="L2045" s="17" t="n">
        <v>25.86</v>
      </c>
      <c r="M2045" s="17" t="n">
        <v>0</v>
      </c>
      <c r="N2045" s="17">
        <f>K2045*0.08+L2045*0.08</f>
        <v/>
      </c>
      <c r="O2045" s="17">
        <f>-(K2045*0.025+L2045*0.025)</f>
        <v/>
      </c>
      <c r="P2045" s="17">
        <f>32</f>
        <v/>
      </c>
      <c r="Q2045" s="17">
        <f>J2045+L2045+N2045+O2045-P2045-M2045</f>
        <v/>
      </c>
    </row>
    <row r="2046">
      <c r="A2046" s="16" t="inlineStr">
        <is>
          <t>5.15-5.21</t>
        </is>
      </c>
      <c r="B2046" s="16" t="inlineStr">
        <is>
          <t>PO-128-01848376883831687</t>
        </is>
      </c>
      <c r="C2046" s="16" t="inlineStr">
        <is>
          <t>Delivered</t>
        </is>
      </c>
      <c r="D2046" s="16" t="inlineStr">
        <is>
          <t>128-01848361155191687</t>
        </is>
      </c>
      <c r="E2046" s="16" t="inlineStr">
        <is>
          <t>Delivered</t>
        </is>
      </c>
      <c r="F2046" s="16" t="inlineStr">
        <is>
          <t>LV25W22</t>
        </is>
      </c>
      <c r="G20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46" s="16" t="inlineStr">
        <is>
          <t>LV25W32</t>
        </is>
      </c>
      <c r="I2046" s="16" t="n">
        <v>1</v>
      </c>
      <c r="J2046" s="17" t="n">
        <v>90.43000000000001</v>
      </c>
      <c r="K2046" s="17" t="n">
        <v>100.84</v>
      </c>
      <c r="L2046" s="17" t="n">
        <v>0</v>
      </c>
      <c r="M2046" s="17" t="n">
        <v>0</v>
      </c>
      <c r="N2046" s="17">
        <f>K2046*0.08+L2046*0.08</f>
        <v/>
      </c>
      <c r="O2046" s="17">
        <f>-(K2046*0.025+L2046*0.025)</f>
        <v/>
      </c>
      <c r="P2046" s="17">
        <f>32</f>
        <v/>
      </c>
      <c r="Q2046" s="17">
        <f>J2046+L2046+N2046+O2046-P2046-M2046</f>
        <v/>
      </c>
    </row>
    <row r="2047">
      <c r="A2047" s="16" t="inlineStr">
        <is>
          <t>5.15-5.21</t>
        </is>
      </c>
      <c r="B2047" s="16" t="inlineStr">
        <is>
          <t>PO-128-01848376883831687</t>
        </is>
      </c>
      <c r="C2047" s="16" t="inlineStr">
        <is>
          <t>Delivered</t>
        </is>
      </c>
      <c r="D2047" s="16" t="inlineStr">
        <is>
          <t>128-01848382126711687</t>
        </is>
      </c>
      <c r="E2047" s="16" t="inlineStr">
        <is>
          <t>Delivered</t>
        </is>
      </c>
      <c r="F2047" s="16" t="inlineStr">
        <is>
          <t>LB02235-azul</t>
        </is>
      </c>
      <c r="G2047" s="16" t="inlineStr">
        <is>
          <t>Audífonos Inalámbricos para la Cabeza, Recargables y Multifuncionales - Conectan a Varios Dispositivos, soportan Radio FM, Tarjeta TF y AUX - 4 Horas de Reproducción Musical - Ideal para Trabajo Cotidiano, Juegos y Estudio</t>
        </is>
      </c>
      <c r="H2047" s="16" t="inlineStr">
        <is>
          <t>AZUL</t>
        </is>
      </c>
      <c r="I2047" s="16" t="n">
        <v>2</v>
      </c>
      <c r="J2047" s="17" t="n">
        <v>73.59999999999999</v>
      </c>
      <c r="K2047" s="17" t="n">
        <v>99.81999999999999</v>
      </c>
      <c r="L2047" s="17" t="n">
        <v>0</v>
      </c>
      <c r="M2047" s="17" t="n">
        <v>0</v>
      </c>
      <c r="N2047" s="17">
        <f>K2047*0.08+L2047*0.08</f>
        <v/>
      </c>
      <c r="O2047" s="17">
        <f>-(K2047*0.025+L2047*0.025)</f>
        <v/>
      </c>
      <c r="P2047" s="17">
        <f>32</f>
        <v/>
      </c>
      <c r="Q2047" s="17">
        <f>J2047+L2047+N2047+O2047-P2047-M2047</f>
        <v/>
      </c>
    </row>
    <row r="2048">
      <c r="A2048" s="16" t="inlineStr">
        <is>
          <t>5.15-5.21</t>
        </is>
      </c>
      <c r="B2048" s="16" t="inlineStr">
        <is>
          <t>PO-128-01848376883831687</t>
        </is>
      </c>
      <c r="C2048" s="16" t="inlineStr">
        <is>
          <t>Delivered</t>
        </is>
      </c>
      <c r="D2048" s="16" t="inlineStr">
        <is>
          <t>128-01848403098231687</t>
        </is>
      </c>
      <c r="E2048" s="16" t="inlineStr">
        <is>
          <t>Delivered</t>
        </is>
      </c>
      <c r="F2048" s="16" t="inlineStr">
        <is>
          <t>SA325T</t>
        </is>
      </c>
      <c r="G2048" s="16" t="inlineStr">
        <is>
          <t>Subwoofer Portátil Inalámbrico con Luces RGB, Sonido de Alta Potencia y Batería Duradera, TWS TF USB, Perfecto para Campamento Fiestas y Entretenimiento en Casa</t>
        </is>
      </c>
      <c r="H2048" s="16" t="inlineStr">
        <is>
          <t>NEGRO</t>
        </is>
      </c>
      <c r="I2048" s="16" t="n">
        <v>3</v>
      </c>
      <c r="J2048" s="17" t="n">
        <v>114</v>
      </c>
      <c r="K2048" s="17" t="n">
        <v>141.18</v>
      </c>
      <c r="L2048" s="17" t="n">
        <v>0</v>
      </c>
      <c r="M2048" s="17" t="n">
        <v>0</v>
      </c>
      <c r="N2048" s="17">
        <f>K2048*0.08+L2048*0.08</f>
        <v/>
      </c>
      <c r="O2048" s="17">
        <f>-(K2048*0.025+L2048*0.025)</f>
        <v/>
      </c>
      <c r="P2048" s="17">
        <f>32</f>
        <v/>
      </c>
      <c r="Q2048" s="17">
        <f>J2048+L2048+N2048+O2048-P2048-M2048</f>
        <v/>
      </c>
    </row>
    <row r="2049">
      <c r="A2049" s="16" t="inlineStr">
        <is>
          <t>5.15-5.21</t>
        </is>
      </c>
      <c r="B2049" s="16" t="inlineStr">
        <is>
          <t>PO-128-20759809198713780</t>
        </is>
      </c>
      <c r="C2049" s="16" t="inlineStr">
        <is>
          <t>Delivered</t>
        </is>
      </c>
      <c r="D2049" s="16" t="inlineStr">
        <is>
          <t>128-20759819684473780</t>
        </is>
      </c>
      <c r="E2049" s="16" t="inlineStr">
        <is>
          <t>Delivered</t>
        </is>
      </c>
      <c r="F2049" s="16" t="inlineStr">
        <is>
          <t>MCM-001G</t>
        </is>
      </c>
      <c r="G2049" s="16" t="inlineStr">
        <is>
          <t>Musicord Altavoz Inalámbrico BT Portátil: ¡Sonido impactante, luces LED multicolores y 4 horas de autonomía! Compatible con TWS, FM, TF y USB – Imprescindible para fiestas y viajes</t>
        </is>
      </c>
      <c r="H2049" s="16" t="inlineStr">
        <is>
          <t>GRIS</t>
        </is>
      </c>
      <c r="I2049" s="16" t="n">
        <v>1</v>
      </c>
      <c r="J2049" s="17" t="n">
        <v>51.07</v>
      </c>
      <c r="K2049" s="17" t="n">
        <v>62.34</v>
      </c>
      <c r="L2049" s="17" t="n">
        <v>25.86</v>
      </c>
      <c r="M2049" s="17" t="n">
        <v>0</v>
      </c>
      <c r="N2049" s="17">
        <f>K2049*0.08+L2049*0.08</f>
        <v/>
      </c>
      <c r="O2049" s="17">
        <f>-(K2049*0.025+L2049*0.025)</f>
        <v/>
      </c>
      <c r="P2049" s="17">
        <f>32</f>
        <v/>
      </c>
      <c r="Q2049" s="17">
        <f>J2049+L2049+N2049+O2049-P2049-M2049</f>
        <v/>
      </c>
    </row>
    <row r="2050">
      <c r="A2050" s="16" t="inlineStr">
        <is>
          <t>5.15-5.21</t>
        </is>
      </c>
      <c r="B2050" s="16" t="inlineStr">
        <is>
          <t>PO-128-21028033316471030</t>
        </is>
      </c>
      <c r="C2050" s="16" t="inlineStr">
        <is>
          <t>Delivered</t>
        </is>
      </c>
      <c r="D2050" s="16" t="inlineStr">
        <is>
          <t>128-21027965159031030</t>
        </is>
      </c>
      <c r="E2050" s="16" t="inlineStr">
        <is>
          <t>Delivered</t>
        </is>
      </c>
      <c r="F2050" s="16" t="inlineStr">
        <is>
          <t>MCM-001A</t>
        </is>
      </c>
      <c r="G2050" s="16" t="inlineStr">
        <is>
          <t>Musicord Altavoz Inalámbrico BT Portátil: ¡Sonido impactante, luces LED multicolores y 4 horas de autonomía! Compatible con TWS, FM, TF y USB – Imprescindible para fiestas y viajes</t>
        </is>
      </c>
      <c r="H2050" s="16" t="inlineStr">
        <is>
          <t>AZUL</t>
        </is>
      </c>
      <c r="I2050" s="16" t="n">
        <v>1</v>
      </c>
      <c r="J2050" s="17" t="n">
        <v>51.08</v>
      </c>
      <c r="K2050" s="17" t="n">
        <v>59.47</v>
      </c>
      <c r="L2050" s="17" t="n">
        <v>25.86</v>
      </c>
      <c r="M2050" s="17" t="n">
        <v>0</v>
      </c>
      <c r="N2050" s="17">
        <f>K2050*0.08+L2050*0.08</f>
        <v/>
      </c>
      <c r="O2050" s="17">
        <f>-(K2050*0.025+L2050*0.025)</f>
        <v/>
      </c>
      <c r="P2050" s="17">
        <f>32</f>
        <v/>
      </c>
      <c r="Q2050" s="17">
        <f>J2050+L2050+N2050+O2050-P2050-M2050</f>
        <v/>
      </c>
    </row>
    <row r="2051">
      <c r="A2051" s="16" t="inlineStr">
        <is>
          <t>5.15-5.21</t>
        </is>
      </c>
      <c r="B2051" s="16" t="inlineStr">
        <is>
          <t>PO-128-20876738540152957</t>
        </is>
      </c>
      <c r="C2051" s="16" t="inlineStr">
        <is>
          <t>Delivered</t>
        </is>
      </c>
      <c r="D2051" s="16" t="inlineStr">
        <is>
          <t>128-20876890583672957</t>
        </is>
      </c>
      <c r="E2051" s="16" t="inlineStr">
        <is>
          <t>Delivered</t>
        </is>
      </c>
      <c r="F2051" s="16" t="inlineStr">
        <is>
          <t>LV25W22</t>
        </is>
      </c>
      <c r="G20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51" s="16" t="inlineStr">
        <is>
          <t>LV25W32</t>
        </is>
      </c>
      <c r="I2051" s="16" t="n">
        <v>1</v>
      </c>
      <c r="J2051" s="17" t="n">
        <v>90.43000000000001</v>
      </c>
      <c r="K2051" s="17" t="n">
        <v>100.84</v>
      </c>
      <c r="L2051" s="17" t="n">
        <v>25.86</v>
      </c>
      <c r="M2051" s="17" t="n">
        <v>0</v>
      </c>
      <c r="N2051" s="17">
        <f>K2051*0.08+L2051*0.08</f>
        <v/>
      </c>
      <c r="O2051" s="17">
        <f>-(K2051*0.025+L2051*0.025)</f>
        <v/>
      </c>
      <c r="P2051" s="17">
        <f>32</f>
        <v/>
      </c>
      <c r="Q2051" s="17">
        <f>J2051+L2051+N2051+O2051-P2051-M2051</f>
        <v/>
      </c>
    </row>
    <row r="2052">
      <c r="A2052" s="16" t="inlineStr">
        <is>
          <t>5.15-5.21</t>
        </is>
      </c>
      <c r="B2052" s="16" t="inlineStr">
        <is>
          <t>PO-128-20983852375671295</t>
        </is>
      </c>
      <c r="C2052" s="16" t="inlineStr">
        <is>
          <t>Delivered</t>
        </is>
      </c>
      <c r="D2052" s="16" t="inlineStr">
        <is>
          <t>128-20983934295671295</t>
        </is>
      </c>
      <c r="E2052" s="16" t="inlineStr">
        <is>
          <t>Delivered</t>
        </is>
      </c>
      <c r="F2052" s="16" t="inlineStr">
        <is>
          <t>LV25W22</t>
        </is>
      </c>
      <c r="G20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52" s="16" t="inlineStr">
        <is>
          <t>LV25W32</t>
        </is>
      </c>
      <c r="I2052" s="16" t="n">
        <v>3</v>
      </c>
      <c r="J2052" s="17" t="n">
        <v>271.29</v>
      </c>
      <c r="K2052" s="17" t="n">
        <v>302.52</v>
      </c>
      <c r="L2052" s="17" t="n">
        <v>0</v>
      </c>
      <c r="M2052" s="17" t="n">
        <v>0</v>
      </c>
      <c r="N2052" s="17">
        <f>K2052*0.08+L2052*0.08</f>
        <v/>
      </c>
      <c r="O2052" s="17">
        <f>-(K2052*0.025+L2052*0.025)</f>
        <v/>
      </c>
      <c r="P2052" s="17">
        <f>32</f>
        <v/>
      </c>
      <c r="Q2052" s="17">
        <f>J2052+L2052+N2052+O2052-P2052-M2052</f>
        <v/>
      </c>
    </row>
    <row r="2053">
      <c r="A2053" s="16" t="inlineStr">
        <is>
          <t>5.15-5.21</t>
        </is>
      </c>
      <c r="B2053" s="16" t="inlineStr">
        <is>
          <t>PO-128-20935364173432798</t>
        </is>
      </c>
      <c r="C2053" s="16" t="inlineStr">
        <is>
          <t>Delivered</t>
        </is>
      </c>
      <c r="D2053" s="16" t="inlineStr">
        <is>
          <t>128-20935343201912798</t>
        </is>
      </c>
      <c r="E2053" s="16" t="inlineStr">
        <is>
          <t>Delivered</t>
        </is>
      </c>
      <c r="F2053" s="16" t="inlineStr">
        <is>
          <t>SA8056T</t>
        </is>
      </c>
      <c r="G205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053" s="16" t="inlineStr">
        <is>
          <t>SA8056T</t>
        </is>
      </c>
      <c r="I2053" s="16" t="n">
        <v>1</v>
      </c>
      <c r="J2053" s="17" t="n">
        <v>123.9</v>
      </c>
      <c r="K2053" s="17" t="n">
        <v>129.86</v>
      </c>
      <c r="L2053" s="17" t="n">
        <v>25.86</v>
      </c>
      <c r="M2053" s="17" t="n">
        <v>0</v>
      </c>
      <c r="N2053" s="17">
        <f>K2053*0.08+L2053*0.08</f>
        <v/>
      </c>
      <c r="O2053" s="17">
        <f>-(K2053*0.025+L2053*0.025)</f>
        <v/>
      </c>
      <c r="P2053" s="17">
        <f>32</f>
        <v/>
      </c>
      <c r="Q2053" s="17">
        <f>J2053+L2053+N2053+O2053-P2053-M2053</f>
        <v/>
      </c>
    </row>
    <row r="2054">
      <c r="A2054" s="16" t="inlineStr">
        <is>
          <t>5.15-5.21</t>
        </is>
      </c>
      <c r="B2054" s="16" t="inlineStr">
        <is>
          <t>PO-128-20752199127673762</t>
        </is>
      </c>
      <c r="C2054" s="16" t="inlineStr">
        <is>
          <t>Delivered</t>
        </is>
      </c>
      <c r="D2054" s="16" t="inlineStr">
        <is>
          <t>128-20752178156153762</t>
        </is>
      </c>
      <c r="E2054" s="16" t="inlineStr">
        <is>
          <t>Delivered</t>
        </is>
      </c>
      <c r="F2054" s="16" t="inlineStr">
        <is>
          <t>KTS-1678Y</t>
        </is>
      </c>
      <c r="G2054" s="16" t="inlineStr">
        <is>
          <t>Bocina portátil Inalámbrico, de 3 pulgadas, tamaño de bolsillo, 170 g, con asa, compatible con TF, USB y Micro SD, con radio FM y función TWS (True Wireless Stereo), adecuada para relajarse en casa o viajar al aire libre.</t>
        </is>
      </c>
      <c r="H2054" s="16" t="inlineStr">
        <is>
          <t>KTS-1678Y</t>
        </is>
      </c>
      <c r="I2054" s="16" t="n">
        <v>6</v>
      </c>
      <c r="J2054" s="17" t="n">
        <v>246</v>
      </c>
      <c r="K2054" s="17" t="n">
        <v>198.24</v>
      </c>
      <c r="L2054" s="17" t="n">
        <v>0</v>
      </c>
      <c r="M2054" s="17" t="n">
        <v>4.14</v>
      </c>
      <c r="N2054" s="17">
        <f>K2054*0.08+L2054*0.08</f>
        <v/>
      </c>
      <c r="O2054" s="17">
        <f>-(K2054*0.025+L2054*0.025)</f>
        <v/>
      </c>
      <c r="P2054" s="17">
        <f>32</f>
        <v/>
      </c>
      <c r="Q2054" s="17">
        <f>J2054+L2054+N2054+O2054-P2054-M2054</f>
        <v/>
      </c>
    </row>
    <row r="2055">
      <c r="A2055" s="16" t="inlineStr">
        <is>
          <t>5.15-5.21</t>
        </is>
      </c>
      <c r="B2055" s="16" t="inlineStr">
        <is>
          <t>PO-128-21125762826871601</t>
        </is>
      </c>
      <c r="C2055" s="16" t="inlineStr">
        <is>
          <t>Delivered</t>
        </is>
      </c>
      <c r="D2055" s="16" t="inlineStr">
        <is>
          <t>128-21125731369591601</t>
        </is>
      </c>
      <c r="E2055" s="16" t="inlineStr">
        <is>
          <t>Delivered</t>
        </is>
      </c>
      <c r="F2055" s="16" t="inlineStr">
        <is>
          <t>LV25W22</t>
        </is>
      </c>
      <c r="G20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55" s="16" t="inlineStr">
        <is>
          <t>LV25W32</t>
        </is>
      </c>
      <c r="I2055" s="16" t="n">
        <v>1</v>
      </c>
      <c r="J2055" s="17" t="n">
        <v>97</v>
      </c>
      <c r="K2055" s="17" t="n">
        <v>107.41</v>
      </c>
      <c r="L2055" s="17" t="n">
        <v>25.86</v>
      </c>
      <c r="M2055" s="17" t="n">
        <v>0</v>
      </c>
      <c r="N2055" s="17">
        <f>K2055*0.08+L2055*0.08</f>
        <v/>
      </c>
      <c r="O2055" s="17">
        <f>-(K2055*0.025+L2055*0.025)</f>
        <v/>
      </c>
      <c r="P2055" s="17">
        <f>32</f>
        <v/>
      </c>
      <c r="Q2055" s="17">
        <f>J2055+L2055+N2055+O2055-P2055-M2055</f>
        <v/>
      </c>
    </row>
    <row r="2056">
      <c r="A2056" s="16" t="inlineStr">
        <is>
          <t>5.15-5.21</t>
        </is>
      </c>
      <c r="B2056" s="16" t="inlineStr">
        <is>
          <t>PO-128-10216846334070127</t>
        </is>
      </c>
      <c r="C2056" s="16" t="inlineStr">
        <is>
          <t>Delivered</t>
        </is>
      </c>
      <c r="D2056" s="16" t="inlineStr">
        <is>
          <t>128-10216859441270127</t>
        </is>
      </c>
      <c r="E2056" s="16" t="inlineStr">
        <is>
          <t>Delivered</t>
        </is>
      </c>
      <c r="F2056" s="16" t="inlineStr">
        <is>
          <t>FA028</t>
        </is>
      </c>
      <c r="G2056" s="16" t="inlineStr">
        <is>
          <t>Extractor de agua para garrafas de agua, compatible con carga USB, extractor de agua automático, práctico, con dos modos de toma de agua: manual y programado, ideal para dormitorios, salones, oficinas, uso al aire libre y otros escenarios.</t>
        </is>
      </c>
      <c r="H2056" s="16" t="inlineStr">
        <is>
          <t>FA028</t>
        </is>
      </c>
      <c r="I2056" s="16" t="n">
        <v>1</v>
      </c>
      <c r="J2056" s="17" t="n">
        <v>30</v>
      </c>
      <c r="K2056" s="17" t="n">
        <v>39.58</v>
      </c>
      <c r="L2056" s="17" t="n">
        <v>25.86</v>
      </c>
      <c r="M2056" s="17" t="n">
        <v>0</v>
      </c>
      <c r="N2056" s="17">
        <f>K2056*0.08+L2056*0.08</f>
        <v/>
      </c>
      <c r="O2056" s="17">
        <f>-(K2056*0.025+L2056*0.025)</f>
        <v/>
      </c>
      <c r="P2056" s="17">
        <f>32</f>
        <v/>
      </c>
      <c r="Q2056" s="17">
        <f>J2056+L2056+N2056+O2056-P2056-M2056</f>
        <v/>
      </c>
    </row>
    <row r="2057">
      <c r="A2057" s="16" t="inlineStr">
        <is>
          <t>5.15-5.21</t>
        </is>
      </c>
      <c r="B2057" s="16" t="inlineStr">
        <is>
          <t>PO-128-10121218767991593</t>
        </is>
      </c>
      <c r="C2057" s="16" t="inlineStr">
        <is>
          <t>Delivered</t>
        </is>
      </c>
      <c r="D2057" s="16" t="inlineStr">
        <is>
          <t>128-10121323625591593</t>
        </is>
      </c>
      <c r="E2057" s="16" t="inlineStr">
        <is>
          <t>Delivered</t>
        </is>
      </c>
      <c r="F2057" s="16" t="inlineStr">
        <is>
          <t>S39W48-5PZS</t>
        </is>
      </c>
      <c r="G205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057" s="16" t="inlineStr">
        <is>
          <t>5 piezas</t>
        </is>
      </c>
      <c r="I2057" s="16" t="n">
        <v>1</v>
      </c>
      <c r="J2057" s="17" t="n">
        <v>150</v>
      </c>
      <c r="K2057" s="17" t="n">
        <v>209.89</v>
      </c>
      <c r="L2057" s="17" t="n">
        <v>25.86</v>
      </c>
      <c r="M2057" s="17" t="n">
        <v>0</v>
      </c>
      <c r="N2057" s="17">
        <f>K2057*0.08+L2057*0.08</f>
        <v/>
      </c>
      <c r="O2057" s="17">
        <f>-(K2057*0.025+L2057*0.025)</f>
        <v/>
      </c>
      <c r="P2057" s="17">
        <f>32</f>
        <v/>
      </c>
      <c r="Q2057" s="17">
        <f>J2057+L2057+N2057+O2057-P2057-M2057</f>
        <v/>
      </c>
    </row>
    <row r="2058">
      <c r="A2058" s="16" t="inlineStr">
        <is>
          <t>5.15-5.21</t>
        </is>
      </c>
      <c r="B2058" s="16" t="inlineStr">
        <is>
          <t>PO-128-09669971013753259</t>
        </is>
      </c>
      <c r="C2058" s="16" t="inlineStr">
        <is>
          <t>Delivered</t>
        </is>
      </c>
      <c r="D2058" s="16" t="inlineStr">
        <is>
          <t>128-09670047035513259</t>
        </is>
      </c>
      <c r="E2058" s="16" t="inlineStr">
        <is>
          <t>Delivered</t>
        </is>
      </c>
      <c r="F2058" s="16" t="inlineStr">
        <is>
          <t>LV25W22</t>
        </is>
      </c>
      <c r="G205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58" s="16" t="inlineStr">
        <is>
          <t>LV25W32</t>
        </is>
      </c>
      <c r="I2058" s="16" t="n">
        <v>5</v>
      </c>
      <c r="J2058" s="17" t="n">
        <v>485</v>
      </c>
      <c r="K2058" s="17" t="n">
        <v>524.1</v>
      </c>
      <c r="L2058" s="17" t="n">
        <v>0</v>
      </c>
      <c r="M2058" s="17" t="n">
        <v>0</v>
      </c>
      <c r="N2058" s="17">
        <f>K2058*0.08+L2058*0.08</f>
        <v/>
      </c>
      <c r="O2058" s="17">
        <f>-(K2058*0.025+L2058*0.025)</f>
        <v/>
      </c>
      <c r="P2058" s="17">
        <f>32</f>
        <v/>
      </c>
      <c r="Q2058" s="17">
        <f>J2058+L2058+N2058+O2058-P2058-M2058</f>
        <v/>
      </c>
    </row>
    <row r="2059">
      <c r="A2059" s="16" t="inlineStr">
        <is>
          <t>5.15-5.21</t>
        </is>
      </c>
      <c r="B2059" s="16" t="inlineStr">
        <is>
          <t>PO-128-10235780805750972</t>
        </is>
      </c>
      <c r="C2059" s="16" t="inlineStr">
        <is>
          <t>Delivered</t>
        </is>
      </c>
      <c r="D2059" s="16" t="inlineStr">
        <is>
          <t>128-10235818816630972</t>
        </is>
      </c>
      <c r="E2059" s="16" t="inlineStr">
        <is>
          <t>Delivered</t>
        </is>
      </c>
      <c r="F2059" s="16" t="inlineStr">
        <is>
          <t>VA384T-R</t>
        </is>
      </c>
      <c r="G2059" s="16" t="inlineStr">
        <is>
          <t>Bocina Portátil Bluetooth de 3 Pulgadas con Radio FM, USB TF TWS, Sonido Estéreo 5W, Bocina Recargable para Hogar Exterior Viaje Fiesta Camping</t>
        </is>
      </c>
      <c r="H2059" s="16" t="inlineStr">
        <is>
          <t>ROJO</t>
        </is>
      </c>
      <c r="I2059" s="16" t="n">
        <v>1</v>
      </c>
      <c r="J2059" s="17" t="n">
        <v>50</v>
      </c>
      <c r="K2059" s="17" t="n">
        <v>49.82</v>
      </c>
      <c r="L2059" s="17" t="n">
        <v>25.86</v>
      </c>
      <c r="M2059" s="17" t="n">
        <v>0</v>
      </c>
      <c r="N2059" s="17">
        <f>K2059*0.08+L2059*0.08</f>
        <v/>
      </c>
      <c r="O2059" s="17">
        <f>-(K2059*0.025+L2059*0.025)</f>
        <v/>
      </c>
      <c r="P2059" s="17">
        <f>32</f>
        <v/>
      </c>
      <c r="Q2059" s="17">
        <f>J2059+L2059+N2059+O2059-P2059-M2059</f>
        <v/>
      </c>
    </row>
    <row r="2060">
      <c r="A2060" s="16" t="inlineStr">
        <is>
          <t>5.15-5.21</t>
        </is>
      </c>
      <c r="B2060" s="16" t="inlineStr">
        <is>
          <t>PO-128-10139679304310395</t>
        </is>
      </c>
      <c r="C2060" s="16" t="inlineStr">
        <is>
          <t>Delivered</t>
        </is>
      </c>
      <c r="D2060" s="16" t="inlineStr">
        <is>
          <t>128-10139668818550395</t>
        </is>
      </c>
      <c r="E2060" s="16" t="inlineStr">
        <is>
          <t>Delivered</t>
        </is>
      </c>
      <c r="F2060" s="16" t="inlineStr">
        <is>
          <t>LB02235-negro</t>
        </is>
      </c>
      <c r="G2060" s="16" t="inlineStr">
        <is>
          <t>Audífonos Inalámbricos para la Cabeza, Recargables y Multifuncionales - Conectan a Varios Dispositivos, soportan Radio FM, Tarjeta TF y AUX - 4 Horas de Reproducción Musical - Ideal para Trabajo Cotidiano, Juegos y Estudio</t>
        </is>
      </c>
      <c r="H2060" s="16" t="inlineStr">
        <is>
          <t>NEGRO</t>
        </is>
      </c>
      <c r="I2060" s="16" t="n">
        <v>1</v>
      </c>
      <c r="J2060" s="17" t="n">
        <v>45.31</v>
      </c>
      <c r="K2060" s="17" t="n">
        <v>58.42</v>
      </c>
      <c r="L2060" s="17" t="n">
        <v>25.86</v>
      </c>
      <c r="M2060" s="17" t="n">
        <v>0</v>
      </c>
      <c r="N2060" s="17">
        <f>K2060*0.08+L2060*0.08</f>
        <v/>
      </c>
      <c r="O2060" s="17">
        <f>-(K2060*0.025+L2060*0.025)</f>
        <v/>
      </c>
      <c r="P2060" s="17">
        <f>32</f>
        <v/>
      </c>
      <c r="Q2060" s="17">
        <f>J2060+L2060+N2060+O2060-P2060-M2060</f>
        <v/>
      </c>
    </row>
    <row r="2061">
      <c r="A2061" s="16" t="inlineStr">
        <is>
          <t>5.15-5.21</t>
        </is>
      </c>
      <c r="B2061" s="16" t="inlineStr">
        <is>
          <t>PO-128-10141582469750446</t>
        </is>
      </c>
      <c r="C2061" s="16" t="inlineStr">
        <is>
          <t>Delivered</t>
        </is>
      </c>
      <c r="D2061" s="16" t="inlineStr">
        <is>
          <t>128-10141566741110446</t>
        </is>
      </c>
      <c r="E2061" s="16" t="inlineStr">
        <is>
          <t>Delivered</t>
        </is>
      </c>
      <c r="F2061" s="16" t="inlineStr">
        <is>
          <t>LV25W22</t>
        </is>
      </c>
      <c r="G20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61" s="16" t="inlineStr">
        <is>
          <t>LV25W32</t>
        </is>
      </c>
      <c r="I2061" s="16" t="n">
        <v>1</v>
      </c>
      <c r="J2061" s="17" t="n">
        <v>97</v>
      </c>
      <c r="K2061" s="17" t="n">
        <v>96.67</v>
      </c>
      <c r="L2061" s="17" t="n">
        <v>25.86</v>
      </c>
      <c r="M2061" s="17" t="n">
        <v>0</v>
      </c>
      <c r="N2061" s="17">
        <f>K2061*0.08+L2061*0.08</f>
        <v/>
      </c>
      <c r="O2061" s="17">
        <f>-(K2061*0.025+L2061*0.025)</f>
        <v/>
      </c>
      <c r="P2061" s="17">
        <f>32</f>
        <v/>
      </c>
      <c r="Q2061" s="17">
        <f>J2061+L2061+N2061+O2061-P2061-M2061</f>
        <v/>
      </c>
    </row>
    <row r="2062">
      <c r="A2062" s="16" t="inlineStr">
        <is>
          <t>5.15-5.21</t>
        </is>
      </c>
      <c r="B2062" s="16" t="inlineStr">
        <is>
          <t>PO-128-10151388396150452</t>
        </is>
      </c>
      <c r="C2062" s="16" t="inlineStr">
        <is>
          <t>Delivered</t>
        </is>
      </c>
      <c r="D2062" s="16" t="inlineStr">
        <is>
          <t>128-10151346453110452</t>
        </is>
      </c>
      <c r="E2062" s="16" t="inlineStr">
        <is>
          <t>Delivered</t>
        </is>
      </c>
      <c r="F2062" s="16" t="inlineStr">
        <is>
          <t>VA384T-R</t>
        </is>
      </c>
      <c r="G2062" s="16" t="inlineStr">
        <is>
          <t>Bocina Portátil Bluetooth de 3 Pulgadas con Radio FM, USB TF TWS, Sonido Estéreo 5W, Bocina Recargable para Hogar Exterior Viaje Fiesta Camping</t>
        </is>
      </c>
      <c r="H2062" s="16" t="inlineStr">
        <is>
          <t>ROJO</t>
        </is>
      </c>
      <c r="I2062" s="16" t="n">
        <v>1</v>
      </c>
      <c r="J2062" s="17" t="n">
        <v>50</v>
      </c>
      <c r="K2062" s="17" t="n">
        <v>17.62</v>
      </c>
      <c r="L2062" s="17" t="n">
        <v>25.86</v>
      </c>
      <c r="M2062" s="17" t="n">
        <v>0</v>
      </c>
      <c r="N2062" s="17">
        <f>K2062*0.08+L2062*0.08</f>
        <v/>
      </c>
      <c r="O2062" s="17">
        <f>-(K2062*0.025+L2062*0.025)</f>
        <v/>
      </c>
      <c r="P2062" s="17">
        <f>32</f>
        <v/>
      </c>
      <c r="Q2062" s="17">
        <f>J2062+L2062+N2062+O2062-P2062-M2062</f>
        <v/>
      </c>
    </row>
    <row r="2063">
      <c r="A2063" s="16" t="inlineStr">
        <is>
          <t>5.15-5.21</t>
        </is>
      </c>
      <c r="B2063" s="16" t="inlineStr">
        <is>
          <t>PO-128-09842050222712233</t>
        </is>
      </c>
      <c r="C2063" s="16" t="inlineStr">
        <is>
          <t>Delivered</t>
        </is>
      </c>
      <c r="D2063" s="16" t="inlineStr">
        <is>
          <t>128-09842039736952233</t>
        </is>
      </c>
      <c r="E2063" s="16" t="inlineStr">
        <is>
          <t>Delivered</t>
        </is>
      </c>
      <c r="F2063" s="16" t="inlineStr">
        <is>
          <t>SA325T</t>
        </is>
      </c>
      <c r="G2063" s="16" t="inlineStr">
        <is>
          <t>Subwoofer Portátil Inalámbrico con Luces RGB, Sonido de Alta Potencia y Batería Duradera, TWS TF USB, Perfecto para Campamento Fiestas y Entretenimiento en Casa</t>
        </is>
      </c>
      <c r="H2063" s="16" t="inlineStr">
        <is>
          <t>NEGRO</t>
        </is>
      </c>
      <c r="I2063" s="16" t="n">
        <v>6</v>
      </c>
      <c r="J2063" s="17" t="n">
        <v>228</v>
      </c>
      <c r="K2063" s="17" t="n">
        <v>240.02</v>
      </c>
      <c r="L2063" s="17" t="n">
        <v>0</v>
      </c>
      <c r="M2063" s="17" t="n">
        <v>0</v>
      </c>
      <c r="N2063" s="17">
        <f>K2063*0.08+L2063*0.08</f>
        <v/>
      </c>
      <c r="O2063" s="17">
        <f>-(K2063*0.025+L2063*0.025)</f>
        <v/>
      </c>
      <c r="P2063" s="17">
        <f>32</f>
        <v/>
      </c>
      <c r="Q2063" s="17">
        <f>J2063+L2063+N2063+O2063-P2063-M2063</f>
        <v/>
      </c>
    </row>
    <row r="2064">
      <c r="A2064" s="16" t="inlineStr">
        <is>
          <t>5.15-5.21</t>
        </is>
      </c>
      <c r="B2064" s="16" t="inlineStr">
        <is>
          <t>PO-128-15244502029433950</t>
        </is>
      </c>
      <c r="C2064" s="16" t="inlineStr">
        <is>
          <t>Delivered</t>
        </is>
      </c>
      <c r="D2064" s="16" t="inlineStr">
        <is>
          <t>128-15244543972473950</t>
        </is>
      </c>
      <c r="E2064" s="16" t="inlineStr">
        <is>
          <t>Delivered</t>
        </is>
      </c>
      <c r="F2064" s="16" t="inlineStr">
        <is>
          <t>MCM-001A</t>
        </is>
      </c>
      <c r="G2064" s="16" t="inlineStr">
        <is>
          <t>Musicord Altavoz Inalámbrico BT Portátil: ¡Sonido impactante, luces LED multicolores y 4 horas de autonomía! Compatible con TWS, FM, TF y USB – Imprescindible para fiestas y viajes</t>
        </is>
      </c>
      <c r="H2064" s="16" t="inlineStr">
        <is>
          <t>AZUL</t>
        </is>
      </c>
      <c r="I2064" s="16" t="n">
        <v>1</v>
      </c>
      <c r="J2064" s="17" t="n">
        <v>51.08</v>
      </c>
      <c r="K2064" s="17" t="n">
        <v>59.47</v>
      </c>
      <c r="L2064" s="17" t="n">
        <v>25.86</v>
      </c>
      <c r="M2064" s="17" t="n">
        <v>0</v>
      </c>
      <c r="N2064" s="17">
        <f>K2064*0.08+L2064*0.08</f>
        <v/>
      </c>
      <c r="O2064" s="17">
        <f>-(K2064*0.025+L2064*0.025)</f>
        <v/>
      </c>
      <c r="P2064" s="17">
        <f>32</f>
        <v/>
      </c>
      <c r="Q2064" s="17">
        <f>J2064+L2064+N2064+O2064-P2064-M2064</f>
        <v/>
      </c>
    </row>
    <row r="2065">
      <c r="A2065" s="16" t="inlineStr">
        <is>
          <t>5.15-5.21</t>
        </is>
      </c>
      <c r="B2065" s="16" t="inlineStr">
        <is>
          <t>PO-128-07289670789751063</t>
        </is>
      </c>
      <c r="C2065" s="16" t="inlineStr">
        <is>
          <t>Partially delivered</t>
        </is>
      </c>
      <c r="D2065" s="16" t="inlineStr">
        <is>
          <t>128-07289656371831063</t>
        </is>
      </c>
      <c r="E2065" s="16" t="inlineStr">
        <is>
          <t>Shipped</t>
        </is>
      </c>
      <c r="F2065" s="16" t="inlineStr">
        <is>
          <t>LV25W22</t>
        </is>
      </c>
      <c r="G20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2065" s="16" t="inlineStr">
        <is>
          <t>LV25W32</t>
        </is>
      </c>
      <c r="I2065" s="16" t="n">
        <v>1</v>
      </c>
      <c r="J2065" s="17" t="n">
        <v>90.43000000000001</v>
      </c>
      <c r="K2065" s="17" t="n">
        <v>100.84</v>
      </c>
      <c r="L2065" s="17" t="n">
        <v>11.88</v>
      </c>
      <c r="M2065" s="17" t="n">
        <v>0</v>
      </c>
      <c r="N2065" s="17">
        <f>K2065*0.08+L2065*0.08</f>
        <v/>
      </c>
      <c r="O2065" s="17">
        <f>-(K2065*0.025+L2065*0.025)</f>
        <v/>
      </c>
      <c r="P2065" s="17">
        <f>32</f>
        <v/>
      </c>
      <c r="Q2065" s="17">
        <f>J2065+L2065+N2065+O2065-P2065-M2065</f>
        <v/>
      </c>
    </row>
    <row r="2066">
      <c r="A2066" s="16" t="inlineStr">
        <is>
          <t>5.15-5.21</t>
        </is>
      </c>
      <c r="B2066" s="16" t="inlineStr">
        <is>
          <t>PO-128-07289670789751063</t>
        </is>
      </c>
      <c r="C2066" s="16" t="inlineStr">
        <is>
          <t>Partially delivered</t>
        </is>
      </c>
      <c r="D2066" s="16" t="inlineStr">
        <is>
          <t>128-07289660303991063</t>
        </is>
      </c>
      <c r="E2066" s="16" t="inlineStr">
        <is>
          <t>Delivered</t>
        </is>
      </c>
      <c r="F2066" s="16" t="inlineStr">
        <is>
          <t>MCM-001N</t>
        </is>
      </c>
      <c r="G2066" s="16" t="inlineStr">
        <is>
          <t>Musicord Altavoz Inalámbrico BT Portátil: ¡Sonido impactante, luces LED multicolores y 4 horas de autonomía! Compatible con TWS, FM, TF y USB – Imprescindible para fiestas y viajes</t>
        </is>
      </c>
      <c r="H2066" s="16" t="inlineStr">
        <is>
          <t>NEGRO</t>
        </is>
      </c>
      <c r="I2066" s="16" t="n">
        <v>1</v>
      </c>
      <c r="J2066" s="17" t="n">
        <v>66</v>
      </c>
      <c r="K2066" s="17" t="n">
        <v>73.79000000000001</v>
      </c>
      <c r="L2066" s="17" t="n">
        <v>8.68</v>
      </c>
      <c r="M2066" s="17" t="n">
        <v>0</v>
      </c>
      <c r="N2066" s="17">
        <f>K2066*0.08+L2066*0.08</f>
        <v/>
      </c>
      <c r="O2066" s="17">
        <f>-(K2066*0.025+L2066*0.025)</f>
        <v/>
      </c>
      <c r="P2066" s="17">
        <f>32</f>
        <v/>
      </c>
      <c r="Q2066" s="17">
        <f>J2066+L2066+N2066+O2066-P2066-M2066</f>
        <v/>
      </c>
    </row>
    <row r="2067">
      <c r="A2067" s="16" t="inlineStr">
        <is>
          <t>5.15-5.21</t>
        </is>
      </c>
      <c r="B2067" s="16" t="inlineStr">
        <is>
          <t>PO-128-07289670789751063</t>
        </is>
      </c>
      <c r="C2067" s="16" t="inlineStr">
        <is>
          <t>Partially delivered</t>
        </is>
      </c>
      <c r="D2067" s="16" t="inlineStr">
        <is>
          <t>128-07289666857591063</t>
        </is>
      </c>
      <c r="E2067" s="16" t="inlineStr">
        <is>
          <t>Shipped</t>
        </is>
      </c>
      <c r="F2067" s="16" t="inlineStr">
        <is>
          <t>SA325T</t>
        </is>
      </c>
      <c r="G2067" s="16" t="inlineStr">
        <is>
          <t>Subwoofer Portátil Inalámbrico con Luces RGB, Sonido de Alta Potencia y Batería Duradera, TWS TF USB, Perfecto para Campamento Fiestas y Entretenimiento en Casa</t>
        </is>
      </c>
      <c r="H2067" s="16" t="inlineStr">
        <is>
          <t>NEGRO</t>
        </is>
      </c>
      <c r="I2067" s="16" t="n">
        <v>1</v>
      </c>
      <c r="J2067" s="17" t="n">
        <v>36</v>
      </c>
      <c r="K2067" s="17" t="n">
        <v>45.04</v>
      </c>
      <c r="L2067" s="17" t="n">
        <v>5.3</v>
      </c>
      <c r="M2067" s="17" t="n">
        <v>0</v>
      </c>
      <c r="N2067" s="17">
        <f>K2067*0.08+L2067*0.08</f>
        <v/>
      </c>
      <c r="O2067" s="17">
        <f>-(K2067*0.025+L2067*0.025)</f>
        <v/>
      </c>
      <c r="P2067" s="17">
        <f>32</f>
        <v/>
      </c>
      <c r="Q2067" s="17">
        <f>J2067+L2067+N2067+O2067-P2067-M2067</f>
        <v/>
      </c>
    </row>
    <row r="2068">
      <c r="A2068" s="16" t="inlineStr">
        <is>
          <t>5.15-5.21</t>
        </is>
      </c>
      <c r="B2068" s="16" t="inlineStr">
        <is>
          <t>PO-128-12697415480952620</t>
        </is>
      </c>
      <c r="C2068" s="16" t="inlineStr">
        <is>
          <t>Partially delivered</t>
        </is>
      </c>
      <c r="D2068" s="16" t="inlineStr">
        <is>
          <t>128-12697478395512620</t>
        </is>
      </c>
      <c r="E2068" s="16" t="inlineStr">
        <is>
          <t>Shipped</t>
        </is>
      </c>
      <c r="F2068" s="16" t="inlineStr">
        <is>
          <t>SA8056T</t>
        </is>
      </c>
      <c r="G206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068" s="16" t="inlineStr">
        <is>
          <t>SA8056T</t>
        </is>
      </c>
      <c r="I2068" s="16" t="n">
        <v>1</v>
      </c>
      <c r="J2068" s="17" t="n">
        <v>125</v>
      </c>
      <c r="K2068" s="17" t="n">
        <v>104.54</v>
      </c>
      <c r="L2068" s="17" t="n">
        <v>0</v>
      </c>
      <c r="M2068" s="17" t="n">
        <v>0</v>
      </c>
      <c r="N2068" s="17">
        <f>K2068*0.08+L2068*0.08</f>
        <v/>
      </c>
      <c r="O2068" s="17">
        <f>-(K2068*0.025+L2068*0.025)</f>
        <v/>
      </c>
      <c r="P2068" s="17">
        <f>32</f>
        <v/>
      </c>
      <c r="Q2068" s="17">
        <f>J2068+L2068+N2068+O2068-P2068-M2068</f>
        <v/>
      </c>
    </row>
    <row r="2069">
      <c r="A2069" s="16" t="inlineStr">
        <is>
          <t>5.15-5.21</t>
        </is>
      </c>
      <c r="B2069" s="16" t="inlineStr">
        <is>
          <t>PO-128-12697415480952620</t>
        </is>
      </c>
      <c r="C2069" s="16" t="inlineStr">
        <is>
          <t>Partially delivered</t>
        </is>
      </c>
      <c r="D2069" s="16" t="inlineStr">
        <is>
          <t>128-12697457423992620</t>
        </is>
      </c>
      <c r="E2069" s="16" t="inlineStr">
        <is>
          <t>Shipped</t>
        </is>
      </c>
      <c r="F2069" s="16" t="inlineStr">
        <is>
          <t>VA384T-A</t>
        </is>
      </c>
      <c r="G2069" s="16" t="inlineStr">
        <is>
          <t>Bocina Portátil Bluetooth de 3 Pulgadas con Radio FM, USB TF TWS, Sonido Estéreo 5W, Bocina Recargable para Hogar Exterior Viaje Fiesta Camping</t>
        </is>
      </c>
      <c r="H2069" s="16" t="inlineStr">
        <is>
          <t>AZUL</t>
        </is>
      </c>
      <c r="I2069" s="16" t="n">
        <v>1</v>
      </c>
      <c r="J2069" s="17" t="n">
        <v>46</v>
      </c>
      <c r="K2069" s="17" t="n">
        <v>40.78</v>
      </c>
      <c r="L2069" s="17" t="n">
        <v>0</v>
      </c>
      <c r="M2069" s="17" t="n">
        <v>0</v>
      </c>
      <c r="N2069" s="17">
        <f>K2069*0.08+L2069*0.08</f>
        <v/>
      </c>
      <c r="O2069" s="17">
        <f>-(K2069*0.025+L2069*0.025)</f>
        <v/>
      </c>
      <c r="P2069" s="17">
        <f>32</f>
        <v/>
      </c>
      <c r="Q2069" s="17">
        <f>J2069+L2069+N2069+O2069-P2069-M2069</f>
        <v/>
      </c>
    </row>
    <row r="2070">
      <c r="A2070" s="16" t="inlineStr">
        <is>
          <t>5.15-5.21</t>
        </is>
      </c>
      <c r="B2070" s="16" t="inlineStr">
        <is>
          <t>PO-128-12697415480952620</t>
        </is>
      </c>
      <c r="C2070" s="16" t="inlineStr">
        <is>
          <t>Partially delivered</t>
        </is>
      </c>
      <c r="D2070" s="16" t="inlineStr">
        <is>
          <t>128-12697394509432620</t>
        </is>
      </c>
      <c r="E2070" s="16" t="inlineStr">
        <is>
          <t>Delivered</t>
        </is>
      </c>
      <c r="F2070" s="16" t="inlineStr">
        <is>
          <t>VB347T</t>
        </is>
      </c>
      <c r="G207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070" s="16" t="inlineStr">
        <is>
          <t>1 pieza</t>
        </is>
      </c>
      <c r="I2070" s="16" t="n">
        <v>1</v>
      </c>
      <c r="J2070" s="17" t="n">
        <v>77.90000000000001</v>
      </c>
      <c r="K2070" s="17" t="n">
        <v>66.52</v>
      </c>
      <c r="L2070" s="17" t="n">
        <v>0</v>
      </c>
      <c r="M2070" s="17" t="n">
        <v>0</v>
      </c>
      <c r="N2070" s="17">
        <f>K2070*0.08+L2070*0.08</f>
        <v/>
      </c>
      <c r="O2070" s="17">
        <f>-(K2070*0.025+L2070*0.025)</f>
        <v/>
      </c>
      <c r="P2070" s="17">
        <f>32</f>
        <v/>
      </c>
      <c r="Q2070" s="17">
        <f>J2070+L2070+N2070+O2070-P2070-M2070</f>
        <v/>
      </c>
    </row>
    <row r="2071">
      <c r="A2071" s="16" t="inlineStr">
        <is>
          <t>5.22-5.28</t>
        </is>
      </c>
      <c r="B2071" s="16" t="inlineStr">
        <is>
          <t>PO-128-10326359071353571</t>
        </is>
      </c>
      <c r="C2071" s="16" t="inlineStr">
        <is>
          <t>Shipped</t>
        </is>
      </c>
      <c r="D2071" s="16" t="inlineStr">
        <is>
          <t>128-10326317128313571</t>
        </is>
      </c>
      <c r="E2071" s="16" t="inlineStr">
        <is>
          <t>Shipped</t>
        </is>
      </c>
      <c r="F2071" s="16" t="inlineStr">
        <is>
          <t>LB02235-blanco</t>
        </is>
      </c>
      <c r="G2071" s="16" t="inlineStr">
        <is>
          <t>Audífonos Inalámbricos para la Cabeza, Recargables y Multifuncionales - Conectan a Varios Dispositivos, soportan Radio FM, Tarjeta TF y AUX - 4 Horas de Reproducción Musical - Ideal para Trabajo Cotidiano, Juegos y Estudio</t>
        </is>
      </c>
      <c r="H2071" s="16" t="inlineStr">
        <is>
          <t>BLANCO</t>
        </is>
      </c>
      <c r="I2071" s="16" t="n">
        <v>5</v>
      </c>
      <c r="J2071" s="17" t="n">
        <v>184</v>
      </c>
      <c r="K2071" s="17" t="n">
        <v>249.55</v>
      </c>
      <c r="L2071" s="17" t="n">
        <v>25.85</v>
      </c>
      <c r="M2071" s="17" t="n">
        <v>0</v>
      </c>
      <c r="N2071" s="17">
        <f>K2071*0.08+L2071*0.08</f>
        <v/>
      </c>
      <c r="O2071" s="17">
        <f>-(K2071*0.025+L2071*0.025)</f>
        <v/>
      </c>
      <c r="P2071" s="17">
        <f>32</f>
        <v/>
      </c>
      <c r="Q2071" s="17">
        <f>J2071+L2071+N2071+O2071-P2071-M2071</f>
        <v/>
      </c>
    </row>
    <row r="2072">
      <c r="A2072" s="16" t="inlineStr">
        <is>
          <t>5.22-5.28</t>
        </is>
      </c>
      <c r="B2072" s="16" t="inlineStr">
        <is>
          <t>PO-128-10776931062391909</t>
        </is>
      </c>
      <c r="C2072" s="16" t="inlineStr">
        <is>
          <t>Shipped</t>
        </is>
      </c>
      <c r="D2072" s="16" t="inlineStr">
        <is>
          <t>128-10776927130231909</t>
        </is>
      </c>
      <c r="E2072" s="16" t="inlineStr">
        <is>
          <t>Shipped</t>
        </is>
      </c>
      <c r="F2072" s="16" t="inlineStr">
        <is>
          <t>MCM-001A</t>
        </is>
      </c>
      <c r="G2072" s="16" t="inlineStr">
        <is>
          <t>Musicord Altavoz Inalámbrico BT Portátil: ¡Sonido impactante, luces LED multicolores y 4 horas de autonomía! Compatible con TWS, FM, TF y USB – Imprescindible para fiestas y viajes</t>
        </is>
      </c>
      <c r="H2072" s="16" t="inlineStr">
        <is>
          <t>AZUL</t>
        </is>
      </c>
      <c r="I2072" s="16" t="n">
        <v>2</v>
      </c>
      <c r="J2072" s="17" t="n">
        <v>102.14</v>
      </c>
      <c r="K2072" s="17" t="n">
        <v>118.94</v>
      </c>
      <c r="L2072" s="17" t="n">
        <v>0</v>
      </c>
      <c r="M2072" s="17" t="n">
        <v>0</v>
      </c>
      <c r="N2072" s="17">
        <f>K2072*0.08+L2072*0.08</f>
        <v/>
      </c>
      <c r="O2072" s="17">
        <f>-(K2072*0.025+L2072*0.025)</f>
        <v/>
      </c>
      <c r="P2072" s="17">
        <f>32</f>
        <v/>
      </c>
      <c r="Q2072" s="17">
        <f>J2072+L2072+N2072+O2072-P2072-M2072</f>
        <v/>
      </c>
    </row>
    <row r="2073">
      <c r="A2073" s="16" t="inlineStr">
        <is>
          <t>5.22-5.28</t>
        </is>
      </c>
      <c r="B2073" s="16" t="inlineStr">
        <is>
          <t>PO-128-10776931062391909</t>
        </is>
      </c>
      <c r="C2073" s="16" t="inlineStr">
        <is>
          <t>Shipped</t>
        </is>
      </c>
      <c r="D2073" s="16" t="inlineStr">
        <is>
          <t>128-10776958587511909</t>
        </is>
      </c>
      <c r="E2073" s="16" t="inlineStr">
        <is>
          <t>Shipped</t>
        </is>
      </c>
      <c r="F2073" s="16" t="inlineStr">
        <is>
          <t>SA323T</t>
        </is>
      </c>
      <c r="G2073" s="16" t="inlineStr">
        <is>
          <t>Linkbits Bocina Portátil Parlantes BT Portátiles con Iluminación de Ambiente | 1 Hora de Duración, FM, TWS, TF/Micro SD | Ideal para Hogar, Fiestas y Viajes</t>
        </is>
      </c>
      <c r="H2073" s="16" t="inlineStr">
        <is>
          <t>SA323T</t>
        </is>
      </c>
      <c r="I2073" s="16" t="n">
        <v>2</v>
      </c>
      <c r="J2073" s="17" t="n">
        <v>93.40000000000001</v>
      </c>
      <c r="K2073" s="17" t="n">
        <v>111.52</v>
      </c>
      <c r="L2073" s="17" t="n">
        <v>0</v>
      </c>
      <c r="M2073" s="17" t="n">
        <v>0</v>
      </c>
      <c r="N2073" s="17">
        <f>K2073*0.08+L2073*0.08</f>
        <v/>
      </c>
      <c r="O2073" s="17">
        <f>-(K2073*0.025+L2073*0.025)</f>
        <v/>
      </c>
      <c r="P2073" s="17">
        <f>32</f>
        <v/>
      </c>
      <c r="Q2073" s="17">
        <f>J2073+L2073+N2073+O2073-P2073-M2073</f>
        <v/>
      </c>
    </row>
    <row r="2074">
      <c r="A2074" s="16" t="inlineStr">
        <is>
          <t>5.22-5.28</t>
        </is>
      </c>
      <c r="B2074" s="16" t="inlineStr">
        <is>
          <t>PO-128-10776931062391909</t>
        </is>
      </c>
      <c r="C2074" s="16" t="inlineStr">
        <is>
          <t>Shipped</t>
        </is>
      </c>
      <c r="D2074" s="16" t="inlineStr">
        <is>
          <t>128-10776948101751909</t>
        </is>
      </c>
      <c r="E2074" s="16" t="inlineStr">
        <is>
          <t>Shipped</t>
        </is>
      </c>
      <c r="F2074" s="16" t="inlineStr">
        <is>
          <t>MCM-001G</t>
        </is>
      </c>
      <c r="G2074" s="16" t="inlineStr">
        <is>
          <t>Musicord Altavoz Inalámbrico BT Portátil: ¡Sonido impactante, luces LED multicolores y 4 horas de autonomía! Compatible con TWS, FM, TF y USB – Imprescindible para fiestas y viajes</t>
        </is>
      </c>
      <c r="H2074" s="16" t="inlineStr">
        <is>
          <t>GRIS</t>
        </is>
      </c>
      <c r="I2074" s="16" t="n">
        <v>2</v>
      </c>
      <c r="J2074" s="17" t="n">
        <v>102.14</v>
      </c>
      <c r="K2074" s="17" t="n">
        <v>117.72</v>
      </c>
      <c r="L2074" s="17" t="n">
        <v>0</v>
      </c>
      <c r="M2074" s="17" t="n">
        <v>0</v>
      </c>
      <c r="N2074" s="17">
        <f>K2074*0.08+L2074*0.08</f>
        <v/>
      </c>
      <c r="O2074" s="17">
        <f>-(K2074*0.025+L2074*0.025)</f>
        <v/>
      </c>
      <c r="P2074" s="17">
        <f>32</f>
        <v/>
      </c>
      <c r="Q2074" s="17">
        <f>J2074+L2074+N2074+O2074-P2074-M2074</f>
        <v/>
      </c>
    </row>
    <row r="2075">
      <c r="A2075" s="16" t="inlineStr">
        <is>
          <t>5.22-5.28</t>
        </is>
      </c>
      <c r="B2075" s="16" t="inlineStr">
        <is>
          <t>PO-128-10423065723513888</t>
        </is>
      </c>
      <c r="C2075" s="16" t="inlineStr">
        <is>
          <t>Shipped</t>
        </is>
      </c>
      <c r="D2075" s="16" t="inlineStr">
        <is>
          <t>128-10423076209273888</t>
        </is>
      </c>
      <c r="E2075" s="16" t="inlineStr">
        <is>
          <t>Shipped</t>
        </is>
      </c>
      <c r="F2075" s="16" t="inlineStr">
        <is>
          <t>LB02235-blanco</t>
        </is>
      </c>
      <c r="G2075" s="16" t="inlineStr">
        <is>
          <t>Audífonos Inalámbricos para la Cabeza, Recargables y Multifuncionales - Conectan a Varios Dispositivos, soportan Radio FM, Tarjeta TF y AUX - 4 Horas de Reproducción Musical - Ideal para Trabajo Cotidiano, Juegos y Estudio</t>
        </is>
      </c>
      <c r="H2075" s="16" t="inlineStr">
        <is>
          <t>BLANCO</t>
        </is>
      </c>
      <c r="I2075" s="16" t="n">
        <v>1</v>
      </c>
      <c r="J2075" s="17" t="n">
        <v>36.8</v>
      </c>
      <c r="K2075" s="17" t="n">
        <v>49.91</v>
      </c>
      <c r="L2075" s="17" t="n">
        <v>25.86</v>
      </c>
      <c r="M2075" s="17" t="n">
        <v>0</v>
      </c>
      <c r="N2075" s="17">
        <f>K2075*0.08+L2075*0.08</f>
        <v/>
      </c>
      <c r="O2075" s="17">
        <f>-(K2075*0.025+L2075*0.025)</f>
        <v/>
      </c>
      <c r="P2075" s="17">
        <f>32</f>
        <v/>
      </c>
      <c r="Q2075" s="17">
        <f>J2075+L2075+N2075+O2075-P2075-M2075</f>
        <v/>
      </c>
    </row>
    <row r="2076">
      <c r="A2076" s="16" t="inlineStr">
        <is>
          <t>5.22-5.28</t>
        </is>
      </c>
      <c r="B2076" s="16" t="inlineStr">
        <is>
          <t>PO-128-10336125461113382</t>
        </is>
      </c>
      <c r="C2076" s="16" t="inlineStr">
        <is>
          <t>Shipped</t>
        </is>
      </c>
      <c r="D2076" s="16" t="inlineStr">
        <is>
          <t>128-10336177889913382</t>
        </is>
      </c>
      <c r="E2076" s="16" t="inlineStr">
        <is>
          <t>Shipped</t>
        </is>
      </c>
      <c r="F2076" s="16" t="inlineStr">
        <is>
          <t>MB-185A</t>
        </is>
      </c>
      <c r="G2076" s="16" t="inlineStr">
        <is>
          <t>Bocina Radio FM/Reproductor, Compatible con Tarjeta TF, USB, Bluetooth, Aplicable para celular, computadora, Ipad y consola.</t>
        </is>
      </c>
      <c r="H2076" s="16" t="inlineStr">
        <is>
          <t>AZUL/MB-185</t>
        </is>
      </c>
      <c r="I2076" s="16" t="n">
        <v>2</v>
      </c>
      <c r="J2076" s="17" t="n">
        <v>146</v>
      </c>
      <c r="K2076" s="17" t="n">
        <v>139.03</v>
      </c>
      <c r="L2076" s="17" t="n">
        <v>25.86</v>
      </c>
      <c r="M2076" s="17" t="n">
        <v>0</v>
      </c>
      <c r="N2076" s="17">
        <f>K2076*0.08+L2076*0.08</f>
        <v/>
      </c>
      <c r="O2076" s="17">
        <f>-(K2076*0.025+L2076*0.025)</f>
        <v/>
      </c>
      <c r="P2076" s="17">
        <f>32</f>
        <v/>
      </c>
      <c r="Q2076" s="17">
        <f>J2076+L2076+N2076+O2076-P2076-M2076</f>
        <v/>
      </c>
    </row>
    <row r="2077">
      <c r="A2077" s="16" t="inlineStr">
        <is>
          <t>5.22-5.28</t>
        </is>
      </c>
      <c r="B2077" s="16" t="inlineStr">
        <is>
          <t>PO-128-10641158287992652</t>
        </is>
      </c>
      <c r="C2077" s="16" t="inlineStr">
        <is>
          <t>Shipped</t>
        </is>
      </c>
      <c r="D2077" s="16" t="inlineStr">
        <is>
          <t>128-10641147802232652</t>
        </is>
      </c>
      <c r="E2077" s="16" t="inlineStr">
        <is>
          <t>Shipped</t>
        </is>
      </c>
      <c r="F2077" s="16" t="inlineStr">
        <is>
          <t>MB-185N</t>
        </is>
      </c>
      <c r="G2077" s="16" t="inlineStr">
        <is>
          <t>Bocina Radio FM/Reproductor, Compatible con Tarjeta TF, USB, Bluetooth, Aplicable para celular, computadora, Ipad y consola.</t>
        </is>
      </c>
      <c r="H2077" s="16" t="inlineStr">
        <is>
          <t>NEGRO/MB-185</t>
        </is>
      </c>
      <c r="I2077" s="16" t="n">
        <v>1</v>
      </c>
      <c r="J2077" s="17" t="n">
        <v>75.5</v>
      </c>
      <c r="K2077" s="17" t="n">
        <v>88.44</v>
      </c>
      <c r="L2077" s="17" t="n">
        <v>25.86</v>
      </c>
      <c r="M2077" s="17" t="n">
        <v>0</v>
      </c>
      <c r="N2077" s="17">
        <f>K2077*0.08+L2077*0.08</f>
        <v/>
      </c>
      <c r="O2077" s="17">
        <f>-(K2077*0.025+L2077*0.025)</f>
        <v/>
      </c>
      <c r="P2077" s="17">
        <f>32</f>
        <v/>
      </c>
      <c r="Q2077" s="17">
        <f>J2077+L2077+N2077+O2077-P2077-M2077</f>
        <v/>
      </c>
    </row>
    <row r="2078">
      <c r="A2078" s="16" t="inlineStr">
        <is>
          <t>5.22-5.28</t>
        </is>
      </c>
      <c r="B2078" s="16" t="inlineStr">
        <is>
          <t>PO-128-10867455744630153</t>
        </is>
      </c>
      <c r="C2078" s="16" t="inlineStr">
        <is>
          <t>Shipped</t>
        </is>
      </c>
      <c r="D2078" s="16" t="inlineStr">
        <is>
          <t>128-10867487201910153</t>
        </is>
      </c>
      <c r="E2078" s="16" t="inlineStr">
        <is>
          <t>Shipped</t>
        </is>
      </c>
      <c r="F2078" s="16" t="inlineStr">
        <is>
          <t>LB02235-negro</t>
        </is>
      </c>
      <c r="G2078" s="16" t="inlineStr">
        <is>
          <t>Audífonos Inalámbricos para la Cabeza, Recargables y Multifuncionales - Conectan a Varios Dispositivos, soportan Radio FM, Tarjeta TF y AUX - 4 Horas de Reproducción Musical - Ideal para Trabajo Cotidiano, Juegos y Estudio</t>
        </is>
      </c>
      <c r="H2078" s="16" t="inlineStr">
        <is>
          <t>NEGRO</t>
        </is>
      </c>
      <c r="I2078" s="16" t="n">
        <v>1</v>
      </c>
      <c r="J2078" s="17" t="n">
        <v>36.8</v>
      </c>
      <c r="K2078" s="17" t="n">
        <v>49.91</v>
      </c>
      <c r="L2078" s="17" t="n">
        <v>25.86</v>
      </c>
      <c r="M2078" s="17" t="n">
        <v>0</v>
      </c>
      <c r="N2078" s="17">
        <f>K2078*0.08+L2078*0.08</f>
        <v/>
      </c>
      <c r="O2078" s="17">
        <f>-(K2078*0.025+L2078*0.025)</f>
        <v/>
      </c>
      <c r="P2078" s="17">
        <f>32</f>
        <v/>
      </c>
      <c r="Q2078" s="17">
        <f>J2078+L2078+N2078+O2078-P2078-M2078</f>
        <v/>
      </c>
    </row>
    <row r="2079">
      <c r="A2079" s="16" t="inlineStr">
        <is>
          <t>5.22-5.28</t>
        </is>
      </c>
      <c r="B2079" s="16" t="inlineStr">
        <is>
          <t>PO-128-10647315917432680</t>
        </is>
      </c>
      <c r="C2079" s="16" t="inlineStr">
        <is>
          <t>Shipped</t>
        </is>
      </c>
      <c r="D2079" s="16" t="inlineStr">
        <is>
          <t>128-10647294945912680</t>
        </is>
      </c>
      <c r="E2079" s="16" t="inlineStr">
        <is>
          <t>Shipped</t>
        </is>
      </c>
      <c r="F2079" s="16" t="inlineStr">
        <is>
          <t>SA8056T</t>
        </is>
      </c>
      <c r="G207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079" s="16" t="inlineStr">
        <is>
          <t>SA8056T</t>
        </is>
      </c>
      <c r="I2079" s="16" t="n">
        <v>1</v>
      </c>
      <c r="J2079" s="17" t="n">
        <v>123.9</v>
      </c>
      <c r="K2079" s="17" t="n">
        <v>144.28</v>
      </c>
      <c r="L2079" s="17" t="n">
        <v>25.86</v>
      </c>
      <c r="M2079" s="17" t="n">
        <v>0</v>
      </c>
      <c r="N2079" s="17">
        <f>K2079*0.08+L2079*0.08</f>
        <v/>
      </c>
      <c r="O2079" s="17">
        <f>-(K2079*0.025+L2079*0.025)</f>
        <v/>
      </c>
      <c r="P2079" s="17">
        <f>32</f>
        <v/>
      </c>
      <c r="Q2079" s="17">
        <f>J2079+L2079+N2079+O2079-P2079-M2079</f>
        <v/>
      </c>
    </row>
    <row r="2080">
      <c r="A2080" s="16" t="inlineStr">
        <is>
          <t>5.22-5.28</t>
        </is>
      </c>
      <c r="B2080" s="16" t="inlineStr">
        <is>
          <t>PO-128-10329710162553359</t>
        </is>
      </c>
      <c r="C2080" s="16" t="inlineStr">
        <is>
          <t>Shipped</t>
        </is>
      </c>
      <c r="D2080" s="16" t="inlineStr">
        <is>
          <t>128-10329720648313359</t>
        </is>
      </c>
      <c r="E2080" s="16" t="inlineStr">
        <is>
          <t>Shipped</t>
        </is>
      </c>
      <c r="F2080" s="16" t="inlineStr">
        <is>
          <t>LB02235-blanco</t>
        </is>
      </c>
      <c r="G2080" s="16" t="inlineStr">
        <is>
          <t>Audífonos Inalámbricos para la Cabeza, Recargables y Multifuncionales - Conectan a Varios Dispositivos, soportan Radio FM, Tarjeta TF y AUX - 4 Horas de Reproducción Musical - Ideal para Trabajo Cotidiano, Juegos y Estudio</t>
        </is>
      </c>
      <c r="H2080" s="16" t="inlineStr">
        <is>
          <t>BLANCO</t>
        </is>
      </c>
      <c r="I2080" s="16" t="n">
        <v>1</v>
      </c>
      <c r="J2080" s="17" t="n">
        <v>36.8</v>
      </c>
      <c r="K2080" s="17" t="n">
        <v>49.91</v>
      </c>
      <c r="L2080" s="17" t="n">
        <v>25.86</v>
      </c>
      <c r="M2080" s="17" t="n">
        <v>0</v>
      </c>
      <c r="N2080" s="17">
        <f>K2080*0.08+L2080*0.08</f>
        <v/>
      </c>
      <c r="O2080" s="17">
        <f>-(K2080*0.025+L2080*0.025)</f>
        <v/>
      </c>
      <c r="P2080" s="17">
        <f>32</f>
        <v/>
      </c>
      <c r="Q2080" s="17">
        <f>J2080+L2080+N2080+O2080-P2080-M2080</f>
        <v/>
      </c>
    </row>
    <row r="2081">
      <c r="A2081" s="16" t="inlineStr">
        <is>
          <t>5.22-5.28</t>
        </is>
      </c>
      <c r="B2081" s="16" t="inlineStr">
        <is>
          <t>PO-128-10574089298552988</t>
        </is>
      </c>
      <c r="C2081" s="16" t="inlineStr">
        <is>
          <t>Shipped</t>
        </is>
      </c>
      <c r="D2081" s="16" t="inlineStr">
        <is>
          <t>128-10574047355512988</t>
        </is>
      </c>
      <c r="E2081" s="16" t="inlineStr">
        <is>
          <t>Shipped</t>
        </is>
      </c>
      <c r="F2081" s="16" t="inlineStr">
        <is>
          <t>VA880T</t>
        </is>
      </c>
      <c r="G208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081" s="16" t="inlineStr">
        <is>
          <t>1 pieza</t>
        </is>
      </c>
      <c r="I2081" s="16" t="n">
        <v>1</v>
      </c>
      <c r="J2081" s="17" t="n">
        <v>114.98</v>
      </c>
      <c r="K2081" s="17" t="n">
        <v>103.11</v>
      </c>
      <c r="L2081" s="17" t="n">
        <v>25.86</v>
      </c>
      <c r="M2081" s="17" t="n">
        <v>0</v>
      </c>
      <c r="N2081" s="17">
        <f>K2081*0.08+L2081*0.08</f>
        <v/>
      </c>
      <c r="O2081" s="17">
        <f>-(K2081*0.025+L2081*0.025)</f>
        <v/>
      </c>
      <c r="P2081" s="17">
        <f>32</f>
        <v/>
      </c>
      <c r="Q2081" s="17">
        <f>J2081+L2081+N2081+O2081-P2081-M2081</f>
        <v/>
      </c>
    </row>
    <row r="2082">
      <c r="A2082" s="16" t="inlineStr">
        <is>
          <t>5.22-5.28</t>
        </is>
      </c>
      <c r="B2082" s="16" t="inlineStr">
        <is>
          <t>PO-128-10721667871351084</t>
        </is>
      </c>
      <c r="C2082" s="16" t="inlineStr">
        <is>
          <t>Shipped</t>
        </is>
      </c>
      <c r="D2082" s="16" t="inlineStr">
        <is>
          <t>128-10721720300151084</t>
        </is>
      </c>
      <c r="E2082" s="16" t="inlineStr">
        <is>
          <t>Shipped</t>
        </is>
      </c>
      <c r="F2082" s="16" t="inlineStr">
        <is>
          <t>LB02235-rojo</t>
        </is>
      </c>
      <c r="G2082" s="16" t="inlineStr">
        <is>
          <t>Audífonos Inalámbricos para la Cabeza, Recargables y Multifuncionales - Conectan a Varios Dispositivos, soportan Radio FM, Tarjeta TF y AUX - 4 Horas de Reproducción Musical - Ideal para Trabajo Cotidiano, Juegos y Estudio</t>
        </is>
      </c>
      <c r="H2082" s="16" t="inlineStr">
        <is>
          <t>ROJO</t>
        </is>
      </c>
      <c r="I2082" s="16" t="n">
        <v>1</v>
      </c>
      <c r="J2082" s="17" t="n">
        <v>36.8</v>
      </c>
      <c r="K2082" s="17" t="n">
        <v>49.91</v>
      </c>
      <c r="L2082" s="17" t="n">
        <v>25.86</v>
      </c>
      <c r="M2082" s="17" t="n">
        <v>0</v>
      </c>
      <c r="N2082" s="17">
        <f>K2082*0.08+L2082*0.08</f>
        <v/>
      </c>
      <c r="O2082" s="17">
        <f>-(K2082*0.025+L2082*0.025)</f>
        <v/>
      </c>
      <c r="P2082" s="17">
        <f>32</f>
        <v/>
      </c>
      <c r="Q2082" s="17">
        <f>J2082+L2082+N2082+O2082-P2082-M2082</f>
        <v/>
      </c>
    </row>
    <row r="2083">
      <c r="A2083" s="16" t="inlineStr">
        <is>
          <t>5.22-5.28</t>
        </is>
      </c>
      <c r="B2083" s="16" t="inlineStr">
        <is>
          <t>PO-128-10835628140150471</t>
        </is>
      </c>
      <c r="C2083" s="16" t="inlineStr">
        <is>
          <t>Shipped</t>
        </is>
      </c>
      <c r="D2083" s="16" t="inlineStr">
        <is>
          <t>128-10835586197110471</t>
        </is>
      </c>
      <c r="E2083" s="16" t="inlineStr">
        <is>
          <t>Shipped</t>
        </is>
      </c>
      <c r="F2083" s="16" t="inlineStr">
        <is>
          <t>MCM-001R</t>
        </is>
      </c>
      <c r="G2083" s="16" t="inlineStr">
        <is>
          <t>Musicord Altavoz Inalámbrico BT Portátil: ¡Sonido impactante, luces LED multicolores y 4 horas de autonomía! Compatible con TWS, FM, TF y USB – Imprescindible para fiestas y viajes</t>
        </is>
      </c>
      <c r="H2083" s="16" t="inlineStr">
        <is>
          <t>ROJO</t>
        </is>
      </c>
      <c r="I2083" s="16" t="n">
        <v>1</v>
      </c>
      <c r="J2083" s="17" t="n">
        <v>66.5</v>
      </c>
      <c r="K2083" s="17" t="n">
        <v>59.44</v>
      </c>
      <c r="L2083" s="17" t="n">
        <v>25.86</v>
      </c>
      <c r="M2083" s="17" t="n">
        <v>0</v>
      </c>
      <c r="N2083" s="17">
        <f>K2083*0.08+L2083*0.08</f>
        <v/>
      </c>
      <c r="O2083" s="17">
        <f>-(K2083*0.025+L2083*0.025)</f>
        <v/>
      </c>
      <c r="P2083" s="17">
        <f>32</f>
        <v/>
      </c>
      <c r="Q2083" s="17">
        <f>J2083+L2083+N2083+O2083-P2083-M2083</f>
        <v/>
      </c>
    </row>
    <row r="2084">
      <c r="A2084" s="16" t="inlineStr">
        <is>
          <t>5.22-5.28</t>
        </is>
      </c>
      <c r="B2084" s="16" t="inlineStr">
        <is>
          <t>PO-128-10882099343990192</t>
        </is>
      </c>
      <c r="C2084" s="16" t="inlineStr">
        <is>
          <t>Shipped</t>
        </is>
      </c>
      <c r="D2084" s="16" t="inlineStr">
        <is>
          <t>128-10882052158070192</t>
        </is>
      </c>
      <c r="E2084" s="16" t="inlineStr">
        <is>
          <t>Shipped</t>
        </is>
      </c>
      <c r="F2084" s="16" t="inlineStr">
        <is>
          <t>LB02235-rojo</t>
        </is>
      </c>
      <c r="G2084" s="16" t="inlineStr">
        <is>
          <t>Audífonos Inalámbricos para la Cabeza, Recargables y Multifuncionales - Conectan a Varios Dispositivos, soportan Radio FM, Tarjeta TF y AUX - 4 Horas de Reproducción Musical - Ideal para Trabajo Cotidiano, Juegos y Estudio</t>
        </is>
      </c>
      <c r="H2084" s="16" t="inlineStr">
        <is>
          <t>ROJO</t>
        </is>
      </c>
      <c r="I2084" s="16" t="n">
        <v>1</v>
      </c>
      <c r="J2084" s="17" t="n">
        <v>36.8</v>
      </c>
      <c r="K2084" s="17" t="n">
        <v>49.91</v>
      </c>
      <c r="L2084" s="17" t="n">
        <v>25.86</v>
      </c>
      <c r="M2084" s="17" t="n">
        <v>0</v>
      </c>
      <c r="N2084" s="17">
        <f>K2084*0.08+L2084*0.08</f>
        <v/>
      </c>
      <c r="O2084" s="17">
        <f>-(K2084*0.025+L2084*0.025)</f>
        <v/>
      </c>
      <c r="P2084" s="17">
        <f>32</f>
        <v/>
      </c>
      <c r="Q2084" s="17">
        <f>J2084+L2084+N2084+O2084-P2084-M2084</f>
        <v/>
      </c>
    </row>
    <row r="2085">
      <c r="A2085" s="16" t="inlineStr">
        <is>
          <t>5.22-5.28</t>
        </is>
      </c>
      <c r="B2085" s="16" t="inlineStr">
        <is>
          <t>PO-128-10422347448953892</t>
        </is>
      </c>
      <c r="C2085" s="16" t="inlineStr">
        <is>
          <t>Shipped</t>
        </is>
      </c>
      <c r="D2085" s="16" t="inlineStr">
        <is>
          <t>128-10422499492473892</t>
        </is>
      </c>
      <c r="E2085" s="16" t="inlineStr">
        <is>
          <t>Shipped</t>
        </is>
      </c>
      <c r="F2085" s="16" t="inlineStr">
        <is>
          <t>VA880T</t>
        </is>
      </c>
      <c r="G208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085" s="16" t="inlineStr">
        <is>
          <t>1 pieza</t>
        </is>
      </c>
      <c r="I2085" s="16" t="n">
        <v>4</v>
      </c>
      <c r="J2085" s="17" t="n">
        <v>459.92</v>
      </c>
      <c r="K2085" s="17" t="n">
        <v>509.08</v>
      </c>
      <c r="L2085" s="17" t="n">
        <v>0</v>
      </c>
      <c r="M2085" s="17" t="n">
        <v>0</v>
      </c>
      <c r="N2085" s="17">
        <f>K2085*0.08+L2085*0.08</f>
        <v/>
      </c>
      <c r="O2085" s="17">
        <f>-(K2085*0.025+L2085*0.025)</f>
        <v/>
      </c>
      <c r="P2085" s="17">
        <f>32</f>
        <v/>
      </c>
      <c r="Q2085" s="17">
        <f>J2085+L2085+N2085+O2085-P2085-M2085</f>
        <v/>
      </c>
    </row>
    <row r="2086">
      <c r="A2086" s="16" t="inlineStr">
        <is>
          <t>5.22-5.28</t>
        </is>
      </c>
      <c r="B2086" s="16" t="inlineStr">
        <is>
          <t>PO-128-10342652969593409</t>
        </is>
      </c>
      <c r="C2086" s="16" t="inlineStr">
        <is>
          <t>Shipped</t>
        </is>
      </c>
      <c r="D2086" s="16" t="inlineStr">
        <is>
          <t>128-10342728991353409</t>
        </is>
      </c>
      <c r="E2086" s="16" t="inlineStr">
        <is>
          <t>Shipped</t>
        </is>
      </c>
      <c r="F2086" s="16" t="inlineStr">
        <is>
          <t>LB02235-negro</t>
        </is>
      </c>
      <c r="G2086" s="16" t="inlineStr">
        <is>
          <t>Audífonos Inalámbricos para la Cabeza, Recargables y Multifuncionales - Conectan a Varios Dispositivos, soportan Radio FM, Tarjeta TF y AUX - 4 Horas de Reproducción Musical - Ideal para Trabajo Cotidiano, Juegos y Estudio</t>
        </is>
      </c>
      <c r="H2086" s="16" t="inlineStr">
        <is>
          <t>NEGRO</t>
        </is>
      </c>
      <c r="I2086" s="16" t="n">
        <v>1</v>
      </c>
      <c r="J2086" s="17" t="n">
        <v>36.8</v>
      </c>
      <c r="K2086" s="17" t="n">
        <v>49.91</v>
      </c>
      <c r="L2086" s="17" t="n">
        <v>25.86</v>
      </c>
      <c r="M2086" s="17" t="n">
        <v>0</v>
      </c>
      <c r="N2086" s="17">
        <f>K2086*0.08+L2086*0.08</f>
        <v/>
      </c>
      <c r="O2086" s="17">
        <f>-(K2086*0.025+L2086*0.025)</f>
        <v/>
      </c>
      <c r="P2086" s="17">
        <f>32</f>
        <v/>
      </c>
      <c r="Q2086" s="17">
        <f>J2086+L2086+N2086+O2086-P2086-M2086</f>
        <v/>
      </c>
    </row>
    <row r="2087">
      <c r="A2087" s="16" t="inlineStr">
        <is>
          <t>5.22-5.28</t>
        </is>
      </c>
      <c r="B2087" s="16" t="inlineStr">
        <is>
          <t>PO-128-10621360118392770</t>
        </is>
      </c>
      <c r="C2087" s="16" t="inlineStr">
        <is>
          <t>Shipped</t>
        </is>
      </c>
      <c r="D2087" s="16" t="inlineStr">
        <is>
          <t>128-10621381089912770</t>
        </is>
      </c>
      <c r="E2087" s="16" t="inlineStr">
        <is>
          <t>Shipped</t>
        </is>
      </c>
      <c r="F2087" s="16" t="inlineStr">
        <is>
          <t>VA384T-A</t>
        </is>
      </c>
      <c r="G2087" s="16" t="inlineStr">
        <is>
          <t>Bocina Portátil Bluetooth de 3 Pulgadas con Radio FM, USB TF TWS, Sonido Estéreo 5W, Bocina Recargable para Hogar Exterior Viaje Fiesta Camping</t>
        </is>
      </c>
      <c r="H2087" s="16" t="inlineStr">
        <is>
          <t>AZUL</t>
        </is>
      </c>
      <c r="I2087" s="16" t="n">
        <v>1</v>
      </c>
      <c r="J2087" s="17" t="n">
        <v>48</v>
      </c>
      <c r="K2087" s="17" t="n">
        <v>34.82</v>
      </c>
      <c r="L2087" s="17" t="n">
        <v>25.86</v>
      </c>
      <c r="M2087" s="17" t="n">
        <v>0</v>
      </c>
      <c r="N2087" s="17">
        <f>K2087*0.08+L2087*0.08</f>
        <v/>
      </c>
      <c r="O2087" s="17">
        <f>-(K2087*0.025+L2087*0.025)</f>
        <v/>
      </c>
      <c r="P2087" s="17">
        <f>32</f>
        <v/>
      </c>
      <c r="Q2087" s="17">
        <f>J2087+L2087+N2087+O2087-P2087-M2087</f>
        <v/>
      </c>
    </row>
    <row r="2088">
      <c r="A2088" s="16" t="inlineStr">
        <is>
          <t>5.22-5.28</t>
        </is>
      </c>
      <c r="B2088" s="16" t="inlineStr">
        <is>
          <t>PO-128-10628051006072794</t>
        </is>
      </c>
      <c r="C2088" s="16" t="inlineStr">
        <is>
          <t>Shipped</t>
        </is>
      </c>
      <c r="D2088" s="16" t="inlineStr">
        <is>
          <t>128-10628103434872794</t>
        </is>
      </c>
      <c r="E2088" s="16" t="inlineStr">
        <is>
          <t>Shipped</t>
        </is>
      </c>
      <c r="F2088" s="16" t="inlineStr">
        <is>
          <t>LB02235-negro</t>
        </is>
      </c>
      <c r="G2088" s="16" t="inlineStr">
        <is>
          <t>Audífonos Inalámbricos para la Cabeza, Recargables y Multifuncionales - Conectan a Varios Dispositivos, soportan Radio FM, Tarjeta TF y AUX - 4 Horas de Reproducción Musical - Ideal para Trabajo Cotidiano, Juegos y Estudio</t>
        </is>
      </c>
      <c r="H2088" s="16" t="inlineStr">
        <is>
          <t>NEGRO</t>
        </is>
      </c>
      <c r="I2088" s="16" t="n">
        <v>2</v>
      </c>
      <c r="J2088" s="17" t="n">
        <v>73.59999999999999</v>
      </c>
      <c r="K2088" s="17" t="n">
        <v>79.87</v>
      </c>
      <c r="L2088" s="17" t="n">
        <v>25.86</v>
      </c>
      <c r="M2088" s="17" t="n">
        <v>0</v>
      </c>
      <c r="N2088" s="17">
        <f>K2088*0.08+L2088*0.08</f>
        <v/>
      </c>
      <c r="O2088" s="17">
        <f>-(K2088*0.025+L2088*0.025)</f>
        <v/>
      </c>
      <c r="P2088" s="17">
        <f>32</f>
        <v/>
      </c>
      <c r="Q2088" s="17">
        <f>J2088+L2088+N2088+O2088-P2088-M2088</f>
        <v/>
      </c>
    </row>
    <row r="2089">
      <c r="A2089" s="16" t="inlineStr">
        <is>
          <t>5.22-5.28</t>
        </is>
      </c>
      <c r="B2089" s="16" t="inlineStr">
        <is>
          <t>PO-128-10857126840950343</t>
        </is>
      </c>
      <c r="C2089" s="16" t="inlineStr">
        <is>
          <t>Shipped</t>
        </is>
      </c>
      <c r="D2089" s="16" t="inlineStr">
        <is>
          <t>128-10857202862710343</t>
        </is>
      </c>
      <c r="E2089" s="16" t="inlineStr">
        <is>
          <t>Shipped</t>
        </is>
      </c>
      <c r="F2089" s="16" t="inlineStr">
        <is>
          <t>FA028</t>
        </is>
      </c>
      <c r="G2089" s="16" t="inlineStr">
        <is>
          <t>Extractor de agua para garrafas de agua, compatible con carga USB, extractor de agua automático, práctico, con dos modos de toma de agua: manual y programado, ideal para dormitorios, salones, oficinas, uso al aire libre y otros escenarios.</t>
        </is>
      </c>
      <c r="H2089" s="16" t="inlineStr">
        <is>
          <t>FA028</t>
        </is>
      </c>
      <c r="I2089" s="16" t="n">
        <v>3</v>
      </c>
      <c r="J2089" s="17" t="n">
        <v>105</v>
      </c>
      <c r="K2089" s="17" t="n">
        <v>133.74</v>
      </c>
      <c r="L2089" s="17" t="n">
        <v>25.86</v>
      </c>
      <c r="M2089" s="17" t="n">
        <v>0</v>
      </c>
      <c r="N2089" s="17">
        <f>K2089*0.08+L2089*0.08</f>
        <v/>
      </c>
      <c r="O2089" s="17">
        <f>-(K2089*0.025+L2089*0.025)</f>
        <v/>
      </c>
      <c r="P2089" s="17">
        <f>32</f>
        <v/>
      </c>
      <c r="Q2089" s="17">
        <f>J2089+L2089+N2089+O2089-P2089-M2089</f>
        <v/>
      </c>
    </row>
    <row r="2090">
      <c r="A2090" s="16" t="inlineStr">
        <is>
          <t>5.22-5.28</t>
        </is>
      </c>
      <c r="B2090" s="16" t="inlineStr">
        <is>
          <t>PO-128-10524708337272194</t>
        </is>
      </c>
      <c r="C2090" s="16" t="inlineStr">
        <is>
          <t>Shipped</t>
        </is>
      </c>
      <c r="D2090" s="16" t="inlineStr">
        <is>
          <t>128-10524689987192194</t>
        </is>
      </c>
      <c r="E2090" s="16" t="inlineStr">
        <is>
          <t>Shipped</t>
        </is>
      </c>
      <c r="F2090" s="16" t="inlineStr">
        <is>
          <t>MCM-001G</t>
        </is>
      </c>
      <c r="G2090" s="16" t="inlineStr">
        <is>
          <t>Musicord Altavoz Inalámbrico BT Portátil: ¡Sonido impactante, luces LED multicolores y 4 horas de autonomía! Compatible con TWS, FM, TF y USB – Imprescindible para fiestas y viajes</t>
        </is>
      </c>
      <c r="H2090" s="16" t="inlineStr">
        <is>
          <t>GRIS</t>
        </is>
      </c>
      <c r="I2090" s="16" t="n">
        <v>1</v>
      </c>
      <c r="J2090" s="17" t="n">
        <v>51.07</v>
      </c>
      <c r="K2090" s="17" t="n">
        <v>58.86</v>
      </c>
      <c r="L2090" s="17" t="n">
        <v>25.86</v>
      </c>
      <c r="M2090" s="17" t="n">
        <v>0</v>
      </c>
      <c r="N2090" s="17">
        <f>K2090*0.08+L2090*0.08</f>
        <v/>
      </c>
      <c r="O2090" s="17">
        <f>-(K2090*0.025+L2090*0.025)</f>
        <v/>
      </c>
      <c r="P2090" s="17">
        <f>32</f>
        <v/>
      </c>
      <c r="Q2090" s="17">
        <f>J2090+L2090+N2090+O2090-P2090-M2090</f>
        <v/>
      </c>
    </row>
    <row r="2091">
      <c r="A2091" s="16" t="inlineStr">
        <is>
          <t>5.22-5.28</t>
        </is>
      </c>
      <c r="B2091" s="16" t="inlineStr">
        <is>
          <t>PO-128-10582811034233064</t>
        </is>
      </c>
      <c r="C2091" s="16" t="inlineStr">
        <is>
          <t>Shipped</t>
        </is>
      </c>
      <c r="D2091" s="16" t="inlineStr">
        <is>
          <t>128-10582852977273064</t>
        </is>
      </c>
      <c r="E2091" s="16" t="inlineStr">
        <is>
          <t>Shipped</t>
        </is>
      </c>
      <c r="F2091" s="16" t="inlineStr">
        <is>
          <t>HD005</t>
        </is>
      </c>
      <c r="G2091" s="16" t="inlineStr">
        <is>
          <t>Link bits HD005 Antena UHF para Exteriores, Antena de TV Digital HD con 10 Metros de Cable, Recepción 470-862MHz, 9-7dB de Ganancia, Antena para Canales Abiertos y HD, Resistente al Agua y Viento, Fácil Instalación</t>
        </is>
      </c>
      <c r="H2091" s="16" t="inlineStr">
        <is>
          <t>1</t>
        </is>
      </c>
      <c r="I2091" s="16" t="n">
        <v>1</v>
      </c>
      <c r="J2091" s="17" t="n">
        <v>75</v>
      </c>
      <c r="K2091" s="17" t="n">
        <v>92.66</v>
      </c>
      <c r="L2091" s="17" t="n">
        <v>25.86</v>
      </c>
      <c r="M2091" s="17" t="n">
        <v>0</v>
      </c>
      <c r="N2091" s="17">
        <f>K2091*0.08+L2091*0.08</f>
        <v/>
      </c>
      <c r="O2091" s="17">
        <f>-(K2091*0.025+L2091*0.025)</f>
        <v/>
      </c>
      <c r="P2091" s="17">
        <f>32</f>
        <v/>
      </c>
      <c r="Q2091" s="17">
        <f>J2091+L2091+N2091+O2091-P2091-M2091</f>
        <v/>
      </c>
    </row>
    <row r="2092">
      <c r="A2092" s="16" t="inlineStr">
        <is>
          <t>5.22-5.28</t>
        </is>
      </c>
      <c r="B2092" s="16" t="inlineStr">
        <is>
          <t>PO-128-10396932127353980</t>
        </is>
      </c>
      <c r="C2092" s="16" t="inlineStr">
        <is>
          <t>Shipped</t>
        </is>
      </c>
      <c r="D2092" s="16" t="inlineStr">
        <is>
          <t>128-10396905912953980</t>
        </is>
      </c>
      <c r="E2092" s="16" t="inlineStr">
        <is>
          <t>Shipped</t>
        </is>
      </c>
      <c r="F2092" s="16" t="inlineStr">
        <is>
          <t>FA028</t>
        </is>
      </c>
      <c r="G2092" s="16" t="inlineStr">
        <is>
          <t>Extractor de agua para garrafas de agua, compatible con carga USB, extractor de agua automático, práctico, con dos modos de toma de agua: manual y programado, ideal para dormitorios, salones, oficinas, uso al aire libre y otros escenarios.</t>
        </is>
      </c>
      <c r="H2092" s="16" t="inlineStr">
        <is>
          <t>FA028</t>
        </is>
      </c>
      <c r="I2092" s="16" t="n">
        <v>1</v>
      </c>
      <c r="J2092" s="17" t="n">
        <v>35</v>
      </c>
      <c r="K2092" s="17" t="n">
        <v>44.58</v>
      </c>
      <c r="L2092" s="17" t="n">
        <v>25.86</v>
      </c>
      <c r="M2092" s="17" t="n">
        <v>0</v>
      </c>
      <c r="N2092" s="17">
        <f>K2092*0.08+L2092*0.08</f>
        <v/>
      </c>
      <c r="O2092" s="17">
        <f>-(K2092*0.025+L2092*0.025)</f>
        <v/>
      </c>
      <c r="P2092" s="17">
        <f>32</f>
        <v/>
      </c>
      <c r="Q2092" s="17">
        <f>J2092+L2092+N2092+O2092-P2092-M2092</f>
        <v/>
      </c>
    </row>
    <row r="2093">
      <c r="A2093" s="16" t="inlineStr">
        <is>
          <t>5.22-5.28</t>
        </is>
      </c>
      <c r="B2093" s="16" t="inlineStr">
        <is>
          <t>PO-128-10883122739830250</t>
        </is>
      </c>
      <c r="C2093" s="16" t="inlineStr">
        <is>
          <t>Shipped</t>
        </is>
      </c>
      <c r="D2093" s="16" t="inlineStr">
        <is>
          <t>128-10883059825270250</t>
        </is>
      </c>
      <c r="E2093" s="16" t="inlineStr">
        <is>
          <t>Shipped</t>
        </is>
      </c>
      <c r="F2093" s="16" t="inlineStr">
        <is>
          <t>KTS-1678A</t>
        </is>
      </c>
      <c r="G2093" s="16" t="inlineStr">
        <is>
          <t>Bocina portátil Inalámbrico, de 3 pulgadas, tamaño de bolsillo, 170 g, con asa, compatible con TF, USB y Micro SD, con radio FM y función TWS (True Wireless Stereo), adecuada para relajarse en casa o viajar al aire libre.</t>
        </is>
      </c>
      <c r="H2093" s="16" t="inlineStr">
        <is>
          <t>KTS-1678A</t>
        </is>
      </c>
      <c r="I2093" s="16" t="n">
        <v>1</v>
      </c>
      <c r="J2093" s="17" t="n">
        <v>42.5</v>
      </c>
      <c r="K2093" s="17" t="n">
        <v>50.78</v>
      </c>
      <c r="L2093" s="17" t="n">
        <v>25.86</v>
      </c>
      <c r="M2093" s="17" t="n">
        <v>0</v>
      </c>
      <c r="N2093" s="17">
        <f>K2093*0.08+L2093*0.08</f>
        <v/>
      </c>
      <c r="O2093" s="17">
        <f>-(K2093*0.025+L2093*0.025)</f>
        <v/>
      </c>
      <c r="P2093" s="17">
        <f>32</f>
        <v/>
      </c>
      <c r="Q2093" s="17">
        <f>J2093+L2093+N2093+O2093-P2093-M2093</f>
        <v/>
      </c>
    </row>
    <row r="2094">
      <c r="A2094" s="16" t="inlineStr">
        <is>
          <t>5.22-5.28</t>
        </is>
      </c>
      <c r="B2094" s="16" t="inlineStr">
        <is>
          <t>PO-128-10383082087033105</t>
        </is>
      </c>
      <c r="C2094" s="16" t="inlineStr">
        <is>
          <t>Shipped</t>
        </is>
      </c>
      <c r="D2094" s="16" t="inlineStr">
        <is>
          <t>128-10383061115513105</t>
        </is>
      </c>
      <c r="E2094" s="16" t="inlineStr">
        <is>
          <t>Shipped</t>
        </is>
      </c>
      <c r="F2094" s="16" t="inlineStr">
        <is>
          <t>KTS-1678R</t>
        </is>
      </c>
      <c r="G2094" s="16" t="inlineStr">
        <is>
          <t>Bocina portátil Inalámbrico, de 3 pulgadas, tamaño de bolsillo, 170 g, con asa, compatible con TF, USB y Micro SD, con radio FM y función TWS (True Wireless Stereo), adecuada para relajarse en casa o viajar al aire libre.</t>
        </is>
      </c>
      <c r="H2094" s="16" t="inlineStr">
        <is>
          <t>KTS-1678R</t>
        </is>
      </c>
      <c r="I2094" s="16" t="n">
        <v>1</v>
      </c>
      <c r="J2094" s="17" t="n">
        <v>42.5</v>
      </c>
      <c r="K2094" s="17" t="n">
        <v>50.78</v>
      </c>
      <c r="L2094" s="17" t="n">
        <v>5.17</v>
      </c>
      <c r="M2094" s="17" t="n">
        <v>0</v>
      </c>
      <c r="N2094" s="17">
        <f>K2094*0.08+L2094*0.08</f>
        <v/>
      </c>
      <c r="O2094" s="17">
        <f>-(K2094*0.025+L2094*0.025)</f>
        <v/>
      </c>
      <c r="P2094" s="17">
        <f>32</f>
        <v/>
      </c>
      <c r="Q2094" s="17">
        <f>J2094+L2094+N2094+O2094-P2094-M2094</f>
        <v/>
      </c>
    </row>
    <row r="2095">
      <c r="A2095" s="16" t="inlineStr">
        <is>
          <t>5.22-5.28</t>
        </is>
      </c>
      <c r="B2095" s="16" t="inlineStr">
        <is>
          <t>PO-128-10383082087033105</t>
        </is>
      </c>
      <c r="C2095" s="16" t="inlineStr">
        <is>
          <t>Shipped</t>
        </is>
      </c>
      <c r="D2095" s="16" t="inlineStr">
        <is>
          <t>128-10383071601273105</t>
        </is>
      </c>
      <c r="E2095" s="16" t="inlineStr">
        <is>
          <t>Shipped</t>
        </is>
      </c>
      <c r="F2095" s="16" t="inlineStr">
        <is>
          <t>KTS-1678N</t>
        </is>
      </c>
      <c r="G2095" s="16" t="inlineStr">
        <is>
          <t>Bocina portátil Inalámbrico, de 3 pulgadas, tamaño de bolsillo, 170 g, con asa, compatible con TF, USB y Micro SD, con radio FM y función TWS (True Wireless Stereo), adecuada para relajarse en casa o viajar al aire libre.</t>
        </is>
      </c>
      <c r="H2095" s="16" t="inlineStr">
        <is>
          <t>KTS-1678N</t>
        </is>
      </c>
      <c r="I2095" s="16" t="n">
        <v>1</v>
      </c>
      <c r="J2095" s="17" t="n">
        <v>42.5</v>
      </c>
      <c r="K2095" s="17" t="n">
        <v>50.78</v>
      </c>
      <c r="L2095" s="17" t="n">
        <v>5.17</v>
      </c>
      <c r="M2095" s="17" t="n">
        <v>0</v>
      </c>
      <c r="N2095" s="17">
        <f>K2095*0.08+L2095*0.08</f>
        <v/>
      </c>
      <c r="O2095" s="17">
        <f>-(K2095*0.025+L2095*0.025)</f>
        <v/>
      </c>
      <c r="P2095" s="17">
        <f>32</f>
        <v/>
      </c>
      <c r="Q2095" s="17">
        <f>J2095+L2095+N2095+O2095-P2095-M2095</f>
        <v/>
      </c>
    </row>
    <row r="2096">
      <c r="A2096" s="16" t="inlineStr">
        <is>
          <t>5.22-5.28</t>
        </is>
      </c>
      <c r="B2096" s="16" t="inlineStr">
        <is>
          <t>PO-128-10383082087033105</t>
        </is>
      </c>
      <c r="C2096" s="16" t="inlineStr">
        <is>
          <t>Shipped</t>
        </is>
      </c>
      <c r="D2096" s="16" t="inlineStr">
        <is>
          <t>128-10383019172473105</t>
        </is>
      </c>
      <c r="E2096" s="16" t="inlineStr">
        <is>
          <t>Shipped</t>
        </is>
      </c>
      <c r="F2096" s="16" t="inlineStr">
        <is>
          <t>KTS-1678Y</t>
        </is>
      </c>
      <c r="G2096" s="16" t="inlineStr">
        <is>
          <t>Bocina portátil Inalámbrico, de 3 pulgadas, tamaño de bolsillo, 170 g, con asa, compatible con TF, USB y Micro SD, con radio FM y función TWS (True Wireless Stereo), adecuada para relajarse en casa o viajar al aire libre.</t>
        </is>
      </c>
      <c r="H2096" s="16" t="inlineStr">
        <is>
          <t>KTS-1678Y</t>
        </is>
      </c>
      <c r="I2096" s="16" t="n">
        <v>1</v>
      </c>
      <c r="J2096" s="17" t="n">
        <v>42.5</v>
      </c>
      <c r="K2096" s="17" t="n">
        <v>50.78</v>
      </c>
      <c r="L2096" s="17" t="n">
        <v>5.17</v>
      </c>
      <c r="M2096" s="17" t="n">
        <v>0</v>
      </c>
      <c r="N2096" s="17">
        <f>K2096*0.08+L2096*0.08</f>
        <v/>
      </c>
      <c r="O2096" s="17">
        <f>-(K2096*0.025+L2096*0.025)</f>
        <v/>
      </c>
      <c r="P2096" s="17">
        <f>32</f>
        <v/>
      </c>
      <c r="Q2096" s="17">
        <f>J2096+L2096+N2096+O2096-P2096-M2096</f>
        <v/>
      </c>
    </row>
    <row r="2097">
      <c r="A2097" s="16" t="inlineStr">
        <is>
          <t>5.22-5.28</t>
        </is>
      </c>
      <c r="B2097" s="16" t="inlineStr">
        <is>
          <t>PO-128-10383082087033105</t>
        </is>
      </c>
      <c r="C2097" s="16" t="inlineStr">
        <is>
          <t>Shipped</t>
        </is>
      </c>
      <c r="D2097" s="16" t="inlineStr">
        <is>
          <t>128-10383040143993105</t>
        </is>
      </c>
      <c r="E2097" s="16" t="inlineStr">
        <is>
          <t>Shipped</t>
        </is>
      </c>
      <c r="F2097" s="16" t="inlineStr">
        <is>
          <t>KTS-1678A</t>
        </is>
      </c>
      <c r="G2097" s="16" t="inlineStr">
        <is>
          <t>Bocina portátil Inalámbrico, de 3 pulgadas, tamaño de bolsillo, 170 g, con asa, compatible con TF, USB y Micro SD, con radio FM y función TWS (True Wireless Stereo), adecuada para relajarse en casa o viajar al aire libre.</t>
        </is>
      </c>
      <c r="H2097" s="16" t="inlineStr">
        <is>
          <t>KTS-1678A</t>
        </is>
      </c>
      <c r="I2097" s="16" t="n">
        <v>1</v>
      </c>
      <c r="J2097" s="17" t="n">
        <v>42.5</v>
      </c>
      <c r="K2097" s="17" t="n">
        <v>50.78</v>
      </c>
      <c r="L2097" s="17" t="n">
        <v>5.17</v>
      </c>
      <c r="M2097" s="17" t="n">
        <v>0</v>
      </c>
      <c r="N2097" s="17">
        <f>K2097*0.08+L2097*0.08</f>
        <v/>
      </c>
      <c r="O2097" s="17">
        <f>-(K2097*0.025+L2097*0.025)</f>
        <v/>
      </c>
      <c r="P2097" s="17">
        <f>32</f>
        <v/>
      </c>
      <c r="Q2097" s="17">
        <f>J2097+L2097+N2097+O2097-P2097-M2097</f>
        <v/>
      </c>
    </row>
    <row r="2098">
      <c r="A2098" s="16" t="inlineStr">
        <is>
          <t>5.22-5.28</t>
        </is>
      </c>
      <c r="B2098" s="16" t="inlineStr">
        <is>
          <t>PO-128-10383082087033105</t>
        </is>
      </c>
      <c r="C2098" s="16" t="inlineStr">
        <is>
          <t>Shipped</t>
        </is>
      </c>
      <c r="D2098" s="16" t="inlineStr">
        <is>
          <t>128-10382987715193105</t>
        </is>
      </c>
      <c r="E2098" s="16" t="inlineStr">
        <is>
          <t>Shipped</t>
        </is>
      </c>
      <c r="F2098" s="16" t="inlineStr">
        <is>
          <t>KTS-1678V</t>
        </is>
      </c>
      <c r="G2098" s="16" t="inlineStr">
        <is>
          <t>Bocina portátil Inalámbrico, de 3 pulgadas, tamaño de bolsillo, 170 g, con asa, compatible con TF, USB y Micro SD, con radio FM y función TWS (True Wireless Stereo), adecuada para relajarse en casa o viajar al aire libre.</t>
        </is>
      </c>
      <c r="H2098" s="16" t="inlineStr">
        <is>
          <t>KTS-1678V</t>
        </is>
      </c>
      <c r="I2098" s="16" t="n">
        <v>1</v>
      </c>
      <c r="J2098" s="17" t="n">
        <v>42.5</v>
      </c>
      <c r="K2098" s="17" t="n">
        <v>50.78</v>
      </c>
      <c r="L2098" s="17" t="n">
        <v>5.17</v>
      </c>
      <c r="M2098" s="17" t="n">
        <v>0</v>
      </c>
      <c r="N2098" s="17">
        <f>K2098*0.08+L2098*0.08</f>
        <v/>
      </c>
      <c r="O2098" s="17">
        <f>-(K2098*0.025+L2098*0.025)</f>
        <v/>
      </c>
      <c r="P2098" s="17">
        <f>32</f>
        <v/>
      </c>
      <c r="Q2098" s="17">
        <f>J2098+L2098+N2098+O2098-P2098-M2098</f>
        <v/>
      </c>
    </row>
    <row r="2099">
      <c r="A2099" s="16" t="inlineStr">
        <is>
          <t>5.22-5.28</t>
        </is>
      </c>
      <c r="B2099" s="16" t="inlineStr">
        <is>
          <t>PO-128-10770143539831885</t>
        </is>
      </c>
      <c r="C2099" s="16" t="inlineStr">
        <is>
          <t>Shipped</t>
        </is>
      </c>
      <c r="D2099" s="16" t="inlineStr">
        <is>
          <t>128-10770295583351885</t>
        </is>
      </c>
      <c r="E2099" s="16" t="inlineStr">
        <is>
          <t>Shipped</t>
        </is>
      </c>
      <c r="F2099" s="16" t="inlineStr">
        <is>
          <t>VA880T</t>
        </is>
      </c>
      <c r="G209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099" s="16" t="inlineStr">
        <is>
          <t>1 pieza</t>
        </is>
      </c>
      <c r="I2099" s="16" t="n">
        <v>1</v>
      </c>
      <c r="J2099" s="17" t="n">
        <v>114.98</v>
      </c>
      <c r="K2099" s="17" t="n">
        <v>127.27</v>
      </c>
      <c r="L2099" s="17" t="n">
        <v>25.86</v>
      </c>
      <c r="M2099" s="17" t="n">
        <v>0</v>
      </c>
      <c r="N2099" s="17">
        <f>K2099*0.08+L2099*0.08</f>
        <v/>
      </c>
      <c r="O2099" s="17">
        <f>-(K2099*0.025+L2099*0.025)</f>
        <v/>
      </c>
      <c r="P2099" s="17">
        <f>32</f>
        <v/>
      </c>
      <c r="Q2099" s="17">
        <f>J2099+L2099+N2099+O2099-P2099-M2099</f>
        <v/>
      </c>
    </row>
    <row r="2100">
      <c r="A2100" s="16" t="inlineStr">
        <is>
          <t>5.22-5.28</t>
        </is>
      </c>
      <c r="B2100" s="16" t="inlineStr">
        <is>
          <t>PO-128-10610068521592710</t>
        </is>
      </c>
      <c r="C2100" s="16" t="inlineStr">
        <is>
          <t>Shipped</t>
        </is>
      </c>
      <c r="D2100" s="16" t="inlineStr">
        <is>
          <t>128-10610026578552710</t>
        </is>
      </c>
      <c r="E2100" s="16" t="inlineStr">
        <is>
          <t>Shipped</t>
        </is>
      </c>
      <c r="F2100" s="16" t="inlineStr">
        <is>
          <t>LB02235-negro</t>
        </is>
      </c>
      <c r="G2100" s="16" t="inlineStr">
        <is>
          <t>Audífonos Inalámbricos para la Cabeza, Recargables y Multifuncionales - Conectan a Varios Dispositivos, soportan Radio FM, Tarjeta TF y AUX - 4 Horas de Reproducción Musical - Ideal para Trabajo Cotidiano, Juegos y Estudio</t>
        </is>
      </c>
      <c r="H2100" s="16" t="inlineStr">
        <is>
          <t>NEGRO</t>
        </is>
      </c>
      <c r="I2100" s="16" t="n">
        <v>1</v>
      </c>
      <c r="J2100" s="17" t="n">
        <v>36.8</v>
      </c>
      <c r="K2100" s="17" t="n">
        <v>49.91</v>
      </c>
      <c r="L2100" s="17" t="n">
        <v>25.86</v>
      </c>
      <c r="M2100" s="17" t="n">
        <v>0</v>
      </c>
      <c r="N2100" s="17">
        <f>K2100*0.08+L2100*0.08</f>
        <v/>
      </c>
      <c r="O2100" s="17">
        <f>-(K2100*0.025+L2100*0.025)</f>
        <v/>
      </c>
      <c r="P2100" s="17">
        <f>32</f>
        <v/>
      </c>
      <c r="Q2100" s="17">
        <f>J2100+L2100+N2100+O2100-P2100-M2100</f>
        <v/>
      </c>
    </row>
    <row r="2101">
      <c r="A2101" s="16" t="inlineStr">
        <is>
          <t>5.22-5.28</t>
        </is>
      </c>
      <c r="B2101" s="16" t="inlineStr">
        <is>
          <t>PO-128-10966205665910717</t>
        </is>
      </c>
      <c r="C2101" s="16" t="inlineStr">
        <is>
          <t>Shipped</t>
        </is>
      </c>
      <c r="D2101" s="16" t="inlineStr">
        <is>
          <t>128-10966210908790717</t>
        </is>
      </c>
      <c r="E2101" s="16" t="inlineStr">
        <is>
          <t>Shipped</t>
        </is>
      </c>
      <c r="F2101" s="16" t="inlineStr">
        <is>
          <t>LB02235-negro</t>
        </is>
      </c>
      <c r="G2101" s="16" t="inlineStr">
        <is>
          <t>Audífonos Inalámbricos para la Cabeza, Recargables y Multifuncionales - Conectan a Varios Dispositivos, soportan Radio FM, Tarjeta TF y AUX - 4 Horas de Reproducción Musical - Ideal para Trabajo Cotidiano, Juegos y Estudio</t>
        </is>
      </c>
      <c r="H2101" s="16" t="inlineStr">
        <is>
          <t>NEGRO</t>
        </is>
      </c>
      <c r="I2101" s="16" t="n">
        <v>1</v>
      </c>
      <c r="J2101" s="17" t="n">
        <v>36.8</v>
      </c>
      <c r="K2101" s="17" t="n">
        <v>45.3</v>
      </c>
      <c r="L2101" s="17" t="n">
        <v>25.86</v>
      </c>
      <c r="M2101" s="17" t="n">
        <v>0</v>
      </c>
      <c r="N2101" s="17">
        <f>K2101*0.08+L2101*0.08</f>
        <v/>
      </c>
      <c r="O2101" s="17">
        <f>-(K2101*0.025+L2101*0.025)</f>
        <v/>
      </c>
      <c r="P2101" s="17">
        <f>32</f>
        <v/>
      </c>
      <c r="Q2101" s="17">
        <f>J2101+L2101+N2101+O2101-P2101-M2101</f>
        <v/>
      </c>
    </row>
    <row r="2102">
      <c r="A2102" s="16" t="inlineStr">
        <is>
          <t>5.22-5.28</t>
        </is>
      </c>
      <c r="B2102" s="16" t="inlineStr">
        <is>
          <t>PO-128-10943769754230851</t>
        </is>
      </c>
      <c r="C2102" s="16" t="inlineStr">
        <is>
          <t>Shipped</t>
        </is>
      </c>
      <c r="D2102" s="16" t="inlineStr">
        <is>
          <t>128-10943727811190851</t>
        </is>
      </c>
      <c r="E2102" s="16" t="inlineStr">
        <is>
          <t>Shipped</t>
        </is>
      </c>
      <c r="F2102" s="16" t="inlineStr">
        <is>
          <t>LB02235-azul</t>
        </is>
      </c>
      <c r="G2102" s="16" t="inlineStr">
        <is>
          <t>Audífonos Inalámbricos para la Cabeza, Recargables y Multifuncionales - Conectan a Varios Dispositivos, soportan Radio FM, Tarjeta TF y AUX - 4 Horas de Reproducción Musical - Ideal para Trabajo Cotidiano, Juegos y Estudio</t>
        </is>
      </c>
      <c r="H2102" s="16" t="inlineStr">
        <is>
          <t>AZUL</t>
        </is>
      </c>
      <c r="I2102" s="16" t="n">
        <v>1</v>
      </c>
      <c r="J2102" s="17" t="n">
        <v>36</v>
      </c>
      <c r="K2102" s="17" t="n">
        <v>49.11</v>
      </c>
      <c r="L2102" s="17" t="n">
        <v>25.86</v>
      </c>
      <c r="M2102" s="17" t="n">
        <v>0</v>
      </c>
      <c r="N2102" s="17">
        <f>K2102*0.08+L2102*0.08</f>
        <v/>
      </c>
      <c r="O2102" s="17">
        <f>-(K2102*0.025+L2102*0.025)</f>
        <v/>
      </c>
      <c r="P2102" s="17">
        <f>32</f>
        <v/>
      </c>
      <c r="Q2102" s="17">
        <f>J2102+L2102+N2102+O2102-P2102-M2102</f>
        <v/>
      </c>
    </row>
    <row r="2103">
      <c r="A2103" s="16" t="inlineStr">
        <is>
          <t>5.22-5.28</t>
        </is>
      </c>
      <c r="B2103" s="16" t="inlineStr">
        <is>
          <t>PO-128-10882605676150255</t>
        </is>
      </c>
      <c r="C2103" s="16" t="inlineStr">
        <is>
          <t>Shipped</t>
        </is>
      </c>
      <c r="D2103" s="16" t="inlineStr">
        <is>
          <t>128-10882580772470255</t>
        </is>
      </c>
      <c r="E2103" s="16" t="inlineStr">
        <is>
          <t>Shipped</t>
        </is>
      </c>
      <c r="F2103" s="16" t="inlineStr">
        <is>
          <t>MB-178-B</t>
        </is>
      </c>
      <c r="G2103" s="16" t="inlineStr">
        <is>
          <t>Bocina de Barra Bluetooth LINK BITS con dos altavoces, sonido de alta calidad y multifuncional (Bluetooth, Radio FM, USB, TF, AUX, TWS), ideal para juegos, reuniones, oficina y cine en casa.</t>
        </is>
      </c>
      <c r="H2103" s="16" t="inlineStr">
        <is>
          <t>BLANCO</t>
        </is>
      </c>
      <c r="I2103" s="16" t="n">
        <v>1</v>
      </c>
      <c r="J2103" s="17" t="n">
        <v>125</v>
      </c>
      <c r="K2103" s="17" t="n">
        <v>151.27</v>
      </c>
      <c r="L2103" s="17" t="n">
        <v>25.86</v>
      </c>
      <c r="M2103" s="17" t="n">
        <v>0</v>
      </c>
      <c r="N2103" s="17">
        <f>K2103*0.08+L2103*0.08</f>
        <v/>
      </c>
      <c r="O2103" s="17">
        <f>-(K2103*0.025+L2103*0.025)</f>
        <v/>
      </c>
      <c r="P2103" s="17">
        <f>32</f>
        <v/>
      </c>
      <c r="Q2103" s="17">
        <f>J2103+L2103+N2103+O2103-P2103-M2103</f>
        <v/>
      </c>
    </row>
    <row r="2104">
      <c r="A2104" s="16" t="inlineStr">
        <is>
          <t>5.22-5.28</t>
        </is>
      </c>
      <c r="B2104" s="16" t="inlineStr">
        <is>
          <t>PO-128-10770282855031885</t>
        </is>
      </c>
      <c r="C2104" s="16" t="inlineStr">
        <is>
          <t>Shipped</t>
        </is>
      </c>
      <c r="D2104" s="16" t="inlineStr">
        <is>
          <t>128-10770240911991885</t>
        </is>
      </c>
      <c r="E2104" s="16" t="inlineStr">
        <is>
          <t>Shipped</t>
        </is>
      </c>
      <c r="F2104" s="16" t="inlineStr">
        <is>
          <t>MB-178-B</t>
        </is>
      </c>
      <c r="G2104" s="16" t="inlineStr">
        <is>
          <t>Bocina de Barra Bluetooth LINK BITS con dos altavoces, sonido de alta calidad y multifuncional (Bluetooth, Radio FM, USB, TF, AUX, TWS), ideal para juegos, reuniones, oficina y cine en casa.</t>
        </is>
      </c>
      <c r="H2104" s="16" t="inlineStr">
        <is>
          <t>BLANCO</t>
        </is>
      </c>
      <c r="I2104" s="16" t="n">
        <v>1</v>
      </c>
      <c r="J2104" s="17" t="n">
        <v>125</v>
      </c>
      <c r="K2104" s="17" t="n">
        <v>151.27</v>
      </c>
      <c r="L2104" s="17" t="n">
        <v>25.86</v>
      </c>
      <c r="M2104" s="17" t="n">
        <v>0</v>
      </c>
      <c r="N2104" s="17">
        <f>K2104*0.08+L2104*0.08</f>
        <v/>
      </c>
      <c r="O2104" s="17">
        <f>-(K2104*0.025+L2104*0.025)</f>
        <v/>
      </c>
      <c r="P2104" s="17">
        <f>32</f>
        <v/>
      </c>
      <c r="Q2104" s="17">
        <f>J2104+L2104+N2104+O2104-P2104-M2104</f>
        <v/>
      </c>
    </row>
    <row r="2105">
      <c r="A2105" s="16" t="inlineStr">
        <is>
          <t>5.22-5.28</t>
        </is>
      </c>
      <c r="B2105" s="16" t="inlineStr">
        <is>
          <t>PO-128-10408389089914040</t>
        </is>
      </c>
      <c r="C2105" s="16" t="inlineStr">
        <is>
          <t>Shipped</t>
        </is>
      </c>
      <c r="D2105" s="16" t="inlineStr">
        <is>
          <t>128-10408399575674040</t>
        </is>
      </c>
      <c r="E2105" s="16" t="inlineStr">
        <is>
          <t>Shipped</t>
        </is>
      </c>
      <c r="F2105" s="16" t="inlineStr">
        <is>
          <t>LB02235-blanco</t>
        </is>
      </c>
      <c r="G2105" s="16" t="inlineStr">
        <is>
          <t>Audífonos Inalámbricos para la Cabeza, Recargables y Multifuncionales - Conectan a Varios Dispositivos, soportan Radio FM, Tarjeta TF y AUX - 4 Horas de Reproducción Musical - Ideal para Trabajo Cotidiano, Juegos y Estudio</t>
        </is>
      </c>
      <c r="H2105" s="16" t="inlineStr">
        <is>
          <t>BLANCO</t>
        </is>
      </c>
      <c r="I2105" s="16" t="n">
        <v>1</v>
      </c>
      <c r="J2105" s="17" t="n">
        <v>36.8</v>
      </c>
      <c r="K2105" s="17" t="n">
        <v>39.93</v>
      </c>
      <c r="L2105" s="17" t="n">
        <v>25.86</v>
      </c>
      <c r="M2105" s="17" t="n">
        <v>0</v>
      </c>
      <c r="N2105" s="17">
        <f>K2105*0.08+L2105*0.08</f>
        <v/>
      </c>
      <c r="O2105" s="17">
        <f>-(K2105*0.025+L2105*0.025)</f>
        <v/>
      </c>
      <c r="P2105" s="17">
        <f>32</f>
        <v/>
      </c>
      <c r="Q2105" s="17">
        <f>J2105+L2105+N2105+O2105-P2105-M2105</f>
        <v/>
      </c>
    </row>
    <row r="2106">
      <c r="A2106" s="16" t="inlineStr">
        <is>
          <t>5.22-5.28</t>
        </is>
      </c>
      <c r="B2106" s="16" t="inlineStr">
        <is>
          <t>PO-128-10499074796152541</t>
        </is>
      </c>
      <c r="C2106" s="16" t="inlineStr">
        <is>
          <t>Shipped</t>
        </is>
      </c>
      <c r="D2106" s="16" t="inlineStr">
        <is>
          <t>128-10499085281912541</t>
        </is>
      </c>
      <c r="E2106" s="16" t="inlineStr">
        <is>
          <t>Shipped</t>
        </is>
      </c>
      <c r="F2106" s="16" t="inlineStr">
        <is>
          <t>LB02235-azul</t>
        </is>
      </c>
      <c r="G2106" s="16" t="inlineStr">
        <is>
          <t>Audífonos Inalámbricos para la Cabeza, Recargables y Multifuncionales - Conectan a Varios Dispositivos, soportan Radio FM, Tarjeta TF y AUX - 4 Horas de Reproducción Musical - Ideal para Trabajo Cotidiano, Juegos y Estudio</t>
        </is>
      </c>
      <c r="H2106" s="16" t="inlineStr">
        <is>
          <t>AZUL</t>
        </is>
      </c>
      <c r="I2106" s="16" t="n">
        <v>2</v>
      </c>
      <c r="J2106" s="17" t="n">
        <v>72</v>
      </c>
      <c r="K2106" s="17" t="n">
        <v>98.22</v>
      </c>
      <c r="L2106" s="17" t="n">
        <v>25.86</v>
      </c>
      <c r="M2106" s="17" t="n">
        <v>0</v>
      </c>
      <c r="N2106" s="17">
        <f>K2106*0.08+L2106*0.08</f>
        <v/>
      </c>
      <c r="O2106" s="17">
        <f>-(K2106*0.025+L2106*0.025)</f>
        <v/>
      </c>
      <c r="P2106" s="17">
        <f>32</f>
        <v/>
      </c>
      <c r="Q2106" s="17">
        <f>J2106+L2106+N2106+O2106-P2106-M2106</f>
        <v/>
      </c>
    </row>
    <row r="2107">
      <c r="A2107" s="16" t="inlineStr">
        <is>
          <t>5.22-5.28</t>
        </is>
      </c>
      <c r="B2107" s="16" t="inlineStr">
        <is>
          <t>PO-128-10644010926712637</t>
        </is>
      </c>
      <c r="C2107" s="16" t="inlineStr">
        <is>
          <t>Shipped</t>
        </is>
      </c>
      <c r="D2107" s="16" t="inlineStr">
        <is>
          <t>128-10643989955192637</t>
        </is>
      </c>
      <c r="E2107" s="16" t="inlineStr">
        <is>
          <t>Shipped</t>
        </is>
      </c>
      <c r="F2107" s="16" t="inlineStr">
        <is>
          <t>LB02235-azul</t>
        </is>
      </c>
      <c r="G2107" s="16" t="inlineStr">
        <is>
          <t>Audífonos Inalámbricos para la Cabeza, Recargables y Multifuncionales - Conectan a Varios Dispositivos, soportan Radio FM, Tarjeta TF y AUX - 4 Horas de Reproducción Musical - Ideal para Trabajo Cotidiano, Juegos y Estudio</t>
        </is>
      </c>
      <c r="H2107" s="16" t="inlineStr">
        <is>
          <t>AZUL</t>
        </is>
      </c>
      <c r="I2107" s="16" t="n">
        <v>1</v>
      </c>
      <c r="J2107" s="17" t="n">
        <v>36</v>
      </c>
      <c r="K2107" s="17" t="n">
        <v>49.11</v>
      </c>
      <c r="L2107" s="17" t="n">
        <v>25.86</v>
      </c>
      <c r="M2107" s="17" t="n">
        <v>0</v>
      </c>
      <c r="N2107" s="17">
        <f>K2107*0.08+L2107*0.08</f>
        <v/>
      </c>
      <c r="O2107" s="17">
        <f>-(K2107*0.025+L2107*0.025)</f>
        <v/>
      </c>
      <c r="P2107" s="17">
        <f>32</f>
        <v/>
      </c>
      <c r="Q2107" s="17">
        <f>J2107+L2107+N2107+O2107-P2107-M2107</f>
        <v/>
      </c>
    </row>
    <row r="2108">
      <c r="A2108" s="16" t="inlineStr">
        <is>
          <t>5.22-5.28</t>
        </is>
      </c>
      <c r="B2108" s="16" t="inlineStr">
        <is>
          <t>PO-128-10531272069752221</t>
        </is>
      </c>
      <c r="C2108" s="16" t="inlineStr">
        <is>
          <t>Shipped</t>
        </is>
      </c>
      <c r="D2108" s="16" t="inlineStr">
        <is>
          <t>128-10531314012792221</t>
        </is>
      </c>
      <c r="E2108" s="16" t="inlineStr">
        <is>
          <t>Shipped</t>
        </is>
      </c>
      <c r="F2108" s="16" t="inlineStr">
        <is>
          <t>LB02235-azul</t>
        </is>
      </c>
      <c r="G2108" s="16" t="inlineStr">
        <is>
          <t>Audífonos Inalámbricos para la Cabeza, Recargables y Multifuncionales - Conectan a Varios Dispositivos, soportan Radio FM, Tarjeta TF y AUX - 4 Horas de Reproducción Musical - Ideal para Trabajo Cotidiano, Juegos y Estudio</t>
        </is>
      </c>
      <c r="H2108" s="16" t="inlineStr">
        <is>
          <t>AZUL</t>
        </is>
      </c>
      <c r="I2108" s="16" t="n">
        <v>3</v>
      </c>
      <c r="J2108" s="17" t="n">
        <v>108</v>
      </c>
      <c r="K2108" s="17" t="n">
        <v>117.86</v>
      </c>
      <c r="L2108" s="17" t="n">
        <v>0</v>
      </c>
      <c r="M2108" s="17" t="n">
        <v>0</v>
      </c>
      <c r="N2108" s="17">
        <f>K2108*0.08+L2108*0.08</f>
        <v/>
      </c>
      <c r="O2108" s="17">
        <f>-(K2108*0.025+L2108*0.025)</f>
        <v/>
      </c>
      <c r="P2108" s="17">
        <f>32</f>
        <v/>
      </c>
      <c r="Q2108" s="17">
        <f>J2108+L2108+N2108+O2108-P2108-M2108</f>
        <v/>
      </c>
    </row>
    <row r="2109">
      <c r="A2109" s="16" t="inlineStr">
        <is>
          <t>5.22-5.28</t>
        </is>
      </c>
      <c r="B2109" s="16" t="inlineStr">
        <is>
          <t>PO-128-10531272069752221</t>
        </is>
      </c>
      <c r="C2109" s="16" t="inlineStr">
        <is>
          <t>Shipped</t>
        </is>
      </c>
      <c r="D2109" s="16" t="inlineStr">
        <is>
          <t>128-10531390034552221</t>
        </is>
      </c>
      <c r="E2109" s="16" t="inlineStr">
        <is>
          <t>Shipped</t>
        </is>
      </c>
      <c r="F2109" s="16" t="inlineStr">
        <is>
          <t>LB02235-negro</t>
        </is>
      </c>
      <c r="G2109" s="16" t="inlineStr">
        <is>
          <t>Audífonos Inalámbricos para la Cabeza, Recargables y Multifuncionales - Conectan a Varios Dispositivos, soportan Radio FM, Tarjeta TF y AUX - 4 Horas de Reproducción Musical - Ideal para Trabajo Cotidiano, Juegos y Estudio</t>
        </is>
      </c>
      <c r="H2109" s="16" t="inlineStr">
        <is>
          <t>NEGRO</t>
        </is>
      </c>
      <c r="I2109" s="16" t="n">
        <v>3</v>
      </c>
      <c r="J2109" s="17" t="n">
        <v>110.4</v>
      </c>
      <c r="K2109" s="17" t="n">
        <v>119.8</v>
      </c>
      <c r="L2109" s="17" t="n">
        <v>0</v>
      </c>
      <c r="M2109" s="17" t="n">
        <v>0</v>
      </c>
      <c r="N2109" s="17">
        <f>K2109*0.08+L2109*0.08</f>
        <v/>
      </c>
      <c r="O2109" s="17">
        <f>-(K2109*0.025+L2109*0.025)</f>
        <v/>
      </c>
      <c r="P2109" s="17">
        <f>32</f>
        <v/>
      </c>
      <c r="Q2109" s="17">
        <f>J2109+L2109+N2109+O2109-P2109-M2109</f>
        <v/>
      </c>
    </row>
    <row r="2110">
      <c r="A2110" s="16" t="inlineStr">
        <is>
          <t>5.22-5.28</t>
        </is>
      </c>
      <c r="B2110" s="16" t="inlineStr">
        <is>
          <t>PO-128-10531272069752221</t>
        </is>
      </c>
      <c r="C2110" s="16" t="inlineStr">
        <is>
          <t>Shipped</t>
        </is>
      </c>
      <c r="D2110" s="16" t="inlineStr">
        <is>
          <t>128-10531306148472221</t>
        </is>
      </c>
      <c r="E2110" s="16" t="inlineStr">
        <is>
          <t>Shipped</t>
        </is>
      </c>
      <c r="F2110" s="16" t="inlineStr">
        <is>
          <t>SA325T</t>
        </is>
      </c>
      <c r="G2110" s="16" t="inlineStr">
        <is>
          <t>Subwoofer Portátil Inalámbrico con Luces RGB, Sonido de Alta Potencia y Batería Duradera, TWS TF USB, Perfecto para Campamento Fiestas y Entretenimiento en Casa</t>
        </is>
      </c>
      <c r="H2110" s="16" t="inlineStr">
        <is>
          <t>NEGRO</t>
        </is>
      </c>
      <c r="I2110" s="16" t="n">
        <v>2</v>
      </c>
      <c r="J2110" s="17" t="n">
        <v>75.98</v>
      </c>
      <c r="K2110" s="17" t="n">
        <v>75.23999999999999</v>
      </c>
      <c r="L2110" s="17" t="n">
        <v>0</v>
      </c>
      <c r="M2110" s="17" t="n">
        <v>0</v>
      </c>
      <c r="N2110" s="17">
        <f>K2110*0.08+L2110*0.08</f>
        <v/>
      </c>
      <c r="O2110" s="17">
        <f>-(K2110*0.025+L2110*0.025)</f>
        <v/>
      </c>
      <c r="P2110" s="17">
        <f>32</f>
        <v/>
      </c>
      <c r="Q2110" s="17">
        <f>J2110+L2110+N2110+O2110-P2110-M2110</f>
        <v/>
      </c>
    </row>
    <row r="2111">
      <c r="A2111" s="16" t="inlineStr">
        <is>
          <t>5.22-5.28</t>
        </is>
      </c>
      <c r="B2111" s="16" t="inlineStr">
        <is>
          <t>PO-128-10752143759991993</t>
        </is>
      </c>
      <c r="C2111" s="16" t="inlineStr">
        <is>
          <t>Shipped</t>
        </is>
      </c>
      <c r="D2111" s="16" t="inlineStr">
        <is>
          <t>128-10752101816951993</t>
        </is>
      </c>
      <c r="E2111" s="16" t="inlineStr">
        <is>
          <t>Shipped</t>
        </is>
      </c>
      <c r="F2111" s="16" t="inlineStr">
        <is>
          <t>LB02235-blanco</t>
        </is>
      </c>
      <c r="G2111" s="16" t="inlineStr">
        <is>
          <t>Audífonos Inalámbricos para la Cabeza, Recargables y Multifuncionales - Conectan a Varios Dispositivos, soportan Radio FM, Tarjeta TF y AUX - 4 Horas de Reproducción Musical - Ideal para Trabajo Cotidiano, Juegos y Estudio</t>
        </is>
      </c>
      <c r="H2111" s="16" t="inlineStr">
        <is>
          <t>BLANCO</t>
        </is>
      </c>
      <c r="I2111" s="16" t="n">
        <v>1</v>
      </c>
      <c r="J2111" s="17" t="n">
        <v>36.8</v>
      </c>
      <c r="K2111" s="17" t="n">
        <v>8.529999999999999</v>
      </c>
      <c r="L2111" s="17" t="n">
        <v>12.93</v>
      </c>
      <c r="M2111" s="17" t="n">
        <v>0</v>
      </c>
      <c r="N2111" s="17">
        <f>K2111*0.08+L2111*0.08</f>
        <v/>
      </c>
      <c r="O2111" s="17">
        <f>-(K2111*0.025+L2111*0.025)</f>
        <v/>
      </c>
      <c r="P2111" s="17">
        <f>32</f>
        <v/>
      </c>
      <c r="Q2111" s="17">
        <f>J2111+L2111+N2111+O2111-P2111-M2111</f>
        <v/>
      </c>
    </row>
    <row r="2112">
      <c r="A2112" s="16" t="inlineStr">
        <is>
          <t>5.22-5.28</t>
        </is>
      </c>
      <c r="B2112" s="16" t="inlineStr">
        <is>
          <t>PO-128-10752143759991993</t>
        </is>
      </c>
      <c r="C2112" s="16" t="inlineStr">
        <is>
          <t>Shipped</t>
        </is>
      </c>
      <c r="D2112" s="16" t="inlineStr">
        <is>
          <t>128-10752059873911993</t>
        </is>
      </c>
      <c r="E2112" s="16" t="inlineStr">
        <is>
          <t>Shipped</t>
        </is>
      </c>
      <c r="F2112" s="16" t="inlineStr">
        <is>
          <t>LB02235-rojo</t>
        </is>
      </c>
      <c r="G2112" s="16" t="inlineStr">
        <is>
          <t>Audífonos Inalámbricos para la Cabeza, Recargables y Multifuncionales - Conectan a Varios Dispositivos, soportan Radio FM, Tarjeta TF y AUX - 4 Horas de Reproducción Musical - Ideal para Trabajo Cotidiano, Juegos y Estudio</t>
        </is>
      </c>
      <c r="H2112" s="16" t="inlineStr">
        <is>
          <t>ROJO</t>
        </is>
      </c>
      <c r="I2112" s="16" t="n">
        <v>1</v>
      </c>
      <c r="J2112" s="17" t="n">
        <v>36.8</v>
      </c>
      <c r="K2112" s="17" t="n">
        <v>8.529999999999999</v>
      </c>
      <c r="L2112" s="17" t="n">
        <v>12.93</v>
      </c>
      <c r="M2112" s="17" t="n">
        <v>0</v>
      </c>
      <c r="N2112" s="17">
        <f>K2112*0.08+L2112*0.08</f>
        <v/>
      </c>
      <c r="O2112" s="17">
        <f>-(K2112*0.025+L2112*0.025)</f>
        <v/>
      </c>
      <c r="P2112" s="17">
        <f>32</f>
        <v/>
      </c>
      <c r="Q2112" s="17">
        <f>J2112+L2112+N2112+O2112-P2112-M2112</f>
        <v/>
      </c>
    </row>
    <row r="2113">
      <c r="A2113" s="16" t="inlineStr">
        <is>
          <t>5.22-5.28</t>
        </is>
      </c>
      <c r="B2113" s="16" t="inlineStr">
        <is>
          <t>PO-128-10443885118073764</t>
        </is>
      </c>
      <c r="C2113" s="16" t="inlineStr">
        <is>
          <t>Shipped</t>
        </is>
      </c>
      <c r="D2113" s="16" t="inlineStr">
        <is>
          <t>128-10443927061113764</t>
        </is>
      </c>
      <c r="E2113" s="16" t="inlineStr">
        <is>
          <t>Shipped</t>
        </is>
      </c>
      <c r="F2113" s="16" t="inlineStr">
        <is>
          <t>LB02235-negro</t>
        </is>
      </c>
      <c r="G2113" s="16" t="inlineStr">
        <is>
          <t>Audífonos Inalámbricos para la Cabeza, Recargables y Multifuncionales - Conectan a Varios Dispositivos, soportan Radio FM, Tarjeta TF y AUX - 4 Horas de Reproducción Musical - Ideal para Trabajo Cotidiano, Juegos y Estudio</t>
        </is>
      </c>
      <c r="H2113" s="16" t="inlineStr">
        <is>
          <t>NEGRO</t>
        </is>
      </c>
      <c r="I2113" s="16" t="n">
        <v>1</v>
      </c>
      <c r="J2113" s="17" t="n">
        <v>36.8</v>
      </c>
      <c r="K2113" s="17" t="n">
        <v>39.94</v>
      </c>
      <c r="L2113" s="17" t="n">
        <v>25.86</v>
      </c>
      <c r="M2113" s="17" t="n">
        <v>0</v>
      </c>
      <c r="N2113" s="17">
        <f>K2113*0.08+L2113*0.08</f>
        <v/>
      </c>
      <c r="O2113" s="17">
        <f>-(K2113*0.025+L2113*0.025)</f>
        <v/>
      </c>
      <c r="P2113" s="17">
        <f>32</f>
        <v/>
      </c>
      <c r="Q2113" s="17">
        <f>J2113+L2113+N2113+O2113-P2113-M2113</f>
        <v/>
      </c>
    </row>
    <row r="2114">
      <c r="A2114" s="16" t="inlineStr">
        <is>
          <t>5.22-5.28</t>
        </is>
      </c>
      <c r="B2114" s="16" t="inlineStr">
        <is>
          <t>PO-128-10488399329912477</t>
        </is>
      </c>
      <c r="C2114" s="16" t="inlineStr">
        <is>
          <t>Shipped</t>
        </is>
      </c>
      <c r="D2114" s="16" t="inlineStr">
        <is>
          <t>128-10488430787192477</t>
        </is>
      </c>
      <c r="E2114" s="16" t="inlineStr">
        <is>
          <t>Shipped</t>
        </is>
      </c>
      <c r="F2114" s="16" t="inlineStr">
        <is>
          <t>LB02235-azul</t>
        </is>
      </c>
      <c r="G2114" s="16" t="inlineStr">
        <is>
          <t>Audífonos Inalámbricos para la Cabeza, Recargables y Multifuncionales - Conectan a Varios Dispositivos, soportan Radio FM, Tarjeta TF y AUX - 4 Horas de Reproducción Musical - Ideal para Trabajo Cotidiano, Juegos y Estudio</t>
        </is>
      </c>
      <c r="H2114" s="16" t="inlineStr">
        <is>
          <t>AZUL</t>
        </is>
      </c>
      <c r="I2114" s="16" t="n">
        <v>1</v>
      </c>
      <c r="J2114" s="17" t="n">
        <v>36</v>
      </c>
      <c r="K2114" s="17" t="n">
        <v>49.11</v>
      </c>
      <c r="L2114" s="17" t="n">
        <v>12.82</v>
      </c>
      <c r="M2114" s="17" t="n">
        <v>0</v>
      </c>
      <c r="N2114" s="17">
        <f>K2114*0.08+L2114*0.08</f>
        <v/>
      </c>
      <c r="O2114" s="17">
        <f>-(K2114*0.025+L2114*0.025)</f>
        <v/>
      </c>
      <c r="P2114" s="17">
        <f>32</f>
        <v/>
      </c>
      <c r="Q2114" s="17">
        <f>J2114+L2114+N2114+O2114-P2114-M2114</f>
        <v/>
      </c>
    </row>
    <row r="2115">
      <c r="A2115" s="16" t="inlineStr">
        <is>
          <t>5.22-5.28</t>
        </is>
      </c>
      <c r="B2115" s="16" t="inlineStr">
        <is>
          <t>PO-128-10488399329912477</t>
        </is>
      </c>
      <c r="C2115" s="16" t="inlineStr">
        <is>
          <t>Shipped</t>
        </is>
      </c>
      <c r="D2115" s="16" t="inlineStr">
        <is>
          <t>128-10488420301432477</t>
        </is>
      </c>
      <c r="E2115" s="16" t="inlineStr">
        <is>
          <t>Shipped</t>
        </is>
      </c>
      <c r="F2115" s="16" t="inlineStr">
        <is>
          <t>LB02235-blanco</t>
        </is>
      </c>
      <c r="G2115" s="16" t="inlineStr">
        <is>
          <t>Audífonos Inalámbricos para la Cabeza, Recargables y Multifuncionales - Conectan a Varios Dispositivos, soportan Radio FM, Tarjeta TF y AUX - 4 Horas de Reproducción Musical - Ideal para Trabajo Cotidiano, Juegos y Estudio</t>
        </is>
      </c>
      <c r="H2115" s="16" t="inlineStr">
        <is>
          <t>BLANCO</t>
        </is>
      </c>
      <c r="I2115" s="16" t="n">
        <v>1</v>
      </c>
      <c r="J2115" s="17" t="n">
        <v>36.8</v>
      </c>
      <c r="K2115" s="17" t="n">
        <v>49.91</v>
      </c>
      <c r="L2115" s="17" t="n">
        <v>13.04</v>
      </c>
      <c r="M2115" s="17" t="n">
        <v>0</v>
      </c>
      <c r="N2115" s="17">
        <f>K2115*0.08+L2115*0.08</f>
        <v/>
      </c>
      <c r="O2115" s="17">
        <f>-(K2115*0.025+L2115*0.025)</f>
        <v/>
      </c>
      <c r="P2115" s="17">
        <f>32</f>
        <v/>
      </c>
      <c r="Q2115" s="17">
        <f>J2115+L2115+N2115+O2115-P2115-M2115</f>
        <v/>
      </c>
    </row>
    <row r="2116">
      <c r="A2116" s="16" t="inlineStr">
        <is>
          <t>5.22-5.28</t>
        </is>
      </c>
      <c r="B2116" s="16" t="inlineStr">
        <is>
          <t>PO-128-10556851041912133</t>
        </is>
      </c>
      <c r="C2116" s="16" t="inlineStr">
        <is>
          <t>Shipped</t>
        </is>
      </c>
      <c r="D2116" s="16" t="inlineStr">
        <is>
          <t>128-10556872013432133</t>
        </is>
      </c>
      <c r="E2116" s="16" t="inlineStr">
        <is>
          <t>Shipped</t>
        </is>
      </c>
      <c r="F2116" s="16" t="inlineStr">
        <is>
          <t>KTS-1678N</t>
        </is>
      </c>
      <c r="G2116" s="16" t="inlineStr">
        <is>
          <t>Bocina portátil Inalámbrico, de 3 pulgadas, tamaño de bolsillo, 170 g, con asa, compatible con TF, USB y Micro SD, con radio FM y función TWS (True Wireless Stereo), adecuada para relajarse en casa o viajar al aire libre.</t>
        </is>
      </c>
      <c r="H2116" s="16" t="inlineStr">
        <is>
          <t>KTS-1678N</t>
        </is>
      </c>
      <c r="I2116" s="16" t="n">
        <v>2</v>
      </c>
      <c r="J2116" s="17" t="n">
        <v>85</v>
      </c>
      <c r="K2116" s="17" t="n">
        <v>15.36</v>
      </c>
      <c r="L2116" s="17" t="n">
        <v>25.86</v>
      </c>
      <c r="M2116" s="17" t="n">
        <v>0</v>
      </c>
      <c r="N2116" s="17">
        <f>K2116*0.08+L2116*0.08</f>
        <v/>
      </c>
      <c r="O2116" s="17">
        <f>-(K2116*0.025+L2116*0.025)</f>
        <v/>
      </c>
      <c r="P2116" s="17">
        <f>32</f>
        <v/>
      </c>
      <c r="Q2116" s="17">
        <f>J2116+L2116+N2116+O2116-P2116-M2116</f>
        <v/>
      </c>
    </row>
    <row r="2117">
      <c r="A2117" s="16" t="inlineStr">
        <is>
          <t>5.22-5.28</t>
        </is>
      </c>
      <c r="B2117" s="16" t="inlineStr">
        <is>
          <t>PO-128-10556162703992137</t>
        </is>
      </c>
      <c r="C2117" s="16" t="inlineStr">
        <is>
          <t>Shipped</t>
        </is>
      </c>
      <c r="D2117" s="16" t="inlineStr">
        <is>
          <t>128-10556095857272137</t>
        </is>
      </c>
      <c r="E2117" s="16" t="inlineStr">
        <is>
          <t>Shipped</t>
        </is>
      </c>
      <c r="F2117" s="16" t="inlineStr">
        <is>
          <t>LB02235-rojo</t>
        </is>
      </c>
      <c r="G2117" s="16" t="inlineStr">
        <is>
          <t>Audífonos Inalámbricos para la Cabeza, Recargables y Multifuncionales - Conectan a Varios Dispositivos, soportan Radio FM, Tarjeta TF y AUX - 4 Horas de Reproducción Musical - Ideal para Trabajo Cotidiano, Juegos y Estudio</t>
        </is>
      </c>
      <c r="H2117" s="16" t="inlineStr">
        <is>
          <t>ROJO</t>
        </is>
      </c>
      <c r="I2117" s="16" t="n">
        <v>1</v>
      </c>
      <c r="J2117" s="17" t="n">
        <v>36.8</v>
      </c>
      <c r="K2117" s="17" t="n">
        <v>49.91</v>
      </c>
      <c r="L2117" s="17" t="n">
        <v>25.86</v>
      </c>
      <c r="M2117" s="17" t="n">
        <v>0</v>
      </c>
      <c r="N2117" s="17">
        <f>K2117*0.08+L2117*0.08</f>
        <v/>
      </c>
      <c r="O2117" s="17">
        <f>-(K2117*0.025+L2117*0.025)</f>
        <v/>
      </c>
      <c r="P2117" s="17">
        <f>32</f>
        <v/>
      </c>
      <c r="Q2117" s="17">
        <f>J2117+L2117+N2117+O2117-P2117-M2117</f>
        <v/>
      </c>
    </row>
    <row r="2118">
      <c r="A2118" s="16" t="inlineStr">
        <is>
          <t>5.22-5.28</t>
        </is>
      </c>
      <c r="B2118" s="16" t="inlineStr">
        <is>
          <t>PO-128-10770812385911881</t>
        </is>
      </c>
      <c r="C2118" s="16" t="inlineStr">
        <is>
          <t>Shipped</t>
        </is>
      </c>
      <c r="D2118" s="16" t="inlineStr">
        <is>
          <t>128-10770828114551881</t>
        </is>
      </c>
      <c r="E2118" s="16" t="inlineStr">
        <is>
          <t>Shipped</t>
        </is>
      </c>
      <c r="F2118" s="16" t="inlineStr">
        <is>
          <t>MB-185A</t>
        </is>
      </c>
      <c r="G2118" s="16" t="inlineStr">
        <is>
          <t>Bocina Radio FM/Reproductor, Compatible con Tarjeta TF, USB, Bluetooth, Aplicable para celular, computadora, Ipad y consola.</t>
        </is>
      </c>
      <c r="H2118" s="16" t="inlineStr">
        <is>
          <t>AZUL/MB-185</t>
        </is>
      </c>
      <c r="I2118" s="16" t="n">
        <v>1</v>
      </c>
      <c r="J2118" s="17" t="n">
        <v>73</v>
      </c>
      <c r="K2118" s="17" t="n">
        <v>64.7</v>
      </c>
      <c r="L2118" s="17" t="n">
        <v>25.86</v>
      </c>
      <c r="M2118" s="17" t="n">
        <v>0</v>
      </c>
      <c r="N2118" s="17">
        <f>K2118*0.08+L2118*0.08</f>
        <v/>
      </c>
      <c r="O2118" s="17">
        <f>-(K2118*0.025+L2118*0.025)</f>
        <v/>
      </c>
      <c r="P2118" s="17">
        <f>32</f>
        <v/>
      </c>
      <c r="Q2118" s="17">
        <f>J2118+L2118+N2118+O2118-P2118-M2118</f>
        <v/>
      </c>
    </row>
    <row r="2119">
      <c r="A2119" s="16" t="inlineStr">
        <is>
          <t>5.22-5.28</t>
        </is>
      </c>
      <c r="B2119" s="16" t="inlineStr">
        <is>
          <t>PO-128-10685858069111362</t>
        </is>
      </c>
      <c r="C2119" s="16" t="inlineStr">
        <is>
          <t>Shipped</t>
        </is>
      </c>
      <c r="D2119" s="16" t="inlineStr">
        <is>
          <t>128-10685879040631362</t>
        </is>
      </c>
      <c r="E2119" s="16" t="inlineStr">
        <is>
          <t>Shipped</t>
        </is>
      </c>
      <c r="F2119" s="16" t="inlineStr">
        <is>
          <t>HD005</t>
        </is>
      </c>
      <c r="G2119" s="16" t="inlineStr">
        <is>
          <t>Link bits HD005 Antena UHF para Exteriores, Antena de TV Digital HD con 10 Metros de Cable, Recepción 470-862MHz, 9-7dB de Ganancia, Antena para Canales Abiertos y HD, Resistente al Agua y Viento, Fácil Instalación</t>
        </is>
      </c>
      <c r="H2119" s="16" t="inlineStr">
        <is>
          <t>1</t>
        </is>
      </c>
      <c r="I2119" s="16" t="n">
        <v>1</v>
      </c>
      <c r="J2119" s="17" t="n">
        <v>75</v>
      </c>
      <c r="K2119" s="17" t="n">
        <v>92.66</v>
      </c>
      <c r="L2119" s="17" t="n">
        <v>25.86</v>
      </c>
      <c r="M2119" s="17" t="n">
        <v>0</v>
      </c>
      <c r="N2119" s="17">
        <f>K2119*0.08+L2119*0.08</f>
        <v/>
      </c>
      <c r="O2119" s="17">
        <f>-(K2119*0.025+L2119*0.025)</f>
        <v/>
      </c>
      <c r="P2119" s="17">
        <f>32</f>
        <v/>
      </c>
      <c r="Q2119" s="17">
        <f>J2119+L2119+N2119+O2119-P2119-M2119</f>
        <v/>
      </c>
    </row>
    <row r="2120">
      <c r="A2120" s="16" t="inlineStr">
        <is>
          <t>5.22-5.28</t>
        </is>
      </c>
      <c r="B2120" s="16" t="inlineStr">
        <is>
          <t>PO-128-10325922898553573</t>
        </is>
      </c>
      <c r="C2120" s="16" t="inlineStr">
        <is>
          <t>Shipped</t>
        </is>
      </c>
      <c r="D2120" s="16" t="inlineStr">
        <is>
          <t>128-10325949112953573</t>
        </is>
      </c>
      <c r="E2120" s="16" t="inlineStr">
        <is>
          <t>Shipped</t>
        </is>
      </c>
      <c r="F2120" s="16" t="inlineStr">
        <is>
          <t>MCM-001A</t>
        </is>
      </c>
      <c r="G2120" s="16" t="inlineStr">
        <is>
          <t>Musicord Altavoz Inalámbrico BT Portátil: ¡Sonido impactante, luces LED multicolores y 4 horas de autonomía! Compatible con TWS, FM, TF y USB – Imprescindible para fiestas y viajes</t>
        </is>
      </c>
      <c r="H2120" s="16" t="inlineStr">
        <is>
          <t>AZUL</t>
        </is>
      </c>
      <c r="I2120" s="16" t="n">
        <v>1</v>
      </c>
      <c r="J2120" s="17" t="n">
        <v>51.07</v>
      </c>
      <c r="K2120" s="17" t="n">
        <v>59.47</v>
      </c>
      <c r="L2120" s="17" t="n">
        <v>25.86</v>
      </c>
      <c r="M2120" s="17" t="n">
        <v>0</v>
      </c>
      <c r="N2120" s="17">
        <f>K2120*0.08+L2120*0.08</f>
        <v/>
      </c>
      <c r="O2120" s="17">
        <f>-(K2120*0.025+L2120*0.025)</f>
        <v/>
      </c>
      <c r="P2120" s="17">
        <f>32</f>
        <v/>
      </c>
      <c r="Q2120" s="17">
        <f>J2120+L2120+N2120+O2120-P2120-M2120</f>
        <v/>
      </c>
    </row>
    <row r="2121">
      <c r="A2121" s="16" t="inlineStr">
        <is>
          <t>5.22-5.28</t>
        </is>
      </c>
      <c r="B2121" s="16" t="inlineStr">
        <is>
          <t>PO-128-10853527603830298</t>
        </is>
      </c>
      <c r="C2121" s="16" t="inlineStr">
        <is>
          <t>Shipped</t>
        </is>
      </c>
      <c r="D2121" s="16" t="inlineStr">
        <is>
          <t>128-10853559061110298</t>
        </is>
      </c>
      <c r="E2121" s="16" t="inlineStr">
        <is>
          <t>Shipped</t>
        </is>
      </c>
      <c r="F2121" s="16" t="inlineStr">
        <is>
          <t>KTS-1678R</t>
        </is>
      </c>
      <c r="G2121" s="16" t="inlineStr">
        <is>
          <t>Bocina portátil Inalámbrico, de 3 pulgadas, tamaño de bolsillo, 170 g, con asa, compatible con TF, USB y Micro SD, con radio FM y función TWS (True Wireless Stereo), adecuada para relajarse en casa o viajar al aire libre.</t>
        </is>
      </c>
      <c r="H2121" s="16" t="inlineStr">
        <is>
          <t>KTS-1678R</t>
        </is>
      </c>
      <c r="I2121" s="16" t="n">
        <v>1</v>
      </c>
      <c r="J2121" s="17" t="n">
        <v>42.5</v>
      </c>
      <c r="K2121" s="17" t="n">
        <v>50.78</v>
      </c>
      <c r="L2121" s="17" t="n">
        <v>25.86</v>
      </c>
      <c r="M2121" s="17" t="n">
        <v>0</v>
      </c>
      <c r="N2121" s="17">
        <f>K2121*0.08+L2121*0.08</f>
        <v/>
      </c>
      <c r="O2121" s="17">
        <f>-(K2121*0.025+L2121*0.025)</f>
        <v/>
      </c>
      <c r="P2121" s="17">
        <f>32</f>
        <v/>
      </c>
      <c r="Q2121" s="17">
        <f>J2121+L2121+N2121+O2121-P2121-M2121</f>
        <v/>
      </c>
    </row>
    <row r="2122">
      <c r="A2122" s="16" t="inlineStr">
        <is>
          <t>5.22-5.28</t>
        </is>
      </c>
      <c r="B2122" s="16" t="inlineStr">
        <is>
          <t>PO-128-10508086764152359</t>
        </is>
      </c>
      <c r="C2122" s="16" t="inlineStr">
        <is>
          <t>Shipped</t>
        </is>
      </c>
      <c r="D2122" s="16" t="inlineStr">
        <is>
          <t>128-10508093317752359</t>
        </is>
      </c>
      <c r="E2122" s="16" t="inlineStr">
        <is>
          <t>Shipped</t>
        </is>
      </c>
      <c r="F2122" s="16" t="inlineStr">
        <is>
          <t>SA325T</t>
        </is>
      </c>
      <c r="G2122" s="16" t="inlineStr">
        <is>
          <t>Subwoofer Portátil Inalámbrico con Luces RGB, Sonido de Alta Potencia y Batería Duradera, TWS TF USB, Perfecto para Campamento Fiestas y Entretenimiento en Casa</t>
        </is>
      </c>
      <c r="H2122" s="16" t="inlineStr">
        <is>
          <t>NEGRO</t>
        </is>
      </c>
      <c r="I2122" s="16" t="n">
        <v>1</v>
      </c>
      <c r="J2122" s="17" t="n">
        <v>37.99</v>
      </c>
      <c r="K2122" s="17" t="n">
        <v>47.03</v>
      </c>
      <c r="L2122" s="17" t="n">
        <v>25.86</v>
      </c>
      <c r="M2122" s="17" t="n">
        <v>0</v>
      </c>
      <c r="N2122" s="17">
        <f>K2122*0.08+L2122*0.08</f>
        <v/>
      </c>
      <c r="O2122" s="17">
        <f>-(K2122*0.025+L2122*0.025)</f>
        <v/>
      </c>
      <c r="P2122" s="17">
        <f>32</f>
        <v/>
      </c>
      <c r="Q2122" s="17">
        <f>J2122+L2122+N2122+O2122-P2122-M2122</f>
        <v/>
      </c>
    </row>
    <row r="2123">
      <c r="A2123" s="16" t="inlineStr">
        <is>
          <t>5.22-5.28</t>
        </is>
      </c>
      <c r="B2123" s="16" t="inlineStr">
        <is>
          <t>PO-128-10799357624951775</t>
        </is>
      </c>
      <c r="C2123" s="16" t="inlineStr">
        <is>
          <t>Shipped</t>
        </is>
      </c>
      <c r="D2123" s="16" t="inlineStr">
        <is>
          <t>128-10799462482551775</t>
        </is>
      </c>
      <c r="E2123" s="16" t="inlineStr">
        <is>
          <t>Shipped</t>
        </is>
      </c>
      <c r="F2123" s="16" t="inlineStr">
        <is>
          <t>VA384T-A</t>
        </is>
      </c>
      <c r="G2123" s="16" t="inlineStr">
        <is>
          <t>Bocina Portátil Bluetooth de 3 Pulgadas con Radio FM, USB TF TWS, Sonido Estéreo 5W, Bocina Recargable para Hogar Exterior Viaje Fiesta Camping</t>
        </is>
      </c>
      <c r="H2123" s="16" t="inlineStr">
        <is>
          <t>AZUL</t>
        </is>
      </c>
      <c r="I2123" s="16" t="n">
        <v>2</v>
      </c>
      <c r="J2123" s="17" t="n">
        <v>96</v>
      </c>
      <c r="K2123" s="17" t="n">
        <v>117.44</v>
      </c>
      <c r="L2123" s="17" t="n">
        <v>25.86</v>
      </c>
      <c r="M2123" s="17" t="n">
        <v>0</v>
      </c>
      <c r="N2123" s="17">
        <f>K2123*0.08+L2123*0.08</f>
        <v/>
      </c>
      <c r="O2123" s="17">
        <f>-(K2123*0.025+L2123*0.025)</f>
        <v/>
      </c>
      <c r="P2123" s="17">
        <f>32</f>
        <v/>
      </c>
      <c r="Q2123" s="17">
        <f>J2123+L2123+N2123+O2123-P2123-M2123</f>
        <v/>
      </c>
    </row>
    <row r="2124">
      <c r="A2124" s="16" t="inlineStr">
        <is>
          <t>5.22-5.28</t>
        </is>
      </c>
      <c r="B2124" s="16" t="inlineStr">
        <is>
          <t>PO-128-10431843743353964</t>
        </is>
      </c>
      <c r="C2124" s="16" t="inlineStr">
        <is>
          <t>Shipped</t>
        </is>
      </c>
      <c r="D2124" s="16" t="inlineStr">
        <is>
          <t>128-10431864714873964</t>
        </is>
      </c>
      <c r="E2124" s="16" t="inlineStr">
        <is>
          <t>Shipped</t>
        </is>
      </c>
      <c r="F2124" s="16" t="inlineStr">
        <is>
          <t>LB02235-negro</t>
        </is>
      </c>
      <c r="G2124" s="16" t="inlineStr">
        <is>
          <t>Audífonos Inalámbricos para la Cabeza, Recargables y Multifuncionales - Conectan a Varios Dispositivos, soportan Radio FM, Tarjeta TF y AUX - 4 Horas de Reproducción Musical - Ideal para Trabajo Cotidiano, Juegos y Estudio</t>
        </is>
      </c>
      <c r="H2124" s="16" t="inlineStr">
        <is>
          <t>NEGRO</t>
        </is>
      </c>
      <c r="I2124" s="16" t="n">
        <v>1</v>
      </c>
      <c r="J2124" s="17" t="n">
        <v>36.8</v>
      </c>
      <c r="K2124" s="17" t="n">
        <v>49.91</v>
      </c>
      <c r="L2124" s="17" t="n">
        <v>25.86</v>
      </c>
      <c r="M2124" s="17" t="n">
        <v>0</v>
      </c>
      <c r="N2124" s="17">
        <f>K2124*0.08+L2124*0.08</f>
        <v/>
      </c>
      <c r="O2124" s="17">
        <f>-(K2124*0.025+L2124*0.025)</f>
        <v/>
      </c>
      <c r="P2124" s="17">
        <f>32</f>
        <v/>
      </c>
      <c r="Q2124" s="17">
        <f>J2124+L2124+N2124+O2124-P2124-M2124</f>
        <v/>
      </c>
    </row>
    <row r="2125">
      <c r="A2125" s="16" t="inlineStr">
        <is>
          <t>5.22-5.28</t>
        </is>
      </c>
      <c r="B2125" s="16" t="inlineStr">
        <is>
          <t>PO-128-10661625436791442</t>
        </is>
      </c>
      <c r="C2125" s="16" t="inlineStr">
        <is>
          <t>Shipped</t>
        </is>
      </c>
      <c r="D2125" s="16" t="inlineStr">
        <is>
          <t>128-10661614951031442</t>
        </is>
      </c>
      <c r="E2125" s="16" t="inlineStr">
        <is>
          <t>Shipped</t>
        </is>
      </c>
      <c r="F2125" s="16" t="inlineStr">
        <is>
          <t>LB02235-rojo</t>
        </is>
      </c>
      <c r="G2125" s="16" t="inlineStr">
        <is>
          <t>Audífonos Inalámbricos para la Cabeza, Recargables y Multifuncionales - Conectan a Varios Dispositivos, soportan Radio FM, Tarjeta TF y AUX - 4 Horas de Reproducción Musical - Ideal para Trabajo Cotidiano, Juegos y Estudio</t>
        </is>
      </c>
      <c r="H2125" s="16" t="inlineStr">
        <is>
          <t>ROJO</t>
        </is>
      </c>
      <c r="I2125" s="16" t="n">
        <v>1</v>
      </c>
      <c r="J2125" s="17" t="n">
        <v>36.8</v>
      </c>
      <c r="K2125" s="17" t="n">
        <v>49.91</v>
      </c>
      <c r="L2125" s="17" t="n">
        <v>8.619999999999999</v>
      </c>
      <c r="M2125" s="17" t="n">
        <v>0</v>
      </c>
      <c r="N2125" s="17">
        <f>K2125*0.08+L2125*0.08</f>
        <v/>
      </c>
      <c r="O2125" s="17">
        <f>-(K2125*0.025+L2125*0.025)</f>
        <v/>
      </c>
      <c r="P2125" s="17">
        <f>32</f>
        <v/>
      </c>
      <c r="Q2125" s="17">
        <f>J2125+L2125+N2125+O2125-P2125-M2125</f>
        <v/>
      </c>
    </row>
    <row r="2126">
      <c r="A2126" s="16" t="inlineStr">
        <is>
          <t>5.22-5.28</t>
        </is>
      </c>
      <c r="B2126" s="16" t="inlineStr">
        <is>
          <t>PO-128-10661625436791442</t>
        </is>
      </c>
      <c r="C2126" s="16" t="inlineStr">
        <is>
          <t>Shipped</t>
        </is>
      </c>
      <c r="D2126" s="16" t="inlineStr">
        <is>
          <t>128-10661609708151442</t>
        </is>
      </c>
      <c r="E2126" s="16" t="inlineStr">
        <is>
          <t>Shipped</t>
        </is>
      </c>
      <c r="F2126" s="16" t="inlineStr">
        <is>
          <t>LB02235-negro</t>
        </is>
      </c>
      <c r="G2126" s="16" t="inlineStr">
        <is>
          <t>Audífonos Inalámbricos para la Cabeza, Recargables y Multifuncionales - Conectan a Varios Dispositivos, soportan Radio FM, Tarjeta TF y AUX - 4 Horas de Reproducción Musical - Ideal para Trabajo Cotidiano, Juegos y Estudio</t>
        </is>
      </c>
      <c r="H2126" s="16" t="inlineStr">
        <is>
          <t>NEGRO</t>
        </is>
      </c>
      <c r="I2126" s="16" t="n">
        <v>1</v>
      </c>
      <c r="J2126" s="17" t="n">
        <v>36.8</v>
      </c>
      <c r="K2126" s="17" t="n">
        <v>49.91</v>
      </c>
      <c r="L2126" s="17" t="n">
        <v>8.619999999999999</v>
      </c>
      <c r="M2126" s="17" t="n">
        <v>0</v>
      </c>
      <c r="N2126" s="17">
        <f>K2126*0.08+L2126*0.08</f>
        <v/>
      </c>
      <c r="O2126" s="17">
        <f>-(K2126*0.025+L2126*0.025)</f>
        <v/>
      </c>
      <c r="P2126" s="17">
        <f>32</f>
        <v/>
      </c>
      <c r="Q2126" s="17">
        <f>J2126+L2126+N2126+O2126-P2126-M2126</f>
        <v/>
      </c>
    </row>
    <row r="2127">
      <c r="A2127" s="16" t="inlineStr">
        <is>
          <t>5.22-5.28</t>
        </is>
      </c>
      <c r="B2127" s="16" t="inlineStr">
        <is>
          <t>PO-128-10661625436791442</t>
        </is>
      </c>
      <c r="C2127" s="16" t="inlineStr">
        <is>
          <t>Shipped</t>
        </is>
      </c>
      <c r="D2127" s="16" t="inlineStr">
        <is>
          <t>128-10661604465271442</t>
        </is>
      </c>
      <c r="E2127" s="16" t="inlineStr">
        <is>
          <t>Shipped</t>
        </is>
      </c>
      <c r="F2127" s="16" t="inlineStr">
        <is>
          <t>LB02235-blanco</t>
        </is>
      </c>
      <c r="G2127" s="16" t="inlineStr">
        <is>
          <t>Audífonos Inalámbricos para la Cabeza, Recargables y Multifuncionales - Conectan a Varios Dispositivos, soportan Radio FM, Tarjeta TF y AUX - 4 Horas de Reproducción Musical - Ideal para Trabajo Cotidiano, Juegos y Estudio</t>
        </is>
      </c>
      <c r="H2127" s="16" t="inlineStr">
        <is>
          <t>BLANCO</t>
        </is>
      </c>
      <c r="I2127" s="16" t="n">
        <v>1</v>
      </c>
      <c r="J2127" s="17" t="n">
        <v>36.8</v>
      </c>
      <c r="K2127" s="17" t="n">
        <v>49.91</v>
      </c>
      <c r="L2127" s="17" t="n">
        <v>8.619999999999999</v>
      </c>
      <c r="M2127" s="17" t="n">
        <v>0</v>
      </c>
      <c r="N2127" s="17">
        <f>K2127*0.08+L2127*0.08</f>
        <v/>
      </c>
      <c r="O2127" s="17">
        <f>-(K2127*0.025+L2127*0.025)</f>
        <v/>
      </c>
      <c r="P2127" s="17">
        <f>32</f>
        <v/>
      </c>
      <c r="Q2127" s="17">
        <f>J2127+L2127+N2127+O2127-P2127-M2127</f>
        <v/>
      </c>
    </row>
    <row r="2128">
      <c r="A2128" s="16" t="inlineStr">
        <is>
          <t>5.22-5.28</t>
        </is>
      </c>
      <c r="B2128" s="16" t="inlineStr">
        <is>
          <t>PO-128-10677736807031282</t>
        </is>
      </c>
      <c r="C2128" s="16" t="inlineStr">
        <is>
          <t>Shipped</t>
        </is>
      </c>
      <c r="D2128" s="16" t="inlineStr">
        <is>
          <t>128-10677778750071282</t>
        </is>
      </c>
      <c r="E2128" s="16" t="inlineStr">
        <is>
          <t>Shipped</t>
        </is>
      </c>
      <c r="F2128" s="16" t="inlineStr">
        <is>
          <t>VA880T</t>
        </is>
      </c>
      <c r="G212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28" s="16" t="inlineStr">
        <is>
          <t>1 pieza</t>
        </is>
      </c>
      <c r="I2128" s="16" t="n">
        <v>1</v>
      </c>
      <c r="J2128" s="17" t="n">
        <v>114.98</v>
      </c>
      <c r="K2128" s="17" t="n">
        <v>44.51</v>
      </c>
      <c r="L2128" s="17" t="n">
        <v>25.86</v>
      </c>
      <c r="M2128" s="17" t="n">
        <v>0</v>
      </c>
      <c r="N2128" s="17">
        <f>K2128*0.08+L2128*0.08</f>
        <v/>
      </c>
      <c r="O2128" s="17">
        <f>-(K2128*0.025+L2128*0.025)</f>
        <v/>
      </c>
      <c r="P2128" s="17">
        <f>32</f>
        <v/>
      </c>
      <c r="Q2128" s="17">
        <f>J2128+L2128+N2128+O2128-P2128-M2128</f>
        <v/>
      </c>
    </row>
    <row r="2129">
      <c r="A2129" s="16" t="inlineStr">
        <is>
          <t>5.22-5.28</t>
        </is>
      </c>
      <c r="B2129" s="16" t="inlineStr">
        <is>
          <t>PO-128-10807678659191596</t>
        </is>
      </c>
      <c r="C2129" s="16" t="inlineStr">
        <is>
          <t>Shipped</t>
        </is>
      </c>
      <c r="D2129" s="16" t="inlineStr">
        <is>
          <t>128-10807636716151596</t>
        </is>
      </c>
      <c r="E2129" s="16" t="inlineStr">
        <is>
          <t>Shipped</t>
        </is>
      </c>
      <c r="F2129" s="16" t="inlineStr">
        <is>
          <t>VA880T</t>
        </is>
      </c>
      <c r="G212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29" s="16" t="inlineStr">
        <is>
          <t>1 pieza</t>
        </is>
      </c>
      <c r="I2129" s="16" t="n">
        <v>1</v>
      </c>
      <c r="J2129" s="17" t="n">
        <v>114.98</v>
      </c>
      <c r="K2129" s="17" t="n">
        <v>127.27</v>
      </c>
      <c r="L2129" s="17" t="n">
        <v>25.86</v>
      </c>
      <c r="M2129" s="17" t="n">
        <v>0</v>
      </c>
      <c r="N2129" s="17">
        <f>K2129*0.08+L2129*0.08</f>
        <v/>
      </c>
      <c r="O2129" s="17">
        <f>-(K2129*0.025+L2129*0.025)</f>
        <v/>
      </c>
      <c r="P2129" s="17">
        <f>32</f>
        <v/>
      </c>
      <c r="Q2129" s="17">
        <f>J2129+L2129+N2129+O2129-P2129-M2129</f>
        <v/>
      </c>
    </row>
    <row r="2130">
      <c r="A2130" s="16" t="inlineStr">
        <is>
          <t>5.22-5.28</t>
        </is>
      </c>
      <c r="B2130" s="16" t="inlineStr">
        <is>
          <t>PO-128-10942957404790855</t>
        </is>
      </c>
      <c r="C2130" s="16" t="inlineStr">
        <is>
          <t>Shipped</t>
        </is>
      </c>
      <c r="D2130" s="16" t="inlineStr">
        <is>
          <t>128-10943093719670855</t>
        </is>
      </c>
      <c r="E2130" s="16" t="inlineStr">
        <is>
          <t>Shipped</t>
        </is>
      </c>
      <c r="F2130" s="16" t="inlineStr">
        <is>
          <t>LB02235-blanco</t>
        </is>
      </c>
      <c r="G2130" s="16" t="inlineStr">
        <is>
          <t>Audífonos Inalámbricos para la Cabeza, Recargables y Multifuncionales - Conectan a Varios Dispositivos, soportan Radio FM, Tarjeta TF y AUX - 4 Horas de Reproducción Musical - Ideal para Trabajo Cotidiano, Juegos y Estudio</t>
        </is>
      </c>
      <c r="H2130" s="16" t="inlineStr">
        <is>
          <t>BLANCO</t>
        </is>
      </c>
      <c r="I2130" s="16" t="n">
        <v>1</v>
      </c>
      <c r="J2130" s="17" t="n">
        <v>36.8</v>
      </c>
      <c r="K2130" s="17" t="n">
        <v>49.91</v>
      </c>
      <c r="L2130" s="17" t="n">
        <v>25.86</v>
      </c>
      <c r="M2130" s="17" t="n">
        <v>0</v>
      </c>
      <c r="N2130" s="17">
        <f>K2130*0.08+L2130*0.08</f>
        <v/>
      </c>
      <c r="O2130" s="17">
        <f>-(K2130*0.025+L2130*0.025)</f>
        <v/>
      </c>
      <c r="P2130" s="17">
        <f>32</f>
        <v/>
      </c>
      <c r="Q2130" s="17">
        <f>J2130+L2130+N2130+O2130-P2130-M2130</f>
        <v/>
      </c>
    </row>
    <row r="2131">
      <c r="A2131" s="16" t="inlineStr">
        <is>
          <t>5.22-5.28</t>
        </is>
      </c>
      <c r="B2131" s="16" t="inlineStr">
        <is>
          <t>PO-128-10670545224311519</t>
        </is>
      </c>
      <c r="C2131" s="16" t="inlineStr">
        <is>
          <t>Shipped</t>
        </is>
      </c>
      <c r="D2131" s="16" t="inlineStr">
        <is>
          <t>128-10670524252791519</t>
        </is>
      </c>
      <c r="E2131" s="16" t="inlineStr">
        <is>
          <t>Shipped</t>
        </is>
      </c>
      <c r="F2131" s="16" t="inlineStr">
        <is>
          <t>MCM-001N</t>
        </is>
      </c>
      <c r="G2131" s="16" t="inlineStr">
        <is>
          <t>Musicord Altavoz Inalámbrico BT Portátil: ¡Sonido impactante, luces LED multicolores y 4 horas de autonomía! Compatible con TWS, FM, TF y USB – Imprescindible para fiestas y viajes</t>
        </is>
      </c>
      <c r="H2131" s="16" t="inlineStr">
        <is>
          <t>NEGRO</t>
        </is>
      </c>
      <c r="I2131" s="16" t="n">
        <v>1</v>
      </c>
      <c r="J2131" s="17" t="n">
        <v>61</v>
      </c>
      <c r="K2131" s="17" t="n">
        <v>68.79000000000001</v>
      </c>
      <c r="L2131" s="17" t="n">
        <v>25.86</v>
      </c>
      <c r="M2131" s="17" t="n">
        <v>0</v>
      </c>
      <c r="N2131" s="17">
        <f>K2131*0.08+L2131*0.08</f>
        <v/>
      </c>
      <c r="O2131" s="17">
        <f>-(K2131*0.025+L2131*0.025)</f>
        <v/>
      </c>
      <c r="P2131" s="17">
        <f>32</f>
        <v/>
      </c>
      <c r="Q2131" s="17">
        <f>J2131+L2131+N2131+O2131-P2131-M2131</f>
        <v/>
      </c>
    </row>
    <row r="2132">
      <c r="A2132" s="16" t="inlineStr">
        <is>
          <t>5.22-5.28</t>
        </is>
      </c>
      <c r="B2132" s="16" t="inlineStr">
        <is>
          <t>PO-128-10871876782710191</t>
        </is>
      </c>
      <c r="C2132" s="16" t="inlineStr">
        <is>
          <t>Shipped</t>
        </is>
      </c>
      <c r="D2132" s="16" t="inlineStr">
        <is>
          <t>128-10871834839670191</t>
        </is>
      </c>
      <c r="E2132" s="16" t="inlineStr">
        <is>
          <t>Shipped</t>
        </is>
      </c>
      <c r="F2132" s="16" t="inlineStr">
        <is>
          <t>MCM-001A</t>
        </is>
      </c>
      <c r="G2132" s="16" t="inlineStr">
        <is>
          <t>Musicord Altavoz Inalámbrico BT Portátil: ¡Sonido impactante, luces LED multicolores y 4 horas de autonomía! Compatible con TWS, FM, TF y USB – Imprescindible para fiestas y viajes</t>
        </is>
      </c>
      <c r="H2132" s="16" t="inlineStr">
        <is>
          <t>AZUL</t>
        </is>
      </c>
      <c r="I2132" s="16" t="n">
        <v>1</v>
      </c>
      <c r="J2132" s="17" t="n">
        <v>51.07</v>
      </c>
      <c r="K2132" s="17" t="n">
        <v>59.47</v>
      </c>
      <c r="L2132" s="17" t="n">
        <v>25.86</v>
      </c>
      <c r="M2132" s="17" t="n">
        <v>0</v>
      </c>
      <c r="N2132" s="17">
        <f>K2132*0.08+L2132*0.08</f>
        <v/>
      </c>
      <c r="O2132" s="17">
        <f>-(K2132*0.025+L2132*0.025)</f>
        <v/>
      </c>
      <c r="P2132" s="17">
        <f>32</f>
        <v/>
      </c>
      <c r="Q2132" s="17">
        <f>J2132+L2132+N2132+O2132-P2132-M2132</f>
        <v/>
      </c>
    </row>
    <row r="2133">
      <c r="A2133" s="16" t="inlineStr">
        <is>
          <t>5.22-5.28</t>
        </is>
      </c>
      <c r="B2133" s="16" t="inlineStr">
        <is>
          <t>PO-128-10498637486712542</t>
        </is>
      </c>
      <c r="C2133" s="16" t="inlineStr">
        <is>
          <t>Shipped</t>
        </is>
      </c>
      <c r="D2133" s="16" t="inlineStr">
        <is>
          <t>128-10498595543672542</t>
        </is>
      </c>
      <c r="E2133" s="16" t="inlineStr">
        <is>
          <t>Shipped</t>
        </is>
      </c>
      <c r="F2133" s="16" t="inlineStr">
        <is>
          <t>EM04W36-2PZS</t>
        </is>
      </c>
      <c r="G2133"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133" s="16" t="inlineStr">
        <is>
          <t>2 piezas</t>
        </is>
      </c>
      <c r="I2133" s="16" t="n">
        <v>2</v>
      </c>
      <c r="J2133" s="17" t="n">
        <v>250</v>
      </c>
      <c r="K2133" s="17" t="n">
        <v>285.1</v>
      </c>
      <c r="L2133" s="17" t="n">
        <v>0</v>
      </c>
      <c r="M2133" s="17" t="n">
        <v>0</v>
      </c>
      <c r="N2133" s="17">
        <f>K2133*0.08+L2133*0.08</f>
        <v/>
      </c>
      <c r="O2133" s="17">
        <f>-(K2133*0.025+L2133*0.025)</f>
        <v/>
      </c>
      <c r="P2133" s="17">
        <f>32</f>
        <v/>
      </c>
      <c r="Q2133" s="17">
        <f>J2133+L2133+N2133+O2133-P2133-M2133</f>
        <v/>
      </c>
    </row>
    <row r="2134">
      <c r="A2134" s="16" t="inlineStr">
        <is>
          <t>5.22-5.28</t>
        </is>
      </c>
      <c r="B2134" s="16" t="inlineStr">
        <is>
          <t>PO-128-10874959734390173</t>
        </is>
      </c>
      <c r="C2134" s="16" t="inlineStr">
        <is>
          <t>Shipped</t>
        </is>
      </c>
      <c r="D2134" s="16" t="inlineStr">
        <is>
          <t>128-10874917791350173</t>
        </is>
      </c>
      <c r="E2134" s="16" t="inlineStr">
        <is>
          <t>Shipped</t>
        </is>
      </c>
      <c r="F2134" s="16" t="inlineStr">
        <is>
          <t>SA325T</t>
        </is>
      </c>
      <c r="G2134" s="16" t="inlineStr">
        <is>
          <t>Subwoofer Portátil Inalámbrico con Luces RGB, Sonido de Alta Potencia y Batería Duradera, TWS TF USB, Perfecto para Campamento Fiestas y Entretenimiento en Casa</t>
        </is>
      </c>
      <c r="H2134" s="16" t="inlineStr">
        <is>
          <t>NEGRO</t>
        </is>
      </c>
      <c r="I2134" s="16" t="n">
        <v>1</v>
      </c>
      <c r="J2134" s="17" t="n">
        <v>37.99</v>
      </c>
      <c r="K2134" s="17" t="n">
        <v>47.03</v>
      </c>
      <c r="L2134" s="17" t="n">
        <v>25.86</v>
      </c>
      <c r="M2134" s="17" t="n">
        <v>0</v>
      </c>
      <c r="N2134" s="17">
        <f>K2134*0.08+L2134*0.08</f>
        <v/>
      </c>
      <c r="O2134" s="17">
        <f>-(K2134*0.025+L2134*0.025)</f>
        <v/>
      </c>
      <c r="P2134" s="17">
        <f>32</f>
        <v/>
      </c>
      <c r="Q2134" s="17">
        <f>J2134+L2134+N2134+O2134-P2134-M2134</f>
        <v/>
      </c>
    </row>
    <row r="2135">
      <c r="A2135" s="16" t="inlineStr">
        <is>
          <t>5.22-5.28</t>
        </is>
      </c>
      <c r="B2135" s="16" t="inlineStr">
        <is>
          <t>PO-128-10514832937592383</t>
        </is>
      </c>
      <c r="C2135" s="16" t="inlineStr">
        <is>
          <t>Shipped</t>
        </is>
      </c>
      <c r="D2135" s="16" t="inlineStr">
        <is>
          <t>128-10514817208952383</t>
        </is>
      </c>
      <c r="E2135" s="16" t="inlineStr">
        <is>
          <t>Shipped</t>
        </is>
      </c>
      <c r="F2135" s="16" t="inlineStr">
        <is>
          <t>LB02235-blanco</t>
        </is>
      </c>
      <c r="G2135" s="16" t="inlineStr">
        <is>
          <t>Audífonos Inalámbricos para la Cabeza, Recargables y Multifuncionales - Conectan a Varios Dispositivos, soportan Radio FM, Tarjeta TF y AUX - 4 Horas de Reproducción Musical - Ideal para Trabajo Cotidiano, Juegos y Estudio</t>
        </is>
      </c>
      <c r="H2135" s="16" t="inlineStr">
        <is>
          <t>BLANCO</t>
        </is>
      </c>
      <c r="I2135" s="16" t="n">
        <v>1</v>
      </c>
      <c r="J2135" s="17" t="n">
        <v>36.8</v>
      </c>
      <c r="K2135" s="17" t="n">
        <v>49.91</v>
      </c>
      <c r="L2135" s="17" t="n">
        <v>25.86</v>
      </c>
      <c r="M2135" s="17" t="n">
        <v>0</v>
      </c>
      <c r="N2135" s="17">
        <f>K2135*0.08+L2135*0.08</f>
        <v/>
      </c>
      <c r="O2135" s="17">
        <f>-(K2135*0.025+L2135*0.025)</f>
        <v/>
      </c>
      <c r="P2135" s="17">
        <f>32</f>
        <v/>
      </c>
      <c r="Q2135" s="17">
        <f>J2135+L2135+N2135+O2135-P2135-M2135</f>
        <v/>
      </c>
    </row>
    <row r="2136">
      <c r="A2136" s="16" t="inlineStr">
        <is>
          <t>5.22-5.28</t>
        </is>
      </c>
      <c r="B2136" s="16" t="inlineStr">
        <is>
          <t>PO-128-10592248136312816</t>
        </is>
      </c>
      <c r="C2136" s="16" t="inlineStr">
        <is>
          <t>Shipped</t>
        </is>
      </c>
      <c r="D2136" s="16" t="inlineStr">
        <is>
          <t>128-10592269107832816</t>
        </is>
      </c>
      <c r="E2136" s="16" t="inlineStr">
        <is>
          <t>Shipped</t>
        </is>
      </c>
      <c r="F2136" s="16" t="inlineStr">
        <is>
          <t>SA325T</t>
        </is>
      </c>
      <c r="G2136" s="16" t="inlineStr">
        <is>
          <t>Subwoofer Portátil Inalámbrico con Luces RGB, Sonido de Alta Potencia y Batería Duradera, TWS TF USB, Perfecto para Campamento Fiestas y Entretenimiento en Casa</t>
        </is>
      </c>
      <c r="H2136" s="16" t="inlineStr">
        <is>
          <t>NEGRO</t>
        </is>
      </c>
      <c r="I2136" s="16" t="n">
        <v>1</v>
      </c>
      <c r="J2136" s="17" t="n">
        <v>37.99</v>
      </c>
      <c r="K2136" s="17" t="n">
        <v>3.93</v>
      </c>
      <c r="L2136" s="17" t="n">
        <v>25.86</v>
      </c>
      <c r="M2136" s="17" t="n">
        <v>0</v>
      </c>
      <c r="N2136" s="17">
        <f>K2136*0.08+L2136*0.08</f>
        <v/>
      </c>
      <c r="O2136" s="17">
        <f>-(K2136*0.025+L2136*0.025)</f>
        <v/>
      </c>
      <c r="P2136" s="17">
        <f>32</f>
        <v/>
      </c>
      <c r="Q2136" s="17">
        <f>J2136+L2136+N2136+O2136-P2136-M2136</f>
        <v/>
      </c>
    </row>
    <row r="2137">
      <c r="A2137" s="16" t="inlineStr">
        <is>
          <t>5.22-5.28</t>
        </is>
      </c>
      <c r="B2137" s="16" t="inlineStr">
        <is>
          <t>PO-128-16135691233912606</t>
        </is>
      </c>
      <c r="C2137" s="16" t="inlineStr">
        <is>
          <t>Shipped</t>
        </is>
      </c>
      <c r="D2137" s="16" t="inlineStr">
        <is>
          <t>128-16135712205432606</t>
        </is>
      </c>
      <c r="E2137" s="16" t="inlineStr">
        <is>
          <t>Shipped</t>
        </is>
      </c>
      <c r="F2137" s="16" t="inlineStr">
        <is>
          <t>LB02235-negro</t>
        </is>
      </c>
      <c r="G2137" s="16" t="inlineStr">
        <is>
          <t>Audífonos Inalámbricos para la Cabeza, Recargables y Multifuncionales - Conectan a Varios Dispositivos, soportan Radio FM, Tarjeta TF y AUX - 4 Horas de Reproducción Musical - Ideal para Trabajo Cotidiano, Juegos y Estudio</t>
        </is>
      </c>
      <c r="H2137" s="16" t="inlineStr">
        <is>
          <t>NEGRO</t>
        </is>
      </c>
      <c r="I2137" s="16" t="n">
        <v>1</v>
      </c>
      <c r="J2137" s="17" t="n">
        <v>36.8</v>
      </c>
      <c r="K2137" s="17" t="n">
        <v>49.91</v>
      </c>
      <c r="L2137" s="17" t="n">
        <v>25.86</v>
      </c>
      <c r="M2137" s="17" t="n">
        <v>0</v>
      </c>
      <c r="N2137" s="17">
        <f>K2137*0.08+L2137*0.08</f>
        <v/>
      </c>
      <c r="O2137" s="17">
        <f>-(K2137*0.025+L2137*0.025)</f>
        <v/>
      </c>
      <c r="P2137" s="17">
        <f>32</f>
        <v/>
      </c>
      <c r="Q2137" s="17">
        <f>J2137+L2137+N2137+O2137-P2137-M2137</f>
        <v/>
      </c>
    </row>
    <row r="2138">
      <c r="A2138" s="16" t="inlineStr">
        <is>
          <t>5.22-5.28</t>
        </is>
      </c>
      <c r="B2138" s="16" t="inlineStr">
        <is>
          <t>PO-128-15956862188153608</t>
        </is>
      </c>
      <c r="C2138" s="16" t="inlineStr">
        <is>
          <t>Shipped</t>
        </is>
      </c>
      <c r="D2138" s="16" t="inlineStr">
        <is>
          <t>128-15956846459513608</t>
        </is>
      </c>
      <c r="E2138" s="16" t="inlineStr">
        <is>
          <t>Shipped</t>
        </is>
      </c>
      <c r="F2138" s="16" t="inlineStr">
        <is>
          <t>MCM-001G</t>
        </is>
      </c>
      <c r="G2138" s="16" t="inlineStr">
        <is>
          <t>Musicord Altavoz Inalámbrico BT Portátil: ¡Sonido impactante, luces LED multicolores y 4 horas de autonomía! Compatible con TWS, FM, TF y USB – Imprescindible para fiestas y viajes</t>
        </is>
      </c>
      <c r="H2138" s="16" t="inlineStr">
        <is>
          <t>GRIS</t>
        </is>
      </c>
      <c r="I2138" s="16" t="n">
        <v>1</v>
      </c>
      <c r="J2138" s="17" t="n">
        <v>51.07</v>
      </c>
      <c r="K2138" s="17" t="n">
        <v>48.84</v>
      </c>
      <c r="L2138" s="17" t="n">
        <v>25.86</v>
      </c>
      <c r="M2138" s="17" t="n">
        <v>0</v>
      </c>
      <c r="N2138" s="17">
        <f>K2138*0.08+L2138*0.08</f>
        <v/>
      </c>
      <c r="O2138" s="17">
        <f>-(K2138*0.025+L2138*0.025)</f>
        <v/>
      </c>
      <c r="P2138" s="17">
        <f>32</f>
        <v/>
      </c>
      <c r="Q2138" s="17">
        <f>J2138+L2138+N2138+O2138-P2138-M2138</f>
        <v/>
      </c>
    </row>
    <row r="2139">
      <c r="A2139" s="16" t="inlineStr">
        <is>
          <t>5.22-5.28</t>
        </is>
      </c>
      <c r="B2139" s="16" t="inlineStr">
        <is>
          <t>PO-128-16184597668471357</t>
        </is>
      </c>
      <c r="C2139" s="16" t="inlineStr">
        <is>
          <t>Shipped</t>
        </is>
      </c>
      <c r="D2139" s="16" t="inlineStr">
        <is>
          <t>128-16184618639991357</t>
        </is>
      </c>
      <c r="E2139" s="16" t="inlineStr">
        <is>
          <t>Shipped</t>
        </is>
      </c>
      <c r="F2139" s="16" t="inlineStr">
        <is>
          <t>HD005</t>
        </is>
      </c>
      <c r="G2139" s="16" t="inlineStr">
        <is>
          <t>Link bits HD005 Antena UHF para Exteriores, Antena de TV Digital HD con 10 Metros de Cable, Recepción 470-862MHz, 9-7dB de Ganancia, Antena para Canales Abiertos y HD, Resistente al Agua y Viento, Fácil Instalación</t>
        </is>
      </c>
      <c r="H2139" s="16" t="inlineStr">
        <is>
          <t>1</t>
        </is>
      </c>
      <c r="I2139" s="16" t="n">
        <v>1</v>
      </c>
      <c r="J2139" s="17" t="n">
        <v>75</v>
      </c>
      <c r="K2139" s="17" t="n">
        <v>74.13</v>
      </c>
      <c r="L2139" s="17" t="n">
        <v>25.86</v>
      </c>
      <c r="M2139" s="17" t="n">
        <v>0</v>
      </c>
      <c r="N2139" s="17">
        <f>K2139*0.08+L2139*0.08</f>
        <v/>
      </c>
      <c r="O2139" s="17">
        <f>-(K2139*0.025+L2139*0.025)</f>
        <v/>
      </c>
      <c r="P2139" s="17">
        <f>32</f>
        <v/>
      </c>
      <c r="Q2139" s="17">
        <f>J2139+L2139+N2139+O2139-P2139-M2139</f>
        <v/>
      </c>
    </row>
    <row r="2140">
      <c r="A2140" s="16" t="inlineStr">
        <is>
          <t>5.22-5.28</t>
        </is>
      </c>
      <c r="B2140" s="16" t="inlineStr">
        <is>
          <t>PO-128-16348760023670312</t>
        </is>
      </c>
      <c r="C2140" s="16" t="inlineStr">
        <is>
          <t>Shipped</t>
        </is>
      </c>
      <c r="D2140" s="16" t="inlineStr">
        <is>
          <t>128-16348864881270312</t>
        </is>
      </c>
      <c r="E2140" s="16" t="inlineStr">
        <is>
          <t>Shipped</t>
        </is>
      </c>
      <c r="F2140" s="16" t="inlineStr">
        <is>
          <t>LB02235-blanco</t>
        </is>
      </c>
      <c r="G2140" s="16" t="inlineStr">
        <is>
          <t>Audífonos Inalámbricos para la Cabeza, Recargables y Multifuncionales - Conectan a Varios Dispositivos, soportan Radio FM, Tarjeta TF y AUX - 4 Horas de Reproducción Musical - Ideal para Trabajo Cotidiano, Juegos y Estudio</t>
        </is>
      </c>
      <c r="H2140" s="16" t="inlineStr">
        <is>
          <t>BLANCO</t>
        </is>
      </c>
      <c r="I2140" s="16" t="n">
        <v>1</v>
      </c>
      <c r="J2140" s="17" t="n">
        <v>36.8</v>
      </c>
      <c r="K2140" s="17" t="n">
        <v>49.91</v>
      </c>
      <c r="L2140" s="17" t="n">
        <v>25.86</v>
      </c>
      <c r="M2140" s="17" t="n">
        <v>0</v>
      </c>
      <c r="N2140" s="17">
        <f>K2140*0.08+L2140*0.08</f>
        <v/>
      </c>
      <c r="O2140" s="17">
        <f>-(K2140*0.025+L2140*0.025)</f>
        <v/>
      </c>
      <c r="P2140" s="17">
        <f>32</f>
        <v/>
      </c>
      <c r="Q2140" s="17">
        <f>J2140+L2140+N2140+O2140-P2140-M2140</f>
        <v/>
      </c>
    </row>
    <row r="2141">
      <c r="A2141" s="16" t="inlineStr">
        <is>
          <t>5.22-5.28</t>
        </is>
      </c>
      <c r="B2141" s="16" t="inlineStr">
        <is>
          <t>PO-128-16183561933431363</t>
        </is>
      </c>
      <c r="C2141" s="16" t="inlineStr">
        <is>
          <t>Shipped</t>
        </is>
      </c>
      <c r="D2141" s="16" t="inlineStr">
        <is>
          <t>128-16183630090871363</t>
        </is>
      </c>
      <c r="E2141" s="16" t="inlineStr">
        <is>
          <t>Shipped</t>
        </is>
      </c>
      <c r="F2141" s="16" t="inlineStr">
        <is>
          <t>VB347T</t>
        </is>
      </c>
      <c r="G214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141" s="16" t="inlineStr">
        <is>
          <t>1 pieza</t>
        </is>
      </c>
      <c r="I2141" s="16" t="n">
        <v>1</v>
      </c>
      <c r="J2141" s="17" t="n">
        <v>79.90000000000001</v>
      </c>
      <c r="K2141" s="17" t="n">
        <v>94.5</v>
      </c>
      <c r="L2141" s="17" t="n">
        <v>25.86</v>
      </c>
      <c r="M2141" s="17" t="n">
        <v>0</v>
      </c>
      <c r="N2141" s="17">
        <f>K2141*0.08+L2141*0.08</f>
        <v/>
      </c>
      <c r="O2141" s="17">
        <f>-(K2141*0.025+L2141*0.025)</f>
        <v/>
      </c>
      <c r="P2141" s="17">
        <f>32</f>
        <v/>
      </c>
      <c r="Q2141" s="17">
        <f>J2141+L2141+N2141+O2141-P2141-M2141</f>
        <v/>
      </c>
    </row>
    <row r="2142">
      <c r="A2142" s="16" t="inlineStr">
        <is>
          <t>5.22-5.28</t>
        </is>
      </c>
      <c r="B2142" s="16" t="inlineStr">
        <is>
          <t>PO-128-15890255565433175</t>
        </is>
      </c>
      <c r="C2142" s="16" t="inlineStr">
        <is>
          <t>Shipped</t>
        </is>
      </c>
      <c r="D2142" s="16" t="inlineStr">
        <is>
          <t>128-15890297508473175</t>
        </is>
      </c>
      <c r="E2142" s="16" t="inlineStr">
        <is>
          <t>Shipped</t>
        </is>
      </c>
      <c r="F2142" s="16" t="inlineStr">
        <is>
          <t>LB02235-azul</t>
        </is>
      </c>
      <c r="G2142" s="16" t="inlineStr">
        <is>
          <t>Audífonos Inalámbricos para la Cabeza, Recargables y Multifuncionales - Conectan a Varios Dispositivos, soportan Radio FM, Tarjeta TF y AUX - 4 Horas de Reproducción Musical - Ideal para Trabajo Cotidiano, Juegos y Estudio</t>
        </is>
      </c>
      <c r="H2142" s="16" t="inlineStr">
        <is>
          <t>AZUL</t>
        </is>
      </c>
      <c r="I2142" s="16" t="n">
        <v>1</v>
      </c>
      <c r="J2142" s="17" t="n">
        <v>36</v>
      </c>
      <c r="K2142" s="17" t="n">
        <v>49.11</v>
      </c>
      <c r="L2142" s="17" t="n">
        <v>25.86</v>
      </c>
      <c r="M2142" s="17" t="n">
        <v>0</v>
      </c>
      <c r="N2142" s="17">
        <f>K2142*0.08+L2142*0.08</f>
        <v/>
      </c>
      <c r="O2142" s="17">
        <f>-(K2142*0.025+L2142*0.025)</f>
        <v/>
      </c>
      <c r="P2142" s="17">
        <f>32</f>
        <v/>
      </c>
      <c r="Q2142" s="17">
        <f>J2142+L2142+N2142+O2142-P2142-M2142</f>
        <v/>
      </c>
    </row>
    <row r="2143">
      <c r="A2143" s="16" t="inlineStr">
        <is>
          <t>5.22-5.28</t>
        </is>
      </c>
      <c r="B2143" s="16" t="inlineStr">
        <is>
          <t>PO-128-15860840510073287</t>
        </is>
      </c>
      <c r="C2143" s="16" t="inlineStr">
        <is>
          <t>Shipped</t>
        </is>
      </c>
      <c r="D2143" s="16" t="inlineStr">
        <is>
          <t>128-15860835267193287</t>
        </is>
      </c>
      <c r="E2143" s="16" t="inlineStr">
        <is>
          <t>Shipped</t>
        </is>
      </c>
      <c r="F2143" s="16" t="inlineStr">
        <is>
          <t>MB-185A</t>
        </is>
      </c>
      <c r="G2143" s="16" t="inlineStr">
        <is>
          <t>Bocina Radio FM/Reproductor, Compatible con Tarjeta TF, USB, Bluetooth, Aplicable para celular, computadora, Ipad y consola.</t>
        </is>
      </c>
      <c r="H2143" s="16" t="inlineStr">
        <is>
          <t>AZUL/MB-185</t>
        </is>
      </c>
      <c r="I2143" s="16" t="n">
        <v>1</v>
      </c>
      <c r="J2143" s="17" t="n">
        <v>73</v>
      </c>
      <c r="K2143" s="17" t="n">
        <v>85.94</v>
      </c>
      <c r="L2143" s="17" t="n">
        <v>25.86</v>
      </c>
      <c r="M2143" s="17" t="n">
        <v>0</v>
      </c>
      <c r="N2143" s="17">
        <f>K2143*0.08+L2143*0.08</f>
        <v/>
      </c>
      <c r="O2143" s="17">
        <f>-(K2143*0.025+L2143*0.025)</f>
        <v/>
      </c>
      <c r="P2143" s="17">
        <f>32</f>
        <v/>
      </c>
      <c r="Q2143" s="17">
        <f>J2143+L2143+N2143+O2143-P2143-M2143</f>
        <v/>
      </c>
    </row>
    <row r="2144">
      <c r="A2144" s="16" t="inlineStr">
        <is>
          <t>5.22-5.28</t>
        </is>
      </c>
      <c r="B2144" s="16" t="inlineStr">
        <is>
          <t>PO-128-16164127345271479</t>
        </is>
      </c>
      <c r="C2144" s="16" t="inlineStr">
        <is>
          <t>Shipped</t>
        </is>
      </c>
      <c r="D2144" s="16" t="inlineStr">
        <is>
          <t>128-16164148316791479</t>
        </is>
      </c>
      <c r="E2144" s="16" t="inlineStr">
        <is>
          <t>Shipped</t>
        </is>
      </c>
      <c r="F2144" s="16" t="inlineStr">
        <is>
          <t>LB02235-rojo</t>
        </is>
      </c>
      <c r="G2144" s="16" t="inlineStr">
        <is>
          <t>Audífonos Inalámbricos para la Cabeza, Recargables y Multifuncionales - Conectan a Varios Dispositivos, soportan Radio FM, Tarjeta TF y AUX - 4 Horas de Reproducción Musical - Ideal para Trabajo Cotidiano, Juegos y Estudio</t>
        </is>
      </c>
      <c r="H2144" s="16" t="inlineStr">
        <is>
          <t>ROJO</t>
        </is>
      </c>
      <c r="I2144" s="16" t="n">
        <v>1</v>
      </c>
      <c r="J2144" s="17" t="n">
        <v>36.8</v>
      </c>
      <c r="K2144" s="17" t="n">
        <v>49.91</v>
      </c>
      <c r="L2144" s="17" t="n">
        <v>25.86</v>
      </c>
      <c r="M2144" s="17" t="n">
        <v>0</v>
      </c>
      <c r="N2144" s="17">
        <f>K2144*0.08+L2144*0.08</f>
        <v/>
      </c>
      <c r="O2144" s="17">
        <f>-(K2144*0.025+L2144*0.025)</f>
        <v/>
      </c>
      <c r="P2144" s="17">
        <f>32</f>
        <v/>
      </c>
      <c r="Q2144" s="17">
        <f>J2144+L2144+N2144+O2144-P2144-M2144</f>
        <v/>
      </c>
    </row>
    <row r="2145">
      <c r="A2145" s="16" t="inlineStr">
        <is>
          <t>5.22-5.28</t>
        </is>
      </c>
      <c r="B2145" s="16" t="inlineStr">
        <is>
          <t>PO-128-16488728745590630</t>
        </is>
      </c>
      <c r="C2145" s="16" t="inlineStr">
        <is>
          <t>Shipped</t>
        </is>
      </c>
      <c r="D2145" s="16" t="inlineStr">
        <is>
          <t>128-16488686802550630</t>
        </is>
      </c>
      <c r="E2145" s="16" t="inlineStr">
        <is>
          <t>Shipped</t>
        </is>
      </c>
      <c r="F2145" s="16" t="inlineStr">
        <is>
          <t>MB-185N</t>
        </is>
      </c>
      <c r="G2145" s="16" t="inlineStr">
        <is>
          <t>Bocina Radio FM/Reproductor, Compatible con Tarjeta TF, USB, Bluetooth, Aplicable para celular, computadora, Ipad y consola.</t>
        </is>
      </c>
      <c r="H2145" s="16" t="inlineStr">
        <is>
          <t>NEGRO/MB-185</t>
        </is>
      </c>
      <c r="I2145" s="16" t="n">
        <v>1</v>
      </c>
      <c r="J2145" s="17" t="n">
        <v>75.5</v>
      </c>
      <c r="K2145" s="17" t="n">
        <v>88.44</v>
      </c>
      <c r="L2145" s="17" t="n">
        <v>25.86</v>
      </c>
      <c r="M2145" s="17" t="n">
        <v>0</v>
      </c>
      <c r="N2145" s="17">
        <f>K2145*0.08+L2145*0.08</f>
        <v/>
      </c>
      <c r="O2145" s="17">
        <f>-(K2145*0.025+L2145*0.025)</f>
        <v/>
      </c>
      <c r="P2145" s="17">
        <f>32</f>
        <v/>
      </c>
      <c r="Q2145" s="17">
        <f>J2145+L2145+N2145+O2145-P2145-M2145</f>
        <v/>
      </c>
    </row>
    <row r="2146">
      <c r="A2146" s="16" t="inlineStr">
        <is>
          <t>5.22-5.28</t>
        </is>
      </c>
      <c r="B2146" s="16" t="inlineStr">
        <is>
          <t>PO-128-16003649608312307</t>
        </is>
      </c>
      <c r="C2146" s="16" t="inlineStr">
        <is>
          <t>Shipped</t>
        </is>
      </c>
      <c r="D2146" s="16" t="inlineStr">
        <is>
          <t>128-16003628636792307</t>
        </is>
      </c>
      <c r="E2146" s="16" t="inlineStr">
        <is>
          <t>Shipped</t>
        </is>
      </c>
      <c r="F2146" s="16" t="inlineStr">
        <is>
          <t>LB02235-negro</t>
        </is>
      </c>
      <c r="G2146" s="16" t="inlineStr">
        <is>
          <t>Audífonos Inalámbricos para la Cabeza, Recargables y Multifuncionales - Conectan a Varios Dispositivos, soportan Radio FM, Tarjeta TF y AUX - 4 Horas de Reproducción Musical - Ideal para Trabajo Cotidiano, Juegos y Estudio</t>
        </is>
      </c>
      <c r="H2146" s="16" t="inlineStr">
        <is>
          <t>NEGRO</t>
        </is>
      </c>
      <c r="I2146" s="16" t="n">
        <v>1</v>
      </c>
      <c r="J2146" s="17" t="n">
        <v>36.8</v>
      </c>
      <c r="K2146" s="17" t="n">
        <v>49.91</v>
      </c>
      <c r="L2146" s="17" t="n">
        <v>25.86</v>
      </c>
      <c r="M2146" s="17" t="n">
        <v>0</v>
      </c>
      <c r="N2146" s="17">
        <f>K2146*0.08+L2146*0.08</f>
        <v/>
      </c>
      <c r="O2146" s="17">
        <f>-(K2146*0.025+L2146*0.025)</f>
        <v/>
      </c>
      <c r="P2146" s="17">
        <f>32</f>
        <v/>
      </c>
      <c r="Q2146" s="17">
        <f>J2146+L2146+N2146+O2146-P2146-M2146</f>
        <v/>
      </c>
    </row>
    <row r="2147">
      <c r="A2147" s="16" t="inlineStr">
        <is>
          <t>5.22-5.28</t>
        </is>
      </c>
      <c r="B2147" s="16" t="inlineStr">
        <is>
          <t>PO-128-15992632387192501</t>
        </is>
      </c>
      <c r="C2147" s="16" t="inlineStr">
        <is>
          <t>Shipped</t>
        </is>
      </c>
      <c r="D2147" s="16" t="inlineStr">
        <is>
          <t>128-15992708408952501</t>
        </is>
      </c>
      <c r="E2147" s="16" t="inlineStr">
        <is>
          <t>Shipped</t>
        </is>
      </c>
      <c r="F2147" s="16" t="inlineStr">
        <is>
          <t>MB-185R</t>
        </is>
      </c>
      <c r="G2147" s="16" t="inlineStr">
        <is>
          <t>Bocina Radio FM/Reproductor, Compatible con Tarjeta TF, USB, Bluetooth, Aplicable para celular, computadora, Ipad y consola.</t>
        </is>
      </c>
      <c r="H2147" s="16" t="inlineStr">
        <is>
          <t>ROJO/MB-185</t>
        </is>
      </c>
      <c r="I2147" s="16" t="n">
        <v>1</v>
      </c>
      <c r="J2147" s="17" t="n">
        <v>75.5</v>
      </c>
      <c r="K2147" s="17" t="n">
        <v>88.44</v>
      </c>
      <c r="L2147" s="17" t="n">
        <v>25.86</v>
      </c>
      <c r="M2147" s="17" t="n">
        <v>0</v>
      </c>
      <c r="N2147" s="17">
        <f>K2147*0.08+L2147*0.08</f>
        <v/>
      </c>
      <c r="O2147" s="17">
        <f>-(K2147*0.025+L2147*0.025)</f>
        <v/>
      </c>
      <c r="P2147" s="17">
        <f>32</f>
        <v/>
      </c>
      <c r="Q2147" s="17">
        <f>J2147+L2147+N2147+O2147-P2147-M2147</f>
        <v/>
      </c>
    </row>
    <row r="2148">
      <c r="A2148" s="16" t="inlineStr">
        <is>
          <t>5.22-5.28</t>
        </is>
      </c>
      <c r="B2148" s="16" t="inlineStr">
        <is>
          <t>PO-128-16121418158712757</t>
        </is>
      </c>
      <c r="C2148" s="16" t="inlineStr">
        <is>
          <t>Shipped</t>
        </is>
      </c>
      <c r="D2148" s="16" t="inlineStr">
        <is>
          <t>128-16121414226552757</t>
        </is>
      </c>
      <c r="E2148" s="16" t="inlineStr">
        <is>
          <t>Shipped</t>
        </is>
      </c>
      <c r="F2148" s="16" t="inlineStr">
        <is>
          <t>S09W18IB</t>
        </is>
      </c>
      <c r="G214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148" s="16" t="inlineStr">
        <is>
          <t>1 pieza</t>
        </is>
      </c>
      <c r="I2148" s="16" t="n">
        <v>1</v>
      </c>
      <c r="J2148" s="17" t="n">
        <v>29</v>
      </c>
      <c r="K2148" s="17" t="n">
        <v>39.64</v>
      </c>
      <c r="L2148" s="17" t="n">
        <v>25.86</v>
      </c>
      <c r="M2148" s="17" t="n">
        <v>0</v>
      </c>
      <c r="N2148" s="17">
        <f>K2148*0.08+L2148*0.08</f>
        <v/>
      </c>
      <c r="O2148" s="17">
        <f>-(K2148*0.025+L2148*0.025)</f>
        <v/>
      </c>
      <c r="P2148" s="17">
        <f>32</f>
        <v/>
      </c>
      <c r="Q2148" s="17">
        <f>J2148+L2148+N2148+O2148-P2148-M2148</f>
        <v/>
      </c>
    </row>
    <row r="2149">
      <c r="A2149" s="16" t="inlineStr">
        <is>
          <t>5.22-5.28</t>
        </is>
      </c>
      <c r="B2149" s="16" t="inlineStr">
        <is>
          <t>PO-128-16440683274870852</t>
        </is>
      </c>
      <c r="C2149" s="16" t="inlineStr">
        <is>
          <t>Shipped</t>
        </is>
      </c>
      <c r="D2149" s="16" t="inlineStr">
        <is>
          <t>128-16440819589750852</t>
        </is>
      </c>
      <c r="E2149" s="16" t="inlineStr">
        <is>
          <t>Shipped</t>
        </is>
      </c>
      <c r="F2149" s="16" t="inlineStr">
        <is>
          <t>FA028</t>
        </is>
      </c>
      <c r="G2149" s="16" t="inlineStr">
        <is>
          <t>Extractor de agua para garrafas de agua, compatible con carga USB, extractor de agua automático, práctico, con dos modos de toma de agua: manual y programado, ideal para dormitorios, salones, oficinas, uso al aire libre y otros escenarios.</t>
        </is>
      </c>
      <c r="H2149" s="16" t="inlineStr">
        <is>
          <t>FA028</t>
        </is>
      </c>
      <c r="I2149" s="16" t="n">
        <v>1</v>
      </c>
      <c r="J2149" s="17" t="n">
        <v>35</v>
      </c>
      <c r="K2149" s="17" t="n">
        <v>1.48</v>
      </c>
      <c r="L2149" s="17" t="n">
        <v>25.86</v>
      </c>
      <c r="M2149" s="17" t="n">
        <v>0</v>
      </c>
      <c r="N2149" s="17">
        <f>K2149*0.08+L2149*0.08</f>
        <v/>
      </c>
      <c r="O2149" s="17">
        <f>-(K2149*0.025+L2149*0.025)</f>
        <v/>
      </c>
      <c r="P2149" s="17">
        <f>32</f>
        <v/>
      </c>
      <c r="Q2149" s="17">
        <f>J2149+L2149+N2149+O2149-P2149-M2149</f>
        <v/>
      </c>
    </row>
    <row r="2150">
      <c r="A2150" s="16" t="inlineStr">
        <is>
          <t>5.22-5.28</t>
        </is>
      </c>
      <c r="B2150" s="16" t="inlineStr">
        <is>
          <t>PO-128-15819064223353534</t>
        </is>
      </c>
      <c r="C2150" s="16" t="inlineStr">
        <is>
          <t>Shipped</t>
        </is>
      </c>
      <c r="D2150" s="16" t="inlineStr">
        <is>
          <t>128-15819022280313534</t>
        </is>
      </c>
      <c r="E2150" s="16" t="inlineStr">
        <is>
          <t>Shipped</t>
        </is>
      </c>
      <c r="F2150" s="16" t="inlineStr">
        <is>
          <t>LB02235-rojo</t>
        </is>
      </c>
      <c r="G2150" s="16" t="inlineStr">
        <is>
          <t>Audífonos Inalámbricos para la Cabeza, Recargables y Multifuncionales - Conectan a Varios Dispositivos, soportan Radio FM, Tarjeta TF y AUX - 4 Horas de Reproducción Musical - Ideal para Trabajo Cotidiano, Juegos y Estudio</t>
        </is>
      </c>
      <c r="H2150" s="16" t="inlineStr">
        <is>
          <t>ROJO</t>
        </is>
      </c>
      <c r="I2150" s="16" t="n">
        <v>1</v>
      </c>
      <c r="J2150" s="17" t="n">
        <v>36.8</v>
      </c>
      <c r="K2150" s="17" t="n">
        <v>49.91</v>
      </c>
      <c r="L2150" s="17" t="n">
        <v>12.93</v>
      </c>
      <c r="M2150" s="17" t="n">
        <v>0</v>
      </c>
      <c r="N2150" s="17">
        <f>K2150*0.08+L2150*0.08</f>
        <v/>
      </c>
      <c r="O2150" s="17">
        <f>-(K2150*0.025+L2150*0.025)</f>
        <v/>
      </c>
      <c r="P2150" s="17">
        <f>32</f>
        <v/>
      </c>
      <c r="Q2150" s="17">
        <f>J2150+L2150+N2150+O2150-P2150-M2150</f>
        <v/>
      </c>
    </row>
    <row r="2151">
      <c r="A2151" s="16" t="inlineStr">
        <is>
          <t>5.22-5.28</t>
        </is>
      </c>
      <c r="B2151" s="16" t="inlineStr">
        <is>
          <t>PO-128-15819064223353534</t>
        </is>
      </c>
      <c r="C2151" s="16" t="inlineStr">
        <is>
          <t>Shipped</t>
        </is>
      </c>
      <c r="D2151" s="16" t="inlineStr">
        <is>
          <t>128-15819043251833534</t>
        </is>
      </c>
      <c r="E2151" s="16" t="inlineStr">
        <is>
          <t>Shipped</t>
        </is>
      </c>
      <c r="F2151" s="16" t="inlineStr">
        <is>
          <t>LB02235-negro</t>
        </is>
      </c>
      <c r="G2151" s="16" t="inlineStr">
        <is>
          <t>Audífonos Inalámbricos para la Cabeza, Recargables y Multifuncionales - Conectan a Varios Dispositivos, soportan Radio FM, Tarjeta TF y AUX - 4 Horas de Reproducción Musical - Ideal para Trabajo Cotidiano, Juegos y Estudio</t>
        </is>
      </c>
      <c r="H2151" s="16" t="inlineStr">
        <is>
          <t>NEGRO</t>
        </is>
      </c>
      <c r="I2151" s="16" t="n">
        <v>1</v>
      </c>
      <c r="J2151" s="17" t="n">
        <v>36.8</v>
      </c>
      <c r="K2151" s="17" t="n">
        <v>49.91</v>
      </c>
      <c r="L2151" s="17" t="n">
        <v>12.93</v>
      </c>
      <c r="M2151" s="17" t="n">
        <v>0</v>
      </c>
      <c r="N2151" s="17">
        <f>K2151*0.08+L2151*0.08</f>
        <v/>
      </c>
      <c r="O2151" s="17">
        <f>-(K2151*0.025+L2151*0.025)</f>
        <v/>
      </c>
      <c r="P2151" s="17">
        <f>32</f>
        <v/>
      </c>
      <c r="Q2151" s="17">
        <f>J2151+L2151+N2151+O2151-P2151-M2151</f>
        <v/>
      </c>
    </row>
    <row r="2152">
      <c r="A2152" s="16" t="inlineStr">
        <is>
          <t>5.22-5.28</t>
        </is>
      </c>
      <c r="B2152" s="16" t="inlineStr">
        <is>
          <t>PO-128-15915534994553857</t>
        </is>
      </c>
      <c r="C2152" s="16" t="inlineStr">
        <is>
          <t>Shipped</t>
        </is>
      </c>
      <c r="D2152" s="16" t="inlineStr">
        <is>
          <t>128-15915493051513857</t>
        </is>
      </c>
      <c r="E2152" s="16" t="inlineStr">
        <is>
          <t>Shipped</t>
        </is>
      </c>
      <c r="F2152" s="16" t="inlineStr">
        <is>
          <t>T2835CM16A</t>
        </is>
      </c>
      <c r="G2152" s="16" t="inlineStr">
        <is>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is>
      </c>
      <c r="H2152" s="16" t="inlineStr">
        <is>
          <t>T2835CM16A</t>
        </is>
      </c>
      <c r="I2152" s="16" t="n">
        <v>2</v>
      </c>
      <c r="J2152" s="17" t="n">
        <v>144</v>
      </c>
      <c r="K2152" s="17" t="n">
        <v>187.88</v>
      </c>
      <c r="L2152" s="17" t="n">
        <v>25.86</v>
      </c>
      <c r="M2152" s="17" t="n">
        <v>0</v>
      </c>
      <c r="N2152" s="17">
        <f>K2152*0.08+L2152*0.08</f>
        <v/>
      </c>
      <c r="O2152" s="17">
        <f>-(K2152*0.025+L2152*0.025)</f>
        <v/>
      </c>
      <c r="P2152" s="17">
        <f>32</f>
        <v/>
      </c>
      <c r="Q2152" s="17">
        <f>J2152+L2152+N2152+O2152-P2152-M2152</f>
        <v/>
      </c>
    </row>
    <row r="2153">
      <c r="A2153" s="16" t="inlineStr">
        <is>
          <t>5.22-5.28</t>
        </is>
      </c>
      <c r="B2153" s="16" t="inlineStr">
        <is>
          <t>PO-128-16257780306551817</t>
        </is>
      </c>
      <c r="C2153" s="16" t="inlineStr">
        <is>
          <t>Shipped</t>
        </is>
      </c>
      <c r="D2153" s="16" t="inlineStr">
        <is>
          <t>128-16257785549431817</t>
        </is>
      </c>
      <c r="E2153" s="16" t="inlineStr">
        <is>
          <t>Shipped</t>
        </is>
      </c>
      <c r="F2153" s="16" t="inlineStr">
        <is>
          <t>SA325T</t>
        </is>
      </c>
      <c r="G2153" s="16" t="inlineStr">
        <is>
          <t>Subwoofer Portátil Inalámbrico con Luces RGB, Sonido de Alta Potencia y Batería Duradera, TWS TF USB, Perfecto para Campamento Fiestas y Entretenimiento en Casa</t>
        </is>
      </c>
      <c r="H2153" s="16" t="inlineStr">
        <is>
          <t>NEGRO</t>
        </is>
      </c>
      <c r="I2153" s="16" t="n">
        <v>1</v>
      </c>
      <c r="J2153" s="17" t="n">
        <v>37.99</v>
      </c>
      <c r="K2153" s="17" t="n">
        <v>38.01</v>
      </c>
      <c r="L2153" s="17" t="n">
        <v>25.86</v>
      </c>
      <c r="M2153" s="17" t="n">
        <v>1.61</v>
      </c>
      <c r="N2153" s="17">
        <f>K2153*0.08+L2153*0.08</f>
        <v/>
      </c>
      <c r="O2153" s="17">
        <f>-(K2153*0.025+L2153*0.025)</f>
        <v/>
      </c>
      <c r="P2153" s="17">
        <f>32</f>
        <v/>
      </c>
      <c r="Q2153" s="17">
        <f>J2153+L2153+N2153+O2153-P2153-M2153</f>
        <v/>
      </c>
    </row>
    <row r="2154">
      <c r="A2154" s="16" t="inlineStr">
        <is>
          <t>5.22-5.28</t>
        </is>
      </c>
      <c r="B2154" s="16" t="inlineStr">
        <is>
          <t>PO-128-16363943987830158</t>
        </is>
      </c>
      <c r="C2154" s="16" t="inlineStr">
        <is>
          <t>Shipped</t>
        </is>
      </c>
      <c r="D2154" s="16" t="inlineStr">
        <is>
          <t>128-16363946609270158</t>
        </is>
      </c>
      <c r="E2154" s="16" t="inlineStr">
        <is>
          <t>Shipped</t>
        </is>
      </c>
      <c r="F2154" s="16" t="inlineStr">
        <is>
          <t>VB347T</t>
        </is>
      </c>
      <c r="G215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154" s="16" t="inlineStr">
        <is>
          <t>1 pieza</t>
        </is>
      </c>
      <c r="I2154" s="16" t="n">
        <v>3</v>
      </c>
      <c r="J2154" s="17" t="n">
        <v>239.7</v>
      </c>
      <c r="K2154" s="17" t="n">
        <v>244.02</v>
      </c>
      <c r="L2154" s="17" t="n">
        <v>0</v>
      </c>
      <c r="M2154" s="17" t="n">
        <v>0</v>
      </c>
      <c r="N2154" s="17">
        <f>K2154*0.08+L2154*0.08</f>
        <v/>
      </c>
      <c r="O2154" s="17">
        <f>-(K2154*0.025+L2154*0.025)</f>
        <v/>
      </c>
      <c r="P2154" s="17">
        <f>32</f>
        <v/>
      </c>
      <c r="Q2154" s="17">
        <f>J2154+L2154+N2154+O2154-P2154-M2154</f>
        <v/>
      </c>
    </row>
    <row r="2155">
      <c r="A2155" s="16" t="inlineStr">
        <is>
          <t>5.22-5.28</t>
        </is>
      </c>
      <c r="B2155" s="16" t="inlineStr">
        <is>
          <t>PO-128-16069495399033003</t>
        </is>
      </c>
      <c r="C2155" s="16" t="inlineStr">
        <is>
          <t>Shipped</t>
        </is>
      </c>
      <c r="D2155" s="16" t="inlineStr">
        <is>
          <t>128-16069516370553003</t>
        </is>
      </c>
      <c r="E2155" s="16" t="inlineStr">
        <is>
          <t>Shipped</t>
        </is>
      </c>
      <c r="F2155" s="16" t="inlineStr">
        <is>
          <t>LB02235-blanco</t>
        </is>
      </c>
      <c r="G2155" s="16" t="inlineStr">
        <is>
          <t>Audífonos Inalámbricos para la Cabeza, Recargables y Multifuncionales - Conectan a Varios Dispositivos, soportan Radio FM, Tarjeta TF y AUX - 4 Horas de Reproducción Musical - Ideal para Trabajo Cotidiano, Juegos y Estudio</t>
        </is>
      </c>
      <c r="H2155" s="16" t="inlineStr">
        <is>
          <t>BLANCO</t>
        </is>
      </c>
      <c r="I2155" s="16" t="n">
        <v>1</v>
      </c>
      <c r="J2155" s="17" t="n">
        <v>36.8</v>
      </c>
      <c r="K2155" s="17" t="n">
        <v>42.43</v>
      </c>
      <c r="L2155" s="17" t="n">
        <v>6.49</v>
      </c>
      <c r="M2155" s="17" t="n">
        <v>0</v>
      </c>
      <c r="N2155" s="17">
        <f>K2155*0.08+L2155*0.08</f>
        <v/>
      </c>
      <c r="O2155" s="17">
        <f>-(K2155*0.025+L2155*0.025)</f>
        <v/>
      </c>
      <c r="P2155" s="17">
        <f>32</f>
        <v/>
      </c>
      <c r="Q2155" s="17">
        <f>J2155+L2155+N2155+O2155-P2155-M2155</f>
        <v/>
      </c>
    </row>
    <row r="2156">
      <c r="A2156" s="16" t="inlineStr">
        <is>
          <t>5.22-5.28</t>
        </is>
      </c>
      <c r="B2156" s="16" t="inlineStr">
        <is>
          <t>PO-128-16069495399033003</t>
        </is>
      </c>
      <c r="C2156" s="16" t="inlineStr">
        <is>
          <t>Shipped</t>
        </is>
      </c>
      <c r="D2156" s="16" t="inlineStr">
        <is>
          <t>128-16069521613433003</t>
        </is>
      </c>
      <c r="E2156" s="16" t="inlineStr">
        <is>
          <t>Shipped</t>
        </is>
      </c>
      <c r="F2156" s="16" t="inlineStr">
        <is>
          <t>LB02235-rojo</t>
        </is>
      </c>
      <c r="G2156" s="16" t="inlineStr">
        <is>
          <t>Audífonos Inalámbricos para la Cabeza, Recargables y Multifuncionales - Conectan a Varios Dispositivos, soportan Radio FM, Tarjeta TF y AUX - 4 Horas de Reproducción Musical - Ideal para Trabajo Cotidiano, Juegos y Estudio</t>
        </is>
      </c>
      <c r="H2156" s="16" t="inlineStr">
        <is>
          <t>ROJO</t>
        </is>
      </c>
      <c r="I2156" s="16" t="n">
        <v>1</v>
      </c>
      <c r="J2156" s="17" t="n">
        <v>36.8</v>
      </c>
      <c r="K2156" s="17" t="n">
        <v>42.43</v>
      </c>
      <c r="L2156" s="17" t="n">
        <v>6.5</v>
      </c>
      <c r="M2156" s="17" t="n">
        <v>0</v>
      </c>
      <c r="N2156" s="17">
        <f>K2156*0.08+L2156*0.08</f>
        <v/>
      </c>
      <c r="O2156" s="17">
        <f>-(K2156*0.025+L2156*0.025)</f>
        <v/>
      </c>
      <c r="P2156" s="17">
        <f>32</f>
        <v/>
      </c>
      <c r="Q2156" s="17">
        <f>J2156+L2156+N2156+O2156-P2156-M2156</f>
        <v/>
      </c>
    </row>
    <row r="2157">
      <c r="A2157" s="16" t="inlineStr">
        <is>
          <t>5.22-5.28</t>
        </is>
      </c>
      <c r="B2157" s="16" t="inlineStr">
        <is>
          <t>PO-128-16069495399033003</t>
        </is>
      </c>
      <c r="C2157" s="16" t="inlineStr">
        <is>
          <t>Shipped</t>
        </is>
      </c>
      <c r="D2157" s="16" t="inlineStr">
        <is>
          <t>128-16069500641913003</t>
        </is>
      </c>
      <c r="E2157" s="16" t="inlineStr">
        <is>
          <t>Shipped</t>
        </is>
      </c>
      <c r="F2157" s="16" t="inlineStr">
        <is>
          <t>LB02235-negro</t>
        </is>
      </c>
      <c r="G2157" s="16" t="inlineStr">
        <is>
          <t>Audífonos Inalámbricos para la Cabeza, Recargables y Multifuncionales - Conectan a Varios Dispositivos, soportan Radio FM, Tarjeta TF y AUX - 4 Horas de Reproducción Musical - Ideal para Trabajo Cotidiano, Juegos y Estudio</t>
        </is>
      </c>
      <c r="H2157" s="16" t="inlineStr">
        <is>
          <t>NEGRO</t>
        </is>
      </c>
      <c r="I2157" s="16" t="n">
        <v>1</v>
      </c>
      <c r="J2157" s="17" t="n">
        <v>36.8</v>
      </c>
      <c r="K2157" s="17" t="n">
        <v>42.43</v>
      </c>
      <c r="L2157" s="17" t="n">
        <v>6.49</v>
      </c>
      <c r="M2157" s="17" t="n">
        <v>0</v>
      </c>
      <c r="N2157" s="17">
        <f>K2157*0.08+L2157*0.08</f>
        <v/>
      </c>
      <c r="O2157" s="17">
        <f>-(K2157*0.025+L2157*0.025)</f>
        <v/>
      </c>
      <c r="P2157" s="17">
        <f>32</f>
        <v/>
      </c>
      <c r="Q2157" s="17">
        <f>J2157+L2157+N2157+O2157-P2157-M2157</f>
        <v/>
      </c>
    </row>
    <row r="2158">
      <c r="A2158" s="16" t="inlineStr">
        <is>
          <t>5.22-5.28</t>
        </is>
      </c>
      <c r="B2158" s="16" t="inlineStr">
        <is>
          <t>PO-128-16069495399033003</t>
        </is>
      </c>
      <c r="C2158" s="16" t="inlineStr">
        <is>
          <t>Shipped</t>
        </is>
      </c>
      <c r="D2158" s="16" t="inlineStr">
        <is>
          <t>128-16069542584953003</t>
        </is>
      </c>
      <c r="E2158" s="16" t="inlineStr">
        <is>
          <t>Shipped</t>
        </is>
      </c>
      <c r="F2158" s="16" t="inlineStr">
        <is>
          <t>LB02235-azul</t>
        </is>
      </c>
      <c r="G2158" s="16" t="inlineStr">
        <is>
          <t>Audífonos Inalámbricos para la Cabeza, Recargables y Multifuncionales - Conectan a Varios Dispositivos, soportan Radio FM, Tarjeta TF y AUX - 4 Horas de Reproducción Musical - Ideal para Trabajo Cotidiano, Juegos y Estudio</t>
        </is>
      </c>
      <c r="H2158" s="16" t="inlineStr">
        <is>
          <t>AZUL</t>
        </is>
      </c>
      <c r="I2158" s="16" t="n">
        <v>1</v>
      </c>
      <c r="J2158" s="17" t="n">
        <v>36</v>
      </c>
      <c r="K2158" s="17" t="n">
        <v>41.73</v>
      </c>
      <c r="L2158" s="17" t="n">
        <v>6.38</v>
      </c>
      <c r="M2158" s="17" t="n">
        <v>0</v>
      </c>
      <c r="N2158" s="17">
        <f>K2158*0.08+L2158*0.08</f>
        <v/>
      </c>
      <c r="O2158" s="17">
        <f>-(K2158*0.025+L2158*0.025)</f>
        <v/>
      </c>
      <c r="P2158" s="17">
        <f>32</f>
        <v/>
      </c>
      <c r="Q2158" s="17">
        <f>J2158+L2158+N2158+O2158-P2158-M2158</f>
        <v/>
      </c>
    </row>
    <row r="2159">
      <c r="A2159" s="16" t="inlineStr">
        <is>
          <t>5.22-5.28</t>
        </is>
      </c>
      <c r="B2159" s="16" t="inlineStr">
        <is>
          <t>PO-128-16132563461752563</t>
        </is>
      </c>
      <c r="C2159" s="16" t="inlineStr">
        <is>
          <t>Shipped</t>
        </is>
      </c>
      <c r="D2159" s="16" t="inlineStr">
        <is>
          <t>128-16132507100792563</t>
        </is>
      </c>
      <c r="E2159" s="16" t="inlineStr">
        <is>
          <t>Shipped</t>
        </is>
      </c>
      <c r="F2159" s="16" t="inlineStr">
        <is>
          <t>SA325T</t>
        </is>
      </c>
      <c r="G2159" s="16" t="inlineStr">
        <is>
          <t>Subwoofer Portátil Inalámbrico con Luces RGB, Sonido de Alta Potencia y Batería Duradera, TWS TF USB, Perfecto para Campamento Fiestas y Entretenimiento en Casa</t>
        </is>
      </c>
      <c r="H2159" s="16" t="inlineStr">
        <is>
          <t>NEGRO</t>
        </is>
      </c>
      <c r="I2159" s="16" t="n">
        <v>2</v>
      </c>
      <c r="J2159" s="17" t="n">
        <v>75.98</v>
      </c>
      <c r="K2159" s="17" t="n">
        <v>79</v>
      </c>
      <c r="L2159" s="17" t="n">
        <v>25.86</v>
      </c>
      <c r="M2159" s="17" t="n">
        <v>0</v>
      </c>
      <c r="N2159" s="17">
        <f>K2159*0.08+L2159*0.08</f>
        <v/>
      </c>
      <c r="O2159" s="17">
        <f>-(K2159*0.025+L2159*0.025)</f>
        <v/>
      </c>
      <c r="P2159" s="17">
        <f>32</f>
        <v/>
      </c>
      <c r="Q2159" s="17">
        <f>J2159+L2159+N2159+O2159-P2159-M2159</f>
        <v/>
      </c>
    </row>
    <row r="2160">
      <c r="A2160" s="16" t="inlineStr">
        <is>
          <t>5.22-5.28</t>
        </is>
      </c>
      <c r="B2160" s="16" t="inlineStr">
        <is>
          <t>PO-128-16274568177271909</t>
        </is>
      </c>
      <c r="C2160" s="16" t="inlineStr">
        <is>
          <t>Shipped</t>
        </is>
      </c>
      <c r="D2160" s="16" t="inlineStr">
        <is>
          <t>128-16274526234231909</t>
        </is>
      </c>
      <c r="E2160" s="16" t="inlineStr">
        <is>
          <t>Shipped</t>
        </is>
      </c>
      <c r="F2160" s="16" t="inlineStr">
        <is>
          <t>MB-178-N</t>
        </is>
      </c>
      <c r="G2160" s="16" t="inlineStr">
        <is>
          <t>Bocina de Barra Bluetooth LINK BITS con dos altavoces, sonido de alta calidad y multifuncional (Bluetooth, Radio FM, USB, TF, AUX, TWS), ideal para juegos, reuniones, oficina y cine en casa.</t>
        </is>
      </c>
      <c r="H2160" s="16" t="inlineStr">
        <is>
          <t>NEGRO</t>
        </is>
      </c>
      <c r="I2160" s="16" t="n">
        <v>2</v>
      </c>
      <c r="J2160" s="17" t="n">
        <v>250</v>
      </c>
      <c r="K2160" s="17" t="n">
        <v>288.68</v>
      </c>
      <c r="L2160" s="17" t="n">
        <v>0</v>
      </c>
      <c r="M2160" s="17" t="n">
        <v>0</v>
      </c>
      <c r="N2160" s="17">
        <f>K2160*0.08+L2160*0.08</f>
        <v/>
      </c>
      <c r="O2160" s="17">
        <f>-(K2160*0.025+L2160*0.025)</f>
        <v/>
      </c>
      <c r="P2160" s="17">
        <f>32</f>
        <v/>
      </c>
      <c r="Q2160" s="17">
        <f>J2160+L2160+N2160+O2160-P2160-M2160</f>
        <v/>
      </c>
    </row>
    <row r="2161">
      <c r="A2161" s="16" t="inlineStr">
        <is>
          <t>5.22-5.28</t>
        </is>
      </c>
      <c r="B2161" s="16" t="inlineStr">
        <is>
          <t>PO-128-16136834488952601</t>
        </is>
      </c>
      <c r="C2161" s="16" t="inlineStr">
        <is>
          <t>Shipped</t>
        </is>
      </c>
      <c r="D2161" s="16" t="inlineStr">
        <is>
          <t>128-16136910510712601</t>
        </is>
      </c>
      <c r="E2161" s="16" t="inlineStr">
        <is>
          <t>Shipped</t>
        </is>
      </c>
      <c r="F2161" s="16" t="inlineStr">
        <is>
          <t>MB-185A</t>
        </is>
      </c>
      <c r="G2161" s="16" t="inlineStr">
        <is>
          <t>Bocina Radio FM/Reproductor, Compatible con Tarjeta TF, USB, Bluetooth, Aplicable para celular, computadora, Ipad y consola.</t>
        </is>
      </c>
      <c r="H2161" s="16" t="inlineStr">
        <is>
          <t>AZUL/MB-185</t>
        </is>
      </c>
      <c r="I2161" s="16" t="n">
        <v>1</v>
      </c>
      <c r="J2161" s="17" t="n">
        <v>73</v>
      </c>
      <c r="K2161" s="17" t="n">
        <v>85.94</v>
      </c>
      <c r="L2161" s="17" t="n">
        <v>25.86</v>
      </c>
      <c r="M2161" s="17" t="n">
        <v>0</v>
      </c>
      <c r="N2161" s="17">
        <f>K2161*0.08+L2161*0.08</f>
        <v/>
      </c>
      <c r="O2161" s="17">
        <f>-(K2161*0.025+L2161*0.025)</f>
        <v/>
      </c>
      <c r="P2161" s="17">
        <f>32</f>
        <v/>
      </c>
      <c r="Q2161" s="17">
        <f>J2161+L2161+N2161+O2161-P2161-M2161</f>
        <v/>
      </c>
    </row>
    <row r="2162">
      <c r="A2162" s="16" t="inlineStr">
        <is>
          <t>5.22-5.28</t>
        </is>
      </c>
      <c r="B2162" s="16" t="inlineStr">
        <is>
          <t>PO-128-15966428140153617</t>
        </is>
      </c>
      <c r="C2162" s="16" t="inlineStr">
        <is>
          <t>Shipped</t>
        </is>
      </c>
      <c r="D2162" s="16" t="inlineStr">
        <is>
          <t>128-15966470083193617</t>
        </is>
      </c>
      <c r="E2162" s="16" t="inlineStr">
        <is>
          <t>Shipped</t>
        </is>
      </c>
      <c r="F2162" s="16" t="inlineStr">
        <is>
          <t>LB02235-rojo</t>
        </is>
      </c>
      <c r="G2162" s="16" t="inlineStr">
        <is>
          <t>Audífonos Inalámbricos para la Cabeza, Recargables y Multifuncionales - Conectan a Varios Dispositivos, soportan Radio FM, Tarjeta TF y AUX - 4 Horas de Reproducción Musical - Ideal para Trabajo Cotidiano, Juegos y Estudio</t>
        </is>
      </c>
      <c r="H2162" s="16" t="inlineStr">
        <is>
          <t>ROJO</t>
        </is>
      </c>
      <c r="I2162" s="16" t="n">
        <v>1</v>
      </c>
      <c r="J2162" s="17" t="n">
        <v>36.8</v>
      </c>
      <c r="K2162" s="17" t="n">
        <v>49.91</v>
      </c>
      <c r="L2162" s="17" t="n">
        <v>25.86</v>
      </c>
      <c r="M2162" s="17" t="n">
        <v>0</v>
      </c>
      <c r="N2162" s="17">
        <f>K2162*0.08+L2162*0.08</f>
        <v/>
      </c>
      <c r="O2162" s="17">
        <f>-(K2162*0.025+L2162*0.025)</f>
        <v/>
      </c>
      <c r="P2162" s="17">
        <f>32</f>
        <v/>
      </c>
      <c r="Q2162" s="17">
        <f>J2162+L2162+N2162+O2162-P2162-M2162</f>
        <v/>
      </c>
    </row>
    <row r="2163">
      <c r="A2163" s="16" t="inlineStr">
        <is>
          <t>5.22-5.28</t>
        </is>
      </c>
      <c r="B2163" s="16" t="inlineStr">
        <is>
          <t>PO-128-16488483359350633</t>
        </is>
      </c>
      <c r="C2163" s="16" t="inlineStr">
        <is>
          <t>Shipped</t>
        </is>
      </c>
      <c r="D2163" s="16" t="inlineStr">
        <is>
          <t>128-16488643267190633</t>
        </is>
      </c>
      <c r="E2163" s="16" t="inlineStr">
        <is>
          <t>Shipped</t>
        </is>
      </c>
      <c r="F2163" s="16" t="inlineStr">
        <is>
          <t>MB-185R</t>
        </is>
      </c>
      <c r="G2163" s="16" t="inlineStr">
        <is>
          <t>Bocina Radio FM/Reproductor, Compatible con Tarjeta TF, USB, Bluetooth, Aplicable para celular, computadora, Ipad y consola.</t>
        </is>
      </c>
      <c r="H2163" s="16" t="inlineStr">
        <is>
          <t>ROJO/MB-185</t>
        </is>
      </c>
      <c r="I2163" s="16" t="n">
        <v>1</v>
      </c>
      <c r="J2163" s="17" t="n">
        <v>75.5</v>
      </c>
      <c r="K2163" s="17" t="n">
        <v>5.68</v>
      </c>
      <c r="L2163" s="17" t="n">
        <v>25.86</v>
      </c>
      <c r="M2163" s="17" t="n">
        <v>0</v>
      </c>
      <c r="N2163" s="17">
        <f>K2163*0.08+L2163*0.08</f>
        <v/>
      </c>
      <c r="O2163" s="17">
        <f>-(K2163*0.025+L2163*0.025)</f>
        <v/>
      </c>
      <c r="P2163" s="17">
        <f>32</f>
        <v/>
      </c>
      <c r="Q2163" s="17">
        <f>J2163+L2163+N2163+O2163-P2163-M2163</f>
        <v/>
      </c>
    </row>
    <row r="2164">
      <c r="A2164" s="16" t="inlineStr">
        <is>
          <t>5.22-5.28</t>
        </is>
      </c>
      <c r="B2164" s="16" t="inlineStr">
        <is>
          <t>PO-128-16140615437432643</t>
        </is>
      </c>
      <c r="C2164" s="16" t="inlineStr">
        <is>
          <t>Shipped</t>
        </is>
      </c>
      <c r="D2164" s="16" t="inlineStr">
        <is>
          <t>128-16140563008632643</t>
        </is>
      </c>
      <c r="E2164" s="16" t="inlineStr">
        <is>
          <t>Shipped</t>
        </is>
      </c>
      <c r="F2164" s="16" t="inlineStr">
        <is>
          <t>MB-185A</t>
        </is>
      </c>
      <c r="G2164" s="16" t="inlineStr">
        <is>
          <t>Bocina Radio FM/Reproductor, Compatible con Tarjeta TF, USB, Bluetooth, Aplicable para celular, computadora, Ipad y consola.</t>
        </is>
      </c>
      <c r="H2164" s="16" t="inlineStr">
        <is>
          <t>AZUL/MB-185</t>
        </is>
      </c>
      <c r="I2164" s="16" t="n">
        <v>1</v>
      </c>
      <c r="J2164" s="17" t="n">
        <v>73</v>
      </c>
      <c r="K2164" s="17" t="n">
        <v>68.76000000000001</v>
      </c>
      <c r="L2164" s="17" t="n">
        <v>25.86</v>
      </c>
      <c r="M2164" s="17" t="n">
        <v>0</v>
      </c>
      <c r="N2164" s="17">
        <f>K2164*0.08+L2164*0.08</f>
        <v/>
      </c>
      <c r="O2164" s="17">
        <f>-(K2164*0.025+L2164*0.025)</f>
        <v/>
      </c>
      <c r="P2164" s="17">
        <f>32</f>
        <v/>
      </c>
      <c r="Q2164" s="17">
        <f>J2164+L2164+N2164+O2164-P2164-M2164</f>
        <v/>
      </c>
    </row>
    <row r="2165">
      <c r="A2165" s="16" t="inlineStr">
        <is>
          <t>5.22-5.28</t>
        </is>
      </c>
      <c r="B2165" s="16" t="inlineStr">
        <is>
          <t>PO-128-16243151381111966</t>
        </is>
      </c>
      <c r="C2165" s="16" t="inlineStr">
        <is>
          <t>Shipped</t>
        </is>
      </c>
      <c r="D2165" s="16" t="inlineStr">
        <is>
          <t>128-16243037348471966</t>
        </is>
      </c>
      <c r="E2165" s="16" t="inlineStr">
        <is>
          <t>Shipped</t>
        </is>
      </c>
      <c r="F2165" s="16" t="inlineStr">
        <is>
          <t>VA880T</t>
        </is>
      </c>
      <c r="G216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65" s="16" t="inlineStr">
        <is>
          <t>1 pieza</t>
        </is>
      </c>
      <c r="I2165" s="16" t="n">
        <v>1</v>
      </c>
      <c r="J2165" s="17" t="n">
        <v>114.98</v>
      </c>
      <c r="K2165" s="17" t="n">
        <v>127.27</v>
      </c>
      <c r="L2165" s="17" t="n">
        <v>25.86</v>
      </c>
      <c r="M2165" s="17" t="n">
        <v>0</v>
      </c>
      <c r="N2165" s="17">
        <f>K2165*0.08+L2165*0.08</f>
        <v/>
      </c>
      <c r="O2165" s="17">
        <f>-(K2165*0.025+L2165*0.025)</f>
        <v/>
      </c>
      <c r="P2165" s="17">
        <f>32</f>
        <v/>
      </c>
      <c r="Q2165" s="17">
        <f>J2165+L2165+N2165+O2165-P2165-M2165</f>
        <v/>
      </c>
    </row>
    <row r="2166">
      <c r="A2166" s="16" t="inlineStr">
        <is>
          <t>5.22-5.28</t>
        </is>
      </c>
      <c r="B2166" s="16" t="inlineStr">
        <is>
          <t>PO-128-15935218898553739</t>
        </is>
      </c>
      <c r="C2166" s="16" t="inlineStr">
        <is>
          <t>Shipped</t>
        </is>
      </c>
      <c r="D2166" s="16" t="inlineStr">
        <is>
          <t>128-15935260841593739</t>
        </is>
      </c>
      <c r="E2166" s="16" t="inlineStr">
        <is>
          <t>Shipped</t>
        </is>
      </c>
      <c r="F2166" s="16" t="inlineStr">
        <is>
          <t>LB02235-negro</t>
        </is>
      </c>
      <c r="G2166" s="16" t="inlineStr">
        <is>
          <t>Audífonos Inalámbricos para la Cabeza, Recargables y Multifuncionales - Conectan a Varios Dispositivos, soportan Radio FM, Tarjeta TF y AUX - 4 Horas de Reproducción Musical - Ideal para Trabajo Cotidiano, Juegos y Estudio</t>
        </is>
      </c>
      <c r="H2166" s="16" t="inlineStr">
        <is>
          <t>NEGRO</t>
        </is>
      </c>
      <c r="I2166" s="16" t="n">
        <v>1</v>
      </c>
      <c r="J2166" s="17" t="n">
        <v>36.8</v>
      </c>
      <c r="K2166" s="17" t="n">
        <v>49.91</v>
      </c>
      <c r="L2166" s="17" t="n">
        <v>25.86</v>
      </c>
      <c r="M2166" s="17" t="n">
        <v>0</v>
      </c>
      <c r="N2166" s="17">
        <f>K2166*0.08+L2166*0.08</f>
        <v/>
      </c>
      <c r="O2166" s="17">
        <f>-(K2166*0.025+L2166*0.025)</f>
        <v/>
      </c>
      <c r="P2166" s="17">
        <f>32</f>
        <v/>
      </c>
      <c r="Q2166" s="17">
        <f>J2166+L2166+N2166+O2166-P2166-M2166</f>
        <v/>
      </c>
    </row>
    <row r="2167">
      <c r="A2167" s="16" t="inlineStr">
        <is>
          <t>5.22-5.28</t>
        </is>
      </c>
      <c r="B2167" s="16" t="inlineStr">
        <is>
          <t>PO-128-16417949543030988</t>
        </is>
      </c>
      <c r="C2167" s="16" t="inlineStr">
        <is>
          <t>Shipped</t>
        </is>
      </c>
      <c r="D2167" s="16" t="inlineStr">
        <is>
          <t>128-16418001971830988</t>
        </is>
      </c>
      <c r="E2167" s="16" t="inlineStr">
        <is>
          <t>Shipped</t>
        </is>
      </c>
      <c r="F2167" s="16" t="inlineStr">
        <is>
          <t>MB-178-N</t>
        </is>
      </c>
      <c r="G2167" s="16" t="inlineStr">
        <is>
          <t>Bocina de Barra Bluetooth LINK BITS con dos altavoces, sonido de alta calidad y multifuncional (Bluetooth, Radio FM, USB, TF, AUX, TWS), ideal para juegos, reuniones, oficina y cine en casa.</t>
        </is>
      </c>
      <c r="H2167" s="16" t="inlineStr">
        <is>
          <t>NEGRO</t>
        </is>
      </c>
      <c r="I2167" s="16" t="n">
        <v>1</v>
      </c>
      <c r="J2167" s="17" t="n">
        <v>125</v>
      </c>
      <c r="K2167" s="17" t="n">
        <v>144.34</v>
      </c>
      <c r="L2167" s="17" t="n">
        <v>25.86</v>
      </c>
      <c r="M2167" s="17" t="n">
        <v>0</v>
      </c>
      <c r="N2167" s="17">
        <f>K2167*0.08+L2167*0.08</f>
        <v/>
      </c>
      <c r="O2167" s="17">
        <f>-(K2167*0.025+L2167*0.025)</f>
        <v/>
      </c>
      <c r="P2167" s="17">
        <f>32</f>
        <v/>
      </c>
      <c r="Q2167" s="17">
        <f>J2167+L2167+N2167+O2167-P2167-M2167</f>
        <v/>
      </c>
    </row>
    <row r="2168">
      <c r="A2168" s="16" t="inlineStr">
        <is>
          <t>5.22-5.28</t>
        </is>
      </c>
      <c r="B2168" s="16" t="inlineStr">
        <is>
          <t>PO-128-16108671969912705</t>
        </is>
      </c>
      <c r="C2168" s="16" t="inlineStr">
        <is>
          <t>Shipped</t>
        </is>
      </c>
      <c r="D2168" s="16" t="inlineStr">
        <is>
          <t>128-16108677212792705</t>
        </is>
      </c>
      <c r="E2168" s="16" t="inlineStr">
        <is>
          <t>Shipped</t>
        </is>
      </c>
      <c r="F2168" s="16" t="inlineStr">
        <is>
          <t>MCM-001N</t>
        </is>
      </c>
      <c r="G2168" s="16" t="inlineStr">
        <is>
          <t>Musicord Altavoz Inalámbrico BT Portátil: ¡Sonido impactante, luces LED multicolores y 4 horas de autonomía! Compatible con TWS, FM, TF y USB – Imprescindible para fiestas y viajes</t>
        </is>
      </c>
      <c r="H2168" s="16" t="inlineStr">
        <is>
          <t>NEGRO</t>
        </is>
      </c>
      <c r="I2168" s="16" t="n">
        <v>1</v>
      </c>
      <c r="J2168" s="17" t="n">
        <v>61</v>
      </c>
      <c r="K2168" s="17" t="n">
        <v>68.79000000000001</v>
      </c>
      <c r="L2168" s="17" t="n">
        <v>25.86</v>
      </c>
      <c r="M2168" s="17" t="n">
        <v>0</v>
      </c>
      <c r="N2168" s="17">
        <f>K2168*0.08+L2168*0.08</f>
        <v/>
      </c>
      <c r="O2168" s="17">
        <f>-(K2168*0.025+L2168*0.025)</f>
        <v/>
      </c>
      <c r="P2168" s="17">
        <f>32</f>
        <v/>
      </c>
      <c r="Q2168" s="17">
        <f>J2168+L2168+N2168+O2168-P2168-M2168</f>
        <v/>
      </c>
    </row>
    <row r="2169">
      <c r="A2169" s="16" t="inlineStr">
        <is>
          <t>5.22-5.28</t>
        </is>
      </c>
      <c r="B2169" s="16" t="inlineStr">
        <is>
          <t>PO-128-15851942677113210</t>
        </is>
      </c>
      <c r="C2169" s="16" t="inlineStr">
        <is>
          <t>Shipped</t>
        </is>
      </c>
      <c r="D2169" s="16" t="inlineStr">
        <is>
          <t>128-15851900734073210</t>
        </is>
      </c>
      <c r="E2169" s="16" t="inlineStr">
        <is>
          <t>Shipped</t>
        </is>
      </c>
      <c r="F2169" s="16" t="inlineStr">
        <is>
          <t>LB02235-blanco</t>
        </is>
      </c>
      <c r="G2169" s="16" t="inlineStr">
        <is>
          <t>Audífonos Inalámbricos para la Cabeza, Recargables y Multifuncionales - Conectan a Varios Dispositivos, soportan Radio FM, Tarjeta TF y AUX - 4 Horas de Reproducción Musical - Ideal para Trabajo Cotidiano, Juegos y Estudio</t>
        </is>
      </c>
      <c r="H2169" s="16" t="inlineStr">
        <is>
          <t>BLANCO</t>
        </is>
      </c>
      <c r="I2169" s="16" t="n">
        <v>1</v>
      </c>
      <c r="J2169" s="17" t="n">
        <v>36.8</v>
      </c>
      <c r="K2169" s="17" t="n">
        <v>49.91</v>
      </c>
      <c r="L2169" s="17" t="n">
        <v>25.86</v>
      </c>
      <c r="M2169" s="17" t="n">
        <v>0</v>
      </c>
      <c r="N2169" s="17">
        <f>K2169*0.08+L2169*0.08</f>
        <v/>
      </c>
      <c r="O2169" s="17">
        <f>-(K2169*0.025+L2169*0.025)</f>
        <v/>
      </c>
      <c r="P2169" s="17">
        <f>32</f>
        <v/>
      </c>
      <c r="Q2169" s="17">
        <f>J2169+L2169+N2169+O2169-P2169-M2169</f>
        <v/>
      </c>
    </row>
    <row r="2170">
      <c r="A2170" s="16" t="inlineStr">
        <is>
          <t>5.22-5.28</t>
        </is>
      </c>
      <c r="B2170" s="16" t="inlineStr">
        <is>
          <t>PO-128-16045910940792055</t>
        </is>
      </c>
      <c r="C2170" s="16" t="inlineStr">
        <is>
          <t>Shipped</t>
        </is>
      </c>
      <c r="D2170" s="16" t="inlineStr">
        <is>
          <t>128-16045921426552055</t>
        </is>
      </c>
      <c r="E2170" s="16" t="inlineStr">
        <is>
          <t>Shipped</t>
        </is>
      </c>
      <c r="F2170" s="16" t="inlineStr">
        <is>
          <t>SA323T</t>
        </is>
      </c>
      <c r="G2170" s="16" t="inlineStr">
        <is>
          <t>Linkbits Bocina Portátil Parlantes BT Portátiles con Iluminación de Ambiente | 1 Hora de Duración, FM, TWS, TF/Micro SD | Ideal para Hogar, Fiestas y Viajes</t>
        </is>
      </c>
      <c r="H2170" s="16" t="inlineStr">
        <is>
          <t>SA323T</t>
        </is>
      </c>
      <c r="I2170" s="16" t="n">
        <v>1</v>
      </c>
      <c r="J2170" s="17" t="n">
        <v>46.7</v>
      </c>
      <c r="K2170" s="17" t="n">
        <v>55.76</v>
      </c>
      <c r="L2170" s="17" t="n">
        <v>25.86</v>
      </c>
      <c r="M2170" s="17" t="n">
        <v>0</v>
      </c>
      <c r="N2170" s="17">
        <f>K2170*0.08+L2170*0.08</f>
        <v/>
      </c>
      <c r="O2170" s="17">
        <f>-(K2170*0.025+L2170*0.025)</f>
        <v/>
      </c>
      <c r="P2170" s="17">
        <f>32</f>
        <v/>
      </c>
      <c r="Q2170" s="17">
        <f>J2170+L2170+N2170+O2170-P2170-M2170</f>
        <v/>
      </c>
    </row>
    <row r="2171">
      <c r="A2171" s="16" t="inlineStr">
        <is>
          <t>5.22-5.28</t>
        </is>
      </c>
      <c r="B2171" s="16" t="inlineStr">
        <is>
          <t>PO-128-15930270003833961</t>
        </is>
      </c>
      <c r="C2171" s="16" t="inlineStr">
        <is>
          <t>Shipped</t>
        </is>
      </c>
      <c r="D2171" s="16" t="inlineStr">
        <is>
          <t>128-15930228060793961</t>
        </is>
      </c>
      <c r="E2171" s="16" t="inlineStr">
        <is>
          <t>Shipped</t>
        </is>
      </c>
      <c r="F2171" s="16" t="inlineStr">
        <is>
          <t>SA325T</t>
        </is>
      </c>
      <c r="G2171" s="16" t="inlineStr">
        <is>
          <t>Subwoofer Portátil Inalámbrico con Luces RGB, Sonido de Alta Potencia y Batería Duradera, TWS TF USB, Perfecto para Campamento Fiestas y Entretenimiento en Casa</t>
        </is>
      </c>
      <c r="H2171" s="16" t="inlineStr">
        <is>
          <t>NEGRO</t>
        </is>
      </c>
      <c r="I2171" s="16" t="n">
        <v>1</v>
      </c>
      <c r="J2171" s="17" t="n">
        <v>37.99</v>
      </c>
      <c r="K2171" s="17" t="n">
        <v>47.03</v>
      </c>
      <c r="L2171" s="17" t="n">
        <v>12.54</v>
      </c>
      <c r="M2171" s="17" t="n">
        <v>0</v>
      </c>
      <c r="N2171" s="17">
        <f>K2171*0.08+L2171*0.08</f>
        <v/>
      </c>
      <c r="O2171" s="17">
        <f>-(K2171*0.025+L2171*0.025)</f>
        <v/>
      </c>
      <c r="P2171" s="17">
        <f>32</f>
        <v/>
      </c>
      <c r="Q2171" s="17">
        <f>J2171+L2171+N2171+O2171-P2171-M2171</f>
        <v/>
      </c>
    </row>
    <row r="2172">
      <c r="A2172" s="16" t="inlineStr">
        <is>
          <t>5.22-5.28</t>
        </is>
      </c>
      <c r="B2172" s="16" t="inlineStr">
        <is>
          <t>PO-128-15930270003833961</t>
        </is>
      </c>
      <c r="C2172" s="16" t="inlineStr">
        <is>
          <t>Shipped</t>
        </is>
      </c>
      <c r="D2172" s="16" t="inlineStr">
        <is>
          <t>128-15930140856953961</t>
        </is>
      </c>
      <c r="E2172" s="16" t="inlineStr">
        <is>
          <t>Shipped</t>
        </is>
      </c>
      <c r="F2172" s="16" t="inlineStr">
        <is>
          <t>LB02235-rojo</t>
        </is>
      </c>
      <c r="G2172" s="16" t="inlineStr">
        <is>
          <t>Audífonos Inalámbricos para la Cabeza, Recargables y Multifuncionales - Conectan a Varios Dispositivos, soportan Radio FM, Tarjeta TF y AUX - 4 Horas de Reproducción Musical - Ideal para Trabajo Cotidiano, Juegos y Estudio</t>
        </is>
      </c>
      <c r="H2172" s="16" t="inlineStr">
        <is>
          <t>ROJO</t>
        </is>
      </c>
      <c r="I2172" s="16" t="n">
        <v>1</v>
      </c>
      <c r="J2172" s="17" t="n">
        <v>36.8</v>
      </c>
      <c r="K2172" s="17" t="n">
        <v>49.91</v>
      </c>
      <c r="L2172" s="17" t="n">
        <v>13.32</v>
      </c>
      <c r="M2172" s="17" t="n">
        <v>0</v>
      </c>
      <c r="N2172" s="17">
        <f>K2172*0.08+L2172*0.08</f>
        <v/>
      </c>
      <c r="O2172" s="17">
        <f>-(K2172*0.025+L2172*0.025)</f>
        <v/>
      </c>
      <c r="P2172" s="17">
        <f>32</f>
        <v/>
      </c>
      <c r="Q2172" s="17">
        <f>J2172+L2172+N2172+O2172-P2172-M2172</f>
        <v/>
      </c>
    </row>
    <row r="2173">
      <c r="A2173" s="16" t="inlineStr">
        <is>
          <t>5.22-5.28</t>
        </is>
      </c>
      <c r="B2173" s="16" t="inlineStr">
        <is>
          <t>PO-128-16289803986551752</t>
        </is>
      </c>
      <c r="C2173" s="16" t="inlineStr">
        <is>
          <t>Shipped</t>
        </is>
      </c>
      <c r="D2173" s="16" t="inlineStr">
        <is>
          <t>128-16289830200951752</t>
        </is>
      </c>
      <c r="E2173" s="16" t="inlineStr">
        <is>
          <t>Shipped</t>
        </is>
      </c>
      <c r="F2173" s="16" t="inlineStr">
        <is>
          <t>VA880T</t>
        </is>
      </c>
      <c r="G217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73" s="16" t="inlineStr">
        <is>
          <t>1 pieza</t>
        </is>
      </c>
      <c r="I2173" s="16" t="n">
        <v>1</v>
      </c>
      <c r="J2173" s="17" t="n">
        <v>114.98</v>
      </c>
      <c r="K2173" s="17" t="n">
        <v>125.68</v>
      </c>
      <c r="L2173" s="17" t="n">
        <v>25.86</v>
      </c>
      <c r="M2173" s="17" t="n">
        <v>0</v>
      </c>
      <c r="N2173" s="17">
        <f>K2173*0.08+L2173*0.08</f>
        <v/>
      </c>
      <c r="O2173" s="17">
        <f>-(K2173*0.025+L2173*0.025)</f>
        <v/>
      </c>
      <c r="P2173" s="17">
        <f>32</f>
        <v/>
      </c>
      <c r="Q2173" s="17">
        <f>J2173+L2173+N2173+O2173-P2173-M2173</f>
        <v/>
      </c>
    </row>
    <row r="2174">
      <c r="A2174" s="16" t="inlineStr">
        <is>
          <t>5.22-5.28</t>
        </is>
      </c>
      <c r="B2174" s="16" t="inlineStr">
        <is>
          <t>PO-128-16288621650551697</t>
        </is>
      </c>
      <c r="C2174" s="16" t="inlineStr">
        <is>
          <t>Shipped</t>
        </is>
      </c>
      <c r="D2174" s="16" t="inlineStr">
        <is>
          <t>128-16288579707511697</t>
        </is>
      </c>
      <c r="E2174" s="16" t="inlineStr">
        <is>
          <t>Shipped</t>
        </is>
      </c>
      <c r="F2174" s="16" t="inlineStr">
        <is>
          <t>VA880T</t>
        </is>
      </c>
      <c r="G217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74" s="16" t="inlineStr">
        <is>
          <t>1 pieza</t>
        </is>
      </c>
      <c r="I2174" s="16" t="n">
        <v>1</v>
      </c>
      <c r="J2174" s="17" t="n">
        <v>114.98</v>
      </c>
      <c r="K2174" s="17" t="n">
        <v>127.27</v>
      </c>
      <c r="L2174" s="17" t="n">
        <v>25.86</v>
      </c>
      <c r="M2174" s="17" t="n">
        <v>0</v>
      </c>
      <c r="N2174" s="17">
        <f>K2174*0.08+L2174*0.08</f>
        <v/>
      </c>
      <c r="O2174" s="17">
        <f>-(K2174*0.025+L2174*0.025)</f>
        <v/>
      </c>
      <c r="P2174" s="17">
        <f>32</f>
        <v/>
      </c>
      <c r="Q2174" s="17">
        <f>J2174+L2174+N2174+O2174-P2174-M2174</f>
        <v/>
      </c>
    </row>
    <row r="2175">
      <c r="A2175" s="16" t="inlineStr">
        <is>
          <t>5.22-5.28</t>
        </is>
      </c>
      <c r="B2175" s="16" t="inlineStr">
        <is>
          <t>PO-128-16483296425590598</t>
        </is>
      </c>
      <c r="C2175" s="16" t="inlineStr">
        <is>
          <t>Shipped</t>
        </is>
      </c>
      <c r="D2175" s="16" t="inlineStr">
        <is>
          <t>128-16483432740470598</t>
        </is>
      </c>
      <c r="E2175" s="16" t="inlineStr">
        <is>
          <t>Shipped</t>
        </is>
      </c>
      <c r="F2175" s="16" t="inlineStr">
        <is>
          <t>LB02235-azul</t>
        </is>
      </c>
      <c r="G2175" s="16" t="inlineStr">
        <is>
          <t>Audífonos Inalámbricos para la Cabeza, Recargables y Multifuncionales - Conectan a Varios Dispositivos, soportan Radio FM, Tarjeta TF y AUX - 4 Horas de Reproducción Musical - Ideal para Trabajo Cotidiano, Juegos y Estudio</t>
        </is>
      </c>
      <c r="H2175" s="16" t="inlineStr">
        <is>
          <t>AZUL</t>
        </is>
      </c>
      <c r="I2175" s="16" t="n">
        <v>1</v>
      </c>
      <c r="J2175" s="17" t="n">
        <v>36</v>
      </c>
      <c r="K2175" s="17" t="n">
        <v>6.01</v>
      </c>
      <c r="L2175" s="17" t="n">
        <v>25.86</v>
      </c>
      <c r="M2175" s="17" t="n">
        <v>0</v>
      </c>
      <c r="N2175" s="17">
        <f>K2175*0.08+L2175*0.08</f>
        <v/>
      </c>
      <c r="O2175" s="17">
        <f>-(K2175*0.025+L2175*0.025)</f>
        <v/>
      </c>
      <c r="P2175" s="17">
        <f>32</f>
        <v/>
      </c>
      <c r="Q2175" s="17">
        <f>J2175+L2175+N2175+O2175-P2175-M2175</f>
        <v/>
      </c>
    </row>
    <row r="2176">
      <c r="A2176" s="16" t="inlineStr">
        <is>
          <t>5.22-5.28</t>
        </is>
      </c>
      <c r="B2176" s="16" t="inlineStr">
        <is>
          <t>PO-128-16415002563190943</t>
        </is>
      </c>
      <c r="C2176" s="16" t="inlineStr">
        <is>
          <t>Shipped</t>
        </is>
      </c>
      <c r="D2176" s="16" t="inlineStr">
        <is>
          <t>128-16415018291830943</t>
        </is>
      </c>
      <c r="E2176" s="16" t="inlineStr">
        <is>
          <t>Shipped</t>
        </is>
      </c>
      <c r="F2176" s="16" t="inlineStr">
        <is>
          <t>VA880T</t>
        </is>
      </c>
      <c r="G217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76" s="16" t="inlineStr">
        <is>
          <t>1 pieza</t>
        </is>
      </c>
      <c r="I2176" s="16" t="n">
        <v>1</v>
      </c>
      <c r="J2176" s="17" t="n">
        <v>114.98</v>
      </c>
      <c r="K2176" s="17" t="n">
        <v>127.27</v>
      </c>
      <c r="L2176" s="17" t="n">
        <v>25.86</v>
      </c>
      <c r="M2176" s="17" t="n">
        <v>0</v>
      </c>
      <c r="N2176" s="17">
        <f>K2176*0.08+L2176*0.08</f>
        <v/>
      </c>
      <c r="O2176" s="17">
        <f>-(K2176*0.025+L2176*0.025)</f>
        <v/>
      </c>
      <c r="P2176" s="17">
        <f>32</f>
        <v/>
      </c>
      <c r="Q2176" s="17">
        <f>J2176+L2176+N2176+O2176-P2176-M2176</f>
        <v/>
      </c>
    </row>
    <row r="2177">
      <c r="A2177" s="16" t="inlineStr">
        <is>
          <t>5.22-5.28</t>
        </is>
      </c>
      <c r="B2177" s="16" t="inlineStr">
        <is>
          <t>PO-128-16202715919991185</t>
        </is>
      </c>
      <c r="C2177" s="16" t="inlineStr">
        <is>
          <t>Shipped</t>
        </is>
      </c>
      <c r="D2177" s="16" t="inlineStr">
        <is>
          <t>128-16202736891511185</t>
        </is>
      </c>
      <c r="E2177" s="16" t="inlineStr">
        <is>
          <t>Shipped</t>
        </is>
      </c>
      <c r="F2177" s="16" t="inlineStr">
        <is>
          <t>VA384T-N</t>
        </is>
      </c>
      <c r="G2177" s="16" t="inlineStr">
        <is>
          <t>Bocina Portátil Bluetooth de 3 Pulgadas con Radio FM, USB TF TWS, Sonido Estéreo 5W, Bocina Recargable para Hogar Exterior Viaje Fiesta Camping</t>
        </is>
      </c>
      <c r="H2177" s="16" t="inlineStr">
        <is>
          <t>NEGRO</t>
        </is>
      </c>
      <c r="I2177" s="16" t="n">
        <v>1</v>
      </c>
      <c r="J2177" s="17" t="n">
        <v>50</v>
      </c>
      <c r="K2177" s="17" t="n">
        <v>7.27</v>
      </c>
      <c r="L2177" s="17" t="n">
        <v>25.86</v>
      </c>
      <c r="M2177" s="17" t="n">
        <v>0</v>
      </c>
      <c r="N2177" s="17">
        <f>K2177*0.08+L2177*0.08</f>
        <v/>
      </c>
      <c r="O2177" s="17">
        <f>-(K2177*0.025+L2177*0.025)</f>
        <v/>
      </c>
      <c r="P2177" s="17">
        <f>32</f>
        <v/>
      </c>
      <c r="Q2177" s="17">
        <f>J2177+L2177+N2177+O2177-P2177-M2177</f>
        <v/>
      </c>
    </row>
    <row r="2178">
      <c r="A2178" s="16" t="inlineStr">
        <is>
          <t>5.22-5.28</t>
        </is>
      </c>
      <c r="B2178" s="16" t="inlineStr">
        <is>
          <t>PO-128-16089349468792821</t>
        </is>
      </c>
      <c r="C2178" s="16" t="inlineStr">
        <is>
          <t>Shipped</t>
        </is>
      </c>
      <c r="D2178" s="16" t="inlineStr">
        <is>
          <t>128-16089307525752821</t>
        </is>
      </c>
      <c r="E2178" s="16" t="inlineStr">
        <is>
          <t>Shipped</t>
        </is>
      </c>
      <c r="F2178" s="16" t="inlineStr">
        <is>
          <t>LB02235-rojo</t>
        </is>
      </c>
      <c r="G2178" s="16" t="inlineStr">
        <is>
          <t>Audífonos Inalámbricos para la Cabeza, Recargables y Multifuncionales - Conectan a Varios Dispositivos, soportan Radio FM, Tarjeta TF y AUX - 4 Horas de Reproducción Musical - Ideal para Trabajo Cotidiano, Juegos y Estudio</t>
        </is>
      </c>
      <c r="H2178" s="16" t="inlineStr">
        <is>
          <t>ROJO</t>
        </is>
      </c>
      <c r="I2178" s="16" t="n">
        <v>1</v>
      </c>
      <c r="J2178" s="17" t="n">
        <v>36.8</v>
      </c>
      <c r="K2178" s="17" t="n">
        <v>6.81</v>
      </c>
      <c r="L2178" s="17" t="n">
        <v>25.86</v>
      </c>
      <c r="M2178" s="17" t="n">
        <v>0</v>
      </c>
      <c r="N2178" s="17">
        <f>K2178*0.08+L2178*0.08</f>
        <v/>
      </c>
      <c r="O2178" s="17">
        <f>-(K2178*0.025+L2178*0.025)</f>
        <v/>
      </c>
      <c r="P2178" s="17">
        <f>32</f>
        <v/>
      </c>
      <c r="Q2178" s="17">
        <f>J2178+L2178+N2178+O2178-P2178-M2178</f>
        <v/>
      </c>
    </row>
    <row r="2179">
      <c r="A2179" s="16" t="inlineStr">
        <is>
          <t>5.22-5.28</t>
        </is>
      </c>
      <c r="B2179" s="16" t="inlineStr">
        <is>
          <t>PO-128-15869689221753296</t>
        </is>
      </c>
      <c r="C2179" s="16" t="inlineStr">
        <is>
          <t>Shipped</t>
        </is>
      </c>
      <c r="D2179" s="16" t="inlineStr">
        <is>
          <t>128-15869626307193296</t>
        </is>
      </c>
      <c r="E2179" s="16" t="inlineStr">
        <is>
          <t>Shipped</t>
        </is>
      </c>
      <c r="F2179" s="16" t="inlineStr">
        <is>
          <t>MB-178-N</t>
        </is>
      </c>
      <c r="G2179" s="16" t="inlineStr">
        <is>
          <t>Bocina de Barra Bluetooth LINK BITS con dos altavoces, sonido de alta calidad y multifuncional (Bluetooth, Radio FM, USB, TF, AUX, TWS), ideal para juegos, reuniones, oficina y cine en casa.</t>
        </is>
      </c>
      <c r="H2179" s="16" t="inlineStr">
        <is>
          <t>NEGRO</t>
        </is>
      </c>
      <c r="I2179" s="16" t="n">
        <v>1</v>
      </c>
      <c r="J2179" s="17" t="n">
        <v>125</v>
      </c>
      <c r="K2179" s="17" t="n">
        <v>144.34</v>
      </c>
      <c r="L2179" s="17" t="n">
        <v>25.86</v>
      </c>
      <c r="M2179" s="17" t="n">
        <v>0</v>
      </c>
      <c r="N2179" s="17">
        <f>K2179*0.08+L2179*0.08</f>
        <v/>
      </c>
      <c r="O2179" s="17">
        <f>-(K2179*0.025+L2179*0.025)</f>
        <v/>
      </c>
      <c r="P2179" s="17">
        <f>32</f>
        <v/>
      </c>
      <c r="Q2179" s="17">
        <f>J2179+L2179+N2179+O2179-P2179-M2179</f>
        <v/>
      </c>
    </row>
    <row r="2180">
      <c r="A2180" s="16" t="inlineStr">
        <is>
          <t>5.22-5.28</t>
        </is>
      </c>
      <c r="B2180" s="16" t="inlineStr">
        <is>
          <t>PO-128-16016742748792421</t>
        </is>
      </c>
      <c r="C2180" s="16" t="inlineStr">
        <is>
          <t>Shipped</t>
        </is>
      </c>
      <c r="D2180" s="16" t="inlineStr">
        <is>
          <t>128-16016721777272421</t>
        </is>
      </c>
      <c r="E2180" s="16" t="inlineStr">
        <is>
          <t>Shipped</t>
        </is>
      </c>
      <c r="F2180" s="16" t="inlineStr">
        <is>
          <t>SA8056T</t>
        </is>
      </c>
      <c r="G218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180" s="16" t="inlineStr">
        <is>
          <t>SA8056T</t>
        </is>
      </c>
      <c r="I2180" s="16" t="n">
        <v>1</v>
      </c>
      <c r="J2180" s="17" t="n">
        <v>123.9</v>
      </c>
      <c r="K2180" s="17" t="n">
        <v>122.25</v>
      </c>
      <c r="L2180" s="17" t="n">
        <v>25.86</v>
      </c>
      <c r="M2180" s="17" t="n">
        <v>0</v>
      </c>
      <c r="N2180" s="17">
        <f>K2180*0.08+L2180*0.08</f>
        <v/>
      </c>
      <c r="O2180" s="17">
        <f>-(K2180*0.025+L2180*0.025)</f>
        <v/>
      </c>
      <c r="P2180" s="17">
        <f>32</f>
        <v/>
      </c>
      <c r="Q2180" s="17">
        <f>J2180+L2180+N2180+O2180-P2180-M2180</f>
        <v/>
      </c>
    </row>
    <row r="2181">
      <c r="A2181" s="16" t="inlineStr">
        <is>
          <t>5.22-5.28</t>
        </is>
      </c>
      <c r="B2181" s="16" t="inlineStr">
        <is>
          <t>PO-128-16182126695031370</t>
        </is>
      </c>
      <c r="C2181" s="16" t="inlineStr">
        <is>
          <t>Shipped</t>
        </is>
      </c>
      <c r="D2181" s="16" t="inlineStr">
        <is>
          <t>128-16182084751991370</t>
        </is>
      </c>
      <c r="E2181" s="16" t="inlineStr">
        <is>
          <t>Shipped</t>
        </is>
      </c>
      <c r="F2181" s="16" t="inlineStr">
        <is>
          <t>LB02235-rojo</t>
        </is>
      </c>
      <c r="G2181" s="16" t="inlineStr">
        <is>
          <t>Audífonos Inalámbricos para la Cabeza, Recargables y Multifuncionales - Conectan a Varios Dispositivos, soportan Radio FM, Tarjeta TF y AUX - 4 Horas de Reproducción Musical - Ideal para Trabajo Cotidiano, Juegos y Estudio</t>
        </is>
      </c>
      <c r="H2181" s="16" t="inlineStr">
        <is>
          <t>ROJO</t>
        </is>
      </c>
      <c r="I2181" s="16" t="n">
        <v>1</v>
      </c>
      <c r="J2181" s="17" t="n">
        <v>36.8</v>
      </c>
      <c r="K2181" s="17" t="n">
        <v>49.91</v>
      </c>
      <c r="L2181" s="17" t="n">
        <v>25.86</v>
      </c>
      <c r="M2181" s="17" t="n">
        <v>0</v>
      </c>
      <c r="N2181" s="17">
        <f>K2181*0.08+L2181*0.08</f>
        <v/>
      </c>
      <c r="O2181" s="17">
        <f>-(K2181*0.025+L2181*0.025)</f>
        <v/>
      </c>
      <c r="P2181" s="17">
        <f>32</f>
        <v/>
      </c>
      <c r="Q2181" s="17">
        <f>J2181+L2181+N2181+O2181-P2181-M2181</f>
        <v/>
      </c>
    </row>
    <row r="2182">
      <c r="A2182" s="16" t="inlineStr">
        <is>
          <t>5.22-5.28</t>
        </is>
      </c>
      <c r="B2182" s="16" t="inlineStr">
        <is>
          <t>PO-128-15936069827193732</t>
        </is>
      </c>
      <c r="C2182" s="16" t="inlineStr">
        <is>
          <t>Shipped</t>
        </is>
      </c>
      <c r="D2182" s="16" t="inlineStr">
        <is>
          <t>128-15936027884153732</t>
        </is>
      </c>
      <c r="E2182" s="16" t="inlineStr">
        <is>
          <t>Shipped</t>
        </is>
      </c>
      <c r="F2182" s="16" t="inlineStr">
        <is>
          <t>MCM-001G</t>
        </is>
      </c>
      <c r="G2182" s="16" t="inlineStr">
        <is>
          <t>Musicord Altavoz Inalámbrico BT Portátil: ¡Sonido impactante, luces LED multicolores y 4 horas de autonomía! Compatible con TWS, FM, TF y USB – Imprescindible para fiestas y viajes</t>
        </is>
      </c>
      <c r="H2182" s="16" t="inlineStr">
        <is>
          <t>GRIS</t>
        </is>
      </c>
      <c r="I2182" s="16" t="n">
        <v>1</v>
      </c>
      <c r="J2182" s="17" t="n">
        <v>51.07</v>
      </c>
      <c r="K2182" s="17" t="n">
        <v>58.86</v>
      </c>
      <c r="L2182" s="17" t="n">
        <v>25.86</v>
      </c>
      <c r="M2182" s="17" t="n">
        <v>0</v>
      </c>
      <c r="N2182" s="17">
        <f>K2182*0.08+L2182*0.08</f>
        <v/>
      </c>
      <c r="O2182" s="17">
        <f>-(K2182*0.025+L2182*0.025)</f>
        <v/>
      </c>
      <c r="P2182" s="17">
        <f>32</f>
        <v/>
      </c>
      <c r="Q2182" s="17">
        <f>J2182+L2182+N2182+O2182-P2182-M2182</f>
        <v/>
      </c>
    </row>
    <row r="2183">
      <c r="A2183" s="16" t="inlineStr">
        <is>
          <t>5.22-5.28</t>
        </is>
      </c>
      <c r="B2183" s="16" t="inlineStr">
        <is>
          <t>PO-128-16310121457271569</t>
        </is>
      </c>
      <c r="C2183" s="16" t="inlineStr">
        <is>
          <t>Shipped</t>
        </is>
      </c>
      <c r="D2183" s="16" t="inlineStr">
        <is>
          <t>128-16310134564471569</t>
        </is>
      </c>
      <c r="E2183" s="16" t="inlineStr">
        <is>
          <t>Shipped</t>
        </is>
      </c>
      <c r="F2183" s="16" t="inlineStr">
        <is>
          <t>SA8056T</t>
        </is>
      </c>
      <c r="G218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183" s="16" t="inlineStr">
        <is>
          <t>SA8056T</t>
        </is>
      </c>
      <c r="I2183" s="16" t="n">
        <v>1</v>
      </c>
      <c r="J2183" s="17" t="n">
        <v>123.9</v>
      </c>
      <c r="K2183" s="17" t="n">
        <v>129.36</v>
      </c>
      <c r="L2183" s="17" t="n">
        <v>25.86</v>
      </c>
      <c r="M2183" s="17" t="n">
        <v>0</v>
      </c>
      <c r="N2183" s="17">
        <f>K2183*0.08+L2183*0.08</f>
        <v/>
      </c>
      <c r="O2183" s="17">
        <f>-(K2183*0.025+L2183*0.025)</f>
        <v/>
      </c>
      <c r="P2183" s="17">
        <f>32</f>
        <v/>
      </c>
      <c r="Q2183" s="17">
        <f>J2183+L2183+N2183+O2183-P2183-M2183</f>
        <v/>
      </c>
    </row>
    <row r="2184">
      <c r="A2184" s="16" t="inlineStr">
        <is>
          <t>5.22-5.28</t>
        </is>
      </c>
      <c r="B2184" s="16" t="inlineStr">
        <is>
          <t>PO-128-16130897971832573</t>
        </is>
      </c>
      <c r="C2184" s="16" t="inlineStr">
        <is>
          <t>Shipped</t>
        </is>
      </c>
      <c r="D2184" s="16" t="inlineStr">
        <is>
          <t>128-16130835057272573</t>
        </is>
      </c>
      <c r="E2184" s="16" t="inlineStr">
        <is>
          <t>Shipped</t>
        </is>
      </c>
      <c r="F2184" s="16" t="inlineStr">
        <is>
          <t>SA325T</t>
        </is>
      </c>
      <c r="G2184" s="16" t="inlineStr">
        <is>
          <t>Subwoofer Portátil Inalámbrico con Luces RGB, Sonido de Alta Potencia y Batería Duradera, TWS TF USB, Perfecto para Campamento Fiestas y Entretenimiento en Casa</t>
        </is>
      </c>
      <c r="H2184" s="16" t="inlineStr">
        <is>
          <t>NEGRO</t>
        </is>
      </c>
      <c r="I2184" s="16" t="n">
        <v>1</v>
      </c>
      <c r="J2184" s="17" t="n">
        <v>37.99</v>
      </c>
      <c r="K2184" s="17" t="n">
        <v>47.03</v>
      </c>
      <c r="L2184" s="17" t="n">
        <v>8.18</v>
      </c>
      <c r="M2184" s="17" t="n">
        <v>0</v>
      </c>
      <c r="N2184" s="17">
        <f>K2184*0.08+L2184*0.08</f>
        <v/>
      </c>
      <c r="O2184" s="17">
        <f>-(K2184*0.025+L2184*0.025)</f>
        <v/>
      </c>
      <c r="P2184" s="17">
        <f>32</f>
        <v/>
      </c>
      <c r="Q2184" s="17">
        <f>J2184+L2184+N2184+O2184-P2184-M2184</f>
        <v/>
      </c>
    </row>
    <row r="2185">
      <c r="A2185" s="16" t="inlineStr">
        <is>
          <t>5.22-5.28</t>
        </is>
      </c>
      <c r="B2185" s="16" t="inlineStr">
        <is>
          <t>PO-128-16130897971832573</t>
        </is>
      </c>
      <c r="C2185" s="16" t="inlineStr">
        <is>
          <t>Shipped</t>
        </is>
      </c>
      <c r="D2185" s="16" t="inlineStr">
        <is>
          <t>128-16130918943352573</t>
        </is>
      </c>
      <c r="E2185" s="16" t="inlineStr">
        <is>
          <t>Shipped</t>
        </is>
      </c>
      <c r="F2185" s="16" t="inlineStr">
        <is>
          <t>KTS-1678A</t>
        </is>
      </c>
      <c r="G2185" s="16" t="inlineStr">
        <is>
          <t>Bocina portátil Inalámbrico, de 3 pulgadas, tamaño de bolsillo, 170 g, con asa, compatible con TF, USB y Micro SD, con radio FM y función TWS (True Wireless Stereo), adecuada para relajarse en casa o viajar al aire libre.</t>
        </is>
      </c>
      <c r="H2185" s="16" t="inlineStr">
        <is>
          <t>KTS-1678A</t>
        </is>
      </c>
      <c r="I2185" s="16" t="n">
        <v>2</v>
      </c>
      <c r="J2185" s="17" t="n">
        <v>85</v>
      </c>
      <c r="K2185" s="17" t="n">
        <v>101.56</v>
      </c>
      <c r="L2185" s="17" t="n">
        <v>17.68</v>
      </c>
      <c r="M2185" s="17" t="n">
        <v>0</v>
      </c>
      <c r="N2185" s="17">
        <f>K2185*0.08+L2185*0.08</f>
        <v/>
      </c>
      <c r="O2185" s="17">
        <f>-(K2185*0.025+L2185*0.025)</f>
        <v/>
      </c>
      <c r="P2185" s="17">
        <f>32</f>
        <v/>
      </c>
      <c r="Q2185" s="17">
        <f>J2185+L2185+N2185+O2185-P2185-M2185</f>
        <v/>
      </c>
    </row>
    <row r="2186">
      <c r="A2186" s="16" t="inlineStr">
        <is>
          <t>5.22-5.28</t>
        </is>
      </c>
      <c r="B2186" s="16" t="inlineStr">
        <is>
          <t>PO-128-16486867784310579</t>
        </is>
      </c>
      <c r="C2186" s="16" t="inlineStr">
        <is>
          <t>Shipped</t>
        </is>
      </c>
      <c r="D2186" s="16" t="inlineStr">
        <is>
          <t>128-16486909727350579</t>
        </is>
      </c>
      <c r="E2186" s="16" t="inlineStr">
        <is>
          <t>Shipped</t>
        </is>
      </c>
      <c r="F2186" s="16" t="inlineStr">
        <is>
          <t>VA880T</t>
        </is>
      </c>
      <c r="G218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86" s="16" t="inlineStr">
        <is>
          <t>1 pieza</t>
        </is>
      </c>
      <c r="I2186" s="16" t="n">
        <v>2</v>
      </c>
      <c r="J2186" s="17" t="n">
        <v>229.96</v>
      </c>
      <c r="K2186" s="17" t="n">
        <v>254.54</v>
      </c>
      <c r="L2186" s="17" t="n">
        <v>25.86</v>
      </c>
      <c r="M2186" s="17" t="n">
        <v>0</v>
      </c>
      <c r="N2186" s="17">
        <f>K2186*0.08+L2186*0.08</f>
        <v/>
      </c>
      <c r="O2186" s="17">
        <f>-(K2186*0.025+L2186*0.025)</f>
        <v/>
      </c>
      <c r="P2186" s="17">
        <f>32</f>
        <v/>
      </c>
      <c r="Q2186" s="17">
        <f>J2186+L2186+N2186+O2186-P2186-M2186</f>
        <v/>
      </c>
    </row>
    <row r="2187">
      <c r="A2187" s="16" t="inlineStr">
        <is>
          <t>5.22-5.28</t>
        </is>
      </c>
      <c r="B2187" s="16" t="inlineStr">
        <is>
          <t>PO-128-16263455242871847</t>
        </is>
      </c>
      <c r="C2187" s="16" t="inlineStr">
        <is>
          <t>Shipped</t>
        </is>
      </c>
      <c r="D2187" s="16" t="inlineStr">
        <is>
          <t>128-16263476214391847</t>
        </is>
      </c>
      <c r="E2187" s="16" t="inlineStr">
        <is>
          <t>Shipped</t>
        </is>
      </c>
      <c r="F2187" s="16" t="inlineStr">
        <is>
          <t>LV64W25</t>
        </is>
      </c>
      <c r="G2187" s="16" t="inlineStr">
        <is>
          <t>Ventilador de Techo LED TIANLAI con 5 Aspas, Control Remoto, 3 Colores Luz, 3 Velocidades, Temporizador, Fácil Instalación, E27 para Baño Cocina Dormitorio Salón</t>
        </is>
      </c>
      <c r="H2187" s="16" t="inlineStr">
        <is>
          <t>LV64W25</t>
        </is>
      </c>
      <c r="I2187" s="16" t="n">
        <v>10</v>
      </c>
      <c r="J2187" s="17" t="n">
        <v>1249.9</v>
      </c>
      <c r="K2187" s="17" t="n">
        <v>1504.3</v>
      </c>
      <c r="L2187" s="17" t="n">
        <v>0</v>
      </c>
      <c r="M2187" s="17" t="n">
        <v>0</v>
      </c>
      <c r="N2187" s="17">
        <f>K2187*0.08+L2187*0.08</f>
        <v/>
      </c>
      <c r="O2187" s="17">
        <f>-(K2187*0.025+L2187*0.025)</f>
        <v/>
      </c>
      <c r="P2187" s="17">
        <f>32</f>
        <v/>
      </c>
      <c r="Q2187" s="17">
        <f>J2187+L2187+N2187+O2187-P2187-M2187</f>
        <v/>
      </c>
    </row>
    <row r="2188">
      <c r="A2188" s="16" t="inlineStr">
        <is>
          <t>5.22-5.28</t>
        </is>
      </c>
      <c r="B2188" s="16" t="inlineStr">
        <is>
          <t>PO-128-16151528602231424</t>
        </is>
      </c>
      <c r="C2188" s="16" t="inlineStr">
        <is>
          <t>Shipped</t>
        </is>
      </c>
      <c r="D2188" s="16" t="inlineStr">
        <is>
          <t>128-16151581031031424</t>
        </is>
      </c>
      <c r="E2188" s="16" t="inlineStr">
        <is>
          <t>Shipped</t>
        </is>
      </c>
      <c r="F2188" s="16" t="inlineStr">
        <is>
          <t>VA880T</t>
        </is>
      </c>
      <c r="G218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188" s="16" t="inlineStr">
        <is>
          <t>1 pieza</t>
        </is>
      </c>
      <c r="I2188" s="16" t="n">
        <v>1</v>
      </c>
      <c r="J2188" s="17" t="n">
        <v>114.98</v>
      </c>
      <c r="K2188" s="17" t="n">
        <v>127.27</v>
      </c>
      <c r="L2188" s="17" t="n">
        <v>25.86</v>
      </c>
      <c r="M2188" s="17" t="n">
        <v>0</v>
      </c>
      <c r="N2188" s="17">
        <f>K2188*0.08+L2188*0.08</f>
        <v/>
      </c>
      <c r="O2188" s="17">
        <f>-(K2188*0.025+L2188*0.025)</f>
        <v/>
      </c>
      <c r="P2188" s="17">
        <f>32</f>
        <v/>
      </c>
      <c r="Q2188" s="17">
        <f>J2188+L2188+N2188+O2188-P2188-M2188</f>
        <v/>
      </c>
    </row>
    <row r="2189">
      <c r="A2189" s="16" t="inlineStr">
        <is>
          <t>5.22-5.28</t>
        </is>
      </c>
      <c r="B2189" s="16" t="inlineStr">
        <is>
          <t>PO-128-16174840668791287</t>
        </is>
      </c>
      <c r="C2189" s="16" t="inlineStr">
        <is>
          <t>Shipped</t>
        </is>
      </c>
      <c r="D2189" s="16" t="inlineStr">
        <is>
          <t>128-16174913823351287</t>
        </is>
      </c>
      <c r="E2189" s="16" t="inlineStr">
        <is>
          <t>Shipped</t>
        </is>
      </c>
      <c r="F2189" s="16" t="inlineStr">
        <is>
          <t>SA8056T</t>
        </is>
      </c>
      <c r="G218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189" s="16" t="inlineStr">
        <is>
          <t>SA8056T</t>
        </is>
      </c>
      <c r="I2189" s="16" t="n">
        <v>1</v>
      </c>
      <c r="J2189" s="17" t="n">
        <v>123.9</v>
      </c>
      <c r="K2189" s="17" t="n">
        <v>120.46</v>
      </c>
      <c r="L2189" s="17" t="n">
        <v>25.86</v>
      </c>
      <c r="M2189" s="17" t="n">
        <v>0</v>
      </c>
      <c r="N2189" s="17">
        <f>K2189*0.08+L2189*0.08</f>
        <v/>
      </c>
      <c r="O2189" s="17">
        <f>-(K2189*0.025+L2189*0.025)</f>
        <v/>
      </c>
      <c r="P2189" s="17">
        <f>32</f>
        <v/>
      </c>
      <c r="Q2189" s="17">
        <f>J2189+L2189+N2189+O2189-P2189-M2189</f>
        <v/>
      </c>
    </row>
    <row r="2190">
      <c r="A2190" s="16" t="inlineStr">
        <is>
          <t>5.22-5.28</t>
        </is>
      </c>
      <c r="B2190" s="16" t="inlineStr">
        <is>
          <t>PO-128-16071820616312989</t>
        </is>
      </c>
      <c r="C2190" s="16" t="inlineStr">
        <is>
          <t>Shipped</t>
        </is>
      </c>
      <c r="D2190" s="16" t="inlineStr">
        <is>
          <t>128-16071896638072989</t>
        </is>
      </c>
      <c r="E2190" s="16" t="inlineStr">
        <is>
          <t>Shipped</t>
        </is>
      </c>
      <c r="F2190" s="16" t="inlineStr">
        <is>
          <t>LV64W25</t>
        </is>
      </c>
      <c r="G2190" s="16" t="inlineStr">
        <is>
          <t>Ventilador de Techo LED TIANLAI con 5 Aspas, Control Remoto, 3 Colores Luz, 3 Velocidades, Temporizador, Fácil Instalación, E27 para Baño Cocina Dormitorio Salón</t>
        </is>
      </c>
      <c r="H2190" s="16" t="inlineStr">
        <is>
          <t>LV64W25</t>
        </is>
      </c>
      <c r="I2190" s="16" t="n">
        <v>1</v>
      </c>
      <c r="J2190" s="17" t="n">
        <v>124.99</v>
      </c>
      <c r="K2190" s="17" t="n">
        <v>158.19</v>
      </c>
      <c r="L2190" s="17" t="n">
        <v>25.86</v>
      </c>
      <c r="M2190" s="17" t="n">
        <v>0</v>
      </c>
      <c r="N2190" s="17">
        <f>K2190*0.08+L2190*0.08</f>
        <v/>
      </c>
      <c r="O2190" s="17">
        <f>-(K2190*0.025+L2190*0.025)</f>
        <v/>
      </c>
      <c r="P2190" s="17">
        <f>32</f>
        <v/>
      </c>
      <c r="Q2190" s="17">
        <f>J2190+L2190+N2190+O2190-P2190-M2190</f>
        <v/>
      </c>
    </row>
    <row r="2191">
      <c r="A2191" s="16" t="inlineStr">
        <is>
          <t>5.22-5.28</t>
        </is>
      </c>
      <c r="B2191" s="16" t="inlineStr">
        <is>
          <t>PO-128-16105503079032914</t>
        </is>
      </c>
      <c r="C2191" s="16" t="inlineStr">
        <is>
          <t>Shipped</t>
        </is>
      </c>
      <c r="D2191" s="16" t="inlineStr">
        <is>
          <t>128-16105495214712914</t>
        </is>
      </c>
      <c r="E2191" s="16" t="inlineStr">
        <is>
          <t>Shipped</t>
        </is>
      </c>
      <c r="F2191" s="16" t="inlineStr">
        <is>
          <t>MCM-003-V</t>
        </is>
      </c>
      <c r="G2191"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191" s="16" t="inlineStr">
        <is>
          <t>verde</t>
        </is>
      </c>
      <c r="I2191" s="16" t="n">
        <v>1</v>
      </c>
      <c r="J2191" s="17" t="n">
        <v>43</v>
      </c>
      <c r="K2191" s="17" t="n">
        <v>50.18</v>
      </c>
      <c r="L2191" s="17" t="n">
        <v>25.86</v>
      </c>
      <c r="M2191" s="17" t="n">
        <v>0</v>
      </c>
      <c r="N2191" s="17">
        <f>K2191*0.08+L2191*0.08</f>
        <v/>
      </c>
      <c r="O2191" s="17">
        <f>-(K2191*0.025+L2191*0.025)</f>
        <v/>
      </c>
      <c r="P2191" s="17">
        <f>32</f>
        <v/>
      </c>
      <c r="Q2191" s="17">
        <f>J2191+L2191+N2191+O2191-P2191-M2191</f>
        <v/>
      </c>
    </row>
    <row r="2192">
      <c r="A2192" s="16" t="inlineStr">
        <is>
          <t>5.22-5.28</t>
        </is>
      </c>
      <c r="B2192" s="16" t="inlineStr">
        <is>
          <t>PO-128-16222085345911069</t>
        </is>
      </c>
      <c r="C2192" s="16" t="inlineStr">
        <is>
          <t>Shipped</t>
        </is>
      </c>
      <c r="D2192" s="16" t="inlineStr">
        <is>
          <t>128-16222106317431069</t>
        </is>
      </c>
      <c r="E2192" s="16" t="inlineStr">
        <is>
          <t>Shipped</t>
        </is>
      </c>
      <c r="F2192" s="16" t="inlineStr">
        <is>
          <t>SA325T</t>
        </is>
      </c>
      <c r="G2192" s="16" t="inlineStr">
        <is>
          <t>Subwoofer Portátil Inalámbrico con Luces RGB, Sonido de Alta Potencia y Batería Duradera, TWS TF USB, Perfecto para Campamento Fiestas y Entretenimiento en Casa</t>
        </is>
      </c>
      <c r="H2192" s="16" t="inlineStr">
        <is>
          <t>NEGRO</t>
        </is>
      </c>
      <c r="I2192" s="16" t="n">
        <v>1</v>
      </c>
      <c r="J2192" s="17" t="n">
        <v>37.99</v>
      </c>
      <c r="K2192" s="17" t="n">
        <v>47.03</v>
      </c>
      <c r="L2192" s="17" t="n">
        <v>25.86</v>
      </c>
      <c r="M2192" s="17" t="n">
        <v>0</v>
      </c>
      <c r="N2192" s="17">
        <f>K2192*0.08+L2192*0.08</f>
        <v/>
      </c>
      <c r="O2192" s="17">
        <f>-(K2192*0.025+L2192*0.025)</f>
        <v/>
      </c>
      <c r="P2192" s="17">
        <f>32</f>
        <v/>
      </c>
      <c r="Q2192" s="17">
        <f>J2192+L2192+N2192+O2192-P2192-M2192</f>
        <v/>
      </c>
    </row>
    <row r="2193">
      <c r="A2193" s="16" t="inlineStr">
        <is>
          <t>5.22-5.28</t>
        </is>
      </c>
      <c r="B2193" s="16" t="inlineStr">
        <is>
          <t>PO-128-16450649733750667</t>
        </is>
      </c>
      <c r="C2193" s="16" t="inlineStr">
        <is>
          <t>Shipped</t>
        </is>
      </c>
      <c r="D2193" s="16" t="inlineStr">
        <is>
          <t>128-16450729687670667</t>
        </is>
      </c>
      <c r="E2193" s="16" t="inlineStr">
        <is>
          <t>Shipped</t>
        </is>
      </c>
      <c r="F2193" s="16" t="inlineStr">
        <is>
          <t>LB02235-negro</t>
        </is>
      </c>
      <c r="G2193" s="16" t="inlineStr">
        <is>
          <t>Audífonos Inalámbricos para la Cabeza, Recargables y Multifuncionales - Conectan a Varios Dispositivos, soportan Radio FM, Tarjeta TF y AUX - 4 Horas de Reproducción Musical - Ideal para Trabajo Cotidiano, Juegos y Estudio</t>
        </is>
      </c>
      <c r="H2193" s="16" t="inlineStr">
        <is>
          <t>NEGRO</t>
        </is>
      </c>
      <c r="I2193" s="16" t="n">
        <v>1</v>
      </c>
      <c r="J2193" s="17" t="n">
        <v>36.8</v>
      </c>
      <c r="K2193" s="17" t="n">
        <v>49.91</v>
      </c>
      <c r="L2193" s="17" t="n">
        <v>25.86</v>
      </c>
      <c r="M2193" s="17" t="n">
        <v>0</v>
      </c>
      <c r="N2193" s="17">
        <f>K2193*0.08+L2193*0.08</f>
        <v/>
      </c>
      <c r="O2193" s="17">
        <f>-(K2193*0.025+L2193*0.025)</f>
        <v/>
      </c>
      <c r="P2193" s="17">
        <f>32</f>
        <v/>
      </c>
      <c r="Q2193" s="17">
        <f>J2193+L2193+N2193+O2193-P2193-M2193</f>
        <v/>
      </c>
    </row>
    <row r="2194">
      <c r="A2194" s="16" t="inlineStr">
        <is>
          <t>5.22-5.28</t>
        </is>
      </c>
      <c r="B2194" s="16" t="inlineStr">
        <is>
          <t>PO-128-16388394783350012</t>
        </is>
      </c>
      <c r="C2194" s="16" t="inlineStr">
        <is>
          <t>Shipped</t>
        </is>
      </c>
      <c r="D2194" s="16" t="inlineStr">
        <is>
          <t>128-16388373811830012</t>
        </is>
      </c>
      <c r="E2194" s="16" t="inlineStr">
        <is>
          <t>Shipped</t>
        </is>
      </c>
      <c r="F2194" s="16" t="inlineStr">
        <is>
          <t>VB347T</t>
        </is>
      </c>
      <c r="G219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194" s="16" t="inlineStr">
        <is>
          <t>1 pieza</t>
        </is>
      </c>
      <c r="I2194" s="16" t="n">
        <v>5</v>
      </c>
      <c r="J2194" s="17" t="n">
        <v>399.5</v>
      </c>
      <c r="K2194" s="17" t="n">
        <v>330.77</v>
      </c>
      <c r="L2194" s="17" t="n">
        <v>0</v>
      </c>
      <c r="M2194" s="17" t="n">
        <v>0</v>
      </c>
      <c r="N2194" s="17">
        <f>K2194*0.08+L2194*0.08</f>
        <v/>
      </c>
      <c r="O2194" s="17">
        <f>-(K2194*0.025+L2194*0.025)</f>
        <v/>
      </c>
      <c r="P2194" s="17">
        <f>32</f>
        <v/>
      </c>
      <c r="Q2194" s="17">
        <f>J2194+L2194+N2194+O2194-P2194-M2194</f>
        <v/>
      </c>
    </row>
    <row r="2195">
      <c r="A2195" s="16" t="inlineStr">
        <is>
          <t>5.22-5.28</t>
        </is>
      </c>
      <c r="B2195" s="16" t="inlineStr">
        <is>
          <t>PO-128-15813375345273505</t>
        </is>
      </c>
      <c r="C2195" s="16" t="inlineStr">
        <is>
          <t>Shipped</t>
        </is>
      </c>
      <c r="D2195" s="16" t="inlineStr">
        <is>
          <t>128-15813527388793505</t>
        </is>
      </c>
      <c r="E2195" s="16" t="inlineStr">
        <is>
          <t>Shipped</t>
        </is>
      </c>
      <c r="F2195" s="16" t="inlineStr">
        <is>
          <t>SA325T</t>
        </is>
      </c>
      <c r="G2195" s="16" t="inlineStr">
        <is>
          <t>Subwoofer Portátil Inalámbrico con Luces RGB, Sonido de Alta Potencia y Batería Duradera, TWS TF USB, Perfecto para Campamento Fiestas y Entretenimiento en Casa</t>
        </is>
      </c>
      <c r="H2195" s="16" t="inlineStr">
        <is>
          <t>NEGRO</t>
        </is>
      </c>
      <c r="I2195" s="16" t="n">
        <v>1</v>
      </c>
      <c r="J2195" s="17" t="n">
        <v>37.99</v>
      </c>
      <c r="K2195" s="17" t="n">
        <v>3.93</v>
      </c>
      <c r="L2195" s="17" t="n">
        <v>25.86</v>
      </c>
      <c r="M2195" s="17" t="n">
        <v>0</v>
      </c>
      <c r="N2195" s="17">
        <f>K2195*0.08+L2195*0.08</f>
        <v/>
      </c>
      <c r="O2195" s="17">
        <f>-(K2195*0.025+L2195*0.025)</f>
        <v/>
      </c>
      <c r="P2195" s="17">
        <f>32</f>
        <v/>
      </c>
      <c r="Q2195" s="17">
        <f>J2195+L2195+N2195+O2195-P2195-M2195</f>
        <v/>
      </c>
    </row>
    <row r="2196">
      <c r="A2196" s="16" t="inlineStr">
        <is>
          <t>5.22-5.28</t>
        </is>
      </c>
      <c r="B2196" s="16" t="inlineStr">
        <is>
          <t>PO-128-15822051717753580</t>
        </is>
      </c>
      <c r="C2196" s="16" t="inlineStr">
        <is>
          <t>Shipped</t>
        </is>
      </c>
      <c r="D2196" s="16" t="inlineStr">
        <is>
          <t>128-15822009774713580</t>
        </is>
      </c>
      <c r="E2196" s="16" t="inlineStr">
        <is>
          <t>Shipped</t>
        </is>
      </c>
      <c r="F2196" s="16" t="inlineStr">
        <is>
          <t>VA384T-A</t>
        </is>
      </c>
      <c r="G2196" s="16" t="inlineStr">
        <is>
          <t>Bocina Portátil Bluetooth de 3 Pulgadas con Radio FM, USB TF TWS, Sonido Estéreo 5W, Bocina Recargable para Hogar Exterior Viaje Fiesta Camping</t>
        </is>
      </c>
      <c r="H2196" s="16" t="inlineStr">
        <is>
          <t>AZUL</t>
        </is>
      </c>
      <c r="I2196" s="16" t="n">
        <v>1</v>
      </c>
      <c r="J2196" s="17" t="n">
        <v>48</v>
      </c>
      <c r="K2196" s="17" t="n">
        <v>58.72</v>
      </c>
      <c r="L2196" s="17" t="n">
        <v>25.86</v>
      </c>
      <c r="M2196" s="17" t="n">
        <v>0</v>
      </c>
      <c r="N2196" s="17">
        <f>K2196*0.08+L2196*0.08</f>
        <v/>
      </c>
      <c r="O2196" s="17">
        <f>-(K2196*0.025+L2196*0.025)</f>
        <v/>
      </c>
      <c r="P2196" s="17">
        <f>32</f>
        <v/>
      </c>
      <c r="Q2196" s="17">
        <f>J2196+L2196+N2196+O2196-P2196-M2196</f>
        <v/>
      </c>
    </row>
    <row r="2197">
      <c r="A2197" s="16" t="inlineStr">
        <is>
          <t>5.22-5.28</t>
        </is>
      </c>
      <c r="B2197" s="16" t="inlineStr">
        <is>
          <t>PO-128-16214359726711051</t>
        </is>
      </c>
      <c r="C2197" s="16" t="inlineStr">
        <is>
          <t>Shipped</t>
        </is>
      </c>
      <c r="D2197" s="16" t="inlineStr">
        <is>
          <t>128-16214370212471051</t>
        </is>
      </c>
      <c r="E2197" s="16" t="inlineStr">
        <is>
          <t>Shipped</t>
        </is>
      </c>
      <c r="F2197" s="16" t="inlineStr">
        <is>
          <t>LB02235-rojo</t>
        </is>
      </c>
      <c r="G2197" s="16" t="inlineStr">
        <is>
          <t>Audífonos Inalámbricos para la Cabeza, Recargables y Multifuncionales - Conectan a Varios Dispositivos, soportan Radio FM, Tarjeta TF y AUX - 4 Horas de Reproducción Musical - Ideal para Trabajo Cotidiano, Juegos y Estudio</t>
        </is>
      </c>
      <c r="H2197" s="16" t="inlineStr">
        <is>
          <t>ROJO</t>
        </is>
      </c>
      <c r="I2197" s="16" t="n">
        <v>1</v>
      </c>
      <c r="J2197" s="17" t="n">
        <v>36.8</v>
      </c>
      <c r="K2197" s="17" t="n">
        <v>49.91</v>
      </c>
      <c r="L2197" s="17" t="n">
        <v>25.86</v>
      </c>
      <c r="M2197" s="17" t="n">
        <v>0</v>
      </c>
      <c r="N2197" s="17">
        <f>K2197*0.08+L2197*0.08</f>
        <v/>
      </c>
      <c r="O2197" s="17">
        <f>-(K2197*0.025+L2197*0.025)</f>
        <v/>
      </c>
      <c r="P2197" s="17">
        <f>32</f>
        <v/>
      </c>
      <c r="Q2197" s="17">
        <f>J2197+L2197+N2197+O2197-P2197-M2197</f>
        <v/>
      </c>
    </row>
    <row r="2198">
      <c r="A2198" s="16" t="inlineStr">
        <is>
          <t>5.22-5.28</t>
        </is>
      </c>
      <c r="B2198" s="16" t="inlineStr">
        <is>
          <t>PO-128-16454206346870644</t>
        </is>
      </c>
      <c r="C2198" s="16" t="inlineStr">
        <is>
          <t>Shipped</t>
        </is>
      </c>
      <c r="D2198" s="16" t="inlineStr">
        <is>
          <t>128-16454216832630644</t>
        </is>
      </c>
      <c r="E2198" s="16" t="inlineStr">
        <is>
          <t>Shipped</t>
        </is>
      </c>
      <c r="F2198" s="16" t="inlineStr">
        <is>
          <t>VB347T</t>
        </is>
      </c>
      <c r="G219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198" s="16" t="inlineStr">
        <is>
          <t>1 pieza</t>
        </is>
      </c>
      <c r="I2198" s="16" t="n">
        <v>1</v>
      </c>
      <c r="J2198" s="17" t="n">
        <v>79.90000000000001</v>
      </c>
      <c r="K2198" s="17" t="n">
        <v>94.5</v>
      </c>
      <c r="L2198" s="17" t="n">
        <v>25.86</v>
      </c>
      <c r="M2198" s="17" t="n">
        <v>0</v>
      </c>
      <c r="N2198" s="17">
        <f>K2198*0.08+L2198*0.08</f>
        <v/>
      </c>
      <c r="O2198" s="17">
        <f>-(K2198*0.025+L2198*0.025)</f>
        <v/>
      </c>
      <c r="P2198" s="17">
        <f>32</f>
        <v/>
      </c>
      <c r="Q2198" s="17">
        <f>J2198+L2198+N2198+O2198-P2198-M2198</f>
        <v/>
      </c>
    </row>
    <row r="2199">
      <c r="A2199" s="16" t="inlineStr">
        <is>
          <t>5.22-5.28</t>
        </is>
      </c>
      <c r="B2199" s="16" t="inlineStr">
        <is>
          <t>PO-128-15891918889593997</t>
        </is>
      </c>
      <c r="C2199" s="16" t="inlineStr">
        <is>
          <t>Shipped</t>
        </is>
      </c>
      <c r="D2199" s="16" t="inlineStr">
        <is>
          <t>128-15892023747193997</t>
        </is>
      </c>
      <c r="E2199" s="16" t="inlineStr">
        <is>
          <t>Shipped</t>
        </is>
      </c>
      <c r="F2199" s="16" t="inlineStr">
        <is>
          <t>S39W48-5PZS</t>
        </is>
      </c>
      <c r="G219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199" s="16" t="inlineStr">
        <is>
          <t>5 piezas</t>
        </is>
      </c>
      <c r="I2199" s="16" t="n">
        <v>1</v>
      </c>
      <c r="J2199" s="17" t="n">
        <v>150</v>
      </c>
      <c r="K2199" s="17" t="n">
        <v>209.87</v>
      </c>
      <c r="L2199" s="17" t="n">
        <v>25.86</v>
      </c>
      <c r="M2199" s="17" t="n">
        <v>0</v>
      </c>
      <c r="N2199" s="17">
        <f>K2199*0.08+L2199*0.08</f>
        <v/>
      </c>
      <c r="O2199" s="17">
        <f>-(K2199*0.025+L2199*0.025)</f>
        <v/>
      </c>
      <c r="P2199" s="17">
        <f>32</f>
        <v/>
      </c>
      <c r="Q2199" s="17">
        <f>J2199+L2199+N2199+O2199-P2199-M2199</f>
        <v/>
      </c>
    </row>
    <row r="2200">
      <c r="A2200" s="16" t="inlineStr">
        <is>
          <t>5.22-5.28</t>
        </is>
      </c>
      <c r="B2200" s="16" t="inlineStr">
        <is>
          <t>PO-128-15981191342712441</t>
        </is>
      </c>
      <c r="C2200" s="16" t="inlineStr">
        <is>
          <t>Shipped</t>
        </is>
      </c>
      <c r="D2200" s="16" t="inlineStr">
        <is>
          <t>128-15981159885432441</t>
        </is>
      </c>
      <c r="E2200" s="16" t="inlineStr">
        <is>
          <t>Shipped</t>
        </is>
      </c>
      <c r="F2200" s="16" t="inlineStr">
        <is>
          <t>SA325T</t>
        </is>
      </c>
      <c r="G2200" s="16" t="inlineStr">
        <is>
          <t>Subwoofer Portátil Inalámbrico con Luces RGB, Sonido de Alta Potencia y Batería Duradera, TWS TF USB, Perfecto para Campamento Fiestas y Entretenimiento en Casa</t>
        </is>
      </c>
      <c r="H2200" s="16" t="inlineStr">
        <is>
          <t>NEGRO</t>
        </is>
      </c>
      <c r="I2200" s="16" t="n">
        <v>1</v>
      </c>
      <c r="J2200" s="17" t="n">
        <v>37.99</v>
      </c>
      <c r="K2200" s="17" t="n">
        <v>47.03</v>
      </c>
      <c r="L2200" s="17" t="n">
        <v>25.86</v>
      </c>
      <c r="M2200" s="17" t="n">
        <v>0</v>
      </c>
      <c r="N2200" s="17">
        <f>K2200*0.08+L2200*0.08</f>
        <v/>
      </c>
      <c r="O2200" s="17">
        <f>-(K2200*0.025+L2200*0.025)</f>
        <v/>
      </c>
      <c r="P2200" s="17">
        <f>32</f>
        <v/>
      </c>
      <c r="Q2200" s="17">
        <f>J2200+L2200+N2200+O2200-P2200-M2200</f>
        <v/>
      </c>
    </row>
    <row r="2201">
      <c r="A2201" s="16" t="inlineStr">
        <is>
          <t>5.22-5.28</t>
        </is>
      </c>
      <c r="B2201" s="16" t="inlineStr">
        <is>
          <t>PO-128-15935155354233738</t>
        </is>
      </c>
      <c r="C2201" s="16" t="inlineStr">
        <is>
          <t>Shipped</t>
        </is>
      </c>
      <c r="D2201" s="16" t="inlineStr">
        <is>
          <t>128-15935113411193738</t>
        </is>
      </c>
      <c r="E2201" s="16" t="inlineStr">
        <is>
          <t>Shipped</t>
        </is>
      </c>
      <c r="F2201" s="16" t="inlineStr">
        <is>
          <t>LB02235-blanco</t>
        </is>
      </c>
      <c r="G2201" s="16" t="inlineStr">
        <is>
          <t>Audífonos Inalámbricos para la Cabeza, Recargables y Multifuncionales - Conectan a Varios Dispositivos, soportan Radio FM, Tarjeta TF y AUX - 4 Horas de Reproducción Musical - Ideal para Trabajo Cotidiano, Juegos y Estudio</t>
        </is>
      </c>
      <c r="H2201" s="16" t="inlineStr">
        <is>
          <t>BLANCO</t>
        </is>
      </c>
      <c r="I2201" s="16" t="n">
        <v>1</v>
      </c>
      <c r="J2201" s="17" t="n">
        <v>36.8</v>
      </c>
      <c r="K2201" s="17" t="n">
        <v>49.91</v>
      </c>
      <c r="L2201" s="17" t="n">
        <v>25.86</v>
      </c>
      <c r="M2201" s="17" t="n">
        <v>0</v>
      </c>
      <c r="N2201" s="17">
        <f>K2201*0.08+L2201*0.08</f>
        <v/>
      </c>
      <c r="O2201" s="17">
        <f>-(K2201*0.025+L2201*0.025)</f>
        <v/>
      </c>
      <c r="P2201" s="17">
        <f>32</f>
        <v/>
      </c>
      <c r="Q2201" s="17">
        <f>J2201+L2201+N2201+O2201-P2201-M2201</f>
        <v/>
      </c>
    </row>
    <row r="2202">
      <c r="A2202" s="16" t="inlineStr">
        <is>
          <t>5.22-5.28</t>
        </is>
      </c>
      <c r="B2202" s="16" t="inlineStr">
        <is>
          <t>PO-128-16201044501111195</t>
        </is>
      </c>
      <c r="C2202" s="16" t="inlineStr">
        <is>
          <t>Shipped</t>
        </is>
      </c>
      <c r="D2202" s="16" t="inlineStr">
        <is>
          <t>128-16201086321271195</t>
        </is>
      </c>
      <c r="E2202" s="16" t="inlineStr">
        <is>
          <t>Shipped</t>
        </is>
      </c>
      <c r="F2202" s="16" t="inlineStr">
        <is>
          <t>VB347T</t>
        </is>
      </c>
      <c r="G220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02" s="16" t="inlineStr">
        <is>
          <t>1 pieza</t>
        </is>
      </c>
      <c r="I2202" s="16" t="n">
        <v>1</v>
      </c>
      <c r="J2202" s="17" t="n">
        <v>79.90000000000001</v>
      </c>
      <c r="K2202" s="17" t="n">
        <v>94.5</v>
      </c>
      <c r="L2202" s="17" t="n">
        <v>25.86</v>
      </c>
      <c r="M2202" s="17" t="n">
        <v>0</v>
      </c>
      <c r="N2202" s="17">
        <f>K2202*0.08+L2202*0.08</f>
        <v/>
      </c>
      <c r="O2202" s="17">
        <f>-(K2202*0.025+L2202*0.025)</f>
        <v/>
      </c>
      <c r="P2202" s="17">
        <f>32</f>
        <v/>
      </c>
      <c r="Q2202" s="17">
        <f>J2202+L2202+N2202+O2202-P2202-M2202</f>
        <v/>
      </c>
    </row>
    <row r="2203">
      <c r="A2203" s="16" t="inlineStr">
        <is>
          <t>5.22-5.28</t>
        </is>
      </c>
      <c r="B2203" s="16" t="inlineStr">
        <is>
          <t>PO-128-16299070546551760</t>
        </is>
      </c>
      <c r="C2203" s="16" t="inlineStr">
        <is>
          <t>Shipped</t>
        </is>
      </c>
      <c r="D2203" s="16" t="inlineStr">
        <is>
          <t>128-16299125596791760</t>
        </is>
      </c>
      <c r="E2203" s="16" t="inlineStr">
        <is>
          <t>Shipped</t>
        </is>
      </c>
      <c r="F2203" s="16" t="inlineStr">
        <is>
          <t>MCM-001R</t>
        </is>
      </c>
      <c r="G2203" s="16" t="inlineStr">
        <is>
          <t>Musicord Altavoz Inalámbrico BT Portátil: ¡Sonido impactante, luces LED multicolores y 4 horas de autonomía! Compatible con TWS, FM, TF y USB – Imprescindible para fiestas y viajes</t>
        </is>
      </c>
      <c r="H2203" s="16" t="inlineStr">
        <is>
          <t>ROJO</t>
        </is>
      </c>
      <c r="I2203" s="16" t="n">
        <v>1</v>
      </c>
      <c r="J2203" s="17" t="n">
        <v>66.5</v>
      </c>
      <c r="K2203" s="17" t="n">
        <v>74.29000000000001</v>
      </c>
      <c r="L2203" s="17" t="n">
        <v>25.86</v>
      </c>
      <c r="M2203" s="17" t="n">
        <v>0</v>
      </c>
      <c r="N2203" s="17">
        <f>K2203*0.08+L2203*0.08</f>
        <v/>
      </c>
      <c r="O2203" s="17">
        <f>-(K2203*0.025+L2203*0.025)</f>
        <v/>
      </c>
      <c r="P2203" s="17">
        <f>32</f>
        <v/>
      </c>
      <c r="Q2203" s="17">
        <f>J2203+L2203+N2203+O2203-P2203-M2203</f>
        <v/>
      </c>
    </row>
    <row r="2204">
      <c r="A2204" s="16" t="inlineStr">
        <is>
          <t>5.22-5.28</t>
        </is>
      </c>
      <c r="B2204" s="16" t="inlineStr">
        <is>
          <t>PO-128-16224254203511118</t>
        </is>
      </c>
      <c r="C2204" s="16" t="inlineStr">
        <is>
          <t>Shipped</t>
        </is>
      </c>
      <c r="D2204" s="16" t="inlineStr">
        <is>
          <t>128-16224242407031118</t>
        </is>
      </c>
      <c r="E2204" s="16" t="inlineStr">
        <is>
          <t>Shipped</t>
        </is>
      </c>
      <c r="F2204" s="16" t="inlineStr">
        <is>
          <t>LB02235-rojo</t>
        </is>
      </c>
      <c r="G2204" s="16" t="inlineStr">
        <is>
          <t>Audífonos Inalámbricos para la Cabeza, Recargables y Multifuncionales - Conectan a Varios Dispositivos, soportan Radio FM, Tarjeta TF y AUX - 4 Horas de Reproducción Musical - Ideal para Trabajo Cotidiano, Juegos y Estudio</t>
        </is>
      </c>
      <c r="H2204" s="16" t="inlineStr">
        <is>
          <t>ROJO</t>
        </is>
      </c>
      <c r="I2204" s="16" t="n">
        <v>1</v>
      </c>
      <c r="J2204" s="17" t="n">
        <v>36.8</v>
      </c>
      <c r="K2204" s="17" t="n">
        <v>49.91</v>
      </c>
      <c r="L2204" s="17" t="n">
        <v>25.86</v>
      </c>
      <c r="M2204" s="17" t="n">
        <v>0</v>
      </c>
      <c r="N2204" s="17">
        <f>K2204*0.08+L2204*0.08</f>
        <v/>
      </c>
      <c r="O2204" s="17">
        <f>-(K2204*0.025+L2204*0.025)</f>
        <v/>
      </c>
      <c r="P2204" s="17">
        <f>32</f>
        <v/>
      </c>
      <c r="Q2204" s="17">
        <f>J2204+L2204+N2204+O2204-P2204-M2204</f>
        <v/>
      </c>
    </row>
    <row r="2205">
      <c r="A2205" s="16" t="inlineStr">
        <is>
          <t>5.22-5.28</t>
        </is>
      </c>
      <c r="B2205" s="16" t="inlineStr">
        <is>
          <t>PO-128-15988606751352525</t>
        </is>
      </c>
      <c r="C2205" s="16" t="inlineStr">
        <is>
          <t>Shipped</t>
        </is>
      </c>
      <c r="D2205" s="16" t="inlineStr">
        <is>
          <t>128-15988682773112525</t>
        </is>
      </c>
      <c r="E2205" s="16" t="inlineStr">
        <is>
          <t>Shipped</t>
        </is>
      </c>
      <c r="F2205" s="16" t="inlineStr">
        <is>
          <t>LB02235-azul</t>
        </is>
      </c>
      <c r="G2205" s="16" t="inlineStr">
        <is>
          <t>Audífonos Inalámbricos para la Cabeza, Recargables y Multifuncionales - Conectan a Varios Dispositivos, soportan Radio FM, Tarjeta TF y AUX - 4 Horas de Reproducción Musical - Ideal para Trabajo Cotidiano, Juegos y Estudio</t>
        </is>
      </c>
      <c r="H2205" s="16" t="inlineStr">
        <is>
          <t>AZUL</t>
        </is>
      </c>
      <c r="I2205" s="16" t="n">
        <v>1</v>
      </c>
      <c r="J2205" s="17" t="n">
        <v>36</v>
      </c>
      <c r="K2205" s="17" t="n">
        <v>40.83</v>
      </c>
      <c r="L2205" s="17" t="n">
        <v>25.86</v>
      </c>
      <c r="M2205" s="17" t="n">
        <v>0</v>
      </c>
      <c r="N2205" s="17">
        <f>K2205*0.08+L2205*0.08</f>
        <v/>
      </c>
      <c r="O2205" s="17">
        <f>-(K2205*0.025+L2205*0.025)</f>
        <v/>
      </c>
      <c r="P2205" s="17">
        <f>32</f>
        <v/>
      </c>
      <c r="Q2205" s="17">
        <f>J2205+L2205+N2205+O2205-P2205-M2205</f>
        <v/>
      </c>
    </row>
    <row r="2206">
      <c r="A2206" s="16" t="inlineStr">
        <is>
          <t>5.22-5.28</t>
        </is>
      </c>
      <c r="B2206" s="16" t="inlineStr">
        <is>
          <t>PO-128-16209716224631271</t>
        </is>
      </c>
      <c r="C2206" s="16" t="inlineStr">
        <is>
          <t>Shipped</t>
        </is>
      </c>
      <c r="D2206" s="16" t="inlineStr">
        <is>
          <t>128-16209674281591271</t>
        </is>
      </c>
      <c r="E2206" s="16" t="inlineStr">
        <is>
          <t>Shipped</t>
        </is>
      </c>
      <c r="F2206" s="16" t="inlineStr">
        <is>
          <t>LB02235-blanco</t>
        </is>
      </c>
      <c r="G2206" s="16" t="inlineStr">
        <is>
          <t>Audífonos Inalámbricos para la Cabeza, Recargables y Multifuncionales - Conectan a Varios Dispositivos, soportan Radio FM, Tarjeta TF y AUX - 4 Horas de Reproducción Musical - Ideal para Trabajo Cotidiano, Juegos y Estudio</t>
        </is>
      </c>
      <c r="H2206" s="16" t="inlineStr">
        <is>
          <t>BLANCO</t>
        </is>
      </c>
      <c r="I2206" s="16" t="n">
        <v>1</v>
      </c>
      <c r="J2206" s="17" t="n">
        <v>36.8</v>
      </c>
      <c r="K2206" s="17" t="n">
        <v>49.91</v>
      </c>
      <c r="L2206" s="17" t="n">
        <v>25.86</v>
      </c>
      <c r="M2206" s="17" t="n">
        <v>0</v>
      </c>
      <c r="N2206" s="17">
        <f>K2206*0.08+L2206*0.08</f>
        <v/>
      </c>
      <c r="O2206" s="17">
        <f>-(K2206*0.025+L2206*0.025)</f>
        <v/>
      </c>
      <c r="P2206" s="17">
        <f>32</f>
        <v/>
      </c>
      <c r="Q2206" s="17">
        <f>J2206+L2206+N2206+O2206-P2206-M2206</f>
        <v/>
      </c>
    </row>
    <row r="2207">
      <c r="A2207" s="16" t="inlineStr">
        <is>
          <t>5.22-5.28</t>
        </is>
      </c>
      <c r="B2207" s="16" t="inlineStr">
        <is>
          <t>PO-128-16384870195830227</t>
        </is>
      </c>
      <c r="C2207" s="16" t="inlineStr">
        <is>
          <t>Shipped</t>
        </is>
      </c>
      <c r="D2207" s="16" t="inlineStr">
        <is>
          <t>128-16384912138870227</t>
        </is>
      </c>
      <c r="E2207" s="16" t="inlineStr">
        <is>
          <t>Shipped</t>
        </is>
      </c>
      <c r="F2207" s="16" t="inlineStr">
        <is>
          <t>MCM-001R</t>
        </is>
      </c>
      <c r="G2207" s="16" t="inlineStr">
        <is>
          <t>Musicord Altavoz Inalámbrico BT Portátil: ¡Sonido impactante, luces LED multicolores y 4 horas de autonomía! Compatible con TWS, FM, TF y USB – Imprescindible para fiestas y viajes</t>
        </is>
      </c>
      <c r="H2207" s="16" t="inlineStr">
        <is>
          <t>ROJO</t>
        </is>
      </c>
      <c r="I2207" s="16" t="n">
        <v>1</v>
      </c>
      <c r="J2207" s="17" t="n">
        <v>66.5</v>
      </c>
      <c r="K2207" s="17" t="n">
        <v>74.29000000000001</v>
      </c>
      <c r="L2207" s="17" t="n">
        <v>25.86</v>
      </c>
      <c r="M2207" s="17" t="n">
        <v>0</v>
      </c>
      <c r="N2207" s="17">
        <f>K2207*0.08+L2207*0.08</f>
        <v/>
      </c>
      <c r="O2207" s="17">
        <f>-(K2207*0.025+L2207*0.025)</f>
        <v/>
      </c>
      <c r="P2207" s="17">
        <f>32</f>
        <v/>
      </c>
      <c r="Q2207" s="17">
        <f>J2207+L2207+N2207+O2207-P2207-M2207</f>
        <v/>
      </c>
    </row>
    <row r="2208">
      <c r="A2208" s="16" t="inlineStr">
        <is>
          <t>5.22-5.28</t>
        </is>
      </c>
      <c r="B2208" s="16" t="inlineStr">
        <is>
          <t>PO-128-15837597271673361</t>
        </is>
      </c>
      <c r="C2208" s="16" t="inlineStr">
        <is>
          <t>Shipped</t>
        </is>
      </c>
      <c r="D2208" s="16" t="inlineStr">
        <is>
          <t>128-15837639214713361</t>
        </is>
      </c>
      <c r="E2208" s="16" t="inlineStr">
        <is>
          <t>Shipped</t>
        </is>
      </c>
      <c r="F2208" s="16" t="inlineStr">
        <is>
          <t>VB347T</t>
        </is>
      </c>
      <c r="G220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08" s="16" t="inlineStr">
        <is>
          <t>1 pieza</t>
        </is>
      </c>
      <c r="I2208" s="16" t="n">
        <v>1</v>
      </c>
      <c r="J2208" s="17" t="n">
        <v>79.90000000000001</v>
      </c>
      <c r="K2208" s="17" t="n">
        <v>94.5</v>
      </c>
      <c r="L2208" s="17" t="n">
        <v>25.86</v>
      </c>
      <c r="M2208" s="17" t="n">
        <v>0</v>
      </c>
      <c r="N2208" s="17">
        <f>K2208*0.08+L2208*0.08</f>
        <v/>
      </c>
      <c r="O2208" s="17">
        <f>-(K2208*0.025+L2208*0.025)</f>
        <v/>
      </c>
      <c r="P2208" s="17">
        <f>32</f>
        <v/>
      </c>
      <c r="Q2208" s="17">
        <f>J2208+L2208+N2208+O2208-P2208-M2208</f>
        <v/>
      </c>
    </row>
    <row r="2209">
      <c r="A2209" s="16" t="inlineStr">
        <is>
          <t>5.22-5.28</t>
        </is>
      </c>
      <c r="B2209" s="16" t="inlineStr">
        <is>
          <t>PO-128-15939459016313712</t>
        </is>
      </c>
      <c r="C2209" s="16" t="inlineStr">
        <is>
          <t>Shipped</t>
        </is>
      </c>
      <c r="D2209" s="16" t="inlineStr">
        <is>
          <t>128-15939448530553712</t>
        </is>
      </c>
      <c r="E2209" s="16" t="inlineStr">
        <is>
          <t>Shipped</t>
        </is>
      </c>
      <c r="F2209" s="16" t="inlineStr">
        <is>
          <t>S09W18IB</t>
        </is>
      </c>
      <c r="G220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209" s="16" t="inlineStr">
        <is>
          <t>1 pieza</t>
        </is>
      </c>
      <c r="I2209" s="16" t="n">
        <v>2</v>
      </c>
      <c r="J2209" s="17" t="n">
        <v>58</v>
      </c>
      <c r="K2209" s="17" t="n">
        <v>79.28</v>
      </c>
      <c r="L2209" s="17" t="n">
        <v>25.86</v>
      </c>
      <c r="M2209" s="17" t="n">
        <v>0</v>
      </c>
      <c r="N2209" s="17">
        <f>K2209*0.08+L2209*0.08</f>
        <v/>
      </c>
      <c r="O2209" s="17">
        <f>-(K2209*0.025+L2209*0.025)</f>
        <v/>
      </c>
      <c r="P2209" s="17">
        <f>32</f>
        <v/>
      </c>
      <c r="Q2209" s="17">
        <f>J2209+L2209+N2209+O2209-P2209-M2209</f>
        <v/>
      </c>
    </row>
    <row r="2210">
      <c r="A2210" s="16" t="inlineStr">
        <is>
          <t>5.22-5.28</t>
        </is>
      </c>
      <c r="B2210" s="16" t="inlineStr">
        <is>
          <t>PO-128-16313848812151608</t>
        </is>
      </c>
      <c r="C2210" s="16" t="inlineStr">
        <is>
          <t>Shipped</t>
        </is>
      </c>
      <c r="D2210" s="16" t="inlineStr">
        <is>
          <t>128-16313859297911608</t>
        </is>
      </c>
      <c r="E2210" s="16" t="inlineStr">
        <is>
          <t>Shipped</t>
        </is>
      </c>
      <c r="F2210" s="16" t="inlineStr">
        <is>
          <t>LB02235-negro</t>
        </is>
      </c>
      <c r="G2210" s="16" t="inlineStr">
        <is>
          <t>Audífonos Inalámbricos para la Cabeza, Recargables y Multifuncionales - Conectan a Varios Dispositivos, soportan Radio FM, Tarjeta TF y AUX - 4 Horas de Reproducción Musical - Ideal para Trabajo Cotidiano, Juegos y Estudio</t>
        </is>
      </c>
      <c r="H2210" s="16" t="inlineStr">
        <is>
          <t>NEGRO</t>
        </is>
      </c>
      <c r="I2210" s="16" t="n">
        <v>1</v>
      </c>
      <c r="J2210" s="17" t="n">
        <v>36.8</v>
      </c>
      <c r="K2210" s="17" t="n">
        <v>49.91</v>
      </c>
      <c r="L2210" s="17" t="n">
        <v>25.86</v>
      </c>
      <c r="M2210" s="17" t="n">
        <v>0</v>
      </c>
      <c r="N2210" s="17">
        <f>K2210*0.08+L2210*0.08</f>
        <v/>
      </c>
      <c r="O2210" s="17">
        <f>-(K2210*0.025+L2210*0.025)</f>
        <v/>
      </c>
      <c r="P2210" s="17">
        <f>32</f>
        <v/>
      </c>
      <c r="Q2210" s="17">
        <f>J2210+L2210+N2210+O2210-P2210-M2210</f>
        <v/>
      </c>
    </row>
    <row r="2211">
      <c r="A2211" s="16" t="inlineStr">
        <is>
          <t>5.22-5.28</t>
        </is>
      </c>
      <c r="B2211" s="16" t="inlineStr">
        <is>
          <t>PO-128-16238432999031930</t>
        </is>
      </c>
      <c r="C2211" s="16" t="inlineStr">
        <is>
          <t>Shipped</t>
        </is>
      </c>
      <c r="D2211" s="16" t="inlineStr">
        <is>
          <t>128-16238485427831930</t>
        </is>
      </c>
      <c r="E2211" s="16" t="inlineStr">
        <is>
          <t>Shipped</t>
        </is>
      </c>
      <c r="F2211" s="16" t="inlineStr">
        <is>
          <t>KTS-1678V</t>
        </is>
      </c>
      <c r="G2211" s="16" t="inlineStr">
        <is>
          <t>Bocina portátil Inalámbrico, de 3 pulgadas, tamaño de bolsillo, 170 g, con asa, compatible con TF, USB y Micro SD, con radio FM y función TWS (True Wireless Stereo), adecuada para relajarse en casa o viajar al aire libre.</t>
        </is>
      </c>
      <c r="H2211" s="16" t="inlineStr">
        <is>
          <t>KTS-1678V</t>
        </is>
      </c>
      <c r="I2211" s="16" t="n">
        <v>1</v>
      </c>
      <c r="J2211" s="17" t="n">
        <v>42.5</v>
      </c>
      <c r="K2211" s="17" t="n">
        <v>50.78</v>
      </c>
      <c r="L2211" s="17" t="n">
        <v>25.86</v>
      </c>
      <c r="M2211" s="17" t="n">
        <v>0</v>
      </c>
      <c r="N2211" s="17">
        <f>K2211*0.08+L2211*0.08</f>
        <v/>
      </c>
      <c r="O2211" s="17">
        <f>-(K2211*0.025+L2211*0.025)</f>
        <v/>
      </c>
      <c r="P2211" s="17">
        <f>32</f>
        <v/>
      </c>
      <c r="Q2211" s="17">
        <f>J2211+L2211+N2211+O2211-P2211-M2211</f>
        <v/>
      </c>
    </row>
    <row r="2212">
      <c r="A2212" s="16" t="inlineStr">
        <is>
          <t>5.22-5.28</t>
        </is>
      </c>
      <c r="B2212" s="16" t="inlineStr">
        <is>
          <t>PO-128-16222117540471069</t>
        </is>
      </c>
      <c r="C2212" s="16" t="inlineStr">
        <is>
          <t>Shipped</t>
        </is>
      </c>
      <c r="D2212" s="16" t="inlineStr">
        <is>
          <t>128-16222128026231069</t>
        </is>
      </c>
      <c r="E2212" s="16" t="inlineStr">
        <is>
          <t>Shipped</t>
        </is>
      </c>
      <c r="F2212" s="16" t="inlineStr">
        <is>
          <t>LB02235-azul</t>
        </is>
      </c>
      <c r="G2212" s="16" t="inlineStr">
        <is>
          <t>Audífonos Inalámbricos para la Cabeza, Recargables y Multifuncionales - Conectan a Varios Dispositivos, soportan Radio FM, Tarjeta TF y AUX - 4 Horas de Reproducción Musical - Ideal para Trabajo Cotidiano, Juegos y Estudio</t>
        </is>
      </c>
      <c r="H2212" s="16" t="inlineStr">
        <is>
          <t>AZUL</t>
        </is>
      </c>
      <c r="I2212" s="16" t="n">
        <v>1</v>
      </c>
      <c r="J2212" s="17" t="n">
        <v>36</v>
      </c>
      <c r="K2212" s="17" t="n">
        <v>49.11</v>
      </c>
      <c r="L2212" s="17" t="n">
        <v>25.86</v>
      </c>
      <c r="M2212" s="17" t="n">
        <v>0</v>
      </c>
      <c r="N2212" s="17">
        <f>K2212*0.08+L2212*0.08</f>
        <v/>
      </c>
      <c r="O2212" s="17">
        <f>-(K2212*0.025+L2212*0.025)</f>
        <v/>
      </c>
      <c r="P2212" s="17">
        <f>32</f>
        <v/>
      </c>
      <c r="Q2212" s="17">
        <f>J2212+L2212+N2212+O2212-P2212-M2212</f>
        <v/>
      </c>
    </row>
    <row r="2213">
      <c r="A2213" s="16" t="inlineStr">
        <is>
          <t>5.22-5.28</t>
        </is>
      </c>
      <c r="B2213" s="16" t="inlineStr">
        <is>
          <t>PO-128-15925135237753927</t>
        </is>
      </c>
      <c r="C2213" s="16" t="inlineStr">
        <is>
          <t>Shipped</t>
        </is>
      </c>
      <c r="D2213" s="16" t="inlineStr">
        <is>
          <t>128-15925124751993927</t>
        </is>
      </c>
      <c r="E2213" s="16" t="inlineStr">
        <is>
          <t>Shipped</t>
        </is>
      </c>
      <c r="F2213" s="16" t="inlineStr">
        <is>
          <t>LB02235-negro</t>
        </is>
      </c>
      <c r="G2213" s="16" t="inlineStr">
        <is>
          <t>Audífonos Inalámbricos para la Cabeza, Recargables y Multifuncionales - Conectan a Varios Dispositivos, soportan Radio FM, Tarjeta TF y AUX - 4 Horas de Reproducción Musical - Ideal para Trabajo Cotidiano, Juegos y Estudio</t>
        </is>
      </c>
      <c r="H2213" s="16" t="inlineStr">
        <is>
          <t>NEGRO</t>
        </is>
      </c>
      <c r="I2213" s="16" t="n">
        <v>1</v>
      </c>
      <c r="J2213" s="17" t="n">
        <v>36.8</v>
      </c>
      <c r="K2213" s="17" t="n">
        <v>49.91</v>
      </c>
      <c r="L2213" s="17" t="n">
        <v>6.48</v>
      </c>
      <c r="M2213" s="17" t="n">
        <v>0</v>
      </c>
      <c r="N2213" s="17">
        <f>K2213*0.08+L2213*0.08</f>
        <v/>
      </c>
      <c r="O2213" s="17">
        <f>-(K2213*0.025+L2213*0.025)</f>
        <v/>
      </c>
      <c r="P2213" s="17">
        <f>32</f>
        <v/>
      </c>
      <c r="Q2213" s="17">
        <f>J2213+L2213+N2213+O2213-P2213-M2213</f>
        <v/>
      </c>
    </row>
    <row r="2214">
      <c r="A2214" s="16" t="inlineStr">
        <is>
          <t>5.22-5.28</t>
        </is>
      </c>
      <c r="B2214" s="16" t="inlineStr">
        <is>
          <t>PO-128-15925135237753927</t>
        </is>
      </c>
      <c r="C2214" s="16" t="inlineStr">
        <is>
          <t>Shipped</t>
        </is>
      </c>
      <c r="D2214" s="16" t="inlineStr">
        <is>
          <t>128-15925141791353927</t>
        </is>
      </c>
      <c r="E2214" s="16" t="inlineStr">
        <is>
          <t>Shipped</t>
        </is>
      </c>
      <c r="F2214" s="16" t="inlineStr">
        <is>
          <t>LB02235-azul</t>
        </is>
      </c>
      <c r="G2214" s="16" t="inlineStr">
        <is>
          <t>Audífonos Inalámbricos para la Cabeza, Recargables y Multifuncionales - Conectan a Varios Dispositivos, soportan Radio FM, Tarjeta TF y AUX - 4 Horas de Reproducción Musical - Ideal para Trabajo Cotidiano, Juegos y Estudio</t>
        </is>
      </c>
      <c r="H2214" s="16" t="inlineStr">
        <is>
          <t>AZUL</t>
        </is>
      </c>
      <c r="I2214" s="16" t="n">
        <v>1</v>
      </c>
      <c r="J2214" s="17" t="n">
        <v>36</v>
      </c>
      <c r="K2214" s="17" t="n">
        <v>49.11</v>
      </c>
      <c r="L2214" s="17" t="n">
        <v>6.39</v>
      </c>
      <c r="M2214" s="17" t="n">
        <v>0</v>
      </c>
      <c r="N2214" s="17">
        <f>K2214*0.08+L2214*0.08</f>
        <v/>
      </c>
      <c r="O2214" s="17">
        <f>-(K2214*0.025+L2214*0.025)</f>
        <v/>
      </c>
      <c r="P2214" s="17">
        <f>32</f>
        <v/>
      </c>
      <c r="Q2214" s="17">
        <f>J2214+L2214+N2214+O2214-P2214-M2214</f>
        <v/>
      </c>
    </row>
    <row r="2215">
      <c r="A2215" s="16" t="inlineStr">
        <is>
          <t>5.22-5.28</t>
        </is>
      </c>
      <c r="B2215" s="16" t="inlineStr">
        <is>
          <t>PO-128-15925135237753927</t>
        </is>
      </c>
      <c r="C2215" s="16" t="inlineStr">
        <is>
          <t>Shipped</t>
        </is>
      </c>
      <c r="D2215" s="16" t="inlineStr">
        <is>
          <t>128-15925131305593927</t>
        </is>
      </c>
      <c r="E2215" s="16" t="inlineStr">
        <is>
          <t>Shipped</t>
        </is>
      </c>
      <c r="F2215" s="16" t="inlineStr">
        <is>
          <t>LB02235-blanco</t>
        </is>
      </c>
      <c r="G2215" s="16" t="inlineStr">
        <is>
          <t>Audífonos Inalámbricos para la Cabeza, Recargables y Multifuncionales - Conectan a Varios Dispositivos, soportan Radio FM, Tarjeta TF y AUX - 4 Horas de Reproducción Musical - Ideal para Trabajo Cotidiano, Juegos y Estudio</t>
        </is>
      </c>
      <c r="H2215" s="16" t="inlineStr">
        <is>
          <t>BLANCO</t>
        </is>
      </c>
      <c r="I2215" s="16" t="n">
        <v>1</v>
      </c>
      <c r="J2215" s="17" t="n">
        <v>36.8</v>
      </c>
      <c r="K2215" s="17" t="n">
        <v>49.91</v>
      </c>
      <c r="L2215" s="17" t="n">
        <v>6.48</v>
      </c>
      <c r="M2215" s="17" t="n">
        <v>0</v>
      </c>
      <c r="N2215" s="17">
        <f>K2215*0.08+L2215*0.08</f>
        <v/>
      </c>
      <c r="O2215" s="17">
        <f>-(K2215*0.025+L2215*0.025)</f>
        <v/>
      </c>
      <c r="P2215" s="17">
        <f>32</f>
        <v/>
      </c>
      <c r="Q2215" s="17">
        <f>J2215+L2215+N2215+O2215-P2215-M2215</f>
        <v/>
      </c>
    </row>
    <row r="2216">
      <c r="A2216" s="16" t="inlineStr">
        <is>
          <t>5.22-5.28</t>
        </is>
      </c>
      <c r="B2216" s="16" t="inlineStr">
        <is>
          <t>PO-128-15925135237753927</t>
        </is>
      </c>
      <c r="C2216" s="16" t="inlineStr">
        <is>
          <t>Shipped</t>
        </is>
      </c>
      <c r="D2216" s="16" t="inlineStr">
        <is>
          <t>128-15925136548473927</t>
        </is>
      </c>
      <c r="E2216" s="16" t="inlineStr">
        <is>
          <t>Shipped</t>
        </is>
      </c>
      <c r="F2216" s="16" t="inlineStr">
        <is>
          <t>LB02235-rojo</t>
        </is>
      </c>
      <c r="G2216" s="16" t="inlineStr">
        <is>
          <t>Audífonos Inalámbricos para la Cabeza, Recargables y Multifuncionales - Conectan a Varios Dispositivos, soportan Radio FM, Tarjeta TF y AUX - 4 Horas de Reproducción Musical - Ideal para Trabajo Cotidiano, Juegos y Estudio</t>
        </is>
      </c>
      <c r="H2216" s="16" t="inlineStr">
        <is>
          <t>ROJO</t>
        </is>
      </c>
      <c r="I2216" s="16" t="n">
        <v>1</v>
      </c>
      <c r="J2216" s="17" t="n">
        <v>36.8</v>
      </c>
      <c r="K2216" s="17" t="n">
        <v>49.91</v>
      </c>
      <c r="L2216" s="17" t="n">
        <v>6.51</v>
      </c>
      <c r="M2216" s="17" t="n">
        <v>0</v>
      </c>
      <c r="N2216" s="17">
        <f>K2216*0.08+L2216*0.08</f>
        <v/>
      </c>
      <c r="O2216" s="17">
        <f>-(K2216*0.025+L2216*0.025)</f>
        <v/>
      </c>
      <c r="P2216" s="17">
        <f>32</f>
        <v/>
      </c>
      <c r="Q2216" s="17">
        <f>J2216+L2216+N2216+O2216-P2216-M2216</f>
        <v/>
      </c>
    </row>
    <row r="2217">
      <c r="A2217" s="16" t="inlineStr">
        <is>
          <t>5.22-5.28</t>
        </is>
      </c>
      <c r="B2217" s="16" t="inlineStr">
        <is>
          <t>PO-128-15993757297272556</t>
        </is>
      </c>
      <c r="C2217" s="16" t="inlineStr">
        <is>
          <t>Shipped</t>
        </is>
      </c>
      <c r="D2217" s="16" t="inlineStr">
        <is>
          <t>128-15993862154872556</t>
        </is>
      </c>
      <c r="E2217" s="16" t="inlineStr">
        <is>
          <t>Shipped</t>
        </is>
      </c>
      <c r="F2217" s="16" t="inlineStr">
        <is>
          <t>FA028</t>
        </is>
      </c>
      <c r="G2217" s="16" t="inlineStr">
        <is>
          <t>Extractor de agua para garrafas de agua, compatible con carga USB, extractor de agua automático, práctico, con dos modos de toma de agua: manual y programado, ideal para dormitorios, salones, oficinas, uso al aire libre y otros escenarios.</t>
        </is>
      </c>
      <c r="H2217" s="16" t="inlineStr">
        <is>
          <t>FA028</t>
        </is>
      </c>
      <c r="I2217" s="16" t="n">
        <v>1</v>
      </c>
      <c r="J2217" s="17" t="n">
        <v>35</v>
      </c>
      <c r="K2217" s="17" t="n">
        <v>44.58</v>
      </c>
      <c r="L2217" s="17" t="n">
        <v>25.86</v>
      </c>
      <c r="M2217" s="17" t="n">
        <v>0</v>
      </c>
      <c r="N2217" s="17">
        <f>K2217*0.08+L2217*0.08</f>
        <v/>
      </c>
      <c r="O2217" s="17">
        <f>-(K2217*0.025+L2217*0.025)</f>
        <v/>
      </c>
      <c r="P2217" s="17">
        <f>32</f>
        <v/>
      </c>
      <c r="Q2217" s="17">
        <f>J2217+L2217+N2217+O2217-P2217-M2217</f>
        <v/>
      </c>
    </row>
    <row r="2218">
      <c r="A2218" s="16" t="inlineStr">
        <is>
          <t>5.22-5.28</t>
        </is>
      </c>
      <c r="B2218" s="16" t="inlineStr">
        <is>
          <t>PO-128-15972819149433707</t>
        </is>
      </c>
      <c r="C2218" s="16" t="inlineStr">
        <is>
          <t>Shipped</t>
        </is>
      </c>
      <c r="D2218" s="16" t="inlineStr">
        <is>
          <t>128-15972798177913707</t>
        </is>
      </c>
      <c r="E2218" s="16" t="inlineStr">
        <is>
          <t>Shipped</t>
        </is>
      </c>
      <c r="F2218" s="16" t="inlineStr">
        <is>
          <t>MCM-003-V</t>
        </is>
      </c>
      <c r="G2218"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218" s="16" t="inlineStr">
        <is>
          <t>verde</t>
        </is>
      </c>
      <c r="I2218" s="16" t="n">
        <v>1</v>
      </c>
      <c r="J2218" s="17" t="n">
        <v>43</v>
      </c>
      <c r="K2218" s="17" t="n">
        <v>50.18</v>
      </c>
      <c r="L2218" s="17" t="n">
        <v>25.86</v>
      </c>
      <c r="M2218" s="17" t="n">
        <v>0</v>
      </c>
      <c r="N2218" s="17">
        <f>K2218*0.08+L2218*0.08</f>
        <v/>
      </c>
      <c r="O2218" s="17">
        <f>-(K2218*0.025+L2218*0.025)</f>
        <v/>
      </c>
      <c r="P2218" s="17">
        <f>32</f>
        <v/>
      </c>
      <c r="Q2218" s="17">
        <f>J2218+L2218+N2218+O2218-P2218-M2218</f>
        <v/>
      </c>
    </row>
    <row r="2219">
      <c r="A2219" s="16" t="inlineStr">
        <is>
          <t>5.22-5.28</t>
        </is>
      </c>
      <c r="B2219" s="16" t="inlineStr">
        <is>
          <t>PO-128-16431140977270783</t>
        </is>
      </c>
      <c r="C2219" s="16" t="inlineStr">
        <is>
          <t>Shipped</t>
        </is>
      </c>
      <c r="D2219" s="16" t="inlineStr">
        <is>
          <t>128-16431161948790783</t>
        </is>
      </c>
      <c r="E2219" s="16" t="inlineStr">
        <is>
          <t>Shipped</t>
        </is>
      </c>
      <c r="F2219" s="16" t="inlineStr">
        <is>
          <t>LB02235-rojo</t>
        </is>
      </c>
      <c r="G2219" s="16" t="inlineStr">
        <is>
          <t>Audífonos Inalámbricos para la Cabeza, Recargables y Multifuncionales - Conectan a Varios Dispositivos, soportan Radio FM, Tarjeta TF y AUX - 4 Horas de Reproducción Musical - Ideal para Trabajo Cotidiano, Juegos y Estudio</t>
        </is>
      </c>
      <c r="H2219" s="16" t="inlineStr">
        <is>
          <t>ROJO</t>
        </is>
      </c>
      <c r="I2219" s="16" t="n">
        <v>1</v>
      </c>
      <c r="J2219" s="17" t="n">
        <v>36.8</v>
      </c>
      <c r="K2219" s="17" t="n">
        <v>49.91</v>
      </c>
      <c r="L2219" s="17" t="n">
        <v>25.86</v>
      </c>
      <c r="M2219" s="17" t="n">
        <v>0</v>
      </c>
      <c r="N2219" s="17">
        <f>K2219*0.08+L2219*0.08</f>
        <v/>
      </c>
      <c r="O2219" s="17">
        <f>-(K2219*0.025+L2219*0.025)</f>
        <v/>
      </c>
      <c r="P2219" s="17">
        <f>32</f>
        <v/>
      </c>
      <c r="Q2219" s="17">
        <f>J2219+L2219+N2219+O2219-P2219-M2219</f>
        <v/>
      </c>
    </row>
    <row r="2220">
      <c r="A2220" s="16" t="inlineStr">
        <is>
          <t>5.22-5.28</t>
        </is>
      </c>
      <c r="B2220" s="16" t="inlineStr">
        <is>
          <t>PO-128-16189058094711392</t>
        </is>
      </c>
      <c r="C2220" s="16" t="inlineStr">
        <is>
          <t>Shipped</t>
        </is>
      </c>
      <c r="D2220" s="16" t="inlineStr">
        <is>
          <t>128-16189100037751392</t>
        </is>
      </c>
      <c r="E2220" s="16" t="inlineStr">
        <is>
          <t>Shipped</t>
        </is>
      </c>
      <c r="F2220" s="16" t="inlineStr">
        <is>
          <t>LB02235-azul</t>
        </is>
      </c>
      <c r="G2220" s="16" t="inlineStr">
        <is>
          <t>Audífonos Inalámbricos para la Cabeza, Recargables y Multifuncionales - Conectan a Varios Dispositivos, soportan Radio FM, Tarjeta TF y AUX - 4 Horas de Reproducción Musical - Ideal para Trabajo Cotidiano, Juegos y Estudio</t>
        </is>
      </c>
      <c r="H2220" s="16" t="inlineStr">
        <is>
          <t>AZUL</t>
        </is>
      </c>
      <c r="I2220" s="16" t="n">
        <v>1</v>
      </c>
      <c r="J2220" s="17" t="n">
        <v>36</v>
      </c>
      <c r="K2220" s="17" t="n">
        <v>49.11</v>
      </c>
      <c r="L2220" s="17" t="n">
        <v>25.86</v>
      </c>
      <c r="M2220" s="17" t="n">
        <v>0</v>
      </c>
      <c r="N2220" s="17">
        <f>K2220*0.08+L2220*0.08</f>
        <v/>
      </c>
      <c r="O2220" s="17">
        <f>-(K2220*0.025+L2220*0.025)</f>
        <v/>
      </c>
      <c r="P2220" s="17">
        <f>32</f>
        <v/>
      </c>
      <c r="Q2220" s="17">
        <f>J2220+L2220+N2220+O2220-P2220-M2220</f>
        <v/>
      </c>
    </row>
    <row r="2221">
      <c r="A2221" s="16" t="inlineStr">
        <is>
          <t>5.22-5.28</t>
        </is>
      </c>
      <c r="B2221" s="16" t="inlineStr">
        <is>
          <t>PO-128-16232199962231137</t>
        </is>
      </c>
      <c r="C2221" s="16" t="inlineStr">
        <is>
          <t>Shipped</t>
        </is>
      </c>
      <c r="D2221" s="16" t="inlineStr">
        <is>
          <t>128-16232185544311137</t>
        </is>
      </c>
      <c r="E2221" s="16" t="inlineStr">
        <is>
          <t>Shipped</t>
        </is>
      </c>
      <c r="F2221" s="16" t="inlineStr">
        <is>
          <t>SA325T</t>
        </is>
      </c>
      <c r="G2221" s="16" t="inlineStr">
        <is>
          <t>Subwoofer Portátil Inalámbrico con Luces RGB, Sonido de Alta Potencia y Batería Duradera, TWS TF USB, Perfecto para Campamento Fiestas y Entretenimiento en Casa</t>
        </is>
      </c>
      <c r="H2221" s="16" t="inlineStr">
        <is>
          <t>NEGRO</t>
        </is>
      </c>
      <c r="I2221" s="16" t="n">
        <v>1</v>
      </c>
      <c r="J2221" s="17" t="n">
        <v>37.99</v>
      </c>
      <c r="K2221" s="17" t="n">
        <v>37.62</v>
      </c>
      <c r="L2221" s="17" t="n">
        <v>25.86</v>
      </c>
      <c r="M2221" s="17" t="n">
        <v>0</v>
      </c>
      <c r="N2221" s="17">
        <f>K2221*0.08+L2221*0.08</f>
        <v/>
      </c>
      <c r="O2221" s="17">
        <f>-(K2221*0.025+L2221*0.025)</f>
        <v/>
      </c>
      <c r="P2221" s="17">
        <f>32</f>
        <v/>
      </c>
      <c r="Q2221" s="17">
        <f>J2221+L2221+N2221+O2221-P2221-M2221</f>
        <v/>
      </c>
    </row>
    <row r="2222">
      <c r="A2222" s="16" t="inlineStr">
        <is>
          <t>5.22-5.28</t>
        </is>
      </c>
      <c r="B2222" s="16" t="inlineStr">
        <is>
          <t>PO-128-15997800494712532</t>
        </is>
      </c>
      <c r="C2222" s="16" t="inlineStr">
        <is>
          <t>Shipped</t>
        </is>
      </c>
      <c r="D2222" s="16" t="inlineStr">
        <is>
          <t>128-15997842437752532</t>
        </is>
      </c>
      <c r="E2222" s="16" t="inlineStr">
        <is>
          <t>Shipped</t>
        </is>
      </c>
      <c r="F2222" s="16" t="inlineStr">
        <is>
          <t>EM04W36-2PZS</t>
        </is>
      </c>
      <c r="G222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222" s="16" t="inlineStr">
        <is>
          <t>2 piezas</t>
        </is>
      </c>
      <c r="I2222" s="16" t="n">
        <v>1</v>
      </c>
      <c r="J2222" s="17" t="n">
        <v>125</v>
      </c>
      <c r="K2222" s="17" t="n">
        <v>162.46</v>
      </c>
      <c r="L2222" s="17" t="n">
        <v>25.86</v>
      </c>
      <c r="M2222" s="17" t="n">
        <v>0</v>
      </c>
      <c r="N2222" s="17">
        <f>K2222*0.08+L2222*0.08</f>
        <v/>
      </c>
      <c r="O2222" s="17">
        <f>-(K2222*0.025+L2222*0.025)</f>
        <v/>
      </c>
      <c r="P2222" s="17">
        <f>32</f>
        <v/>
      </c>
      <c r="Q2222" s="17">
        <f>J2222+L2222+N2222+O2222-P2222-M2222</f>
        <v/>
      </c>
    </row>
    <row r="2223">
      <c r="A2223" s="16" t="inlineStr">
        <is>
          <t>5.22-5.28</t>
        </is>
      </c>
      <c r="B2223" s="16" t="inlineStr">
        <is>
          <t>PO-128-16195529815671162</t>
        </is>
      </c>
      <c r="C2223" s="16" t="inlineStr">
        <is>
          <t>Shipped</t>
        </is>
      </c>
      <c r="D2223" s="16" t="inlineStr">
        <is>
          <t>128-16195548821111162</t>
        </is>
      </c>
      <c r="E2223" s="16" t="inlineStr">
        <is>
          <t>Shipped</t>
        </is>
      </c>
      <c r="F2223" s="16" t="inlineStr">
        <is>
          <t>MCM-001N</t>
        </is>
      </c>
      <c r="G2223" s="16" t="inlineStr">
        <is>
          <t>Musicord Altavoz Inalámbrico BT Portátil: ¡Sonido impactante, luces LED multicolores y 4 horas de autonomía! Compatible con TWS, FM, TF y USB – Imprescindible para fiestas y viajes</t>
        </is>
      </c>
      <c r="H2223" s="16" t="inlineStr">
        <is>
          <t>NEGRO</t>
        </is>
      </c>
      <c r="I2223" s="16" t="n">
        <v>1</v>
      </c>
      <c r="J2223" s="17" t="n">
        <v>61</v>
      </c>
      <c r="K2223" s="17" t="n">
        <v>55.03</v>
      </c>
      <c r="L2223" s="17" t="n">
        <v>25.86</v>
      </c>
      <c r="M2223" s="17" t="n">
        <v>0</v>
      </c>
      <c r="N2223" s="17">
        <f>K2223*0.08+L2223*0.08</f>
        <v/>
      </c>
      <c r="O2223" s="17">
        <f>-(K2223*0.025+L2223*0.025)</f>
        <v/>
      </c>
      <c r="P2223" s="17">
        <f>32</f>
        <v/>
      </c>
      <c r="Q2223" s="17">
        <f>J2223+L2223+N2223+O2223-P2223-M2223</f>
        <v/>
      </c>
    </row>
    <row r="2224">
      <c r="A2224" s="16" t="inlineStr">
        <is>
          <t>5.22-5.28</t>
        </is>
      </c>
      <c r="B2224" s="16" t="inlineStr">
        <is>
          <t>PO-128-16408989379190915</t>
        </is>
      </c>
      <c r="C2224" s="16" t="inlineStr">
        <is>
          <t>Shipped</t>
        </is>
      </c>
      <c r="D2224" s="16" t="inlineStr">
        <is>
          <t>128-16409010350710915</t>
        </is>
      </c>
      <c r="E2224" s="16" t="inlineStr">
        <is>
          <t>Shipped</t>
        </is>
      </c>
      <c r="F2224" s="16" t="inlineStr">
        <is>
          <t>LB02235-negro</t>
        </is>
      </c>
      <c r="G2224" s="16" t="inlineStr">
        <is>
          <t>Audífonos Inalámbricos para la Cabeza, Recargables y Multifuncionales - Conectan a Varios Dispositivos, soportan Radio FM, Tarjeta TF y AUX - 4 Horas de Reproducción Musical - Ideal para Trabajo Cotidiano, Juegos y Estudio</t>
        </is>
      </c>
      <c r="H2224" s="16" t="inlineStr">
        <is>
          <t>NEGRO</t>
        </is>
      </c>
      <c r="I2224" s="16" t="n">
        <v>1</v>
      </c>
      <c r="J2224" s="17" t="n">
        <v>36.8</v>
      </c>
      <c r="K2224" s="17" t="n">
        <v>49.91</v>
      </c>
      <c r="L2224" s="17" t="n">
        <v>25.86</v>
      </c>
      <c r="M2224" s="17" t="n">
        <v>0</v>
      </c>
      <c r="N2224" s="17">
        <f>K2224*0.08+L2224*0.08</f>
        <v/>
      </c>
      <c r="O2224" s="17">
        <f>-(K2224*0.025+L2224*0.025)</f>
        <v/>
      </c>
      <c r="P2224" s="17">
        <f>32</f>
        <v/>
      </c>
      <c r="Q2224" s="17">
        <f>J2224+L2224+N2224+O2224-P2224-M2224</f>
        <v/>
      </c>
    </row>
    <row r="2225">
      <c r="A2225" s="16" t="inlineStr">
        <is>
          <t>5.22-5.28</t>
        </is>
      </c>
      <c r="B2225" s="16" t="inlineStr">
        <is>
          <t>PO-128-16351645430390297</t>
        </is>
      </c>
      <c r="C2225" s="16" t="inlineStr">
        <is>
          <t>Shipped</t>
        </is>
      </c>
      <c r="D2225" s="16" t="inlineStr">
        <is>
          <t>128-16351687373430297</t>
        </is>
      </c>
      <c r="E2225" s="16" t="inlineStr">
        <is>
          <t>Shipped</t>
        </is>
      </c>
      <c r="F2225" s="16" t="inlineStr">
        <is>
          <t>VA880T</t>
        </is>
      </c>
      <c r="G222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25" s="16" t="inlineStr">
        <is>
          <t>1 pieza</t>
        </is>
      </c>
      <c r="I2225" s="16" t="n">
        <v>1</v>
      </c>
      <c r="J2225" s="17" t="n">
        <v>114.98</v>
      </c>
      <c r="K2225" s="17" t="n">
        <v>127.27</v>
      </c>
      <c r="L2225" s="17" t="n">
        <v>25.86</v>
      </c>
      <c r="M2225" s="17" t="n">
        <v>0</v>
      </c>
      <c r="N2225" s="17">
        <f>K2225*0.08+L2225*0.08</f>
        <v/>
      </c>
      <c r="O2225" s="17">
        <f>-(K2225*0.025+L2225*0.025)</f>
        <v/>
      </c>
      <c r="P2225" s="17">
        <f>32</f>
        <v/>
      </c>
      <c r="Q2225" s="17">
        <f>J2225+L2225+N2225+O2225-P2225-M2225</f>
        <v/>
      </c>
    </row>
    <row r="2226">
      <c r="A2226" s="16" t="inlineStr">
        <is>
          <t>5.22-5.28</t>
        </is>
      </c>
      <c r="B2226" s="16" t="inlineStr">
        <is>
          <t>PO-128-16083760476793044</t>
        </is>
      </c>
      <c r="C2226" s="16" t="inlineStr">
        <is>
          <t>Shipped</t>
        </is>
      </c>
      <c r="D2226" s="16" t="inlineStr">
        <is>
          <t>128-16083723776633044</t>
        </is>
      </c>
      <c r="E2226" s="16" t="inlineStr">
        <is>
          <t>Shipped</t>
        </is>
      </c>
      <c r="F2226" s="16" t="inlineStr">
        <is>
          <t>VA880T</t>
        </is>
      </c>
      <c r="G222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26" s="16" t="inlineStr">
        <is>
          <t>1 pieza</t>
        </is>
      </c>
      <c r="I2226" s="16" t="n">
        <v>2</v>
      </c>
      <c r="J2226" s="17" t="n">
        <v>229.96</v>
      </c>
      <c r="K2226" s="17" t="n">
        <v>254.54</v>
      </c>
      <c r="L2226" s="17" t="n">
        <v>25.86</v>
      </c>
      <c r="M2226" s="17" t="n">
        <v>0</v>
      </c>
      <c r="N2226" s="17">
        <f>K2226*0.08+L2226*0.08</f>
        <v/>
      </c>
      <c r="O2226" s="17">
        <f>-(K2226*0.025+L2226*0.025)</f>
        <v/>
      </c>
      <c r="P2226" s="17">
        <f>32</f>
        <v/>
      </c>
      <c r="Q2226" s="17">
        <f>J2226+L2226+N2226+O2226-P2226-M2226</f>
        <v/>
      </c>
    </row>
    <row r="2227">
      <c r="A2227" s="16" t="inlineStr">
        <is>
          <t>5.22-5.28</t>
        </is>
      </c>
      <c r="B2227" s="16" t="inlineStr">
        <is>
          <t>PO-128-16256513869431822</t>
        </is>
      </c>
      <c r="C2227" s="16" t="inlineStr">
        <is>
          <t>Shipped</t>
        </is>
      </c>
      <c r="D2227" s="16" t="inlineStr">
        <is>
          <t>128-16256503383671822</t>
        </is>
      </c>
      <c r="E2227" s="16" t="inlineStr">
        <is>
          <t>Shipped</t>
        </is>
      </c>
      <c r="F2227" s="16" t="inlineStr">
        <is>
          <t>S09W18IB</t>
        </is>
      </c>
      <c r="G222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227" s="16" t="inlineStr">
        <is>
          <t>1 pieza</t>
        </is>
      </c>
      <c r="I2227" s="16" t="n">
        <v>1</v>
      </c>
      <c r="J2227" s="17" t="n">
        <v>33</v>
      </c>
      <c r="K2227" s="17" t="n">
        <v>43.64</v>
      </c>
      <c r="L2227" s="17" t="n">
        <v>25.86</v>
      </c>
      <c r="M2227" s="17" t="n">
        <v>0</v>
      </c>
      <c r="N2227" s="17">
        <f>K2227*0.08+L2227*0.08</f>
        <v/>
      </c>
      <c r="O2227" s="17">
        <f>-(K2227*0.025+L2227*0.025)</f>
        <v/>
      </c>
      <c r="P2227" s="17">
        <f>32</f>
        <v/>
      </c>
      <c r="Q2227" s="17">
        <f>J2227+L2227+N2227+O2227-P2227-M2227</f>
        <v/>
      </c>
    </row>
    <row r="2228">
      <c r="A2228" s="16" t="inlineStr">
        <is>
          <t>5.22-5.28</t>
        </is>
      </c>
      <c r="B2228" s="16" t="inlineStr">
        <is>
          <t>PO-128-15976639683193682</t>
        </is>
      </c>
      <c r="C2228" s="16" t="inlineStr">
        <is>
          <t>Shipped</t>
        </is>
      </c>
      <c r="D2228" s="16" t="inlineStr">
        <is>
          <t>128-15976744540793682</t>
        </is>
      </c>
      <c r="E2228" s="16" t="inlineStr">
        <is>
          <t>Shipped</t>
        </is>
      </c>
      <c r="F2228" s="16" t="inlineStr">
        <is>
          <t>LB02235-negro</t>
        </is>
      </c>
      <c r="G2228" s="16" t="inlineStr">
        <is>
          <t>Audífonos Inalámbricos para la Cabeza, Recargables y Multifuncionales - Conectan a Varios Dispositivos, soportan Radio FM, Tarjeta TF y AUX - 4 Horas de Reproducción Musical - Ideal para Trabajo Cotidiano, Juegos y Estudio</t>
        </is>
      </c>
      <c r="H2228" s="16" t="inlineStr">
        <is>
          <t>NEGRO</t>
        </is>
      </c>
      <c r="I2228" s="16" t="n">
        <v>1</v>
      </c>
      <c r="J2228" s="17" t="n">
        <v>36.8</v>
      </c>
      <c r="K2228" s="17" t="n">
        <v>49.91</v>
      </c>
      <c r="L2228" s="17" t="n">
        <v>25.86</v>
      </c>
      <c r="M2228" s="17" t="n">
        <v>0</v>
      </c>
      <c r="N2228" s="17">
        <f>K2228*0.08+L2228*0.08</f>
        <v/>
      </c>
      <c r="O2228" s="17">
        <f>-(K2228*0.025+L2228*0.025)</f>
        <v/>
      </c>
      <c r="P2228" s="17">
        <f>32</f>
        <v/>
      </c>
      <c r="Q2228" s="17">
        <f>J2228+L2228+N2228+O2228-P2228-M2228</f>
        <v/>
      </c>
    </row>
    <row r="2229">
      <c r="A2229" s="16" t="inlineStr">
        <is>
          <t>5.22-5.28</t>
        </is>
      </c>
      <c r="B2229" s="16" t="inlineStr">
        <is>
          <t>PO-128-16130837135992573</t>
        </is>
      </c>
      <c r="C2229" s="16" t="inlineStr">
        <is>
          <t>Shipped</t>
        </is>
      </c>
      <c r="D2229" s="16" t="inlineStr">
        <is>
          <t>128-16130863350392573</t>
        </is>
      </c>
      <c r="E2229" s="16" t="inlineStr">
        <is>
          <t>Shipped</t>
        </is>
      </c>
      <c r="F2229" s="16" t="inlineStr">
        <is>
          <t>MB-185R</t>
        </is>
      </c>
      <c r="G2229" s="16" t="inlineStr">
        <is>
          <t>Bocina Radio FM/Reproductor, Compatible con Tarjeta TF, USB, Bluetooth, Aplicable para celular, computadora, Ipad y consola.</t>
        </is>
      </c>
      <c r="H2229" s="16" t="inlineStr">
        <is>
          <t>ROJO/MB-185</t>
        </is>
      </c>
      <c r="I2229" s="16" t="n">
        <v>1</v>
      </c>
      <c r="J2229" s="17" t="n">
        <v>75.5</v>
      </c>
      <c r="K2229" s="17" t="n">
        <v>88.44</v>
      </c>
      <c r="L2229" s="17" t="n">
        <v>25.86</v>
      </c>
      <c r="M2229" s="17" t="n">
        <v>0</v>
      </c>
      <c r="N2229" s="17">
        <f>K2229*0.08+L2229*0.08</f>
        <v/>
      </c>
      <c r="O2229" s="17">
        <f>-(K2229*0.025+L2229*0.025)</f>
        <v/>
      </c>
      <c r="P2229" s="17">
        <f>32</f>
        <v/>
      </c>
      <c r="Q2229" s="17">
        <f>J2229+L2229+N2229+O2229-P2229-M2229</f>
        <v/>
      </c>
    </row>
    <row r="2230">
      <c r="A2230" s="16" t="inlineStr">
        <is>
          <t>5.22-5.28</t>
        </is>
      </c>
      <c r="B2230" s="16" t="inlineStr">
        <is>
          <t>PO-128-15986765153912470</t>
        </is>
      </c>
      <c r="C2230" s="16" t="inlineStr">
        <is>
          <t>Shipped</t>
        </is>
      </c>
      <c r="D2230" s="16" t="inlineStr">
        <is>
          <t>128-15986738939512470</t>
        </is>
      </c>
      <c r="E2230" s="16" t="inlineStr">
        <is>
          <t>Shipped</t>
        </is>
      </c>
      <c r="F2230" s="16" t="inlineStr">
        <is>
          <t>KTS-1678Y</t>
        </is>
      </c>
      <c r="G2230" s="16" t="inlineStr">
        <is>
          <t>Bocina portátil Inalámbrico, de 3 pulgadas, tamaño de bolsillo, 170 g, con asa, compatible con TF, USB y Micro SD, con radio FM y función TWS (True Wireless Stereo), adecuada para relajarse en casa o viajar al aire libre.</t>
        </is>
      </c>
      <c r="H2230" s="16" t="inlineStr">
        <is>
          <t>KTS-1678Y</t>
        </is>
      </c>
      <c r="I2230" s="16" t="n">
        <v>1</v>
      </c>
      <c r="J2230" s="17" t="n">
        <v>42.5</v>
      </c>
      <c r="K2230" s="17" t="n">
        <v>50.78</v>
      </c>
      <c r="L2230" s="17" t="n">
        <v>25.86</v>
      </c>
      <c r="M2230" s="17" t="n">
        <v>0</v>
      </c>
      <c r="N2230" s="17">
        <f>K2230*0.08+L2230*0.08</f>
        <v/>
      </c>
      <c r="O2230" s="17">
        <f>-(K2230*0.025+L2230*0.025)</f>
        <v/>
      </c>
      <c r="P2230" s="17">
        <f>32</f>
        <v/>
      </c>
      <c r="Q2230" s="17">
        <f>J2230+L2230+N2230+O2230-P2230-M2230</f>
        <v/>
      </c>
    </row>
    <row r="2231">
      <c r="A2231" s="16" t="inlineStr">
        <is>
          <t>5.22-5.28</t>
        </is>
      </c>
      <c r="B2231" s="16" t="inlineStr">
        <is>
          <t>PO-128-15843069368953454</t>
        </is>
      </c>
      <c r="C2231" s="16" t="inlineStr">
        <is>
          <t>Shipped</t>
        </is>
      </c>
      <c r="D2231" s="16" t="inlineStr">
        <is>
          <t>128-15843179469433454</t>
        </is>
      </c>
      <c r="E2231" s="16" t="inlineStr">
        <is>
          <t>Shipped</t>
        </is>
      </c>
      <c r="F2231" s="16" t="inlineStr">
        <is>
          <t>MCM-001A</t>
        </is>
      </c>
      <c r="G2231" s="16" t="inlineStr">
        <is>
          <t>Musicord Altavoz Inalámbrico BT Portátil: ¡Sonido impactante, luces LED multicolores y 4 horas de autonomía! Compatible con TWS, FM, TF y USB – Imprescindible para fiestas y viajes</t>
        </is>
      </c>
      <c r="H2231" s="16" t="inlineStr">
        <is>
          <t>AZUL</t>
        </is>
      </c>
      <c r="I2231" s="16" t="n">
        <v>1</v>
      </c>
      <c r="J2231" s="17" t="n">
        <v>51.07</v>
      </c>
      <c r="K2231" s="17" t="n">
        <v>47.58</v>
      </c>
      <c r="L2231" s="17" t="n">
        <v>13</v>
      </c>
      <c r="M2231" s="17" t="n">
        <v>0</v>
      </c>
      <c r="N2231" s="17">
        <f>K2231*0.08+L2231*0.08</f>
        <v/>
      </c>
      <c r="O2231" s="17">
        <f>-(K2231*0.025+L2231*0.025)</f>
        <v/>
      </c>
      <c r="P2231" s="17">
        <f>32</f>
        <v/>
      </c>
      <c r="Q2231" s="17">
        <f>J2231+L2231+N2231+O2231-P2231-M2231</f>
        <v/>
      </c>
    </row>
    <row r="2232">
      <c r="A2232" s="16" t="inlineStr">
        <is>
          <t>5.22-5.28</t>
        </is>
      </c>
      <c r="B2232" s="16" t="inlineStr">
        <is>
          <t>PO-128-15843069368953454</t>
        </is>
      </c>
      <c r="C2232" s="16" t="inlineStr">
        <is>
          <t>Shipped</t>
        </is>
      </c>
      <c r="D2232" s="16" t="inlineStr">
        <is>
          <t>128-15843137526393454</t>
        </is>
      </c>
      <c r="E2232" s="16" t="inlineStr">
        <is>
          <t>Shipped</t>
        </is>
      </c>
      <c r="F2232" s="16" t="inlineStr">
        <is>
          <t>MCM-001G</t>
        </is>
      </c>
      <c r="G2232" s="16" t="inlineStr">
        <is>
          <t>Musicord Altavoz Inalámbrico BT Portátil: ¡Sonido impactante, luces LED multicolores y 4 horas de autonomía! Compatible con TWS, FM, TF y USB – Imprescindible para fiestas y viajes</t>
        </is>
      </c>
      <c r="H2232" s="16" t="inlineStr">
        <is>
          <t>GRIS</t>
        </is>
      </c>
      <c r="I2232" s="16" t="n">
        <v>1</v>
      </c>
      <c r="J2232" s="17" t="n">
        <v>51.07</v>
      </c>
      <c r="K2232" s="17" t="n">
        <v>47.08</v>
      </c>
      <c r="L2232" s="17" t="n">
        <v>12.86</v>
      </c>
      <c r="M2232" s="17" t="n">
        <v>0</v>
      </c>
      <c r="N2232" s="17">
        <f>K2232*0.08+L2232*0.08</f>
        <v/>
      </c>
      <c r="O2232" s="17">
        <f>-(K2232*0.025+L2232*0.025)</f>
        <v/>
      </c>
      <c r="P2232" s="17">
        <f>32</f>
        <v/>
      </c>
      <c r="Q2232" s="17">
        <f>J2232+L2232+N2232+O2232-P2232-M2232</f>
        <v/>
      </c>
    </row>
    <row r="2233">
      <c r="A2233" s="16" t="inlineStr">
        <is>
          <t>5.22-5.28</t>
        </is>
      </c>
      <c r="B2233" s="16" t="inlineStr">
        <is>
          <t>PO-128-16460393825910673</t>
        </is>
      </c>
      <c r="C2233" s="16" t="inlineStr">
        <is>
          <t>Shipped</t>
        </is>
      </c>
      <c r="D2233" s="16" t="inlineStr">
        <is>
          <t>128-16460446254710673</t>
        </is>
      </c>
      <c r="E2233" s="16" t="inlineStr">
        <is>
          <t>Shipped</t>
        </is>
      </c>
      <c r="F2233" s="16" t="inlineStr">
        <is>
          <t>MCM-001A</t>
        </is>
      </c>
      <c r="G2233" s="16" t="inlineStr">
        <is>
          <t>Musicord Altavoz Inalámbrico BT Portátil: ¡Sonido impactante, luces LED multicolores y 4 horas de autonomía! Compatible con TWS, FM, TF y USB – Imprescindible para fiestas y viajes</t>
        </is>
      </c>
      <c r="H2233" s="16" t="inlineStr">
        <is>
          <t>AZUL</t>
        </is>
      </c>
      <c r="I2233" s="16" t="n">
        <v>1</v>
      </c>
      <c r="J2233" s="17" t="n">
        <v>51.07</v>
      </c>
      <c r="K2233" s="17" t="n">
        <v>59.47</v>
      </c>
      <c r="L2233" s="17" t="n">
        <v>25.86</v>
      </c>
      <c r="M2233" s="17" t="n">
        <v>0</v>
      </c>
      <c r="N2233" s="17">
        <f>K2233*0.08+L2233*0.08</f>
        <v/>
      </c>
      <c r="O2233" s="17">
        <f>-(K2233*0.025+L2233*0.025)</f>
        <v/>
      </c>
      <c r="P2233" s="17">
        <f>32</f>
        <v/>
      </c>
      <c r="Q2233" s="17">
        <f>J2233+L2233+N2233+O2233-P2233-M2233</f>
        <v/>
      </c>
    </row>
    <row r="2234">
      <c r="A2234" s="16" t="inlineStr">
        <is>
          <t>5.22-5.28</t>
        </is>
      </c>
      <c r="B2234" s="16" t="inlineStr">
        <is>
          <t>PO-128-16350437581430302</t>
        </is>
      </c>
      <c r="C2234" s="16" t="inlineStr">
        <is>
          <t>Shipped</t>
        </is>
      </c>
      <c r="D2234" s="16" t="inlineStr">
        <is>
          <t>128-16350542439030302</t>
        </is>
      </c>
      <c r="E2234" s="16" t="inlineStr">
        <is>
          <t>Shipped</t>
        </is>
      </c>
      <c r="F2234" s="16" t="inlineStr">
        <is>
          <t>VA384T-A</t>
        </is>
      </c>
      <c r="G2234" s="16" t="inlineStr">
        <is>
          <t>Bocina Portátil Bluetooth de 3 Pulgadas con Radio FM, USB TF TWS, Sonido Estéreo 5W, Bocina Recargable para Hogar Exterior Viaje Fiesta Camping</t>
        </is>
      </c>
      <c r="H2234" s="16" t="inlineStr">
        <is>
          <t>AZUL</t>
        </is>
      </c>
      <c r="I2234" s="16" t="n">
        <v>1</v>
      </c>
      <c r="J2234" s="17" t="n">
        <v>48</v>
      </c>
      <c r="K2234" s="17" t="n">
        <v>5.27</v>
      </c>
      <c r="L2234" s="17" t="n">
        <v>25.86</v>
      </c>
      <c r="M2234" s="17" t="n">
        <v>0</v>
      </c>
      <c r="N2234" s="17">
        <f>K2234*0.08+L2234*0.08</f>
        <v/>
      </c>
      <c r="O2234" s="17">
        <f>-(K2234*0.025+L2234*0.025)</f>
        <v/>
      </c>
      <c r="P2234" s="17">
        <f>32</f>
        <v/>
      </c>
      <c r="Q2234" s="17">
        <f>J2234+L2234+N2234+O2234-P2234-M2234</f>
        <v/>
      </c>
    </row>
    <row r="2235">
      <c r="A2235" s="16" t="inlineStr">
        <is>
          <t>5.22-5.28</t>
        </is>
      </c>
      <c r="B2235" s="16" t="inlineStr">
        <is>
          <t>PO-128-16053441398392139</t>
        </is>
      </c>
      <c r="C2235" s="16" t="inlineStr">
        <is>
          <t>Shipped</t>
        </is>
      </c>
      <c r="D2235" s="16" t="inlineStr">
        <is>
          <t>128-16053430912632139</t>
        </is>
      </c>
      <c r="E2235" s="16" t="inlineStr">
        <is>
          <t>Shipped</t>
        </is>
      </c>
      <c r="F2235" s="16" t="inlineStr">
        <is>
          <t>MCM-001R</t>
        </is>
      </c>
      <c r="G2235" s="16" t="inlineStr">
        <is>
          <t>Musicord Altavoz Inalámbrico BT Portátil: ¡Sonido impactante, luces LED multicolores y 4 horas de autonomía! Compatible con TWS, FM, TF y USB – Imprescindible para fiestas y viajes</t>
        </is>
      </c>
      <c r="H2235" s="16" t="inlineStr">
        <is>
          <t>ROJO</t>
        </is>
      </c>
      <c r="I2235" s="16" t="n">
        <v>1</v>
      </c>
      <c r="J2235" s="17" t="n">
        <v>66.5</v>
      </c>
      <c r="K2235" s="17" t="n">
        <v>74.29000000000001</v>
      </c>
      <c r="L2235" s="17" t="n">
        <v>25.86</v>
      </c>
      <c r="M2235" s="17" t="n">
        <v>0</v>
      </c>
      <c r="N2235" s="17">
        <f>K2235*0.08+L2235*0.08</f>
        <v/>
      </c>
      <c r="O2235" s="17">
        <f>-(K2235*0.025+L2235*0.025)</f>
        <v/>
      </c>
      <c r="P2235" s="17">
        <f>32</f>
        <v/>
      </c>
      <c r="Q2235" s="17">
        <f>J2235+L2235+N2235+O2235-P2235-M2235</f>
        <v/>
      </c>
    </row>
    <row r="2236">
      <c r="A2236" s="16" t="inlineStr">
        <is>
          <t>5.22-5.28</t>
        </is>
      </c>
      <c r="B2236" s="16" t="inlineStr">
        <is>
          <t>PO-128-16371409224310179</t>
        </is>
      </c>
      <c r="C2236" s="16" t="inlineStr">
        <is>
          <t>Shipped</t>
        </is>
      </c>
      <c r="D2236" s="16" t="inlineStr">
        <is>
          <t>128-16371388252790179</t>
        </is>
      </c>
      <c r="E2236" s="16" t="inlineStr">
        <is>
          <t>Shipped</t>
        </is>
      </c>
      <c r="F2236" s="16" t="inlineStr">
        <is>
          <t>MB-185A</t>
        </is>
      </c>
      <c r="G2236" s="16" t="inlineStr">
        <is>
          <t>Bocina Radio FM/Reproductor, Compatible con Tarjeta TF, USB, Bluetooth, Aplicable para celular, computadora, Ipad y consola.</t>
        </is>
      </c>
      <c r="H2236" s="16" t="inlineStr">
        <is>
          <t>AZUL/MB-185</t>
        </is>
      </c>
      <c r="I2236" s="16" t="n">
        <v>1</v>
      </c>
      <c r="J2236" s="17" t="n">
        <v>73</v>
      </c>
      <c r="K2236" s="17" t="n">
        <v>85.94</v>
      </c>
      <c r="L2236" s="17" t="n">
        <v>25.86</v>
      </c>
      <c r="M2236" s="17" t="n">
        <v>0</v>
      </c>
      <c r="N2236" s="17">
        <f>K2236*0.08+L2236*0.08</f>
        <v/>
      </c>
      <c r="O2236" s="17">
        <f>-(K2236*0.025+L2236*0.025)</f>
        <v/>
      </c>
      <c r="P2236" s="17">
        <f>32</f>
        <v/>
      </c>
      <c r="Q2236" s="17">
        <f>J2236+L2236+N2236+O2236-P2236-M2236</f>
        <v/>
      </c>
    </row>
    <row r="2237">
      <c r="A2237" s="16" t="inlineStr">
        <is>
          <t>5.22-5.28</t>
        </is>
      </c>
      <c r="B2237" s="16" t="inlineStr">
        <is>
          <t>PO-128-16178885719671327</t>
        </is>
      </c>
      <c r="C2237" s="16" t="inlineStr">
        <is>
          <t>Shipped</t>
        </is>
      </c>
      <c r="D2237" s="16" t="inlineStr">
        <is>
          <t>128-16178906691191327</t>
        </is>
      </c>
      <c r="E2237" s="16" t="inlineStr">
        <is>
          <t>Shipped</t>
        </is>
      </c>
      <c r="F2237" s="16" t="inlineStr">
        <is>
          <t>S09W18IB</t>
        </is>
      </c>
      <c r="G223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237" s="16" t="inlineStr">
        <is>
          <t>1 pieza</t>
        </is>
      </c>
      <c r="I2237" s="16" t="n">
        <v>1</v>
      </c>
      <c r="J2237" s="17" t="n">
        <v>33</v>
      </c>
      <c r="K2237" s="17" t="n">
        <v>43.64</v>
      </c>
      <c r="L2237" s="17" t="n">
        <v>25.86</v>
      </c>
      <c r="M2237" s="17" t="n">
        <v>0</v>
      </c>
      <c r="N2237" s="17">
        <f>K2237*0.08+L2237*0.08</f>
        <v/>
      </c>
      <c r="O2237" s="17">
        <f>-(K2237*0.025+L2237*0.025)</f>
        <v/>
      </c>
      <c r="P2237" s="17">
        <f>32</f>
        <v/>
      </c>
      <c r="Q2237" s="17">
        <f>J2237+L2237+N2237+O2237-P2237-M2237</f>
        <v/>
      </c>
    </row>
    <row r="2238">
      <c r="A2238" s="16" t="inlineStr">
        <is>
          <t>5.22-5.28</t>
        </is>
      </c>
      <c r="B2238" s="16" t="inlineStr">
        <is>
          <t>PO-128-16352593797750291</t>
        </is>
      </c>
      <c r="C2238" s="16" t="inlineStr">
        <is>
          <t>Shipped</t>
        </is>
      </c>
      <c r="D2238" s="16" t="inlineStr">
        <is>
          <t>128-16352609526390291</t>
        </is>
      </c>
      <c r="E2238" s="16" t="inlineStr">
        <is>
          <t>Shipped</t>
        </is>
      </c>
      <c r="F2238" s="16" t="inlineStr">
        <is>
          <t>VA880T</t>
        </is>
      </c>
      <c r="G223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38" s="16" t="inlineStr">
        <is>
          <t>1 pieza</t>
        </is>
      </c>
      <c r="I2238" s="16" t="n">
        <v>1</v>
      </c>
      <c r="J2238" s="17" t="n">
        <v>114.98</v>
      </c>
      <c r="K2238" s="17" t="n">
        <v>127.27</v>
      </c>
      <c r="L2238" s="17" t="n">
        <v>25.86</v>
      </c>
      <c r="M2238" s="17" t="n">
        <v>0</v>
      </c>
      <c r="N2238" s="17">
        <f>K2238*0.08+L2238*0.08</f>
        <v/>
      </c>
      <c r="O2238" s="17">
        <f>-(K2238*0.025+L2238*0.025)</f>
        <v/>
      </c>
      <c r="P2238" s="17">
        <f>32</f>
        <v/>
      </c>
      <c r="Q2238" s="17">
        <f>J2238+L2238+N2238+O2238-P2238-M2238</f>
        <v/>
      </c>
    </row>
    <row r="2239">
      <c r="A2239" s="16" t="inlineStr">
        <is>
          <t>5.22-5.28</t>
        </is>
      </c>
      <c r="B2239" s="16" t="inlineStr">
        <is>
          <t>PO-128-16032376740472262</t>
        </is>
      </c>
      <c r="C2239" s="16" t="inlineStr">
        <is>
          <t>Shipped</t>
        </is>
      </c>
      <c r="D2239" s="16" t="inlineStr">
        <is>
          <t>128-16032334797432262</t>
        </is>
      </c>
      <c r="E2239" s="16" t="inlineStr">
        <is>
          <t>Shipped</t>
        </is>
      </c>
      <c r="F2239" s="16" t="inlineStr">
        <is>
          <t>LB02235-blanco</t>
        </is>
      </c>
      <c r="G2239" s="16" t="inlineStr">
        <is>
          <t>Audífonos Inalámbricos para la Cabeza, Recargables y Multifuncionales - Conectan a Varios Dispositivos, soportan Radio FM, Tarjeta TF y AUX - 4 Horas de Reproducción Musical - Ideal para Trabajo Cotidiano, Juegos y Estudio</t>
        </is>
      </c>
      <c r="H2239" s="16" t="inlineStr">
        <is>
          <t>BLANCO</t>
        </is>
      </c>
      <c r="I2239" s="16" t="n">
        <v>1</v>
      </c>
      <c r="J2239" s="17" t="n">
        <v>36.8</v>
      </c>
      <c r="K2239" s="17" t="n">
        <v>49.91</v>
      </c>
      <c r="L2239" s="17" t="n">
        <v>25.86</v>
      </c>
      <c r="M2239" s="17" t="n">
        <v>0</v>
      </c>
      <c r="N2239" s="17">
        <f>K2239*0.08+L2239*0.08</f>
        <v/>
      </c>
      <c r="O2239" s="17">
        <f>-(K2239*0.025+L2239*0.025)</f>
        <v/>
      </c>
      <c r="P2239" s="17">
        <f>32</f>
        <v/>
      </c>
      <c r="Q2239" s="17">
        <f>J2239+L2239+N2239+O2239-P2239-M2239</f>
        <v/>
      </c>
    </row>
    <row r="2240">
      <c r="A2240" s="16" t="inlineStr">
        <is>
          <t>5.22-5.28</t>
        </is>
      </c>
      <c r="B2240" s="16" t="inlineStr">
        <is>
          <t>PO-128-16296669266551777</t>
        </is>
      </c>
      <c r="C2240" s="16" t="inlineStr">
        <is>
          <t>Shipped</t>
        </is>
      </c>
      <c r="D2240" s="16" t="inlineStr">
        <is>
          <t>128-16296648295031777</t>
        </is>
      </c>
      <c r="E2240" s="16" t="inlineStr">
        <is>
          <t>Shipped</t>
        </is>
      </c>
      <c r="F2240" s="16" t="inlineStr">
        <is>
          <t>LB02235-negro</t>
        </is>
      </c>
      <c r="G2240" s="16" t="inlineStr">
        <is>
          <t>Audífonos Inalámbricos para la Cabeza, Recargables y Multifuncionales - Conectan a Varios Dispositivos, soportan Radio FM, Tarjeta TF y AUX - 4 Horas de Reproducción Musical - Ideal para Trabajo Cotidiano, Juegos y Estudio</t>
        </is>
      </c>
      <c r="H2240" s="16" t="inlineStr">
        <is>
          <t>NEGRO</t>
        </is>
      </c>
      <c r="I2240" s="16" t="n">
        <v>1</v>
      </c>
      <c r="J2240" s="17" t="n">
        <v>36.8</v>
      </c>
      <c r="K2240" s="17" t="n">
        <v>49.91</v>
      </c>
      <c r="L2240" s="17" t="n">
        <v>25.86</v>
      </c>
      <c r="M2240" s="17" t="n">
        <v>0</v>
      </c>
      <c r="N2240" s="17">
        <f>K2240*0.08+L2240*0.08</f>
        <v/>
      </c>
      <c r="O2240" s="17">
        <f>-(K2240*0.025+L2240*0.025)</f>
        <v/>
      </c>
      <c r="P2240" s="17">
        <f>32</f>
        <v/>
      </c>
      <c r="Q2240" s="17">
        <f>J2240+L2240+N2240+O2240-P2240-M2240</f>
        <v/>
      </c>
    </row>
    <row r="2241">
      <c r="A2241" s="16" t="inlineStr">
        <is>
          <t>5.22-5.28</t>
        </is>
      </c>
      <c r="B2241" s="16" t="inlineStr">
        <is>
          <t>PO-128-15956864067193608</t>
        </is>
      </c>
      <c r="C2241" s="16" t="inlineStr">
        <is>
          <t>Shipped</t>
        </is>
      </c>
      <c r="D2241" s="16" t="inlineStr">
        <is>
          <t>128-15956822124153608</t>
        </is>
      </c>
      <c r="E2241" s="16" t="inlineStr">
        <is>
          <t>Shipped</t>
        </is>
      </c>
      <c r="F2241" s="16" t="inlineStr">
        <is>
          <t>FA028</t>
        </is>
      </c>
      <c r="G2241" s="16" t="inlineStr">
        <is>
          <t>Extractor de agua para garrafas de agua, compatible con carga USB, extractor de agua automático, práctico, con dos modos de toma de agua: manual y programado, ideal para dormitorios, salones, oficinas, uso al aire libre y otros escenarios.</t>
        </is>
      </c>
      <c r="H2241" s="16" t="inlineStr">
        <is>
          <t>FA028</t>
        </is>
      </c>
      <c r="I2241" s="16" t="n">
        <v>1</v>
      </c>
      <c r="J2241" s="17" t="n">
        <v>35</v>
      </c>
      <c r="K2241" s="17" t="n">
        <v>44.58</v>
      </c>
      <c r="L2241" s="17" t="n">
        <v>25.86</v>
      </c>
      <c r="M2241" s="17" t="n">
        <v>0</v>
      </c>
      <c r="N2241" s="17">
        <f>K2241*0.08+L2241*0.08</f>
        <v/>
      </c>
      <c r="O2241" s="17">
        <f>-(K2241*0.025+L2241*0.025)</f>
        <v/>
      </c>
      <c r="P2241" s="17">
        <f>32</f>
        <v/>
      </c>
      <c r="Q2241" s="17">
        <f>J2241+L2241+N2241+O2241-P2241-M2241</f>
        <v/>
      </c>
    </row>
    <row r="2242">
      <c r="A2242" s="16" t="inlineStr">
        <is>
          <t>5.22-5.28</t>
        </is>
      </c>
      <c r="B2242" s="16" t="inlineStr">
        <is>
          <t>PO-128-15830658770553336</t>
        </is>
      </c>
      <c r="C2242" s="16" t="inlineStr">
        <is>
          <t>Shipped</t>
        </is>
      </c>
      <c r="D2242" s="16" t="inlineStr">
        <is>
          <t>128-15830795085433336</t>
        </is>
      </c>
      <c r="E2242" s="16" t="inlineStr">
        <is>
          <t>Shipped</t>
        </is>
      </c>
      <c r="F2242" s="16" t="inlineStr">
        <is>
          <t>LB02235-negro</t>
        </is>
      </c>
      <c r="G2242" s="16" t="inlineStr">
        <is>
          <t>Audífonos Inalámbricos para la Cabeza, Recargables y Multifuncionales - Conectan a Varios Dispositivos, soportan Radio FM, Tarjeta TF y AUX - 4 Horas de Reproducción Musical - Ideal para Trabajo Cotidiano, Juegos y Estudio</t>
        </is>
      </c>
      <c r="H2242" s="16" t="inlineStr">
        <is>
          <t>NEGRO</t>
        </is>
      </c>
      <c r="I2242" s="16" t="n">
        <v>1</v>
      </c>
      <c r="J2242" s="17" t="n">
        <v>36.8</v>
      </c>
      <c r="K2242" s="17" t="n">
        <v>39.94</v>
      </c>
      <c r="L2242" s="17" t="n">
        <v>25.86</v>
      </c>
      <c r="M2242" s="17" t="n">
        <v>0</v>
      </c>
      <c r="N2242" s="17">
        <f>K2242*0.08+L2242*0.08</f>
        <v/>
      </c>
      <c r="O2242" s="17">
        <f>-(K2242*0.025+L2242*0.025)</f>
        <v/>
      </c>
      <c r="P2242" s="17">
        <f>32</f>
        <v/>
      </c>
      <c r="Q2242" s="17">
        <f>J2242+L2242+N2242+O2242-P2242-M2242</f>
        <v/>
      </c>
    </row>
    <row r="2243">
      <c r="A2243" s="16" t="inlineStr">
        <is>
          <t>5.22-5.28</t>
        </is>
      </c>
      <c r="B2243" s="16" t="inlineStr">
        <is>
          <t>PO-128-16174450883191289</t>
        </is>
      </c>
      <c r="C2243" s="16" t="inlineStr">
        <is>
          <t>Shipped</t>
        </is>
      </c>
      <c r="D2243" s="16" t="inlineStr">
        <is>
          <t>128-16174555740791289</t>
        </is>
      </c>
      <c r="E2243" s="16" t="inlineStr">
        <is>
          <t>Shipped</t>
        </is>
      </c>
      <c r="F2243" s="16" t="inlineStr">
        <is>
          <t>VB347T</t>
        </is>
      </c>
      <c r="G224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243" s="16" t="inlineStr">
        <is>
          <t>1 pieza</t>
        </is>
      </c>
      <c r="I2243" s="16" t="n">
        <v>1</v>
      </c>
      <c r="J2243" s="17" t="n">
        <v>79.90000000000001</v>
      </c>
      <c r="K2243" s="17" t="n">
        <v>8.289999999999999</v>
      </c>
      <c r="L2243" s="17" t="n">
        <v>25.86</v>
      </c>
      <c r="M2243" s="17" t="n">
        <v>0</v>
      </c>
      <c r="N2243" s="17">
        <f>K2243*0.08+L2243*0.08</f>
        <v/>
      </c>
      <c r="O2243" s="17">
        <f>-(K2243*0.025+L2243*0.025)</f>
        <v/>
      </c>
      <c r="P2243" s="17">
        <f>32</f>
        <v/>
      </c>
      <c r="Q2243" s="17">
        <f>J2243+L2243+N2243+O2243-P2243-M2243</f>
        <v/>
      </c>
    </row>
    <row r="2244">
      <c r="A2244" s="16" t="inlineStr">
        <is>
          <t>5.22-5.28</t>
        </is>
      </c>
      <c r="B2244" s="16" t="inlineStr">
        <is>
          <t>PO-128-16252411495032041</t>
        </is>
      </c>
      <c r="C2244" s="16" t="inlineStr">
        <is>
          <t>Shipped</t>
        </is>
      </c>
      <c r="D2244" s="16" t="inlineStr">
        <is>
          <t>128-16252369551992041</t>
        </is>
      </c>
      <c r="E2244" s="16" t="inlineStr">
        <is>
          <t>Shipped</t>
        </is>
      </c>
      <c r="F2244" s="16" t="inlineStr">
        <is>
          <t>FA028</t>
        </is>
      </c>
      <c r="G2244" s="16" t="inlineStr">
        <is>
          <t>Extractor de agua para garrafas de agua, compatible con carga USB, extractor de agua automático, práctico, con dos modos de toma de agua: manual y programado, ideal para dormitorios, salones, oficinas, uso al aire libre y otros escenarios.</t>
        </is>
      </c>
      <c r="H2244" s="16" t="inlineStr">
        <is>
          <t>FA028</t>
        </is>
      </c>
      <c r="I2244" s="16" t="n">
        <v>1</v>
      </c>
      <c r="J2244" s="17" t="n">
        <v>35</v>
      </c>
      <c r="K2244" s="17" t="n">
        <v>44.58</v>
      </c>
      <c r="L2244" s="17" t="n">
        <v>25.86</v>
      </c>
      <c r="M2244" s="17" t="n">
        <v>0</v>
      </c>
      <c r="N2244" s="17">
        <f>K2244*0.08+L2244*0.08</f>
        <v/>
      </c>
      <c r="O2244" s="17">
        <f>-(K2244*0.025+L2244*0.025)</f>
        <v/>
      </c>
      <c r="P2244" s="17">
        <f>32</f>
        <v/>
      </c>
      <c r="Q2244" s="17">
        <f>J2244+L2244+N2244+O2244-P2244-M2244</f>
        <v/>
      </c>
    </row>
    <row r="2245">
      <c r="A2245" s="16" t="inlineStr">
        <is>
          <t>5.22-5.28</t>
        </is>
      </c>
      <c r="B2245" s="16" t="inlineStr">
        <is>
          <t>PO-128-16174284636791288</t>
        </is>
      </c>
      <c r="C2245" s="16" t="inlineStr">
        <is>
          <t>Shipped</t>
        </is>
      </c>
      <c r="D2245" s="16" t="inlineStr">
        <is>
          <t>128-16174274151031288</t>
        </is>
      </c>
      <c r="E2245" s="16" t="inlineStr">
        <is>
          <t>Shipped</t>
        </is>
      </c>
      <c r="F2245" s="16" t="inlineStr">
        <is>
          <t>MB-185A</t>
        </is>
      </c>
      <c r="G2245" s="16" t="inlineStr">
        <is>
          <t>Bocina Radio FM/Reproductor, Compatible con Tarjeta TF, USB, Bluetooth, Aplicable para celular, computadora, Ipad y consola.</t>
        </is>
      </c>
      <c r="H2245" s="16" t="inlineStr">
        <is>
          <t>AZUL/MB-185</t>
        </is>
      </c>
      <c r="I2245" s="16" t="n">
        <v>1</v>
      </c>
      <c r="J2245" s="17" t="n">
        <v>73</v>
      </c>
      <c r="K2245" s="17" t="n">
        <v>85.94</v>
      </c>
      <c r="L2245" s="17" t="n">
        <v>25.86</v>
      </c>
      <c r="M2245" s="17" t="n">
        <v>0</v>
      </c>
      <c r="N2245" s="17">
        <f>K2245*0.08+L2245*0.08</f>
        <v/>
      </c>
      <c r="O2245" s="17">
        <f>-(K2245*0.025+L2245*0.025)</f>
        <v/>
      </c>
      <c r="P2245" s="17">
        <f>32</f>
        <v/>
      </c>
      <c r="Q2245" s="17">
        <f>J2245+L2245+N2245+O2245-P2245-M2245</f>
        <v/>
      </c>
    </row>
    <row r="2246">
      <c r="A2246" s="16" t="inlineStr">
        <is>
          <t>5.22-5.28</t>
        </is>
      </c>
      <c r="B2246" s="16" t="inlineStr">
        <is>
          <t>PO-128-16066012631672958</t>
        </is>
      </c>
      <c r="C2246" s="16" t="inlineStr">
        <is>
          <t>Shipped</t>
        </is>
      </c>
      <c r="D2246" s="16" t="inlineStr">
        <is>
          <t>128-16066004767352958</t>
        </is>
      </c>
      <c r="E2246" s="16" t="inlineStr">
        <is>
          <t>Shipped</t>
        </is>
      </c>
      <c r="F2246" s="16" t="inlineStr">
        <is>
          <t>LB02235-rojo</t>
        </is>
      </c>
      <c r="G2246" s="16" t="inlineStr">
        <is>
          <t>Audífonos Inalámbricos para la Cabeza, Recargables y Multifuncionales - Conectan a Varios Dispositivos, soportan Radio FM, Tarjeta TF y AUX - 4 Horas de Reproducción Musical - Ideal para Trabajo Cotidiano, Juegos y Estudio</t>
        </is>
      </c>
      <c r="H2246" s="16" t="inlineStr">
        <is>
          <t>ROJO</t>
        </is>
      </c>
      <c r="I2246" s="16" t="n">
        <v>1</v>
      </c>
      <c r="J2246" s="17" t="n">
        <v>36.8</v>
      </c>
      <c r="K2246" s="17" t="n">
        <v>44.37</v>
      </c>
      <c r="L2246" s="17" t="n">
        <v>6.5</v>
      </c>
      <c r="M2246" s="17" t="n">
        <v>0</v>
      </c>
      <c r="N2246" s="17">
        <f>K2246*0.08+L2246*0.08</f>
        <v/>
      </c>
      <c r="O2246" s="17">
        <f>-(K2246*0.025+L2246*0.025)</f>
        <v/>
      </c>
      <c r="P2246" s="17">
        <f>32</f>
        <v/>
      </c>
      <c r="Q2246" s="17">
        <f>J2246+L2246+N2246+O2246-P2246-M2246</f>
        <v/>
      </c>
    </row>
    <row r="2247">
      <c r="A2247" s="16" t="inlineStr">
        <is>
          <t>5.22-5.28</t>
        </is>
      </c>
      <c r="B2247" s="16" t="inlineStr">
        <is>
          <t>PO-128-16066012631672958</t>
        </is>
      </c>
      <c r="C2247" s="16" t="inlineStr">
        <is>
          <t>Shipped</t>
        </is>
      </c>
      <c r="D2247" s="16" t="inlineStr">
        <is>
          <t>128-16065991660152958</t>
        </is>
      </c>
      <c r="E2247" s="16" t="inlineStr">
        <is>
          <t>Shipped</t>
        </is>
      </c>
      <c r="F2247" s="16" t="inlineStr">
        <is>
          <t>LB02235-blanco</t>
        </is>
      </c>
      <c r="G2247" s="16" t="inlineStr">
        <is>
          <t>Audífonos Inalámbricos para la Cabeza, Recargables y Multifuncionales - Conectan a Varios Dispositivos, soportan Radio FM, Tarjeta TF y AUX - 4 Horas de Reproducción Musical - Ideal para Trabajo Cotidiano, Juegos y Estudio</t>
        </is>
      </c>
      <c r="H2247" s="16" t="inlineStr">
        <is>
          <t>BLANCO</t>
        </is>
      </c>
      <c r="I2247" s="16" t="n">
        <v>1</v>
      </c>
      <c r="J2247" s="17" t="n">
        <v>36.8</v>
      </c>
      <c r="K2247" s="17" t="n">
        <v>44.37</v>
      </c>
      <c r="L2247" s="17" t="n">
        <v>6.49</v>
      </c>
      <c r="M2247" s="17" t="n">
        <v>0</v>
      </c>
      <c r="N2247" s="17">
        <f>K2247*0.08+L2247*0.08</f>
        <v/>
      </c>
      <c r="O2247" s="17">
        <f>-(K2247*0.025+L2247*0.025)</f>
        <v/>
      </c>
      <c r="P2247" s="17">
        <f>32</f>
        <v/>
      </c>
      <c r="Q2247" s="17">
        <f>J2247+L2247+N2247+O2247-P2247-M2247</f>
        <v/>
      </c>
    </row>
    <row r="2248">
      <c r="A2248" s="16" t="inlineStr">
        <is>
          <t>5.22-5.28</t>
        </is>
      </c>
      <c r="B2248" s="16" t="inlineStr">
        <is>
          <t>PO-128-16066012631672958</t>
        </is>
      </c>
      <c r="C2248" s="16" t="inlineStr">
        <is>
          <t>Shipped</t>
        </is>
      </c>
      <c r="D2248" s="16" t="inlineStr">
        <is>
          <t>128-16065983795832958</t>
        </is>
      </c>
      <c r="E2248" s="16" t="inlineStr">
        <is>
          <t>Shipped</t>
        </is>
      </c>
      <c r="F2248" s="16" t="inlineStr">
        <is>
          <t>LB02235-negro</t>
        </is>
      </c>
      <c r="G2248" s="16" t="inlineStr">
        <is>
          <t>Audífonos Inalámbricos para la Cabeza, Recargables y Multifuncionales - Conectan a Varios Dispositivos, soportan Radio FM, Tarjeta TF y AUX - 4 Horas de Reproducción Musical - Ideal para Trabajo Cotidiano, Juegos y Estudio</t>
        </is>
      </c>
      <c r="H2248" s="16" t="inlineStr">
        <is>
          <t>NEGRO</t>
        </is>
      </c>
      <c r="I2248" s="16" t="n">
        <v>1</v>
      </c>
      <c r="J2248" s="17" t="n">
        <v>36.8</v>
      </c>
      <c r="K2248" s="17" t="n">
        <v>44.37</v>
      </c>
      <c r="L2248" s="17" t="n">
        <v>6.49</v>
      </c>
      <c r="M2248" s="17" t="n">
        <v>0</v>
      </c>
      <c r="N2248" s="17">
        <f>K2248*0.08+L2248*0.08</f>
        <v/>
      </c>
      <c r="O2248" s="17">
        <f>-(K2248*0.025+L2248*0.025)</f>
        <v/>
      </c>
      <c r="P2248" s="17">
        <f>32</f>
        <v/>
      </c>
      <c r="Q2248" s="17">
        <f>J2248+L2248+N2248+O2248-P2248-M2248</f>
        <v/>
      </c>
    </row>
    <row r="2249">
      <c r="A2249" s="16" t="inlineStr">
        <is>
          <t>5.22-5.28</t>
        </is>
      </c>
      <c r="B2249" s="16" t="inlineStr">
        <is>
          <t>PO-128-16066012631672958</t>
        </is>
      </c>
      <c r="C2249" s="16" t="inlineStr">
        <is>
          <t>Shipped</t>
        </is>
      </c>
      <c r="D2249" s="16" t="inlineStr">
        <is>
          <t>128-16066025738872958</t>
        </is>
      </c>
      <c r="E2249" s="16" t="inlineStr">
        <is>
          <t>Shipped</t>
        </is>
      </c>
      <c r="F2249" s="16" t="inlineStr">
        <is>
          <t>LB02235-azul</t>
        </is>
      </c>
      <c r="G2249" s="16" t="inlineStr">
        <is>
          <t>Audífonos Inalámbricos para la Cabeza, Recargables y Multifuncionales - Conectan a Varios Dispositivos, soportan Radio FM, Tarjeta TF y AUX - 4 Horas de Reproducción Musical - Ideal para Trabajo Cotidiano, Juegos y Estudio</t>
        </is>
      </c>
      <c r="H2249" s="16" t="inlineStr">
        <is>
          <t>AZUL</t>
        </is>
      </c>
      <c r="I2249" s="16" t="n">
        <v>1</v>
      </c>
      <c r="J2249" s="17" t="n">
        <v>36</v>
      </c>
      <c r="K2249" s="17" t="n">
        <v>43.64</v>
      </c>
      <c r="L2249" s="17" t="n">
        <v>6.38</v>
      </c>
      <c r="M2249" s="17" t="n">
        <v>0</v>
      </c>
      <c r="N2249" s="17">
        <f>K2249*0.08+L2249*0.08</f>
        <v/>
      </c>
      <c r="O2249" s="17">
        <f>-(K2249*0.025+L2249*0.025)</f>
        <v/>
      </c>
      <c r="P2249" s="17">
        <f>32</f>
        <v/>
      </c>
      <c r="Q2249" s="17">
        <f>J2249+L2249+N2249+O2249-P2249-M2249</f>
        <v/>
      </c>
    </row>
    <row r="2250">
      <c r="A2250" s="16" t="inlineStr">
        <is>
          <t>5.22-5.28</t>
        </is>
      </c>
      <c r="B2250" s="16" t="inlineStr">
        <is>
          <t>PO-128-16273783035511913</t>
        </is>
      </c>
      <c r="C2250" s="16" t="inlineStr">
        <is>
          <t>Shipped</t>
        </is>
      </c>
      <c r="D2250" s="16" t="inlineStr">
        <is>
          <t>128-16273824978551913</t>
        </is>
      </c>
      <c r="E2250" s="16" t="inlineStr">
        <is>
          <t>Shipped</t>
        </is>
      </c>
      <c r="F2250" s="16" t="inlineStr">
        <is>
          <t>MCM-001G</t>
        </is>
      </c>
      <c r="G2250" s="16" t="inlineStr">
        <is>
          <t>Musicord Altavoz Inalámbrico BT Portátil: ¡Sonido impactante, luces LED multicolores y 4 horas de autonomía! Compatible con TWS, FM, TF y USB – Imprescindible para fiestas y viajes</t>
        </is>
      </c>
      <c r="H2250" s="16" t="inlineStr">
        <is>
          <t>GRIS</t>
        </is>
      </c>
      <c r="I2250" s="16" t="n">
        <v>1</v>
      </c>
      <c r="J2250" s="17" t="n">
        <v>51.07</v>
      </c>
      <c r="K2250" s="17" t="n">
        <v>5.41</v>
      </c>
      <c r="L2250" s="17" t="n">
        <v>25.86</v>
      </c>
      <c r="M2250" s="17" t="n">
        <v>0</v>
      </c>
      <c r="N2250" s="17">
        <f>K2250*0.08+L2250*0.08</f>
        <v/>
      </c>
      <c r="O2250" s="17">
        <f>-(K2250*0.025+L2250*0.025)</f>
        <v/>
      </c>
      <c r="P2250" s="17">
        <f>32</f>
        <v/>
      </c>
      <c r="Q2250" s="17">
        <f>J2250+L2250+N2250+O2250-P2250-M2250</f>
        <v/>
      </c>
    </row>
    <row r="2251">
      <c r="A2251" s="16" t="inlineStr">
        <is>
          <t>5.22-5.28</t>
        </is>
      </c>
      <c r="B2251" s="16" t="inlineStr">
        <is>
          <t>PO-128-15890567911033173</t>
        </is>
      </c>
      <c r="C2251" s="16" t="inlineStr">
        <is>
          <t>Shipped</t>
        </is>
      </c>
      <c r="D2251" s="16" t="inlineStr">
        <is>
          <t>128-15890672768633173</t>
        </is>
      </c>
      <c r="E2251" s="16" t="inlineStr">
        <is>
          <t>Shipped</t>
        </is>
      </c>
      <c r="F2251" s="16" t="inlineStr">
        <is>
          <t>VA384T-N</t>
        </is>
      </c>
      <c r="G2251" s="16" t="inlineStr">
        <is>
          <t>Bocina Portátil Bluetooth de 3 Pulgadas con Radio FM, USB TF TWS, Sonido Estéreo 5W, Bocina Recargable para Hogar Exterior Viaje Fiesta Camping</t>
        </is>
      </c>
      <c r="H2251" s="16" t="inlineStr">
        <is>
          <t>NEGRO</t>
        </is>
      </c>
      <c r="I2251" s="16" t="n">
        <v>2</v>
      </c>
      <c r="J2251" s="17" t="n">
        <v>100</v>
      </c>
      <c r="K2251" s="17" t="n">
        <v>121.44</v>
      </c>
      <c r="L2251" s="17" t="n">
        <v>0</v>
      </c>
      <c r="M2251" s="17" t="n">
        <v>0</v>
      </c>
      <c r="N2251" s="17">
        <f>K2251*0.08+L2251*0.08</f>
        <v/>
      </c>
      <c r="O2251" s="17">
        <f>-(K2251*0.025+L2251*0.025)</f>
        <v/>
      </c>
      <c r="P2251" s="17">
        <f>32</f>
        <v/>
      </c>
      <c r="Q2251" s="17">
        <f>J2251+L2251+N2251+O2251-P2251-M2251</f>
        <v/>
      </c>
    </row>
    <row r="2252">
      <c r="A2252" s="16" t="inlineStr">
        <is>
          <t>5.22-5.28</t>
        </is>
      </c>
      <c r="B2252" s="16" t="inlineStr">
        <is>
          <t>PO-128-15890567911033173</t>
        </is>
      </c>
      <c r="C2252" s="16" t="inlineStr">
        <is>
          <t>Shipped</t>
        </is>
      </c>
      <c r="D2252" s="16" t="inlineStr">
        <is>
          <t>128-15890630825593173</t>
        </is>
      </c>
      <c r="E2252" s="16" t="inlineStr">
        <is>
          <t>Shipped</t>
        </is>
      </c>
      <c r="F2252" s="16" t="inlineStr">
        <is>
          <t>VA880T</t>
        </is>
      </c>
      <c r="G225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52" s="16" t="inlineStr">
        <is>
          <t>1 pieza</t>
        </is>
      </c>
      <c r="I2252" s="16" t="n">
        <v>3</v>
      </c>
      <c r="J2252" s="17" t="n">
        <v>344.94</v>
      </c>
      <c r="K2252" s="17" t="n">
        <v>381.81</v>
      </c>
      <c r="L2252" s="17" t="n">
        <v>0</v>
      </c>
      <c r="M2252" s="17" t="n">
        <v>0</v>
      </c>
      <c r="N2252" s="17">
        <f>K2252*0.08+L2252*0.08</f>
        <v/>
      </c>
      <c r="O2252" s="17">
        <f>-(K2252*0.025+L2252*0.025)</f>
        <v/>
      </c>
      <c r="P2252" s="17">
        <f>32</f>
        <v/>
      </c>
      <c r="Q2252" s="17">
        <f>J2252+L2252+N2252+O2252-P2252-M2252</f>
        <v/>
      </c>
    </row>
    <row r="2253">
      <c r="A2253" s="16" t="inlineStr">
        <is>
          <t>5.22-5.28</t>
        </is>
      </c>
      <c r="B2253" s="16" t="inlineStr">
        <is>
          <t>PO-128-16046197944952052</t>
        </is>
      </c>
      <c r="C2253" s="16" t="inlineStr">
        <is>
          <t>Shipped</t>
        </is>
      </c>
      <c r="D2253" s="16" t="inlineStr">
        <is>
          <t>128-16046224159352052</t>
        </is>
      </c>
      <c r="E2253" s="16" t="inlineStr">
        <is>
          <t>Shipped</t>
        </is>
      </c>
      <c r="F2253" s="16" t="inlineStr">
        <is>
          <t>FA028</t>
        </is>
      </c>
      <c r="G2253" s="16" t="inlineStr">
        <is>
          <t>Extractor de agua para garrafas de agua, compatible con carga USB, extractor de agua automático, práctico, con dos modos de toma de agua: manual y programado, ideal para dormitorios, salones, oficinas, uso al aire libre y otros escenarios.</t>
        </is>
      </c>
      <c r="H2253" s="16" t="inlineStr">
        <is>
          <t>FA028</t>
        </is>
      </c>
      <c r="I2253" s="16" t="n">
        <v>1</v>
      </c>
      <c r="J2253" s="17" t="n">
        <v>35</v>
      </c>
      <c r="K2253" s="17" t="n">
        <v>31.21</v>
      </c>
      <c r="L2253" s="17" t="n">
        <v>25.86</v>
      </c>
      <c r="M2253" s="17" t="n">
        <v>0</v>
      </c>
      <c r="N2253" s="17">
        <f>K2253*0.08+L2253*0.08</f>
        <v/>
      </c>
      <c r="O2253" s="17">
        <f>-(K2253*0.025+L2253*0.025)</f>
        <v/>
      </c>
      <c r="P2253" s="17">
        <f>32</f>
        <v/>
      </c>
      <c r="Q2253" s="17">
        <f>J2253+L2253+N2253+O2253-P2253-M2253</f>
        <v/>
      </c>
    </row>
    <row r="2254">
      <c r="A2254" s="16" t="inlineStr">
        <is>
          <t>5.22-5.28</t>
        </is>
      </c>
      <c r="B2254" s="16" t="inlineStr">
        <is>
          <t>PO-128-15929018215033966</t>
        </is>
      </c>
      <c r="C2254" s="16" t="inlineStr">
        <is>
          <t>Shipped</t>
        </is>
      </c>
      <c r="D2254" s="16" t="inlineStr">
        <is>
          <t>128-15929060158073966</t>
        </is>
      </c>
      <c r="E2254" s="16" t="inlineStr">
        <is>
          <t>Shipped</t>
        </is>
      </c>
      <c r="F2254" s="16" t="inlineStr">
        <is>
          <t>S39W48-5PZS</t>
        </is>
      </c>
      <c r="G225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254" s="16" t="inlineStr">
        <is>
          <t>5 piezas</t>
        </is>
      </c>
      <c r="I2254" s="16" t="n">
        <v>2</v>
      </c>
      <c r="J2254" s="17" t="n">
        <v>300</v>
      </c>
      <c r="K2254" s="17" t="n">
        <v>419.74</v>
      </c>
      <c r="L2254" s="17" t="n">
        <v>0</v>
      </c>
      <c r="M2254" s="17" t="n">
        <v>0</v>
      </c>
      <c r="N2254" s="17">
        <f>K2254*0.08+L2254*0.08</f>
        <v/>
      </c>
      <c r="O2254" s="17">
        <f>-(K2254*0.025+L2254*0.025)</f>
        <v/>
      </c>
      <c r="P2254" s="17">
        <f>32</f>
        <v/>
      </c>
      <c r="Q2254" s="17">
        <f>J2254+L2254+N2254+O2254-P2254-M2254</f>
        <v/>
      </c>
    </row>
    <row r="2255">
      <c r="A2255" s="16" t="inlineStr">
        <is>
          <t>5.22-5.28</t>
        </is>
      </c>
      <c r="B2255" s="16" t="inlineStr">
        <is>
          <t>PO-128-15902317952634063</t>
        </is>
      </c>
      <c r="C2255" s="16" t="inlineStr">
        <is>
          <t>Shipped</t>
        </is>
      </c>
      <c r="D2255" s="16" t="inlineStr">
        <is>
          <t>128-15902303534714063</t>
        </is>
      </c>
      <c r="E2255" s="16" t="inlineStr">
        <is>
          <t>Shipped</t>
        </is>
      </c>
      <c r="F2255" s="16" t="inlineStr">
        <is>
          <t>FA028</t>
        </is>
      </c>
      <c r="G2255" s="16" t="inlineStr">
        <is>
          <t>Extractor de agua para garrafas de agua, compatible con carga USB, extractor de agua automático, práctico, con dos modos de toma de agua: manual y programado, ideal para dormitorios, salones, oficinas, uso al aire libre y otros escenarios.</t>
        </is>
      </c>
      <c r="H2255" s="16" t="inlineStr">
        <is>
          <t>FA028</t>
        </is>
      </c>
      <c r="I2255" s="16" t="n">
        <v>1</v>
      </c>
      <c r="J2255" s="17" t="n">
        <v>35</v>
      </c>
      <c r="K2255" s="17" t="n">
        <v>44.58</v>
      </c>
      <c r="L2255" s="17" t="n">
        <v>25.86</v>
      </c>
      <c r="M2255" s="17" t="n">
        <v>0</v>
      </c>
      <c r="N2255" s="17">
        <f>K2255*0.08+L2255*0.08</f>
        <v/>
      </c>
      <c r="O2255" s="17">
        <f>-(K2255*0.025+L2255*0.025)</f>
        <v/>
      </c>
      <c r="P2255" s="17">
        <f>32</f>
        <v/>
      </c>
      <c r="Q2255" s="17">
        <f>J2255+L2255+N2255+O2255-P2255-M2255</f>
        <v/>
      </c>
    </row>
    <row r="2256">
      <c r="A2256" s="16" t="inlineStr">
        <is>
          <t>5.22-5.28</t>
        </is>
      </c>
      <c r="B2256" s="16" t="inlineStr">
        <is>
          <t>PO-128-16357400750710327</t>
        </is>
      </c>
      <c r="C2256" s="16" t="inlineStr">
        <is>
          <t>Shipped</t>
        </is>
      </c>
      <c r="D2256" s="16" t="inlineStr">
        <is>
          <t>128-16357421722230327</t>
        </is>
      </c>
      <c r="E2256" s="16" t="inlineStr">
        <is>
          <t>Shipped</t>
        </is>
      </c>
      <c r="F2256" s="16" t="inlineStr">
        <is>
          <t>LV34W04</t>
        </is>
      </c>
      <c r="G225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256" s="16" t="inlineStr">
        <is>
          <t>LV34W04</t>
        </is>
      </c>
      <c r="I2256" s="16" t="n">
        <v>3</v>
      </c>
      <c r="J2256" s="17" t="n">
        <v>837</v>
      </c>
      <c r="K2256" s="17" t="n">
        <v>946.89</v>
      </c>
      <c r="L2256" s="17" t="n">
        <v>0</v>
      </c>
      <c r="M2256" s="17" t="n">
        <v>0</v>
      </c>
      <c r="N2256" s="17">
        <f>K2256*0.08+L2256*0.08</f>
        <v/>
      </c>
      <c r="O2256" s="17">
        <f>-(K2256*0.025+L2256*0.025)</f>
        <v/>
      </c>
      <c r="P2256" s="17">
        <f>32</f>
        <v/>
      </c>
      <c r="Q2256" s="17">
        <f>J2256+L2256+N2256+O2256-P2256-M2256</f>
        <v/>
      </c>
    </row>
    <row r="2257">
      <c r="A2257" s="16" t="inlineStr">
        <is>
          <t>5.22-5.28</t>
        </is>
      </c>
      <c r="B2257" s="16" t="inlineStr">
        <is>
          <t>PO-128-15910811269754077</t>
        </is>
      </c>
      <c r="C2257" s="16" t="inlineStr">
        <is>
          <t>Shipped</t>
        </is>
      </c>
      <c r="D2257" s="16" t="inlineStr">
        <is>
          <t>128-15910769326714077</t>
        </is>
      </c>
      <c r="E2257" s="16" t="inlineStr">
        <is>
          <t>Shipped</t>
        </is>
      </c>
      <c r="F2257" s="16" t="inlineStr">
        <is>
          <t>SA325T</t>
        </is>
      </c>
      <c r="G2257" s="16" t="inlineStr">
        <is>
          <t>Subwoofer Portátil Inalámbrico con Luces RGB, Sonido de Alta Potencia y Batería Duradera, TWS TF USB, Perfecto para Campamento Fiestas y Entretenimiento en Casa</t>
        </is>
      </c>
      <c r="H2257" s="16" t="inlineStr">
        <is>
          <t>NEGRO</t>
        </is>
      </c>
      <c r="I2257" s="16" t="n">
        <v>2</v>
      </c>
      <c r="J2257" s="17" t="n">
        <v>75.98</v>
      </c>
      <c r="K2257" s="17" t="n">
        <v>94.06</v>
      </c>
      <c r="L2257" s="17" t="n">
        <v>25.86</v>
      </c>
      <c r="M2257" s="17" t="n">
        <v>0</v>
      </c>
      <c r="N2257" s="17">
        <f>K2257*0.08+L2257*0.08</f>
        <v/>
      </c>
      <c r="O2257" s="17">
        <f>-(K2257*0.025+L2257*0.025)</f>
        <v/>
      </c>
      <c r="P2257" s="17">
        <f>32</f>
        <v/>
      </c>
      <c r="Q2257" s="17">
        <f>J2257+L2257+N2257+O2257-P2257-M2257</f>
        <v/>
      </c>
    </row>
    <row r="2258">
      <c r="A2258" s="16" t="inlineStr">
        <is>
          <t>5.22-5.28</t>
        </is>
      </c>
      <c r="B2258" s="16" t="inlineStr">
        <is>
          <t>PO-128-16320607493751632</t>
        </is>
      </c>
      <c r="C2258" s="16" t="inlineStr">
        <is>
          <t>Shipped</t>
        </is>
      </c>
      <c r="D2258" s="16" t="inlineStr">
        <is>
          <t>128-16320586522231632</t>
        </is>
      </c>
      <c r="E2258" s="16" t="inlineStr">
        <is>
          <t>Shipped</t>
        </is>
      </c>
      <c r="F2258" s="16" t="inlineStr">
        <is>
          <t>MB-185N</t>
        </is>
      </c>
      <c r="G2258" s="16" t="inlineStr">
        <is>
          <t>Bocina Radio FM/Reproductor, Compatible con Tarjeta TF, USB, Bluetooth, Aplicable para celular, computadora, Ipad y consola.</t>
        </is>
      </c>
      <c r="H2258" s="16" t="inlineStr">
        <is>
          <t>NEGRO/MB-185</t>
        </is>
      </c>
      <c r="I2258" s="16" t="n">
        <v>1</v>
      </c>
      <c r="J2258" s="17" t="n">
        <v>75.5</v>
      </c>
      <c r="K2258" s="17" t="n">
        <v>88.44</v>
      </c>
      <c r="L2258" s="17" t="n">
        <v>25.86</v>
      </c>
      <c r="M2258" s="17" t="n">
        <v>0</v>
      </c>
      <c r="N2258" s="17">
        <f>K2258*0.08+L2258*0.08</f>
        <v/>
      </c>
      <c r="O2258" s="17">
        <f>-(K2258*0.025+L2258*0.025)</f>
        <v/>
      </c>
      <c r="P2258" s="17">
        <f>32</f>
        <v/>
      </c>
      <c r="Q2258" s="17">
        <f>J2258+L2258+N2258+O2258-P2258-M2258</f>
        <v/>
      </c>
    </row>
    <row r="2259">
      <c r="A2259" s="16" t="inlineStr">
        <is>
          <t>5.22-5.28</t>
        </is>
      </c>
      <c r="B2259" s="16" t="inlineStr">
        <is>
          <t>PO-128-16374255007350160</t>
        </is>
      </c>
      <c r="C2259" s="16" t="inlineStr">
        <is>
          <t>Shipped</t>
        </is>
      </c>
      <c r="D2259" s="16" t="inlineStr">
        <is>
          <t>128-16374260250230160</t>
        </is>
      </c>
      <c r="E2259" s="16" t="inlineStr">
        <is>
          <t>Shipped</t>
        </is>
      </c>
      <c r="F2259" s="16" t="inlineStr">
        <is>
          <t>KTS-1678Y</t>
        </is>
      </c>
      <c r="G2259" s="16" t="inlineStr">
        <is>
          <t>Bocina portátil Inalámbrico, de 3 pulgadas, tamaño de bolsillo, 170 g, con asa, compatible con TF, USB y Micro SD, con radio FM y función TWS (True Wireless Stereo), adecuada para relajarse en casa o viajar al aire libre.</t>
        </is>
      </c>
      <c r="H2259" s="16" t="inlineStr">
        <is>
          <t>KTS-1678Y</t>
        </is>
      </c>
      <c r="I2259" s="16" t="n">
        <v>1</v>
      </c>
      <c r="J2259" s="17" t="n">
        <v>42.5</v>
      </c>
      <c r="K2259" s="17" t="n">
        <v>47.56</v>
      </c>
      <c r="L2259" s="17" t="n">
        <v>25.86</v>
      </c>
      <c r="M2259" s="17" t="n">
        <v>0</v>
      </c>
      <c r="N2259" s="17">
        <f>K2259*0.08+L2259*0.08</f>
        <v/>
      </c>
      <c r="O2259" s="17">
        <f>-(K2259*0.025+L2259*0.025)</f>
        <v/>
      </c>
      <c r="P2259" s="17">
        <f>32</f>
        <v/>
      </c>
      <c r="Q2259" s="17">
        <f>J2259+L2259+N2259+O2259-P2259-M2259</f>
        <v/>
      </c>
    </row>
    <row r="2260">
      <c r="A2260" s="16" t="inlineStr">
        <is>
          <t>5.22-5.28</t>
        </is>
      </c>
      <c r="B2260" s="16" t="inlineStr">
        <is>
          <t>PO-128-16409925781110908</t>
        </is>
      </c>
      <c r="C2260" s="16" t="inlineStr">
        <is>
          <t>Shipped</t>
        </is>
      </c>
      <c r="D2260" s="16" t="inlineStr">
        <is>
          <t>128-16409959859830908</t>
        </is>
      </c>
      <c r="E2260" s="16" t="inlineStr">
        <is>
          <t>Shipped</t>
        </is>
      </c>
      <c r="F2260" s="16" t="inlineStr">
        <is>
          <t>LB02235-azul</t>
        </is>
      </c>
      <c r="G2260" s="16" t="inlineStr">
        <is>
          <t>Audífonos Inalámbricos para la Cabeza, Recargables y Multifuncionales - Conectan a Varios Dispositivos, soportan Radio FM, Tarjeta TF y AUX - 4 Horas de Reproducción Musical - Ideal para Trabajo Cotidiano, Juegos y Estudio</t>
        </is>
      </c>
      <c r="H2260" s="16" t="inlineStr">
        <is>
          <t>AZUL</t>
        </is>
      </c>
      <c r="I2260" s="16" t="n">
        <v>1</v>
      </c>
      <c r="J2260" s="17" t="n">
        <v>36</v>
      </c>
      <c r="K2260" s="17" t="n">
        <v>49.11</v>
      </c>
      <c r="L2260" s="17" t="n">
        <v>25.86</v>
      </c>
      <c r="M2260" s="17" t="n">
        <v>0</v>
      </c>
      <c r="N2260" s="17">
        <f>K2260*0.08+L2260*0.08</f>
        <v/>
      </c>
      <c r="O2260" s="17">
        <f>-(K2260*0.025+L2260*0.025)</f>
        <v/>
      </c>
      <c r="P2260" s="17">
        <f>32</f>
        <v/>
      </c>
      <c r="Q2260" s="17">
        <f>J2260+L2260+N2260+O2260-P2260-M2260</f>
        <v/>
      </c>
    </row>
    <row r="2261">
      <c r="A2261" s="16" t="inlineStr">
        <is>
          <t>5.22-5.28</t>
        </is>
      </c>
      <c r="B2261" s="16" t="inlineStr">
        <is>
          <t>PO-128-16041924572792079</t>
        </is>
      </c>
      <c r="C2261" s="16" t="inlineStr">
        <is>
          <t>Shipped</t>
        </is>
      </c>
      <c r="D2261" s="16" t="inlineStr">
        <is>
          <t>128-16041914087032079</t>
        </is>
      </c>
      <c r="E2261" s="16" t="inlineStr">
        <is>
          <t>Shipped</t>
        </is>
      </c>
      <c r="F2261" s="16" t="inlineStr">
        <is>
          <t>SA8056T</t>
        </is>
      </c>
      <c r="G226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261" s="16" t="inlineStr">
        <is>
          <t>SA8056T</t>
        </is>
      </c>
      <c r="I2261" s="16" t="n">
        <v>1</v>
      </c>
      <c r="J2261" s="17" t="n">
        <v>123.9</v>
      </c>
      <c r="K2261" s="17" t="n">
        <v>129.72</v>
      </c>
      <c r="L2261" s="17" t="n">
        <v>25.86</v>
      </c>
      <c r="M2261" s="17" t="n">
        <v>0</v>
      </c>
      <c r="N2261" s="17">
        <f>K2261*0.08+L2261*0.08</f>
        <v/>
      </c>
      <c r="O2261" s="17">
        <f>-(K2261*0.025+L2261*0.025)</f>
        <v/>
      </c>
      <c r="P2261" s="17">
        <f>32</f>
        <v/>
      </c>
      <c r="Q2261" s="17">
        <f>J2261+L2261+N2261+O2261-P2261-M2261</f>
        <v/>
      </c>
    </row>
    <row r="2262">
      <c r="A2262" s="16" t="inlineStr">
        <is>
          <t>5.22-5.28</t>
        </is>
      </c>
      <c r="B2262" s="16" t="inlineStr">
        <is>
          <t>PO-128-16380421274230252</t>
        </is>
      </c>
      <c r="C2262" s="16" t="inlineStr">
        <is>
          <t>Shipped</t>
        </is>
      </c>
      <c r="D2262" s="16" t="inlineStr">
        <is>
          <t>128-16380400302710252</t>
        </is>
      </c>
      <c r="E2262" s="16" t="inlineStr">
        <is>
          <t>Shipped</t>
        </is>
      </c>
      <c r="F2262" s="16" t="inlineStr">
        <is>
          <t>MCM-001R</t>
        </is>
      </c>
      <c r="G2262" s="16" t="inlineStr">
        <is>
          <t>Musicord Altavoz Inalámbrico BT Portátil: ¡Sonido impactante, luces LED multicolores y 4 horas de autonomía! Compatible con TWS, FM, TF y USB – Imprescindible para fiestas y viajes</t>
        </is>
      </c>
      <c r="H2262" s="16" t="inlineStr">
        <is>
          <t>ROJO</t>
        </is>
      </c>
      <c r="I2262" s="16" t="n">
        <v>1</v>
      </c>
      <c r="J2262" s="17" t="n">
        <v>66.5</v>
      </c>
      <c r="K2262" s="17" t="n">
        <v>74.29000000000001</v>
      </c>
      <c r="L2262" s="17" t="n">
        <v>25.86</v>
      </c>
      <c r="M2262" s="17" t="n">
        <v>0</v>
      </c>
      <c r="N2262" s="17">
        <f>K2262*0.08+L2262*0.08</f>
        <v/>
      </c>
      <c r="O2262" s="17">
        <f>-(K2262*0.025+L2262*0.025)</f>
        <v/>
      </c>
      <c r="P2262" s="17">
        <f>32</f>
        <v/>
      </c>
      <c r="Q2262" s="17">
        <f>J2262+L2262+N2262+O2262-P2262-M2262</f>
        <v/>
      </c>
    </row>
    <row r="2263">
      <c r="A2263" s="16" t="inlineStr">
        <is>
          <t>5.22-5.28</t>
        </is>
      </c>
      <c r="B2263" s="16" t="inlineStr">
        <is>
          <t>PO-128-16032923566712261</t>
        </is>
      </c>
      <c r="C2263" s="16" t="inlineStr">
        <is>
          <t>Shipped</t>
        </is>
      </c>
      <c r="D2263" s="16" t="inlineStr">
        <is>
          <t>128-16032944538232261</t>
        </is>
      </c>
      <c r="E2263" s="16" t="inlineStr">
        <is>
          <t>Shipped</t>
        </is>
      </c>
      <c r="F2263" s="16" t="inlineStr">
        <is>
          <t>MCM-001R</t>
        </is>
      </c>
      <c r="G2263" s="16" t="inlineStr">
        <is>
          <t>Musicord Altavoz Inalámbrico BT Portátil: ¡Sonido impactante, luces LED multicolores y 4 horas de autonomía! Compatible con TWS, FM, TF y USB – Imprescindible para fiestas y viajes</t>
        </is>
      </c>
      <c r="H2263" s="16" t="inlineStr">
        <is>
          <t>ROJO</t>
        </is>
      </c>
      <c r="I2263" s="16" t="n">
        <v>1</v>
      </c>
      <c r="J2263" s="17" t="n">
        <v>66.5</v>
      </c>
      <c r="K2263" s="17" t="n">
        <v>74.29000000000001</v>
      </c>
      <c r="L2263" s="17" t="n">
        <v>25.86</v>
      </c>
      <c r="M2263" s="17" t="n">
        <v>0</v>
      </c>
      <c r="N2263" s="17">
        <f>K2263*0.08+L2263*0.08</f>
        <v/>
      </c>
      <c r="O2263" s="17">
        <f>-(K2263*0.025+L2263*0.025)</f>
        <v/>
      </c>
      <c r="P2263" s="17">
        <f>32</f>
        <v/>
      </c>
      <c r="Q2263" s="17">
        <f>J2263+L2263+N2263+O2263-P2263-M2263</f>
        <v/>
      </c>
    </row>
    <row r="2264">
      <c r="A2264" s="16" t="inlineStr">
        <is>
          <t>5.22-5.28</t>
        </is>
      </c>
      <c r="B2264" s="16" t="inlineStr">
        <is>
          <t>PO-128-16024525486712183</t>
        </is>
      </c>
      <c r="C2264" s="16" t="inlineStr">
        <is>
          <t>Shipped</t>
        </is>
      </c>
      <c r="D2264" s="16" t="inlineStr">
        <is>
          <t>128-16024515000952183</t>
        </is>
      </c>
      <c r="E2264" s="16" t="inlineStr">
        <is>
          <t>Shipped</t>
        </is>
      </c>
      <c r="F2264" s="16" t="inlineStr">
        <is>
          <t>LB02235-blanco</t>
        </is>
      </c>
      <c r="G2264" s="16" t="inlineStr">
        <is>
          <t>Audífonos Inalámbricos para la Cabeza, Recargables y Multifuncionales - Conectan a Varios Dispositivos, soportan Radio FM, Tarjeta TF y AUX - 4 Horas de Reproducción Musical - Ideal para Trabajo Cotidiano, Juegos y Estudio</t>
        </is>
      </c>
      <c r="H2264" s="16" t="inlineStr">
        <is>
          <t>BLANCO</t>
        </is>
      </c>
      <c r="I2264" s="16" t="n">
        <v>1</v>
      </c>
      <c r="J2264" s="17" t="n">
        <v>36.8</v>
      </c>
      <c r="K2264" s="17" t="n">
        <v>49.91</v>
      </c>
      <c r="L2264" s="17" t="n">
        <v>25.86</v>
      </c>
      <c r="M2264" s="17" t="n">
        <v>0</v>
      </c>
      <c r="N2264" s="17">
        <f>K2264*0.08+L2264*0.08</f>
        <v/>
      </c>
      <c r="O2264" s="17">
        <f>-(K2264*0.025+L2264*0.025)</f>
        <v/>
      </c>
      <c r="P2264" s="17">
        <f>32</f>
        <v/>
      </c>
      <c r="Q2264" s="17">
        <f>J2264+L2264+N2264+O2264-P2264-M2264</f>
        <v/>
      </c>
    </row>
    <row r="2265">
      <c r="A2265" s="16" t="inlineStr">
        <is>
          <t>5.22-5.28</t>
        </is>
      </c>
      <c r="B2265" s="16" t="inlineStr">
        <is>
          <t>PO-128-15860467948153289</t>
        </is>
      </c>
      <c r="C2265" s="16" t="inlineStr">
        <is>
          <t>Shipped</t>
        </is>
      </c>
      <c r="D2265" s="16" t="inlineStr">
        <is>
          <t>128-15860426005113289</t>
        </is>
      </c>
      <c r="E2265" s="16" t="inlineStr">
        <is>
          <t>Shipped</t>
        </is>
      </c>
      <c r="F2265" s="16" t="inlineStr">
        <is>
          <t>LB02235-negro</t>
        </is>
      </c>
      <c r="G2265" s="16" t="inlineStr">
        <is>
          <t>Audífonos Inalámbricos para la Cabeza, Recargables y Multifuncionales - Conectan a Varios Dispositivos, soportan Radio FM, Tarjeta TF y AUX - 4 Horas de Reproducción Musical - Ideal para Trabajo Cotidiano, Juegos y Estudio</t>
        </is>
      </c>
      <c r="H2265" s="16" t="inlineStr">
        <is>
          <t>NEGRO</t>
        </is>
      </c>
      <c r="I2265" s="16" t="n">
        <v>1</v>
      </c>
      <c r="J2265" s="17" t="n">
        <v>36.8</v>
      </c>
      <c r="K2265" s="17" t="n">
        <v>39.94</v>
      </c>
      <c r="L2265" s="17" t="n">
        <v>25.86</v>
      </c>
      <c r="M2265" s="17" t="n">
        <v>0</v>
      </c>
      <c r="N2265" s="17">
        <f>K2265*0.08+L2265*0.08</f>
        <v/>
      </c>
      <c r="O2265" s="17">
        <f>-(K2265*0.025+L2265*0.025)</f>
        <v/>
      </c>
      <c r="P2265" s="17">
        <f>32</f>
        <v/>
      </c>
      <c r="Q2265" s="17">
        <f>J2265+L2265+N2265+O2265-P2265-M2265</f>
        <v/>
      </c>
    </row>
    <row r="2266">
      <c r="A2266" s="16" t="inlineStr">
        <is>
          <t>5.22-5.28</t>
        </is>
      </c>
      <c r="B2266" s="16" t="inlineStr">
        <is>
          <t>PO-128-16442807055990840</t>
        </is>
      </c>
      <c r="C2266" s="16" t="inlineStr">
        <is>
          <t>Shipped</t>
        </is>
      </c>
      <c r="D2266" s="16" t="inlineStr">
        <is>
          <t>128-16442765112950840</t>
        </is>
      </c>
      <c r="E2266" s="16" t="inlineStr">
        <is>
          <t>Shipped</t>
        </is>
      </c>
      <c r="F2266" s="16" t="inlineStr">
        <is>
          <t>VA384T-R</t>
        </is>
      </c>
      <c r="G2266" s="16" t="inlineStr">
        <is>
          <t>Bocina Portátil Bluetooth de 3 Pulgadas con Radio FM, USB TF TWS, Sonido Estéreo 5W, Bocina Recargable para Hogar Exterior Viaje Fiesta Camping</t>
        </is>
      </c>
      <c r="H2266" s="16" t="inlineStr">
        <is>
          <t>ROJO</t>
        </is>
      </c>
      <c r="I2266" s="16" t="n">
        <v>1</v>
      </c>
      <c r="J2266" s="17" t="n">
        <v>50</v>
      </c>
      <c r="K2266" s="17" t="n">
        <v>60.72</v>
      </c>
      <c r="L2266" s="17" t="n">
        <v>25.86</v>
      </c>
      <c r="M2266" s="17" t="n">
        <v>0</v>
      </c>
      <c r="N2266" s="17">
        <f>K2266*0.08+L2266*0.08</f>
        <v/>
      </c>
      <c r="O2266" s="17">
        <f>-(K2266*0.025+L2266*0.025)</f>
        <v/>
      </c>
      <c r="P2266" s="17">
        <f>32</f>
        <v/>
      </c>
      <c r="Q2266" s="17">
        <f>J2266+L2266+N2266+O2266-P2266-M2266</f>
        <v/>
      </c>
    </row>
    <row r="2267">
      <c r="A2267" s="16" t="inlineStr">
        <is>
          <t>5.22-5.28</t>
        </is>
      </c>
      <c r="B2267" s="16" t="inlineStr">
        <is>
          <t>PO-128-16158327916151449</t>
        </is>
      </c>
      <c r="C2267" s="16" t="inlineStr">
        <is>
          <t>Shipped</t>
        </is>
      </c>
      <c r="D2267" s="16" t="inlineStr">
        <is>
          <t>128-16158432773751449</t>
        </is>
      </c>
      <c r="E2267" s="16" t="inlineStr">
        <is>
          <t>Shipped</t>
        </is>
      </c>
      <c r="F2267" s="16" t="inlineStr">
        <is>
          <t>SA323T</t>
        </is>
      </c>
      <c r="G2267" s="16" t="inlineStr">
        <is>
          <t>Linkbits Bocina Portátil Parlantes BT Portátiles con Iluminación de Ambiente | 1 Hora de Duración, FM, TWS, TF/Micro SD | Ideal para Hogar, Fiestas y Viajes</t>
        </is>
      </c>
      <c r="H2267" s="16" t="inlineStr">
        <is>
          <t>SA323T</t>
        </is>
      </c>
      <c r="I2267" s="16" t="n">
        <v>1</v>
      </c>
      <c r="J2267" s="17" t="n">
        <v>46.7</v>
      </c>
      <c r="K2267" s="17" t="n">
        <v>44.61</v>
      </c>
      <c r="L2267" s="17" t="n">
        <v>25.86</v>
      </c>
      <c r="M2267" s="17" t="n">
        <v>0</v>
      </c>
      <c r="N2267" s="17">
        <f>K2267*0.08+L2267*0.08</f>
        <v/>
      </c>
      <c r="O2267" s="17">
        <f>-(K2267*0.025+L2267*0.025)</f>
        <v/>
      </c>
      <c r="P2267" s="17">
        <f>32</f>
        <v/>
      </c>
      <c r="Q2267" s="17">
        <f>J2267+L2267+N2267+O2267-P2267-M2267</f>
        <v/>
      </c>
    </row>
    <row r="2268">
      <c r="A2268" s="16" t="inlineStr">
        <is>
          <t>5.22-5.28</t>
        </is>
      </c>
      <c r="B2268" s="16" t="inlineStr">
        <is>
          <t>PO-128-16485227838070589</t>
        </is>
      </c>
      <c r="C2268" s="16" t="inlineStr">
        <is>
          <t>Shipped</t>
        </is>
      </c>
      <c r="D2268" s="16" t="inlineStr">
        <is>
          <t>128-16485280266870589</t>
        </is>
      </c>
      <c r="E2268" s="16" t="inlineStr">
        <is>
          <t>Shipped</t>
        </is>
      </c>
      <c r="F2268" s="16" t="inlineStr">
        <is>
          <t>LB02235-rojo</t>
        </is>
      </c>
      <c r="G2268" s="16" t="inlineStr">
        <is>
          <t>Audífonos Inalámbricos para la Cabeza, Recargables y Multifuncionales - Conectan a Varios Dispositivos, soportan Radio FM, Tarjeta TF y AUX - 4 Horas de Reproducción Musical - Ideal para Trabajo Cotidiano, Juegos y Estudio</t>
        </is>
      </c>
      <c r="H2268" s="16" t="inlineStr">
        <is>
          <t>ROJO</t>
        </is>
      </c>
      <c r="I2268" s="16" t="n">
        <v>1</v>
      </c>
      <c r="J2268" s="17" t="n">
        <v>36.8</v>
      </c>
      <c r="K2268" s="17" t="n">
        <v>49.91</v>
      </c>
      <c r="L2268" s="17" t="n">
        <v>25.86</v>
      </c>
      <c r="M2268" s="17" t="n">
        <v>0</v>
      </c>
      <c r="N2268" s="17">
        <f>K2268*0.08+L2268*0.08</f>
        <v/>
      </c>
      <c r="O2268" s="17">
        <f>-(K2268*0.025+L2268*0.025)</f>
        <v/>
      </c>
      <c r="P2268" s="17">
        <f>32</f>
        <v/>
      </c>
      <c r="Q2268" s="17">
        <f>J2268+L2268+N2268+O2268-P2268-M2268</f>
        <v/>
      </c>
    </row>
    <row r="2269">
      <c r="A2269" s="16" t="inlineStr">
        <is>
          <t>5.22-5.28</t>
        </is>
      </c>
      <c r="B2269" s="16" t="inlineStr">
        <is>
          <t>PO-128-15888587080313185</t>
        </is>
      </c>
      <c r="C2269" s="16" t="inlineStr">
        <is>
          <t>Shipped</t>
        </is>
      </c>
      <c r="D2269" s="16" t="inlineStr">
        <is>
          <t>128-15888681452153185</t>
        </is>
      </c>
      <c r="E2269" s="16" t="inlineStr">
        <is>
          <t>Shipped</t>
        </is>
      </c>
      <c r="F2269" s="16" t="inlineStr">
        <is>
          <t>SA323T</t>
        </is>
      </c>
      <c r="G2269" s="16" t="inlineStr">
        <is>
          <t>Linkbits Bocina Portátil Parlantes BT Portátiles con Iluminación de Ambiente | 1 Hora de Duración, FM, TWS, TF/Micro SD | Ideal para Hogar, Fiestas y Viajes</t>
        </is>
      </c>
      <c r="H2269" s="16" t="inlineStr">
        <is>
          <t>SA323T</t>
        </is>
      </c>
      <c r="I2269" s="16" t="n">
        <v>2</v>
      </c>
      <c r="J2269" s="17" t="n">
        <v>93.40000000000001</v>
      </c>
      <c r="K2269" s="17" t="n">
        <v>111.52</v>
      </c>
      <c r="L2269" s="17" t="n">
        <v>0</v>
      </c>
      <c r="M2269" s="17" t="n">
        <v>0</v>
      </c>
      <c r="N2269" s="17">
        <f>K2269*0.08+L2269*0.08</f>
        <v/>
      </c>
      <c r="O2269" s="17">
        <f>-(K2269*0.025+L2269*0.025)</f>
        <v/>
      </c>
      <c r="P2269" s="17">
        <f>32</f>
        <v/>
      </c>
      <c r="Q2269" s="17">
        <f>J2269+L2269+N2269+O2269-P2269-M2269</f>
        <v/>
      </c>
    </row>
    <row r="2270">
      <c r="A2270" s="16" t="inlineStr">
        <is>
          <t>5.22-5.28</t>
        </is>
      </c>
      <c r="B2270" s="16" t="inlineStr">
        <is>
          <t>PO-128-15888587080313185</t>
        </is>
      </c>
      <c r="C2270" s="16" t="inlineStr">
        <is>
          <t>Shipped</t>
        </is>
      </c>
      <c r="D2270" s="16" t="inlineStr">
        <is>
          <t>128-15888629023353185</t>
        </is>
      </c>
      <c r="E2270" s="16" t="inlineStr">
        <is>
          <t>Shipped</t>
        </is>
      </c>
      <c r="F2270" s="16" t="inlineStr">
        <is>
          <t>VA384T-A</t>
        </is>
      </c>
      <c r="G2270" s="16" t="inlineStr">
        <is>
          <t>Bocina Portátil Bluetooth de 3 Pulgadas con Radio FM, USB TF TWS, Sonido Estéreo 5W, Bocina Recargable para Hogar Exterior Viaje Fiesta Camping</t>
        </is>
      </c>
      <c r="H2270" s="16" t="inlineStr">
        <is>
          <t>AZUL</t>
        </is>
      </c>
      <c r="I2270" s="16" t="n">
        <v>2</v>
      </c>
      <c r="J2270" s="17" t="n">
        <v>96</v>
      </c>
      <c r="K2270" s="17" t="n">
        <v>117.44</v>
      </c>
      <c r="L2270" s="17" t="n">
        <v>0</v>
      </c>
      <c r="M2270" s="17" t="n">
        <v>0</v>
      </c>
      <c r="N2270" s="17">
        <f>K2270*0.08+L2270*0.08</f>
        <v/>
      </c>
      <c r="O2270" s="17">
        <f>-(K2270*0.025+L2270*0.025)</f>
        <v/>
      </c>
      <c r="P2270" s="17">
        <f>32</f>
        <v/>
      </c>
      <c r="Q2270" s="17">
        <f>J2270+L2270+N2270+O2270-P2270-M2270</f>
        <v/>
      </c>
    </row>
    <row r="2271">
      <c r="A2271" s="16" t="inlineStr">
        <is>
          <t>5.22-5.28</t>
        </is>
      </c>
      <c r="B2271" s="16" t="inlineStr">
        <is>
          <t>PO-128-15888587080313185</t>
        </is>
      </c>
      <c r="C2271" s="16" t="inlineStr">
        <is>
          <t>Shipped</t>
        </is>
      </c>
      <c r="D2271" s="16" t="inlineStr">
        <is>
          <t>128-15888597566073185</t>
        </is>
      </c>
      <c r="E2271" s="16" t="inlineStr">
        <is>
          <t>Shipped</t>
        </is>
      </c>
      <c r="F2271" s="16" t="inlineStr">
        <is>
          <t>SA325T</t>
        </is>
      </c>
      <c r="G2271" s="16" t="inlineStr">
        <is>
          <t>Subwoofer Portátil Inalámbrico con Luces RGB, Sonido de Alta Potencia y Batería Duradera, TWS TF USB, Perfecto para Campamento Fiestas y Entretenimiento en Casa</t>
        </is>
      </c>
      <c r="H2271" s="16" t="inlineStr">
        <is>
          <t>NEGRO</t>
        </is>
      </c>
      <c r="I2271" s="16" t="n">
        <v>2</v>
      </c>
      <c r="J2271" s="17" t="n">
        <v>75.98</v>
      </c>
      <c r="K2271" s="17" t="n">
        <v>94.06</v>
      </c>
      <c r="L2271" s="17" t="n">
        <v>0</v>
      </c>
      <c r="M2271" s="17" t="n">
        <v>0</v>
      </c>
      <c r="N2271" s="17">
        <f>K2271*0.08+L2271*0.08</f>
        <v/>
      </c>
      <c r="O2271" s="17">
        <f>-(K2271*0.025+L2271*0.025)</f>
        <v/>
      </c>
      <c r="P2271" s="17">
        <f>32</f>
        <v/>
      </c>
      <c r="Q2271" s="17">
        <f>J2271+L2271+N2271+O2271-P2271-M2271</f>
        <v/>
      </c>
    </row>
    <row r="2272">
      <c r="A2272" s="16" t="inlineStr">
        <is>
          <t>5.22-5.28</t>
        </is>
      </c>
      <c r="B2272" s="16" t="inlineStr">
        <is>
          <t>PO-128-16008000901752345</t>
        </is>
      </c>
      <c r="C2272" s="16" t="inlineStr">
        <is>
          <t>Shipped</t>
        </is>
      </c>
      <c r="D2272" s="16" t="inlineStr">
        <is>
          <t>128-16008032359032345</t>
        </is>
      </c>
      <c r="E2272" s="16" t="inlineStr">
        <is>
          <t>Shipped</t>
        </is>
      </c>
      <c r="F2272" s="16" t="inlineStr">
        <is>
          <t>KTS-1678Y</t>
        </is>
      </c>
      <c r="G2272" s="16" t="inlineStr">
        <is>
          <t>Bocina portátil Inalámbrico, de 3 pulgadas, tamaño de bolsillo, 170 g, con asa, compatible con TF, USB y Micro SD, con radio FM y función TWS (True Wireless Stereo), adecuada para relajarse en casa o viajar al aire libre.</t>
        </is>
      </c>
      <c r="H2272" s="16" t="inlineStr">
        <is>
          <t>KTS-1678Y</t>
        </is>
      </c>
      <c r="I2272" s="16" t="n">
        <v>1</v>
      </c>
      <c r="J2272" s="17" t="n">
        <v>42.5</v>
      </c>
      <c r="K2272" s="17" t="n">
        <v>50.78</v>
      </c>
      <c r="L2272" s="17" t="n">
        <v>25.86</v>
      </c>
      <c r="M2272" s="17" t="n">
        <v>0</v>
      </c>
      <c r="N2272" s="17">
        <f>K2272*0.08+L2272*0.08</f>
        <v/>
      </c>
      <c r="O2272" s="17">
        <f>-(K2272*0.025+L2272*0.025)</f>
        <v/>
      </c>
      <c r="P2272" s="17">
        <f>32</f>
        <v/>
      </c>
      <c r="Q2272" s="17">
        <f>J2272+L2272+N2272+O2272-P2272-M2272</f>
        <v/>
      </c>
    </row>
    <row r="2273">
      <c r="A2273" s="16" t="inlineStr">
        <is>
          <t>5.22-5.28</t>
        </is>
      </c>
      <c r="B2273" s="16" t="inlineStr">
        <is>
          <t>PO-128-16343499643510280</t>
        </is>
      </c>
      <c r="C2273" s="16" t="inlineStr">
        <is>
          <t>Shipped</t>
        </is>
      </c>
      <c r="D2273" s="16" t="inlineStr">
        <is>
          <t>128-16343457700470280</t>
        </is>
      </c>
      <c r="E2273" s="16" t="inlineStr">
        <is>
          <t>Shipped</t>
        </is>
      </c>
      <c r="F2273" s="16" t="inlineStr">
        <is>
          <t>LB02235-negro</t>
        </is>
      </c>
      <c r="G2273" s="16" t="inlineStr">
        <is>
          <t>Audífonos Inalámbricos para la Cabeza, Recargables y Multifuncionales - Conectan a Varios Dispositivos, soportan Radio FM, Tarjeta TF y AUX - 4 Horas de Reproducción Musical - Ideal para Trabajo Cotidiano, Juegos y Estudio</t>
        </is>
      </c>
      <c r="H2273" s="16" t="inlineStr">
        <is>
          <t>NEGRO</t>
        </is>
      </c>
      <c r="I2273" s="16" t="n">
        <v>1</v>
      </c>
      <c r="J2273" s="17" t="n">
        <v>36.8</v>
      </c>
      <c r="K2273" s="17" t="n">
        <v>49.91</v>
      </c>
      <c r="L2273" s="17" t="n">
        <v>25.86</v>
      </c>
      <c r="M2273" s="17" t="n">
        <v>0</v>
      </c>
      <c r="N2273" s="17">
        <f>K2273*0.08+L2273*0.08</f>
        <v/>
      </c>
      <c r="O2273" s="17">
        <f>-(K2273*0.025+L2273*0.025)</f>
        <v/>
      </c>
      <c r="P2273" s="17">
        <f>32</f>
        <v/>
      </c>
      <c r="Q2273" s="17">
        <f>J2273+L2273+N2273+O2273-P2273-M2273</f>
        <v/>
      </c>
    </row>
    <row r="2274">
      <c r="A2274" s="16" t="inlineStr">
        <is>
          <t>5.22-5.28</t>
        </is>
      </c>
      <c r="B2274" s="16" t="inlineStr">
        <is>
          <t>PO-128-15911301939834072</t>
        </is>
      </c>
      <c r="C2274" s="16" t="inlineStr">
        <is>
          <t>Shipped</t>
        </is>
      </c>
      <c r="D2274" s="16" t="inlineStr">
        <is>
          <t>128-15911259996794072</t>
        </is>
      </c>
      <c r="E2274" s="16" t="inlineStr">
        <is>
          <t>Shipped</t>
        </is>
      </c>
      <c r="F2274" s="16" t="inlineStr">
        <is>
          <t>SA8056T</t>
        </is>
      </c>
      <c r="G227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274" s="16" t="inlineStr">
        <is>
          <t>SA8056T</t>
        </is>
      </c>
      <c r="I2274" s="16" t="n">
        <v>1</v>
      </c>
      <c r="J2274" s="17" t="n">
        <v>123.9</v>
      </c>
      <c r="K2274" s="17" t="n">
        <v>144.28</v>
      </c>
      <c r="L2274" s="17" t="n">
        <v>25.86</v>
      </c>
      <c r="M2274" s="17" t="n">
        <v>0</v>
      </c>
      <c r="N2274" s="17">
        <f>K2274*0.08+L2274*0.08</f>
        <v/>
      </c>
      <c r="O2274" s="17">
        <f>-(K2274*0.025+L2274*0.025)</f>
        <v/>
      </c>
      <c r="P2274" s="17">
        <f>32</f>
        <v/>
      </c>
      <c r="Q2274" s="17">
        <f>J2274+L2274+N2274+O2274-P2274-M2274</f>
        <v/>
      </c>
    </row>
    <row r="2275">
      <c r="A2275" s="16" t="inlineStr">
        <is>
          <t>5.22-5.28</t>
        </is>
      </c>
      <c r="B2275" s="16" t="inlineStr">
        <is>
          <t>PO-128-05449779162230893</t>
        </is>
      </c>
      <c r="C2275" s="16" t="inlineStr">
        <is>
          <t>Shipped</t>
        </is>
      </c>
      <c r="D2275" s="16" t="inlineStr">
        <is>
          <t>128-05449884019830893</t>
        </is>
      </c>
      <c r="E2275" s="16" t="inlineStr">
        <is>
          <t>Shipped</t>
        </is>
      </c>
      <c r="F2275" s="16" t="inlineStr">
        <is>
          <t>LB02235-negro</t>
        </is>
      </c>
      <c r="G2275" s="16" t="inlineStr">
        <is>
          <t>Audífonos Inalámbricos para la Cabeza, Recargables y Multifuncionales - Conectan a Varios Dispositivos, soportan Radio FM, Tarjeta TF y AUX - 4 Horas de Reproducción Musical - Ideal para Trabajo Cotidiano, Juegos y Estudio</t>
        </is>
      </c>
      <c r="H2275" s="16" t="inlineStr">
        <is>
          <t>NEGRO</t>
        </is>
      </c>
      <c r="I2275" s="16" t="n">
        <v>1</v>
      </c>
      <c r="J2275" s="17" t="n">
        <v>36.8</v>
      </c>
      <c r="K2275" s="17" t="n">
        <v>49.91</v>
      </c>
      <c r="L2275" s="17" t="n">
        <v>25.86</v>
      </c>
      <c r="M2275" s="17" t="n">
        <v>0</v>
      </c>
      <c r="N2275" s="17">
        <f>K2275*0.08+L2275*0.08</f>
        <v/>
      </c>
      <c r="O2275" s="17">
        <f>-(K2275*0.025+L2275*0.025)</f>
        <v/>
      </c>
      <c r="P2275" s="17">
        <f>32</f>
        <v/>
      </c>
      <c r="Q2275" s="17">
        <f>J2275+L2275+N2275+O2275-P2275-M2275</f>
        <v/>
      </c>
    </row>
    <row r="2276">
      <c r="A2276" s="16" t="inlineStr">
        <is>
          <t>5.22-5.28</t>
        </is>
      </c>
      <c r="B2276" s="16" t="inlineStr">
        <is>
          <t>PO-128-05047033833592076</t>
        </is>
      </c>
      <c r="C2276" s="16" t="inlineStr">
        <is>
          <t>Shipped</t>
        </is>
      </c>
      <c r="D2276" s="16" t="inlineStr">
        <is>
          <t>128-05046970919032076</t>
        </is>
      </c>
      <c r="E2276" s="16" t="inlineStr">
        <is>
          <t>Shipped</t>
        </is>
      </c>
      <c r="F2276" s="16" t="inlineStr">
        <is>
          <t>SA325T</t>
        </is>
      </c>
      <c r="G2276" s="16" t="inlineStr">
        <is>
          <t>Subwoofer Portátil Inalámbrico con Luces RGB, Sonido de Alta Potencia y Batería Duradera, TWS TF USB, Perfecto para Campamento Fiestas y Entretenimiento en Casa</t>
        </is>
      </c>
      <c r="H2276" s="16" t="inlineStr">
        <is>
          <t>NEGRO</t>
        </is>
      </c>
      <c r="I2276" s="16" t="n">
        <v>1</v>
      </c>
      <c r="J2276" s="17" t="n">
        <v>37.99</v>
      </c>
      <c r="K2276" s="17" t="n">
        <v>47.03</v>
      </c>
      <c r="L2276" s="17" t="n">
        <v>25.86</v>
      </c>
      <c r="M2276" s="17" t="n">
        <v>0</v>
      </c>
      <c r="N2276" s="17">
        <f>K2276*0.08+L2276*0.08</f>
        <v/>
      </c>
      <c r="O2276" s="17">
        <f>-(K2276*0.025+L2276*0.025)</f>
        <v/>
      </c>
      <c r="P2276" s="17">
        <f>32</f>
        <v/>
      </c>
      <c r="Q2276" s="17">
        <f>J2276+L2276+N2276+O2276-P2276-M2276</f>
        <v/>
      </c>
    </row>
    <row r="2277">
      <c r="A2277" s="16" t="inlineStr">
        <is>
          <t>5.22-5.28</t>
        </is>
      </c>
      <c r="B2277" s="16" t="inlineStr">
        <is>
          <t>PO-128-05211056049271226</t>
        </is>
      </c>
      <c r="C2277" s="16" t="inlineStr">
        <is>
          <t>Shipped</t>
        </is>
      </c>
      <c r="D2277" s="16" t="inlineStr">
        <is>
          <t>128-05211066535031226</t>
        </is>
      </c>
      <c r="E2277" s="16" t="inlineStr">
        <is>
          <t>Shipped</t>
        </is>
      </c>
      <c r="F2277" s="16" t="inlineStr">
        <is>
          <t>EM04W36</t>
        </is>
      </c>
      <c r="G227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277" s="16" t="inlineStr">
        <is>
          <t>1 pieza</t>
        </is>
      </c>
      <c r="I2277" s="16" t="n">
        <v>1</v>
      </c>
      <c r="J2277" s="17" t="n">
        <v>62</v>
      </c>
      <c r="K2277" s="17" t="n">
        <v>71.29000000000001</v>
      </c>
      <c r="L2277" s="17" t="n">
        <v>0</v>
      </c>
      <c r="M2277" s="17" t="n">
        <v>0</v>
      </c>
      <c r="N2277" s="17">
        <f>K2277*0.08+L2277*0.08</f>
        <v/>
      </c>
      <c r="O2277" s="17">
        <f>-(K2277*0.025+L2277*0.025)</f>
        <v/>
      </c>
      <c r="P2277" s="17">
        <f>32</f>
        <v/>
      </c>
      <c r="Q2277" s="17">
        <f>J2277+L2277+N2277+O2277-P2277-M2277</f>
        <v/>
      </c>
    </row>
    <row r="2278">
      <c r="A2278" s="16" t="inlineStr">
        <is>
          <t>5.22-5.28</t>
        </is>
      </c>
      <c r="B2278" s="16" t="inlineStr">
        <is>
          <t>PO-128-05211056049271226</t>
        </is>
      </c>
      <c r="C2278" s="16" t="inlineStr">
        <is>
          <t>Shipped</t>
        </is>
      </c>
      <c r="D2278" s="16" t="inlineStr">
        <is>
          <t>128-05211065551991226</t>
        </is>
      </c>
      <c r="E2278" s="16" t="inlineStr">
        <is>
          <t>Shipped</t>
        </is>
      </c>
      <c r="F2278" s="16" t="inlineStr">
        <is>
          <t>LB02235-blanco</t>
        </is>
      </c>
      <c r="G2278" s="16" t="inlineStr">
        <is>
          <t>Audífonos Inalámbricos para la Cabeza, Recargables y Multifuncionales - Conectan a Varios Dispositivos, soportan Radio FM, Tarjeta TF y AUX - 4 Horas de Reproducción Musical - Ideal para Trabajo Cotidiano, Juegos y Estudio</t>
        </is>
      </c>
      <c r="H2278" s="16" t="inlineStr">
        <is>
          <t>BLANCO</t>
        </is>
      </c>
      <c r="I2278" s="16" t="n">
        <v>1</v>
      </c>
      <c r="J2278" s="17" t="n">
        <v>36.8</v>
      </c>
      <c r="K2278" s="17" t="n">
        <v>49.91</v>
      </c>
      <c r="L2278" s="17" t="n">
        <v>0</v>
      </c>
      <c r="M2278" s="17" t="n">
        <v>0</v>
      </c>
      <c r="N2278" s="17">
        <f>K2278*0.08+L2278*0.08</f>
        <v/>
      </c>
      <c r="O2278" s="17">
        <f>-(K2278*0.025+L2278*0.025)</f>
        <v/>
      </c>
      <c r="P2278" s="17">
        <f>32</f>
        <v/>
      </c>
      <c r="Q2278" s="17">
        <f>J2278+L2278+N2278+O2278-P2278-M2278</f>
        <v/>
      </c>
    </row>
    <row r="2279">
      <c r="A2279" s="16" t="inlineStr">
        <is>
          <t>5.22-5.28</t>
        </is>
      </c>
      <c r="B2279" s="16" t="inlineStr">
        <is>
          <t>PO-128-05211056049271226</t>
        </is>
      </c>
      <c r="C2279" s="16" t="inlineStr">
        <is>
          <t>Shipped</t>
        </is>
      </c>
      <c r="D2279" s="16" t="inlineStr">
        <is>
          <t>128-05211055066231226</t>
        </is>
      </c>
      <c r="E2279" s="16" t="inlineStr">
        <is>
          <t>Shipped</t>
        </is>
      </c>
      <c r="F2279" s="16" t="inlineStr">
        <is>
          <t>VA384T-R</t>
        </is>
      </c>
      <c r="G2279" s="16" t="inlineStr">
        <is>
          <t>Bocina Portátil Bluetooth de 3 Pulgadas con Radio FM, USB TF TWS, Sonido Estéreo 5W, Bocina Recargable para Hogar Exterior Viaje Fiesta Camping</t>
        </is>
      </c>
      <c r="H2279" s="16" t="inlineStr">
        <is>
          <t>ROJO</t>
        </is>
      </c>
      <c r="I2279" s="16" t="n">
        <v>1</v>
      </c>
      <c r="J2279" s="17" t="n">
        <v>50</v>
      </c>
      <c r="K2279" s="17" t="n">
        <v>60.72</v>
      </c>
      <c r="L2279" s="17" t="n">
        <v>0</v>
      </c>
      <c r="M2279" s="17" t="n">
        <v>0</v>
      </c>
      <c r="N2279" s="17">
        <f>K2279*0.08+L2279*0.08</f>
        <v/>
      </c>
      <c r="O2279" s="17">
        <f>-(K2279*0.025+L2279*0.025)</f>
        <v/>
      </c>
      <c r="P2279" s="17">
        <f>32</f>
        <v/>
      </c>
      <c r="Q2279" s="17">
        <f>J2279+L2279+N2279+O2279-P2279-M2279</f>
        <v/>
      </c>
    </row>
    <row r="2280">
      <c r="A2280" s="16" t="inlineStr">
        <is>
          <t>5.22-5.28</t>
        </is>
      </c>
      <c r="B2280" s="16" t="inlineStr">
        <is>
          <t>PO-128-05211056049271226</t>
        </is>
      </c>
      <c r="C2280" s="16" t="inlineStr">
        <is>
          <t>Shipped</t>
        </is>
      </c>
      <c r="D2280" s="16" t="inlineStr">
        <is>
          <t>128-05211045563511226</t>
        </is>
      </c>
      <c r="E2280" s="16" t="inlineStr">
        <is>
          <t>Shipped</t>
        </is>
      </c>
      <c r="F2280" s="16" t="inlineStr">
        <is>
          <t>MB-185A</t>
        </is>
      </c>
      <c r="G2280" s="16" t="inlineStr">
        <is>
          <t>Bocina Radio FM/Reproductor, Compatible con Tarjeta TF, USB, Bluetooth, Aplicable para celular, computadora, Ipad y consola.</t>
        </is>
      </c>
      <c r="H2280" s="16" t="inlineStr">
        <is>
          <t>AZUL/MB-185</t>
        </is>
      </c>
      <c r="I2280" s="16" t="n">
        <v>1</v>
      </c>
      <c r="J2280" s="17" t="n">
        <v>73</v>
      </c>
      <c r="K2280" s="17" t="n">
        <v>85.94</v>
      </c>
      <c r="L2280" s="17" t="n">
        <v>0</v>
      </c>
      <c r="M2280" s="17" t="n">
        <v>0</v>
      </c>
      <c r="N2280" s="17">
        <f>K2280*0.08+L2280*0.08</f>
        <v/>
      </c>
      <c r="O2280" s="17">
        <f>-(K2280*0.025+L2280*0.025)</f>
        <v/>
      </c>
      <c r="P2280" s="17">
        <f>32</f>
        <v/>
      </c>
      <c r="Q2280" s="17">
        <f>J2280+L2280+N2280+O2280-P2280-M2280</f>
        <v/>
      </c>
    </row>
    <row r="2281">
      <c r="A2281" s="16" t="inlineStr">
        <is>
          <t>5.22-5.28</t>
        </is>
      </c>
      <c r="B2281" s="16" t="inlineStr">
        <is>
          <t>PO-128-05429017859191017</t>
        </is>
      </c>
      <c r="C2281" s="16" t="inlineStr">
        <is>
          <t>Shipped</t>
        </is>
      </c>
      <c r="D2281" s="16" t="inlineStr">
        <is>
          <t>128-05428996887671017</t>
        </is>
      </c>
      <c r="E2281" s="16" t="inlineStr">
        <is>
          <t>Shipped</t>
        </is>
      </c>
      <c r="F2281" s="16" t="inlineStr">
        <is>
          <t>LB02235-rojo</t>
        </is>
      </c>
      <c r="G2281" s="16" t="inlineStr">
        <is>
          <t>Audífonos Inalámbricos para la Cabeza, Recargables y Multifuncionales - Conectan a Varios Dispositivos, soportan Radio FM, Tarjeta TF y AUX - 4 Horas de Reproducción Musical - Ideal para Trabajo Cotidiano, Juegos y Estudio</t>
        </is>
      </c>
      <c r="H2281" s="16" t="inlineStr">
        <is>
          <t>ROJO</t>
        </is>
      </c>
      <c r="I2281" s="16" t="n">
        <v>1</v>
      </c>
      <c r="J2281" s="17" t="n">
        <v>36.8</v>
      </c>
      <c r="K2281" s="17" t="n">
        <v>49.91</v>
      </c>
      <c r="L2281" s="17" t="n">
        <v>25.86</v>
      </c>
      <c r="M2281" s="17" t="n">
        <v>0</v>
      </c>
      <c r="N2281" s="17">
        <f>K2281*0.08+L2281*0.08</f>
        <v/>
      </c>
      <c r="O2281" s="17">
        <f>-(K2281*0.025+L2281*0.025)</f>
        <v/>
      </c>
      <c r="P2281" s="17">
        <f>32</f>
        <v/>
      </c>
      <c r="Q2281" s="17">
        <f>J2281+L2281+N2281+O2281-P2281-M2281</f>
        <v/>
      </c>
    </row>
    <row r="2282">
      <c r="A2282" s="16" t="inlineStr">
        <is>
          <t>5.22-5.28</t>
        </is>
      </c>
      <c r="B2282" s="16" t="inlineStr">
        <is>
          <t>PO-128-05394008215670008</t>
        </is>
      </c>
      <c r="C2282" s="16" t="inlineStr">
        <is>
          <t>Shipped</t>
        </is>
      </c>
      <c r="D2282" s="16" t="inlineStr">
        <is>
          <t>128-05393966272630008</t>
        </is>
      </c>
      <c r="E2282" s="16" t="inlineStr">
        <is>
          <t>Shipped</t>
        </is>
      </c>
      <c r="F2282" s="16" t="inlineStr">
        <is>
          <t>SA325T</t>
        </is>
      </c>
      <c r="G2282" s="16" t="inlineStr">
        <is>
          <t>Subwoofer Portátil Inalámbrico con Luces RGB, Sonido de Alta Potencia y Batería Duradera, TWS TF USB, Perfecto para Campamento Fiestas y Entretenimiento en Casa</t>
        </is>
      </c>
      <c r="H2282" s="16" t="inlineStr">
        <is>
          <t>NEGRO</t>
        </is>
      </c>
      <c r="I2282" s="16" t="n">
        <v>1</v>
      </c>
      <c r="J2282" s="17" t="n">
        <v>37.99</v>
      </c>
      <c r="K2282" s="17" t="n">
        <v>47.03</v>
      </c>
      <c r="L2282" s="17" t="n">
        <v>25.86</v>
      </c>
      <c r="M2282" s="17" t="n">
        <v>0</v>
      </c>
      <c r="N2282" s="17">
        <f>K2282*0.08+L2282*0.08</f>
        <v/>
      </c>
      <c r="O2282" s="17">
        <f>-(K2282*0.025+L2282*0.025)</f>
        <v/>
      </c>
      <c r="P2282" s="17">
        <f>32</f>
        <v/>
      </c>
      <c r="Q2282" s="17">
        <f>J2282+L2282+N2282+O2282-P2282-M2282</f>
        <v/>
      </c>
    </row>
    <row r="2283">
      <c r="A2283" s="16" t="inlineStr">
        <is>
          <t>5.22-5.28</t>
        </is>
      </c>
      <c r="B2283" s="16" t="inlineStr">
        <is>
          <t>PO-128-04876977270393091</t>
        </is>
      </c>
      <c r="C2283" s="16" t="inlineStr">
        <is>
          <t>Shipped</t>
        </is>
      </c>
      <c r="D2283" s="16" t="inlineStr">
        <is>
          <t>128-04877003484793091</t>
        </is>
      </c>
      <c r="E2283" s="16" t="inlineStr">
        <is>
          <t>Shipped</t>
        </is>
      </c>
      <c r="F2283" s="16" t="inlineStr">
        <is>
          <t>LB02235-rojo</t>
        </is>
      </c>
      <c r="G2283" s="16" t="inlineStr">
        <is>
          <t>Audífonos Inalámbricos para la Cabeza, Recargables y Multifuncionales - Conectan a Varios Dispositivos, soportan Radio FM, Tarjeta TF y AUX - 4 Horas de Reproducción Musical - Ideal para Trabajo Cotidiano, Juegos y Estudio</t>
        </is>
      </c>
      <c r="H2283" s="16" t="inlineStr">
        <is>
          <t>ROJO</t>
        </is>
      </c>
      <c r="I2283" s="16" t="n">
        <v>1</v>
      </c>
      <c r="J2283" s="17" t="n">
        <v>36.8</v>
      </c>
      <c r="K2283" s="17" t="n">
        <v>49.91</v>
      </c>
      <c r="L2283" s="17" t="n">
        <v>25.86</v>
      </c>
      <c r="M2283" s="17" t="n">
        <v>0</v>
      </c>
      <c r="N2283" s="17">
        <f>K2283*0.08+L2283*0.08</f>
        <v/>
      </c>
      <c r="O2283" s="17">
        <f>-(K2283*0.025+L2283*0.025)</f>
        <v/>
      </c>
      <c r="P2283" s="17">
        <f>32</f>
        <v/>
      </c>
      <c r="Q2283" s="17">
        <f>J2283+L2283+N2283+O2283-P2283-M2283</f>
        <v/>
      </c>
    </row>
    <row r="2284">
      <c r="A2284" s="16" t="inlineStr">
        <is>
          <t>5.22-5.28</t>
        </is>
      </c>
      <c r="B2284" s="16" t="inlineStr">
        <is>
          <t>PO-128-05111153127032718</t>
        </is>
      </c>
      <c r="C2284" s="16" t="inlineStr">
        <is>
          <t>Shipped</t>
        </is>
      </c>
      <c r="D2284" s="16" t="inlineStr">
        <is>
          <t>128-05111111183992718</t>
        </is>
      </c>
      <c r="E2284" s="16" t="inlineStr">
        <is>
          <t>Shipped</t>
        </is>
      </c>
      <c r="F2284" s="16" t="inlineStr">
        <is>
          <t>VA880T</t>
        </is>
      </c>
      <c r="G228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84" s="16" t="inlineStr">
        <is>
          <t>1 pieza</t>
        </is>
      </c>
      <c r="I2284" s="16" t="n">
        <v>1</v>
      </c>
      <c r="J2284" s="17" t="n">
        <v>114.98</v>
      </c>
      <c r="K2284" s="17" t="n">
        <v>127.27</v>
      </c>
      <c r="L2284" s="17" t="n">
        <v>25.86</v>
      </c>
      <c r="M2284" s="17" t="n">
        <v>0</v>
      </c>
      <c r="N2284" s="17">
        <f>K2284*0.08+L2284*0.08</f>
        <v/>
      </c>
      <c r="O2284" s="17">
        <f>-(K2284*0.025+L2284*0.025)</f>
        <v/>
      </c>
      <c r="P2284" s="17">
        <f>32</f>
        <v/>
      </c>
      <c r="Q2284" s="17">
        <f>J2284+L2284+N2284+O2284-P2284-M2284</f>
        <v/>
      </c>
    </row>
    <row r="2285">
      <c r="A2285" s="16" t="inlineStr">
        <is>
          <t>5.22-5.28</t>
        </is>
      </c>
      <c r="B2285" s="16" t="inlineStr">
        <is>
          <t>PO-128-04813507853433468</t>
        </is>
      </c>
      <c r="C2285" s="16" t="inlineStr">
        <is>
          <t>Shipped</t>
        </is>
      </c>
      <c r="D2285" s="16" t="inlineStr">
        <is>
          <t>128-04813486881913468</t>
        </is>
      </c>
      <c r="E2285" s="16" t="inlineStr">
        <is>
          <t>Shipped</t>
        </is>
      </c>
      <c r="F2285" s="16" t="inlineStr">
        <is>
          <t>LB02235-azul</t>
        </is>
      </c>
      <c r="G2285" s="16" t="inlineStr">
        <is>
          <t>Audífonos Inalámbricos para la Cabeza, Recargables y Multifuncionales - Conectan a Varios Dispositivos, soportan Radio FM, Tarjeta TF y AUX - 4 Horas de Reproducción Musical - Ideal para Trabajo Cotidiano, Juegos y Estudio</t>
        </is>
      </c>
      <c r="H2285" s="16" t="inlineStr">
        <is>
          <t>AZUL</t>
        </is>
      </c>
      <c r="I2285" s="16" t="n">
        <v>1</v>
      </c>
      <c r="J2285" s="17" t="n">
        <v>36</v>
      </c>
      <c r="K2285" s="17" t="n">
        <v>44.19</v>
      </c>
      <c r="L2285" s="17" t="n">
        <v>25.86</v>
      </c>
      <c r="M2285" s="17" t="n">
        <v>0</v>
      </c>
      <c r="N2285" s="17">
        <f>K2285*0.08+L2285*0.08</f>
        <v/>
      </c>
      <c r="O2285" s="17">
        <f>-(K2285*0.025+L2285*0.025)</f>
        <v/>
      </c>
      <c r="P2285" s="17">
        <f>32</f>
        <v/>
      </c>
      <c r="Q2285" s="17">
        <f>J2285+L2285+N2285+O2285-P2285-M2285</f>
        <v/>
      </c>
    </row>
    <row r="2286">
      <c r="A2286" s="16" t="inlineStr">
        <is>
          <t>5.22-5.28</t>
        </is>
      </c>
      <c r="B2286" s="16" t="inlineStr">
        <is>
          <t>PO-128-05231216443511106</t>
        </is>
      </c>
      <c r="C2286" s="16" t="inlineStr">
        <is>
          <t>Shipped</t>
        </is>
      </c>
      <c r="D2286" s="16" t="inlineStr">
        <is>
          <t>128-05231153528951106</t>
        </is>
      </c>
      <c r="E2286" s="16" t="inlineStr">
        <is>
          <t>Shipped</t>
        </is>
      </c>
      <c r="F2286" s="16" t="inlineStr">
        <is>
          <t>MCM-001N</t>
        </is>
      </c>
      <c r="G2286" s="16" t="inlineStr">
        <is>
          <t>Musicord Altavoz Inalámbrico BT Portátil: ¡Sonido impactante, luces LED multicolores y 4 horas de autonomía! Compatible con TWS, FM, TF y USB – Imprescindible para fiestas y viajes</t>
        </is>
      </c>
      <c r="H2286" s="16" t="inlineStr">
        <is>
          <t>NEGRO</t>
        </is>
      </c>
      <c r="I2286" s="16" t="n">
        <v>2</v>
      </c>
      <c r="J2286" s="17" t="n">
        <v>122</v>
      </c>
      <c r="K2286" s="17" t="n">
        <v>137.58</v>
      </c>
      <c r="L2286" s="17" t="n">
        <v>13.94</v>
      </c>
      <c r="M2286" s="17" t="n">
        <v>0</v>
      </c>
      <c r="N2286" s="17">
        <f>K2286*0.08+L2286*0.08</f>
        <v/>
      </c>
      <c r="O2286" s="17">
        <f>-(K2286*0.025+L2286*0.025)</f>
        <v/>
      </c>
      <c r="P2286" s="17">
        <f>32</f>
        <v/>
      </c>
      <c r="Q2286" s="17">
        <f>J2286+L2286+N2286+O2286-P2286-M2286</f>
        <v/>
      </c>
    </row>
    <row r="2287">
      <c r="A2287" s="16" t="inlineStr">
        <is>
          <t>5.22-5.28</t>
        </is>
      </c>
      <c r="B2287" s="16" t="inlineStr">
        <is>
          <t>PO-128-05231216443511106</t>
        </is>
      </c>
      <c r="C2287" s="16" t="inlineStr">
        <is>
          <t>Shipped</t>
        </is>
      </c>
      <c r="D2287" s="16" t="inlineStr">
        <is>
          <t>128-05231158771831106</t>
        </is>
      </c>
      <c r="E2287" s="16" t="inlineStr">
        <is>
          <t>Shipped</t>
        </is>
      </c>
      <c r="F2287" s="16" t="inlineStr">
        <is>
          <t>MCM-001G</t>
        </is>
      </c>
      <c r="G2287" s="16" t="inlineStr">
        <is>
          <t>Musicord Altavoz Inalámbrico BT Portátil: ¡Sonido impactante, luces LED multicolores y 4 horas de autonomía! Compatible con TWS, FM, TF y USB – Imprescindible para fiestas y viajes</t>
        </is>
      </c>
      <c r="H2287" s="16" t="inlineStr">
        <is>
          <t>GRIS</t>
        </is>
      </c>
      <c r="I2287" s="16" t="n">
        <v>2</v>
      </c>
      <c r="J2287" s="17" t="n">
        <v>102.14</v>
      </c>
      <c r="K2287" s="17" t="n">
        <v>117.72</v>
      </c>
      <c r="L2287" s="17" t="n">
        <v>11.93</v>
      </c>
      <c r="M2287" s="17" t="n">
        <v>0</v>
      </c>
      <c r="N2287" s="17">
        <f>K2287*0.08+L2287*0.08</f>
        <v/>
      </c>
      <c r="O2287" s="17">
        <f>-(K2287*0.025+L2287*0.025)</f>
        <v/>
      </c>
      <c r="P2287" s="17">
        <f>32</f>
        <v/>
      </c>
      <c r="Q2287" s="17">
        <f>J2287+L2287+N2287+O2287-P2287-M2287</f>
        <v/>
      </c>
    </row>
    <row r="2288">
      <c r="A2288" s="16" t="inlineStr">
        <is>
          <t>5.22-5.28</t>
        </is>
      </c>
      <c r="B2288" s="16" t="inlineStr">
        <is>
          <t>PO-128-05492215263350638</t>
        </is>
      </c>
      <c r="C2288" s="16" t="inlineStr">
        <is>
          <t>Shipped</t>
        </is>
      </c>
      <c r="D2288" s="16" t="inlineStr">
        <is>
          <t>128-05492320120950638</t>
        </is>
      </c>
      <c r="E2288" s="16" t="inlineStr">
        <is>
          <t>Shipped</t>
        </is>
      </c>
      <c r="F2288" s="16" t="inlineStr">
        <is>
          <t>VA880T</t>
        </is>
      </c>
      <c r="G228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88" s="16" t="inlineStr">
        <is>
          <t>1 pieza</t>
        </is>
      </c>
      <c r="I2288" s="16" t="n">
        <v>1</v>
      </c>
      <c r="J2288" s="17" t="n">
        <v>114.98</v>
      </c>
      <c r="K2288" s="17" t="n">
        <v>127.27</v>
      </c>
      <c r="L2288" s="17" t="n">
        <v>25.86</v>
      </c>
      <c r="M2288" s="17" t="n">
        <v>0</v>
      </c>
      <c r="N2288" s="17">
        <f>K2288*0.08+L2288*0.08</f>
        <v/>
      </c>
      <c r="O2288" s="17">
        <f>-(K2288*0.025+L2288*0.025)</f>
        <v/>
      </c>
      <c r="P2288" s="17">
        <f>32</f>
        <v/>
      </c>
      <c r="Q2288" s="17">
        <f>J2288+L2288+N2288+O2288-P2288-M2288</f>
        <v/>
      </c>
    </row>
    <row r="2289">
      <c r="A2289" s="16" t="inlineStr">
        <is>
          <t>5.22-5.28</t>
        </is>
      </c>
      <c r="B2289" s="16" t="inlineStr">
        <is>
          <t>PO-128-05416831516790896</t>
        </is>
      </c>
      <c r="C2289" s="16" t="inlineStr">
        <is>
          <t>Shipped</t>
        </is>
      </c>
      <c r="D2289" s="16" t="inlineStr">
        <is>
          <t>128-05416789573750896</t>
        </is>
      </c>
      <c r="E2289" s="16" t="inlineStr">
        <is>
          <t>Shipped</t>
        </is>
      </c>
      <c r="F2289" s="16" t="inlineStr">
        <is>
          <t>VA880T</t>
        </is>
      </c>
      <c r="G228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89" s="16" t="inlineStr">
        <is>
          <t>1 pieza</t>
        </is>
      </c>
      <c r="I2289" s="16" t="n">
        <v>2</v>
      </c>
      <c r="J2289" s="17" t="n">
        <v>229.96</v>
      </c>
      <c r="K2289" s="17" t="n">
        <v>254.54</v>
      </c>
      <c r="L2289" s="17" t="n">
        <v>25.86</v>
      </c>
      <c r="M2289" s="17" t="n">
        <v>0</v>
      </c>
      <c r="N2289" s="17">
        <f>K2289*0.08+L2289*0.08</f>
        <v/>
      </c>
      <c r="O2289" s="17">
        <f>-(K2289*0.025+L2289*0.025)</f>
        <v/>
      </c>
      <c r="P2289" s="17">
        <f>32</f>
        <v/>
      </c>
      <c r="Q2289" s="17">
        <f>J2289+L2289+N2289+O2289-P2289-M2289</f>
        <v/>
      </c>
    </row>
    <row r="2290">
      <c r="A2290" s="16" t="inlineStr">
        <is>
          <t>5.22-5.28</t>
        </is>
      </c>
      <c r="B2290" s="16" t="inlineStr">
        <is>
          <t>PO-128-05347139966070481</t>
        </is>
      </c>
      <c r="C2290" s="16" t="inlineStr">
        <is>
          <t>Shipped</t>
        </is>
      </c>
      <c r="D2290" s="16" t="inlineStr">
        <is>
          <t>128-05347118994550481</t>
        </is>
      </c>
      <c r="E2290" s="16" t="inlineStr">
        <is>
          <t>Shipped</t>
        </is>
      </c>
      <c r="F2290" s="16" t="inlineStr">
        <is>
          <t>HD005</t>
        </is>
      </c>
      <c r="G2290" s="16" t="inlineStr">
        <is>
          <t>Link bits HD005 Antena UHF para Exteriores, Antena de TV Digital HD con 10 Metros de Cable, Recepción 470-862MHz, 9-7dB de Ganancia, Antena para Canales Abiertos y HD, Resistente al Agua y Viento, Fácil Instalación</t>
        </is>
      </c>
      <c r="H2290" s="16" t="inlineStr">
        <is>
          <t>1</t>
        </is>
      </c>
      <c r="I2290" s="16" t="n">
        <v>1</v>
      </c>
      <c r="J2290" s="17" t="n">
        <v>75</v>
      </c>
      <c r="K2290" s="17" t="n">
        <v>92.66</v>
      </c>
      <c r="L2290" s="17" t="n">
        <v>25.86</v>
      </c>
      <c r="M2290" s="17" t="n">
        <v>0</v>
      </c>
      <c r="N2290" s="17">
        <f>K2290*0.08+L2290*0.08</f>
        <v/>
      </c>
      <c r="O2290" s="17">
        <f>-(K2290*0.025+L2290*0.025)</f>
        <v/>
      </c>
      <c r="P2290" s="17">
        <f>32</f>
        <v/>
      </c>
      <c r="Q2290" s="17">
        <f>J2290+L2290+N2290+O2290-P2290-M2290</f>
        <v/>
      </c>
    </row>
    <row r="2291">
      <c r="A2291" s="16" t="inlineStr">
        <is>
          <t>5.22-5.28</t>
        </is>
      </c>
      <c r="B2291" s="16" t="inlineStr">
        <is>
          <t>PO-128-05017065807992382</t>
        </is>
      </c>
      <c r="C2291" s="16" t="inlineStr">
        <is>
          <t>Shipped</t>
        </is>
      </c>
      <c r="D2291" s="16" t="inlineStr">
        <is>
          <t>128-05017112993912382</t>
        </is>
      </c>
      <c r="E2291" s="16" t="inlineStr">
        <is>
          <t>Shipped</t>
        </is>
      </c>
      <c r="F2291" s="16" t="inlineStr">
        <is>
          <t>KTS-1678Y</t>
        </is>
      </c>
      <c r="G2291" s="16" t="inlineStr">
        <is>
          <t>Bocina portátil Inalámbrico, de 3 pulgadas, tamaño de bolsillo, 170 g, con asa, compatible con TF, USB y Micro SD, con radio FM y función TWS (True Wireless Stereo), adecuada para relajarse en casa o viajar al aire libre.</t>
        </is>
      </c>
      <c r="H2291" s="16" t="inlineStr">
        <is>
          <t>KTS-1678Y</t>
        </is>
      </c>
      <c r="I2291" s="16" t="n">
        <v>1</v>
      </c>
      <c r="J2291" s="17" t="n">
        <v>42.5</v>
      </c>
      <c r="K2291" s="17" t="n">
        <v>43.17</v>
      </c>
      <c r="L2291" s="17" t="n">
        <v>25.86</v>
      </c>
      <c r="M2291" s="17" t="n">
        <v>0</v>
      </c>
      <c r="N2291" s="17">
        <f>K2291*0.08+L2291*0.08</f>
        <v/>
      </c>
      <c r="O2291" s="17">
        <f>-(K2291*0.025+L2291*0.025)</f>
        <v/>
      </c>
      <c r="P2291" s="17">
        <f>32</f>
        <v/>
      </c>
      <c r="Q2291" s="17">
        <f>J2291+L2291+N2291+O2291-P2291-M2291</f>
        <v/>
      </c>
    </row>
    <row r="2292">
      <c r="A2292" s="16" t="inlineStr">
        <is>
          <t>5.22-5.28</t>
        </is>
      </c>
      <c r="B2292" s="16" t="inlineStr">
        <is>
          <t>PO-128-05490730744950585</t>
        </is>
      </c>
      <c r="C2292" s="16" t="inlineStr">
        <is>
          <t>Shipped</t>
        </is>
      </c>
      <c r="D2292" s="16" t="inlineStr">
        <is>
          <t>128-05490694044790585</t>
        </is>
      </c>
      <c r="E2292" s="16" t="inlineStr">
        <is>
          <t>Shipped</t>
        </is>
      </c>
      <c r="F2292" s="16" t="inlineStr">
        <is>
          <t>KTS-1678V</t>
        </is>
      </c>
      <c r="G2292" s="16" t="inlineStr">
        <is>
          <t>Bocina portátil Inalámbrico, de 3 pulgadas, tamaño de bolsillo, 170 g, con asa, compatible con TF, USB y Micro SD, con radio FM y función TWS (True Wireless Stereo), adecuada para relajarse en casa o viajar al aire libre.</t>
        </is>
      </c>
      <c r="H2292" s="16" t="inlineStr">
        <is>
          <t>KTS-1678V</t>
        </is>
      </c>
      <c r="I2292" s="16" t="n">
        <v>1</v>
      </c>
      <c r="J2292" s="17" t="n">
        <v>42.5</v>
      </c>
      <c r="K2292" s="17" t="n">
        <v>50.78</v>
      </c>
      <c r="L2292" s="17" t="n">
        <v>25.86</v>
      </c>
      <c r="M2292" s="17" t="n">
        <v>0</v>
      </c>
      <c r="N2292" s="17">
        <f>K2292*0.08+L2292*0.08</f>
        <v/>
      </c>
      <c r="O2292" s="17">
        <f>-(K2292*0.025+L2292*0.025)</f>
        <v/>
      </c>
      <c r="P2292" s="17">
        <f>32</f>
        <v/>
      </c>
      <c r="Q2292" s="17">
        <f>J2292+L2292+N2292+O2292-P2292-M2292</f>
        <v/>
      </c>
    </row>
    <row r="2293">
      <c r="A2293" s="16" t="inlineStr">
        <is>
          <t>5.22-5.28</t>
        </is>
      </c>
      <c r="B2293" s="16" t="inlineStr">
        <is>
          <t>PO-128-04983515948152454</t>
        </is>
      </c>
      <c r="C2293" s="16" t="inlineStr">
        <is>
          <t>Shipped</t>
        </is>
      </c>
      <c r="D2293" s="16" t="inlineStr">
        <is>
          <t>128-04983652263032454</t>
        </is>
      </c>
      <c r="E2293" s="16" t="inlineStr">
        <is>
          <t>Shipped</t>
        </is>
      </c>
      <c r="F2293" s="16" t="inlineStr">
        <is>
          <t>LB02235-rojo</t>
        </is>
      </c>
      <c r="G2293" s="16" t="inlineStr">
        <is>
          <t>Audífonos Inalámbricos para la Cabeza, Recargables y Multifuncionales - Conectan a Varios Dispositivos, soportan Radio FM, Tarjeta TF y AUX - 4 Horas de Reproducción Musical - Ideal para Trabajo Cotidiano, Juegos y Estudio</t>
        </is>
      </c>
      <c r="H2293" s="16" t="inlineStr">
        <is>
          <t>ROJO</t>
        </is>
      </c>
      <c r="I2293" s="16" t="n">
        <v>1</v>
      </c>
      <c r="J2293" s="17" t="n">
        <v>36.8</v>
      </c>
      <c r="K2293" s="17" t="n">
        <v>49.91</v>
      </c>
      <c r="L2293" s="17" t="n">
        <v>25.86</v>
      </c>
      <c r="M2293" s="17" t="n">
        <v>0</v>
      </c>
      <c r="N2293" s="17">
        <f>K2293*0.08+L2293*0.08</f>
        <v/>
      </c>
      <c r="O2293" s="17">
        <f>-(K2293*0.025+L2293*0.025)</f>
        <v/>
      </c>
      <c r="P2293" s="17">
        <f>32</f>
        <v/>
      </c>
      <c r="Q2293" s="17">
        <f>J2293+L2293+N2293+O2293-P2293-M2293</f>
        <v/>
      </c>
    </row>
    <row r="2294">
      <c r="A2294" s="16" t="inlineStr">
        <is>
          <t>5.22-5.28</t>
        </is>
      </c>
      <c r="B2294" s="16" t="inlineStr">
        <is>
          <t>PO-128-05062000259192117</t>
        </is>
      </c>
      <c r="C2294" s="16" t="inlineStr">
        <is>
          <t>Shipped</t>
        </is>
      </c>
      <c r="D2294" s="16" t="inlineStr">
        <is>
          <t>128-05061958316152117</t>
        </is>
      </c>
      <c r="E2294" s="16" t="inlineStr">
        <is>
          <t>Shipped</t>
        </is>
      </c>
      <c r="F2294" s="16" t="inlineStr">
        <is>
          <t>VA880T</t>
        </is>
      </c>
      <c r="G229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294" s="16" t="inlineStr">
        <is>
          <t>1 pieza</t>
        </is>
      </c>
      <c r="I2294" s="16" t="n">
        <v>1</v>
      </c>
      <c r="J2294" s="17" t="n">
        <v>114.98</v>
      </c>
      <c r="K2294" s="17" t="n">
        <v>127.27</v>
      </c>
      <c r="L2294" s="17" t="n">
        <v>25.86</v>
      </c>
      <c r="M2294" s="17" t="n">
        <v>0</v>
      </c>
      <c r="N2294" s="17">
        <f>K2294*0.08+L2294*0.08</f>
        <v/>
      </c>
      <c r="O2294" s="17">
        <f>-(K2294*0.025+L2294*0.025)</f>
        <v/>
      </c>
      <c r="P2294" s="17">
        <f>32</f>
        <v/>
      </c>
      <c r="Q2294" s="17">
        <f>J2294+L2294+N2294+O2294-P2294-M2294</f>
        <v/>
      </c>
    </row>
    <row r="2295">
      <c r="A2295" s="16" t="inlineStr">
        <is>
          <t>5.22-5.28</t>
        </is>
      </c>
      <c r="B2295" s="16" t="inlineStr">
        <is>
          <t>PO-128-05358139405430350</t>
        </is>
      </c>
      <c r="C2295" s="16" t="inlineStr">
        <is>
          <t>Shipped</t>
        </is>
      </c>
      <c r="D2295" s="16" t="inlineStr">
        <is>
          <t>128-05358097462390350</t>
        </is>
      </c>
      <c r="E2295" s="16" t="inlineStr">
        <is>
          <t>Shipped</t>
        </is>
      </c>
      <c r="F2295" s="16" t="inlineStr">
        <is>
          <t>LV34W04</t>
        </is>
      </c>
      <c r="G229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295" s="16" t="inlineStr">
        <is>
          <t>LV34W04</t>
        </is>
      </c>
      <c r="I2295" s="16" t="n">
        <v>1</v>
      </c>
      <c r="J2295" s="17" t="n">
        <v>279</v>
      </c>
      <c r="K2295" s="17" t="n">
        <v>315.63</v>
      </c>
      <c r="L2295" s="17" t="n">
        <v>0</v>
      </c>
      <c r="M2295" s="17" t="n">
        <v>0</v>
      </c>
      <c r="N2295" s="17">
        <f>K2295*0.08+L2295*0.08</f>
        <v/>
      </c>
      <c r="O2295" s="17">
        <f>-(K2295*0.025+L2295*0.025)</f>
        <v/>
      </c>
      <c r="P2295" s="17">
        <f>32</f>
        <v/>
      </c>
      <c r="Q2295" s="17">
        <f>J2295+L2295+N2295+O2295-P2295-M2295</f>
        <v/>
      </c>
    </row>
    <row r="2296">
      <c r="A2296" s="16" t="inlineStr">
        <is>
          <t>5.22-5.28</t>
        </is>
      </c>
      <c r="B2296" s="16" t="inlineStr">
        <is>
          <t>PO-128-05278004647031917</t>
        </is>
      </c>
      <c r="C2296" s="16" t="inlineStr">
        <is>
          <t>Shipped</t>
        </is>
      </c>
      <c r="D2296" s="16" t="inlineStr">
        <is>
          <t>128-05278046590071917</t>
        </is>
      </c>
      <c r="E2296" s="16" t="inlineStr">
        <is>
          <t>Shipped</t>
        </is>
      </c>
      <c r="F2296" s="16" t="inlineStr">
        <is>
          <t>KTS-1678Y</t>
        </is>
      </c>
      <c r="G2296" s="16" t="inlineStr">
        <is>
          <t>Bocina portátil Inalámbrico, de 3 pulgadas, tamaño de bolsillo, 170 g, con asa, compatible con TF, USB y Micro SD, con radio FM y función TWS (True Wireless Stereo), adecuada para relajarse en casa o viajar al aire libre.</t>
        </is>
      </c>
      <c r="H2296" s="16" t="inlineStr">
        <is>
          <t>KTS-1678Y</t>
        </is>
      </c>
      <c r="I2296" s="16" t="n">
        <v>1</v>
      </c>
      <c r="J2296" s="17" t="n">
        <v>42.5</v>
      </c>
      <c r="K2296" s="17" t="n">
        <v>50.78</v>
      </c>
      <c r="L2296" s="17" t="n">
        <v>25.86</v>
      </c>
      <c r="M2296" s="17" t="n">
        <v>0</v>
      </c>
      <c r="N2296" s="17">
        <f>K2296*0.08+L2296*0.08</f>
        <v/>
      </c>
      <c r="O2296" s="17">
        <f>-(K2296*0.025+L2296*0.025)</f>
        <v/>
      </c>
      <c r="P2296" s="17">
        <f>32</f>
        <v/>
      </c>
      <c r="Q2296" s="17">
        <f>J2296+L2296+N2296+O2296-P2296-M2296</f>
        <v/>
      </c>
    </row>
    <row r="2297">
      <c r="A2297" s="16" t="inlineStr">
        <is>
          <t>5.22-5.28</t>
        </is>
      </c>
      <c r="B2297" s="16" t="inlineStr">
        <is>
          <t>PO-128-05278002573431917</t>
        </is>
      </c>
      <c r="C2297" s="16" t="inlineStr">
        <is>
          <t>Shipped</t>
        </is>
      </c>
      <c r="D2297" s="16" t="inlineStr">
        <is>
          <t>128-05278013059191917</t>
        </is>
      </c>
      <c r="E2297" s="16" t="inlineStr">
        <is>
          <t>Shipped</t>
        </is>
      </c>
      <c r="F2297" s="16" t="inlineStr">
        <is>
          <t>KTS-1678R</t>
        </is>
      </c>
      <c r="G2297" s="16" t="inlineStr">
        <is>
          <t>Bocina portátil Inalámbrico, de 3 pulgadas, tamaño de bolsillo, 170 g, con asa, compatible con TF, USB y Micro SD, con radio FM y función TWS (True Wireless Stereo), adecuada para relajarse en casa o viajar al aire libre.</t>
        </is>
      </c>
      <c r="H2297" s="16" t="inlineStr">
        <is>
          <t>KTS-1678R</t>
        </is>
      </c>
      <c r="I2297" s="16" t="n">
        <v>1</v>
      </c>
      <c r="J2297" s="17" t="n">
        <v>42.5</v>
      </c>
      <c r="K2297" s="17" t="n">
        <v>50.78</v>
      </c>
      <c r="L2297" s="17" t="n">
        <v>25.86</v>
      </c>
      <c r="M2297" s="17" t="n">
        <v>0</v>
      </c>
      <c r="N2297" s="17">
        <f>K2297*0.08+L2297*0.08</f>
        <v/>
      </c>
      <c r="O2297" s="17">
        <f>-(K2297*0.025+L2297*0.025)</f>
        <v/>
      </c>
      <c r="P2297" s="17">
        <f>32</f>
        <v/>
      </c>
      <c r="Q2297" s="17">
        <f>J2297+L2297+N2297+O2297-P2297-M2297</f>
        <v/>
      </c>
    </row>
    <row r="2298">
      <c r="A2298" s="16" t="inlineStr">
        <is>
          <t>5.22-5.28</t>
        </is>
      </c>
      <c r="B2298" s="16" t="inlineStr">
        <is>
          <t>PO-128-05436631509110778</t>
        </is>
      </c>
      <c r="C2298" s="16" t="inlineStr">
        <is>
          <t>Shipped</t>
        </is>
      </c>
      <c r="D2298" s="16" t="inlineStr">
        <is>
          <t>128-05436531894390778</t>
        </is>
      </c>
      <c r="E2298" s="16" t="inlineStr">
        <is>
          <t>Shipped</t>
        </is>
      </c>
      <c r="F2298" s="16" t="inlineStr">
        <is>
          <t>EM04W36</t>
        </is>
      </c>
      <c r="G229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298" s="16" t="inlineStr">
        <is>
          <t>1 pieza</t>
        </is>
      </c>
      <c r="I2298" s="16" t="n">
        <v>2</v>
      </c>
      <c r="J2298" s="17" t="n">
        <v>124</v>
      </c>
      <c r="K2298" s="17" t="n">
        <v>142.58</v>
      </c>
      <c r="L2298" s="17" t="n">
        <v>25.86</v>
      </c>
      <c r="M2298" s="17" t="n">
        <v>0</v>
      </c>
      <c r="N2298" s="17">
        <f>K2298*0.08+L2298*0.08</f>
        <v/>
      </c>
      <c r="O2298" s="17">
        <f>-(K2298*0.025+L2298*0.025)</f>
        <v/>
      </c>
      <c r="P2298" s="17">
        <f>32</f>
        <v/>
      </c>
      <c r="Q2298" s="17">
        <f>J2298+L2298+N2298+O2298-P2298-M2298</f>
        <v/>
      </c>
    </row>
    <row r="2299">
      <c r="A2299" s="16" t="inlineStr">
        <is>
          <t>5.22-5.28</t>
        </is>
      </c>
      <c r="B2299" s="16" t="inlineStr">
        <is>
          <t>PO-128-05003870989432335</t>
        </is>
      </c>
      <c r="C2299" s="16" t="inlineStr">
        <is>
          <t>Shipped</t>
        </is>
      </c>
      <c r="D2299" s="16" t="inlineStr">
        <is>
          <t>128-05003912932472335</t>
        </is>
      </c>
      <c r="E2299" s="16" t="inlineStr">
        <is>
          <t>Shipped</t>
        </is>
      </c>
      <c r="F2299" s="16" t="inlineStr">
        <is>
          <t>MCM-001A</t>
        </is>
      </c>
      <c r="G2299" s="16" t="inlineStr">
        <is>
          <t>Musicord Altavoz Inalámbrico BT Portátil: ¡Sonido impactante, luces LED multicolores y 4 horas de autonomía! Compatible con TWS, FM, TF y USB – Imprescindible para fiestas y viajes</t>
        </is>
      </c>
      <c r="H2299" s="16" t="inlineStr">
        <is>
          <t>AZUL</t>
        </is>
      </c>
      <c r="I2299" s="16" t="n">
        <v>1</v>
      </c>
      <c r="J2299" s="17" t="n">
        <v>51.07</v>
      </c>
      <c r="K2299" s="17" t="n">
        <v>7.75</v>
      </c>
      <c r="L2299" s="17" t="n">
        <v>25.86</v>
      </c>
      <c r="M2299" s="17" t="n">
        <v>0</v>
      </c>
      <c r="N2299" s="17">
        <f>K2299*0.08+L2299*0.08</f>
        <v/>
      </c>
      <c r="O2299" s="17">
        <f>-(K2299*0.025+L2299*0.025)</f>
        <v/>
      </c>
      <c r="P2299" s="17">
        <f>32</f>
        <v/>
      </c>
      <c r="Q2299" s="17">
        <f>J2299+L2299+N2299+O2299-P2299-M2299</f>
        <v/>
      </c>
    </row>
    <row r="2300">
      <c r="A2300" s="16" t="inlineStr">
        <is>
          <t>5.22-5.28</t>
        </is>
      </c>
      <c r="B2300" s="16" t="inlineStr">
        <is>
          <t>PO-128-05239526705271120</t>
        </is>
      </c>
      <c r="C2300" s="16" t="inlineStr">
        <is>
          <t>Shipped</t>
        </is>
      </c>
      <c r="D2300" s="16" t="inlineStr">
        <is>
          <t>128-05239585687671120</t>
        </is>
      </c>
      <c r="E2300" s="16" t="inlineStr">
        <is>
          <t>Shipped</t>
        </is>
      </c>
      <c r="F2300" s="16" t="inlineStr">
        <is>
          <t>KTS-1678R</t>
        </is>
      </c>
      <c r="G2300" s="16" t="inlineStr">
        <is>
          <t>Bocina portátil Inalámbrico, de 3 pulgadas, tamaño de bolsillo, 170 g, con asa, compatible con TF, USB y Micro SD, con radio FM y función TWS (True Wireless Stereo), adecuada para relajarse en casa o viajar al aire libre.</t>
        </is>
      </c>
      <c r="H2300" s="16" t="inlineStr">
        <is>
          <t>KTS-1678R</t>
        </is>
      </c>
      <c r="I2300" s="16" t="n">
        <v>1</v>
      </c>
      <c r="J2300" s="17" t="n">
        <v>42.5</v>
      </c>
      <c r="K2300" s="17" t="n">
        <v>50.78</v>
      </c>
      <c r="L2300" s="17" t="n">
        <v>25.86</v>
      </c>
      <c r="M2300" s="17" t="n">
        <v>0</v>
      </c>
      <c r="N2300" s="17">
        <f>K2300*0.08+L2300*0.08</f>
        <v/>
      </c>
      <c r="O2300" s="17">
        <f>-(K2300*0.025+L2300*0.025)</f>
        <v/>
      </c>
      <c r="P2300" s="17">
        <f>32</f>
        <v/>
      </c>
      <c r="Q2300" s="17">
        <f>J2300+L2300+N2300+O2300-P2300-M2300</f>
        <v/>
      </c>
    </row>
    <row r="2301">
      <c r="A2301" s="16" t="inlineStr">
        <is>
          <t>5.22-5.28</t>
        </is>
      </c>
      <c r="B2301" s="16" t="inlineStr">
        <is>
          <t>PO-128-04889003569273146</t>
        </is>
      </c>
      <c r="C2301" s="16" t="inlineStr">
        <is>
          <t>Shipped</t>
        </is>
      </c>
      <c r="D2301" s="16" t="inlineStr">
        <is>
          <t>128-04889024540793146</t>
        </is>
      </c>
      <c r="E2301" s="16" t="inlineStr">
        <is>
          <t>Shipped</t>
        </is>
      </c>
      <c r="F2301" s="16" t="inlineStr">
        <is>
          <t>MB-185A</t>
        </is>
      </c>
      <c r="G2301" s="16" t="inlineStr">
        <is>
          <t>Bocina Radio FM/Reproductor, Compatible con Tarjeta TF, USB, Bluetooth, Aplicable para celular, computadora, Ipad y consola.</t>
        </is>
      </c>
      <c r="H2301" s="16" t="inlineStr">
        <is>
          <t>AZUL/MB-185</t>
        </is>
      </c>
      <c r="I2301" s="16" t="n">
        <v>1</v>
      </c>
      <c r="J2301" s="17" t="n">
        <v>73</v>
      </c>
      <c r="K2301" s="17" t="n">
        <v>68.76000000000001</v>
      </c>
      <c r="L2301" s="17" t="n">
        <v>25.86</v>
      </c>
      <c r="M2301" s="17" t="n">
        <v>0</v>
      </c>
      <c r="N2301" s="17">
        <f>K2301*0.08+L2301*0.08</f>
        <v/>
      </c>
      <c r="O2301" s="17">
        <f>-(K2301*0.025+L2301*0.025)</f>
        <v/>
      </c>
      <c r="P2301" s="17">
        <f>32</f>
        <v/>
      </c>
      <c r="Q2301" s="17">
        <f>J2301+L2301+N2301+O2301-P2301-M2301</f>
        <v/>
      </c>
    </row>
    <row r="2302">
      <c r="A2302" s="16" t="inlineStr">
        <is>
          <t>5.22-5.28</t>
        </is>
      </c>
      <c r="B2302" s="16" t="inlineStr">
        <is>
          <t>PO-128-05058159419512138</t>
        </is>
      </c>
      <c r="C2302" s="16" t="inlineStr">
        <is>
          <t>Shipped</t>
        </is>
      </c>
      <c r="D2302" s="16" t="inlineStr">
        <is>
          <t>128-05058117476472138</t>
        </is>
      </c>
      <c r="E2302" s="16" t="inlineStr">
        <is>
          <t>Shipped</t>
        </is>
      </c>
      <c r="F2302" s="16" t="inlineStr">
        <is>
          <t>MCM-001G</t>
        </is>
      </c>
      <c r="G2302" s="16" t="inlineStr">
        <is>
          <t>Musicord Altavoz Inalámbrico BT Portátil: ¡Sonido impactante, luces LED multicolores y 4 horas de autonomía! Compatible con TWS, FM, TF y USB – Imprescindible para fiestas y viajes</t>
        </is>
      </c>
      <c r="H2302" s="16" t="inlineStr">
        <is>
          <t>GRIS</t>
        </is>
      </c>
      <c r="I2302" s="16" t="n">
        <v>1</v>
      </c>
      <c r="J2302" s="17" t="n">
        <v>51.07</v>
      </c>
      <c r="K2302" s="17" t="n">
        <v>15.97</v>
      </c>
      <c r="L2302" s="17" t="n">
        <v>12.85</v>
      </c>
      <c r="M2302" s="17" t="n">
        <v>0</v>
      </c>
      <c r="N2302" s="17">
        <f>K2302*0.08+L2302*0.08</f>
        <v/>
      </c>
      <c r="O2302" s="17">
        <f>-(K2302*0.025+L2302*0.025)</f>
        <v/>
      </c>
      <c r="P2302" s="17">
        <f>32</f>
        <v/>
      </c>
      <c r="Q2302" s="17">
        <f>J2302+L2302+N2302+O2302-P2302-M2302</f>
        <v/>
      </c>
    </row>
    <row r="2303">
      <c r="A2303" s="16" t="inlineStr">
        <is>
          <t>5.22-5.28</t>
        </is>
      </c>
      <c r="B2303" s="16" t="inlineStr">
        <is>
          <t>PO-128-05058159419512138</t>
        </is>
      </c>
      <c r="C2303" s="16" t="inlineStr">
        <is>
          <t>Shipped</t>
        </is>
      </c>
      <c r="D2303" s="16" t="inlineStr">
        <is>
          <t>128-05058075533432138</t>
        </is>
      </c>
      <c r="E2303" s="16" t="inlineStr">
        <is>
          <t>Shipped</t>
        </is>
      </c>
      <c r="F2303" s="16" t="inlineStr">
        <is>
          <t>MCM-001A</t>
        </is>
      </c>
      <c r="G2303" s="16" t="inlineStr">
        <is>
          <t>Musicord Altavoz Inalámbrico BT Portátil: ¡Sonido impactante, luces LED multicolores y 4 horas de autonomía! Compatible con TWS, FM, TF y USB – Imprescindible para fiestas y viajes</t>
        </is>
      </c>
      <c r="H2303" s="16" t="inlineStr">
        <is>
          <t>AZUL</t>
        </is>
      </c>
      <c r="I2303" s="16" t="n">
        <v>1</v>
      </c>
      <c r="J2303" s="17" t="n">
        <v>51.07</v>
      </c>
      <c r="K2303" s="17" t="n">
        <v>16.15</v>
      </c>
      <c r="L2303" s="17" t="n">
        <v>13.01</v>
      </c>
      <c r="M2303" s="17" t="n">
        <v>0</v>
      </c>
      <c r="N2303" s="17">
        <f>K2303*0.08+L2303*0.08</f>
        <v/>
      </c>
      <c r="O2303" s="17">
        <f>-(K2303*0.025+L2303*0.025)</f>
        <v/>
      </c>
      <c r="P2303" s="17">
        <f>32</f>
        <v/>
      </c>
      <c r="Q2303" s="17">
        <f>J2303+L2303+N2303+O2303-P2303-M2303</f>
        <v/>
      </c>
    </row>
    <row r="2304">
      <c r="A2304" s="16" t="inlineStr">
        <is>
          <t>5.22-5.28</t>
        </is>
      </c>
      <c r="B2304" s="16" t="inlineStr">
        <is>
          <t>PO-128-05089486016633041</t>
        </is>
      </c>
      <c r="C2304" s="16" t="inlineStr">
        <is>
          <t>Shipped</t>
        </is>
      </c>
      <c r="D2304" s="16" t="inlineStr">
        <is>
          <t>128-05089465045113041</t>
        </is>
      </c>
      <c r="E2304" s="16" t="inlineStr">
        <is>
          <t>Shipped</t>
        </is>
      </c>
      <c r="F2304" s="16" t="inlineStr">
        <is>
          <t>HD005</t>
        </is>
      </c>
      <c r="G2304" s="16" t="inlineStr">
        <is>
          <t>Link bits HD005 Antena UHF para Exteriores, Antena de TV Digital HD con 10 Metros de Cable, Recepción 470-862MHz, 9-7dB de Ganancia, Antena para Canales Abiertos y HD, Resistente al Agua y Viento, Fácil Instalación</t>
        </is>
      </c>
      <c r="H2304" s="16" t="inlineStr">
        <is>
          <t>1</t>
        </is>
      </c>
      <c r="I2304" s="16" t="n">
        <v>3</v>
      </c>
      <c r="J2304" s="17" t="n">
        <v>225</v>
      </c>
      <c r="K2304" s="17" t="n">
        <v>277.98</v>
      </c>
      <c r="L2304" s="17" t="n">
        <v>0</v>
      </c>
      <c r="M2304" s="17" t="n">
        <v>0</v>
      </c>
      <c r="N2304" s="17">
        <f>K2304*0.08+L2304*0.08</f>
        <v/>
      </c>
      <c r="O2304" s="17">
        <f>-(K2304*0.025+L2304*0.025)</f>
        <v/>
      </c>
      <c r="P2304" s="17">
        <f>32</f>
        <v/>
      </c>
      <c r="Q2304" s="17">
        <f>J2304+L2304+N2304+O2304-P2304-M2304</f>
        <v/>
      </c>
    </row>
    <row r="2305">
      <c r="A2305" s="16" t="inlineStr">
        <is>
          <t>5.22-5.28</t>
        </is>
      </c>
      <c r="B2305" s="16" t="inlineStr">
        <is>
          <t>PO-128-05026977549432197</t>
        </is>
      </c>
      <c r="C2305" s="16" t="inlineStr">
        <is>
          <t>Shipped</t>
        </is>
      </c>
      <c r="D2305" s="16" t="inlineStr">
        <is>
          <t>128-05026988035192197</t>
        </is>
      </c>
      <c r="E2305" s="16" t="inlineStr">
        <is>
          <t>Shipped</t>
        </is>
      </c>
      <c r="F2305" s="16" t="inlineStr">
        <is>
          <t>KTS-1678N</t>
        </is>
      </c>
      <c r="G2305" s="16" t="inlineStr">
        <is>
          <t>Bocina portátil Inalámbrico, de 3 pulgadas, tamaño de bolsillo, 170 g, con asa, compatible con TF, USB y Micro SD, con radio FM y función TWS (True Wireless Stereo), adecuada para relajarse en casa o viajar al aire libre.</t>
        </is>
      </c>
      <c r="H2305" s="16" t="inlineStr">
        <is>
          <t>KTS-1678N</t>
        </is>
      </c>
      <c r="I2305" s="16" t="n">
        <v>1</v>
      </c>
      <c r="J2305" s="17" t="n">
        <v>42.5</v>
      </c>
      <c r="K2305" s="17" t="n">
        <v>50.78</v>
      </c>
      <c r="L2305" s="17" t="n">
        <v>25.86</v>
      </c>
      <c r="M2305" s="17" t="n">
        <v>0</v>
      </c>
      <c r="N2305" s="17">
        <f>K2305*0.08+L2305*0.08</f>
        <v/>
      </c>
      <c r="O2305" s="17">
        <f>-(K2305*0.025+L2305*0.025)</f>
        <v/>
      </c>
      <c r="P2305" s="17">
        <f>32</f>
        <v/>
      </c>
      <c r="Q2305" s="17">
        <f>J2305+L2305+N2305+O2305-P2305-M2305</f>
        <v/>
      </c>
    </row>
    <row r="2306">
      <c r="A2306" s="16" t="inlineStr">
        <is>
          <t>5.22-5.28</t>
        </is>
      </c>
      <c r="B2306" s="16" t="inlineStr">
        <is>
          <t>PO-128-05206717775991188</t>
        </is>
      </c>
      <c r="C2306" s="16" t="inlineStr">
        <is>
          <t>Shipped</t>
        </is>
      </c>
      <c r="D2306" s="16" t="inlineStr">
        <is>
          <t>128-05206707290231188</t>
        </is>
      </c>
      <c r="E2306" s="16" t="inlineStr">
        <is>
          <t>Shipped</t>
        </is>
      </c>
      <c r="F2306" s="16" t="inlineStr">
        <is>
          <t>SA8056T</t>
        </is>
      </c>
      <c r="G230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306" s="16" t="inlineStr">
        <is>
          <t>SA8056T</t>
        </is>
      </c>
      <c r="I2306" s="16" t="n">
        <v>1</v>
      </c>
      <c r="J2306" s="17" t="n">
        <v>123.9</v>
      </c>
      <c r="K2306" s="17" t="n">
        <v>144.28</v>
      </c>
      <c r="L2306" s="17" t="n">
        <v>25.86</v>
      </c>
      <c r="M2306" s="17" t="n">
        <v>0</v>
      </c>
      <c r="N2306" s="17">
        <f>K2306*0.08+L2306*0.08</f>
        <v/>
      </c>
      <c r="O2306" s="17">
        <f>-(K2306*0.025+L2306*0.025)</f>
        <v/>
      </c>
      <c r="P2306" s="17">
        <f>32</f>
        <v/>
      </c>
      <c r="Q2306" s="17">
        <f>J2306+L2306+N2306+O2306-P2306-M2306</f>
        <v/>
      </c>
    </row>
    <row r="2307">
      <c r="A2307" s="16" t="inlineStr">
        <is>
          <t>5.22-5.28</t>
        </is>
      </c>
      <c r="B2307" s="16" t="inlineStr">
        <is>
          <t>PO-128-05362285939830327</t>
        </is>
      </c>
      <c r="C2307" s="16" t="inlineStr">
        <is>
          <t>Shipped</t>
        </is>
      </c>
      <c r="D2307" s="16" t="inlineStr">
        <is>
          <t>128-05362306911350327</t>
        </is>
      </c>
      <c r="E2307" s="16" t="inlineStr">
        <is>
          <t>Shipped</t>
        </is>
      </c>
      <c r="F2307" s="16" t="inlineStr">
        <is>
          <t>VA384T-N</t>
        </is>
      </c>
      <c r="G2307" s="16" t="inlineStr">
        <is>
          <t>Bocina Portátil Bluetooth de 3 Pulgadas con Radio FM, USB TF TWS, Sonido Estéreo 5W, Bocina Recargable para Hogar Exterior Viaje Fiesta Camping</t>
        </is>
      </c>
      <c r="H2307" s="16" t="inlineStr">
        <is>
          <t>NEGRO</t>
        </is>
      </c>
      <c r="I2307" s="16" t="n">
        <v>1</v>
      </c>
      <c r="J2307" s="17" t="n">
        <v>50</v>
      </c>
      <c r="K2307" s="17" t="n">
        <v>60.72</v>
      </c>
      <c r="L2307" s="17" t="n">
        <v>25.86</v>
      </c>
      <c r="M2307" s="17" t="n">
        <v>0</v>
      </c>
      <c r="N2307" s="17">
        <f>K2307*0.08+L2307*0.08</f>
        <v/>
      </c>
      <c r="O2307" s="17">
        <f>-(K2307*0.025+L2307*0.025)</f>
        <v/>
      </c>
      <c r="P2307" s="17">
        <f>32</f>
        <v/>
      </c>
      <c r="Q2307" s="17">
        <f>J2307+L2307+N2307+O2307-P2307-M2307</f>
        <v/>
      </c>
    </row>
    <row r="2308">
      <c r="A2308" s="16" t="inlineStr">
        <is>
          <t>5.22-5.28</t>
        </is>
      </c>
      <c r="B2308" s="16" t="inlineStr">
        <is>
          <t>PO-128-05117746240632742</t>
        </is>
      </c>
      <c r="C2308" s="16" t="inlineStr">
        <is>
          <t>Shipped</t>
        </is>
      </c>
      <c r="D2308" s="16" t="inlineStr">
        <is>
          <t>128-05117738376312742</t>
        </is>
      </c>
      <c r="E2308" s="16" t="inlineStr">
        <is>
          <t>Shipped</t>
        </is>
      </c>
      <c r="F2308" s="16" t="inlineStr">
        <is>
          <t>FA028</t>
        </is>
      </c>
      <c r="G2308" s="16" t="inlineStr">
        <is>
          <t>Extractor de agua para garrafas de agua, compatible con carga USB, extractor de agua automático, práctico, con dos modos de toma de agua: manual y programado, ideal para dormitorios, salones, oficinas, uso al aire libre y otros escenarios.</t>
        </is>
      </c>
      <c r="H2308" s="16" t="inlineStr">
        <is>
          <t>FA028</t>
        </is>
      </c>
      <c r="I2308" s="16" t="n">
        <v>1</v>
      </c>
      <c r="J2308" s="17" t="n">
        <v>35</v>
      </c>
      <c r="K2308" s="17" t="n">
        <v>36.53</v>
      </c>
      <c r="L2308" s="17" t="n">
        <v>25.86</v>
      </c>
      <c r="M2308" s="17" t="n">
        <v>0</v>
      </c>
      <c r="N2308" s="17">
        <f>K2308*0.08+L2308*0.08</f>
        <v/>
      </c>
      <c r="O2308" s="17">
        <f>-(K2308*0.025+L2308*0.025)</f>
        <v/>
      </c>
      <c r="P2308" s="17">
        <f>32</f>
        <v/>
      </c>
      <c r="Q2308" s="17">
        <f>J2308+L2308+N2308+O2308-P2308-M2308</f>
        <v/>
      </c>
    </row>
    <row r="2309">
      <c r="A2309" s="16" t="inlineStr">
        <is>
          <t>5.22-5.28</t>
        </is>
      </c>
      <c r="B2309" s="16" t="inlineStr">
        <is>
          <t>PO-128-04958097731193822</t>
        </is>
      </c>
      <c r="C2309" s="16" t="inlineStr">
        <is>
          <t>Shipped</t>
        </is>
      </c>
      <c r="D2309" s="16" t="inlineStr">
        <is>
          <t>128-04958066273913822</t>
        </is>
      </c>
      <c r="E2309" s="16" t="inlineStr">
        <is>
          <t>Shipped</t>
        </is>
      </c>
      <c r="F2309" s="16" t="inlineStr">
        <is>
          <t>LB02235-blanco</t>
        </is>
      </c>
      <c r="G2309" s="16" t="inlineStr">
        <is>
          <t>Audífonos Inalámbricos para la Cabeza, Recargables y Multifuncionales - Conectan a Varios Dispositivos, soportan Radio FM, Tarjeta TF y AUX - 4 Horas de Reproducción Musical - Ideal para Trabajo Cotidiano, Juegos y Estudio</t>
        </is>
      </c>
      <c r="H2309" s="16" t="inlineStr">
        <is>
          <t>BLANCO</t>
        </is>
      </c>
      <c r="I2309" s="16" t="n">
        <v>1</v>
      </c>
      <c r="J2309" s="17" t="n">
        <v>36.8</v>
      </c>
      <c r="K2309" s="17" t="n">
        <v>49.91</v>
      </c>
      <c r="L2309" s="17" t="n">
        <v>8.66</v>
      </c>
      <c r="M2309" s="17" t="n">
        <v>0</v>
      </c>
      <c r="N2309" s="17">
        <f>K2309*0.08+L2309*0.08</f>
        <v/>
      </c>
      <c r="O2309" s="17">
        <f>-(K2309*0.025+L2309*0.025)</f>
        <v/>
      </c>
      <c r="P2309" s="17">
        <f>32</f>
        <v/>
      </c>
      <c r="Q2309" s="17">
        <f>J2309+L2309+N2309+O2309-P2309-M2309</f>
        <v/>
      </c>
    </row>
    <row r="2310">
      <c r="A2310" s="16" t="inlineStr">
        <is>
          <t>5.22-5.28</t>
        </is>
      </c>
      <c r="B2310" s="16" t="inlineStr">
        <is>
          <t>PO-128-04958097731193822</t>
        </is>
      </c>
      <c r="C2310" s="16" t="inlineStr">
        <is>
          <t>Shipped</t>
        </is>
      </c>
      <c r="D2310" s="16" t="inlineStr">
        <is>
          <t>128-04958108216953822</t>
        </is>
      </c>
      <c r="E2310" s="16" t="inlineStr">
        <is>
          <t>Shipped</t>
        </is>
      </c>
      <c r="F2310" s="16" t="inlineStr">
        <is>
          <t>LB02235-negro</t>
        </is>
      </c>
      <c r="G2310" s="16" t="inlineStr">
        <is>
          <t>Audífonos Inalámbricos para la Cabeza, Recargables y Multifuncionales - Conectan a Varios Dispositivos, soportan Radio FM, Tarjeta TF y AUX - 4 Horas de Reproducción Musical - Ideal para Trabajo Cotidiano, Juegos y Estudio</t>
        </is>
      </c>
      <c r="H2310" s="16" t="inlineStr">
        <is>
          <t>NEGRO</t>
        </is>
      </c>
      <c r="I2310" s="16" t="n">
        <v>1</v>
      </c>
      <c r="J2310" s="17" t="n">
        <v>36.8</v>
      </c>
      <c r="K2310" s="17" t="n">
        <v>49.91</v>
      </c>
      <c r="L2310" s="17" t="n">
        <v>8.67</v>
      </c>
      <c r="M2310" s="17" t="n">
        <v>0</v>
      </c>
      <c r="N2310" s="17">
        <f>K2310*0.08+L2310*0.08</f>
        <v/>
      </c>
      <c r="O2310" s="17">
        <f>-(K2310*0.025+L2310*0.025)</f>
        <v/>
      </c>
      <c r="P2310" s="17">
        <f>32</f>
        <v/>
      </c>
      <c r="Q2310" s="17">
        <f>J2310+L2310+N2310+O2310-P2310-M2310</f>
        <v/>
      </c>
    </row>
    <row r="2311">
      <c r="A2311" s="16" t="inlineStr">
        <is>
          <t>5.22-5.28</t>
        </is>
      </c>
      <c r="B2311" s="16" t="inlineStr">
        <is>
          <t>PO-128-04958097731193822</t>
        </is>
      </c>
      <c r="C2311" s="16" t="inlineStr">
        <is>
          <t>Shipped</t>
        </is>
      </c>
      <c r="D2311" s="16" t="inlineStr">
        <is>
          <t>128-04958150159993822</t>
        </is>
      </c>
      <c r="E2311" s="16" t="inlineStr">
        <is>
          <t>Shipped</t>
        </is>
      </c>
      <c r="F2311" s="16" t="inlineStr">
        <is>
          <t>LB02235-azul</t>
        </is>
      </c>
      <c r="G2311" s="16" t="inlineStr">
        <is>
          <t>Audífonos Inalámbricos para la Cabeza, Recargables y Multifuncionales - Conectan a Varios Dispositivos, soportan Radio FM, Tarjeta TF y AUX - 4 Horas de Reproducción Musical - Ideal para Trabajo Cotidiano, Juegos y Estudio</t>
        </is>
      </c>
      <c r="H2311" s="16" t="inlineStr">
        <is>
          <t>AZUL</t>
        </is>
      </c>
      <c r="I2311" s="16" t="n">
        <v>1</v>
      </c>
      <c r="J2311" s="17" t="n">
        <v>36</v>
      </c>
      <c r="K2311" s="17" t="n">
        <v>49.11</v>
      </c>
      <c r="L2311" s="17" t="n">
        <v>8.529999999999999</v>
      </c>
      <c r="M2311" s="17" t="n">
        <v>0</v>
      </c>
      <c r="N2311" s="17">
        <f>K2311*0.08+L2311*0.08</f>
        <v/>
      </c>
      <c r="O2311" s="17">
        <f>-(K2311*0.025+L2311*0.025)</f>
        <v/>
      </c>
      <c r="P2311" s="17">
        <f>32</f>
        <v/>
      </c>
      <c r="Q2311" s="17">
        <f>J2311+L2311+N2311+O2311-P2311-M2311</f>
        <v/>
      </c>
    </row>
    <row r="2312">
      <c r="A2312" s="16" t="inlineStr">
        <is>
          <t>5.22-5.28</t>
        </is>
      </c>
      <c r="B2312" s="16" t="inlineStr">
        <is>
          <t>PO-128-05001920343672539</t>
        </is>
      </c>
      <c r="C2312" s="16" t="inlineStr">
        <is>
          <t>Shipped</t>
        </is>
      </c>
      <c r="D2312" s="16" t="inlineStr">
        <is>
          <t>128-05001954422392539</t>
        </is>
      </c>
      <c r="E2312" s="16" t="inlineStr">
        <is>
          <t>Shipped</t>
        </is>
      </c>
      <c r="F2312" s="16" t="inlineStr">
        <is>
          <t>LB02235-blanco</t>
        </is>
      </c>
      <c r="G2312" s="16" t="inlineStr">
        <is>
          <t>Audífonos Inalámbricos para la Cabeza, Recargables y Multifuncionales - Conectan a Varios Dispositivos, soportan Radio FM, Tarjeta TF y AUX - 4 Horas de Reproducción Musical - Ideal para Trabajo Cotidiano, Juegos y Estudio</t>
        </is>
      </c>
      <c r="H2312" s="16" t="inlineStr">
        <is>
          <t>BLANCO</t>
        </is>
      </c>
      <c r="I2312" s="16" t="n">
        <v>1</v>
      </c>
      <c r="J2312" s="17" t="n">
        <v>36.8</v>
      </c>
      <c r="K2312" s="17" t="n">
        <v>49.91</v>
      </c>
      <c r="L2312" s="17" t="n">
        <v>25.86</v>
      </c>
      <c r="M2312" s="17" t="n">
        <v>0</v>
      </c>
      <c r="N2312" s="17">
        <f>K2312*0.08+L2312*0.08</f>
        <v/>
      </c>
      <c r="O2312" s="17">
        <f>-(K2312*0.025+L2312*0.025)</f>
        <v/>
      </c>
      <c r="P2312" s="17">
        <f>32</f>
        <v/>
      </c>
      <c r="Q2312" s="17">
        <f>J2312+L2312+N2312+O2312-P2312-M2312</f>
        <v/>
      </c>
    </row>
    <row r="2313">
      <c r="A2313" s="16" t="inlineStr">
        <is>
          <t>5.22-5.28</t>
        </is>
      </c>
      <c r="B2313" s="16" t="inlineStr">
        <is>
          <t>PO-128-05014929400952397</t>
        </is>
      </c>
      <c r="C2313" s="16" t="inlineStr">
        <is>
          <t>Shipped</t>
        </is>
      </c>
      <c r="D2313" s="16" t="inlineStr">
        <is>
          <t>128-05014913672312397</t>
        </is>
      </c>
      <c r="E2313" s="16" t="inlineStr">
        <is>
          <t>Shipped</t>
        </is>
      </c>
      <c r="F2313" s="16" t="inlineStr">
        <is>
          <t>HD005</t>
        </is>
      </c>
      <c r="G2313" s="16" t="inlineStr">
        <is>
          <t>Link bits HD005 Antena UHF para Exteriores, Antena de TV Digital HD con 10 Metros de Cable, Recepción 470-862MHz, 9-7dB de Ganancia, Antena para Canales Abiertos y HD, Resistente al Agua y Viento, Fácil Instalación</t>
        </is>
      </c>
      <c r="H2313" s="16" t="inlineStr">
        <is>
          <t>1</t>
        </is>
      </c>
      <c r="I2313" s="16" t="n">
        <v>1</v>
      </c>
      <c r="J2313" s="17" t="n">
        <v>75</v>
      </c>
      <c r="K2313" s="17" t="n">
        <v>83.40000000000001</v>
      </c>
      <c r="L2313" s="17" t="n">
        <v>25.86</v>
      </c>
      <c r="M2313" s="17" t="n">
        <v>0</v>
      </c>
      <c r="N2313" s="17">
        <f>K2313*0.08+L2313*0.08</f>
        <v/>
      </c>
      <c r="O2313" s="17">
        <f>-(K2313*0.025+L2313*0.025)</f>
        <v/>
      </c>
      <c r="P2313" s="17">
        <f>32</f>
        <v/>
      </c>
      <c r="Q2313" s="17">
        <f>J2313+L2313+N2313+O2313-P2313-M2313</f>
        <v/>
      </c>
    </row>
    <row r="2314">
      <c r="A2314" s="16" t="inlineStr">
        <is>
          <t>5.22-5.28</t>
        </is>
      </c>
      <c r="B2314" s="16" t="inlineStr">
        <is>
          <t>PO-128-05297266988151736</t>
        </is>
      </c>
      <c r="C2314" s="16" t="inlineStr">
        <is>
          <t>Shipped</t>
        </is>
      </c>
      <c r="D2314" s="16" t="inlineStr">
        <is>
          <t>128-05297371845751736</t>
        </is>
      </c>
      <c r="E2314" s="16" t="inlineStr">
        <is>
          <t>Shipped</t>
        </is>
      </c>
      <c r="F2314" s="16" t="inlineStr">
        <is>
          <t>LB02235-negro</t>
        </is>
      </c>
      <c r="G2314" s="16" t="inlineStr">
        <is>
          <t>Audífonos Inalámbricos para la Cabeza, Recargables y Multifuncionales - Conectan a Varios Dispositivos, soportan Radio FM, Tarjeta TF y AUX - 4 Horas de Reproducción Musical - Ideal para Trabajo Cotidiano, Juegos y Estudio</t>
        </is>
      </c>
      <c r="H2314" s="16" t="inlineStr">
        <is>
          <t>NEGRO</t>
        </is>
      </c>
      <c r="I2314" s="16" t="n">
        <v>1</v>
      </c>
      <c r="J2314" s="17" t="n">
        <v>36.8</v>
      </c>
      <c r="K2314" s="17" t="n">
        <v>49.91</v>
      </c>
      <c r="L2314" s="17" t="n">
        <v>25.86</v>
      </c>
      <c r="M2314" s="17" t="n">
        <v>0</v>
      </c>
      <c r="N2314" s="17">
        <f>K2314*0.08+L2314*0.08</f>
        <v/>
      </c>
      <c r="O2314" s="17">
        <f>-(K2314*0.025+L2314*0.025)</f>
        <v/>
      </c>
      <c r="P2314" s="17">
        <f>32</f>
        <v/>
      </c>
      <c r="Q2314" s="17">
        <f>J2314+L2314+N2314+O2314-P2314-M2314</f>
        <v/>
      </c>
    </row>
    <row r="2315">
      <c r="A2315" s="16" t="inlineStr">
        <is>
          <t>5.22-5.28</t>
        </is>
      </c>
      <c r="B2315" s="16" t="inlineStr">
        <is>
          <t>PO-128-05111574705272717</t>
        </is>
      </c>
      <c r="C2315" s="16" t="inlineStr">
        <is>
          <t>Shipped</t>
        </is>
      </c>
      <c r="D2315" s="16" t="inlineStr">
        <is>
          <t>128-05111532762232717</t>
        </is>
      </c>
      <c r="E2315" s="16" t="inlineStr">
        <is>
          <t>Shipped</t>
        </is>
      </c>
      <c r="F2315" s="16" t="inlineStr">
        <is>
          <t>LB02235-blanco</t>
        </is>
      </c>
      <c r="G2315" s="16" t="inlineStr">
        <is>
          <t>Audífonos Inalámbricos para la Cabeza, Recargables y Multifuncionales - Conectan a Varios Dispositivos, soportan Radio FM, Tarjeta TF y AUX - 4 Horas de Reproducción Musical - Ideal para Trabajo Cotidiano, Juegos y Estudio</t>
        </is>
      </c>
      <c r="H2315" s="16" t="inlineStr">
        <is>
          <t>BLANCO</t>
        </is>
      </c>
      <c r="I2315" s="16" t="n">
        <v>1</v>
      </c>
      <c r="J2315" s="17" t="n">
        <v>36.8</v>
      </c>
      <c r="K2315" s="17" t="n">
        <v>43.63</v>
      </c>
      <c r="L2315" s="17" t="n">
        <v>25.86</v>
      </c>
      <c r="M2315" s="17" t="n">
        <v>0</v>
      </c>
      <c r="N2315" s="17">
        <f>K2315*0.08+L2315*0.08</f>
        <v/>
      </c>
      <c r="O2315" s="17">
        <f>-(K2315*0.025+L2315*0.025)</f>
        <v/>
      </c>
      <c r="P2315" s="17">
        <f>32</f>
        <v/>
      </c>
      <c r="Q2315" s="17">
        <f>J2315+L2315+N2315+O2315-P2315-M2315</f>
        <v/>
      </c>
    </row>
    <row r="2316">
      <c r="A2316" s="16" t="inlineStr">
        <is>
          <t>5.22-5.28</t>
        </is>
      </c>
      <c r="B2316" s="16" t="inlineStr">
        <is>
          <t>PO-128-05052482286712109</t>
        </is>
      </c>
      <c r="C2316" s="16" t="inlineStr">
        <is>
          <t>Shipped</t>
        </is>
      </c>
      <c r="D2316" s="16" t="inlineStr">
        <is>
          <t>128-05052503258232109</t>
        </is>
      </c>
      <c r="E2316" s="16" t="inlineStr">
        <is>
          <t>Shipped</t>
        </is>
      </c>
      <c r="F2316" s="16" t="inlineStr">
        <is>
          <t>LV34W04</t>
        </is>
      </c>
      <c r="G231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316" s="16" t="inlineStr">
        <is>
          <t>LV34W04</t>
        </is>
      </c>
      <c r="I2316" s="16" t="n">
        <v>1</v>
      </c>
      <c r="J2316" s="17" t="n">
        <v>279</v>
      </c>
      <c r="K2316" s="17" t="n">
        <v>315.63</v>
      </c>
      <c r="L2316" s="17" t="n">
        <v>0</v>
      </c>
      <c r="M2316" s="17" t="n">
        <v>0</v>
      </c>
      <c r="N2316" s="17">
        <f>K2316*0.08+L2316*0.08</f>
        <v/>
      </c>
      <c r="O2316" s="17">
        <f>-(K2316*0.025+L2316*0.025)</f>
        <v/>
      </c>
      <c r="P2316" s="17">
        <f>32</f>
        <v/>
      </c>
      <c r="Q2316" s="17">
        <f>J2316+L2316+N2316+O2316-P2316-M2316</f>
        <v/>
      </c>
    </row>
    <row r="2317">
      <c r="A2317" s="16" t="inlineStr">
        <is>
          <t>5.22-5.28</t>
        </is>
      </c>
      <c r="B2317" s="16" t="inlineStr">
        <is>
          <t>PO-128-05240260017271948</t>
        </is>
      </c>
      <c r="C2317" s="16" t="inlineStr">
        <is>
          <t>Shipped</t>
        </is>
      </c>
      <c r="D2317" s="16" t="inlineStr">
        <is>
          <t>128-05240239045751948</t>
        </is>
      </c>
      <c r="E2317" s="16" t="inlineStr">
        <is>
          <t>Shipped</t>
        </is>
      </c>
      <c r="F2317" s="16" t="inlineStr">
        <is>
          <t>MCM-001N</t>
        </is>
      </c>
      <c r="G2317" s="16" t="inlineStr">
        <is>
          <t>Musicord Altavoz Inalámbrico BT Portátil: ¡Sonido impactante, luces LED multicolores y 4 horas de autonomía! Compatible con TWS, FM, TF y USB – Imprescindible para fiestas y viajes</t>
        </is>
      </c>
      <c r="H2317" s="16" t="inlineStr">
        <is>
          <t>NEGRO</t>
        </is>
      </c>
      <c r="I2317" s="16" t="n">
        <v>1</v>
      </c>
      <c r="J2317" s="17" t="n">
        <v>61</v>
      </c>
      <c r="K2317" s="17" t="n">
        <v>68.79000000000001</v>
      </c>
      <c r="L2317" s="17" t="n">
        <v>25.86</v>
      </c>
      <c r="M2317" s="17" t="n">
        <v>0</v>
      </c>
      <c r="N2317" s="17">
        <f>K2317*0.08+L2317*0.08</f>
        <v/>
      </c>
      <c r="O2317" s="17">
        <f>-(K2317*0.025+L2317*0.025)</f>
        <v/>
      </c>
      <c r="P2317" s="17">
        <f>32</f>
        <v/>
      </c>
      <c r="Q2317" s="17">
        <f>J2317+L2317+N2317+O2317-P2317-M2317</f>
        <v/>
      </c>
    </row>
    <row r="2318">
      <c r="A2318" s="16" t="inlineStr">
        <is>
          <t>5.22-5.28</t>
        </is>
      </c>
      <c r="B2318" s="16" t="inlineStr">
        <is>
          <t>PO-128-05278154616951914</t>
        </is>
      </c>
      <c r="C2318" s="16" t="inlineStr">
        <is>
          <t>Shipped</t>
        </is>
      </c>
      <c r="D2318" s="16" t="inlineStr">
        <is>
          <t>128-05278196559991914</t>
        </is>
      </c>
      <c r="E2318" s="16" t="inlineStr">
        <is>
          <t>Shipped</t>
        </is>
      </c>
      <c r="F2318" s="16" t="inlineStr">
        <is>
          <t>LB02235-azul</t>
        </is>
      </c>
      <c r="G2318" s="16" t="inlineStr">
        <is>
          <t>Audífonos Inalámbricos para la Cabeza, Recargables y Multifuncionales - Conectan a Varios Dispositivos, soportan Radio FM, Tarjeta TF y AUX - 4 Horas de Reproducción Musical - Ideal para Trabajo Cotidiano, Juegos y Estudio</t>
        </is>
      </c>
      <c r="H2318" s="16" t="inlineStr">
        <is>
          <t>AZUL</t>
        </is>
      </c>
      <c r="I2318" s="16" t="n">
        <v>1</v>
      </c>
      <c r="J2318" s="17" t="n">
        <v>36</v>
      </c>
      <c r="K2318" s="17" t="n">
        <v>49.11</v>
      </c>
      <c r="L2318" s="17" t="n">
        <v>25.86</v>
      </c>
      <c r="M2318" s="17" t="n">
        <v>0</v>
      </c>
      <c r="N2318" s="17">
        <f>K2318*0.08+L2318*0.08</f>
        <v/>
      </c>
      <c r="O2318" s="17">
        <f>-(K2318*0.025+L2318*0.025)</f>
        <v/>
      </c>
      <c r="P2318" s="17">
        <f>32</f>
        <v/>
      </c>
      <c r="Q2318" s="17">
        <f>J2318+L2318+N2318+O2318-P2318-M2318</f>
        <v/>
      </c>
    </row>
    <row r="2319">
      <c r="A2319" s="16" t="inlineStr">
        <is>
          <t>5.22-5.28</t>
        </is>
      </c>
      <c r="B2319" s="16" t="inlineStr">
        <is>
          <t>PO-128-05177054395511303</t>
        </is>
      </c>
      <c r="C2319" s="16" t="inlineStr">
        <is>
          <t>Shipped</t>
        </is>
      </c>
      <c r="D2319" s="16" t="inlineStr">
        <is>
          <t>128-05177067502711303</t>
        </is>
      </c>
      <c r="E2319" s="16" t="inlineStr">
        <is>
          <t>Shipped</t>
        </is>
      </c>
      <c r="F2319" s="16" t="inlineStr">
        <is>
          <t>HD005</t>
        </is>
      </c>
      <c r="G2319" s="16" t="inlineStr">
        <is>
          <t>Link bits HD005 Antena UHF para Exteriores, Antena de TV Digital HD con 10 Metros de Cable, Recepción 470-862MHz, 9-7dB de Ganancia, Antena para Canales Abiertos y HD, Resistente al Agua y Viento, Fácil Instalación</t>
        </is>
      </c>
      <c r="H2319" s="16" t="inlineStr">
        <is>
          <t>1</t>
        </is>
      </c>
      <c r="I2319" s="16" t="n">
        <v>1</v>
      </c>
      <c r="J2319" s="17" t="n">
        <v>75</v>
      </c>
      <c r="K2319" s="17" t="n">
        <v>92.66</v>
      </c>
      <c r="L2319" s="17" t="n">
        <v>25.86</v>
      </c>
      <c r="M2319" s="17" t="n">
        <v>0</v>
      </c>
      <c r="N2319" s="17">
        <f>K2319*0.08+L2319*0.08</f>
        <v/>
      </c>
      <c r="O2319" s="17">
        <f>-(K2319*0.025+L2319*0.025)</f>
        <v/>
      </c>
      <c r="P2319" s="17">
        <f>32</f>
        <v/>
      </c>
      <c r="Q2319" s="17">
        <f>J2319+L2319+N2319+O2319-P2319-M2319</f>
        <v/>
      </c>
    </row>
    <row r="2320">
      <c r="A2320" s="16" t="inlineStr">
        <is>
          <t>5.22-5.28</t>
        </is>
      </c>
      <c r="B2320" s="16" t="inlineStr">
        <is>
          <t>PO-128-05176524188791304</t>
        </is>
      </c>
      <c r="C2320" s="16" t="inlineStr">
        <is>
          <t>Shipped</t>
        </is>
      </c>
      <c r="D2320" s="16" t="inlineStr">
        <is>
          <t>128-05176503217271304</t>
        </is>
      </c>
      <c r="E2320" s="16" t="inlineStr">
        <is>
          <t>Shipped</t>
        </is>
      </c>
      <c r="F2320" s="16" t="inlineStr">
        <is>
          <t>HD005</t>
        </is>
      </c>
      <c r="G2320" s="16" t="inlineStr">
        <is>
          <t>Link bits HD005 Antena UHF para Exteriores, Antena de TV Digital HD con 10 Metros de Cable, Recepción 470-862MHz, 9-7dB de Ganancia, Antena para Canales Abiertos y HD, Resistente al Agua y Viento, Fácil Instalación</t>
        </is>
      </c>
      <c r="H2320" s="16" t="inlineStr">
        <is>
          <t>1</t>
        </is>
      </c>
      <c r="I2320" s="16" t="n">
        <v>3</v>
      </c>
      <c r="J2320" s="17" t="n">
        <v>225</v>
      </c>
      <c r="K2320" s="17" t="n">
        <v>277.98</v>
      </c>
      <c r="L2320" s="17" t="n">
        <v>0</v>
      </c>
      <c r="M2320" s="17" t="n">
        <v>0</v>
      </c>
      <c r="N2320" s="17">
        <f>K2320*0.08+L2320*0.08</f>
        <v/>
      </c>
      <c r="O2320" s="17">
        <f>-(K2320*0.025+L2320*0.025)</f>
        <v/>
      </c>
      <c r="P2320" s="17">
        <f>32</f>
        <v/>
      </c>
      <c r="Q2320" s="17">
        <f>J2320+L2320+N2320+O2320-P2320-M2320</f>
        <v/>
      </c>
    </row>
    <row r="2321">
      <c r="A2321" s="16" t="inlineStr">
        <is>
          <t>5.22-5.28</t>
        </is>
      </c>
      <c r="B2321" s="16" t="inlineStr">
        <is>
          <t>PO-128-05407710241910118</t>
        </is>
      </c>
      <c r="C2321" s="16" t="inlineStr">
        <is>
          <t>Shipped</t>
        </is>
      </c>
      <c r="D2321" s="16" t="inlineStr">
        <is>
          <t>128-05407689270390118</t>
        </is>
      </c>
      <c r="E2321" s="16" t="inlineStr">
        <is>
          <t>Shipped</t>
        </is>
      </c>
      <c r="F2321" s="16" t="inlineStr">
        <is>
          <t>LB02235-azul</t>
        </is>
      </c>
      <c r="G2321" s="16" t="inlineStr">
        <is>
          <t>Audífonos Inalámbricos para la Cabeza, Recargables y Multifuncionales - Conectan a Varios Dispositivos, soportan Radio FM, Tarjeta TF y AUX - 4 Horas de Reproducción Musical - Ideal para Trabajo Cotidiano, Juegos y Estudio</t>
        </is>
      </c>
      <c r="H2321" s="16" t="inlineStr">
        <is>
          <t>AZUL</t>
        </is>
      </c>
      <c r="I2321" s="16" t="n">
        <v>1</v>
      </c>
      <c r="J2321" s="17" t="n">
        <v>36</v>
      </c>
      <c r="K2321" s="17" t="n">
        <v>49.11</v>
      </c>
      <c r="L2321" s="17" t="n">
        <v>25.86</v>
      </c>
      <c r="M2321" s="17" t="n">
        <v>0</v>
      </c>
      <c r="N2321" s="17">
        <f>K2321*0.08+L2321*0.08</f>
        <v/>
      </c>
      <c r="O2321" s="17">
        <f>-(K2321*0.025+L2321*0.025)</f>
        <v/>
      </c>
      <c r="P2321" s="17">
        <f>32</f>
        <v/>
      </c>
      <c r="Q2321" s="17">
        <f>J2321+L2321+N2321+O2321-P2321-M2321</f>
        <v/>
      </c>
    </row>
    <row r="2322">
      <c r="A2322" s="16" t="inlineStr">
        <is>
          <t>5.22-5.28</t>
        </is>
      </c>
      <c r="B2322" s="16" t="inlineStr">
        <is>
          <t>PO-128-05093916685432820</t>
        </is>
      </c>
      <c r="C2322" s="16" t="inlineStr">
        <is>
          <t>Shipped</t>
        </is>
      </c>
      <c r="D2322" s="16" t="inlineStr">
        <is>
          <t>128-05093969114232820</t>
        </is>
      </c>
      <c r="E2322" s="16" t="inlineStr">
        <is>
          <t>Shipped</t>
        </is>
      </c>
      <c r="F2322" s="16" t="inlineStr">
        <is>
          <t>LB02235-negro</t>
        </is>
      </c>
      <c r="G2322" s="16" t="inlineStr">
        <is>
          <t>Audífonos Inalámbricos para la Cabeza, Recargables y Multifuncionales - Conectan a Varios Dispositivos, soportan Radio FM, Tarjeta TF y AUX - 4 Horas de Reproducción Musical - Ideal para Trabajo Cotidiano, Juegos y Estudio</t>
        </is>
      </c>
      <c r="H2322" s="16" t="inlineStr">
        <is>
          <t>NEGRO</t>
        </is>
      </c>
      <c r="I2322" s="16" t="n">
        <v>1</v>
      </c>
      <c r="J2322" s="17" t="n">
        <v>36.8</v>
      </c>
      <c r="K2322" s="17" t="n">
        <v>49.91</v>
      </c>
      <c r="L2322" s="17" t="n">
        <v>25.86</v>
      </c>
      <c r="M2322" s="17" t="n">
        <v>0</v>
      </c>
      <c r="N2322" s="17">
        <f>K2322*0.08+L2322*0.08</f>
        <v/>
      </c>
      <c r="O2322" s="17">
        <f>-(K2322*0.025+L2322*0.025)</f>
        <v/>
      </c>
      <c r="P2322" s="17">
        <f>32</f>
        <v/>
      </c>
      <c r="Q2322" s="17">
        <f>J2322+L2322+N2322+O2322-P2322-M2322</f>
        <v/>
      </c>
    </row>
    <row r="2323">
      <c r="A2323" s="16" t="inlineStr">
        <is>
          <t>5.22-5.28</t>
        </is>
      </c>
      <c r="B2323" s="16" t="inlineStr">
        <is>
          <t>PO-128-04992772001912465</t>
        </is>
      </c>
      <c r="C2323" s="16" t="inlineStr">
        <is>
          <t>Shipped</t>
        </is>
      </c>
      <c r="D2323" s="16" t="inlineStr">
        <is>
          <t>128-04992751030392465</t>
        </is>
      </c>
      <c r="E2323" s="16" t="inlineStr">
        <is>
          <t>Shipped</t>
        </is>
      </c>
      <c r="F2323" s="16" t="inlineStr">
        <is>
          <t>LB02235-negro</t>
        </is>
      </c>
      <c r="G2323" s="16" t="inlineStr">
        <is>
          <t>Audífonos Inalámbricos para la Cabeza, Recargables y Multifuncionales - Conectan a Varios Dispositivos, soportan Radio FM, Tarjeta TF y AUX - 4 Horas de Reproducción Musical - Ideal para Trabajo Cotidiano, Juegos y Estudio</t>
        </is>
      </c>
      <c r="H2323" s="16" t="inlineStr">
        <is>
          <t>NEGRO</t>
        </is>
      </c>
      <c r="I2323" s="16" t="n">
        <v>1</v>
      </c>
      <c r="J2323" s="17" t="n">
        <v>36.8</v>
      </c>
      <c r="K2323" s="17" t="n">
        <v>49.91</v>
      </c>
      <c r="L2323" s="17" t="n">
        <v>25.86</v>
      </c>
      <c r="M2323" s="17" t="n">
        <v>0</v>
      </c>
      <c r="N2323" s="17">
        <f>K2323*0.08+L2323*0.08</f>
        <v/>
      </c>
      <c r="O2323" s="17">
        <f>-(K2323*0.025+L2323*0.025)</f>
        <v/>
      </c>
      <c r="P2323" s="17">
        <f>32</f>
        <v/>
      </c>
      <c r="Q2323" s="17">
        <f>J2323+L2323+N2323+O2323-P2323-M2323</f>
        <v/>
      </c>
    </row>
    <row r="2324">
      <c r="A2324" s="16" t="inlineStr">
        <is>
          <t>5.22-5.28</t>
        </is>
      </c>
      <c r="B2324" s="16" t="inlineStr">
        <is>
          <t>PO-128-05489266619510592</t>
        </is>
      </c>
      <c r="C2324" s="16" t="inlineStr">
        <is>
          <t>Shipped</t>
        </is>
      </c>
      <c r="D2324" s="16" t="inlineStr">
        <is>
          <t>128-05489256133750592</t>
        </is>
      </c>
      <c r="E2324" s="16" t="inlineStr">
        <is>
          <t>Shipped</t>
        </is>
      </c>
      <c r="F2324" s="16" t="inlineStr">
        <is>
          <t>MB-185N</t>
        </is>
      </c>
      <c r="G2324" s="16" t="inlineStr">
        <is>
          <t>Bocina Radio FM/Reproductor, Compatible con Tarjeta TF, USB, Bluetooth, Aplicable para celular, computadora, Ipad y consola.</t>
        </is>
      </c>
      <c r="H2324" s="16" t="inlineStr">
        <is>
          <t>NEGRO/MB-185</t>
        </is>
      </c>
      <c r="I2324" s="16" t="n">
        <v>1</v>
      </c>
      <c r="J2324" s="17" t="n">
        <v>75.5</v>
      </c>
      <c r="K2324" s="17" t="n">
        <v>88.44</v>
      </c>
      <c r="L2324" s="17" t="n">
        <v>25.86</v>
      </c>
      <c r="M2324" s="17" t="n">
        <v>0</v>
      </c>
      <c r="N2324" s="17">
        <f>K2324*0.08+L2324*0.08</f>
        <v/>
      </c>
      <c r="O2324" s="17">
        <f>-(K2324*0.025+L2324*0.025)</f>
        <v/>
      </c>
      <c r="P2324" s="17">
        <f>32</f>
        <v/>
      </c>
      <c r="Q2324" s="17">
        <f>J2324+L2324+N2324+O2324-P2324-M2324</f>
        <v/>
      </c>
    </row>
    <row r="2325">
      <c r="A2325" s="16" t="inlineStr">
        <is>
          <t>5.22-5.28</t>
        </is>
      </c>
      <c r="B2325" s="16" t="inlineStr">
        <is>
          <t>PO-128-05491938691190576</t>
        </is>
      </c>
      <c r="C2325" s="16" t="inlineStr">
        <is>
          <t>Shipped</t>
        </is>
      </c>
      <c r="D2325" s="16" t="inlineStr">
        <is>
          <t>128-05492020611190576</t>
        </is>
      </c>
      <c r="E2325" s="16" t="inlineStr">
        <is>
          <t>Shipped</t>
        </is>
      </c>
      <c r="F2325" s="16" t="inlineStr">
        <is>
          <t>LB02235-negro</t>
        </is>
      </c>
      <c r="G2325" s="16" t="inlineStr">
        <is>
          <t>Audífonos Inalámbricos para la Cabeza, Recargables y Multifuncionales - Conectan a Varios Dispositivos, soportan Radio FM, Tarjeta TF y AUX - 4 Horas de Reproducción Musical - Ideal para Trabajo Cotidiano, Juegos y Estudio</t>
        </is>
      </c>
      <c r="H2325" s="16" t="inlineStr">
        <is>
          <t>NEGRO</t>
        </is>
      </c>
      <c r="I2325" s="16" t="n">
        <v>1</v>
      </c>
      <c r="J2325" s="17" t="n">
        <v>36.8</v>
      </c>
      <c r="K2325" s="17" t="n">
        <v>49.91</v>
      </c>
      <c r="L2325" s="17" t="n">
        <v>13.04</v>
      </c>
      <c r="M2325" s="17" t="n">
        <v>0</v>
      </c>
      <c r="N2325" s="17">
        <f>K2325*0.08+L2325*0.08</f>
        <v/>
      </c>
      <c r="O2325" s="17">
        <f>-(K2325*0.025+L2325*0.025)</f>
        <v/>
      </c>
      <c r="P2325" s="17">
        <f>32</f>
        <v/>
      </c>
      <c r="Q2325" s="17">
        <f>J2325+L2325+N2325+O2325-P2325-M2325</f>
        <v/>
      </c>
    </row>
    <row r="2326">
      <c r="A2326" s="16" t="inlineStr">
        <is>
          <t>5.22-5.28</t>
        </is>
      </c>
      <c r="B2326" s="16" t="inlineStr">
        <is>
          <t>PO-128-05491938691190576</t>
        </is>
      </c>
      <c r="C2326" s="16" t="inlineStr">
        <is>
          <t>Shipped</t>
        </is>
      </c>
      <c r="D2326" s="16" t="inlineStr">
        <is>
          <t>128-05491999639670576</t>
        </is>
      </c>
      <c r="E2326" s="16" t="inlineStr">
        <is>
          <t>Shipped</t>
        </is>
      </c>
      <c r="F2326" s="16" t="inlineStr">
        <is>
          <t>LB02235-azul</t>
        </is>
      </c>
      <c r="G2326" s="16" t="inlineStr">
        <is>
          <t>Audífonos Inalámbricos para la Cabeza, Recargables y Multifuncionales - Conectan a Varios Dispositivos, soportan Radio FM, Tarjeta TF y AUX - 4 Horas de Reproducción Musical - Ideal para Trabajo Cotidiano, Juegos y Estudio</t>
        </is>
      </c>
      <c r="H2326" s="16" t="inlineStr">
        <is>
          <t>AZUL</t>
        </is>
      </c>
      <c r="I2326" s="16" t="n">
        <v>1</v>
      </c>
      <c r="J2326" s="17" t="n">
        <v>36</v>
      </c>
      <c r="K2326" s="17" t="n">
        <v>49.11</v>
      </c>
      <c r="L2326" s="17" t="n">
        <v>12.82</v>
      </c>
      <c r="M2326" s="17" t="n">
        <v>0</v>
      </c>
      <c r="N2326" s="17">
        <f>K2326*0.08+L2326*0.08</f>
        <v/>
      </c>
      <c r="O2326" s="17">
        <f>-(K2326*0.025+L2326*0.025)</f>
        <v/>
      </c>
      <c r="P2326" s="17">
        <f>32</f>
        <v/>
      </c>
      <c r="Q2326" s="17">
        <f>J2326+L2326+N2326+O2326-P2326-M2326</f>
        <v/>
      </c>
    </row>
    <row r="2327">
      <c r="A2327" s="16" t="inlineStr">
        <is>
          <t>5.22-5.28</t>
        </is>
      </c>
      <c r="B2327" s="16" t="inlineStr">
        <is>
          <t>PO-128-05232325973111101</t>
        </is>
      </c>
      <c r="C2327" s="16" t="inlineStr">
        <is>
          <t>Shipped</t>
        </is>
      </c>
      <c r="D2327" s="16" t="inlineStr">
        <is>
          <t>128-05232357430391101</t>
        </is>
      </c>
      <c r="E2327" s="16" t="inlineStr">
        <is>
          <t>Shipped</t>
        </is>
      </c>
      <c r="F2327" s="16" t="inlineStr">
        <is>
          <t>HD005</t>
        </is>
      </c>
      <c r="G2327" s="16" t="inlineStr">
        <is>
          <t>Link bits HD005 Antena UHF para Exteriores, Antena de TV Digital HD con 10 Metros de Cable, Recepción 470-862MHz, 9-7dB de Ganancia, Antena para Canales Abiertos y HD, Resistente al Agua y Viento, Fácil Instalación</t>
        </is>
      </c>
      <c r="H2327" s="16" t="inlineStr">
        <is>
          <t>1</t>
        </is>
      </c>
      <c r="I2327" s="16" t="n">
        <v>1</v>
      </c>
      <c r="J2327" s="17" t="n">
        <v>75</v>
      </c>
      <c r="K2327" s="17" t="n">
        <v>74.13</v>
      </c>
      <c r="L2327" s="17" t="n">
        <v>25.86</v>
      </c>
      <c r="M2327" s="17" t="n">
        <v>0</v>
      </c>
      <c r="N2327" s="17">
        <f>K2327*0.08+L2327*0.08</f>
        <v/>
      </c>
      <c r="O2327" s="17">
        <f>-(K2327*0.025+L2327*0.025)</f>
        <v/>
      </c>
      <c r="P2327" s="17">
        <f>32</f>
        <v/>
      </c>
      <c r="Q2327" s="17">
        <f>J2327+L2327+N2327+O2327-P2327-M2327</f>
        <v/>
      </c>
    </row>
    <row r="2328">
      <c r="A2328" s="16" t="inlineStr">
        <is>
          <t>5.22-5.28</t>
        </is>
      </c>
      <c r="B2328" s="16" t="inlineStr">
        <is>
          <t>PO-128-04966703050873645</t>
        </is>
      </c>
      <c r="C2328" s="16" t="inlineStr">
        <is>
          <t>Shipped</t>
        </is>
      </c>
      <c r="D2328" s="16" t="inlineStr">
        <is>
          <t>128-04966661107833645</t>
        </is>
      </c>
      <c r="E2328" s="16" t="inlineStr">
        <is>
          <t>Shipped</t>
        </is>
      </c>
      <c r="F2328" s="16" t="inlineStr">
        <is>
          <t>LB02235-blanco</t>
        </is>
      </c>
      <c r="G2328" s="16" t="inlineStr">
        <is>
          <t>Audífonos Inalámbricos para la Cabeza, Recargables y Multifuncionales - Conectan a Varios Dispositivos, soportan Radio FM, Tarjeta TF y AUX - 4 Horas de Reproducción Musical - Ideal para Trabajo Cotidiano, Juegos y Estudio</t>
        </is>
      </c>
      <c r="H2328" s="16" t="inlineStr">
        <is>
          <t>BLANCO</t>
        </is>
      </c>
      <c r="I2328" s="16" t="n">
        <v>1</v>
      </c>
      <c r="J2328" s="17" t="n">
        <v>36.8</v>
      </c>
      <c r="K2328" s="17" t="n">
        <v>49.91</v>
      </c>
      <c r="L2328" s="17" t="n">
        <v>12.93</v>
      </c>
      <c r="M2328" s="17" t="n">
        <v>0</v>
      </c>
      <c r="N2328" s="17">
        <f>K2328*0.08+L2328*0.08</f>
        <v/>
      </c>
      <c r="O2328" s="17">
        <f>-(K2328*0.025+L2328*0.025)</f>
        <v/>
      </c>
      <c r="P2328" s="17">
        <f>32</f>
        <v/>
      </c>
      <c r="Q2328" s="17">
        <f>J2328+L2328+N2328+O2328-P2328-M2328</f>
        <v/>
      </c>
    </row>
    <row r="2329">
      <c r="A2329" s="16" t="inlineStr">
        <is>
          <t>5.22-5.28</t>
        </is>
      </c>
      <c r="B2329" s="16" t="inlineStr">
        <is>
          <t>PO-128-04966703050873645</t>
        </is>
      </c>
      <c r="C2329" s="16" t="inlineStr">
        <is>
          <t>Shipped</t>
        </is>
      </c>
      <c r="D2329" s="16" t="inlineStr">
        <is>
          <t>128-04966653161593645</t>
        </is>
      </c>
      <c r="E2329" s="16" t="inlineStr">
        <is>
          <t>Shipped</t>
        </is>
      </c>
      <c r="F2329" s="16" t="inlineStr">
        <is>
          <t>LB02235-blanco</t>
        </is>
      </c>
      <c r="G2329" s="16" t="inlineStr">
        <is>
          <t>Audífonos Inalámbricos para la Cabeza, Recargables y Multifuncionales - Conectan a Varios Dispositivos, soportan Radio FM, Tarjeta TF y AUX - 4 Horas de Reproducción Musical - Ideal para Trabajo Cotidiano, Juegos y Estudio</t>
        </is>
      </c>
      <c r="H2329" s="16" t="inlineStr">
        <is>
          <t>BLANCO</t>
        </is>
      </c>
      <c r="I2329" s="16" t="n">
        <v>1</v>
      </c>
      <c r="J2329" s="17" t="n">
        <v>36.8</v>
      </c>
      <c r="K2329" s="17" t="n">
        <v>49.91</v>
      </c>
      <c r="L2329" s="17" t="n">
        <v>12.93</v>
      </c>
      <c r="M2329" s="17" t="n">
        <v>0</v>
      </c>
      <c r="N2329" s="17">
        <f>K2329*0.08+L2329*0.08</f>
        <v/>
      </c>
      <c r="O2329" s="17">
        <f>-(K2329*0.025+L2329*0.025)</f>
        <v/>
      </c>
      <c r="P2329" s="17">
        <f>32</f>
        <v/>
      </c>
      <c r="Q2329" s="17">
        <f>J2329+L2329+N2329+O2329-P2329-M2329</f>
        <v/>
      </c>
    </row>
    <row r="2330">
      <c r="A2330" s="16" t="inlineStr">
        <is>
          <t>5.22-5.28</t>
        </is>
      </c>
      <c r="B2330" s="16" t="inlineStr">
        <is>
          <t>PO-128-05485281948790552</t>
        </is>
      </c>
      <c r="C2330" s="16" t="inlineStr">
        <is>
          <t>Shipped</t>
        </is>
      </c>
      <c r="D2330" s="16" t="inlineStr">
        <is>
          <t>128-05485240005750552</t>
        </is>
      </c>
      <c r="E2330" s="16" t="inlineStr">
        <is>
          <t>Shipped</t>
        </is>
      </c>
      <c r="F2330" s="16" t="inlineStr">
        <is>
          <t>LB02235-blanco</t>
        </is>
      </c>
      <c r="G2330" s="16" t="inlineStr">
        <is>
          <t>Audífonos Inalámbricos para la Cabeza, Recargables y Multifuncionales - Conectan a Varios Dispositivos, soportan Radio FM, Tarjeta TF y AUX - 4 Horas de Reproducción Musical - Ideal para Trabajo Cotidiano, Juegos y Estudio</t>
        </is>
      </c>
      <c r="H2330" s="16" t="inlineStr">
        <is>
          <t>BLANCO</t>
        </is>
      </c>
      <c r="I2330" s="16" t="n">
        <v>1</v>
      </c>
      <c r="J2330" s="17" t="n">
        <v>36.8</v>
      </c>
      <c r="K2330" s="17" t="n">
        <v>6.81</v>
      </c>
      <c r="L2330" s="17" t="n">
        <v>25.86</v>
      </c>
      <c r="M2330" s="17" t="n">
        <v>0</v>
      </c>
      <c r="N2330" s="17">
        <f>K2330*0.08+L2330*0.08</f>
        <v/>
      </c>
      <c r="O2330" s="17">
        <f>-(K2330*0.025+L2330*0.025)</f>
        <v/>
      </c>
      <c r="P2330" s="17">
        <f>32</f>
        <v/>
      </c>
      <c r="Q2330" s="17">
        <f>J2330+L2330+N2330+O2330-P2330-M2330</f>
        <v/>
      </c>
    </row>
    <row r="2331">
      <c r="A2331" s="16" t="inlineStr">
        <is>
          <t>5.22-5.28</t>
        </is>
      </c>
      <c r="B2331" s="16" t="inlineStr">
        <is>
          <t>PO-128-05185717558391315</t>
        </is>
      </c>
      <c r="C2331" s="16" t="inlineStr">
        <is>
          <t>Shipped</t>
        </is>
      </c>
      <c r="D2331" s="16" t="inlineStr">
        <is>
          <t>128-05185701829751315</t>
        </is>
      </c>
      <c r="E2331" s="16" t="inlineStr">
        <is>
          <t>Shipped</t>
        </is>
      </c>
      <c r="F2331" s="16" t="inlineStr">
        <is>
          <t>LB02235-negro</t>
        </is>
      </c>
      <c r="G2331" s="16" t="inlineStr">
        <is>
          <t>Audífonos Inalámbricos para la Cabeza, Recargables y Multifuncionales - Conectan a Varios Dispositivos, soportan Radio FM, Tarjeta TF y AUX - 4 Horas de Reproducción Musical - Ideal para Trabajo Cotidiano, Juegos y Estudio</t>
        </is>
      </c>
      <c r="H2331" s="16" t="inlineStr">
        <is>
          <t>NEGRO</t>
        </is>
      </c>
      <c r="I2331" s="16" t="n">
        <v>1</v>
      </c>
      <c r="J2331" s="17" t="n">
        <v>36.8</v>
      </c>
      <c r="K2331" s="17" t="n">
        <v>49.91</v>
      </c>
      <c r="L2331" s="17" t="n">
        <v>25.86</v>
      </c>
      <c r="M2331" s="17" t="n">
        <v>0</v>
      </c>
      <c r="N2331" s="17">
        <f>K2331*0.08+L2331*0.08</f>
        <v/>
      </c>
      <c r="O2331" s="17">
        <f>-(K2331*0.025+L2331*0.025)</f>
        <v/>
      </c>
      <c r="P2331" s="17">
        <f>32</f>
        <v/>
      </c>
      <c r="Q2331" s="17">
        <f>J2331+L2331+N2331+O2331-P2331-M2331</f>
        <v/>
      </c>
    </row>
    <row r="2332">
      <c r="A2332" s="16" t="inlineStr">
        <is>
          <t>5.22-5.28</t>
        </is>
      </c>
      <c r="B2332" s="16" t="inlineStr">
        <is>
          <t>PO-128-05088856128633045</t>
        </is>
      </c>
      <c r="C2332" s="16" t="inlineStr">
        <is>
          <t>Shipped</t>
        </is>
      </c>
      <c r="D2332" s="16" t="inlineStr">
        <is>
          <t>128-05088845642873045</t>
        </is>
      </c>
      <c r="E2332" s="16" t="inlineStr">
        <is>
          <t>Shipped</t>
        </is>
      </c>
      <c r="F2332" s="16" t="inlineStr">
        <is>
          <t>SA325T</t>
        </is>
      </c>
      <c r="G2332" s="16" t="inlineStr">
        <is>
          <t>Subwoofer Portátil Inalámbrico con Luces RGB, Sonido de Alta Potencia y Batería Duradera, TWS TF USB, Perfecto para Campamento Fiestas y Entretenimiento en Casa</t>
        </is>
      </c>
      <c r="H2332" s="16" t="inlineStr">
        <is>
          <t>NEGRO</t>
        </is>
      </c>
      <c r="I2332" s="16" t="n">
        <v>1</v>
      </c>
      <c r="J2332" s="17" t="n">
        <v>37.99</v>
      </c>
      <c r="K2332" s="17" t="n">
        <v>47.03</v>
      </c>
      <c r="L2332" s="17" t="n">
        <v>25.86</v>
      </c>
      <c r="M2332" s="17" t="n">
        <v>0</v>
      </c>
      <c r="N2332" s="17">
        <f>K2332*0.08+L2332*0.08</f>
        <v/>
      </c>
      <c r="O2332" s="17">
        <f>-(K2332*0.025+L2332*0.025)</f>
        <v/>
      </c>
      <c r="P2332" s="17">
        <f>32</f>
        <v/>
      </c>
      <c r="Q2332" s="17">
        <f>J2332+L2332+N2332+O2332-P2332-M2332</f>
        <v/>
      </c>
    </row>
    <row r="2333">
      <c r="A2333" s="16" t="inlineStr">
        <is>
          <t>5.22-5.28</t>
        </is>
      </c>
      <c r="B2333" s="16" t="inlineStr">
        <is>
          <t>PO-128-05243309105271930</t>
        </is>
      </c>
      <c r="C2333" s="16" t="inlineStr">
        <is>
          <t>Shipped</t>
        </is>
      </c>
      <c r="D2333" s="16" t="inlineStr">
        <is>
          <t>128-05243261919351930</t>
        </is>
      </c>
      <c r="E2333" s="16" t="inlineStr">
        <is>
          <t>Shipped</t>
        </is>
      </c>
      <c r="F2333" s="16" t="inlineStr">
        <is>
          <t>SA323T</t>
        </is>
      </c>
      <c r="G2333" s="16" t="inlineStr">
        <is>
          <t>Linkbits Bocina Portátil Parlantes BT Portátiles con Iluminación de Ambiente | 1 Hora de Duración, FM, TWS, TF/Micro SD | Ideal para Hogar, Fiestas y Viajes</t>
        </is>
      </c>
      <c r="H2333" s="16" t="inlineStr">
        <is>
          <t>SA323T</t>
        </is>
      </c>
      <c r="I2333" s="16" t="n">
        <v>1</v>
      </c>
      <c r="J2333" s="17" t="n">
        <v>46.7</v>
      </c>
      <c r="K2333" s="17" t="n">
        <v>51.75</v>
      </c>
      <c r="L2333" s="17" t="n">
        <v>25.86</v>
      </c>
      <c r="M2333" s="17" t="n">
        <v>0</v>
      </c>
      <c r="N2333" s="17">
        <f>K2333*0.08+L2333*0.08</f>
        <v/>
      </c>
      <c r="O2333" s="17">
        <f>-(K2333*0.025+L2333*0.025)</f>
        <v/>
      </c>
      <c r="P2333" s="17">
        <f>32</f>
        <v/>
      </c>
      <c r="Q2333" s="17">
        <f>J2333+L2333+N2333+O2333-P2333-M2333</f>
        <v/>
      </c>
    </row>
    <row r="2334">
      <c r="A2334" s="16" t="inlineStr">
        <is>
          <t>5.22-5.28</t>
        </is>
      </c>
      <c r="B2334" s="16" t="inlineStr">
        <is>
          <t>PO-128-05205584786551197</t>
        </is>
      </c>
      <c r="C2334" s="16" t="inlineStr">
        <is>
          <t>Shipped</t>
        </is>
      </c>
      <c r="D2334" s="16" t="inlineStr">
        <is>
          <t>128-05205605758071197</t>
        </is>
      </c>
      <c r="E2334" s="16" t="inlineStr">
        <is>
          <t>Shipped</t>
        </is>
      </c>
      <c r="F2334" s="16" t="inlineStr">
        <is>
          <t>HD005</t>
        </is>
      </c>
      <c r="G2334" s="16" t="inlineStr">
        <is>
          <t>Link bits HD005 Antena UHF para Exteriores, Antena de TV Digital HD con 10 Metros de Cable, Recepción 470-862MHz, 9-7dB de Ganancia, Antena para Canales Abiertos y HD, Resistente al Agua y Viento, Fácil Instalación</t>
        </is>
      </c>
      <c r="H2334" s="16" t="inlineStr">
        <is>
          <t>1</t>
        </is>
      </c>
      <c r="I2334" s="16" t="n">
        <v>1</v>
      </c>
      <c r="J2334" s="17" t="n">
        <v>75</v>
      </c>
      <c r="K2334" s="17" t="n">
        <v>76.87</v>
      </c>
      <c r="L2334" s="17" t="n">
        <v>25.86</v>
      </c>
      <c r="M2334" s="17" t="n">
        <v>0</v>
      </c>
      <c r="N2334" s="17">
        <f>K2334*0.08+L2334*0.08</f>
        <v/>
      </c>
      <c r="O2334" s="17">
        <f>-(K2334*0.025+L2334*0.025)</f>
        <v/>
      </c>
      <c r="P2334" s="17">
        <f>32</f>
        <v/>
      </c>
      <c r="Q2334" s="17">
        <f>J2334+L2334+N2334+O2334-P2334-M2334</f>
        <v/>
      </c>
    </row>
    <row r="2335">
      <c r="A2335" s="16" t="inlineStr">
        <is>
          <t>5.22-5.28</t>
        </is>
      </c>
      <c r="B2335" s="16" t="inlineStr">
        <is>
          <t>PO-128-05358459180150348</t>
        </is>
      </c>
      <c r="C2335" s="16" t="inlineStr">
        <is>
          <t>Shipped</t>
        </is>
      </c>
      <c r="D2335" s="16" t="inlineStr">
        <is>
          <t>128-05358417237110348</t>
        </is>
      </c>
      <c r="E2335" s="16" t="inlineStr">
        <is>
          <t>Shipped</t>
        </is>
      </c>
      <c r="F2335" s="16" t="inlineStr">
        <is>
          <t>LB02235-blanco</t>
        </is>
      </c>
      <c r="G2335" s="16" t="inlineStr">
        <is>
          <t>Audífonos Inalámbricos para la Cabeza, Recargables y Multifuncionales - Conectan a Varios Dispositivos, soportan Radio FM, Tarjeta TF y AUX - 4 Horas de Reproducción Musical - Ideal para Trabajo Cotidiano, Juegos y Estudio</t>
        </is>
      </c>
      <c r="H2335" s="16" t="inlineStr">
        <is>
          <t>BLANCO</t>
        </is>
      </c>
      <c r="I2335" s="16" t="n">
        <v>1</v>
      </c>
      <c r="J2335" s="17" t="n">
        <v>36.8</v>
      </c>
      <c r="K2335" s="17" t="n">
        <v>49.91</v>
      </c>
      <c r="L2335" s="17" t="n">
        <v>25.86</v>
      </c>
      <c r="M2335" s="17" t="n">
        <v>0</v>
      </c>
      <c r="N2335" s="17">
        <f>K2335*0.08+L2335*0.08</f>
        <v/>
      </c>
      <c r="O2335" s="17">
        <f>-(K2335*0.025+L2335*0.025)</f>
        <v/>
      </c>
      <c r="P2335" s="17">
        <f>32</f>
        <v/>
      </c>
      <c r="Q2335" s="17">
        <f>J2335+L2335+N2335+O2335-P2335-M2335</f>
        <v/>
      </c>
    </row>
    <row r="2336">
      <c r="A2336" s="16" t="inlineStr">
        <is>
          <t>5.22-5.28</t>
        </is>
      </c>
      <c r="B2336" s="16" t="inlineStr">
        <is>
          <t>PO-128-05057279045752081</t>
        </is>
      </c>
      <c r="C2336" s="16" t="inlineStr">
        <is>
          <t>Shipped</t>
        </is>
      </c>
      <c r="D2336" s="16" t="inlineStr">
        <is>
          <t>128-05057300017272081</t>
        </is>
      </c>
      <c r="E2336" s="16" t="inlineStr">
        <is>
          <t>Shipped</t>
        </is>
      </c>
      <c r="F2336" s="16" t="inlineStr">
        <is>
          <t>LB02235-blanco</t>
        </is>
      </c>
      <c r="G2336" s="16" t="inlineStr">
        <is>
          <t>Audífonos Inalámbricos para la Cabeza, Recargables y Multifuncionales - Conectan a Varios Dispositivos, soportan Radio FM, Tarjeta TF y AUX - 4 Horas de Reproducción Musical - Ideal para Trabajo Cotidiano, Juegos y Estudio</t>
        </is>
      </c>
      <c r="H2336" s="16" t="inlineStr">
        <is>
          <t>BLANCO</t>
        </is>
      </c>
      <c r="I2336" s="16" t="n">
        <v>1</v>
      </c>
      <c r="J2336" s="17" t="n">
        <v>36.8</v>
      </c>
      <c r="K2336" s="17" t="n">
        <v>49.91</v>
      </c>
      <c r="L2336" s="17" t="n">
        <v>25.86</v>
      </c>
      <c r="M2336" s="17" t="n">
        <v>0</v>
      </c>
      <c r="N2336" s="17">
        <f>K2336*0.08+L2336*0.08</f>
        <v/>
      </c>
      <c r="O2336" s="17">
        <f>-(K2336*0.025+L2336*0.025)</f>
        <v/>
      </c>
      <c r="P2336" s="17">
        <f>32</f>
        <v/>
      </c>
      <c r="Q2336" s="17">
        <f>J2336+L2336+N2336+O2336-P2336-M2336</f>
        <v/>
      </c>
    </row>
    <row r="2337">
      <c r="A2337" s="16" t="inlineStr">
        <is>
          <t>5.22-5.28</t>
        </is>
      </c>
      <c r="B2337" s="16" t="inlineStr">
        <is>
          <t>PO-128-05101754048632902</t>
        </is>
      </c>
      <c r="C2337" s="16" t="inlineStr">
        <is>
          <t>Shipped</t>
        </is>
      </c>
      <c r="D2337" s="16" t="inlineStr">
        <is>
          <t>128-05101760602232902</t>
        </is>
      </c>
      <c r="E2337" s="16" t="inlineStr">
        <is>
          <t>Shipped</t>
        </is>
      </c>
      <c r="F2337" s="16" t="inlineStr">
        <is>
          <t>MB-178-B</t>
        </is>
      </c>
      <c r="G2337" s="16" t="inlineStr">
        <is>
          <t>Bocina de Barra Bluetooth LINK BITS con dos altavoces, sonido de alta calidad y multifuncional (Bluetooth, Radio FM, USB, TF, AUX, TWS), ideal para juegos, reuniones, oficina y cine en casa.</t>
        </is>
      </c>
      <c r="H2337" s="16" t="inlineStr">
        <is>
          <t>BLANCO</t>
        </is>
      </c>
      <c r="I2337" s="16" t="n">
        <v>2</v>
      </c>
      <c r="J2337" s="17" t="n">
        <v>250</v>
      </c>
      <c r="K2337" s="17" t="n">
        <v>302.54</v>
      </c>
      <c r="L2337" s="17" t="n">
        <v>0</v>
      </c>
      <c r="M2337" s="17" t="n">
        <v>0</v>
      </c>
      <c r="N2337" s="17">
        <f>K2337*0.08+L2337*0.08</f>
        <v/>
      </c>
      <c r="O2337" s="17">
        <f>-(K2337*0.025+L2337*0.025)</f>
        <v/>
      </c>
      <c r="P2337" s="17">
        <f>32</f>
        <v/>
      </c>
      <c r="Q2337" s="17">
        <f>J2337+L2337+N2337+O2337-P2337-M2337</f>
        <v/>
      </c>
    </row>
    <row r="2338">
      <c r="A2338" s="16" t="inlineStr">
        <is>
          <t>5.22-5.28</t>
        </is>
      </c>
      <c r="B2338" s="16" t="inlineStr">
        <is>
          <t>PO-128-05101754048632902</t>
        </is>
      </c>
      <c r="C2338" s="16" t="inlineStr">
        <is>
          <t>Shipped</t>
        </is>
      </c>
      <c r="D2338" s="16" t="inlineStr">
        <is>
          <t>128-05101743562872902</t>
        </is>
      </c>
      <c r="E2338" s="16" t="inlineStr">
        <is>
          <t>Shipped</t>
        </is>
      </c>
      <c r="F2338" s="16" t="inlineStr">
        <is>
          <t>MB-178-N</t>
        </is>
      </c>
      <c r="G2338" s="16" t="inlineStr">
        <is>
          <t>Bocina de Barra Bluetooth LINK BITS con dos altavoces, sonido de alta calidad y multifuncional (Bluetooth, Radio FM, USB, TF, AUX, TWS), ideal para juegos, reuniones, oficina y cine en casa.</t>
        </is>
      </c>
      <c r="H2338" s="16" t="inlineStr">
        <is>
          <t>NEGRO</t>
        </is>
      </c>
      <c r="I2338" s="16" t="n">
        <v>2</v>
      </c>
      <c r="J2338" s="17" t="n">
        <v>250</v>
      </c>
      <c r="K2338" s="17" t="n">
        <v>288.68</v>
      </c>
      <c r="L2338" s="17" t="n">
        <v>0</v>
      </c>
      <c r="M2338" s="17" t="n">
        <v>0</v>
      </c>
      <c r="N2338" s="17">
        <f>K2338*0.08+L2338*0.08</f>
        <v/>
      </c>
      <c r="O2338" s="17">
        <f>-(K2338*0.025+L2338*0.025)</f>
        <v/>
      </c>
      <c r="P2338" s="17">
        <f>32</f>
        <v/>
      </c>
      <c r="Q2338" s="17">
        <f>J2338+L2338+N2338+O2338-P2338-M2338</f>
        <v/>
      </c>
    </row>
    <row r="2339">
      <c r="A2339" s="16" t="inlineStr">
        <is>
          <t>5.22-5.28</t>
        </is>
      </c>
      <c r="B2339" s="16" t="inlineStr">
        <is>
          <t>PO-128-05435413711990787</t>
        </is>
      </c>
      <c r="C2339" s="16" t="inlineStr">
        <is>
          <t>Shipped</t>
        </is>
      </c>
      <c r="D2339" s="16" t="inlineStr">
        <is>
          <t>128-05435445169270787</t>
        </is>
      </c>
      <c r="E2339" s="16" t="inlineStr">
        <is>
          <t>Shipped</t>
        </is>
      </c>
      <c r="F2339" s="16" t="inlineStr">
        <is>
          <t>VB347T</t>
        </is>
      </c>
      <c r="G233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39" s="16" t="inlineStr">
        <is>
          <t>1 pieza</t>
        </is>
      </c>
      <c r="I2339" s="16" t="n">
        <v>1</v>
      </c>
      <c r="J2339" s="17" t="n">
        <v>79.90000000000001</v>
      </c>
      <c r="K2339" s="17" t="n">
        <v>94.5</v>
      </c>
      <c r="L2339" s="17" t="n">
        <v>25.86</v>
      </c>
      <c r="M2339" s="17" t="n">
        <v>0</v>
      </c>
      <c r="N2339" s="17">
        <f>K2339*0.08+L2339*0.08</f>
        <v/>
      </c>
      <c r="O2339" s="17">
        <f>-(K2339*0.025+L2339*0.025)</f>
        <v/>
      </c>
      <c r="P2339" s="17">
        <f>32</f>
        <v/>
      </c>
      <c r="Q2339" s="17">
        <f>J2339+L2339+N2339+O2339-P2339-M2339</f>
        <v/>
      </c>
    </row>
    <row r="2340">
      <c r="A2340" s="16" t="inlineStr">
        <is>
          <t>5.22-5.28</t>
        </is>
      </c>
      <c r="B2340" s="16" t="inlineStr">
        <is>
          <t>PO-128-05182260616311334</t>
        </is>
      </c>
      <c r="C2340" s="16" t="inlineStr">
        <is>
          <t>Shipped</t>
        </is>
      </c>
      <c r="D2340" s="16" t="inlineStr">
        <is>
          <t>128-05182281587831334</t>
        </is>
      </c>
      <c r="E2340" s="16" t="inlineStr">
        <is>
          <t>Shipped</t>
        </is>
      </c>
      <c r="F2340" s="16" t="inlineStr">
        <is>
          <t>LB02235-negro</t>
        </is>
      </c>
      <c r="G2340" s="16" t="inlineStr">
        <is>
          <t>Audífonos Inalámbricos para la Cabeza, Recargables y Multifuncionales - Conectan a Varios Dispositivos, soportan Radio FM, Tarjeta TF y AUX - 4 Horas de Reproducción Musical - Ideal para Trabajo Cotidiano, Juegos y Estudio</t>
        </is>
      </c>
      <c r="H2340" s="16" t="inlineStr">
        <is>
          <t>NEGRO</t>
        </is>
      </c>
      <c r="I2340" s="16" t="n">
        <v>1</v>
      </c>
      <c r="J2340" s="17" t="n">
        <v>36.8</v>
      </c>
      <c r="K2340" s="17" t="n">
        <v>49.91</v>
      </c>
      <c r="L2340" s="17" t="n">
        <v>25.86</v>
      </c>
      <c r="M2340" s="17" t="n">
        <v>0</v>
      </c>
      <c r="N2340" s="17">
        <f>K2340*0.08+L2340*0.08</f>
        <v/>
      </c>
      <c r="O2340" s="17">
        <f>-(K2340*0.025+L2340*0.025)</f>
        <v/>
      </c>
      <c r="P2340" s="17">
        <f>32</f>
        <v/>
      </c>
      <c r="Q2340" s="17">
        <f>J2340+L2340+N2340+O2340-P2340-M2340</f>
        <v/>
      </c>
    </row>
    <row r="2341">
      <c r="A2341" s="16" t="inlineStr">
        <is>
          <t>5.22-5.28</t>
        </is>
      </c>
      <c r="B2341" s="16" t="inlineStr">
        <is>
          <t>PO-128-05143453371512655</t>
        </is>
      </c>
      <c r="C2341" s="16" t="inlineStr">
        <is>
          <t>Shipped</t>
        </is>
      </c>
      <c r="D2341" s="16" t="inlineStr">
        <is>
          <t>128-05143427157112655</t>
        </is>
      </c>
      <c r="E2341" s="16" t="inlineStr">
        <is>
          <t>Shipped</t>
        </is>
      </c>
      <c r="F2341" s="16" t="inlineStr">
        <is>
          <t>KTS-1678N</t>
        </is>
      </c>
      <c r="G2341" s="16" t="inlineStr">
        <is>
          <t>Bocina portátil Inalámbrico, de 3 pulgadas, tamaño de bolsillo, 170 g, con asa, compatible con TF, USB y Micro SD, con radio FM y función TWS (True Wireless Stereo), adecuada para relajarse en casa o viajar al aire libre.</t>
        </is>
      </c>
      <c r="H2341" s="16" t="inlineStr">
        <is>
          <t>KTS-1678N</t>
        </is>
      </c>
      <c r="I2341" s="16" t="n">
        <v>1</v>
      </c>
      <c r="J2341" s="17" t="n">
        <v>42.5</v>
      </c>
      <c r="K2341" s="17" t="n">
        <v>50.78</v>
      </c>
      <c r="L2341" s="17" t="n">
        <v>25.86</v>
      </c>
      <c r="M2341" s="17" t="n">
        <v>0</v>
      </c>
      <c r="N2341" s="17">
        <f>K2341*0.08+L2341*0.08</f>
        <v/>
      </c>
      <c r="O2341" s="17">
        <f>-(K2341*0.025+L2341*0.025)</f>
        <v/>
      </c>
      <c r="P2341" s="17">
        <f>32</f>
        <v/>
      </c>
      <c r="Q2341" s="17">
        <f>J2341+L2341+N2341+O2341-P2341-M2341</f>
        <v/>
      </c>
    </row>
    <row r="2342">
      <c r="A2342" s="16" t="inlineStr">
        <is>
          <t>5.22-5.28</t>
        </is>
      </c>
      <c r="B2342" s="16" t="inlineStr">
        <is>
          <t>PO-128-05171877727351524</t>
        </is>
      </c>
      <c r="C2342" s="16" t="inlineStr">
        <is>
          <t>Shipped</t>
        </is>
      </c>
      <c r="D2342" s="16" t="inlineStr">
        <is>
          <t>128-05171835784311524</t>
        </is>
      </c>
      <c r="E2342" s="16" t="inlineStr">
        <is>
          <t>Shipped</t>
        </is>
      </c>
      <c r="F2342" s="16" t="inlineStr">
        <is>
          <t>HD005</t>
        </is>
      </c>
      <c r="G2342" s="16" t="inlineStr">
        <is>
          <t>Link bits HD005 Antena UHF para Exteriores, Antena de TV Digital HD con 10 Metros de Cable, Recepción 470-862MHz, 9-7dB de Ganancia, Antena para Canales Abiertos y HD, Resistente al Agua y Viento, Fácil Instalación</t>
        </is>
      </c>
      <c r="H2342" s="16" t="inlineStr">
        <is>
          <t>1</t>
        </is>
      </c>
      <c r="I2342" s="16" t="n">
        <v>1</v>
      </c>
      <c r="J2342" s="17" t="n">
        <v>75</v>
      </c>
      <c r="K2342" s="17" t="n">
        <v>92.66</v>
      </c>
      <c r="L2342" s="17" t="n">
        <v>25.86</v>
      </c>
      <c r="M2342" s="17" t="n">
        <v>0</v>
      </c>
      <c r="N2342" s="17">
        <f>K2342*0.08+L2342*0.08</f>
        <v/>
      </c>
      <c r="O2342" s="17">
        <f>-(K2342*0.025+L2342*0.025)</f>
        <v/>
      </c>
      <c r="P2342" s="17">
        <f>32</f>
        <v/>
      </c>
      <c r="Q2342" s="17">
        <f>J2342+L2342+N2342+O2342-P2342-M2342</f>
        <v/>
      </c>
    </row>
    <row r="2343">
      <c r="A2343" s="16" t="inlineStr">
        <is>
          <t>5.22-5.28</t>
        </is>
      </c>
      <c r="B2343" s="16" t="inlineStr">
        <is>
          <t>PO-128-05217859054711250</t>
        </is>
      </c>
      <c r="C2343" s="16" t="inlineStr">
        <is>
          <t>Shipped</t>
        </is>
      </c>
      <c r="D2343" s="16" t="inlineStr">
        <is>
          <t>128-05217817111671250</t>
        </is>
      </c>
      <c r="E2343" s="16" t="inlineStr">
        <is>
          <t>Shipped</t>
        </is>
      </c>
      <c r="F2343" s="16" t="inlineStr">
        <is>
          <t>S09W18IB</t>
        </is>
      </c>
      <c r="G2343"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343" s="16" t="inlineStr">
        <is>
          <t>1 pieza</t>
        </is>
      </c>
      <c r="I2343" s="16" t="n">
        <v>1</v>
      </c>
      <c r="J2343" s="17" t="n">
        <v>33</v>
      </c>
      <c r="K2343" s="17" t="n">
        <v>0.54</v>
      </c>
      <c r="L2343" s="17" t="n">
        <v>25.86</v>
      </c>
      <c r="M2343" s="17" t="n">
        <v>0</v>
      </c>
      <c r="N2343" s="17">
        <f>K2343*0.08+L2343*0.08</f>
        <v/>
      </c>
      <c r="O2343" s="17">
        <f>-(K2343*0.025+L2343*0.025)</f>
        <v/>
      </c>
      <c r="P2343" s="17">
        <f>32</f>
        <v/>
      </c>
      <c r="Q2343" s="17">
        <f>J2343+L2343+N2343+O2343-P2343-M2343</f>
        <v/>
      </c>
    </row>
    <row r="2344">
      <c r="A2344" s="16" t="inlineStr">
        <is>
          <t>5.22-5.28</t>
        </is>
      </c>
      <c r="B2344" s="16" t="inlineStr">
        <is>
          <t>PO-128-05312016128631584</t>
        </is>
      </c>
      <c r="C2344" s="16" t="inlineStr">
        <is>
          <t>Shipped</t>
        </is>
      </c>
      <c r="D2344" s="16" t="inlineStr">
        <is>
          <t>128-05312068557431584</t>
        </is>
      </c>
      <c r="E2344" s="16" t="inlineStr">
        <is>
          <t>Shipped</t>
        </is>
      </c>
      <c r="F2344" s="16" t="inlineStr">
        <is>
          <t>VB347T</t>
        </is>
      </c>
      <c r="G234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44" s="16" t="inlineStr">
        <is>
          <t>1 pieza</t>
        </is>
      </c>
      <c r="I2344" s="16" t="n">
        <v>1</v>
      </c>
      <c r="J2344" s="17" t="n">
        <v>79.90000000000001</v>
      </c>
      <c r="K2344" s="17" t="n">
        <v>94.5</v>
      </c>
      <c r="L2344" s="17" t="n">
        <v>25.86</v>
      </c>
      <c r="M2344" s="17" t="n">
        <v>0</v>
      </c>
      <c r="N2344" s="17">
        <f>K2344*0.08+L2344*0.08</f>
        <v/>
      </c>
      <c r="O2344" s="17">
        <f>-(K2344*0.025+L2344*0.025)</f>
        <v/>
      </c>
      <c r="P2344" s="17">
        <f>32</f>
        <v/>
      </c>
      <c r="Q2344" s="17">
        <f>J2344+L2344+N2344+O2344-P2344-M2344</f>
        <v/>
      </c>
    </row>
    <row r="2345">
      <c r="A2345" s="16" t="inlineStr">
        <is>
          <t>5.22-5.28</t>
        </is>
      </c>
      <c r="B2345" s="16" t="inlineStr">
        <is>
          <t>PO-128-04924836644473892</t>
        </is>
      </c>
      <c r="C2345" s="16" t="inlineStr">
        <is>
          <t>Shipped</t>
        </is>
      </c>
      <c r="D2345" s="16" t="inlineStr">
        <is>
          <t>128-04924867610233892</t>
        </is>
      </c>
      <c r="E2345" s="16" t="inlineStr">
        <is>
          <t>Shipped</t>
        </is>
      </c>
      <c r="F2345" s="16" t="inlineStr">
        <is>
          <t>VA880T</t>
        </is>
      </c>
      <c r="G234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345" s="16" t="inlineStr">
        <is>
          <t>1 pieza</t>
        </is>
      </c>
      <c r="I2345" s="16" t="n">
        <v>2</v>
      </c>
      <c r="J2345" s="17" t="n">
        <v>229.96</v>
      </c>
      <c r="K2345" s="17" t="n">
        <v>254.54</v>
      </c>
      <c r="L2345" s="17" t="n">
        <v>25.86</v>
      </c>
      <c r="M2345" s="17" t="n">
        <v>0</v>
      </c>
      <c r="N2345" s="17">
        <f>K2345*0.08+L2345*0.08</f>
        <v/>
      </c>
      <c r="O2345" s="17">
        <f>-(K2345*0.025+L2345*0.025)</f>
        <v/>
      </c>
      <c r="P2345" s="17">
        <f>32</f>
        <v/>
      </c>
      <c r="Q2345" s="17">
        <f>J2345+L2345+N2345+O2345-P2345-M2345</f>
        <v/>
      </c>
    </row>
    <row r="2346">
      <c r="A2346" s="16" t="inlineStr">
        <is>
          <t>5.22-5.28</t>
        </is>
      </c>
      <c r="B2346" s="16" t="inlineStr">
        <is>
          <t>PO-128-04919774495353858</t>
        </is>
      </c>
      <c r="C2346" s="16" t="inlineStr">
        <is>
          <t>Shipped</t>
        </is>
      </c>
      <c r="D2346" s="16" t="inlineStr">
        <is>
          <t>128-04919795466873858</t>
        </is>
      </c>
      <c r="E2346" s="16" t="inlineStr">
        <is>
          <t>Shipped</t>
        </is>
      </c>
      <c r="F2346" s="16" t="inlineStr">
        <is>
          <t>MCM-001N</t>
        </is>
      </c>
      <c r="G2346" s="16" t="inlineStr">
        <is>
          <t>Musicord Altavoz Inalámbrico BT Portátil: ¡Sonido impactante, luces LED multicolores y 4 horas de autonomía! Compatible con TWS, FM, TF y USB – Imprescindible para fiestas y viajes</t>
        </is>
      </c>
      <c r="H2346" s="16" t="inlineStr">
        <is>
          <t>NEGRO</t>
        </is>
      </c>
      <c r="I2346" s="16" t="n">
        <v>1</v>
      </c>
      <c r="J2346" s="17" t="n">
        <v>61</v>
      </c>
      <c r="K2346" s="17" t="n">
        <v>68.79000000000001</v>
      </c>
      <c r="L2346" s="17" t="n">
        <v>25.86</v>
      </c>
      <c r="M2346" s="17" t="n">
        <v>0</v>
      </c>
      <c r="N2346" s="17">
        <f>K2346*0.08+L2346*0.08</f>
        <v/>
      </c>
      <c r="O2346" s="17">
        <f>-(K2346*0.025+L2346*0.025)</f>
        <v/>
      </c>
      <c r="P2346" s="17">
        <f>32</f>
        <v/>
      </c>
      <c r="Q2346" s="17">
        <f>J2346+L2346+N2346+O2346-P2346-M2346</f>
        <v/>
      </c>
    </row>
    <row r="2347">
      <c r="A2347" s="16" t="inlineStr">
        <is>
          <t>5.22-5.28</t>
        </is>
      </c>
      <c r="B2347" s="16" t="inlineStr">
        <is>
          <t>PO-128-05339366881910463</t>
        </is>
      </c>
      <c r="C2347" s="16" t="inlineStr">
        <is>
          <t>Shipped</t>
        </is>
      </c>
      <c r="D2347" s="16" t="inlineStr">
        <is>
          <t>128-05339419310710463</t>
        </is>
      </c>
      <c r="E2347" s="16" t="inlineStr">
        <is>
          <t>Shipped</t>
        </is>
      </c>
      <c r="F2347" s="16" t="inlineStr">
        <is>
          <t>LB02235-negro</t>
        </is>
      </c>
      <c r="G2347" s="16" t="inlineStr">
        <is>
          <t>Audífonos Inalámbricos para la Cabeza, Recargables y Multifuncionales - Conectan a Varios Dispositivos, soportan Radio FM, Tarjeta TF y AUX - 4 Horas de Reproducción Musical - Ideal para Trabajo Cotidiano, Juegos y Estudio</t>
        </is>
      </c>
      <c r="H2347" s="16" t="inlineStr">
        <is>
          <t>NEGRO</t>
        </is>
      </c>
      <c r="I2347" s="16" t="n">
        <v>1</v>
      </c>
      <c r="J2347" s="17" t="n">
        <v>36.8</v>
      </c>
      <c r="K2347" s="17" t="n">
        <v>39.94</v>
      </c>
      <c r="L2347" s="17" t="n">
        <v>25.86</v>
      </c>
      <c r="M2347" s="17" t="n">
        <v>0</v>
      </c>
      <c r="N2347" s="17">
        <f>K2347*0.08+L2347*0.08</f>
        <v/>
      </c>
      <c r="O2347" s="17">
        <f>-(K2347*0.025+L2347*0.025)</f>
        <v/>
      </c>
      <c r="P2347" s="17">
        <f>32</f>
        <v/>
      </c>
      <c r="Q2347" s="17">
        <f>J2347+L2347+N2347+O2347-P2347-M2347</f>
        <v/>
      </c>
    </row>
    <row r="2348">
      <c r="A2348" s="16" t="inlineStr">
        <is>
          <t>5.22-5.28</t>
        </is>
      </c>
      <c r="B2348" s="16" t="inlineStr">
        <is>
          <t>PO-128-05054623232632097</t>
        </is>
      </c>
      <c r="C2348" s="16" t="inlineStr">
        <is>
          <t>Shipped</t>
        </is>
      </c>
      <c r="D2348" s="16" t="inlineStr">
        <is>
          <t>128-05054602261112097</t>
        </is>
      </c>
      <c r="E2348" s="16" t="inlineStr">
        <is>
          <t>Shipped</t>
        </is>
      </c>
      <c r="F2348" s="16" t="inlineStr">
        <is>
          <t>MB-178-N</t>
        </is>
      </c>
      <c r="G2348" s="16" t="inlineStr">
        <is>
          <t>Bocina de Barra Bluetooth LINK BITS con dos altavoces, sonido de alta calidad y multifuncional (Bluetooth, Radio FM, USB, TF, AUX, TWS), ideal para juegos, reuniones, oficina y cine en casa.</t>
        </is>
      </c>
      <c r="H2348" s="16" t="inlineStr">
        <is>
          <t>NEGRO</t>
        </is>
      </c>
      <c r="I2348" s="16" t="n">
        <v>1</v>
      </c>
      <c r="J2348" s="17" t="n">
        <v>125</v>
      </c>
      <c r="K2348" s="17" t="n">
        <v>144.34</v>
      </c>
      <c r="L2348" s="17" t="n">
        <v>25.86</v>
      </c>
      <c r="M2348" s="17" t="n">
        <v>0</v>
      </c>
      <c r="N2348" s="17">
        <f>K2348*0.08+L2348*0.08</f>
        <v/>
      </c>
      <c r="O2348" s="17">
        <f>-(K2348*0.025+L2348*0.025)</f>
        <v/>
      </c>
      <c r="P2348" s="17">
        <f>32</f>
        <v/>
      </c>
      <c r="Q2348" s="17">
        <f>J2348+L2348+N2348+O2348-P2348-M2348</f>
        <v/>
      </c>
    </row>
    <row r="2349">
      <c r="A2349" s="16" t="inlineStr">
        <is>
          <t>5.22-5.28</t>
        </is>
      </c>
      <c r="B2349" s="16" t="inlineStr">
        <is>
          <t>PO-128-04910886359674041</t>
        </is>
      </c>
      <c r="C2349" s="16" t="inlineStr">
        <is>
          <t>Shipped</t>
        </is>
      </c>
      <c r="D2349" s="16" t="inlineStr">
        <is>
          <t>128-04910991217274041</t>
        </is>
      </c>
      <c r="E2349" s="16" t="inlineStr">
        <is>
          <t>Shipped</t>
        </is>
      </c>
      <c r="F2349" s="16" t="inlineStr">
        <is>
          <t>SA325T</t>
        </is>
      </c>
      <c r="G2349" s="16" t="inlineStr">
        <is>
          <t>Subwoofer Portátil Inalámbrico con Luces RGB, Sonido de Alta Potencia y Batería Duradera, TWS TF USB, Perfecto para Campamento Fiestas y Entretenimiento en Casa</t>
        </is>
      </c>
      <c r="H2349" s="16" t="inlineStr">
        <is>
          <t>NEGRO</t>
        </is>
      </c>
      <c r="I2349" s="16" t="n">
        <v>2</v>
      </c>
      <c r="J2349" s="17" t="n">
        <v>75.98</v>
      </c>
      <c r="K2349" s="17" t="n">
        <v>7.86</v>
      </c>
      <c r="L2349" s="17" t="n">
        <v>25.86</v>
      </c>
      <c r="M2349" s="17" t="n">
        <v>0</v>
      </c>
      <c r="N2349" s="17">
        <f>K2349*0.08+L2349*0.08</f>
        <v/>
      </c>
      <c r="O2349" s="17">
        <f>-(K2349*0.025+L2349*0.025)</f>
        <v/>
      </c>
      <c r="P2349" s="17">
        <f>32</f>
        <v/>
      </c>
      <c r="Q2349" s="17">
        <f>J2349+L2349+N2349+O2349-P2349-M2349</f>
        <v/>
      </c>
    </row>
    <row r="2350">
      <c r="A2350" s="16" t="inlineStr">
        <is>
          <t>5.22-5.28</t>
        </is>
      </c>
      <c r="B2350" s="16" t="inlineStr">
        <is>
          <t>PO-128-05178163492471294</t>
        </is>
      </c>
      <c r="C2350" s="16" t="inlineStr">
        <is>
          <t>Shipped</t>
        </is>
      </c>
      <c r="D2350" s="16" t="inlineStr">
        <is>
          <t>128-05178205435511294</t>
        </is>
      </c>
      <c r="E2350" s="16" t="inlineStr">
        <is>
          <t>Shipped</t>
        </is>
      </c>
      <c r="F2350" s="16" t="inlineStr">
        <is>
          <t>MB-185R</t>
        </is>
      </c>
      <c r="G2350" s="16" t="inlineStr">
        <is>
          <t>Bocina Radio FM/Reproductor, Compatible con Tarjeta TF, USB, Bluetooth, Aplicable para celular, computadora, Ipad y consola.</t>
        </is>
      </c>
      <c r="H2350" s="16" t="inlineStr">
        <is>
          <t>ROJO/MB-185</t>
        </is>
      </c>
      <c r="I2350" s="16" t="n">
        <v>1</v>
      </c>
      <c r="J2350" s="17" t="n">
        <v>75.5</v>
      </c>
      <c r="K2350" s="17" t="n">
        <v>45.34</v>
      </c>
      <c r="L2350" s="17" t="n">
        <v>25.86</v>
      </c>
      <c r="M2350" s="17" t="n">
        <v>0</v>
      </c>
      <c r="N2350" s="17">
        <f>K2350*0.08+L2350*0.08</f>
        <v/>
      </c>
      <c r="O2350" s="17">
        <f>-(K2350*0.025+L2350*0.025)</f>
        <v/>
      </c>
      <c r="P2350" s="17">
        <f>32</f>
        <v/>
      </c>
      <c r="Q2350" s="17">
        <f>J2350+L2350+N2350+O2350-P2350-M2350</f>
        <v/>
      </c>
    </row>
    <row r="2351">
      <c r="A2351" s="16" t="inlineStr">
        <is>
          <t>5.22-5.28</t>
        </is>
      </c>
      <c r="B2351" s="16" t="inlineStr">
        <is>
          <t>PO-128-05000785086072545</t>
        </is>
      </c>
      <c r="C2351" s="16" t="inlineStr">
        <is>
          <t>Shipped</t>
        </is>
      </c>
      <c r="D2351" s="16" t="inlineStr">
        <is>
          <t>128-05000868480632545</t>
        </is>
      </c>
      <c r="E2351" s="16" t="inlineStr">
        <is>
          <t>Shipped</t>
        </is>
      </c>
      <c r="F2351" s="16" t="inlineStr">
        <is>
          <t>MCM-001R</t>
        </is>
      </c>
      <c r="G2351" s="16" t="inlineStr">
        <is>
          <t>Musicord Altavoz Inalámbrico BT Portátil: ¡Sonido impactante, luces LED multicolores y 4 horas de autonomía! Compatible con TWS, FM, TF y USB – Imprescindible para fiestas y viajes</t>
        </is>
      </c>
      <c r="H2351" s="16" t="inlineStr">
        <is>
          <t>ROJO</t>
        </is>
      </c>
      <c r="I2351" s="16" t="n">
        <v>1</v>
      </c>
      <c r="J2351" s="17" t="n">
        <v>66.5</v>
      </c>
      <c r="K2351" s="17" t="n">
        <v>74.29000000000001</v>
      </c>
      <c r="L2351" s="17" t="n">
        <v>25.86</v>
      </c>
      <c r="M2351" s="17" t="n">
        <v>0</v>
      </c>
      <c r="N2351" s="17">
        <f>K2351*0.08+L2351*0.08</f>
        <v/>
      </c>
      <c r="O2351" s="17">
        <f>-(K2351*0.025+L2351*0.025)</f>
        <v/>
      </c>
      <c r="P2351" s="17">
        <f>32</f>
        <v/>
      </c>
      <c r="Q2351" s="17">
        <f>J2351+L2351+N2351+O2351-P2351-M2351</f>
        <v/>
      </c>
    </row>
    <row r="2352">
      <c r="A2352" s="16" t="inlineStr">
        <is>
          <t>5.22-5.28</t>
        </is>
      </c>
      <c r="B2352" s="16" t="inlineStr">
        <is>
          <t>PO-128-05426978760310965</t>
        </is>
      </c>
      <c r="C2352" s="16" t="inlineStr">
        <is>
          <t>Shipped</t>
        </is>
      </c>
      <c r="D2352" s="16" t="inlineStr">
        <is>
          <t>128-05426936817270965</t>
        </is>
      </c>
      <c r="E2352" s="16" t="inlineStr">
        <is>
          <t>Shipped</t>
        </is>
      </c>
      <c r="F2352" s="16" t="inlineStr">
        <is>
          <t>FA028</t>
        </is>
      </c>
      <c r="G2352" s="16" t="inlineStr">
        <is>
          <t>Extractor de agua para garrafas de agua, compatible con carga USB, extractor de agua automático, práctico, con dos modos de toma de agua: manual y programado, ideal para dormitorios, salones, oficinas, uso al aire libre y otros escenarios.</t>
        </is>
      </c>
      <c r="H2352" s="16" t="inlineStr">
        <is>
          <t>FA028</t>
        </is>
      </c>
      <c r="I2352" s="16" t="n">
        <v>1</v>
      </c>
      <c r="J2352" s="17" t="n">
        <v>35</v>
      </c>
      <c r="K2352" s="17" t="n">
        <v>37.89</v>
      </c>
      <c r="L2352" s="17" t="n">
        <v>25.86</v>
      </c>
      <c r="M2352" s="17" t="n">
        <v>0</v>
      </c>
      <c r="N2352" s="17">
        <f>K2352*0.08+L2352*0.08</f>
        <v/>
      </c>
      <c r="O2352" s="17">
        <f>-(K2352*0.025+L2352*0.025)</f>
        <v/>
      </c>
      <c r="P2352" s="17">
        <f>32</f>
        <v/>
      </c>
      <c r="Q2352" s="17">
        <f>J2352+L2352+N2352+O2352-P2352-M2352</f>
        <v/>
      </c>
    </row>
    <row r="2353">
      <c r="A2353" s="16" t="inlineStr">
        <is>
          <t>5.22-5.28</t>
        </is>
      </c>
      <c r="B2353" s="16" t="inlineStr">
        <is>
          <t>PO-128-05432165258870996</t>
        </is>
      </c>
      <c r="C2353" s="16" t="inlineStr">
        <is>
          <t>Shipped</t>
        </is>
      </c>
      <c r="D2353" s="16" t="inlineStr">
        <is>
          <t>128-05432154773110996</t>
        </is>
      </c>
      <c r="E2353" s="16" t="inlineStr">
        <is>
          <t>Shipped</t>
        </is>
      </c>
      <c r="F2353" s="16" t="inlineStr">
        <is>
          <t>SA8056T</t>
        </is>
      </c>
      <c r="G235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353" s="16" t="inlineStr">
        <is>
          <t>SA8056T</t>
        </is>
      </c>
      <c r="I2353" s="16" t="n">
        <v>1</v>
      </c>
      <c r="J2353" s="17" t="n">
        <v>123.9</v>
      </c>
      <c r="K2353" s="17" t="n">
        <v>144.28</v>
      </c>
      <c r="L2353" s="17" t="n">
        <v>25.86</v>
      </c>
      <c r="M2353" s="17" t="n">
        <v>0</v>
      </c>
      <c r="N2353" s="17">
        <f>K2353*0.08+L2353*0.08</f>
        <v/>
      </c>
      <c r="O2353" s="17">
        <f>-(K2353*0.025+L2353*0.025)</f>
        <v/>
      </c>
      <c r="P2353" s="17">
        <f>32</f>
        <v/>
      </c>
      <c r="Q2353" s="17">
        <f>J2353+L2353+N2353+O2353-P2353-M2353</f>
        <v/>
      </c>
    </row>
    <row r="2354">
      <c r="A2354" s="16" t="inlineStr">
        <is>
          <t>5.22-5.28</t>
        </is>
      </c>
      <c r="B2354" s="16" t="inlineStr">
        <is>
          <t>PO-128-05116051932792688</t>
        </is>
      </c>
      <c r="C2354" s="16" t="inlineStr">
        <is>
          <t>Shipped</t>
        </is>
      </c>
      <c r="D2354" s="16" t="inlineStr">
        <is>
          <t>128-05116120090232688</t>
        </is>
      </c>
      <c r="E2354" s="16" t="inlineStr">
        <is>
          <t>Shipped</t>
        </is>
      </c>
      <c r="F2354" s="16" t="inlineStr">
        <is>
          <t>VA384T-A</t>
        </is>
      </c>
      <c r="G2354" s="16" t="inlineStr">
        <is>
          <t>Bocina Portátil Bluetooth de 3 Pulgadas con Radio FM, USB TF TWS, Sonido Estéreo 5W, Bocina Recargable para Hogar Exterior Viaje Fiesta Camping</t>
        </is>
      </c>
      <c r="H2354" s="16" t="inlineStr">
        <is>
          <t>AZUL</t>
        </is>
      </c>
      <c r="I2354" s="16" t="n">
        <v>1</v>
      </c>
      <c r="J2354" s="17" t="n">
        <v>48</v>
      </c>
      <c r="K2354" s="17" t="n">
        <v>58.72</v>
      </c>
      <c r="L2354" s="17" t="n">
        <v>25.86</v>
      </c>
      <c r="M2354" s="17" t="n">
        <v>0</v>
      </c>
      <c r="N2354" s="17">
        <f>K2354*0.08+L2354*0.08</f>
        <v/>
      </c>
      <c r="O2354" s="17">
        <f>-(K2354*0.025+L2354*0.025)</f>
        <v/>
      </c>
      <c r="P2354" s="17">
        <f>32</f>
        <v/>
      </c>
      <c r="Q2354" s="17">
        <f>J2354+L2354+N2354+O2354-P2354-M2354</f>
        <v/>
      </c>
    </row>
    <row r="2355">
      <c r="A2355" s="16" t="inlineStr">
        <is>
          <t>5.22-5.28</t>
        </is>
      </c>
      <c r="B2355" s="16" t="inlineStr">
        <is>
          <t>PO-128-05099217045112855</t>
        </is>
      </c>
      <c r="C2355" s="16" t="inlineStr">
        <is>
          <t>Shipped</t>
        </is>
      </c>
      <c r="D2355" s="16" t="inlineStr">
        <is>
          <t>128-05099206559352855</t>
        </is>
      </c>
      <c r="E2355" s="16" t="inlineStr">
        <is>
          <t>Shipped</t>
        </is>
      </c>
      <c r="F2355" s="16" t="inlineStr">
        <is>
          <t>MCM-001A</t>
        </is>
      </c>
      <c r="G2355" s="16" t="inlineStr">
        <is>
          <t>Musicord Altavoz Inalámbrico BT Portátil: ¡Sonido impactante, luces LED multicolores y 4 horas de autonomía! Compatible con TWS, FM, TF y USB – Imprescindible para fiestas y viajes</t>
        </is>
      </c>
      <c r="H2355" s="16" t="inlineStr">
        <is>
          <t>AZUL</t>
        </is>
      </c>
      <c r="I2355" s="16" t="n">
        <v>1</v>
      </c>
      <c r="J2355" s="17" t="n">
        <v>51.07</v>
      </c>
      <c r="K2355" s="17" t="n">
        <v>59.47</v>
      </c>
      <c r="L2355" s="17" t="n">
        <v>25.86</v>
      </c>
      <c r="M2355" s="17" t="n">
        <v>0</v>
      </c>
      <c r="N2355" s="17">
        <f>K2355*0.08+L2355*0.08</f>
        <v/>
      </c>
      <c r="O2355" s="17">
        <f>-(K2355*0.025+L2355*0.025)</f>
        <v/>
      </c>
      <c r="P2355" s="17">
        <f>32</f>
        <v/>
      </c>
      <c r="Q2355" s="17">
        <f>J2355+L2355+N2355+O2355-P2355-M2355</f>
        <v/>
      </c>
    </row>
    <row r="2356">
      <c r="A2356" s="16" t="inlineStr">
        <is>
          <t>5.22-5.28</t>
        </is>
      </c>
      <c r="B2356" s="16" t="inlineStr">
        <is>
          <t>PO-128-05206182339191193</t>
        </is>
      </c>
      <c r="C2356" s="16" t="inlineStr">
        <is>
          <t>Shipped</t>
        </is>
      </c>
      <c r="D2356" s="16" t="inlineStr">
        <is>
          <t>128-05206178407031193</t>
        </is>
      </c>
      <c r="E2356" s="16" t="inlineStr">
        <is>
          <t>Shipped</t>
        </is>
      </c>
      <c r="F2356" s="16" t="inlineStr">
        <is>
          <t>FA028</t>
        </is>
      </c>
      <c r="G2356" s="16" t="inlineStr">
        <is>
          <t>Extractor de agua para garrafas de agua, compatible con carga USB, extractor de agua automático, práctico, con dos modos de toma de agua: manual y programado, ideal para dormitorios, salones, oficinas, uso al aire libre y otros escenarios.</t>
        </is>
      </c>
      <c r="H2356" s="16" t="inlineStr">
        <is>
          <t>FA028</t>
        </is>
      </c>
      <c r="I2356" s="16" t="n">
        <v>1</v>
      </c>
      <c r="J2356" s="17" t="n">
        <v>35</v>
      </c>
      <c r="K2356" s="17" t="n">
        <v>44.58</v>
      </c>
      <c r="L2356" s="17" t="n">
        <v>25.86</v>
      </c>
      <c r="M2356" s="17" t="n">
        <v>0</v>
      </c>
      <c r="N2356" s="17">
        <f>K2356*0.08+L2356*0.08</f>
        <v/>
      </c>
      <c r="O2356" s="17">
        <f>-(K2356*0.025+L2356*0.025)</f>
        <v/>
      </c>
      <c r="P2356" s="17">
        <f>32</f>
        <v/>
      </c>
      <c r="Q2356" s="17">
        <f>J2356+L2356+N2356+O2356-P2356-M2356</f>
        <v/>
      </c>
    </row>
    <row r="2357">
      <c r="A2357" s="16" t="inlineStr">
        <is>
          <t>5.22-5.28</t>
        </is>
      </c>
      <c r="B2357" s="16" t="inlineStr">
        <is>
          <t>PO-128-04896798741113997</t>
        </is>
      </c>
      <c r="C2357" s="16" t="inlineStr">
        <is>
          <t>Shipped</t>
        </is>
      </c>
      <c r="D2357" s="16" t="inlineStr">
        <is>
          <t>128-04896819712633997</t>
        </is>
      </c>
      <c r="E2357" s="16" t="inlineStr">
        <is>
          <t>Shipped</t>
        </is>
      </c>
      <c r="F2357" s="16" t="inlineStr">
        <is>
          <t>T5050RGB07</t>
        </is>
      </c>
      <c r="G2357"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2357" s="16" t="inlineStr">
        <is>
          <t>T5050RGB07</t>
        </is>
      </c>
      <c r="I2357" s="16" t="n">
        <v>2</v>
      </c>
      <c r="J2357" s="17" t="n">
        <v>112.8</v>
      </c>
      <c r="K2357" s="17" t="n">
        <v>118</v>
      </c>
      <c r="L2357" s="17" t="n">
        <v>25.86</v>
      </c>
      <c r="M2357" s="17" t="n">
        <v>0</v>
      </c>
      <c r="N2357" s="17">
        <f>K2357*0.08+L2357*0.08</f>
        <v/>
      </c>
      <c r="O2357" s="17">
        <f>-(K2357*0.025+L2357*0.025)</f>
        <v/>
      </c>
      <c r="P2357" s="17">
        <f>32</f>
        <v/>
      </c>
      <c r="Q2357" s="17">
        <f>J2357+L2357+N2357+O2357-P2357-M2357</f>
        <v/>
      </c>
    </row>
    <row r="2358">
      <c r="A2358" s="16" t="inlineStr">
        <is>
          <t>5.22-5.28</t>
        </is>
      </c>
      <c r="B2358" s="16" t="inlineStr">
        <is>
          <t>PO-128-05080967260793026</t>
        </is>
      </c>
      <c r="C2358" s="16" t="inlineStr">
        <is>
          <t>Shipped</t>
        </is>
      </c>
      <c r="D2358" s="16" t="inlineStr">
        <is>
          <t>128-05080904346233026</t>
        </is>
      </c>
      <c r="E2358" s="16" t="inlineStr">
        <is>
          <t>Shipped</t>
        </is>
      </c>
      <c r="F2358" s="16" t="inlineStr">
        <is>
          <t>LB02235-azul</t>
        </is>
      </c>
      <c r="G2358" s="16" t="inlineStr">
        <is>
          <t>Audífonos Inalámbricos para la Cabeza, Recargables y Multifuncionales - Conectan a Varios Dispositivos, soportan Radio FM, Tarjeta TF y AUX - 4 Horas de Reproducción Musical - Ideal para Trabajo Cotidiano, Juegos y Estudio</t>
        </is>
      </c>
      <c r="H2358" s="16" t="inlineStr">
        <is>
          <t>AZUL</t>
        </is>
      </c>
      <c r="I2358" s="16" t="n">
        <v>1</v>
      </c>
      <c r="J2358" s="17" t="n">
        <v>36</v>
      </c>
      <c r="K2358" s="17" t="n">
        <v>49.11</v>
      </c>
      <c r="L2358" s="17" t="n">
        <v>0</v>
      </c>
      <c r="M2358" s="17" t="n">
        <v>0</v>
      </c>
      <c r="N2358" s="17">
        <f>K2358*0.08+L2358*0.08</f>
        <v/>
      </c>
      <c r="O2358" s="17">
        <f>-(K2358*0.025+L2358*0.025)</f>
        <v/>
      </c>
      <c r="P2358" s="17">
        <f>32</f>
        <v/>
      </c>
      <c r="Q2358" s="17">
        <f>J2358+L2358+N2358+O2358-P2358-M2358</f>
        <v/>
      </c>
    </row>
    <row r="2359">
      <c r="A2359" s="16" t="inlineStr">
        <is>
          <t>5.22-5.28</t>
        </is>
      </c>
      <c r="B2359" s="16" t="inlineStr">
        <is>
          <t>PO-128-05080967260793026</t>
        </is>
      </c>
      <c r="C2359" s="16" t="inlineStr">
        <is>
          <t>Shipped</t>
        </is>
      </c>
      <c r="D2359" s="16" t="inlineStr">
        <is>
          <t>128-05080862403193026</t>
        </is>
      </c>
      <c r="E2359" s="16" t="inlineStr">
        <is>
          <t>Shipped</t>
        </is>
      </c>
      <c r="F2359" s="16" t="inlineStr">
        <is>
          <t>LB02235-blanco</t>
        </is>
      </c>
      <c r="G2359" s="16" t="inlineStr">
        <is>
          <t>Audífonos Inalámbricos para la Cabeza, Recargables y Multifuncionales - Conectan a Varios Dispositivos, soportan Radio FM, Tarjeta TF y AUX - 4 Horas de Reproducción Musical - Ideal para Trabajo Cotidiano, Juegos y Estudio</t>
        </is>
      </c>
      <c r="H2359" s="16" t="inlineStr">
        <is>
          <t>BLANCO</t>
        </is>
      </c>
      <c r="I2359" s="16" t="n">
        <v>1</v>
      </c>
      <c r="J2359" s="17" t="n">
        <v>36.8</v>
      </c>
      <c r="K2359" s="17" t="n">
        <v>49.91</v>
      </c>
      <c r="L2359" s="17" t="n">
        <v>0</v>
      </c>
      <c r="M2359" s="17" t="n">
        <v>0</v>
      </c>
      <c r="N2359" s="17">
        <f>K2359*0.08+L2359*0.08</f>
        <v/>
      </c>
      <c r="O2359" s="17">
        <f>-(K2359*0.025+L2359*0.025)</f>
        <v/>
      </c>
      <c r="P2359" s="17">
        <f>32</f>
        <v/>
      </c>
      <c r="Q2359" s="17">
        <f>J2359+L2359+N2359+O2359-P2359-M2359</f>
        <v/>
      </c>
    </row>
    <row r="2360">
      <c r="A2360" s="16" t="inlineStr">
        <is>
          <t>5.22-5.28</t>
        </is>
      </c>
      <c r="B2360" s="16" t="inlineStr">
        <is>
          <t>PO-128-05080967260793026</t>
        </is>
      </c>
      <c r="C2360" s="16" t="inlineStr">
        <is>
          <t>Shipped</t>
        </is>
      </c>
      <c r="D2360" s="16" t="inlineStr">
        <is>
          <t>128-05080925317753026</t>
        </is>
      </c>
      <c r="E2360" s="16" t="inlineStr">
        <is>
          <t>Shipped</t>
        </is>
      </c>
      <c r="F2360" s="16" t="inlineStr">
        <is>
          <t>LB02235-negro</t>
        </is>
      </c>
      <c r="G2360" s="16" t="inlineStr">
        <is>
          <t>Audífonos Inalámbricos para la Cabeza, Recargables y Multifuncionales - Conectan a Varios Dispositivos, soportan Radio FM, Tarjeta TF y AUX - 4 Horas de Reproducción Musical - Ideal para Trabajo Cotidiano, Juegos y Estudio</t>
        </is>
      </c>
      <c r="H2360" s="16" t="inlineStr">
        <is>
          <t>NEGRO</t>
        </is>
      </c>
      <c r="I2360" s="16" t="n">
        <v>1</v>
      </c>
      <c r="J2360" s="17" t="n">
        <v>36.8</v>
      </c>
      <c r="K2360" s="17" t="n">
        <v>49.91</v>
      </c>
      <c r="L2360" s="17" t="n">
        <v>0</v>
      </c>
      <c r="M2360" s="17" t="n">
        <v>0</v>
      </c>
      <c r="N2360" s="17">
        <f>K2360*0.08+L2360*0.08</f>
        <v/>
      </c>
      <c r="O2360" s="17">
        <f>-(K2360*0.025+L2360*0.025)</f>
        <v/>
      </c>
      <c r="P2360" s="17">
        <f>32</f>
        <v/>
      </c>
      <c r="Q2360" s="17">
        <f>J2360+L2360+N2360+O2360-P2360-M2360</f>
        <v/>
      </c>
    </row>
    <row r="2361">
      <c r="A2361" s="16" t="inlineStr">
        <is>
          <t>5.22-5.28</t>
        </is>
      </c>
      <c r="B2361" s="16" t="inlineStr">
        <is>
          <t>PO-128-05080967260793026</t>
        </is>
      </c>
      <c r="C2361" s="16" t="inlineStr">
        <is>
          <t>Shipped</t>
        </is>
      </c>
      <c r="D2361" s="16" t="inlineStr">
        <is>
          <t>128-05080883374713026</t>
        </is>
      </c>
      <c r="E2361" s="16" t="inlineStr">
        <is>
          <t>Shipped</t>
        </is>
      </c>
      <c r="F2361" s="16" t="inlineStr">
        <is>
          <t>LB02235-rojo</t>
        </is>
      </c>
      <c r="G2361" s="16" t="inlineStr">
        <is>
          <t>Audífonos Inalámbricos para la Cabeza, Recargables y Multifuncionales - Conectan a Varios Dispositivos, soportan Radio FM, Tarjeta TF y AUX - 4 Horas de Reproducción Musical - Ideal para Trabajo Cotidiano, Juegos y Estudio</t>
        </is>
      </c>
      <c r="H2361" s="16" t="inlineStr">
        <is>
          <t>ROJO</t>
        </is>
      </c>
      <c r="I2361" s="16" t="n">
        <v>1</v>
      </c>
      <c r="J2361" s="17" t="n">
        <v>36.8</v>
      </c>
      <c r="K2361" s="17" t="n">
        <v>49.91</v>
      </c>
      <c r="L2361" s="17" t="n">
        <v>0</v>
      </c>
      <c r="M2361" s="17" t="n">
        <v>0</v>
      </c>
      <c r="N2361" s="17">
        <f>K2361*0.08+L2361*0.08</f>
        <v/>
      </c>
      <c r="O2361" s="17">
        <f>-(K2361*0.025+L2361*0.025)</f>
        <v/>
      </c>
      <c r="P2361" s="17">
        <f>32</f>
        <v/>
      </c>
      <c r="Q2361" s="17">
        <f>J2361+L2361+N2361+O2361-P2361-M2361</f>
        <v/>
      </c>
    </row>
    <row r="2362">
      <c r="A2362" s="16" t="inlineStr">
        <is>
          <t>5.22-5.28</t>
        </is>
      </c>
      <c r="B2362" s="16" t="inlineStr">
        <is>
          <t>PO-128-05080967260793026</t>
        </is>
      </c>
      <c r="C2362" s="16" t="inlineStr">
        <is>
          <t>Shipped</t>
        </is>
      </c>
      <c r="D2362" s="16" t="inlineStr">
        <is>
          <t>128-05080946289273026</t>
        </is>
      </c>
      <c r="E2362" s="16" t="inlineStr">
        <is>
          <t>Shipped</t>
        </is>
      </c>
      <c r="F2362" s="16" t="inlineStr">
        <is>
          <t>MCM-001A</t>
        </is>
      </c>
      <c r="G2362" s="16" t="inlineStr">
        <is>
          <t>Musicord Altavoz Inalámbrico BT Portátil: ¡Sonido impactante, luces LED multicolores y 4 horas de autonomía! Compatible con TWS, FM, TF y USB – Imprescindible para fiestas y viajes</t>
        </is>
      </c>
      <c r="H2362" s="16" t="inlineStr">
        <is>
          <t>AZUL</t>
        </is>
      </c>
      <c r="I2362" s="16" t="n">
        <v>1</v>
      </c>
      <c r="J2362" s="17" t="n">
        <v>51.07</v>
      </c>
      <c r="K2362" s="17" t="n">
        <v>59.47</v>
      </c>
      <c r="L2362" s="17" t="n">
        <v>0</v>
      </c>
      <c r="M2362" s="17" t="n">
        <v>0</v>
      </c>
      <c r="N2362" s="17">
        <f>K2362*0.08+L2362*0.08</f>
        <v/>
      </c>
      <c r="O2362" s="17">
        <f>-(K2362*0.025+L2362*0.025)</f>
        <v/>
      </c>
      <c r="P2362" s="17">
        <f>32</f>
        <v/>
      </c>
      <c r="Q2362" s="17">
        <f>J2362+L2362+N2362+O2362-P2362-M2362</f>
        <v/>
      </c>
    </row>
    <row r="2363">
      <c r="A2363" s="16" t="inlineStr">
        <is>
          <t>5.22-5.28</t>
        </is>
      </c>
      <c r="B2363" s="16" t="inlineStr">
        <is>
          <t>PO-128-05262566636151817</t>
        </is>
      </c>
      <c r="C2363" s="16" t="inlineStr">
        <is>
          <t>Shipped</t>
        </is>
      </c>
      <c r="D2363" s="16" t="inlineStr">
        <is>
          <t>128-05262608579191817</t>
        </is>
      </c>
      <c r="E2363" s="16" t="inlineStr">
        <is>
          <t>Shipped</t>
        </is>
      </c>
      <c r="F2363" s="16" t="inlineStr">
        <is>
          <t>LB02235-negro</t>
        </is>
      </c>
      <c r="G2363" s="16" t="inlineStr">
        <is>
          <t>Audífonos Inalámbricos para la Cabeza, Recargables y Multifuncionales - Conectan a Varios Dispositivos, soportan Radio FM, Tarjeta TF y AUX - 4 Horas de Reproducción Musical - Ideal para Trabajo Cotidiano, Juegos y Estudio</t>
        </is>
      </c>
      <c r="H2363" s="16" t="inlineStr">
        <is>
          <t>NEGRO</t>
        </is>
      </c>
      <c r="I2363" s="16" t="n">
        <v>1</v>
      </c>
      <c r="J2363" s="17" t="n">
        <v>36.8</v>
      </c>
      <c r="K2363" s="17" t="n">
        <v>39.93</v>
      </c>
      <c r="L2363" s="17" t="n">
        <v>25.86</v>
      </c>
      <c r="M2363" s="17" t="n">
        <v>0</v>
      </c>
      <c r="N2363" s="17">
        <f>K2363*0.08+L2363*0.08</f>
        <v/>
      </c>
      <c r="O2363" s="17">
        <f>-(K2363*0.025+L2363*0.025)</f>
        <v/>
      </c>
      <c r="P2363" s="17">
        <f>32</f>
        <v/>
      </c>
      <c r="Q2363" s="17">
        <f>J2363+L2363+N2363+O2363-P2363-M2363</f>
        <v/>
      </c>
    </row>
    <row r="2364">
      <c r="A2364" s="16" t="inlineStr">
        <is>
          <t>5.22-5.28</t>
        </is>
      </c>
      <c r="B2364" s="16" t="inlineStr">
        <is>
          <t>PO-128-05447090719350845</t>
        </is>
      </c>
      <c r="C2364" s="16" t="inlineStr">
        <is>
          <t>Shipped</t>
        </is>
      </c>
      <c r="D2364" s="16" t="inlineStr">
        <is>
          <t>128-05447111690870845</t>
        </is>
      </c>
      <c r="E2364" s="16" t="inlineStr">
        <is>
          <t>Shipped</t>
        </is>
      </c>
      <c r="F2364" s="16" t="inlineStr">
        <is>
          <t>MCM-001A</t>
        </is>
      </c>
      <c r="G2364" s="16" t="inlineStr">
        <is>
          <t>Musicord Altavoz Inalámbrico BT Portátil: ¡Sonido impactante, luces LED multicolores y 4 horas de autonomía! Compatible con TWS, FM, TF y USB – Imprescindible para fiestas y viajes</t>
        </is>
      </c>
      <c r="H2364" s="16" t="inlineStr">
        <is>
          <t>AZUL</t>
        </is>
      </c>
      <c r="I2364" s="16" t="n">
        <v>1</v>
      </c>
      <c r="J2364" s="17" t="n">
        <v>51.07</v>
      </c>
      <c r="K2364" s="17" t="n">
        <v>59.47</v>
      </c>
      <c r="L2364" s="17" t="n">
        <v>25.86</v>
      </c>
      <c r="M2364" s="17" t="n">
        <v>0</v>
      </c>
      <c r="N2364" s="17">
        <f>K2364*0.08+L2364*0.08</f>
        <v/>
      </c>
      <c r="O2364" s="17">
        <f>-(K2364*0.025+L2364*0.025)</f>
        <v/>
      </c>
      <c r="P2364" s="17">
        <f>32</f>
        <v/>
      </c>
      <c r="Q2364" s="17">
        <f>J2364+L2364+N2364+O2364-P2364-M2364</f>
        <v/>
      </c>
    </row>
    <row r="2365">
      <c r="A2365" s="16" t="inlineStr">
        <is>
          <t>5.22-5.28</t>
        </is>
      </c>
      <c r="B2365" s="16" t="inlineStr">
        <is>
          <t>PO-128-04934771861113963</t>
        </is>
      </c>
      <c r="C2365" s="16" t="inlineStr">
        <is>
          <t>Shipped</t>
        </is>
      </c>
      <c r="D2365" s="16" t="inlineStr">
        <is>
          <t>128-04934840018553963</t>
        </is>
      </c>
      <c r="E2365" s="16" t="inlineStr">
        <is>
          <t>Shipped</t>
        </is>
      </c>
      <c r="F2365" s="16" t="inlineStr">
        <is>
          <t>VB347T</t>
        </is>
      </c>
      <c r="G236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65" s="16" t="inlineStr">
        <is>
          <t>1 pieza</t>
        </is>
      </c>
      <c r="I2365" s="16" t="n">
        <v>1</v>
      </c>
      <c r="J2365" s="17" t="n">
        <v>79.90000000000001</v>
      </c>
      <c r="K2365" s="17" t="n">
        <v>94.5</v>
      </c>
      <c r="L2365" s="17" t="n">
        <v>25.86</v>
      </c>
      <c r="M2365" s="17" t="n">
        <v>0</v>
      </c>
      <c r="N2365" s="17">
        <f>K2365*0.08+L2365*0.08</f>
        <v/>
      </c>
      <c r="O2365" s="17">
        <f>-(K2365*0.025+L2365*0.025)</f>
        <v/>
      </c>
      <c r="P2365" s="17">
        <f>32</f>
        <v/>
      </c>
      <c r="Q2365" s="17">
        <f>J2365+L2365+N2365+O2365-P2365-M2365</f>
        <v/>
      </c>
    </row>
    <row r="2366">
      <c r="A2366" s="16" t="inlineStr">
        <is>
          <t>5.22-5.28</t>
        </is>
      </c>
      <c r="B2366" s="16" t="inlineStr">
        <is>
          <t>PO-128-05347249751670286</t>
        </is>
      </c>
      <c r="C2366" s="16" t="inlineStr">
        <is>
          <t>Shipped</t>
        </is>
      </c>
      <c r="D2366" s="16" t="inlineStr">
        <is>
          <t>128-05347260237430286</t>
        </is>
      </c>
      <c r="E2366" s="16" t="inlineStr">
        <is>
          <t>Shipped</t>
        </is>
      </c>
      <c r="F2366" s="16" t="inlineStr">
        <is>
          <t>S09W18IB</t>
        </is>
      </c>
      <c r="G236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366" s="16" t="inlineStr">
        <is>
          <t>1 pieza</t>
        </is>
      </c>
      <c r="I2366" s="16" t="n">
        <v>1</v>
      </c>
      <c r="J2366" s="17" t="n">
        <v>33</v>
      </c>
      <c r="K2366" s="17" t="n">
        <v>43.64</v>
      </c>
      <c r="L2366" s="17" t="n">
        <v>25.86</v>
      </c>
      <c r="M2366" s="17" t="n">
        <v>0</v>
      </c>
      <c r="N2366" s="17">
        <f>K2366*0.08+L2366*0.08</f>
        <v/>
      </c>
      <c r="O2366" s="17">
        <f>-(K2366*0.025+L2366*0.025)</f>
        <v/>
      </c>
      <c r="P2366" s="17">
        <f>32</f>
        <v/>
      </c>
      <c r="Q2366" s="17">
        <f>J2366+L2366+N2366+O2366-P2366-M2366</f>
        <v/>
      </c>
    </row>
    <row r="2367">
      <c r="A2367" s="16" t="inlineStr">
        <is>
          <t>5.22-5.28</t>
        </is>
      </c>
      <c r="B2367" s="16" t="inlineStr">
        <is>
          <t>PO-128-04824239652473532</t>
        </is>
      </c>
      <c r="C2367" s="16" t="inlineStr">
        <is>
          <t>Shipped</t>
        </is>
      </c>
      <c r="D2367" s="16" t="inlineStr">
        <is>
          <t>128-04824260623993532</t>
        </is>
      </c>
      <c r="E2367" s="16" t="inlineStr">
        <is>
          <t>Shipped</t>
        </is>
      </c>
      <c r="F2367" s="16" t="inlineStr">
        <is>
          <t>MCM-001G</t>
        </is>
      </c>
      <c r="G2367" s="16" t="inlineStr">
        <is>
          <t>Musicord Altavoz Inalámbrico BT Portátil: ¡Sonido impactante, luces LED multicolores y 4 horas de autonomía! Compatible con TWS, FM, TF y USB – Imprescindible para fiestas y viajes</t>
        </is>
      </c>
      <c r="H2367" s="16" t="inlineStr">
        <is>
          <t>GRIS</t>
        </is>
      </c>
      <c r="I2367" s="16" t="n">
        <v>1</v>
      </c>
      <c r="J2367" s="17" t="n">
        <v>51.07</v>
      </c>
      <c r="K2367" s="17" t="n">
        <v>58.86</v>
      </c>
      <c r="L2367" s="17" t="n">
        <v>25.86</v>
      </c>
      <c r="M2367" s="17" t="n">
        <v>0</v>
      </c>
      <c r="N2367" s="17">
        <f>K2367*0.08+L2367*0.08</f>
        <v/>
      </c>
      <c r="O2367" s="17">
        <f>-(K2367*0.025+L2367*0.025)</f>
        <v/>
      </c>
      <c r="P2367" s="17">
        <f>32</f>
        <v/>
      </c>
      <c r="Q2367" s="17">
        <f>J2367+L2367+N2367+O2367-P2367-M2367</f>
        <v/>
      </c>
    </row>
    <row r="2368">
      <c r="A2368" s="16" t="inlineStr">
        <is>
          <t>5.22-5.28</t>
        </is>
      </c>
      <c r="B2368" s="16" t="inlineStr">
        <is>
          <t>PO-128-04926280648313884</t>
        </is>
      </c>
      <c r="C2368" s="16" t="inlineStr">
        <is>
          <t>Shipped</t>
        </is>
      </c>
      <c r="D2368" s="16" t="inlineStr">
        <is>
          <t>128-04926238705273884</t>
        </is>
      </c>
      <c r="E2368" s="16" t="inlineStr">
        <is>
          <t>Shipped</t>
        </is>
      </c>
      <c r="F2368" s="16" t="inlineStr">
        <is>
          <t>SA325T</t>
        </is>
      </c>
      <c r="G2368" s="16" t="inlineStr">
        <is>
          <t>Subwoofer Portátil Inalámbrico con Luces RGB, Sonido de Alta Potencia y Batería Duradera, TWS TF USB, Perfecto para Campamento Fiestas y Entretenimiento en Casa</t>
        </is>
      </c>
      <c r="H2368" s="16" t="inlineStr">
        <is>
          <t>NEGRO</t>
        </is>
      </c>
      <c r="I2368" s="16" t="n">
        <v>1</v>
      </c>
      <c r="J2368" s="17" t="n">
        <v>37.99</v>
      </c>
      <c r="K2368" s="17" t="n">
        <v>3.93</v>
      </c>
      <c r="L2368" s="17" t="n">
        <v>25.86</v>
      </c>
      <c r="M2368" s="17" t="n">
        <v>0</v>
      </c>
      <c r="N2368" s="17">
        <f>K2368*0.08+L2368*0.08</f>
        <v/>
      </c>
      <c r="O2368" s="17">
        <f>-(K2368*0.025+L2368*0.025)</f>
        <v/>
      </c>
      <c r="P2368" s="17">
        <f>32</f>
        <v/>
      </c>
      <c r="Q2368" s="17">
        <f>J2368+L2368+N2368+O2368-P2368-M2368</f>
        <v/>
      </c>
    </row>
    <row r="2369">
      <c r="A2369" s="16" t="inlineStr">
        <is>
          <t>5.22-5.28</t>
        </is>
      </c>
      <c r="B2369" s="16" t="inlineStr">
        <is>
          <t>PO-128-05119436974712732</t>
        </is>
      </c>
      <c r="C2369" s="16" t="inlineStr">
        <is>
          <t>Shipped</t>
        </is>
      </c>
      <c r="D2369" s="16" t="inlineStr">
        <is>
          <t>128-05119541832312732</t>
        </is>
      </c>
      <c r="E2369" s="16" t="inlineStr">
        <is>
          <t>Shipped</t>
        </is>
      </c>
      <c r="F2369" s="16" t="inlineStr">
        <is>
          <t>LB02235-negro</t>
        </is>
      </c>
      <c r="G2369" s="16" t="inlineStr">
        <is>
          <t>Audífonos Inalámbricos para la Cabeza, Recargables y Multifuncionales - Conectan a Varios Dispositivos, soportan Radio FM, Tarjeta TF y AUX - 4 Horas de Reproducción Musical - Ideal para Trabajo Cotidiano, Juegos y Estudio</t>
        </is>
      </c>
      <c r="H2369" s="16" t="inlineStr">
        <is>
          <t>NEGRO</t>
        </is>
      </c>
      <c r="I2369" s="16" t="n">
        <v>1</v>
      </c>
      <c r="J2369" s="17" t="n">
        <v>36.8</v>
      </c>
      <c r="K2369" s="17" t="n">
        <v>6.81</v>
      </c>
      <c r="L2369" s="17" t="n">
        <v>25.86</v>
      </c>
      <c r="M2369" s="17" t="n">
        <v>0</v>
      </c>
      <c r="N2369" s="17">
        <f>K2369*0.08+L2369*0.08</f>
        <v/>
      </c>
      <c r="O2369" s="17">
        <f>-(K2369*0.025+L2369*0.025)</f>
        <v/>
      </c>
      <c r="P2369" s="17">
        <f>32</f>
        <v/>
      </c>
      <c r="Q2369" s="17">
        <f>J2369+L2369+N2369+O2369-P2369-M2369</f>
        <v/>
      </c>
    </row>
    <row r="2370">
      <c r="A2370" s="16" t="inlineStr">
        <is>
          <t>5.22-5.28</t>
        </is>
      </c>
      <c r="B2370" s="16" t="inlineStr">
        <is>
          <t>PO-128-05321709240951657</t>
        </is>
      </c>
      <c r="C2370" s="16" t="inlineStr">
        <is>
          <t>Shipped</t>
        </is>
      </c>
      <c r="D2370" s="16" t="inlineStr">
        <is>
          <t>128-05321667297911657</t>
        </is>
      </c>
      <c r="E2370" s="16" t="inlineStr">
        <is>
          <t>Shipped</t>
        </is>
      </c>
      <c r="F2370" s="16" t="inlineStr">
        <is>
          <t>LB02235-rojo</t>
        </is>
      </c>
      <c r="G2370" s="16" t="inlineStr">
        <is>
          <t>Audífonos Inalámbricos para la Cabeza, Recargables y Multifuncionales - Conectan a Varios Dispositivos, soportan Radio FM, Tarjeta TF y AUX - 4 Horas de Reproducción Musical - Ideal para Trabajo Cotidiano, Juegos y Estudio</t>
        </is>
      </c>
      <c r="H2370" s="16" t="inlineStr">
        <is>
          <t>ROJO</t>
        </is>
      </c>
      <c r="I2370" s="16" t="n">
        <v>2</v>
      </c>
      <c r="J2370" s="17" t="n">
        <v>73.59999999999999</v>
      </c>
      <c r="K2370" s="17" t="n">
        <v>56.72</v>
      </c>
      <c r="L2370" s="17" t="n">
        <v>25.86</v>
      </c>
      <c r="M2370" s="17" t="n">
        <v>0</v>
      </c>
      <c r="N2370" s="17">
        <f>K2370*0.08+L2370*0.08</f>
        <v/>
      </c>
      <c r="O2370" s="17">
        <f>-(K2370*0.025+L2370*0.025)</f>
        <v/>
      </c>
      <c r="P2370" s="17">
        <f>32</f>
        <v/>
      </c>
      <c r="Q2370" s="17">
        <f>J2370+L2370+N2370+O2370-P2370-M2370</f>
        <v/>
      </c>
    </row>
    <row r="2371">
      <c r="A2371" s="16" t="inlineStr">
        <is>
          <t>5.22-5.28</t>
        </is>
      </c>
      <c r="B2371" s="16" t="inlineStr">
        <is>
          <t>PO-128-05146803466872635</t>
        </is>
      </c>
      <c r="C2371" s="16" t="inlineStr">
        <is>
          <t>Shipped</t>
        </is>
      </c>
      <c r="D2371" s="16" t="inlineStr">
        <is>
          <t>128-05146845409912635</t>
        </is>
      </c>
      <c r="E2371" s="16" t="inlineStr">
        <is>
          <t>Shipped</t>
        </is>
      </c>
      <c r="F2371" s="16" t="inlineStr">
        <is>
          <t>MCM-001G</t>
        </is>
      </c>
      <c r="G2371" s="16" t="inlineStr">
        <is>
          <t>Musicord Altavoz Inalámbrico BT Portátil: ¡Sonido impactante, luces LED multicolores y 4 horas de autonomía! Compatible con TWS, FM, TF y USB – Imprescindible para fiestas y viajes</t>
        </is>
      </c>
      <c r="H2371" s="16" t="inlineStr">
        <is>
          <t>GRIS</t>
        </is>
      </c>
      <c r="I2371" s="16" t="n">
        <v>1</v>
      </c>
      <c r="J2371" s="17" t="n">
        <v>51.07</v>
      </c>
      <c r="K2371" s="17" t="n">
        <v>15.76</v>
      </c>
      <c r="L2371" s="17" t="n">
        <v>25.86</v>
      </c>
      <c r="M2371" s="17" t="n">
        <v>0</v>
      </c>
      <c r="N2371" s="17">
        <f>K2371*0.08+L2371*0.08</f>
        <v/>
      </c>
      <c r="O2371" s="17">
        <f>-(K2371*0.025+L2371*0.025)</f>
        <v/>
      </c>
      <c r="P2371" s="17">
        <f>32</f>
        <v/>
      </c>
      <c r="Q2371" s="17">
        <f>J2371+L2371+N2371+O2371-P2371-M2371</f>
        <v/>
      </c>
    </row>
    <row r="2372">
      <c r="A2372" s="16" t="inlineStr">
        <is>
          <t>5.22-5.28</t>
        </is>
      </c>
      <c r="B2372" s="16" t="inlineStr">
        <is>
          <t>PO-128-05198839368311173</t>
        </is>
      </c>
      <c r="C2372" s="16" t="inlineStr">
        <is>
          <t>Shipped</t>
        </is>
      </c>
      <c r="D2372" s="16" t="inlineStr">
        <is>
          <t>128-05198818396791173</t>
        </is>
      </c>
      <c r="E2372" s="16" t="inlineStr">
        <is>
          <t>Shipped</t>
        </is>
      </c>
      <c r="F2372" s="16" t="inlineStr">
        <is>
          <t>MCM-001N</t>
        </is>
      </c>
      <c r="G2372" s="16" t="inlineStr">
        <is>
          <t>Musicord Altavoz Inalámbrico BT Portátil: ¡Sonido impactante, luces LED multicolores y 4 horas de autonomía! Compatible con TWS, FM, TF y USB – Imprescindible para fiestas y viajes</t>
        </is>
      </c>
      <c r="H2372" s="16" t="inlineStr">
        <is>
          <t>NEGRO</t>
        </is>
      </c>
      <c r="I2372" s="16" t="n">
        <v>1</v>
      </c>
      <c r="J2372" s="17" t="n">
        <v>61</v>
      </c>
      <c r="K2372" s="17" t="n">
        <v>68.79000000000001</v>
      </c>
      <c r="L2372" s="17" t="n">
        <v>25.86</v>
      </c>
      <c r="M2372" s="17" t="n">
        <v>0</v>
      </c>
      <c r="N2372" s="17">
        <f>K2372*0.08+L2372*0.08</f>
        <v/>
      </c>
      <c r="O2372" s="17">
        <f>-(K2372*0.025+L2372*0.025)</f>
        <v/>
      </c>
      <c r="P2372" s="17">
        <f>32</f>
        <v/>
      </c>
      <c r="Q2372" s="17">
        <f>J2372+L2372+N2372+O2372-P2372-M2372</f>
        <v/>
      </c>
    </row>
    <row r="2373">
      <c r="A2373" s="16" t="inlineStr">
        <is>
          <t>5.22-5.28</t>
        </is>
      </c>
      <c r="B2373" s="16" t="inlineStr">
        <is>
          <t>PO-128-05405299763830068</t>
        </is>
      </c>
      <c r="C2373" s="16" t="inlineStr">
        <is>
          <t>Shipped</t>
        </is>
      </c>
      <c r="D2373" s="16" t="inlineStr">
        <is>
          <t>128-05405436078710068</t>
        </is>
      </c>
      <c r="E2373" s="16" t="inlineStr">
        <is>
          <t>Shipped</t>
        </is>
      </c>
      <c r="F2373" s="16" t="inlineStr">
        <is>
          <t>MB-185N</t>
        </is>
      </c>
      <c r="G2373" s="16" t="inlineStr">
        <is>
          <t>Bocina Radio FM/Reproductor, Compatible con Tarjeta TF, USB, Bluetooth, Aplicable para celular, computadora, Ipad y consola.</t>
        </is>
      </c>
      <c r="H2373" s="16" t="inlineStr">
        <is>
          <t>NEGRO/MB-185</t>
        </is>
      </c>
      <c r="I2373" s="16" t="n">
        <v>1</v>
      </c>
      <c r="J2373" s="17" t="n">
        <v>75.5</v>
      </c>
      <c r="K2373" s="17" t="n">
        <v>88.44</v>
      </c>
      <c r="L2373" s="17" t="n">
        <v>25.86</v>
      </c>
      <c r="M2373" s="17" t="n">
        <v>0</v>
      </c>
      <c r="N2373" s="17">
        <f>K2373*0.08+L2373*0.08</f>
        <v/>
      </c>
      <c r="O2373" s="17">
        <f>-(K2373*0.025+L2373*0.025)</f>
        <v/>
      </c>
      <c r="P2373" s="17">
        <f>32</f>
        <v/>
      </c>
      <c r="Q2373" s="17">
        <f>J2373+L2373+N2373+O2373-P2373-M2373</f>
        <v/>
      </c>
    </row>
    <row r="2374">
      <c r="A2374" s="16" t="inlineStr">
        <is>
          <t>5.22-5.28</t>
        </is>
      </c>
      <c r="B2374" s="16" t="inlineStr">
        <is>
          <t>PO-128-05426681805430967</t>
        </is>
      </c>
      <c r="C2374" s="16" t="inlineStr">
        <is>
          <t>Shipped</t>
        </is>
      </c>
      <c r="D2374" s="16" t="inlineStr">
        <is>
          <t>128-05426708019830967</t>
        </is>
      </c>
      <c r="E2374" s="16" t="inlineStr">
        <is>
          <t>Shipped</t>
        </is>
      </c>
      <c r="F2374" s="16" t="inlineStr">
        <is>
          <t>EM04W36</t>
        </is>
      </c>
      <c r="G237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374" s="16" t="inlineStr">
        <is>
          <t>1 pieza</t>
        </is>
      </c>
      <c r="I2374" s="16" t="n">
        <v>1</v>
      </c>
      <c r="J2374" s="17" t="n">
        <v>62</v>
      </c>
      <c r="K2374" s="17" t="n">
        <v>71.29000000000001</v>
      </c>
      <c r="L2374" s="17" t="n">
        <v>25.86</v>
      </c>
      <c r="M2374" s="17" t="n">
        <v>0</v>
      </c>
      <c r="N2374" s="17">
        <f>K2374*0.08+L2374*0.08</f>
        <v/>
      </c>
      <c r="O2374" s="17">
        <f>-(K2374*0.025+L2374*0.025)</f>
        <v/>
      </c>
      <c r="P2374" s="17">
        <f>32</f>
        <v/>
      </c>
      <c r="Q2374" s="17">
        <f>J2374+L2374+N2374+O2374-P2374-M2374</f>
        <v/>
      </c>
    </row>
    <row r="2375">
      <c r="A2375" s="16" t="inlineStr">
        <is>
          <t>5.22-5.28</t>
        </is>
      </c>
      <c r="B2375" s="16" t="inlineStr">
        <is>
          <t>PO-128-05465756775030732</t>
        </is>
      </c>
      <c r="C2375" s="16" t="inlineStr">
        <is>
          <t>Shipped</t>
        </is>
      </c>
      <c r="D2375" s="16" t="inlineStr">
        <is>
          <t>128-05465704346230732</t>
        </is>
      </c>
      <c r="E2375" s="16" t="inlineStr">
        <is>
          <t>Shipped</t>
        </is>
      </c>
      <c r="F2375" s="16" t="inlineStr">
        <is>
          <t>VB347T</t>
        </is>
      </c>
      <c r="G237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75" s="16" t="inlineStr">
        <is>
          <t>1 pieza</t>
        </is>
      </c>
      <c r="I2375" s="16" t="n">
        <v>1</v>
      </c>
      <c r="J2375" s="17" t="n">
        <v>79.90000000000001</v>
      </c>
      <c r="K2375" s="17" t="n">
        <v>94.5</v>
      </c>
      <c r="L2375" s="17" t="n">
        <v>25.86</v>
      </c>
      <c r="M2375" s="17" t="n">
        <v>0</v>
      </c>
      <c r="N2375" s="17">
        <f>K2375*0.08+L2375*0.08</f>
        <v/>
      </c>
      <c r="O2375" s="17">
        <f>-(K2375*0.025+L2375*0.025)</f>
        <v/>
      </c>
      <c r="P2375" s="17">
        <f>32</f>
        <v/>
      </c>
      <c r="Q2375" s="17">
        <f>J2375+L2375+N2375+O2375-P2375-M2375</f>
        <v/>
      </c>
    </row>
    <row r="2376">
      <c r="A2376" s="16" t="inlineStr">
        <is>
          <t>5.22-5.28</t>
        </is>
      </c>
      <c r="B2376" s="16" t="inlineStr">
        <is>
          <t>PO-128-05111027000952718</t>
        </is>
      </c>
      <c r="C2376" s="16" t="inlineStr">
        <is>
          <t>Shipped</t>
        </is>
      </c>
      <c r="D2376" s="16" t="inlineStr">
        <is>
          <t>128-05111163315832718</t>
        </is>
      </c>
      <c r="E2376" s="16" t="inlineStr">
        <is>
          <t>Shipped</t>
        </is>
      </c>
      <c r="F2376" s="16" t="inlineStr">
        <is>
          <t>HD005</t>
        </is>
      </c>
      <c r="G2376" s="16" t="inlineStr">
        <is>
          <t>Link bits HD005 Antena UHF para Exteriores, Antena de TV Digital HD con 10 Metros de Cable, Recepción 470-862MHz, 9-7dB de Ganancia, Antena para Canales Abiertos y HD, Resistente al Agua y Viento, Fácil Instalación</t>
        </is>
      </c>
      <c r="H2376" s="16" t="inlineStr">
        <is>
          <t>1</t>
        </is>
      </c>
      <c r="I2376" s="16" t="n">
        <v>3</v>
      </c>
      <c r="J2376" s="17" t="n">
        <v>225</v>
      </c>
      <c r="K2376" s="17" t="n">
        <v>277.98</v>
      </c>
      <c r="L2376" s="17" t="n">
        <v>0</v>
      </c>
      <c r="M2376" s="17" t="n">
        <v>0</v>
      </c>
      <c r="N2376" s="17">
        <f>K2376*0.08+L2376*0.08</f>
        <v/>
      </c>
      <c r="O2376" s="17">
        <f>-(K2376*0.025+L2376*0.025)</f>
        <v/>
      </c>
      <c r="P2376" s="17">
        <f>32</f>
        <v/>
      </c>
      <c r="Q2376" s="17">
        <f>J2376+L2376+N2376+O2376-P2376-M2376</f>
        <v/>
      </c>
    </row>
    <row r="2377">
      <c r="A2377" s="16" t="inlineStr">
        <is>
          <t>5.22-5.28</t>
        </is>
      </c>
      <c r="B2377" s="16" t="inlineStr">
        <is>
          <t>PO-128-05115378140792692</t>
        </is>
      </c>
      <c r="C2377" s="16" t="inlineStr">
        <is>
          <t>Shipped</t>
        </is>
      </c>
      <c r="D2377" s="16" t="inlineStr">
        <is>
          <t>128-05115454162552692</t>
        </is>
      </c>
      <c r="E2377" s="16" t="inlineStr">
        <is>
          <t>Shipped</t>
        </is>
      </c>
      <c r="F2377" s="16" t="inlineStr">
        <is>
          <t>EM04W36-2PZS</t>
        </is>
      </c>
      <c r="G237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377" s="16" t="inlineStr">
        <is>
          <t>2 piezas</t>
        </is>
      </c>
      <c r="I2377" s="16" t="n">
        <v>1</v>
      </c>
      <c r="J2377" s="17" t="n">
        <v>125</v>
      </c>
      <c r="K2377" s="17" t="n">
        <v>162.46</v>
      </c>
      <c r="L2377" s="17" t="n">
        <v>25.86</v>
      </c>
      <c r="M2377" s="17" t="n">
        <v>0</v>
      </c>
      <c r="N2377" s="17">
        <f>K2377*0.08+L2377*0.08</f>
        <v/>
      </c>
      <c r="O2377" s="17">
        <f>-(K2377*0.025+L2377*0.025)</f>
        <v/>
      </c>
      <c r="P2377" s="17">
        <f>32</f>
        <v/>
      </c>
      <c r="Q2377" s="17">
        <f>J2377+L2377+N2377+O2377-P2377-M2377</f>
        <v/>
      </c>
    </row>
    <row r="2378">
      <c r="A2378" s="16" t="inlineStr">
        <is>
          <t>5.22-5.28</t>
        </is>
      </c>
      <c r="B2378" s="16" t="inlineStr">
        <is>
          <t>PO-128-05339360999030463</t>
        </is>
      </c>
      <c r="C2378" s="16" t="inlineStr">
        <is>
          <t>Shipped</t>
        </is>
      </c>
      <c r="D2378" s="16" t="inlineStr">
        <is>
          <t>128-05339371484790463</t>
        </is>
      </c>
      <c r="E2378" s="16" t="inlineStr">
        <is>
          <t>Shipped</t>
        </is>
      </c>
      <c r="F2378" s="16" t="inlineStr">
        <is>
          <t>LB02235-negro</t>
        </is>
      </c>
      <c r="G2378" s="16" t="inlineStr">
        <is>
          <t>Audífonos Inalámbricos para la Cabeza, Recargables y Multifuncionales - Conectan a Varios Dispositivos, soportan Radio FM, Tarjeta TF y AUX - 4 Horas de Reproducción Musical - Ideal para Trabajo Cotidiano, Juegos y Estudio</t>
        </is>
      </c>
      <c r="H2378" s="16" t="inlineStr">
        <is>
          <t>NEGRO</t>
        </is>
      </c>
      <c r="I2378" s="16" t="n">
        <v>1</v>
      </c>
      <c r="J2378" s="17" t="n">
        <v>36.8</v>
      </c>
      <c r="K2378" s="17" t="n">
        <v>42.43</v>
      </c>
      <c r="L2378" s="17" t="n">
        <v>25.86</v>
      </c>
      <c r="M2378" s="17" t="n">
        <v>0</v>
      </c>
      <c r="N2378" s="17">
        <f>K2378*0.08+L2378*0.08</f>
        <v/>
      </c>
      <c r="O2378" s="17">
        <f>-(K2378*0.025+L2378*0.025)</f>
        <v/>
      </c>
      <c r="P2378" s="17">
        <f>32</f>
        <v/>
      </c>
      <c r="Q2378" s="17">
        <f>J2378+L2378+N2378+O2378-P2378-M2378</f>
        <v/>
      </c>
    </row>
    <row r="2379">
      <c r="A2379" s="16" t="inlineStr">
        <is>
          <t>5.22-5.28</t>
        </is>
      </c>
      <c r="B2379" s="16" t="inlineStr">
        <is>
          <t>PO-128-05449346560630894</t>
        </is>
      </c>
      <c r="C2379" s="16" t="inlineStr">
        <is>
          <t>Shipped</t>
        </is>
      </c>
      <c r="D2379" s="16" t="inlineStr">
        <is>
          <t>128-05449367532150894</t>
        </is>
      </c>
      <c r="E2379" s="16" t="inlineStr">
        <is>
          <t>Shipped</t>
        </is>
      </c>
      <c r="F2379" s="16" t="inlineStr">
        <is>
          <t>VA880T</t>
        </is>
      </c>
      <c r="G237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379" s="16" t="inlineStr">
        <is>
          <t>1 pieza</t>
        </is>
      </c>
      <c r="I2379" s="16" t="n">
        <v>2</v>
      </c>
      <c r="J2379" s="17" t="n">
        <v>229.96</v>
      </c>
      <c r="K2379" s="17" t="n">
        <v>229.1</v>
      </c>
      <c r="L2379" s="17" t="n">
        <v>25.86</v>
      </c>
      <c r="M2379" s="17" t="n">
        <v>0</v>
      </c>
      <c r="N2379" s="17">
        <f>K2379*0.08+L2379*0.08</f>
        <v/>
      </c>
      <c r="O2379" s="17">
        <f>-(K2379*0.025+L2379*0.025)</f>
        <v/>
      </c>
      <c r="P2379" s="17">
        <f>32</f>
        <v/>
      </c>
      <c r="Q2379" s="17">
        <f>J2379+L2379+N2379+O2379-P2379-M2379</f>
        <v/>
      </c>
    </row>
    <row r="2380">
      <c r="A2380" s="16" t="inlineStr">
        <is>
          <t>5.22-5.28</t>
        </is>
      </c>
      <c r="B2380" s="16" t="inlineStr">
        <is>
          <t>PO-128-05421030651510937</t>
        </is>
      </c>
      <c r="C2380" s="16" t="inlineStr">
        <is>
          <t>Shipped</t>
        </is>
      </c>
      <c r="D2380" s="16" t="inlineStr">
        <is>
          <t>128-05420988708470937</t>
        </is>
      </c>
      <c r="E2380" s="16" t="inlineStr">
        <is>
          <t>Shipped</t>
        </is>
      </c>
      <c r="F2380" s="16" t="inlineStr">
        <is>
          <t>LB02235-negro</t>
        </is>
      </c>
      <c r="G2380" s="16" t="inlineStr">
        <is>
          <t>Audífonos Inalámbricos para la Cabeza, Recargables y Multifuncionales - Conectan a Varios Dispositivos, soportan Radio FM, Tarjeta TF y AUX - 4 Horas de Reproducción Musical - Ideal para Trabajo Cotidiano, Juegos y Estudio</t>
        </is>
      </c>
      <c r="H2380" s="16" t="inlineStr">
        <is>
          <t>NEGRO</t>
        </is>
      </c>
      <c r="I2380" s="16" t="n">
        <v>1</v>
      </c>
      <c r="J2380" s="17" t="n">
        <v>36.8</v>
      </c>
      <c r="K2380" s="17" t="n">
        <v>6.81</v>
      </c>
      <c r="L2380" s="17" t="n">
        <v>25.86</v>
      </c>
      <c r="M2380" s="17" t="n">
        <v>0</v>
      </c>
      <c r="N2380" s="17">
        <f>K2380*0.08+L2380*0.08</f>
        <v/>
      </c>
      <c r="O2380" s="17">
        <f>-(K2380*0.025+L2380*0.025)</f>
        <v/>
      </c>
      <c r="P2380" s="17">
        <f>32</f>
        <v/>
      </c>
      <c r="Q2380" s="17">
        <f>J2380+L2380+N2380+O2380-P2380-M2380</f>
        <v/>
      </c>
    </row>
    <row r="2381">
      <c r="A2381" s="16" t="inlineStr">
        <is>
          <t>5.22-5.28</t>
        </is>
      </c>
      <c r="B2381" s="16" t="inlineStr">
        <is>
          <t>PO-128-05048895386232067</t>
        </is>
      </c>
      <c r="C2381" s="16" t="inlineStr">
        <is>
          <t>Shipped</t>
        </is>
      </c>
      <c r="D2381" s="16" t="inlineStr">
        <is>
          <t>128-05048853443192067</t>
        </is>
      </c>
      <c r="E2381" s="16" t="inlineStr">
        <is>
          <t>Shipped</t>
        </is>
      </c>
      <c r="F2381" s="16" t="inlineStr">
        <is>
          <t>LB02235-negro</t>
        </is>
      </c>
      <c r="G2381" s="16" t="inlineStr">
        <is>
          <t>Audífonos Inalámbricos para la Cabeza, Recargables y Multifuncionales - Conectan a Varios Dispositivos, soportan Radio FM, Tarjeta TF y AUX - 4 Horas de Reproducción Musical - Ideal para Trabajo Cotidiano, Juegos y Estudio</t>
        </is>
      </c>
      <c r="H2381" s="16" t="inlineStr">
        <is>
          <t>NEGRO</t>
        </is>
      </c>
      <c r="I2381" s="16" t="n">
        <v>1</v>
      </c>
      <c r="J2381" s="17" t="n">
        <v>36.8</v>
      </c>
      <c r="K2381" s="17" t="n">
        <v>49.91</v>
      </c>
      <c r="L2381" s="17" t="n">
        <v>25.86</v>
      </c>
      <c r="M2381" s="17" t="n">
        <v>0</v>
      </c>
      <c r="N2381" s="17">
        <f>K2381*0.08+L2381*0.08</f>
        <v/>
      </c>
      <c r="O2381" s="17">
        <f>-(K2381*0.025+L2381*0.025)</f>
        <v/>
      </c>
      <c r="P2381" s="17">
        <f>32</f>
        <v/>
      </c>
      <c r="Q2381" s="17">
        <f>J2381+L2381+N2381+O2381-P2381-M2381</f>
        <v/>
      </c>
    </row>
    <row r="2382">
      <c r="A2382" s="16" t="inlineStr">
        <is>
          <t>5.22-5.28</t>
        </is>
      </c>
      <c r="B2382" s="16" t="inlineStr">
        <is>
          <t>PO-128-05258459428472032</t>
        </is>
      </c>
      <c r="C2382" s="16" t="inlineStr">
        <is>
          <t>Shipped</t>
        </is>
      </c>
      <c r="D2382" s="16" t="inlineStr">
        <is>
          <t>128-05258417485432032</t>
        </is>
      </c>
      <c r="E2382" s="16" t="inlineStr">
        <is>
          <t>Shipped</t>
        </is>
      </c>
      <c r="F2382" s="16" t="inlineStr">
        <is>
          <t>SA325T</t>
        </is>
      </c>
      <c r="G2382" s="16" t="inlineStr">
        <is>
          <t>Subwoofer Portátil Inalámbrico con Luces RGB, Sonido de Alta Potencia y Batería Duradera, TWS TF USB, Perfecto para Campamento Fiestas y Entretenimiento en Casa</t>
        </is>
      </c>
      <c r="H2382" s="16" t="inlineStr">
        <is>
          <t>NEGRO</t>
        </is>
      </c>
      <c r="I2382" s="16" t="n">
        <v>1</v>
      </c>
      <c r="J2382" s="17" t="n">
        <v>37.99</v>
      </c>
      <c r="K2382" s="17" t="n">
        <v>3.93</v>
      </c>
      <c r="L2382" s="17" t="n">
        <v>25.86</v>
      </c>
      <c r="M2382" s="17" t="n">
        <v>0</v>
      </c>
      <c r="N2382" s="17">
        <f>K2382*0.08+L2382*0.08</f>
        <v/>
      </c>
      <c r="O2382" s="17">
        <f>-(K2382*0.025+L2382*0.025)</f>
        <v/>
      </c>
      <c r="P2382" s="17">
        <f>32</f>
        <v/>
      </c>
      <c r="Q2382" s="17">
        <f>J2382+L2382+N2382+O2382-P2382-M2382</f>
        <v/>
      </c>
    </row>
    <row r="2383">
      <c r="A2383" s="16" t="inlineStr">
        <is>
          <t>5.22-5.28</t>
        </is>
      </c>
      <c r="B2383" s="16" t="inlineStr">
        <is>
          <t>PO-128-04900561879673975</t>
        </is>
      </c>
      <c r="C2383" s="16" t="inlineStr">
        <is>
          <t>Shipped</t>
        </is>
      </c>
      <c r="D2383" s="16" t="inlineStr">
        <is>
          <t>128-04900582851193975</t>
        </is>
      </c>
      <c r="E2383" s="16" t="inlineStr">
        <is>
          <t>Shipped</t>
        </is>
      </c>
      <c r="F2383" s="16" t="inlineStr">
        <is>
          <t>FA028</t>
        </is>
      </c>
      <c r="G2383" s="16" t="inlineStr">
        <is>
          <t>Extractor de agua para garrafas de agua, compatible con carga USB, extractor de agua automático, práctico, con dos modos de toma de agua: manual y programado, ideal para dormitorios, salones, oficinas, uso al aire libre y otros escenarios.</t>
        </is>
      </c>
      <c r="H2383" s="16" t="inlineStr">
        <is>
          <t>FA028</t>
        </is>
      </c>
      <c r="I2383" s="16" t="n">
        <v>1</v>
      </c>
      <c r="J2383" s="17" t="n">
        <v>35</v>
      </c>
      <c r="K2383" s="17" t="n">
        <v>35.67</v>
      </c>
      <c r="L2383" s="17" t="n">
        <v>25.86</v>
      </c>
      <c r="M2383" s="17" t="n">
        <v>0</v>
      </c>
      <c r="N2383" s="17">
        <f>K2383*0.08+L2383*0.08</f>
        <v/>
      </c>
      <c r="O2383" s="17">
        <f>-(K2383*0.025+L2383*0.025)</f>
        <v/>
      </c>
      <c r="P2383" s="17">
        <f>32</f>
        <v/>
      </c>
      <c r="Q2383" s="17">
        <f>J2383+L2383+N2383+O2383-P2383-M2383</f>
        <v/>
      </c>
    </row>
    <row r="2384">
      <c r="A2384" s="16" t="inlineStr">
        <is>
          <t>5.22-5.28</t>
        </is>
      </c>
      <c r="B2384" s="16" t="inlineStr">
        <is>
          <t>PO-128-04931957765753914</t>
        </is>
      </c>
      <c r="C2384" s="16" t="inlineStr">
        <is>
          <t>Shipped</t>
        </is>
      </c>
      <c r="D2384" s="16" t="inlineStr">
        <is>
          <t>128-04931995776633914</t>
        </is>
      </c>
      <c r="E2384" s="16" t="inlineStr">
        <is>
          <t>Shipped</t>
        </is>
      </c>
      <c r="F2384" s="16" t="inlineStr">
        <is>
          <t>EM04W36</t>
        </is>
      </c>
      <c r="G238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384" s="16" t="inlineStr">
        <is>
          <t>1 pieza</t>
        </is>
      </c>
      <c r="I2384" s="16" t="n">
        <v>1</v>
      </c>
      <c r="J2384" s="17" t="n">
        <v>62</v>
      </c>
      <c r="K2384" s="17" t="n">
        <v>71.29000000000001</v>
      </c>
      <c r="L2384" s="17" t="n">
        <v>25.86</v>
      </c>
      <c r="M2384" s="17" t="n">
        <v>0</v>
      </c>
      <c r="N2384" s="17">
        <f>K2384*0.08+L2384*0.08</f>
        <v/>
      </c>
      <c r="O2384" s="17">
        <f>-(K2384*0.025+L2384*0.025)</f>
        <v/>
      </c>
      <c r="P2384" s="17">
        <f>32</f>
        <v/>
      </c>
      <c r="Q2384" s="17">
        <f>J2384+L2384+N2384+O2384-P2384-M2384</f>
        <v/>
      </c>
    </row>
    <row r="2385">
      <c r="A2385" s="16" t="inlineStr">
        <is>
          <t>5.22-5.28</t>
        </is>
      </c>
      <c r="B2385" s="16" t="inlineStr">
        <is>
          <t>PO-128-05299229041271791</t>
        </is>
      </c>
      <c r="C2385" s="16" t="inlineStr">
        <is>
          <t>Shipped</t>
        </is>
      </c>
      <c r="D2385" s="16" t="inlineStr">
        <is>
          <t>128-05299187098231791</t>
        </is>
      </c>
      <c r="E2385" s="16" t="inlineStr">
        <is>
          <t>Shipped</t>
        </is>
      </c>
      <c r="F2385" s="16" t="inlineStr">
        <is>
          <t>MB-185A</t>
        </is>
      </c>
      <c r="G2385" s="16" t="inlineStr">
        <is>
          <t>Bocina Radio FM/Reproductor, Compatible con Tarjeta TF, USB, Bluetooth, Aplicable para celular, computadora, Ipad y consola.</t>
        </is>
      </c>
      <c r="H2385" s="16" t="inlineStr">
        <is>
          <t>AZUL/MB-185</t>
        </is>
      </c>
      <c r="I2385" s="16" t="n">
        <v>1</v>
      </c>
      <c r="J2385" s="17" t="n">
        <v>73</v>
      </c>
      <c r="K2385" s="17" t="n">
        <v>42.84</v>
      </c>
      <c r="L2385" s="17" t="n">
        <v>25.86</v>
      </c>
      <c r="M2385" s="17" t="n">
        <v>0</v>
      </c>
      <c r="N2385" s="17">
        <f>K2385*0.08+L2385*0.08</f>
        <v/>
      </c>
      <c r="O2385" s="17">
        <f>-(K2385*0.025+L2385*0.025)</f>
        <v/>
      </c>
      <c r="P2385" s="17">
        <f>32</f>
        <v/>
      </c>
      <c r="Q2385" s="17">
        <f>J2385+L2385+N2385+O2385-P2385-M2385</f>
        <v/>
      </c>
    </row>
    <row r="2386">
      <c r="A2386" s="16" t="inlineStr">
        <is>
          <t>5.22-5.28</t>
        </is>
      </c>
      <c r="B2386" s="16" t="inlineStr">
        <is>
          <t>PO-128-04935001999993960</t>
        </is>
      </c>
      <c r="C2386" s="16" t="inlineStr">
        <is>
          <t>Shipped</t>
        </is>
      </c>
      <c r="D2386" s="16" t="inlineStr">
        <is>
          <t>128-04934981028473960</t>
        </is>
      </c>
      <c r="E2386" s="16" t="inlineStr">
        <is>
          <t>Shipped</t>
        </is>
      </c>
      <c r="F2386" s="16" t="inlineStr">
        <is>
          <t>EM04W36</t>
        </is>
      </c>
      <c r="G238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386" s="16" t="inlineStr">
        <is>
          <t>1 pieza</t>
        </is>
      </c>
      <c r="I2386" s="16" t="n">
        <v>1</v>
      </c>
      <c r="J2386" s="17" t="n">
        <v>62</v>
      </c>
      <c r="K2386" s="17" t="n">
        <v>71.29000000000001</v>
      </c>
      <c r="L2386" s="17" t="n">
        <v>25.86</v>
      </c>
      <c r="M2386" s="17" t="n">
        <v>0</v>
      </c>
      <c r="N2386" s="17">
        <f>K2386*0.08+L2386*0.08</f>
        <v/>
      </c>
      <c r="O2386" s="17">
        <f>-(K2386*0.025+L2386*0.025)</f>
        <v/>
      </c>
      <c r="P2386" s="17">
        <f>32</f>
        <v/>
      </c>
      <c r="Q2386" s="17">
        <f>J2386+L2386+N2386+O2386-P2386-M2386</f>
        <v/>
      </c>
    </row>
    <row r="2387">
      <c r="A2387" s="16" t="inlineStr">
        <is>
          <t>5.22-5.28</t>
        </is>
      </c>
      <c r="B2387" s="16" t="inlineStr">
        <is>
          <t>PO-128-05217006029431257</t>
        </is>
      </c>
      <c r="C2387" s="16" t="inlineStr">
        <is>
          <t>Shipped</t>
        </is>
      </c>
      <c r="D2387" s="16" t="inlineStr">
        <is>
          <t>128-05216964086391257</t>
        </is>
      </c>
      <c r="E2387" s="16" t="inlineStr">
        <is>
          <t>Shipped</t>
        </is>
      </c>
      <c r="F2387" s="16" t="inlineStr">
        <is>
          <t>SA325T</t>
        </is>
      </c>
      <c r="G2387" s="16" t="inlineStr">
        <is>
          <t>Subwoofer Portátil Inalámbrico con Luces RGB, Sonido de Alta Potencia y Batería Duradera, TWS TF USB, Perfecto para Campamento Fiestas y Entretenimiento en Casa</t>
        </is>
      </c>
      <c r="H2387" s="16" t="inlineStr">
        <is>
          <t>NEGRO</t>
        </is>
      </c>
      <c r="I2387" s="16" t="n">
        <v>1</v>
      </c>
      <c r="J2387" s="17" t="n">
        <v>37.99</v>
      </c>
      <c r="K2387" s="17" t="n">
        <v>47.03</v>
      </c>
      <c r="L2387" s="17" t="n">
        <v>25.86</v>
      </c>
      <c r="M2387" s="17" t="n">
        <v>0</v>
      </c>
      <c r="N2387" s="17">
        <f>K2387*0.08+L2387*0.08</f>
        <v/>
      </c>
      <c r="O2387" s="17">
        <f>-(K2387*0.025+L2387*0.025)</f>
        <v/>
      </c>
      <c r="P2387" s="17">
        <f>32</f>
        <v/>
      </c>
      <c r="Q2387" s="17">
        <f>J2387+L2387+N2387+O2387-P2387-M2387</f>
        <v/>
      </c>
    </row>
    <row r="2388">
      <c r="A2388" s="16" t="inlineStr">
        <is>
          <t>5.22-5.28</t>
        </is>
      </c>
      <c r="B2388" s="16" t="inlineStr">
        <is>
          <t>PO-128-04941285827193730</t>
        </is>
      </c>
      <c r="C2388" s="16" t="inlineStr">
        <is>
          <t>Shipped</t>
        </is>
      </c>
      <c r="D2388" s="16" t="inlineStr">
        <is>
          <t>128-04941275341433730</t>
        </is>
      </c>
      <c r="E2388" s="16" t="inlineStr">
        <is>
          <t>Shipped</t>
        </is>
      </c>
      <c r="F2388" s="16" t="inlineStr">
        <is>
          <t>MCM-001A</t>
        </is>
      </c>
      <c r="G2388" s="16" t="inlineStr">
        <is>
          <t>Musicord Altavoz Inalámbrico BT Portátil: ¡Sonido impactante, luces LED multicolores y 4 horas de autonomía! Compatible con TWS, FM, TF y USB – Imprescindible para fiestas y viajes</t>
        </is>
      </c>
      <c r="H2388" s="16" t="inlineStr">
        <is>
          <t>AZUL</t>
        </is>
      </c>
      <c r="I2388" s="16" t="n">
        <v>5</v>
      </c>
      <c r="J2388" s="17" t="n">
        <v>255.35</v>
      </c>
      <c r="K2388" s="17" t="n">
        <v>297.35</v>
      </c>
      <c r="L2388" s="17" t="n">
        <v>0</v>
      </c>
      <c r="M2388" s="17" t="n">
        <v>0</v>
      </c>
      <c r="N2388" s="17">
        <f>K2388*0.08+L2388*0.08</f>
        <v/>
      </c>
      <c r="O2388" s="17">
        <f>-(K2388*0.025+L2388*0.025)</f>
        <v/>
      </c>
      <c r="P2388" s="17">
        <f>32</f>
        <v/>
      </c>
      <c r="Q2388" s="17">
        <f>J2388+L2388+N2388+O2388-P2388-M2388</f>
        <v/>
      </c>
    </row>
    <row r="2389">
      <c r="A2389" s="16" t="inlineStr">
        <is>
          <t>5.22-5.28</t>
        </is>
      </c>
      <c r="B2389" s="16" t="inlineStr">
        <is>
          <t>PO-128-05479242639990524</t>
        </is>
      </c>
      <c r="C2389" s="16" t="inlineStr">
        <is>
          <t>Shipped</t>
        </is>
      </c>
      <c r="D2389" s="16" t="inlineStr">
        <is>
          <t>128-05479200696950524</t>
        </is>
      </c>
      <c r="E2389" s="16" t="inlineStr">
        <is>
          <t>Shipped</t>
        </is>
      </c>
      <c r="F2389" s="16" t="inlineStr">
        <is>
          <t>MCM-001A</t>
        </is>
      </c>
      <c r="G2389" s="16" t="inlineStr">
        <is>
          <t>Musicord Altavoz Inalámbrico BT Portátil: ¡Sonido impactante, luces LED multicolores y 4 horas de autonomía! Compatible con TWS, FM, TF y USB – Imprescindible para fiestas y viajes</t>
        </is>
      </c>
      <c r="H2389" s="16" t="inlineStr">
        <is>
          <t>AZUL</t>
        </is>
      </c>
      <c r="I2389" s="16" t="n">
        <v>1</v>
      </c>
      <c r="J2389" s="17" t="n">
        <v>51.07</v>
      </c>
      <c r="K2389" s="17" t="n">
        <v>16.37</v>
      </c>
      <c r="L2389" s="17" t="n">
        <v>25.86</v>
      </c>
      <c r="M2389" s="17" t="n">
        <v>0</v>
      </c>
      <c r="N2389" s="17">
        <f>K2389*0.08+L2389*0.08</f>
        <v/>
      </c>
      <c r="O2389" s="17">
        <f>-(K2389*0.025+L2389*0.025)</f>
        <v/>
      </c>
      <c r="P2389" s="17">
        <f>32</f>
        <v/>
      </c>
      <c r="Q2389" s="17">
        <f>J2389+L2389+N2389+O2389-P2389-M2389</f>
        <v/>
      </c>
    </row>
    <row r="2390">
      <c r="A2390" s="16" t="inlineStr">
        <is>
          <t>5.22-5.28</t>
        </is>
      </c>
      <c r="B2390" s="16" t="inlineStr">
        <is>
          <t>PO-128-17412012178552297</t>
        </is>
      </c>
      <c r="C2390" s="16" t="inlineStr">
        <is>
          <t>Shipped</t>
        </is>
      </c>
      <c r="D2390" s="16" t="inlineStr">
        <is>
          <t>128-17412033150072297</t>
        </is>
      </c>
      <c r="E2390" s="16" t="inlineStr">
        <is>
          <t>Shipped</t>
        </is>
      </c>
      <c r="F2390" s="16" t="inlineStr">
        <is>
          <t>MB-185N</t>
        </is>
      </c>
      <c r="G2390" s="16" t="inlineStr">
        <is>
          <t>Bocina Radio FM/Reproductor, Compatible con Tarjeta TF, USB, Bluetooth, Aplicable para celular, computadora, Ipad y consola.</t>
        </is>
      </c>
      <c r="H2390" s="16" t="inlineStr">
        <is>
          <t>NEGRO/MB-185</t>
        </is>
      </c>
      <c r="I2390" s="16" t="n">
        <v>1</v>
      </c>
      <c r="J2390" s="17" t="n">
        <v>75.5</v>
      </c>
      <c r="K2390" s="17" t="n">
        <v>88.44</v>
      </c>
      <c r="L2390" s="17" t="n">
        <v>25.86</v>
      </c>
      <c r="M2390" s="17" t="n">
        <v>0</v>
      </c>
      <c r="N2390" s="17">
        <f>K2390*0.08+L2390*0.08</f>
        <v/>
      </c>
      <c r="O2390" s="17">
        <f>-(K2390*0.025+L2390*0.025)</f>
        <v/>
      </c>
      <c r="P2390" s="17">
        <f>32</f>
        <v/>
      </c>
      <c r="Q2390" s="17">
        <f>J2390+L2390+N2390+O2390-P2390-M2390</f>
        <v/>
      </c>
    </row>
    <row r="2391">
      <c r="A2391" s="16" t="inlineStr">
        <is>
          <t>5.22-5.28</t>
        </is>
      </c>
      <c r="B2391" s="16" t="inlineStr">
        <is>
          <t>PO-128-17308361659513939</t>
        </is>
      </c>
      <c r="C2391" s="16" t="inlineStr">
        <is>
          <t>Shipped</t>
        </is>
      </c>
      <c r="D2391" s="16" t="inlineStr">
        <is>
          <t>128-17308377388153939</t>
        </is>
      </c>
      <c r="E2391" s="16" t="inlineStr">
        <is>
          <t>Shipped</t>
        </is>
      </c>
      <c r="F2391" s="16" t="inlineStr">
        <is>
          <t>KTS-1678A</t>
        </is>
      </c>
      <c r="G2391" s="16" t="inlineStr">
        <is>
          <t>Bocina portátil Inalámbrico, de 3 pulgadas, tamaño de bolsillo, 170 g, con asa, compatible con TF, USB y Micro SD, con radio FM y función TWS (True Wireless Stereo), adecuada para relajarse en casa o viajar al aire libre.</t>
        </is>
      </c>
      <c r="H2391" s="16" t="inlineStr">
        <is>
          <t>KTS-1678A</t>
        </is>
      </c>
      <c r="I2391" s="16" t="n">
        <v>5</v>
      </c>
      <c r="J2391" s="17" t="n">
        <v>212.5</v>
      </c>
      <c r="K2391" s="17" t="n">
        <v>253.9</v>
      </c>
      <c r="L2391" s="17" t="n">
        <v>0</v>
      </c>
      <c r="M2391" s="17" t="n">
        <v>0</v>
      </c>
      <c r="N2391" s="17">
        <f>K2391*0.08+L2391*0.08</f>
        <v/>
      </c>
      <c r="O2391" s="17">
        <f>-(K2391*0.025+L2391*0.025)</f>
        <v/>
      </c>
      <c r="P2391" s="17">
        <f>32</f>
        <v/>
      </c>
      <c r="Q2391" s="17">
        <f>J2391+L2391+N2391+O2391-P2391-M2391</f>
        <v/>
      </c>
    </row>
    <row r="2392">
      <c r="A2392" s="16" t="inlineStr">
        <is>
          <t>5.22-5.28</t>
        </is>
      </c>
      <c r="B2392" s="16" t="inlineStr">
        <is>
          <t>PO-128-17308361659513939</t>
        </is>
      </c>
      <c r="C2392" s="16" t="inlineStr">
        <is>
          <t>Shipped</t>
        </is>
      </c>
      <c r="D2392" s="16" t="inlineStr">
        <is>
          <t>128-17308372145273939</t>
        </is>
      </c>
      <c r="E2392" s="16" t="inlineStr">
        <is>
          <t>Shipped</t>
        </is>
      </c>
      <c r="F2392" s="16" t="inlineStr">
        <is>
          <t>SA325T</t>
        </is>
      </c>
      <c r="G2392" s="16" t="inlineStr">
        <is>
          <t>Subwoofer Portátil Inalámbrico con Luces RGB, Sonido de Alta Potencia y Batería Duradera, TWS TF USB, Perfecto para Campamento Fiestas y Entretenimiento en Casa</t>
        </is>
      </c>
      <c r="H2392" s="16" t="inlineStr">
        <is>
          <t>NEGRO</t>
        </is>
      </c>
      <c r="I2392" s="16" t="n">
        <v>5</v>
      </c>
      <c r="J2392" s="17" t="n">
        <v>189.95</v>
      </c>
      <c r="K2392" s="17" t="n">
        <v>235.15</v>
      </c>
      <c r="L2392" s="17" t="n">
        <v>0</v>
      </c>
      <c r="M2392" s="17" t="n">
        <v>0</v>
      </c>
      <c r="N2392" s="17">
        <f>K2392*0.08+L2392*0.08</f>
        <v/>
      </c>
      <c r="O2392" s="17">
        <f>-(K2392*0.025+L2392*0.025)</f>
        <v/>
      </c>
      <c r="P2392" s="17">
        <f>32</f>
        <v/>
      </c>
      <c r="Q2392" s="17">
        <f>J2392+L2392+N2392+O2392-P2392-M2392</f>
        <v/>
      </c>
    </row>
    <row r="2393">
      <c r="A2393" s="16" t="inlineStr">
        <is>
          <t>5.22-5.28</t>
        </is>
      </c>
      <c r="B2393" s="16" t="inlineStr">
        <is>
          <t>PO-128-17433897767032164</t>
        </is>
      </c>
      <c r="C2393" s="16" t="inlineStr">
        <is>
          <t>Shipped</t>
        </is>
      </c>
      <c r="D2393" s="16" t="inlineStr">
        <is>
          <t>128-17433886298232164</t>
        </is>
      </c>
      <c r="E2393" s="16" t="inlineStr">
        <is>
          <t>Shipped</t>
        </is>
      </c>
      <c r="F2393" s="16" t="inlineStr">
        <is>
          <t>KTS-1943-N</t>
        </is>
      </c>
      <c r="G2393" s="16" t="inlineStr">
        <is>
          <t>Altavoz Mini Karaoke Portátil BT con Micrófono Inalámbrico, Función TWS, Radio FM, USB/TF, Batería de Larga Duración, Perfecto para Casa, Exterior y Regalos Especiales</t>
        </is>
      </c>
      <c r="H2393" s="16" t="inlineStr">
        <is>
          <t>NEGRO</t>
        </is>
      </c>
      <c r="I2393" s="16" t="n">
        <v>1</v>
      </c>
      <c r="J2393" s="17" t="n">
        <v>67.5</v>
      </c>
      <c r="K2393" s="17" t="n">
        <v>80.84999999999999</v>
      </c>
      <c r="L2393" s="17" t="n">
        <v>25.86</v>
      </c>
      <c r="M2393" s="17" t="n">
        <v>0</v>
      </c>
      <c r="N2393" s="17">
        <f>K2393*0.08+L2393*0.08</f>
        <v/>
      </c>
      <c r="O2393" s="17">
        <f>-(K2393*0.025+L2393*0.025)</f>
        <v/>
      </c>
      <c r="P2393" s="17">
        <f>32</f>
        <v/>
      </c>
      <c r="Q2393" s="17">
        <f>J2393+L2393+N2393+O2393-P2393-M2393</f>
        <v/>
      </c>
    </row>
    <row r="2394">
      <c r="A2394" s="16" t="inlineStr">
        <is>
          <t>5.22-5.28</t>
        </is>
      </c>
      <c r="B2394" s="16" t="inlineStr">
        <is>
          <t>PO-128-17272417262714025</t>
        </is>
      </c>
      <c r="C2394" s="16" t="inlineStr">
        <is>
          <t>Shipped</t>
        </is>
      </c>
      <c r="D2394" s="16" t="inlineStr">
        <is>
          <t>128-17272438234234025</t>
        </is>
      </c>
      <c r="E2394" s="16" t="inlineStr">
        <is>
          <t>Shipped</t>
        </is>
      </c>
      <c r="F2394" s="16" t="inlineStr">
        <is>
          <t>SA8056T</t>
        </is>
      </c>
      <c r="G239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394" s="16" t="inlineStr">
        <is>
          <t>SA8056T</t>
        </is>
      </c>
      <c r="I2394" s="16" t="n">
        <v>1</v>
      </c>
      <c r="J2394" s="17" t="n">
        <v>123.9</v>
      </c>
      <c r="K2394" s="17" t="n">
        <v>144.28</v>
      </c>
      <c r="L2394" s="17" t="n">
        <v>0</v>
      </c>
      <c r="M2394" s="17" t="n">
        <v>0</v>
      </c>
      <c r="N2394" s="17">
        <f>K2394*0.08+L2394*0.08</f>
        <v/>
      </c>
      <c r="O2394" s="17">
        <f>-(K2394*0.025+L2394*0.025)</f>
        <v/>
      </c>
      <c r="P2394" s="17">
        <f>32</f>
        <v/>
      </c>
      <c r="Q2394" s="17">
        <f>J2394+L2394+N2394+O2394-P2394-M2394</f>
        <v/>
      </c>
    </row>
    <row r="2395">
      <c r="A2395" s="16" t="inlineStr">
        <is>
          <t>5.22-5.28</t>
        </is>
      </c>
      <c r="B2395" s="16" t="inlineStr">
        <is>
          <t>PO-128-17272417262714025</t>
        </is>
      </c>
      <c r="C2395" s="16" t="inlineStr">
        <is>
          <t>Shipped</t>
        </is>
      </c>
      <c r="D2395" s="16" t="inlineStr">
        <is>
          <t>128-17272354348154025</t>
        </is>
      </c>
      <c r="E2395" s="16" t="inlineStr">
        <is>
          <t>Shipped</t>
        </is>
      </c>
      <c r="F2395" s="16" t="inlineStr">
        <is>
          <t>VA880T</t>
        </is>
      </c>
      <c r="G239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395" s="16" t="inlineStr">
        <is>
          <t>1 pieza</t>
        </is>
      </c>
      <c r="I2395" s="16" t="n">
        <v>1</v>
      </c>
      <c r="J2395" s="17" t="n">
        <v>114.98</v>
      </c>
      <c r="K2395" s="17" t="n">
        <v>127.27</v>
      </c>
      <c r="L2395" s="17" t="n">
        <v>0</v>
      </c>
      <c r="M2395" s="17" t="n">
        <v>0</v>
      </c>
      <c r="N2395" s="17">
        <f>K2395*0.08+L2395*0.08</f>
        <v/>
      </c>
      <c r="O2395" s="17">
        <f>-(K2395*0.025+L2395*0.025)</f>
        <v/>
      </c>
      <c r="P2395" s="17">
        <f>32</f>
        <v/>
      </c>
      <c r="Q2395" s="17">
        <f>J2395+L2395+N2395+O2395-P2395-M2395</f>
        <v/>
      </c>
    </row>
    <row r="2396">
      <c r="A2396" s="16" t="inlineStr">
        <is>
          <t>5.22-5.28</t>
        </is>
      </c>
      <c r="B2396" s="16" t="inlineStr">
        <is>
          <t>PO-128-17852854659190565</t>
        </is>
      </c>
      <c r="C2396" s="16" t="inlineStr">
        <is>
          <t>Shipped</t>
        </is>
      </c>
      <c r="D2396" s="16" t="inlineStr">
        <is>
          <t>128-17852880873590565</t>
        </is>
      </c>
      <c r="E2396" s="16" t="inlineStr">
        <is>
          <t>Shipped</t>
        </is>
      </c>
      <c r="F2396" s="16" t="inlineStr">
        <is>
          <t>VB347T</t>
        </is>
      </c>
      <c r="G239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96" s="16" t="inlineStr">
        <is>
          <t>1 pieza</t>
        </is>
      </c>
      <c r="I2396" s="16" t="n">
        <v>1</v>
      </c>
      <c r="J2396" s="17" t="n">
        <v>79.90000000000001</v>
      </c>
      <c r="K2396" s="17" t="n">
        <v>75.59999999999999</v>
      </c>
      <c r="L2396" s="17" t="n">
        <v>25.86</v>
      </c>
      <c r="M2396" s="17" t="n">
        <v>0</v>
      </c>
      <c r="N2396" s="17">
        <f>K2396*0.08+L2396*0.08</f>
        <v/>
      </c>
      <c r="O2396" s="17">
        <f>-(K2396*0.025+L2396*0.025)</f>
        <v/>
      </c>
      <c r="P2396" s="17">
        <f>32</f>
        <v/>
      </c>
      <c r="Q2396" s="17">
        <f>J2396+L2396+N2396+O2396-P2396-M2396</f>
        <v/>
      </c>
    </row>
    <row r="2397">
      <c r="A2397" s="16" t="inlineStr">
        <is>
          <t>5.22-5.28</t>
        </is>
      </c>
      <c r="B2397" s="16" t="inlineStr">
        <is>
          <t>PO-128-17755349967990248</t>
        </is>
      </c>
      <c r="C2397" s="16" t="inlineStr">
        <is>
          <t>Shipped</t>
        </is>
      </c>
      <c r="D2397" s="16" t="inlineStr">
        <is>
          <t>128-17755454825590248</t>
        </is>
      </c>
      <c r="E2397" s="16" t="inlineStr">
        <is>
          <t>Shipped</t>
        </is>
      </c>
      <c r="F2397" s="16" t="inlineStr">
        <is>
          <t>MCM-001G</t>
        </is>
      </c>
      <c r="G2397" s="16" t="inlineStr">
        <is>
          <t>Musicord Altavoz Inalámbrico BT Portátil: ¡Sonido impactante, luces LED multicolores y 4 horas de autonomía! Compatible con TWS, FM, TF y USB – Imprescindible para fiestas y viajes</t>
        </is>
      </c>
      <c r="H2397" s="16" t="inlineStr">
        <is>
          <t>GRIS</t>
        </is>
      </c>
      <c r="I2397" s="16" t="n">
        <v>1</v>
      </c>
      <c r="J2397" s="17" t="n">
        <v>51.07</v>
      </c>
      <c r="K2397" s="17" t="n">
        <v>58.86</v>
      </c>
      <c r="L2397" s="17" t="n">
        <v>25.86</v>
      </c>
      <c r="M2397" s="17" t="n">
        <v>0</v>
      </c>
      <c r="N2397" s="17">
        <f>K2397*0.08+L2397*0.08</f>
        <v/>
      </c>
      <c r="O2397" s="17">
        <f>-(K2397*0.025+L2397*0.025)</f>
        <v/>
      </c>
      <c r="P2397" s="17">
        <f>32</f>
        <v/>
      </c>
      <c r="Q2397" s="17">
        <f>J2397+L2397+N2397+O2397-P2397-M2397</f>
        <v/>
      </c>
    </row>
    <row r="2398">
      <c r="A2398" s="16" t="inlineStr">
        <is>
          <t>5.22-5.28</t>
        </is>
      </c>
      <c r="B2398" s="16" t="inlineStr">
        <is>
          <t>PO-128-17768117372790044</t>
        </is>
      </c>
      <c r="C2398" s="16" t="inlineStr">
        <is>
          <t>Shipped</t>
        </is>
      </c>
      <c r="D2398" s="16" t="inlineStr">
        <is>
          <t>128-17768106887030044</t>
        </is>
      </c>
      <c r="E2398" s="16" t="inlineStr">
        <is>
          <t>Shipped</t>
        </is>
      </c>
      <c r="F2398" s="16" t="inlineStr">
        <is>
          <t>VB347T</t>
        </is>
      </c>
      <c r="G239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98" s="16" t="inlineStr">
        <is>
          <t>1 pieza</t>
        </is>
      </c>
      <c r="I2398" s="16" t="n">
        <v>1</v>
      </c>
      <c r="J2398" s="17" t="n">
        <v>79.90000000000001</v>
      </c>
      <c r="K2398" s="17" t="n">
        <v>94.5</v>
      </c>
      <c r="L2398" s="17" t="n">
        <v>25.86</v>
      </c>
      <c r="M2398" s="17" t="n">
        <v>0</v>
      </c>
      <c r="N2398" s="17">
        <f>K2398*0.08+L2398*0.08</f>
        <v/>
      </c>
      <c r="O2398" s="17">
        <f>-(K2398*0.025+L2398*0.025)</f>
        <v/>
      </c>
      <c r="P2398" s="17">
        <f>32</f>
        <v/>
      </c>
      <c r="Q2398" s="17">
        <f>J2398+L2398+N2398+O2398-P2398-M2398</f>
        <v/>
      </c>
    </row>
    <row r="2399">
      <c r="A2399" s="16" t="inlineStr">
        <is>
          <t>5.22-5.28</t>
        </is>
      </c>
      <c r="B2399" s="16" t="inlineStr">
        <is>
          <t>PO-128-17843731971190746</t>
        </is>
      </c>
      <c r="C2399" s="16" t="inlineStr">
        <is>
          <t>Shipped</t>
        </is>
      </c>
      <c r="D2399" s="16" t="inlineStr">
        <is>
          <t>128-17843710999670746</t>
        </is>
      </c>
      <c r="E2399" s="16" t="inlineStr">
        <is>
          <t>Shipped</t>
        </is>
      </c>
      <c r="F2399" s="16" t="inlineStr">
        <is>
          <t>VB347T</t>
        </is>
      </c>
      <c r="G239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399" s="16" t="inlineStr">
        <is>
          <t>1 pieza</t>
        </is>
      </c>
      <c r="I2399" s="16" t="n">
        <v>1</v>
      </c>
      <c r="J2399" s="17" t="n">
        <v>79.90000000000001</v>
      </c>
      <c r="K2399" s="17" t="n">
        <v>94.5</v>
      </c>
      <c r="L2399" s="17" t="n">
        <v>25.86</v>
      </c>
      <c r="M2399" s="17" t="n">
        <v>0</v>
      </c>
      <c r="N2399" s="17">
        <f>K2399*0.08+L2399*0.08</f>
        <v/>
      </c>
      <c r="O2399" s="17">
        <f>-(K2399*0.025+L2399*0.025)</f>
        <v/>
      </c>
      <c r="P2399" s="17">
        <f>32</f>
        <v/>
      </c>
      <c r="Q2399" s="17">
        <f>J2399+L2399+N2399+O2399-P2399-M2399</f>
        <v/>
      </c>
    </row>
    <row r="2400">
      <c r="A2400" s="16" t="inlineStr">
        <is>
          <t>5.22-5.28</t>
        </is>
      </c>
      <c r="B2400" s="16" t="inlineStr">
        <is>
          <t>PO-128-17421298143352049</t>
        </is>
      </c>
      <c r="C2400" s="16" t="inlineStr">
        <is>
          <t>Shipped</t>
        </is>
      </c>
      <c r="D2400" s="16" t="inlineStr">
        <is>
          <t>128-17421458051192049</t>
        </is>
      </c>
      <c r="E2400" s="16" t="inlineStr">
        <is>
          <t>Shipped</t>
        </is>
      </c>
      <c r="F2400" s="16" t="inlineStr">
        <is>
          <t>MB-185N</t>
        </is>
      </c>
      <c r="G2400" s="16" t="inlineStr">
        <is>
          <t>Bocina Radio FM/Reproductor, Compatible con Tarjeta TF, USB, Bluetooth, Aplicable para celular, computadora, Ipad y consola.</t>
        </is>
      </c>
      <c r="H2400" s="16" t="inlineStr">
        <is>
          <t>NEGRO/MB-185</t>
        </is>
      </c>
      <c r="I2400" s="16" t="n">
        <v>1</v>
      </c>
      <c r="J2400" s="17" t="n">
        <v>75.5</v>
      </c>
      <c r="K2400" s="17" t="n">
        <v>88.44</v>
      </c>
      <c r="L2400" s="17" t="n">
        <v>25.86</v>
      </c>
      <c r="M2400" s="17" t="n">
        <v>0</v>
      </c>
      <c r="N2400" s="17">
        <f>K2400*0.08+L2400*0.08</f>
        <v/>
      </c>
      <c r="O2400" s="17">
        <f>-(K2400*0.025+L2400*0.025)</f>
        <v/>
      </c>
      <c r="P2400" s="17">
        <f>32</f>
        <v/>
      </c>
      <c r="Q2400" s="17">
        <f>J2400+L2400+N2400+O2400-P2400-M2400</f>
        <v/>
      </c>
    </row>
    <row r="2401">
      <c r="A2401" s="16" t="inlineStr">
        <is>
          <t>5.22-5.28</t>
        </is>
      </c>
      <c r="B2401" s="16" t="inlineStr">
        <is>
          <t>PO-128-17816239716470847</t>
        </is>
      </c>
      <c r="C2401" s="16" t="inlineStr">
        <is>
          <t>Shipped</t>
        </is>
      </c>
      <c r="D2401" s="16" t="inlineStr">
        <is>
          <t>128-17816376031350847</t>
        </is>
      </c>
      <c r="E2401" s="16" t="inlineStr">
        <is>
          <t>Shipped</t>
        </is>
      </c>
      <c r="F2401" s="16" t="inlineStr">
        <is>
          <t>FA028</t>
        </is>
      </c>
      <c r="G2401" s="16" t="inlineStr">
        <is>
          <t>Extractor de agua para garrafas de agua, compatible con carga USB, extractor de agua automático, práctico, con dos modos de toma de agua: manual y programado, ideal para dormitorios, salones, oficinas, uso al aire libre y otros escenarios.</t>
        </is>
      </c>
      <c r="H2401" s="16" t="inlineStr">
        <is>
          <t>FA028</t>
        </is>
      </c>
      <c r="I2401" s="16" t="n">
        <v>1</v>
      </c>
      <c r="J2401" s="17" t="n">
        <v>35</v>
      </c>
      <c r="K2401" s="17" t="n">
        <v>44.58</v>
      </c>
      <c r="L2401" s="17" t="n">
        <v>25.86</v>
      </c>
      <c r="M2401" s="17" t="n">
        <v>0</v>
      </c>
      <c r="N2401" s="17">
        <f>K2401*0.08+L2401*0.08</f>
        <v/>
      </c>
      <c r="O2401" s="17">
        <f>-(K2401*0.025+L2401*0.025)</f>
        <v/>
      </c>
      <c r="P2401" s="17">
        <f>32</f>
        <v/>
      </c>
      <c r="Q2401" s="17">
        <f>J2401+L2401+N2401+O2401-P2401-M2401</f>
        <v/>
      </c>
    </row>
    <row r="2402">
      <c r="A2402" s="16" t="inlineStr">
        <is>
          <t>5.22-5.28</t>
        </is>
      </c>
      <c r="B2402" s="16" t="inlineStr">
        <is>
          <t>PO-128-17857076155510602</t>
        </is>
      </c>
      <c r="C2402" s="16" t="inlineStr">
        <is>
          <t>Shipped</t>
        </is>
      </c>
      <c r="D2402" s="16" t="inlineStr">
        <is>
          <t>128-17857055183990602</t>
        </is>
      </c>
      <c r="E2402" s="16" t="inlineStr">
        <is>
          <t>Shipped</t>
        </is>
      </c>
      <c r="F2402" s="16" t="inlineStr">
        <is>
          <t>LB02235-negro</t>
        </is>
      </c>
      <c r="G2402" s="16" t="inlineStr">
        <is>
          <t>Audífonos Inalámbricos para la Cabeza, Recargables y Multifuncionales - Conectan a Varios Dispositivos, soportan Radio FM, Tarjeta TF y AUX - 4 Horas de Reproducción Musical - Ideal para Trabajo Cotidiano, Juegos y Estudio</t>
        </is>
      </c>
      <c r="H2402" s="16" t="inlineStr">
        <is>
          <t>NEGRO</t>
        </is>
      </c>
      <c r="I2402" s="16" t="n">
        <v>1</v>
      </c>
      <c r="J2402" s="17" t="n">
        <v>36.8</v>
      </c>
      <c r="K2402" s="17" t="n">
        <v>25</v>
      </c>
      <c r="L2402" s="17" t="n">
        <v>25.86</v>
      </c>
      <c r="M2402" s="17" t="n">
        <v>0</v>
      </c>
      <c r="N2402" s="17">
        <f>K2402*0.08+L2402*0.08</f>
        <v/>
      </c>
      <c r="O2402" s="17">
        <f>-(K2402*0.025+L2402*0.025)</f>
        <v/>
      </c>
      <c r="P2402" s="17">
        <f>32</f>
        <v/>
      </c>
      <c r="Q2402" s="17">
        <f>J2402+L2402+N2402+O2402-P2402-M2402</f>
        <v/>
      </c>
    </row>
    <row r="2403">
      <c r="A2403" s="16" t="inlineStr">
        <is>
          <t>5.22-5.28</t>
        </is>
      </c>
      <c r="B2403" s="16" t="inlineStr">
        <is>
          <t>PO-128-17434686799992160</t>
        </is>
      </c>
      <c r="C2403" s="16" t="inlineStr">
        <is>
          <t>Shipped</t>
        </is>
      </c>
      <c r="D2403" s="16" t="inlineStr">
        <is>
          <t>128-17434644856952160</t>
        </is>
      </c>
      <c r="E2403" s="16" t="inlineStr">
        <is>
          <t>Shipped</t>
        </is>
      </c>
      <c r="F2403" s="16" t="inlineStr">
        <is>
          <t>S58W60</t>
        </is>
      </c>
      <c r="G2403"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2403" s="16" t="inlineStr">
        <is>
          <t>1 pieza</t>
        </is>
      </c>
      <c r="I2403" s="16" t="n">
        <v>5</v>
      </c>
      <c r="J2403" s="17" t="n">
        <v>295</v>
      </c>
      <c r="K2403" s="17" t="n">
        <v>284.99</v>
      </c>
      <c r="L2403" s="17" t="n">
        <v>0</v>
      </c>
      <c r="M2403" s="17" t="n">
        <v>0</v>
      </c>
      <c r="N2403" s="17">
        <f>K2403*0.08+L2403*0.08</f>
        <v/>
      </c>
      <c r="O2403" s="17">
        <f>-(K2403*0.025+L2403*0.025)</f>
        <v/>
      </c>
      <c r="P2403" s="17">
        <f>32</f>
        <v/>
      </c>
      <c r="Q2403" s="17">
        <f>J2403+L2403+N2403+O2403-P2403-M2403</f>
        <v/>
      </c>
    </row>
    <row r="2404">
      <c r="A2404" s="16" t="inlineStr">
        <is>
          <t>5.22-5.28</t>
        </is>
      </c>
      <c r="B2404" s="16" t="inlineStr">
        <is>
          <t>PO-128-17458184507513044</t>
        </is>
      </c>
      <c r="C2404" s="16" t="inlineStr">
        <is>
          <t>Shipped</t>
        </is>
      </c>
      <c r="D2404" s="16" t="inlineStr">
        <is>
          <t>128-17458163535993044</t>
        </is>
      </c>
      <c r="E2404" s="16" t="inlineStr">
        <is>
          <t>Shipped</t>
        </is>
      </c>
      <c r="F2404" s="16" t="inlineStr">
        <is>
          <t>LB02235-negro</t>
        </is>
      </c>
      <c r="G2404" s="16" t="inlineStr">
        <is>
          <t>Audífonos Inalámbricos para la Cabeza, Recargables y Multifuncionales - Conectan a Varios Dispositivos, soportan Radio FM, Tarjeta TF y AUX - 4 Horas de Reproducción Musical - Ideal para Trabajo Cotidiano, Juegos y Estudio</t>
        </is>
      </c>
      <c r="H2404" s="16" t="inlineStr">
        <is>
          <t>NEGRO</t>
        </is>
      </c>
      <c r="I2404" s="16" t="n">
        <v>1</v>
      </c>
      <c r="J2404" s="17" t="n">
        <v>36.8</v>
      </c>
      <c r="K2404" s="17" t="n">
        <v>49.91</v>
      </c>
      <c r="L2404" s="17" t="n">
        <v>25.86</v>
      </c>
      <c r="M2404" s="17" t="n">
        <v>0</v>
      </c>
      <c r="N2404" s="17">
        <f>K2404*0.08+L2404*0.08</f>
        <v/>
      </c>
      <c r="O2404" s="17">
        <f>-(K2404*0.025+L2404*0.025)</f>
        <v/>
      </c>
      <c r="P2404" s="17">
        <f>32</f>
        <v/>
      </c>
      <c r="Q2404" s="17">
        <f>J2404+L2404+N2404+O2404-P2404-M2404</f>
        <v/>
      </c>
    </row>
    <row r="2405">
      <c r="A2405" s="16" t="inlineStr">
        <is>
          <t>5.22-5.28</t>
        </is>
      </c>
      <c r="B2405" s="16" t="inlineStr">
        <is>
          <t>PO-128-17362200712312464</t>
        </is>
      </c>
      <c r="C2405" s="16" t="inlineStr">
        <is>
          <t>Shipped</t>
        </is>
      </c>
      <c r="D2405" s="16" t="inlineStr">
        <is>
          <t>128-17362158769272464</t>
        </is>
      </c>
      <c r="E2405" s="16" t="inlineStr">
        <is>
          <t>Shipped</t>
        </is>
      </c>
      <c r="F2405" s="16" t="inlineStr">
        <is>
          <t>SA325T</t>
        </is>
      </c>
      <c r="G2405" s="16" t="inlineStr">
        <is>
          <t>Subwoofer Portátil Inalámbrico con Luces RGB, Sonido de Alta Potencia y Batería Duradera, TWS TF USB, Perfecto para Campamento Fiestas y Entretenimiento en Casa</t>
        </is>
      </c>
      <c r="H2405" s="16" t="inlineStr">
        <is>
          <t>NEGRO</t>
        </is>
      </c>
      <c r="I2405" s="16" t="n">
        <v>2</v>
      </c>
      <c r="J2405" s="17" t="n">
        <v>75.98</v>
      </c>
      <c r="K2405" s="17" t="n">
        <v>7.86</v>
      </c>
      <c r="L2405" s="17" t="n">
        <v>25.86</v>
      </c>
      <c r="M2405" s="17" t="n">
        <v>0</v>
      </c>
      <c r="N2405" s="17">
        <f>K2405*0.08+L2405*0.08</f>
        <v/>
      </c>
      <c r="O2405" s="17">
        <f>-(K2405*0.025+L2405*0.025)</f>
        <v/>
      </c>
      <c r="P2405" s="17">
        <f>32</f>
        <v/>
      </c>
      <c r="Q2405" s="17">
        <f>J2405+L2405+N2405+O2405-P2405-M2405</f>
        <v/>
      </c>
    </row>
    <row r="2406">
      <c r="A2406" s="16" t="inlineStr">
        <is>
          <t>5.22-5.28</t>
        </is>
      </c>
      <c r="B2406" s="16" t="inlineStr">
        <is>
          <t>PO-128-17659404879991716</t>
        </is>
      </c>
      <c r="C2406" s="16" t="inlineStr">
        <is>
          <t>Shipped</t>
        </is>
      </c>
      <c r="D2406" s="16" t="inlineStr">
        <is>
          <t>128-17659444856951716</t>
        </is>
      </c>
      <c r="E2406" s="16" t="inlineStr">
        <is>
          <t>Shipped</t>
        </is>
      </c>
      <c r="F2406" s="16" t="inlineStr">
        <is>
          <t>MB-185A</t>
        </is>
      </c>
      <c r="G2406" s="16" t="inlineStr">
        <is>
          <t>Bocina Radio FM/Reproductor, Compatible con Tarjeta TF, USB, Bluetooth, Aplicable para celular, computadora, Ipad y consola.</t>
        </is>
      </c>
      <c r="H2406" s="16" t="inlineStr">
        <is>
          <t>AZUL/MB-185</t>
        </is>
      </c>
      <c r="I2406" s="16" t="n">
        <v>1</v>
      </c>
      <c r="J2406" s="17" t="n">
        <v>73</v>
      </c>
      <c r="K2406" s="17" t="n">
        <v>85.94</v>
      </c>
      <c r="L2406" s="17" t="n">
        <v>25.86</v>
      </c>
      <c r="M2406" s="17" t="n">
        <v>0</v>
      </c>
      <c r="N2406" s="17">
        <f>K2406*0.08+L2406*0.08</f>
        <v/>
      </c>
      <c r="O2406" s="17">
        <f>-(K2406*0.025+L2406*0.025)</f>
        <v/>
      </c>
      <c r="P2406" s="17">
        <f>32</f>
        <v/>
      </c>
      <c r="Q2406" s="17">
        <f>J2406+L2406+N2406+O2406-P2406-M2406</f>
        <v/>
      </c>
    </row>
    <row r="2407">
      <c r="A2407" s="16" t="inlineStr">
        <is>
          <t>5.22-5.28</t>
        </is>
      </c>
      <c r="B2407" s="16" t="inlineStr">
        <is>
          <t>PO-128-17746691351670172</t>
        </is>
      </c>
      <c r="C2407" s="16" t="inlineStr">
        <is>
          <t>Shipped</t>
        </is>
      </c>
      <c r="D2407" s="16" t="inlineStr">
        <is>
          <t>128-17746767373430172</t>
        </is>
      </c>
      <c r="E2407" s="16" t="inlineStr">
        <is>
          <t>Shipped</t>
        </is>
      </c>
      <c r="F2407" s="16" t="inlineStr">
        <is>
          <t>VB347T</t>
        </is>
      </c>
      <c r="G240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07" s="16" t="inlineStr">
        <is>
          <t>1 pieza</t>
        </is>
      </c>
      <c r="I2407" s="16" t="n">
        <v>1</v>
      </c>
      <c r="J2407" s="17" t="n">
        <v>79.90000000000001</v>
      </c>
      <c r="K2407" s="17" t="n">
        <v>94.5</v>
      </c>
      <c r="L2407" s="17" t="n">
        <v>25.86</v>
      </c>
      <c r="M2407" s="17" t="n">
        <v>0</v>
      </c>
      <c r="N2407" s="17">
        <f>K2407*0.08+L2407*0.08</f>
        <v/>
      </c>
      <c r="O2407" s="17">
        <f>-(K2407*0.025+L2407*0.025)</f>
        <v/>
      </c>
      <c r="P2407" s="17">
        <f>32</f>
        <v/>
      </c>
      <c r="Q2407" s="17">
        <f>J2407+L2407+N2407+O2407-P2407-M2407</f>
        <v/>
      </c>
    </row>
    <row r="2408">
      <c r="A2408" s="16" t="inlineStr">
        <is>
          <t>5.22-5.28</t>
        </is>
      </c>
      <c r="B2408" s="16" t="inlineStr">
        <is>
          <t>PO-128-17291388782713846</t>
        </is>
      </c>
      <c r="C2408" s="16" t="inlineStr">
        <is>
          <t>Shipped</t>
        </is>
      </c>
      <c r="D2408" s="16" t="inlineStr">
        <is>
          <t>128-17291420239993846</t>
        </is>
      </c>
      <c r="E2408" s="16" t="inlineStr">
        <is>
          <t>Shipped</t>
        </is>
      </c>
      <c r="F2408" s="16" t="inlineStr">
        <is>
          <t>MCM-001A</t>
        </is>
      </c>
      <c r="G2408" s="16" t="inlineStr">
        <is>
          <t>Musicord Altavoz Inalámbrico BT Portátil: ¡Sonido impactante, luces LED multicolores y 4 horas de autonomía! Compatible con TWS, FM, TF y USB – Imprescindible para fiestas y viajes</t>
        </is>
      </c>
      <c r="H2408" s="16" t="inlineStr">
        <is>
          <t>AZUL</t>
        </is>
      </c>
      <c r="I2408" s="16" t="n">
        <v>2</v>
      </c>
      <c r="J2408" s="17" t="n">
        <v>102.14</v>
      </c>
      <c r="K2408" s="17" t="n">
        <v>118.94</v>
      </c>
      <c r="L2408" s="17" t="n">
        <v>17.31</v>
      </c>
      <c r="M2408" s="17" t="n">
        <v>0</v>
      </c>
      <c r="N2408" s="17">
        <f>K2408*0.08+L2408*0.08</f>
        <v/>
      </c>
      <c r="O2408" s="17">
        <f>-(K2408*0.025+L2408*0.025)</f>
        <v/>
      </c>
      <c r="P2408" s="17">
        <f>32</f>
        <v/>
      </c>
      <c r="Q2408" s="17">
        <f>J2408+L2408+N2408+O2408-P2408-M2408</f>
        <v/>
      </c>
    </row>
    <row r="2409">
      <c r="A2409" s="16" t="inlineStr">
        <is>
          <t>5.22-5.28</t>
        </is>
      </c>
      <c r="B2409" s="16" t="inlineStr">
        <is>
          <t>PO-128-17291388782713846</t>
        </is>
      </c>
      <c r="C2409" s="16" t="inlineStr">
        <is>
          <t>Shipped</t>
        </is>
      </c>
      <c r="D2409" s="16" t="inlineStr">
        <is>
          <t>128-17291409754233846</t>
        </is>
      </c>
      <c r="E2409" s="16" t="inlineStr">
        <is>
          <t>Shipped</t>
        </is>
      </c>
      <c r="F2409" s="16" t="inlineStr">
        <is>
          <t>MCM-001G</t>
        </is>
      </c>
      <c r="G2409" s="16" t="inlineStr">
        <is>
          <t>Musicord Altavoz Inalámbrico BT Portátil: ¡Sonido impactante, luces LED multicolores y 4 horas de autonomía! Compatible con TWS, FM, TF y USB – Imprescindible para fiestas y viajes</t>
        </is>
      </c>
      <c r="H2409" s="16" t="inlineStr">
        <is>
          <t>GRIS</t>
        </is>
      </c>
      <c r="I2409" s="16" t="n">
        <v>1</v>
      </c>
      <c r="J2409" s="17" t="n">
        <v>51.07</v>
      </c>
      <c r="K2409" s="17" t="n">
        <v>58.86</v>
      </c>
      <c r="L2409" s="17" t="n">
        <v>8.56</v>
      </c>
      <c r="M2409" s="17" t="n">
        <v>0</v>
      </c>
      <c r="N2409" s="17">
        <f>K2409*0.08+L2409*0.08</f>
        <v/>
      </c>
      <c r="O2409" s="17">
        <f>-(K2409*0.025+L2409*0.025)</f>
        <v/>
      </c>
      <c r="P2409" s="17">
        <f>32</f>
        <v/>
      </c>
      <c r="Q2409" s="17">
        <f>J2409+L2409+N2409+O2409-P2409-M2409</f>
        <v/>
      </c>
    </row>
    <row r="2410">
      <c r="A2410" s="16" t="inlineStr">
        <is>
          <t>5.22-5.28</t>
        </is>
      </c>
      <c r="B2410" s="16" t="inlineStr">
        <is>
          <t>PO-128-17447350679672980</t>
        </is>
      </c>
      <c r="C2410" s="16" t="inlineStr">
        <is>
          <t>Shipped</t>
        </is>
      </c>
      <c r="D2410" s="16" t="inlineStr">
        <is>
          <t>128-17447361165432980</t>
        </is>
      </c>
      <c r="E2410" s="16" t="inlineStr">
        <is>
          <t>Shipped</t>
        </is>
      </c>
      <c r="F2410" s="16" t="inlineStr">
        <is>
          <t>MCM-001A</t>
        </is>
      </c>
      <c r="G2410" s="16" t="inlineStr">
        <is>
          <t>Musicord Altavoz Inalámbrico BT Portátil: ¡Sonido impactante, luces LED multicolores y 4 horas de autonomía! Compatible con TWS, FM, TF y USB – Imprescindible para fiestas y viajes</t>
        </is>
      </c>
      <c r="H2410" s="16" t="inlineStr">
        <is>
          <t>AZUL</t>
        </is>
      </c>
      <c r="I2410" s="16" t="n">
        <v>1</v>
      </c>
      <c r="J2410" s="17" t="n">
        <v>51.07</v>
      </c>
      <c r="K2410" s="17" t="n">
        <v>59.47</v>
      </c>
      <c r="L2410" s="17" t="n">
        <v>25.86</v>
      </c>
      <c r="M2410" s="17" t="n">
        <v>0</v>
      </c>
      <c r="N2410" s="17">
        <f>K2410*0.08+L2410*0.08</f>
        <v/>
      </c>
      <c r="O2410" s="17">
        <f>-(K2410*0.025+L2410*0.025)</f>
        <v/>
      </c>
      <c r="P2410" s="17">
        <f>32</f>
        <v/>
      </c>
      <c r="Q2410" s="17">
        <f>J2410+L2410+N2410+O2410-P2410-M2410</f>
        <v/>
      </c>
    </row>
    <row r="2411">
      <c r="A2411" s="16" t="inlineStr">
        <is>
          <t>5.22-5.28</t>
        </is>
      </c>
      <c r="B2411" s="16" t="inlineStr">
        <is>
          <t>PO-128-17484893612152692</t>
        </is>
      </c>
      <c r="C2411" s="16" t="inlineStr">
        <is>
          <t>Shipped</t>
        </is>
      </c>
      <c r="D2411" s="16" t="inlineStr">
        <is>
          <t>128-17484925069432692</t>
        </is>
      </c>
      <c r="E2411" s="16" t="inlineStr">
        <is>
          <t>Shipped</t>
        </is>
      </c>
      <c r="F2411" s="16" t="inlineStr">
        <is>
          <t>MCM-001A</t>
        </is>
      </c>
      <c r="G2411" s="16" t="inlineStr">
        <is>
          <t>Musicord Altavoz Inalámbrico BT Portátil: ¡Sonido impactante, luces LED multicolores y 4 horas de autonomía! Compatible con TWS, FM, TF y USB – Imprescindible para fiestas y viajes</t>
        </is>
      </c>
      <c r="H2411" s="16" t="inlineStr">
        <is>
          <t>AZUL</t>
        </is>
      </c>
      <c r="I2411" s="16" t="n">
        <v>1</v>
      </c>
      <c r="J2411" s="17" t="n">
        <v>51.07</v>
      </c>
      <c r="K2411" s="17" t="n">
        <v>59.47</v>
      </c>
      <c r="L2411" s="17" t="n">
        <v>25.86</v>
      </c>
      <c r="M2411" s="17" t="n">
        <v>0</v>
      </c>
      <c r="N2411" s="17">
        <f>K2411*0.08+L2411*0.08</f>
        <v/>
      </c>
      <c r="O2411" s="17">
        <f>-(K2411*0.025+L2411*0.025)</f>
        <v/>
      </c>
      <c r="P2411" s="17">
        <f>32</f>
        <v/>
      </c>
      <c r="Q2411" s="17">
        <f>J2411+L2411+N2411+O2411-P2411-M2411</f>
        <v/>
      </c>
    </row>
    <row r="2412">
      <c r="A2412" s="16" t="inlineStr">
        <is>
          <t>5.22-5.28</t>
        </is>
      </c>
      <c r="B2412" s="16" t="inlineStr">
        <is>
          <t>PO-128-17810415470710816</t>
        </is>
      </c>
      <c r="C2412" s="16" t="inlineStr">
        <is>
          <t>Shipped</t>
        </is>
      </c>
      <c r="D2412" s="16" t="inlineStr">
        <is>
          <t>128-17810457413750816</t>
        </is>
      </c>
      <c r="E2412" s="16" t="inlineStr">
        <is>
          <t>Shipped</t>
        </is>
      </c>
      <c r="F2412" s="16" t="inlineStr">
        <is>
          <t>HD005</t>
        </is>
      </c>
      <c r="G2412" s="16" t="inlineStr">
        <is>
          <t>Link bits HD005 Antena UHF para Exteriores, Antena de TV Digital HD con 10 Metros de Cable, Recepción 470-862MHz, 9-7dB de Ganancia, Antena para Canales Abiertos y HD, Resistente al Agua y Viento, Fácil Instalación</t>
        </is>
      </c>
      <c r="H2412" s="16" t="inlineStr">
        <is>
          <t>1</t>
        </is>
      </c>
      <c r="I2412" s="16" t="n">
        <v>1</v>
      </c>
      <c r="J2412" s="17" t="n">
        <v>75</v>
      </c>
      <c r="K2412" s="17" t="n">
        <v>92.66</v>
      </c>
      <c r="L2412" s="17" t="n">
        <v>25.86</v>
      </c>
      <c r="M2412" s="17" t="n">
        <v>0</v>
      </c>
      <c r="N2412" s="17">
        <f>K2412*0.08+L2412*0.08</f>
        <v/>
      </c>
      <c r="O2412" s="17">
        <f>-(K2412*0.025+L2412*0.025)</f>
        <v/>
      </c>
      <c r="P2412" s="17">
        <f>32</f>
        <v/>
      </c>
      <c r="Q2412" s="17">
        <f>J2412+L2412+N2412+O2412-P2412-M2412</f>
        <v/>
      </c>
    </row>
    <row r="2413">
      <c r="A2413" s="16" t="inlineStr">
        <is>
          <t>5.22-5.28</t>
        </is>
      </c>
      <c r="B2413" s="16" t="inlineStr">
        <is>
          <t>PO-128-17270419802233973</t>
        </is>
      </c>
      <c r="C2413" s="16" t="inlineStr">
        <is>
          <t>Shipped</t>
        </is>
      </c>
      <c r="D2413" s="16" t="inlineStr">
        <is>
          <t>128-17270440773753973</t>
        </is>
      </c>
      <c r="E2413" s="16" t="inlineStr">
        <is>
          <t>Shipped</t>
        </is>
      </c>
      <c r="F2413" s="16" t="inlineStr">
        <is>
          <t>LB02235-azul</t>
        </is>
      </c>
      <c r="G2413" s="16" t="inlineStr">
        <is>
          <t>Audífonos Inalámbricos para la Cabeza, Recargables y Multifuncionales - Conectan a Varios Dispositivos, soportan Radio FM, Tarjeta TF y AUX - 4 Horas de Reproducción Musical - Ideal para Trabajo Cotidiano, Juegos y Estudio</t>
        </is>
      </c>
      <c r="H2413" s="16" t="inlineStr">
        <is>
          <t>AZUL</t>
        </is>
      </c>
      <c r="I2413" s="16" t="n">
        <v>1</v>
      </c>
      <c r="J2413" s="17" t="n">
        <v>36</v>
      </c>
      <c r="K2413" s="17" t="n">
        <v>39.14</v>
      </c>
      <c r="L2413" s="17" t="n">
        <v>25.86</v>
      </c>
      <c r="M2413" s="17" t="n">
        <v>0</v>
      </c>
      <c r="N2413" s="17">
        <f>K2413*0.08+L2413*0.08</f>
        <v/>
      </c>
      <c r="O2413" s="17">
        <f>-(K2413*0.025+L2413*0.025)</f>
        <v/>
      </c>
      <c r="P2413" s="17">
        <f>32</f>
        <v/>
      </c>
      <c r="Q2413" s="17">
        <f>J2413+L2413+N2413+O2413-P2413-M2413</f>
        <v/>
      </c>
    </row>
    <row r="2414">
      <c r="A2414" s="16" t="inlineStr">
        <is>
          <t>5.22-5.28</t>
        </is>
      </c>
      <c r="B2414" s="16" t="inlineStr">
        <is>
          <t>PO-128-17226476547193211</t>
        </is>
      </c>
      <c r="C2414" s="16" t="inlineStr">
        <is>
          <t>Shipped</t>
        </is>
      </c>
      <c r="D2414" s="16" t="inlineStr">
        <is>
          <t>128-17226434604153211</t>
        </is>
      </c>
      <c r="E2414" s="16" t="inlineStr">
        <is>
          <t>Shipped</t>
        </is>
      </c>
      <c r="F2414" s="16" t="inlineStr">
        <is>
          <t>SA325T</t>
        </is>
      </c>
      <c r="G2414" s="16" t="inlineStr">
        <is>
          <t>Subwoofer Portátil Inalámbrico con Luces RGB, Sonido de Alta Potencia y Batería Duradera, TWS TF USB, Perfecto para Campamento Fiestas y Entretenimiento en Casa</t>
        </is>
      </c>
      <c r="H2414" s="16" t="inlineStr">
        <is>
          <t>NEGRO</t>
        </is>
      </c>
      <c r="I2414" s="16" t="n">
        <v>1</v>
      </c>
      <c r="J2414" s="17" t="n">
        <v>37.99</v>
      </c>
      <c r="K2414" s="17" t="n">
        <v>47.03</v>
      </c>
      <c r="L2414" s="17" t="n">
        <v>11.41</v>
      </c>
      <c r="M2414" s="17" t="n">
        <v>0</v>
      </c>
      <c r="N2414" s="17">
        <f>K2414*0.08+L2414*0.08</f>
        <v/>
      </c>
      <c r="O2414" s="17">
        <f>-(K2414*0.025+L2414*0.025)</f>
        <v/>
      </c>
      <c r="P2414" s="17">
        <f>32</f>
        <v/>
      </c>
      <c r="Q2414" s="17">
        <f>J2414+L2414+N2414+O2414-P2414-M2414</f>
        <v/>
      </c>
    </row>
    <row r="2415">
      <c r="A2415" s="16" t="inlineStr">
        <is>
          <t>5.22-5.28</t>
        </is>
      </c>
      <c r="B2415" s="16" t="inlineStr">
        <is>
          <t>PO-128-17226476547193211</t>
        </is>
      </c>
      <c r="C2415" s="16" t="inlineStr">
        <is>
          <t>Shipped</t>
        </is>
      </c>
      <c r="D2415" s="16" t="inlineStr">
        <is>
          <t>128-17226387940473211</t>
        </is>
      </c>
      <c r="E2415" s="16" t="inlineStr">
        <is>
          <t>Shipped</t>
        </is>
      </c>
      <c r="F2415" s="16" t="inlineStr">
        <is>
          <t>MCM-001A</t>
        </is>
      </c>
      <c r="G2415" s="16" t="inlineStr">
        <is>
          <t>Musicord Altavoz Inalámbrico BT Portátil: ¡Sonido impactante, luces LED multicolores y 4 horas de autonomía! Compatible con TWS, FM, TF y USB – Imprescindible para fiestas y viajes</t>
        </is>
      </c>
      <c r="H2415" s="16" t="inlineStr">
        <is>
          <t>AZUL</t>
        </is>
      </c>
      <c r="I2415" s="16" t="n">
        <v>1</v>
      </c>
      <c r="J2415" s="17" t="n">
        <v>51.07</v>
      </c>
      <c r="K2415" s="17" t="n">
        <v>59.47</v>
      </c>
      <c r="L2415" s="17" t="n">
        <v>14.45</v>
      </c>
      <c r="M2415" s="17" t="n">
        <v>0</v>
      </c>
      <c r="N2415" s="17">
        <f>K2415*0.08+L2415*0.08</f>
        <v/>
      </c>
      <c r="O2415" s="17">
        <f>-(K2415*0.025+L2415*0.025)</f>
        <v/>
      </c>
      <c r="P2415" s="17">
        <f>32</f>
        <v/>
      </c>
      <c r="Q2415" s="17">
        <f>J2415+L2415+N2415+O2415-P2415-M2415</f>
        <v/>
      </c>
    </row>
    <row r="2416">
      <c r="A2416" s="16" t="inlineStr">
        <is>
          <t>5.22-5.28</t>
        </is>
      </c>
      <c r="B2416" s="16" t="inlineStr">
        <is>
          <t>PO-128-17324185219193778</t>
        </is>
      </c>
      <c r="C2416" s="16" t="inlineStr">
        <is>
          <t>Shipped</t>
        </is>
      </c>
      <c r="D2416" s="16" t="inlineStr">
        <is>
          <t>128-17324206190713778</t>
        </is>
      </c>
      <c r="E2416" s="16" t="inlineStr">
        <is>
          <t>Shipped</t>
        </is>
      </c>
      <c r="F2416" s="16" t="inlineStr">
        <is>
          <t>MCM-003-N</t>
        </is>
      </c>
      <c r="G2416"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416" s="16" t="inlineStr">
        <is>
          <t>negro</t>
        </is>
      </c>
      <c r="I2416" s="16" t="n">
        <v>3</v>
      </c>
      <c r="J2416" s="17" t="n">
        <v>144</v>
      </c>
      <c r="K2416" s="17" t="n">
        <v>165.54</v>
      </c>
      <c r="L2416" s="17" t="n">
        <v>0</v>
      </c>
      <c r="M2416" s="17" t="n">
        <v>0</v>
      </c>
      <c r="N2416" s="17">
        <f>K2416*0.08+L2416*0.08</f>
        <v/>
      </c>
      <c r="O2416" s="17">
        <f>-(K2416*0.025+L2416*0.025)</f>
        <v/>
      </c>
      <c r="P2416" s="17">
        <f>32</f>
        <v/>
      </c>
      <c r="Q2416" s="17">
        <f>J2416+L2416+N2416+O2416-P2416-M2416</f>
        <v/>
      </c>
    </row>
    <row r="2417">
      <c r="A2417" s="16" t="inlineStr">
        <is>
          <t>5.22-5.28</t>
        </is>
      </c>
      <c r="B2417" s="16" t="inlineStr">
        <is>
          <t>PO-128-17324185219193778</t>
        </is>
      </c>
      <c r="C2417" s="16" t="inlineStr">
        <is>
          <t>Shipped</t>
        </is>
      </c>
      <c r="D2417" s="16" t="inlineStr">
        <is>
          <t>128-17324194721913778</t>
        </is>
      </c>
      <c r="E2417" s="16" t="inlineStr">
        <is>
          <t>Shipped</t>
        </is>
      </c>
      <c r="F2417" s="16" t="inlineStr">
        <is>
          <t>SA8056T</t>
        </is>
      </c>
      <c r="G241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417" s="16" t="inlineStr">
        <is>
          <t>SA8056T</t>
        </is>
      </c>
      <c r="I2417" s="16" t="n">
        <v>4</v>
      </c>
      <c r="J2417" s="17" t="n">
        <v>495.6</v>
      </c>
      <c r="K2417" s="17" t="n">
        <v>577.12</v>
      </c>
      <c r="L2417" s="17" t="n">
        <v>0</v>
      </c>
      <c r="M2417" s="17" t="n">
        <v>0</v>
      </c>
      <c r="N2417" s="17">
        <f>K2417*0.08+L2417*0.08</f>
        <v/>
      </c>
      <c r="O2417" s="17">
        <f>-(K2417*0.025+L2417*0.025)</f>
        <v/>
      </c>
      <c r="P2417" s="17">
        <f>32</f>
        <v/>
      </c>
      <c r="Q2417" s="17">
        <f>J2417+L2417+N2417+O2417-P2417-M2417</f>
        <v/>
      </c>
    </row>
    <row r="2418">
      <c r="A2418" s="16" t="inlineStr">
        <is>
          <t>5.22-5.28</t>
        </is>
      </c>
      <c r="B2418" s="16" t="inlineStr">
        <is>
          <t>PO-128-17324185219193778</t>
        </is>
      </c>
      <c r="C2418" s="16" t="inlineStr">
        <is>
          <t>Shipped</t>
        </is>
      </c>
      <c r="D2418" s="16" t="inlineStr">
        <is>
          <t>128-17324215693433778</t>
        </is>
      </c>
      <c r="E2418" s="16" t="inlineStr">
        <is>
          <t>Shipped</t>
        </is>
      </c>
      <c r="F2418" s="16" t="inlineStr">
        <is>
          <t>SA325T</t>
        </is>
      </c>
      <c r="G2418" s="16" t="inlineStr">
        <is>
          <t>Subwoofer Portátil Inalámbrico con Luces RGB, Sonido de Alta Potencia y Batería Duradera, TWS TF USB, Perfecto para Campamento Fiestas y Entretenimiento en Casa</t>
        </is>
      </c>
      <c r="H2418" s="16" t="inlineStr">
        <is>
          <t>NEGRO</t>
        </is>
      </c>
      <c r="I2418" s="16" t="n">
        <v>3</v>
      </c>
      <c r="J2418" s="17" t="n">
        <v>113.97</v>
      </c>
      <c r="K2418" s="17" t="n">
        <v>141.09</v>
      </c>
      <c r="L2418" s="17" t="n">
        <v>0</v>
      </c>
      <c r="M2418" s="17" t="n">
        <v>0</v>
      </c>
      <c r="N2418" s="17">
        <f>K2418*0.08+L2418*0.08</f>
        <v/>
      </c>
      <c r="O2418" s="17">
        <f>-(K2418*0.025+L2418*0.025)</f>
        <v/>
      </c>
      <c r="P2418" s="17">
        <f>32</f>
        <v/>
      </c>
      <c r="Q2418" s="17">
        <f>J2418+L2418+N2418+O2418-P2418-M2418</f>
        <v/>
      </c>
    </row>
    <row r="2419">
      <c r="A2419" s="16" t="inlineStr">
        <is>
          <t>5.22-5.28</t>
        </is>
      </c>
      <c r="B2419" s="16" t="inlineStr">
        <is>
          <t>PO-128-17324185219193778</t>
        </is>
      </c>
      <c r="C2419" s="16" t="inlineStr">
        <is>
          <t>Shipped</t>
        </is>
      </c>
      <c r="D2419" s="16" t="inlineStr">
        <is>
          <t>128-17324195704953778</t>
        </is>
      </c>
      <c r="E2419" s="16" t="inlineStr">
        <is>
          <t>Shipped</t>
        </is>
      </c>
      <c r="F2419" s="16" t="inlineStr">
        <is>
          <t>VB347T</t>
        </is>
      </c>
      <c r="G241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19" s="16" t="inlineStr">
        <is>
          <t>1 pieza</t>
        </is>
      </c>
      <c r="I2419" s="16" t="n">
        <v>2</v>
      </c>
      <c r="J2419" s="17" t="n">
        <v>159.8</v>
      </c>
      <c r="K2419" s="17" t="n">
        <v>189</v>
      </c>
      <c r="L2419" s="17" t="n">
        <v>0</v>
      </c>
      <c r="M2419" s="17" t="n">
        <v>0</v>
      </c>
      <c r="N2419" s="17">
        <f>K2419*0.08+L2419*0.08</f>
        <v/>
      </c>
      <c r="O2419" s="17">
        <f>-(K2419*0.025+L2419*0.025)</f>
        <v/>
      </c>
      <c r="P2419" s="17">
        <f>32</f>
        <v/>
      </c>
      <c r="Q2419" s="17">
        <f>J2419+L2419+N2419+O2419-P2419-M2419</f>
        <v/>
      </c>
    </row>
    <row r="2420">
      <c r="A2420" s="16" t="inlineStr">
        <is>
          <t>5.22-5.28</t>
        </is>
      </c>
      <c r="B2420" s="16" t="inlineStr">
        <is>
          <t>PO-128-17568840650871168</t>
        </is>
      </c>
      <c r="C2420" s="16" t="inlineStr">
        <is>
          <t>Shipped</t>
        </is>
      </c>
      <c r="D2420" s="16" t="inlineStr">
        <is>
          <t>128-17568830165111168</t>
        </is>
      </c>
      <c r="E2420" s="16" t="inlineStr">
        <is>
          <t>Shipped</t>
        </is>
      </c>
      <c r="F2420" s="16" t="inlineStr">
        <is>
          <t>MCM-001R</t>
        </is>
      </c>
      <c r="G2420" s="16" t="inlineStr">
        <is>
          <t>Musicord Altavoz Inalámbrico BT Portátil: ¡Sonido impactante, luces LED multicolores y 4 horas de autonomía! Compatible con TWS, FM, TF y USB – Imprescindible para fiestas y viajes</t>
        </is>
      </c>
      <c r="H2420" s="16" t="inlineStr">
        <is>
          <t>ROJO</t>
        </is>
      </c>
      <c r="I2420" s="16" t="n">
        <v>1</v>
      </c>
      <c r="J2420" s="17" t="n">
        <v>66.5</v>
      </c>
      <c r="K2420" s="17" t="n">
        <v>59.44</v>
      </c>
      <c r="L2420" s="17" t="n">
        <v>25.86</v>
      </c>
      <c r="M2420" s="17" t="n">
        <v>0</v>
      </c>
      <c r="N2420" s="17">
        <f>K2420*0.08+L2420*0.08</f>
        <v/>
      </c>
      <c r="O2420" s="17">
        <f>-(K2420*0.025+L2420*0.025)</f>
        <v/>
      </c>
      <c r="P2420" s="17">
        <f>32</f>
        <v/>
      </c>
      <c r="Q2420" s="17">
        <f>J2420+L2420+N2420+O2420-P2420-M2420</f>
        <v/>
      </c>
    </row>
    <row r="2421">
      <c r="A2421" s="16" t="inlineStr">
        <is>
          <t>5.22-5.28</t>
        </is>
      </c>
      <c r="B2421" s="16" t="inlineStr">
        <is>
          <t>PO-128-17378900616312364</t>
        </is>
      </c>
      <c r="C2421" s="16" t="inlineStr">
        <is>
          <t>Shipped</t>
        </is>
      </c>
      <c r="D2421" s="16" t="inlineStr">
        <is>
          <t>128-17378942559352364</t>
        </is>
      </c>
      <c r="E2421" s="16" t="inlineStr">
        <is>
          <t>Shipped</t>
        </is>
      </c>
      <c r="F2421" s="16" t="inlineStr">
        <is>
          <t>VA384T-N</t>
        </is>
      </c>
      <c r="G2421" s="16" t="inlineStr">
        <is>
          <t>Bocina Portátil Bluetooth de 3 Pulgadas con Radio FM, USB TF TWS, Sonido Estéreo 5W, Bocina Recargable para Hogar Exterior Viaje Fiesta Camping</t>
        </is>
      </c>
      <c r="H2421" s="16" t="inlineStr">
        <is>
          <t>NEGRO</t>
        </is>
      </c>
      <c r="I2421" s="16" t="n">
        <v>1</v>
      </c>
      <c r="J2421" s="17" t="n">
        <v>50</v>
      </c>
      <c r="K2421" s="17" t="n">
        <v>60.72</v>
      </c>
      <c r="L2421" s="17" t="n">
        <v>25.86</v>
      </c>
      <c r="M2421" s="17" t="n">
        <v>0</v>
      </c>
      <c r="N2421" s="17">
        <f>K2421*0.08+L2421*0.08</f>
        <v/>
      </c>
      <c r="O2421" s="17">
        <f>-(K2421*0.025+L2421*0.025)</f>
        <v/>
      </c>
      <c r="P2421" s="17">
        <f>32</f>
        <v/>
      </c>
      <c r="Q2421" s="17">
        <f>J2421+L2421+N2421+O2421-P2421-M2421</f>
        <v/>
      </c>
    </row>
    <row r="2422">
      <c r="A2422" s="16" t="inlineStr">
        <is>
          <t>5.22-5.28</t>
        </is>
      </c>
      <c r="B2422" s="16" t="inlineStr">
        <is>
          <t>PO-128-17362166838392464</t>
        </is>
      </c>
      <c r="C2422" s="16" t="inlineStr">
        <is>
          <t>Shipped</t>
        </is>
      </c>
      <c r="D2422" s="16" t="inlineStr">
        <is>
          <t>128-17362219267192464</t>
        </is>
      </c>
      <c r="E2422" s="16" t="inlineStr">
        <is>
          <t>Shipped</t>
        </is>
      </c>
      <c r="F2422" s="16" t="inlineStr">
        <is>
          <t>SA325T</t>
        </is>
      </c>
      <c r="G2422" s="16" t="inlineStr">
        <is>
          <t>Subwoofer Portátil Inalámbrico con Luces RGB, Sonido de Alta Potencia y Batería Duradera, TWS TF USB, Perfecto para Campamento Fiestas y Entretenimiento en Casa</t>
        </is>
      </c>
      <c r="H2422" s="16" t="inlineStr">
        <is>
          <t>NEGRO</t>
        </is>
      </c>
      <c r="I2422" s="16" t="n">
        <v>1</v>
      </c>
      <c r="J2422" s="17" t="n">
        <v>37.99</v>
      </c>
      <c r="K2422" s="17" t="n">
        <v>3.93</v>
      </c>
      <c r="L2422" s="17" t="n">
        <v>25.86</v>
      </c>
      <c r="M2422" s="17" t="n">
        <v>0</v>
      </c>
      <c r="N2422" s="17">
        <f>K2422*0.08+L2422*0.08</f>
        <v/>
      </c>
      <c r="O2422" s="17">
        <f>-(K2422*0.025+L2422*0.025)</f>
        <v/>
      </c>
      <c r="P2422" s="17">
        <f>32</f>
        <v/>
      </c>
      <c r="Q2422" s="17">
        <f>J2422+L2422+N2422+O2422-P2422-M2422</f>
        <v/>
      </c>
    </row>
    <row r="2423">
      <c r="A2423" s="16" t="inlineStr">
        <is>
          <t>5.22-5.28</t>
        </is>
      </c>
      <c r="B2423" s="16" t="inlineStr">
        <is>
          <t>PO-128-17742226957430137</t>
        </is>
      </c>
      <c r="C2423" s="16" t="inlineStr">
        <is>
          <t>Shipped</t>
        </is>
      </c>
      <c r="D2423" s="16" t="inlineStr">
        <is>
          <t>128-17742205985910137</t>
        </is>
      </c>
      <c r="E2423" s="16" t="inlineStr">
        <is>
          <t>Shipped</t>
        </is>
      </c>
      <c r="F2423" s="16" t="inlineStr">
        <is>
          <t>MCM-001G</t>
        </is>
      </c>
      <c r="G2423" s="16" t="inlineStr">
        <is>
          <t>Musicord Altavoz Inalámbrico BT Portátil: ¡Sonido impactante, luces LED multicolores y 4 horas de autonomía! Compatible con TWS, FM, TF y USB – Imprescindible para fiestas y viajes</t>
        </is>
      </c>
      <c r="H2423" s="16" t="inlineStr">
        <is>
          <t>GRIS</t>
        </is>
      </c>
      <c r="I2423" s="16" t="n">
        <v>1</v>
      </c>
      <c r="J2423" s="17" t="n">
        <v>51.07</v>
      </c>
      <c r="K2423" s="17" t="n">
        <v>58.86</v>
      </c>
      <c r="L2423" s="17" t="n">
        <v>25.86</v>
      </c>
      <c r="M2423" s="17" t="n">
        <v>0</v>
      </c>
      <c r="N2423" s="17">
        <f>K2423*0.08+L2423*0.08</f>
        <v/>
      </c>
      <c r="O2423" s="17">
        <f>-(K2423*0.025+L2423*0.025)</f>
        <v/>
      </c>
      <c r="P2423" s="17">
        <f>32</f>
        <v/>
      </c>
      <c r="Q2423" s="17">
        <f>J2423+L2423+N2423+O2423-P2423-M2423</f>
        <v/>
      </c>
    </row>
    <row r="2424">
      <c r="A2424" s="16" t="inlineStr">
        <is>
          <t>5.22-5.28</t>
        </is>
      </c>
      <c r="B2424" s="16" t="inlineStr">
        <is>
          <t>PO-128-17504975025272575</t>
        </is>
      </c>
      <c r="C2424" s="16" t="inlineStr">
        <is>
          <t>Shipped</t>
        </is>
      </c>
      <c r="D2424" s="16" t="inlineStr">
        <is>
          <t>128-17504933082232575</t>
        </is>
      </c>
      <c r="E2424" s="16" t="inlineStr">
        <is>
          <t>Shipped</t>
        </is>
      </c>
      <c r="F2424" s="16" t="inlineStr">
        <is>
          <t>MCM-001R</t>
        </is>
      </c>
      <c r="G2424" s="16" t="inlineStr">
        <is>
          <t>Musicord Altavoz Inalámbrico BT Portátil: ¡Sonido impactante, luces LED multicolores y 4 horas de autonomía! Compatible con TWS, FM, TF y USB – Imprescindible para fiestas y viajes</t>
        </is>
      </c>
      <c r="H2424" s="16" t="inlineStr">
        <is>
          <t>ROJO</t>
        </is>
      </c>
      <c r="I2424" s="16" t="n">
        <v>1</v>
      </c>
      <c r="J2424" s="17" t="n">
        <v>66.5</v>
      </c>
      <c r="K2424" s="17" t="n">
        <v>59.44</v>
      </c>
      <c r="L2424" s="17" t="n">
        <v>25.86</v>
      </c>
      <c r="M2424" s="17" t="n">
        <v>0</v>
      </c>
      <c r="N2424" s="17">
        <f>K2424*0.08+L2424*0.08</f>
        <v/>
      </c>
      <c r="O2424" s="17">
        <f>-(K2424*0.025+L2424*0.025)</f>
        <v/>
      </c>
      <c r="P2424" s="17">
        <f>32</f>
        <v/>
      </c>
      <c r="Q2424" s="17">
        <f>J2424+L2424+N2424+O2424-P2424-M2424</f>
        <v/>
      </c>
    </row>
    <row r="2425">
      <c r="A2425" s="16" t="inlineStr">
        <is>
          <t>5.22-5.28</t>
        </is>
      </c>
      <c r="B2425" s="16" t="inlineStr">
        <is>
          <t>PO-128-17213885476473412</t>
        </is>
      </c>
      <c r="C2425" s="16" t="inlineStr">
        <is>
          <t>Shipped</t>
        </is>
      </c>
      <c r="D2425" s="16" t="inlineStr">
        <is>
          <t>128-17213843533433412</t>
        </is>
      </c>
      <c r="E2425" s="16" t="inlineStr">
        <is>
          <t>Shipped</t>
        </is>
      </c>
      <c r="F2425" s="16" t="inlineStr">
        <is>
          <t>SA8056T</t>
        </is>
      </c>
      <c r="G242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425" s="16" t="inlineStr">
        <is>
          <t>SA8056T</t>
        </is>
      </c>
      <c r="I2425" s="16" t="n">
        <v>1</v>
      </c>
      <c r="J2425" s="17" t="n">
        <v>123.9</v>
      </c>
      <c r="K2425" s="17" t="n">
        <v>144.28</v>
      </c>
      <c r="L2425" s="17" t="n">
        <v>25.86</v>
      </c>
      <c r="M2425" s="17" t="n">
        <v>0</v>
      </c>
      <c r="N2425" s="17">
        <f>K2425*0.08+L2425*0.08</f>
        <v/>
      </c>
      <c r="O2425" s="17">
        <f>-(K2425*0.025+L2425*0.025)</f>
        <v/>
      </c>
      <c r="P2425" s="17">
        <f>32</f>
        <v/>
      </c>
      <c r="Q2425" s="17">
        <f>J2425+L2425+N2425+O2425-P2425-M2425</f>
        <v/>
      </c>
    </row>
    <row r="2426">
      <c r="A2426" s="16" t="inlineStr">
        <is>
          <t>5.22-5.28</t>
        </is>
      </c>
      <c r="B2426" s="16" t="inlineStr">
        <is>
          <t>PO-128-17842654405750752</t>
        </is>
      </c>
      <c r="C2426" s="16" t="inlineStr">
        <is>
          <t>Shipped</t>
        </is>
      </c>
      <c r="D2426" s="16" t="inlineStr">
        <is>
          <t>128-17842673411190752</t>
        </is>
      </c>
      <c r="E2426" s="16" t="inlineStr">
        <is>
          <t>Shipped</t>
        </is>
      </c>
      <c r="F2426" s="16" t="inlineStr">
        <is>
          <t>LB02235-negro</t>
        </is>
      </c>
      <c r="G2426" s="16" t="inlineStr">
        <is>
          <t>Audífonos Inalámbricos para la Cabeza, Recargables y Multifuncionales - Conectan a Varios Dispositivos, soportan Radio FM, Tarjeta TF y AUX - 4 Horas de Reproducción Musical - Ideal para Trabajo Cotidiano, Juegos y Estudio</t>
        </is>
      </c>
      <c r="H2426" s="16" t="inlineStr">
        <is>
          <t>NEGRO</t>
        </is>
      </c>
      <c r="I2426" s="16" t="n">
        <v>1</v>
      </c>
      <c r="J2426" s="17" t="n">
        <v>36.8</v>
      </c>
      <c r="K2426" s="17" t="n">
        <v>44.93</v>
      </c>
      <c r="L2426" s="17" t="n">
        <v>25.86</v>
      </c>
      <c r="M2426" s="17" t="n">
        <v>0</v>
      </c>
      <c r="N2426" s="17">
        <f>K2426*0.08+L2426*0.08</f>
        <v/>
      </c>
      <c r="O2426" s="17">
        <f>-(K2426*0.025+L2426*0.025)</f>
        <v/>
      </c>
      <c r="P2426" s="17">
        <f>32</f>
        <v/>
      </c>
      <c r="Q2426" s="17">
        <f>J2426+L2426+N2426+O2426-P2426-M2426</f>
        <v/>
      </c>
    </row>
    <row r="2427">
      <c r="A2427" s="16" t="inlineStr">
        <is>
          <t>5.22-5.28</t>
        </is>
      </c>
      <c r="B2427" s="16" t="inlineStr">
        <is>
          <t>PO-128-17725467492470298</t>
        </is>
      </c>
      <c r="C2427" s="16" t="inlineStr">
        <is>
          <t>Shipped</t>
        </is>
      </c>
      <c r="D2427" s="16" t="inlineStr">
        <is>
          <t>128-17725491085430298</t>
        </is>
      </c>
      <c r="E2427" s="16" t="inlineStr">
        <is>
          <t>Shipped</t>
        </is>
      </c>
      <c r="F2427" s="16" t="inlineStr">
        <is>
          <t>LB02235-blanco</t>
        </is>
      </c>
      <c r="G2427" s="16" t="inlineStr">
        <is>
          <t>Audífonos Inalámbricos para la Cabeza, Recargables y Multifuncionales - Conectan a Varios Dispositivos, soportan Radio FM, Tarjeta TF y AUX - 4 Horas de Reproducción Musical - Ideal para Trabajo Cotidiano, Juegos y Estudio</t>
        </is>
      </c>
      <c r="H2427" s="16" t="inlineStr">
        <is>
          <t>BLANCO</t>
        </is>
      </c>
      <c r="I2427" s="16" t="n">
        <v>1</v>
      </c>
      <c r="J2427" s="17" t="n">
        <v>36.8</v>
      </c>
      <c r="K2427" s="17" t="n">
        <v>49.91</v>
      </c>
      <c r="L2427" s="17" t="n">
        <v>25.86</v>
      </c>
      <c r="M2427" s="17" t="n">
        <v>0</v>
      </c>
      <c r="N2427" s="17">
        <f>K2427*0.08+L2427*0.08</f>
        <v/>
      </c>
      <c r="O2427" s="17">
        <f>-(K2427*0.025+L2427*0.025)</f>
        <v/>
      </c>
      <c r="P2427" s="17">
        <f>32</f>
        <v/>
      </c>
      <c r="Q2427" s="17">
        <f>J2427+L2427+N2427+O2427-P2427-M2427</f>
        <v/>
      </c>
    </row>
    <row r="2428">
      <c r="A2428" s="16" t="inlineStr">
        <is>
          <t>5.22-5.28</t>
        </is>
      </c>
      <c r="B2428" s="16" t="inlineStr">
        <is>
          <t>PO-128-17701067047030444</t>
        </is>
      </c>
      <c r="C2428" s="16" t="inlineStr">
        <is>
          <t>Shipped</t>
        </is>
      </c>
      <c r="D2428" s="16" t="inlineStr">
        <is>
          <t>128-17701119475830444</t>
        </is>
      </c>
      <c r="E2428" s="16" t="inlineStr">
        <is>
          <t>Shipped</t>
        </is>
      </c>
      <c r="F2428" s="16" t="inlineStr">
        <is>
          <t>SA325T</t>
        </is>
      </c>
      <c r="G2428" s="16" t="inlineStr">
        <is>
          <t>Subwoofer Portátil Inalámbrico con Luces RGB, Sonido de Alta Potencia y Batería Duradera, TWS TF USB, Perfecto para Campamento Fiestas y Entretenimiento en Casa</t>
        </is>
      </c>
      <c r="H2428" s="16" t="inlineStr">
        <is>
          <t>NEGRO</t>
        </is>
      </c>
      <c r="I2428" s="16" t="n">
        <v>1</v>
      </c>
      <c r="J2428" s="17" t="n">
        <v>37.99</v>
      </c>
      <c r="K2428" s="17" t="n">
        <v>47.03</v>
      </c>
      <c r="L2428" s="17" t="n">
        <v>25.86</v>
      </c>
      <c r="M2428" s="17" t="n">
        <v>0</v>
      </c>
      <c r="N2428" s="17">
        <f>K2428*0.08+L2428*0.08</f>
        <v/>
      </c>
      <c r="O2428" s="17">
        <f>-(K2428*0.025+L2428*0.025)</f>
        <v/>
      </c>
      <c r="P2428" s="17">
        <f>32</f>
        <v/>
      </c>
      <c r="Q2428" s="17">
        <f>J2428+L2428+N2428+O2428-P2428-M2428</f>
        <v/>
      </c>
    </row>
    <row r="2429">
      <c r="A2429" s="16" t="inlineStr">
        <is>
          <t>5.22-5.28</t>
        </is>
      </c>
      <c r="B2429" s="16" t="inlineStr">
        <is>
          <t>PO-128-17539816067191535</t>
        </is>
      </c>
      <c r="C2429" s="16" t="inlineStr">
        <is>
          <t>Shipped</t>
        </is>
      </c>
      <c r="D2429" s="16" t="inlineStr">
        <is>
          <t>128-17539774124151535</t>
        </is>
      </c>
      <c r="E2429" s="16" t="inlineStr">
        <is>
          <t>Shipped</t>
        </is>
      </c>
      <c r="F2429" s="16" t="inlineStr">
        <is>
          <t>MB-185R</t>
        </is>
      </c>
      <c r="G2429" s="16" t="inlineStr">
        <is>
          <t>Bocina Radio FM/Reproductor, Compatible con Tarjeta TF, USB, Bluetooth, Aplicable para celular, computadora, Ipad y consola.</t>
        </is>
      </c>
      <c r="H2429" s="16" t="inlineStr">
        <is>
          <t>ROJO/MB-185</t>
        </is>
      </c>
      <c r="I2429" s="16" t="n">
        <v>1</v>
      </c>
      <c r="J2429" s="17" t="n">
        <v>75.5</v>
      </c>
      <c r="K2429" s="17" t="n">
        <v>88.44</v>
      </c>
      <c r="L2429" s="17" t="n">
        <v>25.86</v>
      </c>
      <c r="M2429" s="17" t="n">
        <v>0</v>
      </c>
      <c r="N2429" s="17">
        <f>K2429*0.08+L2429*0.08</f>
        <v/>
      </c>
      <c r="O2429" s="17">
        <f>-(K2429*0.025+L2429*0.025)</f>
        <v/>
      </c>
      <c r="P2429" s="17">
        <f>32</f>
        <v/>
      </c>
      <c r="Q2429" s="17">
        <f>J2429+L2429+N2429+O2429-P2429-M2429</f>
        <v/>
      </c>
    </row>
    <row r="2430">
      <c r="A2430" s="16" t="inlineStr">
        <is>
          <t>5.22-5.28</t>
        </is>
      </c>
      <c r="B2430" s="16" t="inlineStr">
        <is>
          <t>PO-128-17769694405750037</t>
        </is>
      </c>
      <c r="C2430" s="16" t="inlineStr">
        <is>
          <t>Shipped</t>
        </is>
      </c>
      <c r="D2430" s="16" t="inlineStr">
        <is>
          <t>128-17769715377270037</t>
        </is>
      </c>
      <c r="E2430" s="16" t="inlineStr">
        <is>
          <t>Shipped</t>
        </is>
      </c>
      <c r="F2430" s="16" t="inlineStr">
        <is>
          <t>LB02235-negro</t>
        </is>
      </c>
      <c r="G2430" s="16" t="inlineStr">
        <is>
          <t>Audífonos Inalámbricos para la Cabeza, Recargables y Multifuncionales - Conectan a Varios Dispositivos, soportan Radio FM, Tarjeta TF y AUX - 4 Horas de Reproducción Musical - Ideal para Trabajo Cotidiano, Juegos y Estudio</t>
        </is>
      </c>
      <c r="H2430" s="16" t="inlineStr">
        <is>
          <t>NEGRO</t>
        </is>
      </c>
      <c r="I2430" s="16" t="n">
        <v>1</v>
      </c>
      <c r="J2430" s="17" t="n">
        <v>36.8</v>
      </c>
      <c r="K2430" s="17" t="n">
        <v>49.91</v>
      </c>
      <c r="L2430" s="17" t="n">
        <v>25.86</v>
      </c>
      <c r="M2430" s="17" t="n">
        <v>0</v>
      </c>
      <c r="N2430" s="17">
        <f>K2430*0.08+L2430*0.08</f>
        <v/>
      </c>
      <c r="O2430" s="17">
        <f>-(K2430*0.025+L2430*0.025)</f>
        <v/>
      </c>
      <c r="P2430" s="17">
        <f>32</f>
        <v/>
      </c>
      <c r="Q2430" s="17">
        <f>J2430+L2430+N2430+O2430-P2430-M2430</f>
        <v/>
      </c>
    </row>
    <row r="2431">
      <c r="A2431" s="16" t="inlineStr">
        <is>
          <t>5.22-5.28</t>
        </is>
      </c>
      <c r="B2431" s="16" t="inlineStr">
        <is>
          <t>PO-128-17701445952630442</t>
        </is>
      </c>
      <c r="C2431" s="16" t="inlineStr">
        <is>
          <t>Shipped</t>
        </is>
      </c>
      <c r="D2431" s="16" t="inlineStr">
        <is>
          <t>128-17701404009590442</t>
        </is>
      </c>
      <c r="E2431" s="16" t="inlineStr">
        <is>
          <t>Shipped</t>
        </is>
      </c>
      <c r="F2431" s="16" t="inlineStr">
        <is>
          <t>SA325T</t>
        </is>
      </c>
      <c r="G2431" s="16" t="inlineStr">
        <is>
          <t>Subwoofer Portátil Inalámbrico con Luces RGB, Sonido de Alta Potencia y Batería Duradera, TWS TF USB, Perfecto para Campamento Fiestas y Entretenimiento en Casa</t>
        </is>
      </c>
      <c r="H2431" s="16" t="inlineStr">
        <is>
          <t>NEGRO</t>
        </is>
      </c>
      <c r="I2431" s="16" t="n">
        <v>1</v>
      </c>
      <c r="J2431" s="17" t="n">
        <v>37.99</v>
      </c>
      <c r="K2431" s="17" t="n">
        <v>47.03</v>
      </c>
      <c r="L2431" s="17" t="n">
        <v>25.86</v>
      </c>
      <c r="M2431" s="17" t="n">
        <v>0</v>
      </c>
      <c r="N2431" s="17">
        <f>K2431*0.08+L2431*0.08</f>
        <v/>
      </c>
      <c r="O2431" s="17">
        <f>-(K2431*0.025+L2431*0.025)</f>
        <v/>
      </c>
      <c r="P2431" s="17">
        <f>32</f>
        <v/>
      </c>
      <c r="Q2431" s="17">
        <f>J2431+L2431+N2431+O2431-P2431-M2431</f>
        <v/>
      </c>
    </row>
    <row r="2432">
      <c r="A2432" s="16" t="inlineStr">
        <is>
          <t>5.22-5.28</t>
        </is>
      </c>
      <c r="B2432" s="16" t="inlineStr">
        <is>
          <t>PO-128-17736347420790362</t>
        </is>
      </c>
      <c r="C2432" s="16" t="inlineStr">
        <is>
          <t>Shipped</t>
        </is>
      </c>
      <c r="D2432" s="16" t="inlineStr">
        <is>
          <t>128-17736305477750362</t>
        </is>
      </c>
      <c r="E2432" s="16" t="inlineStr">
        <is>
          <t>Shipped</t>
        </is>
      </c>
      <c r="F2432" s="16" t="inlineStr">
        <is>
          <t>MCM-001A</t>
        </is>
      </c>
      <c r="G2432" s="16" t="inlineStr">
        <is>
          <t>Musicord Altavoz Inalámbrico BT Portátil: ¡Sonido impactante, luces LED multicolores y 4 horas de autonomía! Compatible con TWS, FM, TF y USB – Imprescindible para fiestas y viajes</t>
        </is>
      </c>
      <c r="H2432" s="16" t="inlineStr">
        <is>
          <t>AZUL</t>
        </is>
      </c>
      <c r="I2432" s="16" t="n">
        <v>1</v>
      </c>
      <c r="J2432" s="17" t="n">
        <v>51.07</v>
      </c>
      <c r="K2432" s="17" t="n">
        <v>59.47</v>
      </c>
      <c r="L2432" s="17" t="n">
        <v>25.86</v>
      </c>
      <c r="M2432" s="17" t="n">
        <v>0</v>
      </c>
      <c r="N2432" s="17">
        <f>K2432*0.08+L2432*0.08</f>
        <v/>
      </c>
      <c r="O2432" s="17">
        <f>-(K2432*0.025+L2432*0.025)</f>
        <v/>
      </c>
      <c r="P2432" s="17">
        <f>32</f>
        <v/>
      </c>
      <c r="Q2432" s="17">
        <f>J2432+L2432+N2432+O2432-P2432-M2432</f>
        <v/>
      </c>
    </row>
    <row r="2433">
      <c r="A2433" s="16" t="inlineStr">
        <is>
          <t>5.22-5.28</t>
        </is>
      </c>
      <c r="B2433" s="16" t="inlineStr">
        <is>
          <t>PO-128-17642762396791881</t>
        </is>
      </c>
      <c r="C2433" s="16" t="inlineStr">
        <is>
          <t>Shipped</t>
        </is>
      </c>
      <c r="D2433" s="16" t="inlineStr">
        <is>
          <t>128-17642914440311881</t>
        </is>
      </c>
      <c r="E2433" s="16" t="inlineStr">
        <is>
          <t>Shipped</t>
        </is>
      </c>
      <c r="F2433" s="16" t="inlineStr">
        <is>
          <t>SA325T</t>
        </is>
      </c>
      <c r="G2433" s="16" t="inlineStr">
        <is>
          <t>Subwoofer Portátil Inalámbrico con Luces RGB, Sonido de Alta Potencia y Batería Duradera, TWS TF USB, Perfecto para Campamento Fiestas y Entretenimiento en Casa</t>
        </is>
      </c>
      <c r="H2433" s="16" t="inlineStr">
        <is>
          <t>NEGRO</t>
        </is>
      </c>
      <c r="I2433" s="16" t="n">
        <v>1</v>
      </c>
      <c r="J2433" s="17" t="n">
        <v>37.99</v>
      </c>
      <c r="K2433" s="17" t="n">
        <v>47.03</v>
      </c>
      <c r="L2433" s="17" t="n">
        <v>25.86</v>
      </c>
      <c r="M2433" s="17" t="n">
        <v>0</v>
      </c>
      <c r="N2433" s="17">
        <f>K2433*0.08+L2433*0.08</f>
        <v/>
      </c>
      <c r="O2433" s="17">
        <f>-(K2433*0.025+L2433*0.025)</f>
        <v/>
      </c>
      <c r="P2433" s="17">
        <f>32</f>
        <v/>
      </c>
      <c r="Q2433" s="17">
        <f>J2433+L2433+N2433+O2433-P2433-M2433</f>
        <v/>
      </c>
    </row>
    <row r="2434">
      <c r="A2434" s="16" t="inlineStr">
        <is>
          <t>5.22-5.28</t>
        </is>
      </c>
      <c r="B2434" s="16" t="inlineStr">
        <is>
          <t>PO-128-17609442716791950</t>
        </is>
      </c>
      <c r="C2434" s="16" t="inlineStr">
        <is>
          <t>Shipped</t>
        </is>
      </c>
      <c r="D2434" s="16" t="inlineStr">
        <is>
          <t>128-17609421745271950</t>
        </is>
      </c>
      <c r="E2434" s="16" t="inlineStr">
        <is>
          <t>Shipped</t>
        </is>
      </c>
      <c r="F2434" s="16" t="inlineStr">
        <is>
          <t>SA325T</t>
        </is>
      </c>
      <c r="G2434" s="16" t="inlineStr">
        <is>
          <t>Subwoofer Portátil Inalámbrico con Luces RGB, Sonido de Alta Potencia y Batería Duradera, TWS TF USB, Perfecto para Campamento Fiestas y Entretenimiento en Casa</t>
        </is>
      </c>
      <c r="H2434" s="16" t="inlineStr">
        <is>
          <t>NEGRO</t>
        </is>
      </c>
      <c r="I2434" s="16" t="n">
        <v>1</v>
      </c>
      <c r="J2434" s="17" t="n">
        <v>37.99</v>
      </c>
      <c r="K2434" s="17" t="n">
        <v>47.03</v>
      </c>
      <c r="L2434" s="17" t="n">
        <v>25.86</v>
      </c>
      <c r="M2434" s="17" t="n">
        <v>0</v>
      </c>
      <c r="N2434" s="17">
        <f>K2434*0.08+L2434*0.08</f>
        <v/>
      </c>
      <c r="O2434" s="17">
        <f>-(K2434*0.025+L2434*0.025)</f>
        <v/>
      </c>
      <c r="P2434" s="17">
        <f>32</f>
        <v/>
      </c>
      <c r="Q2434" s="17">
        <f>J2434+L2434+N2434+O2434-P2434-M2434</f>
        <v/>
      </c>
    </row>
    <row r="2435">
      <c r="A2435" s="16" t="inlineStr">
        <is>
          <t>5.22-5.28</t>
        </is>
      </c>
      <c r="B2435" s="16" t="inlineStr">
        <is>
          <t>PO-128-17480484974712913</t>
        </is>
      </c>
      <c r="C2435" s="16" t="inlineStr">
        <is>
          <t>Shipped</t>
        </is>
      </c>
      <c r="D2435" s="16" t="inlineStr">
        <is>
          <t>128-17480443031672913</t>
        </is>
      </c>
      <c r="E2435" s="16" t="inlineStr">
        <is>
          <t>Shipped</t>
        </is>
      </c>
      <c r="F2435" s="16" t="inlineStr">
        <is>
          <t>LB02235-azul</t>
        </is>
      </c>
      <c r="G2435" s="16" t="inlineStr">
        <is>
          <t>Audífonos Inalámbricos para la Cabeza, Recargables y Multifuncionales - Conectan a Varios Dispositivos, soportan Radio FM, Tarjeta TF y AUX - 4 Horas de Reproducción Musical - Ideal para Trabajo Cotidiano, Juegos y Estudio</t>
        </is>
      </c>
      <c r="H2435" s="16" t="inlineStr">
        <is>
          <t>AZUL</t>
        </is>
      </c>
      <c r="I2435" s="16" t="n">
        <v>1</v>
      </c>
      <c r="J2435" s="17" t="n">
        <v>36</v>
      </c>
      <c r="K2435" s="17" t="n">
        <v>49.11</v>
      </c>
      <c r="L2435" s="17" t="n">
        <v>25.86</v>
      </c>
      <c r="M2435" s="17" t="n">
        <v>0</v>
      </c>
      <c r="N2435" s="17">
        <f>K2435*0.08+L2435*0.08</f>
        <v/>
      </c>
      <c r="O2435" s="17">
        <f>-(K2435*0.025+L2435*0.025)</f>
        <v/>
      </c>
      <c r="P2435" s="17">
        <f>32</f>
        <v/>
      </c>
      <c r="Q2435" s="17">
        <f>J2435+L2435+N2435+O2435-P2435-M2435</f>
        <v/>
      </c>
    </row>
    <row r="2436">
      <c r="A2436" s="16" t="inlineStr">
        <is>
          <t>5.22-5.28</t>
        </is>
      </c>
      <c r="B2436" s="16" t="inlineStr">
        <is>
          <t>PO-128-17263223084153182</t>
        </is>
      </c>
      <c r="C2436" s="16" t="inlineStr">
        <is>
          <t>Shipped</t>
        </is>
      </c>
      <c r="D2436" s="16" t="inlineStr">
        <is>
          <t>128-17263181141113182</t>
        </is>
      </c>
      <c r="E2436" s="16" t="inlineStr">
        <is>
          <t>Shipped</t>
        </is>
      </c>
      <c r="F2436" s="16" t="inlineStr">
        <is>
          <t>SA8056T</t>
        </is>
      </c>
      <c r="G243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436" s="16" t="inlineStr">
        <is>
          <t>SA8056T</t>
        </is>
      </c>
      <c r="I2436" s="16" t="n">
        <v>1</v>
      </c>
      <c r="J2436" s="17" t="n">
        <v>123.9</v>
      </c>
      <c r="K2436" s="17" t="n">
        <v>144.28</v>
      </c>
      <c r="L2436" s="17" t="n">
        <v>25.86</v>
      </c>
      <c r="M2436" s="17" t="n">
        <v>0</v>
      </c>
      <c r="N2436" s="17">
        <f>K2436*0.08+L2436*0.08</f>
        <v/>
      </c>
      <c r="O2436" s="17">
        <f>-(K2436*0.025+L2436*0.025)</f>
        <v/>
      </c>
      <c r="P2436" s="17">
        <f>32</f>
        <v/>
      </c>
      <c r="Q2436" s="17">
        <f>J2436+L2436+N2436+O2436-P2436-M2436</f>
        <v/>
      </c>
    </row>
    <row r="2437">
      <c r="A2437" s="16" t="inlineStr">
        <is>
          <t>5.22-5.28</t>
        </is>
      </c>
      <c r="B2437" s="16" t="inlineStr">
        <is>
          <t>PO-128-17676032935031555</t>
        </is>
      </c>
      <c r="C2437" s="16" t="inlineStr">
        <is>
          <t>Shipped</t>
        </is>
      </c>
      <c r="D2437" s="16" t="inlineStr">
        <is>
          <t>128-17676074878071555</t>
        </is>
      </c>
      <c r="E2437" s="16" t="inlineStr">
        <is>
          <t>Shipped</t>
        </is>
      </c>
      <c r="F2437" s="16" t="inlineStr">
        <is>
          <t>KTS-1678Y</t>
        </is>
      </c>
      <c r="G2437" s="16" t="inlineStr">
        <is>
          <t>Bocina portátil Inalámbrico, de 3 pulgadas, tamaño de bolsillo, 170 g, con asa, compatible con TF, USB y Micro SD, con radio FM y función TWS (True Wireless Stereo), adecuada para relajarse en casa o viajar al aire libre.</t>
        </is>
      </c>
      <c r="H2437" s="16" t="inlineStr">
        <is>
          <t>KTS-1678Y</t>
        </is>
      </c>
      <c r="I2437" s="16" t="n">
        <v>1</v>
      </c>
      <c r="J2437" s="17" t="n">
        <v>42.5</v>
      </c>
      <c r="K2437" s="17" t="n">
        <v>48.72</v>
      </c>
      <c r="L2437" s="17" t="n">
        <v>25.86</v>
      </c>
      <c r="M2437" s="17" t="n">
        <v>0</v>
      </c>
      <c r="N2437" s="17">
        <f>K2437*0.08+L2437*0.08</f>
        <v/>
      </c>
      <c r="O2437" s="17">
        <f>-(K2437*0.025+L2437*0.025)</f>
        <v/>
      </c>
      <c r="P2437" s="17">
        <f>32</f>
        <v/>
      </c>
      <c r="Q2437" s="17">
        <f>J2437+L2437+N2437+O2437-P2437-M2437</f>
        <v/>
      </c>
    </row>
    <row r="2438">
      <c r="A2438" s="16" t="inlineStr">
        <is>
          <t>5.22-5.28</t>
        </is>
      </c>
      <c r="B2438" s="16" t="inlineStr">
        <is>
          <t>PO-128-17418753846392065</t>
        </is>
      </c>
      <c r="C2438" s="16" t="inlineStr">
        <is>
          <t>Shipped</t>
        </is>
      </c>
      <c r="D2438" s="16" t="inlineStr">
        <is>
          <t>128-17418711903352065</t>
        </is>
      </c>
      <c r="E2438" s="16" t="inlineStr">
        <is>
          <t>Shipped</t>
        </is>
      </c>
      <c r="F2438" s="16" t="inlineStr">
        <is>
          <t>LB02235-blanco</t>
        </is>
      </c>
      <c r="G2438" s="16" t="inlineStr">
        <is>
          <t>Audífonos Inalámbricos para la Cabeza, Recargables y Multifuncionales - Conectan a Varios Dispositivos, soportan Radio FM, Tarjeta TF y AUX - 4 Horas de Reproducción Musical - Ideal para Trabajo Cotidiano, Juegos y Estudio</t>
        </is>
      </c>
      <c r="H2438" s="16" t="inlineStr">
        <is>
          <t>BLANCO</t>
        </is>
      </c>
      <c r="I2438" s="16" t="n">
        <v>1</v>
      </c>
      <c r="J2438" s="17" t="n">
        <v>36.8</v>
      </c>
      <c r="K2438" s="17" t="n">
        <v>6.81</v>
      </c>
      <c r="L2438" s="17" t="n">
        <v>25.86</v>
      </c>
      <c r="M2438" s="17" t="n">
        <v>0</v>
      </c>
      <c r="N2438" s="17">
        <f>K2438*0.08+L2438*0.08</f>
        <v/>
      </c>
      <c r="O2438" s="17">
        <f>-(K2438*0.025+L2438*0.025)</f>
        <v/>
      </c>
      <c r="P2438" s="17">
        <f>32</f>
        <v/>
      </c>
      <c r="Q2438" s="17">
        <f>J2438+L2438+N2438+O2438-P2438-M2438</f>
        <v/>
      </c>
    </row>
    <row r="2439">
      <c r="A2439" s="16" t="inlineStr">
        <is>
          <t>5.22-5.28</t>
        </is>
      </c>
      <c r="B2439" s="16" t="inlineStr">
        <is>
          <t>PO-128-17407911652472257</t>
        </is>
      </c>
      <c r="C2439" s="16" t="inlineStr">
        <is>
          <t>Shipped</t>
        </is>
      </c>
      <c r="D2439" s="16" t="inlineStr">
        <is>
          <t>128-17407885438072257</t>
        </is>
      </c>
      <c r="E2439" s="16" t="inlineStr">
        <is>
          <t>Shipped</t>
        </is>
      </c>
      <c r="F2439" s="16" t="inlineStr">
        <is>
          <t>KTS-1678Y</t>
        </is>
      </c>
      <c r="G2439" s="16" t="inlineStr">
        <is>
          <t>Bocina portátil Inalámbrico, de 3 pulgadas, tamaño de bolsillo, 170 g, con asa, compatible con TF, USB y Micro SD, con radio FM y función TWS (True Wireless Stereo), adecuada para relajarse en casa o viajar al aire libre.</t>
        </is>
      </c>
      <c r="H2439" s="16" t="inlineStr">
        <is>
          <t>KTS-1678Y</t>
        </is>
      </c>
      <c r="I2439" s="16" t="n">
        <v>1</v>
      </c>
      <c r="J2439" s="17" t="n">
        <v>42.5</v>
      </c>
      <c r="K2439" s="17" t="n">
        <v>41.42</v>
      </c>
      <c r="L2439" s="17" t="n">
        <v>25.86</v>
      </c>
      <c r="M2439" s="17" t="n">
        <v>0</v>
      </c>
      <c r="N2439" s="17">
        <f>K2439*0.08+L2439*0.08</f>
        <v/>
      </c>
      <c r="O2439" s="17">
        <f>-(K2439*0.025+L2439*0.025)</f>
        <v/>
      </c>
      <c r="P2439" s="17">
        <f>32</f>
        <v/>
      </c>
      <c r="Q2439" s="17">
        <f>J2439+L2439+N2439+O2439-P2439-M2439</f>
        <v/>
      </c>
    </row>
    <row r="2440">
      <c r="A2440" s="16" t="inlineStr">
        <is>
          <t>5.22-5.28</t>
        </is>
      </c>
      <c r="B2440" s="16" t="inlineStr">
        <is>
          <t>PO-128-17474383404152885</t>
        </is>
      </c>
      <c r="C2440" s="16" t="inlineStr">
        <is>
          <t>Shipped</t>
        </is>
      </c>
      <c r="D2440" s="16" t="inlineStr">
        <is>
          <t>128-17474362432632885</t>
        </is>
      </c>
      <c r="E2440" s="16" t="inlineStr">
        <is>
          <t>Shipped</t>
        </is>
      </c>
      <c r="F2440" s="16" t="inlineStr">
        <is>
          <t>LB02235-blanco</t>
        </is>
      </c>
      <c r="G2440" s="16" t="inlineStr">
        <is>
          <t>Audífonos Inalámbricos para la Cabeza, Recargables y Multifuncionales - Conectan a Varios Dispositivos, soportan Radio FM, Tarjeta TF y AUX - 4 Horas de Reproducción Musical - Ideal para Trabajo Cotidiano, Juegos y Estudio</t>
        </is>
      </c>
      <c r="H2440" s="16" t="inlineStr">
        <is>
          <t>BLANCO</t>
        </is>
      </c>
      <c r="I2440" s="16" t="n">
        <v>1</v>
      </c>
      <c r="J2440" s="17" t="n">
        <v>36.8</v>
      </c>
      <c r="K2440" s="17" t="n">
        <v>49.91</v>
      </c>
      <c r="L2440" s="17" t="n">
        <v>25.86</v>
      </c>
      <c r="M2440" s="17" t="n">
        <v>0</v>
      </c>
      <c r="N2440" s="17">
        <f>K2440*0.08+L2440*0.08</f>
        <v/>
      </c>
      <c r="O2440" s="17">
        <f>-(K2440*0.025+L2440*0.025)</f>
        <v/>
      </c>
      <c r="P2440" s="17">
        <f>32</f>
        <v/>
      </c>
      <c r="Q2440" s="17">
        <f>J2440+L2440+N2440+O2440-P2440-M2440</f>
        <v/>
      </c>
    </row>
    <row r="2441">
      <c r="A2441" s="16" t="inlineStr">
        <is>
          <t>5.22-5.28</t>
        </is>
      </c>
      <c r="B2441" s="16" t="inlineStr">
        <is>
          <t>PO-128-17336474688633643</t>
        </is>
      </c>
      <c r="C2441" s="16" t="inlineStr">
        <is>
          <t>Shipped</t>
        </is>
      </c>
      <c r="D2441" s="16" t="inlineStr">
        <is>
          <t>128-17336453717113643</t>
        </is>
      </c>
      <c r="E2441" s="16" t="inlineStr">
        <is>
          <t>Shipped</t>
        </is>
      </c>
      <c r="F2441" s="16" t="inlineStr">
        <is>
          <t>VA384T-A</t>
        </is>
      </c>
      <c r="G2441" s="16" t="inlineStr">
        <is>
          <t>Bocina Portátil Bluetooth de 3 Pulgadas con Radio FM, USB TF TWS, Sonido Estéreo 5W, Bocina Recargable para Hogar Exterior Viaje Fiesta Camping</t>
        </is>
      </c>
      <c r="H2441" s="16" t="inlineStr">
        <is>
          <t>AZUL</t>
        </is>
      </c>
      <c r="I2441" s="16" t="n">
        <v>1</v>
      </c>
      <c r="J2441" s="17" t="n">
        <v>48</v>
      </c>
      <c r="K2441" s="17" t="n">
        <v>58.72</v>
      </c>
      <c r="L2441" s="17" t="n">
        <v>25.86</v>
      </c>
      <c r="M2441" s="17" t="n">
        <v>0</v>
      </c>
      <c r="N2441" s="17">
        <f>K2441*0.08+L2441*0.08</f>
        <v/>
      </c>
      <c r="O2441" s="17">
        <f>-(K2441*0.025+L2441*0.025)</f>
        <v/>
      </c>
      <c r="P2441" s="17">
        <f>32</f>
        <v/>
      </c>
      <c r="Q2441" s="17">
        <f>J2441+L2441+N2441+O2441-P2441-M2441</f>
        <v/>
      </c>
    </row>
    <row r="2442">
      <c r="A2442" s="16" t="inlineStr">
        <is>
          <t>5.22-5.28</t>
        </is>
      </c>
      <c r="B2442" s="16" t="inlineStr">
        <is>
          <t>PO-128-17393675287672404</t>
        </is>
      </c>
      <c r="C2442" s="16" t="inlineStr">
        <is>
          <t>Shipped</t>
        </is>
      </c>
      <c r="D2442" s="16" t="inlineStr">
        <is>
          <t>128-17393654316152404</t>
        </is>
      </c>
      <c r="E2442" s="16" t="inlineStr">
        <is>
          <t>Shipped</t>
        </is>
      </c>
      <c r="F2442" s="16" t="inlineStr">
        <is>
          <t>MB-185R</t>
        </is>
      </c>
      <c r="G2442" s="16" t="inlineStr">
        <is>
          <t>Bocina Radio FM/Reproductor, Compatible con Tarjeta TF, USB, Bluetooth, Aplicable para celular, computadora, Ipad y consola.</t>
        </is>
      </c>
      <c r="H2442" s="16" t="inlineStr">
        <is>
          <t>ROJO/MB-185</t>
        </is>
      </c>
      <c r="I2442" s="16" t="n">
        <v>1</v>
      </c>
      <c r="J2442" s="17" t="n">
        <v>75.5</v>
      </c>
      <c r="K2442" s="17" t="n">
        <v>88.44</v>
      </c>
      <c r="L2442" s="17" t="n">
        <v>25.86</v>
      </c>
      <c r="M2442" s="17" t="n">
        <v>0</v>
      </c>
      <c r="N2442" s="17">
        <f>K2442*0.08+L2442*0.08</f>
        <v/>
      </c>
      <c r="O2442" s="17">
        <f>-(K2442*0.025+L2442*0.025)</f>
        <v/>
      </c>
      <c r="P2442" s="17">
        <f>32</f>
        <v/>
      </c>
      <c r="Q2442" s="17">
        <f>J2442+L2442+N2442+O2442-P2442-M2442</f>
        <v/>
      </c>
    </row>
    <row r="2443">
      <c r="A2443" s="16" t="inlineStr">
        <is>
          <t>5.22-5.28</t>
        </is>
      </c>
      <c r="B2443" s="16" t="inlineStr">
        <is>
          <t>PO-128-17734887516790370</t>
        </is>
      </c>
      <c r="C2443" s="16" t="inlineStr">
        <is>
          <t>Shipped</t>
        </is>
      </c>
      <c r="D2443" s="16" t="inlineStr">
        <is>
          <t>128-17734908488310370</t>
        </is>
      </c>
      <c r="E2443" s="16" t="inlineStr">
        <is>
          <t>Shipped</t>
        </is>
      </c>
      <c r="F2443" s="16" t="inlineStr">
        <is>
          <t>LB02235-azul</t>
        </is>
      </c>
      <c r="G2443" s="16" t="inlineStr">
        <is>
          <t>Audífonos Inalámbricos para la Cabeza, Recargables y Multifuncionales - Conectan a Varios Dispositivos, soportan Radio FM, Tarjeta TF y AUX - 4 Horas de Reproducción Musical - Ideal para Trabajo Cotidiano, Juegos y Estudio</t>
        </is>
      </c>
      <c r="H2443" s="16" t="inlineStr">
        <is>
          <t>AZUL</t>
        </is>
      </c>
      <c r="I2443" s="16" t="n">
        <v>1</v>
      </c>
      <c r="J2443" s="17" t="n">
        <v>36</v>
      </c>
      <c r="K2443" s="17" t="n">
        <v>39.29</v>
      </c>
      <c r="L2443" s="17" t="n">
        <v>25.86</v>
      </c>
      <c r="M2443" s="17" t="n">
        <v>0</v>
      </c>
      <c r="N2443" s="17">
        <f>K2443*0.08+L2443*0.08</f>
        <v/>
      </c>
      <c r="O2443" s="17">
        <f>-(K2443*0.025+L2443*0.025)</f>
        <v/>
      </c>
      <c r="P2443" s="17">
        <f>32</f>
        <v/>
      </c>
      <c r="Q2443" s="17">
        <f>J2443+L2443+N2443+O2443-P2443-M2443</f>
        <v/>
      </c>
    </row>
    <row r="2444">
      <c r="A2444" s="16" t="inlineStr">
        <is>
          <t>5.22-5.28</t>
        </is>
      </c>
      <c r="B2444" s="16" t="inlineStr">
        <is>
          <t>PO-128-17197593283193575</t>
        </is>
      </c>
      <c r="C2444" s="16" t="inlineStr">
        <is>
          <t>Shipped</t>
        </is>
      </c>
      <c r="D2444" s="16" t="inlineStr">
        <is>
          <t>128-17197614254713575</t>
        </is>
      </c>
      <c r="E2444" s="16" t="inlineStr">
        <is>
          <t>Shipped</t>
        </is>
      </c>
      <c r="F2444" s="16" t="inlineStr">
        <is>
          <t>EM04W36-2PZS</t>
        </is>
      </c>
      <c r="G244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444" s="16" t="inlineStr">
        <is>
          <t>2 piezas</t>
        </is>
      </c>
      <c r="I2444" s="16" t="n">
        <v>1</v>
      </c>
      <c r="J2444" s="17" t="n">
        <v>125</v>
      </c>
      <c r="K2444" s="17" t="n">
        <v>162.46</v>
      </c>
      <c r="L2444" s="17" t="n">
        <v>25.86</v>
      </c>
      <c r="M2444" s="17" t="n">
        <v>0</v>
      </c>
      <c r="N2444" s="17">
        <f>K2444*0.08+L2444*0.08</f>
        <v/>
      </c>
      <c r="O2444" s="17">
        <f>-(K2444*0.025+L2444*0.025)</f>
        <v/>
      </c>
      <c r="P2444" s="17">
        <f>32</f>
        <v/>
      </c>
      <c r="Q2444" s="17">
        <f>J2444+L2444+N2444+O2444-P2444-M2444</f>
        <v/>
      </c>
    </row>
    <row r="2445">
      <c r="A2445" s="16" t="inlineStr">
        <is>
          <t>5.22-5.28</t>
        </is>
      </c>
      <c r="B2445" s="16" t="inlineStr">
        <is>
          <t>PO-128-17335854889593647</t>
        </is>
      </c>
      <c r="C2445" s="16" t="inlineStr">
        <is>
          <t>Shipped</t>
        </is>
      </c>
      <c r="D2445" s="16" t="inlineStr">
        <is>
          <t>128-17335875861113647</t>
        </is>
      </c>
      <c r="E2445" s="16" t="inlineStr">
        <is>
          <t>Shipped</t>
        </is>
      </c>
      <c r="F2445" s="16" t="inlineStr">
        <is>
          <t>EM04W36</t>
        </is>
      </c>
      <c r="G244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445" s="16" t="inlineStr">
        <is>
          <t>1 pieza</t>
        </is>
      </c>
      <c r="I2445" s="16" t="n">
        <v>1</v>
      </c>
      <c r="J2445" s="17" t="n">
        <v>62</v>
      </c>
      <c r="K2445" s="17" t="n">
        <v>71.29000000000001</v>
      </c>
      <c r="L2445" s="17" t="n">
        <v>25.86</v>
      </c>
      <c r="M2445" s="17" t="n">
        <v>0</v>
      </c>
      <c r="N2445" s="17">
        <f>K2445*0.08+L2445*0.08</f>
        <v/>
      </c>
      <c r="O2445" s="17">
        <f>-(K2445*0.025+L2445*0.025)</f>
        <v/>
      </c>
      <c r="P2445" s="17">
        <f>32</f>
        <v/>
      </c>
      <c r="Q2445" s="17">
        <f>J2445+L2445+N2445+O2445-P2445-M2445</f>
        <v/>
      </c>
    </row>
    <row r="2446">
      <c r="A2446" s="16" t="inlineStr">
        <is>
          <t>5.22-5.28</t>
        </is>
      </c>
      <c r="B2446" s="16" t="inlineStr">
        <is>
          <t>PO-128-17465475262072872</t>
        </is>
      </c>
      <c r="C2446" s="16" t="inlineStr">
        <is>
          <t>Shipped</t>
        </is>
      </c>
      <c r="D2446" s="16" t="inlineStr">
        <is>
          <t>128-17465517205112872</t>
        </is>
      </c>
      <c r="E2446" s="16" t="inlineStr">
        <is>
          <t>Shipped</t>
        </is>
      </c>
      <c r="F2446" s="16" t="inlineStr">
        <is>
          <t>FA028</t>
        </is>
      </c>
      <c r="G2446" s="16" t="inlineStr">
        <is>
          <t>Extractor de agua para garrafas de agua, compatible con carga USB, extractor de agua automático, práctico, con dos modos de toma de agua: manual y programado, ideal para dormitorios, salones, oficinas, uso al aire libre y otros escenarios.</t>
        </is>
      </c>
      <c r="H2446" s="16" t="inlineStr">
        <is>
          <t>FA028</t>
        </is>
      </c>
      <c r="I2446" s="16" t="n">
        <v>1</v>
      </c>
      <c r="J2446" s="17" t="n">
        <v>35</v>
      </c>
      <c r="K2446" s="17" t="n">
        <v>44.58</v>
      </c>
      <c r="L2446" s="17" t="n">
        <v>25.86</v>
      </c>
      <c r="M2446" s="17" t="n">
        <v>0</v>
      </c>
      <c r="N2446" s="17">
        <f>K2446*0.08+L2446*0.08</f>
        <v/>
      </c>
      <c r="O2446" s="17">
        <f>-(K2446*0.025+L2446*0.025)</f>
        <v/>
      </c>
      <c r="P2446" s="17">
        <f>32</f>
        <v/>
      </c>
      <c r="Q2446" s="17">
        <f>J2446+L2446+N2446+O2446-P2446-M2446</f>
        <v/>
      </c>
    </row>
    <row r="2447">
      <c r="A2447" s="16" t="inlineStr">
        <is>
          <t>5.22-5.28</t>
        </is>
      </c>
      <c r="B2447" s="16" t="inlineStr">
        <is>
          <t>PO-128-17347674614393702</t>
        </is>
      </c>
      <c r="C2447" s="16" t="inlineStr">
        <is>
          <t>Shipped</t>
        </is>
      </c>
      <c r="D2447" s="16" t="inlineStr">
        <is>
          <t>128-17347779471993702</t>
        </is>
      </c>
      <c r="E2447" s="16" t="inlineStr">
        <is>
          <t>Shipped</t>
        </is>
      </c>
      <c r="F2447" s="16" t="inlineStr">
        <is>
          <t>LB02235-blanco</t>
        </is>
      </c>
      <c r="G2447" s="16" t="inlineStr">
        <is>
          <t>Audífonos Inalámbricos para la Cabeza, Recargables y Multifuncionales - Conectan a Varios Dispositivos, soportan Radio FM, Tarjeta TF y AUX - 4 Horas de Reproducción Musical - Ideal para Trabajo Cotidiano, Juegos y Estudio</t>
        </is>
      </c>
      <c r="H2447" s="16" t="inlineStr">
        <is>
          <t>BLANCO</t>
        </is>
      </c>
      <c r="I2447" s="16" t="n">
        <v>1</v>
      </c>
      <c r="J2447" s="17" t="n">
        <v>37.71</v>
      </c>
      <c r="K2447" s="17" t="n">
        <v>7.72</v>
      </c>
      <c r="L2447" s="17" t="n">
        <v>25.86</v>
      </c>
      <c r="M2447" s="17" t="n">
        <v>0.15</v>
      </c>
      <c r="N2447" s="17">
        <f>K2447*0.08+L2447*0.08</f>
        <v/>
      </c>
      <c r="O2447" s="17">
        <f>-(K2447*0.025+L2447*0.025)</f>
        <v/>
      </c>
      <c r="P2447" s="17">
        <f>32</f>
        <v/>
      </c>
      <c r="Q2447" s="17">
        <f>J2447+L2447+N2447+O2447-P2447-M2447</f>
        <v/>
      </c>
    </row>
    <row r="2448">
      <c r="A2448" s="16" t="inlineStr">
        <is>
          <t>5.22-5.28</t>
        </is>
      </c>
      <c r="B2448" s="16" t="inlineStr">
        <is>
          <t>PO-128-17382876119672340</t>
        </is>
      </c>
      <c r="C2448" s="16" t="inlineStr">
        <is>
          <t>Shipped</t>
        </is>
      </c>
      <c r="D2448" s="16" t="inlineStr">
        <is>
          <t>128-17383036027512340</t>
        </is>
      </c>
      <c r="E2448" s="16" t="inlineStr">
        <is>
          <t>Shipped</t>
        </is>
      </c>
      <c r="F2448" s="16" t="inlineStr">
        <is>
          <t>T5050RGB07</t>
        </is>
      </c>
      <c r="G2448"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2448" s="16" t="inlineStr">
        <is>
          <t>T5050RGB07</t>
        </is>
      </c>
      <c r="I2448" s="16" t="n">
        <v>1</v>
      </c>
      <c r="J2448" s="17" t="n">
        <v>56.4</v>
      </c>
      <c r="K2448" s="17" t="n">
        <v>30.65</v>
      </c>
      <c r="L2448" s="17" t="n">
        <v>25.86</v>
      </c>
      <c r="M2448" s="17" t="n">
        <v>2.66</v>
      </c>
      <c r="N2448" s="17">
        <f>K2448*0.08+L2448*0.08</f>
        <v/>
      </c>
      <c r="O2448" s="17">
        <f>-(K2448*0.025+L2448*0.025)</f>
        <v/>
      </c>
      <c r="P2448" s="17">
        <f>32</f>
        <v/>
      </c>
      <c r="Q2448" s="17">
        <f>J2448+L2448+N2448+O2448-P2448-M2448</f>
        <v/>
      </c>
    </row>
    <row r="2449">
      <c r="A2449" s="16" t="inlineStr">
        <is>
          <t>5.22-5.28</t>
        </is>
      </c>
      <c r="B2449" s="16" t="inlineStr">
        <is>
          <t>PO-128-17829047829110643</t>
        </is>
      </c>
      <c r="C2449" s="16" t="inlineStr">
        <is>
          <t>Shipped</t>
        </is>
      </c>
      <c r="D2449" s="16" t="inlineStr">
        <is>
          <t>128-17829089772150643</t>
        </is>
      </c>
      <c r="E2449" s="16" t="inlineStr">
        <is>
          <t>Shipped</t>
        </is>
      </c>
      <c r="F2449" s="16" t="inlineStr">
        <is>
          <t>LB02235-rojo</t>
        </is>
      </c>
      <c r="G2449" s="16" t="inlineStr">
        <is>
          <t>Audífonos Inalámbricos para la Cabeza, Recargables y Multifuncionales - Conectan a Varios Dispositivos, soportan Radio FM, Tarjeta TF y AUX - 4 Horas de Reproducción Musical - Ideal para Trabajo Cotidiano, Juegos y Estudio</t>
        </is>
      </c>
      <c r="H2449" s="16" t="inlineStr">
        <is>
          <t>ROJO</t>
        </is>
      </c>
      <c r="I2449" s="16" t="n">
        <v>1</v>
      </c>
      <c r="J2449" s="17" t="n">
        <v>36.8</v>
      </c>
      <c r="K2449" s="17" t="n">
        <v>39.93</v>
      </c>
      <c r="L2449" s="17" t="n">
        <v>12.81</v>
      </c>
      <c r="M2449" s="17" t="n">
        <v>0</v>
      </c>
      <c r="N2449" s="17">
        <f>K2449*0.08+L2449*0.08</f>
        <v/>
      </c>
      <c r="O2449" s="17">
        <f>-(K2449*0.025+L2449*0.025)</f>
        <v/>
      </c>
      <c r="P2449" s="17">
        <f>32</f>
        <v/>
      </c>
      <c r="Q2449" s="17">
        <f>J2449+L2449+N2449+O2449-P2449-M2449</f>
        <v/>
      </c>
    </row>
    <row r="2450">
      <c r="A2450" s="16" t="inlineStr">
        <is>
          <t>5.22-5.28</t>
        </is>
      </c>
      <c r="B2450" s="16" t="inlineStr">
        <is>
          <t>PO-128-17829047829110643</t>
        </is>
      </c>
      <c r="C2450" s="16" t="inlineStr">
        <is>
          <t>Shipped</t>
        </is>
      </c>
      <c r="D2450" s="16" t="inlineStr">
        <is>
          <t>128-17829110743670643</t>
        </is>
      </c>
      <c r="E2450" s="16" t="inlineStr">
        <is>
          <t>Shipped</t>
        </is>
      </c>
      <c r="F2450" s="16" t="inlineStr">
        <is>
          <t>LB02235-blanco</t>
        </is>
      </c>
      <c r="G2450" s="16" t="inlineStr">
        <is>
          <t>Audífonos Inalámbricos para la Cabeza, Recargables y Multifuncionales - Conectan a Varios Dispositivos, soportan Radio FM, Tarjeta TF y AUX - 4 Horas de Reproducción Musical - Ideal para Trabajo Cotidiano, Juegos y Estudio</t>
        </is>
      </c>
      <c r="H2450" s="16" t="inlineStr">
        <is>
          <t>BLANCO</t>
        </is>
      </c>
      <c r="I2450" s="16" t="n">
        <v>1</v>
      </c>
      <c r="J2450" s="17" t="n">
        <v>37.71</v>
      </c>
      <c r="K2450" s="17" t="n">
        <v>40.66</v>
      </c>
      <c r="L2450" s="17" t="n">
        <v>13.05</v>
      </c>
      <c r="M2450" s="17" t="n">
        <v>0</v>
      </c>
      <c r="N2450" s="17">
        <f>K2450*0.08+L2450*0.08</f>
        <v/>
      </c>
      <c r="O2450" s="17">
        <f>-(K2450*0.025+L2450*0.025)</f>
        <v/>
      </c>
      <c r="P2450" s="17">
        <f>32</f>
        <v/>
      </c>
      <c r="Q2450" s="17">
        <f>J2450+L2450+N2450+O2450-P2450-M2450</f>
        <v/>
      </c>
    </row>
    <row r="2451">
      <c r="A2451" s="16" t="inlineStr">
        <is>
          <t>5.22-5.28</t>
        </is>
      </c>
      <c r="B2451" s="16" t="inlineStr">
        <is>
          <t>PO-128-17467585915512860</t>
        </is>
      </c>
      <c r="C2451" s="16" t="inlineStr">
        <is>
          <t>Shipped</t>
        </is>
      </c>
      <c r="D2451" s="16" t="inlineStr">
        <is>
          <t>128-17467591158392860</t>
        </is>
      </c>
      <c r="E2451" s="16" t="inlineStr">
        <is>
          <t>Shipped</t>
        </is>
      </c>
      <c r="F2451" s="16" t="inlineStr">
        <is>
          <t>LB02235-negro</t>
        </is>
      </c>
      <c r="G2451" s="16" t="inlineStr">
        <is>
          <t>Audífonos Inalámbricos para la Cabeza, Recargables y Multifuncionales - Conectan a Varios Dispositivos, soportan Radio FM, Tarjeta TF y AUX - 4 Horas de Reproducción Musical - Ideal para Trabajo Cotidiano, Juegos y Estudio</t>
        </is>
      </c>
      <c r="H2451" s="16" t="inlineStr">
        <is>
          <t>NEGRO</t>
        </is>
      </c>
      <c r="I2451" s="16" t="n">
        <v>1</v>
      </c>
      <c r="J2451" s="17" t="n">
        <v>37.71</v>
      </c>
      <c r="K2451" s="17" t="n">
        <v>50.82</v>
      </c>
      <c r="L2451" s="17" t="n">
        <v>25.86</v>
      </c>
      <c r="M2451" s="17" t="n">
        <v>0</v>
      </c>
      <c r="N2451" s="17">
        <f>K2451*0.08+L2451*0.08</f>
        <v/>
      </c>
      <c r="O2451" s="17">
        <f>-(K2451*0.025+L2451*0.025)</f>
        <v/>
      </c>
      <c r="P2451" s="17">
        <f>32</f>
        <v/>
      </c>
      <c r="Q2451" s="17">
        <f>J2451+L2451+N2451+O2451-P2451-M2451</f>
        <v/>
      </c>
    </row>
    <row r="2452">
      <c r="A2452" s="16" t="inlineStr">
        <is>
          <t>5.22-5.28</t>
        </is>
      </c>
      <c r="B2452" s="16" t="inlineStr">
        <is>
          <t>PO-128-17403296876152221</t>
        </is>
      </c>
      <c r="C2452" s="16" t="inlineStr">
        <is>
          <t>Shipped</t>
        </is>
      </c>
      <c r="D2452" s="16" t="inlineStr">
        <is>
          <t>128-17403317847672221</t>
        </is>
      </c>
      <c r="E2452" s="16" t="inlineStr">
        <is>
          <t>Shipped</t>
        </is>
      </c>
      <c r="F2452" s="16" t="inlineStr">
        <is>
          <t>MCM-003-V</t>
        </is>
      </c>
      <c r="G2452"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452" s="16" t="inlineStr">
        <is>
          <t>verde</t>
        </is>
      </c>
      <c r="I2452" s="16" t="n">
        <v>1</v>
      </c>
      <c r="J2452" s="17" t="n">
        <v>43</v>
      </c>
      <c r="K2452" s="17" t="n">
        <v>7.08</v>
      </c>
      <c r="L2452" s="17" t="n">
        <v>25.86</v>
      </c>
      <c r="M2452" s="17" t="n">
        <v>0</v>
      </c>
      <c r="N2452" s="17">
        <f>K2452*0.08+L2452*0.08</f>
        <v/>
      </c>
      <c r="O2452" s="17">
        <f>-(K2452*0.025+L2452*0.025)</f>
        <v/>
      </c>
      <c r="P2452" s="17">
        <f>32</f>
        <v/>
      </c>
      <c r="Q2452" s="17">
        <f>J2452+L2452+N2452+O2452-P2452-M2452</f>
        <v/>
      </c>
    </row>
    <row r="2453">
      <c r="A2453" s="16" t="inlineStr">
        <is>
          <t>5.22-5.28</t>
        </is>
      </c>
      <c r="B2453" s="16" t="inlineStr">
        <is>
          <t>PO-128-17720622070390265</t>
        </is>
      </c>
      <c r="C2453" s="16" t="inlineStr">
        <is>
          <t>Shipped</t>
        </is>
      </c>
      <c r="D2453" s="16" t="inlineStr">
        <is>
          <t>128-17720726927990265</t>
        </is>
      </c>
      <c r="E2453" s="16" t="inlineStr">
        <is>
          <t>Shipped</t>
        </is>
      </c>
      <c r="F2453" s="16" t="inlineStr">
        <is>
          <t>FA028</t>
        </is>
      </c>
      <c r="G2453" s="16" t="inlineStr">
        <is>
          <t>Extractor de agua para garrafas de agua, compatible con carga USB, extractor de agua automático, práctico, con dos modos de toma de agua: manual y programado, ideal para dormitorios, salones, oficinas, uso al aire libre y otros escenarios.</t>
        </is>
      </c>
      <c r="H2453" s="16" t="inlineStr">
        <is>
          <t>FA028</t>
        </is>
      </c>
      <c r="I2453" s="16" t="n">
        <v>1</v>
      </c>
      <c r="J2453" s="17" t="n">
        <v>35</v>
      </c>
      <c r="K2453" s="17" t="n">
        <v>44.58</v>
      </c>
      <c r="L2453" s="17" t="n">
        <v>25.86</v>
      </c>
      <c r="M2453" s="17" t="n">
        <v>0</v>
      </c>
      <c r="N2453" s="17">
        <f>K2453*0.08+L2453*0.08</f>
        <v/>
      </c>
      <c r="O2453" s="17">
        <f>-(K2453*0.025+L2453*0.025)</f>
        <v/>
      </c>
      <c r="P2453" s="17">
        <f>32</f>
        <v/>
      </c>
      <c r="Q2453" s="17">
        <f>J2453+L2453+N2453+O2453-P2453-M2453</f>
        <v/>
      </c>
    </row>
    <row r="2454">
      <c r="A2454" s="16" t="inlineStr">
        <is>
          <t>5.22-5.28</t>
        </is>
      </c>
      <c r="B2454" s="16" t="inlineStr">
        <is>
          <t>PO-128-17205943107193333</t>
        </is>
      </c>
      <c r="C2454" s="16" t="inlineStr">
        <is>
          <t>Shipped</t>
        </is>
      </c>
      <c r="D2454" s="16" t="inlineStr">
        <is>
          <t>128-17205922135673333</t>
        </is>
      </c>
      <c r="E2454" s="16" t="inlineStr">
        <is>
          <t>Shipped</t>
        </is>
      </c>
      <c r="F2454" s="16" t="inlineStr">
        <is>
          <t>LB02235-negro</t>
        </is>
      </c>
      <c r="G2454" s="16" t="inlineStr">
        <is>
          <t>Audífonos Inalámbricos para la Cabeza, Recargables y Multifuncionales - Conectan a Varios Dispositivos, soportan Radio FM, Tarjeta TF y AUX - 4 Horas de Reproducción Musical - Ideal para Trabajo Cotidiano, Juegos y Estudio</t>
        </is>
      </c>
      <c r="H2454" s="16" t="inlineStr">
        <is>
          <t>NEGRO</t>
        </is>
      </c>
      <c r="I2454" s="16" t="n">
        <v>1</v>
      </c>
      <c r="J2454" s="17" t="n">
        <v>37.71</v>
      </c>
      <c r="K2454" s="17" t="n">
        <v>50.82</v>
      </c>
      <c r="L2454" s="17" t="n">
        <v>25.86</v>
      </c>
      <c r="M2454" s="17" t="n">
        <v>0</v>
      </c>
      <c r="N2454" s="17">
        <f>K2454*0.08+L2454*0.08</f>
        <v/>
      </c>
      <c r="O2454" s="17">
        <f>-(K2454*0.025+L2454*0.025)</f>
        <v/>
      </c>
      <c r="P2454" s="17">
        <f>32</f>
        <v/>
      </c>
      <c r="Q2454" s="17">
        <f>J2454+L2454+N2454+O2454-P2454-M2454</f>
        <v/>
      </c>
    </row>
    <row r="2455">
      <c r="A2455" s="16" t="inlineStr">
        <is>
          <t>5.22-5.28</t>
        </is>
      </c>
      <c r="B2455" s="16" t="inlineStr">
        <is>
          <t>PO-128-17735494462070369</t>
        </is>
      </c>
      <c r="C2455" s="16" t="inlineStr">
        <is>
          <t>Shipped</t>
        </is>
      </c>
      <c r="D2455" s="16" t="inlineStr">
        <is>
          <t>128-17735452519030369</t>
        </is>
      </c>
      <c r="E2455" s="16" t="inlineStr">
        <is>
          <t>Shipped</t>
        </is>
      </c>
      <c r="F2455" s="16" t="inlineStr">
        <is>
          <t>EM04W36</t>
        </is>
      </c>
      <c r="G245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455" s="16" t="inlineStr">
        <is>
          <t>1 pieza</t>
        </is>
      </c>
      <c r="I2455" s="16" t="n">
        <v>4</v>
      </c>
      <c r="J2455" s="17" t="n">
        <v>248</v>
      </c>
      <c r="K2455" s="17" t="n">
        <v>285.16</v>
      </c>
      <c r="L2455" s="17" t="n">
        <v>0</v>
      </c>
      <c r="M2455" s="17" t="n">
        <v>0</v>
      </c>
      <c r="N2455" s="17">
        <f>K2455*0.08+L2455*0.08</f>
        <v/>
      </c>
      <c r="O2455" s="17">
        <f>-(K2455*0.025+L2455*0.025)</f>
        <v/>
      </c>
      <c r="P2455" s="17">
        <f>32</f>
        <v/>
      </c>
      <c r="Q2455" s="17">
        <f>J2455+L2455+N2455+O2455-P2455-M2455</f>
        <v/>
      </c>
    </row>
    <row r="2456">
      <c r="A2456" s="16" t="inlineStr">
        <is>
          <t>5.22-5.28</t>
        </is>
      </c>
      <c r="B2456" s="16" t="inlineStr">
        <is>
          <t>PO-128-17735494462070369</t>
        </is>
      </c>
      <c r="C2456" s="16" t="inlineStr">
        <is>
          <t>Shipped</t>
        </is>
      </c>
      <c r="D2456" s="16" t="inlineStr">
        <is>
          <t>128-17735518741110369</t>
        </is>
      </c>
      <c r="E2456" s="16" t="inlineStr">
        <is>
          <t>Shipped</t>
        </is>
      </c>
      <c r="F2456" s="16" t="inlineStr">
        <is>
          <t>EM04W36</t>
        </is>
      </c>
      <c r="G245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456" s="16" t="inlineStr">
        <is>
          <t>1 pieza</t>
        </is>
      </c>
      <c r="I2456" s="16" t="n">
        <v>2</v>
      </c>
      <c r="J2456" s="17" t="n">
        <v>124</v>
      </c>
      <c r="K2456" s="17" t="n">
        <v>142.58</v>
      </c>
      <c r="L2456" s="17" t="n">
        <v>0</v>
      </c>
      <c r="M2456" s="17" t="n">
        <v>0</v>
      </c>
      <c r="N2456" s="17">
        <f>K2456*0.08+L2456*0.08</f>
        <v/>
      </c>
      <c r="O2456" s="17">
        <f>-(K2456*0.025+L2456*0.025)</f>
        <v/>
      </c>
      <c r="P2456" s="17">
        <f>32</f>
        <v/>
      </c>
      <c r="Q2456" s="17">
        <f>J2456+L2456+N2456+O2456-P2456-M2456</f>
        <v/>
      </c>
    </row>
    <row r="2457">
      <c r="A2457" s="16" t="inlineStr">
        <is>
          <t>5.22-5.28</t>
        </is>
      </c>
      <c r="B2457" s="16" t="inlineStr">
        <is>
          <t>PO-128-17579566904951232</t>
        </is>
      </c>
      <c r="C2457" s="16" t="inlineStr">
        <is>
          <t>Shipped</t>
        </is>
      </c>
      <c r="D2457" s="16" t="inlineStr">
        <is>
          <t>128-17579545933431232</t>
        </is>
      </c>
      <c r="E2457" s="16" t="inlineStr">
        <is>
          <t>Shipped</t>
        </is>
      </c>
      <c r="F2457" s="16" t="inlineStr">
        <is>
          <t>MCM-001R</t>
        </is>
      </c>
      <c r="G2457" s="16" t="inlineStr">
        <is>
          <t>Musicord Altavoz Inalámbrico BT Portátil: ¡Sonido impactante, luces LED multicolores y 4 horas de autonomía! Compatible con TWS, FM, TF y USB – Imprescindible para fiestas y viajes</t>
        </is>
      </c>
      <c r="H2457" s="16" t="inlineStr">
        <is>
          <t>ROJO</t>
        </is>
      </c>
      <c r="I2457" s="16" t="n">
        <v>1</v>
      </c>
      <c r="J2457" s="17" t="n">
        <v>66.5</v>
      </c>
      <c r="K2457" s="17" t="n">
        <v>74.29000000000001</v>
      </c>
      <c r="L2457" s="17" t="n">
        <v>25.86</v>
      </c>
      <c r="M2457" s="17" t="n">
        <v>0</v>
      </c>
      <c r="N2457" s="17">
        <f>K2457*0.08+L2457*0.08</f>
        <v/>
      </c>
      <c r="O2457" s="17">
        <f>-(K2457*0.025+L2457*0.025)</f>
        <v/>
      </c>
      <c r="P2457" s="17">
        <f>32</f>
        <v/>
      </c>
      <c r="Q2457" s="17">
        <f>J2457+L2457+N2457+O2457-P2457-M2457</f>
        <v/>
      </c>
    </row>
    <row r="2458">
      <c r="A2458" s="16" t="inlineStr">
        <is>
          <t>5.22-5.28</t>
        </is>
      </c>
      <c r="B2458" s="16" t="inlineStr">
        <is>
          <t>PO-128-17254612931193107</t>
        </is>
      </c>
      <c r="C2458" s="16" t="inlineStr">
        <is>
          <t>Shipped</t>
        </is>
      </c>
      <c r="D2458" s="16" t="inlineStr">
        <is>
          <t>128-17254694851193107</t>
        </is>
      </c>
      <c r="E2458" s="16" t="inlineStr">
        <is>
          <t>Shipped</t>
        </is>
      </c>
      <c r="F2458" s="16" t="inlineStr">
        <is>
          <t>VA384T-N</t>
        </is>
      </c>
      <c r="G2458" s="16" t="inlineStr">
        <is>
          <t>Bocina Portátil Bluetooth de 3 Pulgadas con Radio FM, USB TF TWS, Sonido Estéreo 5W, Bocina Recargable para Hogar Exterior Viaje Fiesta Camping</t>
        </is>
      </c>
      <c r="H2458" s="16" t="inlineStr">
        <is>
          <t>NEGRO</t>
        </is>
      </c>
      <c r="I2458" s="16" t="n">
        <v>1</v>
      </c>
      <c r="J2458" s="17" t="n">
        <v>50</v>
      </c>
      <c r="K2458" s="17" t="n">
        <v>60.72</v>
      </c>
      <c r="L2458" s="17" t="n">
        <v>25.86</v>
      </c>
      <c r="M2458" s="17" t="n">
        <v>0</v>
      </c>
      <c r="N2458" s="17">
        <f>K2458*0.08+L2458*0.08</f>
        <v/>
      </c>
      <c r="O2458" s="17">
        <f>-(K2458*0.025+L2458*0.025)</f>
        <v/>
      </c>
      <c r="P2458" s="17">
        <f>32</f>
        <v/>
      </c>
      <c r="Q2458" s="17">
        <f>J2458+L2458+N2458+O2458-P2458-M2458</f>
        <v/>
      </c>
    </row>
    <row r="2459">
      <c r="A2459" s="16" t="inlineStr">
        <is>
          <t>5.22-5.28</t>
        </is>
      </c>
      <c r="B2459" s="16" t="inlineStr">
        <is>
          <t>PO-128-17519867208312676</t>
        </is>
      </c>
      <c r="C2459" s="16" t="inlineStr">
        <is>
          <t>Shipped</t>
        </is>
      </c>
      <c r="D2459" s="16" t="inlineStr">
        <is>
          <t>128-17519935365752676</t>
        </is>
      </c>
      <c r="E2459" s="16" t="inlineStr">
        <is>
          <t>Shipped</t>
        </is>
      </c>
      <c r="F2459" s="16" t="inlineStr">
        <is>
          <t>VB347T</t>
        </is>
      </c>
      <c r="G245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459" s="16" t="inlineStr">
        <is>
          <t>1 pieza</t>
        </is>
      </c>
      <c r="I2459" s="16" t="n">
        <v>1</v>
      </c>
      <c r="J2459" s="17" t="n">
        <v>79.90000000000001</v>
      </c>
      <c r="K2459" s="17" t="n">
        <v>94.5</v>
      </c>
      <c r="L2459" s="17" t="n">
        <v>25.86</v>
      </c>
      <c r="M2459" s="17" t="n">
        <v>0</v>
      </c>
      <c r="N2459" s="17">
        <f>K2459*0.08+L2459*0.08</f>
        <v/>
      </c>
      <c r="O2459" s="17">
        <f>-(K2459*0.025+L2459*0.025)</f>
        <v/>
      </c>
      <c r="P2459" s="17">
        <f>32</f>
        <v/>
      </c>
      <c r="Q2459" s="17">
        <f>J2459+L2459+N2459+O2459-P2459-M2459</f>
        <v/>
      </c>
    </row>
    <row r="2460">
      <c r="A2460" s="16" t="inlineStr">
        <is>
          <t>5.22-5.28</t>
        </is>
      </c>
      <c r="B2460" s="16" t="inlineStr">
        <is>
          <t>PO-128-17584507797111269</t>
        </is>
      </c>
      <c r="C2460" s="16" t="inlineStr">
        <is>
          <t>Shipped</t>
        </is>
      </c>
      <c r="D2460" s="16" t="inlineStr">
        <is>
          <t>128-17584465854071269</t>
        </is>
      </c>
      <c r="E2460" s="16" t="inlineStr">
        <is>
          <t>Shipped</t>
        </is>
      </c>
      <c r="F2460" s="16" t="inlineStr">
        <is>
          <t>MB-185N</t>
        </is>
      </c>
      <c r="G2460" s="16" t="inlineStr">
        <is>
          <t>Bocina Radio FM/Reproductor, Compatible con Tarjeta TF, USB, Bluetooth, Aplicable para celular, computadora, Ipad y consola.</t>
        </is>
      </c>
      <c r="H2460" s="16" t="inlineStr">
        <is>
          <t>NEGRO/MB-185</t>
        </is>
      </c>
      <c r="I2460" s="16" t="n">
        <v>1</v>
      </c>
      <c r="J2460" s="17" t="n">
        <v>75.5</v>
      </c>
      <c r="K2460" s="17" t="n">
        <v>88.44</v>
      </c>
      <c r="L2460" s="17" t="n">
        <v>25.86</v>
      </c>
      <c r="M2460" s="17" t="n">
        <v>0</v>
      </c>
      <c r="N2460" s="17">
        <f>K2460*0.08+L2460*0.08</f>
        <v/>
      </c>
      <c r="O2460" s="17">
        <f>-(K2460*0.025+L2460*0.025)</f>
        <v/>
      </c>
      <c r="P2460" s="17">
        <f>32</f>
        <v/>
      </c>
      <c r="Q2460" s="17">
        <f>J2460+L2460+N2460+O2460-P2460-M2460</f>
        <v/>
      </c>
    </row>
    <row r="2461">
      <c r="A2461" s="16" t="inlineStr">
        <is>
          <t>5.22-5.28</t>
        </is>
      </c>
      <c r="B2461" s="16" t="inlineStr">
        <is>
          <t>PO-128-17377137070712313</t>
        </is>
      </c>
      <c r="C2461" s="16" t="inlineStr">
        <is>
          <t>Shipped</t>
        </is>
      </c>
      <c r="D2461" s="16" t="inlineStr">
        <is>
          <t>128-17377095127672313</t>
        </is>
      </c>
      <c r="E2461" s="16" t="inlineStr">
        <is>
          <t>Shipped</t>
        </is>
      </c>
      <c r="F2461" s="16" t="inlineStr">
        <is>
          <t>MB-185N</t>
        </is>
      </c>
      <c r="G2461" s="16" t="inlineStr">
        <is>
          <t>Bocina Radio FM/Reproductor, Compatible con Tarjeta TF, USB, Bluetooth, Aplicable para celular, computadora, Ipad y consola.</t>
        </is>
      </c>
      <c r="H2461" s="16" t="inlineStr">
        <is>
          <t>NEGRO/MB-185</t>
        </is>
      </c>
      <c r="I2461" s="16" t="n">
        <v>1</v>
      </c>
      <c r="J2461" s="17" t="n">
        <v>75.5</v>
      </c>
      <c r="K2461" s="17" t="n">
        <v>88.44</v>
      </c>
      <c r="L2461" s="17" t="n">
        <v>25.86</v>
      </c>
      <c r="M2461" s="17" t="n">
        <v>0</v>
      </c>
      <c r="N2461" s="17">
        <f>K2461*0.08+L2461*0.08</f>
        <v/>
      </c>
      <c r="O2461" s="17">
        <f>-(K2461*0.025+L2461*0.025)</f>
        <v/>
      </c>
      <c r="P2461" s="17">
        <f>32</f>
        <v/>
      </c>
      <c r="Q2461" s="17">
        <f>J2461+L2461+N2461+O2461-P2461-M2461</f>
        <v/>
      </c>
    </row>
    <row r="2462">
      <c r="A2462" s="16" t="inlineStr">
        <is>
          <t>5.22-5.28</t>
        </is>
      </c>
      <c r="B2462" s="16" t="inlineStr">
        <is>
          <t>PO-128-17307160008313944</t>
        </is>
      </c>
      <c r="C2462" s="16" t="inlineStr">
        <is>
          <t>Shipped</t>
        </is>
      </c>
      <c r="D2462" s="16" t="inlineStr">
        <is>
          <t>128-17307180979833944</t>
        </is>
      </c>
      <c r="E2462" s="16" t="inlineStr">
        <is>
          <t>Shipped</t>
        </is>
      </c>
      <c r="F2462" s="16" t="inlineStr">
        <is>
          <t>LB02235-rojo</t>
        </is>
      </c>
      <c r="G2462" s="16" t="inlineStr">
        <is>
          <t>Audífonos Inalámbricos para la Cabeza, Recargables y Multifuncionales - Conectan a Varios Dispositivos, soportan Radio FM, Tarjeta TF y AUX - 4 Horas de Reproducción Musical - Ideal para Trabajo Cotidiano, Juegos y Estudio</t>
        </is>
      </c>
      <c r="H2462" s="16" t="inlineStr">
        <is>
          <t>ROJO</t>
        </is>
      </c>
      <c r="I2462" s="16" t="n">
        <v>2</v>
      </c>
      <c r="J2462" s="17" t="n">
        <v>73.59999999999999</v>
      </c>
      <c r="K2462" s="17" t="n">
        <v>99.81999999999999</v>
      </c>
      <c r="L2462" s="17" t="n">
        <v>25.86</v>
      </c>
      <c r="M2462" s="17" t="n">
        <v>0</v>
      </c>
      <c r="N2462" s="17">
        <f>K2462*0.08+L2462*0.08</f>
        <v/>
      </c>
      <c r="O2462" s="17">
        <f>-(K2462*0.025+L2462*0.025)</f>
        <v/>
      </c>
      <c r="P2462" s="17">
        <f>32</f>
        <v/>
      </c>
      <c r="Q2462" s="17">
        <f>J2462+L2462+N2462+O2462-P2462-M2462</f>
        <v/>
      </c>
    </row>
    <row r="2463">
      <c r="A2463" s="16" t="inlineStr">
        <is>
          <t>5.22-5.28</t>
        </is>
      </c>
      <c r="B2463" s="16" t="inlineStr">
        <is>
          <t>PO-128-17644675087991868</t>
        </is>
      </c>
      <c r="C2463" s="16" t="inlineStr">
        <is>
          <t>Shipped</t>
        </is>
      </c>
      <c r="D2463" s="16" t="inlineStr">
        <is>
          <t>128-17644717031031868</t>
        </is>
      </c>
      <c r="E2463" s="16" t="inlineStr">
        <is>
          <t>Shipped</t>
        </is>
      </c>
      <c r="F2463" s="16" t="inlineStr">
        <is>
          <t>VA880T</t>
        </is>
      </c>
      <c r="G246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463" s="16" t="inlineStr">
        <is>
          <t>1 pieza</t>
        </is>
      </c>
      <c r="I2463" s="16" t="n">
        <v>1</v>
      </c>
      <c r="J2463" s="17" t="n">
        <v>121.64</v>
      </c>
      <c r="K2463" s="17" t="n">
        <v>51.17</v>
      </c>
      <c r="L2463" s="17" t="n">
        <v>25.86</v>
      </c>
      <c r="M2463" s="17" t="n">
        <v>2.55</v>
      </c>
      <c r="N2463" s="17">
        <f>K2463*0.08+L2463*0.08</f>
        <v/>
      </c>
      <c r="O2463" s="17">
        <f>-(K2463*0.025+L2463*0.025)</f>
        <v/>
      </c>
      <c r="P2463" s="17">
        <f>32</f>
        <v/>
      </c>
      <c r="Q2463" s="17">
        <f>J2463+L2463+N2463+O2463-P2463-M2463</f>
        <v/>
      </c>
    </row>
    <row r="2464">
      <c r="A2464" s="16" t="inlineStr">
        <is>
          <t>5.22-5.28</t>
        </is>
      </c>
      <c r="B2464" s="16" t="inlineStr">
        <is>
          <t>PO-128-17653502720631689</t>
        </is>
      </c>
      <c r="C2464" s="16" t="inlineStr">
        <is>
          <t>Shipped</t>
        </is>
      </c>
      <c r="D2464" s="16" t="inlineStr">
        <is>
          <t>128-17653509274231689</t>
        </is>
      </c>
      <c r="E2464" s="16" t="inlineStr">
        <is>
          <t>Shipped</t>
        </is>
      </c>
      <c r="F2464" s="16" t="inlineStr">
        <is>
          <t>LB02235-azul</t>
        </is>
      </c>
      <c r="G2464" s="16" t="inlineStr">
        <is>
          <t>Audífonos Inalámbricos para la Cabeza, Recargables y Multifuncionales - Conectan a Varios Dispositivos, soportan Radio FM, Tarjeta TF y AUX - 4 Horas de Reproducción Musical - Ideal para Trabajo Cotidiano, Juegos y Estudio</t>
        </is>
      </c>
      <c r="H2464" s="16" t="inlineStr">
        <is>
          <t>AZUL</t>
        </is>
      </c>
      <c r="I2464" s="16" t="n">
        <v>1</v>
      </c>
      <c r="J2464" s="17" t="n">
        <v>36</v>
      </c>
      <c r="K2464" s="17" t="n">
        <v>49.11</v>
      </c>
      <c r="L2464" s="17" t="n">
        <v>25.86</v>
      </c>
      <c r="M2464" s="17" t="n">
        <v>0</v>
      </c>
      <c r="N2464" s="17">
        <f>K2464*0.08+L2464*0.08</f>
        <v/>
      </c>
      <c r="O2464" s="17">
        <f>-(K2464*0.025+L2464*0.025)</f>
        <v/>
      </c>
      <c r="P2464" s="17">
        <f>32</f>
        <v/>
      </c>
      <c r="Q2464" s="17">
        <f>J2464+L2464+N2464+O2464-P2464-M2464</f>
        <v/>
      </c>
    </row>
    <row r="2465">
      <c r="A2465" s="16" t="inlineStr">
        <is>
          <t>5.22-5.28</t>
        </is>
      </c>
      <c r="B2465" s="16" t="inlineStr">
        <is>
          <t>PO-128-17257050788473154</t>
        </is>
      </c>
      <c r="C2465" s="16" t="inlineStr">
        <is>
          <t>Shipped</t>
        </is>
      </c>
      <c r="D2465" s="16" t="inlineStr">
        <is>
          <t>128-17257097974393154</t>
        </is>
      </c>
      <c r="E2465" s="16" t="inlineStr">
        <is>
          <t>Shipped</t>
        </is>
      </c>
      <c r="F2465" s="16" t="inlineStr">
        <is>
          <t>LB02235-negro</t>
        </is>
      </c>
      <c r="G2465" s="16" t="inlineStr">
        <is>
          <t>Audífonos Inalámbricos para la Cabeza, Recargables y Multifuncionales - Conectan a Varios Dispositivos, soportan Radio FM, Tarjeta TF y AUX - 4 Horas de Reproducción Musical - Ideal para Trabajo Cotidiano, Juegos y Estudio</t>
        </is>
      </c>
      <c r="H2465" s="16" t="inlineStr">
        <is>
          <t>NEGRO</t>
        </is>
      </c>
      <c r="I2465" s="16" t="n">
        <v>1</v>
      </c>
      <c r="J2465" s="17" t="n">
        <v>37.71</v>
      </c>
      <c r="K2465" s="17" t="n">
        <v>50.82</v>
      </c>
      <c r="L2465" s="17" t="n">
        <v>25.86</v>
      </c>
      <c r="M2465" s="17" t="n">
        <v>0</v>
      </c>
      <c r="N2465" s="17">
        <f>K2465*0.08+L2465*0.08</f>
        <v/>
      </c>
      <c r="O2465" s="17">
        <f>-(K2465*0.025+L2465*0.025)</f>
        <v/>
      </c>
      <c r="P2465" s="17">
        <f>32</f>
        <v/>
      </c>
      <c r="Q2465" s="17">
        <f>J2465+L2465+N2465+O2465-P2465-M2465</f>
        <v/>
      </c>
    </row>
    <row r="2466">
      <c r="A2466" s="16" t="inlineStr">
        <is>
          <t>5.22-5.28</t>
        </is>
      </c>
      <c r="B2466" s="16" t="inlineStr">
        <is>
          <t>PO-128-17776428554870125</t>
        </is>
      </c>
      <c r="C2466" s="16" t="inlineStr">
        <is>
          <t>Shipped</t>
        </is>
      </c>
      <c r="D2466" s="16" t="inlineStr">
        <is>
          <t>128-17776462633590125</t>
        </is>
      </c>
      <c r="E2466" s="16" t="inlineStr">
        <is>
          <t>Shipped</t>
        </is>
      </c>
      <c r="F2466" s="16" t="inlineStr">
        <is>
          <t>LB02235-blanco</t>
        </is>
      </c>
      <c r="G2466" s="16" t="inlineStr">
        <is>
          <t>Audífonos Inalámbricos para la Cabeza, Recargables y Multifuncionales - Conectan a Varios Dispositivos, soportan Radio FM, Tarjeta TF y AUX - 4 Horas de Reproducción Musical - Ideal para Trabajo Cotidiano, Juegos y Estudio</t>
        </is>
      </c>
      <c r="H2466" s="16" t="inlineStr">
        <is>
          <t>BLANCO</t>
        </is>
      </c>
      <c r="I2466" s="16" t="n">
        <v>1</v>
      </c>
      <c r="J2466" s="17" t="n">
        <v>37.71</v>
      </c>
      <c r="K2466" s="17" t="n">
        <v>40.66</v>
      </c>
      <c r="L2466" s="17" t="n">
        <v>25.86</v>
      </c>
      <c r="M2466" s="17" t="n">
        <v>0</v>
      </c>
      <c r="N2466" s="17">
        <f>K2466*0.08+L2466*0.08</f>
        <v/>
      </c>
      <c r="O2466" s="17">
        <f>-(K2466*0.025+L2466*0.025)</f>
        <v/>
      </c>
      <c r="P2466" s="17">
        <f>32</f>
        <v/>
      </c>
      <c r="Q2466" s="17">
        <f>J2466+L2466+N2466+O2466-P2466-M2466</f>
        <v/>
      </c>
    </row>
    <row r="2467">
      <c r="A2467" s="16" t="inlineStr">
        <is>
          <t>5.22-5.28</t>
        </is>
      </c>
      <c r="B2467" s="16" t="inlineStr">
        <is>
          <t>PO-128-06572046654071178</t>
        </is>
      </c>
      <c r="C2467" s="16" t="inlineStr">
        <is>
          <t>Shipped</t>
        </is>
      </c>
      <c r="D2467" s="16" t="inlineStr">
        <is>
          <t>128-06572036168311178</t>
        </is>
      </c>
      <c r="E2467" s="16" t="inlineStr">
        <is>
          <t>Shipped</t>
        </is>
      </c>
      <c r="F2467" s="16" t="inlineStr">
        <is>
          <t>MB-185A</t>
        </is>
      </c>
      <c r="G2467" s="16" t="inlineStr">
        <is>
          <t>Bocina Radio FM/Reproductor, Compatible con Tarjeta TF, USB, Bluetooth, Aplicable para celular, computadora, Ipad y consola.</t>
        </is>
      </c>
      <c r="H2467" s="16" t="inlineStr">
        <is>
          <t>AZUL/MB-185</t>
        </is>
      </c>
      <c r="I2467" s="16" t="n">
        <v>1</v>
      </c>
      <c r="J2467" s="17" t="n">
        <v>75.5</v>
      </c>
      <c r="K2467" s="17" t="n">
        <v>88.44</v>
      </c>
      <c r="L2467" s="17" t="n">
        <v>25.86</v>
      </c>
      <c r="M2467" s="17" t="n">
        <v>0</v>
      </c>
      <c r="N2467" s="17">
        <f>K2467*0.08+L2467*0.08</f>
        <v/>
      </c>
      <c r="O2467" s="17">
        <f>-(K2467*0.025+L2467*0.025)</f>
        <v/>
      </c>
      <c r="P2467" s="17">
        <f>32</f>
        <v/>
      </c>
      <c r="Q2467" s="17">
        <f>J2467+L2467+N2467+O2467-P2467-M2467</f>
        <v/>
      </c>
    </row>
    <row r="2468">
      <c r="A2468" s="16" t="inlineStr">
        <is>
          <t>5.22-5.28</t>
        </is>
      </c>
      <c r="B2468" s="16" t="inlineStr">
        <is>
          <t>PO-128-06785790741110096</t>
        </is>
      </c>
      <c r="C2468" s="16" t="inlineStr">
        <is>
          <t>Shipped</t>
        </is>
      </c>
      <c r="D2468" s="16" t="inlineStr">
        <is>
          <t>128-06785738312310096</t>
        </is>
      </c>
      <c r="E2468" s="16" t="inlineStr">
        <is>
          <t>Shipped</t>
        </is>
      </c>
      <c r="F2468" s="16" t="inlineStr">
        <is>
          <t>HD005</t>
        </is>
      </c>
      <c r="G2468" s="16" t="inlineStr">
        <is>
          <t>Link bits HD005 Antena UHF para Exteriores, Antena de TV Digital HD con 10 Metros de Cable, Recepción 470-862MHz, 9-7dB de Ganancia, Antena para Canales Abiertos y HD, Resistente al Agua y Viento, Fácil Instalación</t>
        </is>
      </c>
      <c r="H2468" s="16" t="inlineStr">
        <is>
          <t>1</t>
        </is>
      </c>
      <c r="I2468" s="16" t="n">
        <v>1</v>
      </c>
      <c r="J2468" s="17" t="n">
        <v>75</v>
      </c>
      <c r="K2468" s="17" t="n">
        <v>92.66</v>
      </c>
      <c r="L2468" s="17" t="n">
        <v>25.86</v>
      </c>
      <c r="M2468" s="17" t="n">
        <v>0</v>
      </c>
      <c r="N2468" s="17">
        <f>K2468*0.08+L2468*0.08</f>
        <v/>
      </c>
      <c r="O2468" s="17">
        <f>-(K2468*0.025+L2468*0.025)</f>
        <v/>
      </c>
      <c r="P2468" s="17">
        <f>32</f>
        <v/>
      </c>
      <c r="Q2468" s="17">
        <f>J2468+L2468+N2468+O2468-P2468-M2468</f>
        <v/>
      </c>
    </row>
    <row r="2469">
      <c r="A2469" s="16" t="inlineStr">
        <is>
          <t>5.22-5.28</t>
        </is>
      </c>
      <c r="B2469" s="16" t="inlineStr">
        <is>
          <t>PO-128-06191547367033510</t>
        </is>
      </c>
      <c r="C2469" s="16" t="inlineStr">
        <is>
          <t>Shipped</t>
        </is>
      </c>
      <c r="D2469" s="16" t="inlineStr">
        <is>
          <t>128-06191589310073510</t>
        </is>
      </c>
      <c r="E2469" s="16" t="inlineStr">
        <is>
          <t>Shipped</t>
        </is>
      </c>
      <c r="F2469" s="16" t="inlineStr">
        <is>
          <t>SA325T</t>
        </is>
      </c>
      <c r="G2469" s="16" t="inlineStr">
        <is>
          <t>Subwoofer Portátil Inalámbrico con Luces RGB, Sonido de Alta Potencia y Batería Duradera, TWS TF USB, Perfecto para Campamento Fiestas y Entretenimiento en Casa</t>
        </is>
      </c>
      <c r="H2469" s="16" t="inlineStr">
        <is>
          <t>NEGRO</t>
        </is>
      </c>
      <c r="I2469" s="16" t="n">
        <v>1</v>
      </c>
      <c r="J2469" s="17" t="n">
        <v>38</v>
      </c>
      <c r="K2469" s="17" t="n">
        <v>47.04</v>
      </c>
      <c r="L2469" s="17" t="n">
        <v>25.86</v>
      </c>
      <c r="M2469" s="17" t="n">
        <v>0</v>
      </c>
      <c r="N2469" s="17">
        <f>K2469*0.08+L2469*0.08</f>
        <v/>
      </c>
      <c r="O2469" s="17">
        <f>-(K2469*0.025+L2469*0.025)</f>
        <v/>
      </c>
      <c r="P2469" s="17">
        <f>32</f>
        <v/>
      </c>
      <c r="Q2469" s="17">
        <f>J2469+L2469+N2469+O2469-P2469-M2469</f>
        <v/>
      </c>
    </row>
    <row r="2470">
      <c r="A2470" s="16" t="inlineStr">
        <is>
          <t>5.22-5.28</t>
        </is>
      </c>
      <c r="B2470" s="16" t="inlineStr">
        <is>
          <t>PO-128-06832343480950653</t>
        </is>
      </c>
      <c r="C2470" s="16" t="inlineStr">
        <is>
          <t>Shipped</t>
        </is>
      </c>
      <c r="D2470" s="16" t="inlineStr">
        <is>
          <t>128-06832301537910653</t>
        </is>
      </c>
      <c r="E2470" s="16" t="inlineStr">
        <is>
          <t>Shipped</t>
        </is>
      </c>
      <c r="F2470" s="16" t="inlineStr">
        <is>
          <t>SA323T</t>
        </is>
      </c>
      <c r="G2470" s="16" t="inlineStr">
        <is>
          <t>Linkbits Bocina Portátil Parlantes BT Portátiles con Iluminación de Ambiente | 1 Hora de Duración, FM, TWS, TF/Micro SD | Ideal para Hogar, Fiestas y Viajes</t>
        </is>
      </c>
      <c r="H2470" s="16" t="inlineStr">
        <is>
          <t>SA323T</t>
        </is>
      </c>
      <c r="I2470" s="16" t="n">
        <v>2</v>
      </c>
      <c r="J2470" s="17" t="n">
        <v>92</v>
      </c>
      <c r="K2470" s="17" t="n">
        <v>67.02</v>
      </c>
      <c r="L2470" s="17" t="n">
        <v>25.86</v>
      </c>
      <c r="M2470" s="17" t="n">
        <v>0</v>
      </c>
      <c r="N2470" s="17">
        <f>K2470*0.08+L2470*0.08</f>
        <v/>
      </c>
      <c r="O2470" s="17">
        <f>-(K2470*0.025+L2470*0.025)</f>
        <v/>
      </c>
      <c r="P2470" s="17">
        <f>32</f>
        <v/>
      </c>
      <c r="Q2470" s="17">
        <f>J2470+L2470+N2470+O2470-P2470-M2470</f>
        <v/>
      </c>
    </row>
    <row r="2471">
      <c r="A2471" s="16" t="inlineStr">
        <is>
          <t>5.22-5.28</t>
        </is>
      </c>
      <c r="B2471" s="16" t="inlineStr">
        <is>
          <t>PO-128-06689022863991571</t>
        </is>
      </c>
      <c r="C2471" s="16" t="inlineStr">
        <is>
          <t>Shipped</t>
        </is>
      </c>
      <c r="D2471" s="16" t="inlineStr">
        <is>
          <t>128-06689043835511571</t>
        </is>
      </c>
      <c r="E2471" s="16" t="inlineStr">
        <is>
          <t>Shipped</t>
        </is>
      </c>
      <c r="F2471" s="16" t="inlineStr">
        <is>
          <t>LV34W04</t>
        </is>
      </c>
      <c r="G247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471" s="16" t="inlineStr">
        <is>
          <t>LV34W04</t>
        </is>
      </c>
      <c r="I2471" s="16" t="n">
        <v>1</v>
      </c>
      <c r="J2471" s="17" t="n">
        <v>279</v>
      </c>
      <c r="K2471" s="17" t="n">
        <v>255.29</v>
      </c>
      <c r="L2471" s="17" t="n">
        <v>0</v>
      </c>
      <c r="M2471" s="17" t="n">
        <v>0</v>
      </c>
      <c r="N2471" s="17">
        <f>K2471*0.08+L2471*0.08</f>
        <v/>
      </c>
      <c r="O2471" s="17">
        <f>-(K2471*0.025+L2471*0.025)</f>
        <v/>
      </c>
      <c r="P2471" s="17">
        <f>32</f>
        <v/>
      </c>
      <c r="Q2471" s="17">
        <f>J2471+L2471+N2471+O2471-P2471-M2471</f>
        <v/>
      </c>
    </row>
    <row r="2472">
      <c r="A2472" s="16" t="inlineStr">
        <is>
          <t>5.22-5.28</t>
        </is>
      </c>
      <c r="B2472" s="16" t="inlineStr">
        <is>
          <t>PO-128-06461317530233054</t>
        </is>
      </c>
      <c r="C2472" s="16" t="inlineStr">
        <is>
          <t>Shipped</t>
        </is>
      </c>
      <c r="D2472" s="16" t="inlineStr">
        <is>
          <t>128-06461275587193054</t>
        </is>
      </c>
      <c r="E2472" s="16" t="inlineStr">
        <is>
          <t>Shipped</t>
        </is>
      </c>
      <c r="F2472" s="16" t="inlineStr">
        <is>
          <t>LB02235-negro</t>
        </is>
      </c>
      <c r="G2472" s="16" t="inlineStr">
        <is>
          <t>Audífonos Inalámbricos para la Cabeza, Recargables y Multifuncionales - Conectan a Varios Dispositivos, soportan Radio FM, Tarjeta TF y AUX - 4 Horas de Reproducción Musical - Ideal para Trabajo Cotidiano, Juegos y Estudio</t>
        </is>
      </c>
      <c r="H2472" s="16" t="inlineStr">
        <is>
          <t>NEGRO</t>
        </is>
      </c>
      <c r="I2472" s="16" t="n">
        <v>1</v>
      </c>
      <c r="J2472" s="17" t="n">
        <v>37.71</v>
      </c>
      <c r="K2472" s="17" t="n">
        <v>50.82</v>
      </c>
      <c r="L2472" s="17" t="n">
        <v>25.86</v>
      </c>
      <c r="M2472" s="17" t="n">
        <v>0</v>
      </c>
      <c r="N2472" s="17">
        <f>K2472*0.08+L2472*0.08</f>
        <v/>
      </c>
      <c r="O2472" s="17">
        <f>-(K2472*0.025+L2472*0.025)</f>
        <v/>
      </c>
      <c r="P2472" s="17">
        <f>32</f>
        <v/>
      </c>
      <c r="Q2472" s="17">
        <f>J2472+L2472+N2472+O2472-P2472-M2472</f>
        <v/>
      </c>
    </row>
    <row r="2473">
      <c r="A2473" s="16" t="inlineStr">
        <is>
          <t>5.22-5.28</t>
        </is>
      </c>
      <c r="B2473" s="16" t="inlineStr">
        <is>
          <t>PO-128-06711903099510472</t>
        </is>
      </c>
      <c r="C2473" s="16" t="inlineStr">
        <is>
          <t>Shipped</t>
        </is>
      </c>
      <c r="D2473" s="16" t="inlineStr">
        <is>
          <t>128-06711918828150472</t>
        </is>
      </c>
      <c r="E2473" s="16" t="inlineStr">
        <is>
          <t>Shipped</t>
        </is>
      </c>
      <c r="F2473" s="16" t="inlineStr">
        <is>
          <t>LB02235-negro</t>
        </is>
      </c>
      <c r="G2473" s="16" t="inlineStr">
        <is>
          <t>Audífonos Inalámbricos para la Cabeza, Recargables y Multifuncionales - Conectan a Varios Dispositivos, soportan Radio FM, Tarjeta TF y AUX - 4 Horas de Reproducción Musical - Ideal para Trabajo Cotidiano, Juegos y Estudio</t>
        </is>
      </c>
      <c r="H2473" s="16" t="inlineStr">
        <is>
          <t>NEGRO</t>
        </is>
      </c>
      <c r="I2473" s="16" t="n">
        <v>1</v>
      </c>
      <c r="J2473" s="17" t="n">
        <v>37.71</v>
      </c>
      <c r="K2473" s="17" t="n">
        <v>50.82</v>
      </c>
      <c r="L2473" s="17" t="n">
        <v>25.86</v>
      </c>
      <c r="M2473" s="17" t="n">
        <v>0</v>
      </c>
      <c r="N2473" s="17">
        <f>K2473*0.08+L2473*0.08</f>
        <v/>
      </c>
      <c r="O2473" s="17">
        <f>-(K2473*0.025+L2473*0.025)</f>
        <v/>
      </c>
      <c r="P2473" s="17">
        <f>32</f>
        <v/>
      </c>
      <c r="Q2473" s="17">
        <f>J2473+L2473+N2473+O2473-P2473-M2473</f>
        <v/>
      </c>
    </row>
    <row r="2474">
      <c r="A2474" s="16" t="inlineStr">
        <is>
          <t>5.22-5.28</t>
        </is>
      </c>
      <c r="B2474" s="16" t="inlineStr">
        <is>
          <t>PO-128-06363523175032487</t>
        </is>
      </c>
      <c r="C2474" s="16" t="inlineStr">
        <is>
          <t>Shipped</t>
        </is>
      </c>
      <c r="D2474" s="16" t="inlineStr">
        <is>
          <t>128-06363591332472487</t>
        </is>
      </c>
      <c r="E2474" s="16" t="inlineStr">
        <is>
          <t>Shipped</t>
        </is>
      </c>
      <c r="F2474" s="16" t="inlineStr">
        <is>
          <t>MB-185A</t>
        </is>
      </c>
      <c r="G2474" s="16" t="inlineStr">
        <is>
          <t>Bocina Radio FM/Reproductor, Compatible con Tarjeta TF, USB, Bluetooth, Aplicable para celular, computadora, Ipad y consola.</t>
        </is>
      </c>
      <c r="H2474" s="16" t="inlineStr">
        <is>
          <t>AZUL/MB-185</t>
        </is>
      </c>
      <c r="I2474" s="16" t="n">
        <v>1</v>
      </c>
      <c r="J2474" s="17" t="n">
        <v>75.5</v>
      </c>
      <c r="K2474" s="17" t="n">
        <v>88.44</v>
      </c>
      <c r="L2474" s="17" t="n">
        <v>25.86</v>
      </c>
      <c r="M2474" s="17" t="n">
        <v>0</v>
      </c>
      <c r="N2474" s="17">
        <f>K2474*0.08+L2474*0.08</f>
        <v/>
      </c>
      <c r="O2474" s="17">
        <f>-(K2474*0.025+L2474*0.025)</f>
        <v/>
      </c>
      <c r="P2474" s="17">
        <f>32</f>
        <v/>
      </c>
      <c r="Q2474" s="17">
        <f>J2474+L2474+N2474+O2474-P2474-M2474</f>
        <v/>
      </c>
    </row>
    <row r="2475">
      <c r="A2475" s="16" t="inlineStr">
        <is>
          <t>5.22-5.28</t>
        </is>
      </c>
      <c r="B2475" s="16" t="inlineStr">
        <is>
          <t>PO-128-06570778486391378</t>
        </is>
      </c>
      <c r="C2475" s="16" t="inlineStr">
        <is>
          <t>Shipped</t>
        </is>
      </c>
      <c r="D2475" s="16" t="inlineStr">
        <is>
          <t>128-06570736543351378</t>
        </is>
      </c>
      <c r="E2475" s="16" t="inlineStr">
        <is>
          <t>Shipped</t>
        </is>
      </c>
      <c r="F2475" s="16" t="inlineStr">
        <is>
          <t>MCM-003-P</t>
        </is>
      </c>
      <c r="G247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475" s="16" t="inlineStr">
        <is>
          <t>rosa</t>
        </is>
      </c>
      <c r="I2475" s="16" t="n">
        <v>1</v>
      </c>
      <c r="J2475" s="17" t="n">
        <v>48</v>
      </c>
      <c r="K2475" s="17" t="n">
        <v>55.18</v>
      </c>
      <c r="L2475" s="17" t="n">
        <v>25.86</v>
      </c>
      <c r="M2475" s="17" t="n">
        <v>0</v>
      </c>
      <c r="N2475" s="17">
        <f>K2475*0.08+L2475*0.08</f>
        <v/>
      </c>
      <c r="O2475" s="17">
        <f>-(K2475*0.025+L2475*0.025)</f>
        <v/>
      </c>
      <c r="P2475" s="17">
        <f>32</f>
        <v/>
      </c>
      <c r="Q2475" s="17">
        <f>J2475+L2475+N2475+O2475-P2475-M2475</f>
        <v/>
      </c>
    </row>
    <row r="2476">
      <c r="A2476" s="16" t="inlineStr">
        <is>
          <t>5.22-5.28</t>
        </is>
      </c>
      <c r="B2476" s="16" t="inlineStr">
        <is>
          <t>PO-128-06809871713910787</t>
        </is>
      </c>
      <c r="C2476" s="16" t="inlineStr">
        <is>
          <t>Shipped</t>
        </is>
      </c>
      <c r="D2476" s="16" t="inlineStr">
        <is>
          <t>128-06809829770870787</t>
        </is>
      </c>
      <c r="E2476" s="16" t="inlineStr">
        <is>
          <t>Shipped</t>
        </is>
      </c>
      <c r="F2476" s="16" t="inlineStr">
        <is>
          <t>MB-178-N</t>
        </is>
      </c>
      <c r="G2476" s="16" t="inlineStr">
        <is>
          <t>Bocina de Barra Bluetooth LINK BITS con dos altavoces, sonido de alta calidad y multifuncional (Bluetooth, Radio FM, USB, TF, AUX, TWS), ideal para juegos, reuniones, oficina y cine en casa.</t>
        </is>
      </c>
      <c r="H2476" s="16" t="inlineStr">
        <is>
          <t>NEGRO</t>
        </is>
      </c>
      <c r="I2476" s="16" t="n">
        <v>1</v>
      </c>
      <c r="J2476" s="17" t="n">
        <v>125</v>
      </c>
      <c r="K2476" s="17" t="n">
        <v>101.05</v>
      </c>
      <c r="L2476" s="17" t="n">
        <v>25.86</v>
      </c>
      <c r="M2476" s="17" t="n">
        <v>0</v>
      </c>
      <c r="N2476" s="17">
        <f>K2476*0.08+L2476*0.08</f>
        <v/>
      </c>
      <c r="O2476" s="17">
        <f>-(K2476*0.025+L2476*0.025)</f>
        <v/>
      </c>
      <c r="P2476" s="17">
        <f>32</f>
        <v/>
      </c>
      <c r="Q2476" s="17">
        <f>J2476+L2476+N2476+O2476-P2476-M2476</f>
        <v/>
      </c>
    </row>
    <row r="2477">
      <c r="A2477" s="16" t="inlineStr">
        <is>
          <t>5.22-5.28</t>
        </is>
      </c>
      <c r="B2477" s="16" t="inlineStr">
        <is>
          <t>PO-128-06385256950392357</t>
        </is>
      </c>
      <c r="C2477" s="16" t="inlineStr">
        <is>
          <t>Shipped</t>
        </is>
      </c>
      <c r="D2477" s="16" t="inlineStr">
        <is>
          <t>128-06385288407672357</t>
        </is>
      </c>
      <c r="E2477" s="16" t="inlineStr">
        <is>
          <t>Shipped</t>
        </is>
      </c>
      <c r="F2477" s="16" t="inlineStr">
        <is>
          <t>S09W18IB-8PZS</t>
        </is>
      </c>
      <c r="G247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477" s="16" t="inlineStr">
        <is>
          <t>8 piezas</t>
        </is>
      </c>
      <c r="I2477" s="16" t="n">
        <v>1</v>
      </c>
      <c r="J2477" s="17" t="n">
        <v>265</v>
      </c>
      <c r="K2477" s="17" t="n">
        <v>302.97</v>
      </c>
      <c r="L2477" s="17" t="n">
        <v>0</v>
      </c>
      <c r="M2477" s="17" t="n">
        <v>0</v>
      </c>
      <c r="N2477" s="17">
        <f>K2477*0.08+L2477*0.08</f>
        <v/>
      </c>
      <c r="O2477" s="17">
        <f>-(K2477*0.025+L2477*0.025)</f>
        <v/>
      </c>
      <c r="P2477" s="17">
        <f>32</f>
        <v/>
      </c>
      <c r="Q2477" s="17">
        <f>J2477+L2477+N2477+O2477-P2477-M2477</f>
        <v/>
      </c>
    </row>
    <row r="2478">
      <c r="A2478" s="16" t="inlineStr">
        <is>
          <t>5.22-5.28</t>
        </is>
      </c>
      <c r="B2478" s="16" t="inlineStr">
        <is>
          <t>PO-128-06680263281271559</t>
        </is>
      </c>
      <c r="C2478" s="16" t="inlineStr">
        <is>
          <t>Shipped</t>
        </is>
      </c>
      <c r="D2478" s="16" t="inlineStr">
        <is>
          <t>128-06680252795511559</t>
        </is>
      </c>
      <c r="E2478" s="16" t="inlineStr">
        <is>
          <t>Shipped</t>
        </is>
      </c>
      <c r="F2478" s="16" t="inlineStr">
        <is>
          <t>MB-185N</t>
        </is>
      </c>
      <c r="G2478" s="16" t="inlineStr">
        <is>
          <t>Bocina Radio FM/Reproductor, Compatible con Tarjeta TF, USB, Bluetooth, Aplicable para celular, computadora, Ipad y consola.</t>
        </is>
      </c>
      <c r="H2478" s="16" t="inlineStr">
        <is>
          <t>NEGRO/MB-185</t>
        </is>
      </c>
      <c r="I2478" s="16" t="n">
        <v>1</v>
      </c>
      <c r="J2478" s="17" t="n">
        <v>75.5</v>
      </c>
      <c r="K2478" s="17" t="n">
        <v>79.22</v>
      </c>
      <c r="L2478" s="17" t="n">
        <v>25.86</v>
      </c>
      <c r="M2478" s="17" t="n">
        <v>0</v>
      </c>
      <c r="N2478" s="17">
        <f>K2478*0.08+L2478*0.08</f>
        <v/>
      </c>
      <c r="O2478" s="17">
        <f>-(K2478*0.025+L2478*0.025)</f>
        <v/>
      </c>
      <c r="P2478" s="17">
        <f>32</f>
        <v/>
      </c>
      <c r="Q2478" s="17">
        <f>J2478+L2478+N2478+O2478-P2478-M2478</f>
        <v/>
      </c>
    </row>
    <row r="2479">
      <c r="A2479" s="16" t="inlineStr">
        <is>
          <t>5.22-5.28</t>
        </is>
      </c>
      <c r="B2479" s="16" t="inlineStr">
        <is>
          <t>PO-128-06819724426870854</t>
        </is>
      </c>
      <c r="C2479" s="16" t="inlineStr">
        <is>
          <t>Shipped</t>
        </is>
      </c>
      <c r="D2479" s="16" t="inlineStr">
        <is>
          <t>128-06819661512310854</t>
        </is>
      </c>
      <c r="E2479" s="16" t="inlineStr">
        <is>
          <t>Shipped</t>
        </is>
      </c>
      <c r="F2479" s="16" t="inlineStr">
        <is>
          <t>MCM-001A</t>
        </is>
      </c>
      <c r="G2479" s="16" t="inlineStr">
        <is>
          <t>Musicord Altavoz Inalámbrico BT Portátil: ¡Sonido impactante, luces LED multicolores y 4 horas de autonomía! Compatible con TWS, FM, TF y USB – Imprescindible para fiestas y viajes</t>
        </is>
      </c>
      <c r="H2479" s="16" t="inlineStr">
        <is>
          <t>AZUL</t>
        </is>
      </c>
      <c r="I2479" s="16" t="n">
        <v>1</v>
      </c>
      <c r="J2479" s="17" t="n">
        <v>51.07</v>
      </c>
      <c r="K2479" s="17" t="n">
        <v>59.47</v>
      </c>
      <c r="L2479" s="17" t="n">
        <v>8.67</v>
      </c>
      <c r="M2479" s="17" t="n">
        <v>0</v>
      </c>
      <c r="N2479" s="17">
        <f>K2479*0.08+L2479*0.08</f>
        <v/>
      </c>
      <c r="O2479" s="17">
        <f>-(K2479*0.025+L2479*0.025)</f>
        <v/>
      </c>
      <c r="P2479" s="17">
        <f>32</f>
        <v/>
      </c>
      <c r="Q2479" s="17">
        <f>J2479+L2479+N2479+O2479-P2479-M2479</f>
        <v/>
      </c>
    </row>
    <row r="2480">
      <c r="A2480" s="16" t="inlineStr">
        <is>
          <t>5.22-5.28</t>
        </is>
      </c>
      <c r="B2480" s="16" t="inlineStr">
        <is>
          <t>PO-128-06819724426870854</t>
        </is>
      </c>
      <c r="C2480" s="16" t="inlineStr">
        <is>
          <t>Shipped</t>
        </is>
      </c>
      <c r="D2480" s="16" t="inlineStr">
        <is>
          <t>128-06819745398390854</t>
        </is>
      </c>
      <c r="E2480" s="16" t="inlineStr">
        <is>
          <t>Shipped</t>
        </is>
      </c>
      <c r="F2480" s="16" t="inlineStr">
        <is>
          <t>MCM-001G</t>
        </is>
      </c>
      <c r="G2480" s="16" t="inlineStr">
        <is>
          <t>Musicord Altavoz Inalámbrico BT Portátil: ¡Sonido impactante, luces LED multicolores y 4 horas de autonomía! Compatible con TWS, FM, TF y USB – Imprescindible para fiestas y viajes</t>
        </is>
      </c>
      <c r="H2480" s="16" t="inlineStr">
        <is>
          <t>GRIS</t>
        </is>
      </c>
      <c r="I2480" s="16" t="n">
        <v>2</v>
      </c>
      <c r="J2480" s="17" t="n">
        <v>102.14</v>
      </c>
      <c r="K2480" s="17" t="n">
        <v>117.72</v>
      </c>
      <c r="L2480" s="17" t="n">
        <v>17.18</v>
      </c>
      <c r="M2480" s="17" t="n">
        <v>0</v>
      </c>
      <c r="N2480" s="17">
        <f>K2480*0.08+L2480*0.08</f>
        <v/>
      </c>
      <c r="O2480" s="17">
        <f>-(K2480*0.025+L2480*0.025)</f>
        <v/>
      </c>
      <c r="P2480" s="17">
        <f>32</f>
        <v/>
      </c>
      <c r="Q2480" s="17">
        <f>J2480+L2480+N2480+O2480-P2480-M2480</f>
        <v/>
      </c>
    </row>
    <row r="2481">
      <c r="A2481" s="16" t="inlineStr">
        <is>
          <t>5.22-5.28</t>
        </is>
      </c>
      <c r="B2481" s="16" t="inlineStr">
        <is>
          <t>PO-128-06865178696310585</t>
        </is>
      </c>
      <c r="C2481" s="16" t="inlineStr">
        <is>
          <t>Shipped</t>
        </is>
      </c>
      <c r="D2481" s="16" t="inlineStr">
        <is>
          <t>128-06865233746550585</t>
        </is>
      </c>
      <c r="E2481" s="16" t="inlineStr">
        <is>
          <t>Shipped</t>
        </is>
      </c>
      <c r="F2481" s="16" t="inlineStr">
        <is>
          <t>LB02235-negro</t>
        </is>
      </c>
      <c r="G2481" s="16" t="inlineStr">
        <is>
          <t>Audífonos Inalámbricos para la Cabeza, Recargables y Multifuncionales - Conectan a Varios Dispositivos, soportan Radio FM, Tarjeta TF y AUX - 4 Horas de Reproducción Musical - Ideal para Trabajo Cotidiano, Juegos y Estudio</t>
        </is>
      </c>
      <c r="H2481" s="16" t="inlineStr">
        <is>
          <t>NEGRO</t>
        </is>
      </c>
      <c r="I2481" s="16" t="n">
        <v>1</v>
      </c>
      <c r="J2481" s="17" t="n">
        <v>37.71</v>
      </c>
      <c r="K2481" s="17" t="n">
        <v>50.82</v>
      </c>
      <c r="L2481" s="17" t="n">
        <v>25.86</v>
      </c>
      <c r="M2481" s="17" t="n">
        <v>0</v>
      </c>
      <c r="N2481" s="17">
        <f>K2481*0.08+L2481*0.08</f>
        <v/>
      </c>
      <c r="O2481" s="17">
        <f>-(K2481*0.025+L2481*0.025)</f>
        <v/>
      </c>
      <c r="P2481" s="17">
        <f>32</f>
        <v/>
      </c>
      <c r="Q2481" s="17">
        <f>J2481+L2481+N2481+O2481-P2481-M2481</f>
        <v/>
      </c>
    </row>
    <row r="2482">
      <c r="A2482" s="16" t="inlineStr">
        <is>
          <t>5.22-5.28</t>
        </is>
      </c>
      <c r="B2482" s="16" t="inlineStr">
        <is>
          <t>PO-128-06359916769912442</t>
        </is>
      </c>
      <c r="C2482" s="16" t="inlineStr">
        <is>
          <t>Shipped</t>
        </is>
      </c>
      <c r="D2482" s="16" t="inlineStr">
        <is>
          <t>128-06359984927352442</t>
        </is>
      </c>
      <c r="E2482" s="16" t="inlineStr">
        <is>
          <t>Shipped</t>
        </is>
      </c>
      <c r="F2482" s="16" t="inlineStr">
        <is>
          <t>SA325T</t>
        </is>
      </c>
      <c r="G2482" s="16" t="inlineStr">
        <is>
          <t>Subwoofer Portátil Inalámbrico con Luces RGB, Sonido de Alta Potencia y Batería Duradera, TWS TF USB, Perfecto para Campamento Fiestas y Entretenimiento en Casa</t>
        </is>
      </c>
      <c r="H2482" s="16" t="inlineStr">
        <is>
          <t>NEGRO</t>
        </is>
      </c>
      <c r="I2482" s="16" t="n">
        <v>1</v>
      </c>
      <c r="J2482" s="17" t="n">
        <v>38</v>
      </c>
      <c r="K2482" s="17" t="n">
        <v>47.04</v>
      </c>
      <c r="L2482" s="17" t="n">
        <v>25.86</v>
      </c>
      <c r="M2482" s="17" t="n">
        <v>0</v>
      </c>
      <c r="N2482" s="17">
        <f>K2482*0.08+L2482*0.08</f>
        <v/>
      </c>
      <c r="O2482" s="17">
        <f>-(K2482*0.025+L2482*0.025)</f>
        <v/>
      </c>
      <c r="P2482" s="17">
        <f>32</f>
        <v/>
      </c>
      <c r="Q2482" s="17">
        <f>J2482+L2482+N2482+O2482-P2482-M2482</f>
        <v/>
      </c>
    </row>
    <row r="2483">
      <c r="A2483" s="16" t="inlineStr">
        <is>
          <t>5.22-5.28</t>
        </is>
      </c>
      <c r="B2483" s="16" t="inlineStr">
        <is>
          <t>PO-128-06231080807033210</t>
        </is>
      </c>
      <c r="C2483" s="16" t="inlineStr">
        <is>
          <t>Shipped</t>
        </is>
      </c>
      <c r="D2483" s="16" t="inlineStr">
        <is>
          <t>128-06231097846393210</t>
        </is>
      </c>
      <c r="E2483" s="16" t="inlineStr">
        <is>
          <t>Shipped</t>
        </is>
      </c>
      <c r="F2483" s="16" t="inlineStr">
        <is>
          <t>KTS-1943-R</t>
        </is>
      </c>
      <c r="G2483" s="16" t="inlineStr">
        <is>
          <t>Altavoz Mini Karaoke Portátil BT con Micrófono Inalámbrico, Función TWS, Radio FM, USB/TF, Batería de Larga Duración, Perfecto para Casa, Exterior y Regalos Especiales</t>
        </is>
      </c>
      <c r="H2483" s="16" t="inlineStr">
        <is>
          <t>ROJO</t>
        </is>
      </c>
      <c r="I2483" s="16" t="n">
        <v>1</v>
      </c>
      <c r="J2483" s="17" t="n">
        <v>75</v>
      </c>
      <c r="K2483" s="17" t="n">
        <v>72.48</v>
      </c>
      <c r="L2483" s="17" t="n">
        <v>25.86</v>
      </c>
      <c r="M2483" s="17" t="n">
        <v>0</v>
      </c>
      <c r="N2483" s="17">
        <f>K2483*0.08+L2483*0.08</f>
        <v/>
      </c>
      <c r="O2483" s="17">
        <f>-(K2483*0.025+L2483*0.025)</f>
        <v/>
      </c>
      <c r="P2483" s="17">
        <f>32</f>
        <v/>
      </c>
      <c r="Q2483" s="17">
        <f>J2483+L2483+N2483+O2483-P2483-M2483</f>
        <v/>
      </c>
    </row>
    <row r="2484">
      <c r="A2484" s="16" t="inlineStr">
        <is>
          <t>5.22-5.28</t>
        </is>
      </c>
      <c r="B2484" s="16" t="inlineStr">
        <is>
          <t>PO-128-06696776750711653</t>
        </is>
      </c>
      <c r="C2484" s="16" t="inlineStr">
        <is>
          <t>Shipped</t>
        </is>
      </c>
      <c r="D2484" s="16" t="inlineStr">
        <is>
          <t>128-06696755779191653</t>
        </is>
      </c>
      <c r="E2484" s="16" t="inlineStr">
        <is>
          <t>Shipped</t>
        </is>
      </c>
      <c r="F2484" s="16" t="inlineStr">
        <is>
          <t>LB02235-rojo</t>
        </is>
      </c>
      <c r="G2484" s="16" t="inlineStr">
        <is>
          <t>Audífonos Inalámbricos para la Cabeza, Recargables y Multifuncionales - Conectan a Varios Dispositivos, soportan Radio FM, Tarjeta TF y AUX - 4 Horas de Reproducción Musical - Ideal para Trabajo Cotidiano, Juegos y Estudio</t>
        </is>
      </c>
      <c r="H2484" s="16" t="inlineStr">
        <is>
          <t>ROJO</t>
        </is>
      </c>
      <c r="I2484" s="16" t="n">
        <v>1</v>
      </c>
      <c r="J2484" s="17" t="n">
        <v>36.8</v>
      </c>
      <c r="K2484" s="17" t="n">
        <v>49.91</v>
      </c>
      <c r="L2484" s="17" t="n">
        <v>25.86</v>
      </c>
      <c r="M2484" s="17" t="n">
        <v>0</v>
      </c>
      <c r="N2484" s="17">
        <f>K2484*0.08+L2484*0.08</f>
        <v/>
      </c>
      <c r="O2484" s="17">
        <f>-(K2484*0.025+L2484*0.025)</f>
        <v/>
      </c>
      <c r="P2484" s="17">
        <f>32</f>
        <v/>
      </c>
      <c r="Q2484" s="17">
        <f>J2484+L2484+N2484+O2484-P2484-M2484</f>
        <v/>
      </c>
    </row>
    <row r="2485">
      <c r="A2485" s="16" t="inlineStr">
        <is>
          <t>5.22-5.28</t>
        </is>
      </c>
      <c r="B2485" s="16" t="inlineStr">
        <is>
          <t>PO-128-06690908027511622</t>
        </is>
      </c>
      <c r="C2485" s="16" t="inlineStr">
        <is>
          <t>Shipped</t>
        </is>
      </c>
      <c r="D2485" s="16" t="inlineStr">
        <is>
          <t>128-06690887055991622</t>
        </is>
      </c>
      <c r="E2485" s="16" t="inlineStr">
        <is>
          <t>Shipped</t>
        </is>
      </c>
      <c r="F2485" s="16" t="inlineStr">
        <is>
          <t>VA880T</t>
        </is>
      </c>
      <c r="G248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485" s="16" t="inlineStr">
        <is>
          <t>1 pieza</t>
        </is>
      </c>
      <c r="I2485" s="16" t="n">
        <v>1</v>
      </c>
      <c r="J2485" s="17" t="n">
        <v>121.64</v>
      </c>
      <c r="K2485" s="17" t="n">
        <v>132.83</v>
      </c>
      <c r="L2485" s="17" t="n">
        <v>0</v>
      </c>
      <c r="M2485" s="17" t="n">
        <v>0</v>
      </c>
      <c r="N2485" s="17">
        <f>K2485*0.08+L2485*0.08</f>
        <v/>
      </c>
      <c r="O2485" s="17">
        <f>-(K2485*0.025+L2485*0.025)</f>
        <v/>
      </c>
      <c r="P2485" s="17">
        <f>32</f>
        <v/>
      </c>
      <c r="Q2485" s="17">
        <f>J2485+L2485+N2485+O2485-P2485-M2485</f>
        <v/>
      </c>
    </row>
    <row r="2486">
      <c r="A2486" s="16" t="inlineStr">
        <is>
          <t>5.22-5.28</t>
        </is>
      </c>
      <c r="B2486" s="16" t="inlineStr">
        <is>
          <t>PO-128-06690908027511622</t>
        </is>
      </c>
      <c r="C2486" s="16" t="inlineStr">
        <is>
          <t>Shipped</t>
        </is>
      </c>
      <c r="D2486" s="16" t="inlineStr">
        <is>
          <t>128-06690913270391622</t>
        </is>
      </c>
      <c r="E2486" s="16" t="inlineStr">
        <is>
          <t>Shipped</t>
        </is>
      </c>
      <c r="F2486" s="16" t="inlineStr">
        <is>
          <t>SA8056T</t>
        </is>
      </c>
      <c r="G248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486" s="16" t="inlineStr">
        <is>
          <t>SA8056T</t>
        </is>
      </c>
      <c r="I2486" s="16" t="n">
        <v>1</v>
      </c>
      <c r="J2486" s="17" t="n">
        <v>123.9</v>
      </c>
      <c r="K2486" s="17" t="n">
        <v>144.28</v>
      </c>
      <c r="L2486" s="17" t="n">
        <v>0</v>
      </c>
      <c r="M2486" s="17" t="n">
        <v>0</v>
      </c>
      <c r="N2486" s="17">
        <f>K2486*0.08+L2486*0.08</f>
        <v/>
      </c>
      <c r="O2486" s="17">
        <f>-(K2486*0.025+L2486*0.025)</f>
        <v/>
      </c>
      <c r="P2486" s="17">
        <f>32</f>
        <v/>
      </c>
      <c r="Q2486" s="17">
        <f>J2486+L2486+N2486+O2486-P2486-M2486</f>
        <v/>
      </c>
    </row>
    <row r="2487">
      <c r="A2487" s="16" t="inlineStr">
        <is>
          <t>5.22-5.28</t>
        </is>
      </c>
      <c r="B2487" s="16" t="inlineStr">
        <is>
          <t>PO-128-06870129367670619</t>
        </is>
      </c>
      <c r="C2487" s="16" t="inlineStr">
        <is>
          <t>Shipped</t>
        </is>
      </c>
      <c r="D2487" s="16" t="inlineStr">
        <is>
          <t>128-06870134610550619</t>
        </is>
      </c>
      <c r="E2487" s="16" t="inlineStr">
        <is>
          <t>Shipped</t>
        </is>
      </c>
      <c r="F2487" s="16" t="inlineStr">
        <is>
          <t>LB02235-rojo</t>
        </is>
      </c>
      <c r="G2487" s="16" t="inlineStr">
        <is>
          <t>Audífonos Inalámbricos para la Cabeza, Recargables y Multifuncionales - Conectan a Varios Dispositivos, soportan Radio FM, Tarjeta TF y AUX - 4 Horas de Reproducción Musical - Ideal para Trabajo Cotidiano, Juegos y Estudio</t>
        </is>
      </c>
      <c r="H2487" s="16" t="inlineStr">
        <is>
          <t>ROJO</t>
        </is>
      </c>
      <c r="I2487" s="16" t="n">
        <v>1</v>
      </c>
      <c r="J2487" s="17" t="n">
        <v>36.8</v>
      </c>
      <c r="K2487" s="17" t="n">
        <v>49.91</v>
      </c>
      <c r="L2487" s="17" t="n">
        <v>25.86</v>
      </c>
      <c r="M2487" s="17" t="n">
        <v>0</v>
      </c>
      <c r="N2487" s="17">
        <f>K2487*0.08+L2487*0.08</f>
        <v/>
      </c>
      <c r="O2487" s="17">
        <f>-(K2487*0.025+L2487*0.025)</f>
        <v/>
      </c>
      <c r="P2487" s="17">
        <f>32</f>
        <v/>
      </c>
      <c r="Q2487" s="17">
        <f>J2487+L2487+N2487+O2487-P2487-M2487</f>
        <v/>
      </c>
    </row>
    <row r="2488">
      <c r="A2488" s="16" t="inlineStr">
        <is>
          <t>5.22-5.28</t>
        </is>
      </c>
      <c r="B2488" s="16" t="inlineStr">
        <is>
          <t>PO-128-06498725356152769</t>
        </is>
      </c>
      <c r="C2488" s="16" t="inlineStr">
        <is>
          <t>Shipped</t>
        </is>
      </c>
      <c r="D2488" s="16" t="inlineStr">
        <is>
          <t>128-06498683413112769</t>
        </is>
      </c>
      <c r="E2488" s="16" t="inlineStr">
        <is>
          <t>Shipped</t>
        </is>
      </c>
      <c r="F2488" s="16" t="inlineStr">
        <is>
          <t>FA028</t>
        </is>
      </c>
      <c r="G2488" s="16" t="inlineStr">
        <is>
          <t>Extractor de agua para garrafas de agua, compatible con carga USB, extractor de agua automático, práctico, con dos modos de toma de agua: manual y programado, ideal para dormitorios, salones, oficinas, uso al aire libre y otros escenarios.</t>
        </is>
      </c>
      <c r="H2488" s="16" t="inlineStr">
        <is>
          <t>FA028</t>
        </is>
      </c>
      <c r="I2488" s="16" t="n">
        <v>1</v>
      </c>
      <c r="J2488" s="17" t="n">
        <v>35</v>
      </c>
      <c r="K2488" s="17" t="n">
        <v>44.58</v>
      </c>
      <c r="L2488" s="17" t="n">
        <v>25.86</v>
      </c>
      <c r="M2488" s="17" t="n">
        <v>0</v>
      </c>
      <c r="N2488" s="17">
        <f>K2488*0.08+L2488*0.08</f>
        <v/>
      </c>
      <c r="O2488" s="17">
        <f>-(K2488*0.025+L2488*0.025)</f>
        <v/>
      </c>
      <c r="P2488" s="17">
        <f>32</f>
        <v/>
      </c>
      <c r="Q2488" s="17">
        <f>J2488+L2488+N2488+O2488-P2488-M2488</f>
        <v/>
      </c>
    </row>
    <row r="2489">
      <c r="A2489" s="16" t="inlineStr">
        <is>
          <t>5.22-5.28</t>
        </is>
      </c>
      <c r="B2489" s="16" t="inlineStr">
        <is>
          <t>PO-128-06454802412153031</t>
        </is>
      </c>
      <c r="C2489" s="16" t="inlineStr">
        <is>
          <t>Shipped</t>
        </is>
      </c>
      <c r="D2489" s="16" t="inlineStr">
        <is>
          <t>128-06454854840953031</t>
        </is>
      </c>
      <c r="E2489" s="16" t="inlineStr">
        <is>
          <t>Shipped</t>
        </is>
      </c>
      <c r="F2489" s="16" t="inlineStr">
        <is>
          <t>LB02235-rojo</t>
        </is>
      </c>
      <c r="G2489" s="16" t="inlineStr">
        <is>
          <t>Audífonos Inalámbricos para la Cabeza, Recargables y Multifuncionales - Conectan a Varios Dispositivos, soportan Radio FM, Tarjeta TF y AUX - 4 Horas de Reproducción Musical - Ideal para Trabajo Cotidiano, Juegos y Estudio</t>
        </is>
      </c>
      <c r="H2489" s="16" t="inlineStr">
        <is>
          <t>ROJO</t>
        </is>
      </c>
      <c r="I2489" s="16" t="n">
        <v>1</v>
      </c>
      <c r="J2489" s="17" t="n">
        <v>36.8</v>
      </c>
      <c r="K2489" s="17" t="n">
        <v>6.81</v>
      </c>
      <c r="L2489" s="17" t="n">
        <v>25.86</v>
      </c>
      <c r="M2489" s="17" t="n">
        <v>0</v>
      </c>
      <c r="N2489" s="17">
        <f>K2489*0.08+L2489*0.08</f>
        <v/>
      </c>
      <c r="O2489" s="17">
        <f>-(K2489*0.025+L2489*0.025)</f>
        <v/>
      </c>
      <c r="P2489" s="17">
        <f>32</f>
        <v/>
      </c>
      <c r="Q2489" s="17">
        <f>J2489+L2489+N2489+O2489-P2489-M2489</f>
        <v/>
      </c>
    </row>
    <row r="2490">
      <c r="A2490" s="16" t="inlineStr">
        <is>
          <t>5.22-5.28</t>
        </is>
      </c>
      <c r="B2490" s="16" t="inlineStr">
        <is>
          <t>PO-128-06286051840634037</t>
        </is>
      </c>
      <c r="C2490" s="16" t="inlineStr">
        <is>
          <t>Shipped</t>
        </is>
      </c>
      <c r="D2490" s="16" t="inlineStr">
        <is>
          <t>128-06286009897594037</t>
        </is>
      </c>
      <c r="E2490" s="16" t="inlineStr">
        <is>
          <t>Shipped</t>
        </is>
      </c>
      <c r="F2490" s="16" t="inlineStr">
        <is>
          <t>MCM-001A</t>
        </is>
      </c>
      <c r="G2490" s="16" t="inlineStr">
        <is>
          <t>Musicord Altavoz Inalámbrico BT Portátil: ¡Sonido impactante, luces LED multicolores y 4 horas de autonomía! Compatible con TWS, FM, TF y USB – Imprescindible para fiestas y viajes</t>
        </is>
      </c>
      <c r="H2490" s="16" t="inlineStr">
        <is>
          <t>AZUL</t>
        </is>
      </c>
      <c r="I2490" s="16" t="n">
        <v>1</v>
      </c>
      <c r="J2490" s="17" t="n">
        <v>51.07</v>
      </c>
      <c r="K2490" s="17" t="n">
        <v>44.61</v>
      </c>
      <c r="L2490" s="17" t="n">
        <v>25.86</v>
      </c>
      <c r="M2490" s="17" t="n">
        <v>0</v>
      </c>
      <c r="N2490" s="17">
        <f>K2490*0.08+L2490*0.08</f>
        <v/>
      </c>
      <c r="O2490" s="17">
        <f>-(K2490*0.025+L2490*0.025)</f>
        <v/>
      </c>
      <c r="P2490" s="17">
        <f>32</f>
        <v/>
      </c>
      <c r="Q2490" s="17">
        <f>J2490+L2490+N2490+O2490-P2490-M2490</f>
        <v/>
      </c>
    </row>
    <row r="2491">
      <c r="A2491" s="16" t="inlineStr">
        <is>
          <t>5.22-5.28</t>
        </is>
      </c>
      <c r="B2491" s="16" t="inlineStr">
        <is>
          <t>PO-128-06456312018553020</t>
        </is>
      </c>
      <c r="C2491" s="16" t="inlineStr">
        <is>
          <t>Shipped</t>
        </is>
      </c>
      <c r="D2491" s="16" t="inlineStr">
        <is>
          <t>128-06456243861113020</t>
        </is>
      </c>
      <c r="E2491" s="16" t="inlineStr">
        <is>
          <t>Shipped</t>
        </is>
      </c>
      <c r="F2491" s="16" t="inlineStr">
        <is>
          <t>LB02235-rojo</t>
        </is>
      </c>
      <c r="G2491" s="16" t="inlineStr">
        <is>
          <t>Audífonos Inalámbricos para la Cabeza, Recargables y Multifuncionales - Conectan a Varios Dispositivos, soportan Radio FM, Tarjeta TF y AUX - 4 Horas de Reproducción Musical - Ideal para Trabajo Cotidiano, Juegos y Estudio</t>
        </is>
      </c>
      <c r="H2491" s="16" t="inlineStr">
        <is>
          <t>ROJO</t>
        </is>
      </c>
      <c r="I2491" s="16" t="n">
        <v>1</v>
      </c>
      <c r="J2491" s="17" t="n">
        <v>36.8</v>
      </c>
      <c r="K2491" s="17" t="n">
        <v>49.91</v>
      </c>
      <c r="L2491" s="17" t="n">
        <v>25.86</v>
      </c>
      <c r="M2491" s="17" t="n">
        <v>0</v>
      </c>
      <c r="N2491" s="17">
        <f>K2491*0.08+L2491*0.08</f>
        <v/>
      </c>
      <c r="O2491" s="17">
        <f>-(K2491*0.025+L2491*0.025)</f>
        <v/>
      </c>
      <c r="P2491" s="17">
        <f>32</f>
        <v/>
      </c>
      <c r="Q2491" s="17">
        <f>J2491+L2491+N2491+O2491-P2491-M2491</f>
        <v/>
      </c>
    </row>
    <row r="2492">
      <c r="A2492" s="16" t="inlineStr">
        <is>
          <t>5.22-5.28</t>
        </is>
      </c>
      <c r="B2492" s="16" t="inlineStr">
        <is>
          <t>PO-128-06723324795510276</t>
        </is>
      </c>
      <c r="C2492" s="16" t="inlineStr">
        <is>
          <t>Shipped</t>
        </is>
      </c>
      <c r="D2492" s="16" t="inlineStr">
        <is>
          <t>128-06723341834870276</t>
        </is>
      </c>
      <c r="E2492" s="16" t="inlineStr">
        <is>
          <t>Shipped</t>
        </is>
      </c>
      <c r="F2492" s="16" t="inlineStr">
        <is>
          <t>KTS-1678N</t>
        </is>
      </c>
      <c r="G2492" s="16" t="inlineStr">
        <is>
          <t>Bocina portátil Inalámbrico, de 3 pulgadas, tamaño de bolsillo, 170 g, con asa, compatible con TF, USB y Micro SD, con radio FM y función TWS (True Wireless Stereo), adecuada para relajarse en casa o viajar al aire libre.</t>
        </is>
      </c>
      <c r="H2492" s="16" t="inlineStr">
        <is>
          <t>KTS-1678N</t>
        </is>
      </c>
      <c r="I2492" s="16" t="n">
        <v>1</v>
      </c>
      <c r="J2492" s="17" t="n">
        <v>42.5</v>
      </c>
      <c r="K2492" s="17" t="n">
        <v>50.78</v>
      </c>
      <c r="L2492" s="17" t="n">
        <v>25.86</v>
      </c>
      <c r="M2492" s="17" t="n">
        <v>0</v>
      </c>
      <c r="N2492" s="17">
        <f>K2492*0.08+L2492*0.08</f>
        <v/>
      </c>
      <c r="O2492" s="17">
        <f>-(K2492*0.025+L2492*0.025)</f>
        <v/>
      </c>
      <c r="P2492" s="17">
        <f>32</f>
        <v/>
      </c>
      <c r="Q2492" s="17">
        <f>J2492+L2492+N2492+O2492-P2492-M2492</f>
        <v/>
      </c>
    </row>
    <row r="2493">
      <c r="A2493" s="16" t="inlineStr">
        <is>
          <t>5.22-5.28</t>
        </is>
      </c>
      <c r="B2493" s="16" t="inlineStr">
        <is>
          <t>PO-128-06225046748793438</t>
        </is>
      </c>
      <c r="C2493" s="16" t="inlineStr">
        <is>
          <t>Shipped</t>
        </is>
      </c>
      <c r="D2493" s="16" t="inlineStr">
        <is>
          <t>128-06225051991673438</t>
        </is>
      </c>
      <c r="E2493" s="16" t="inlineStr">
        <is>
          <t>Shipped</t>
        </is>
      </c>
      <c r="F2493" s="16" t="inlineStr">
        <is>
          <t>LB02235-blanco</t>
        </is>
      </c>
      <c r="G2493" s="16" t="inlineStr">
        <is>
          <t>Audífonos Inalámbricos para la Cabeza, Recargables y Multifuncionales - Conectan a Varios Dispositivos, soportan Radio FM, Tarjeta TF y AUX - 4 Horas de Reproducción Musical - Ideal para Trabajo Cotidiano, Juegos y Estudio</t>
        </is>
      </c>
      <c r="H2493" s="16" t="inlineStr">
        <is>
          <t>BLANCO</t>
        </is>
      </c>
      <c r="I2493" s="16" t="n">
        <v>1</v>
      </c>
      <c r="J2493" s="17" t="n">
        <v>37.71</v>
      </c>
      <c r="K2493" s="17" t="n">
        <v>50.82</v>
      </c>
      <c r="L2493" s="17" t="n">
        <v>8.779999999999999</v>
      </c>
      <c r="M2493" s="17" t="n">
        <v>0</v>
      </c>
      <c r="N2493" s="17">
        <f>K2493*0.08+L2493*0.08</f>
        <v/>
      </c>
      <c r="O2493" s="17">
        <f>-(K2493*0.025+L2493*0.025)</f>
        <v/>
      </c>
      <c r="P2493" s="17">
        <f>32</f>
        <v/>
      </c>
      <c r="Q2493" s="17">
        <f>J2493+L2493+N2493+O2493-P2493-M2493</f>
        <v/>
      </c>
    </row>
    <row r="2494">
      <c r="A2494" s="16" t="inlineStr">
        <is>
          <t>5.22-5.28</t>
        </is>
      </c>
      <c r="B2494" s="16" t="inlineStr">
        <is>
          <t>PO-128-06225046748793438</t>
        </is>
      </c>
      <c r="C2494" s="16" t="inlineStr">
        <is>
          <t>Shipped</t>
        </is>
      </c>
      <c r="D2494" s="16" t="inlineStr">
        <is>
          <t>128-06225041505913438</t>
        </is>
      </c>
      <c r="E2494" s="16" t="inlineStr">
        <is>
          <t>Shipped</t>
        </is>
      </c>
      <c r="F2494" s="16" t="inlineStr">
        <is>
          <t>LB02235-rojo</t>
        </is>
      </c>
      <c r="G2494" s="16" t="inlineStr">
        <is>
          <t>Audífonos Inalámbricos para la Cabeza, Recargables y Multifuncionales - Conectan a Varios Dispositivos, soportan Radio FM, Tarjeta TF y AUX - 4 Horas de Reproducción Musical - Ideal para Trabajo Cotidiano, Juegos y Estudio</t>
        </is>
      </c>
      <c r="H2494" s="16" t="inlineStr">
        <is>
          <t>ROJO</t>
        </is>
      </c>
      <c r="I2494" s="16" t="n">
        <v>1</v>
      </c>
      <c r="J2494" s="17" t="n">
        <v>36.8</v>
      </c>
      <c r="K2494" s="17" t="n">
        <v>49.91</v>
      </c>
      <c r="L2494" s="17" t="n">
        <v>8.609999999999999</v>
      </c>
      <c r="M2494" s="17" t="n">
        <v>0</v>
      </c>
      <c r="N2494" s="17">
        <f>K2494*0.08+L2494*0.08</f>
        <v/>
      </c>
      <c r="O2494" s="17">
        <f>-(K2494*0.025+L2494*0.025)</f>
        <v/>
      </c>
      <c r="P2494" s="17">
        <f>32</f>
        <v/>
      </c>
      <c r="Q2494" s="17">
        <f>J2494+L2494+N2494+O2494-P2494-M2494</f>
        <v/>
      </c>
    </row>
    <row r="2495">
      <c r="A2495" s="16" t="inlineStr">
        <is>
          <t>5.22-5.28</t>
        </is>
      </c>
      <c r="B2495" s="16" t="inlineStr">
        <is>
          <t>PO-128-06225046748793438</t>
        </is>
      </c>
      <c r="C2495" s="16" t="inlineStr">
        <is>
          <t>Shipped</t>
        </is>
      </c>
      <c r="D2495" s="16" t="inlineStr">
        <is>
          <t>128-06225031020153438</t>
        </is>
      </c>
      <c r="E2495" s="16" t="inlineStr">
        <is>
          <t>Shipped</t>
        </is>
      </c>
      <c r="F2495" s="16" t="inlineStr">
        <is>
          <t>LB02235-azul</t>
        </is>
      </c>
      <c r="G2495" s="16" t="inlineStr">
        <is>
          <t>Audífonos Inalámbricos para la Cabeza, Recargables y Multifuncionales - Conectan a Varios Dispositivos, soportan Radio FM, Tarjeta TF y AUX - 4 Horas de Reproducción Musical - Ideal para Trabajo Cotidiano, Juegos y Estudio</t>
        </is>
      </c>
      <c r="H2495" s="16" t="inlineStr">
        <is>
          <t>AZUL</t>
        </is>
      </c>
      <c r="I2495" s="16" t="n">
        <v>1</v>
      </c>
      <c r="J2495" s="17" t="n">
        <v>36</v>
      </c>
      <c r="K2495" s="17" t="n">
        <v>49.11</v>
      </c>
      <c r="L2495" s="17" t="n">
        <v>8.470000000000001</v>
      </c>
      <c r="M2495" s="17" t="n">
        <v>0</v>
      </c>
      <c r="N2495" s="17">
        <f>K2495*0.08+L2495*0.08</f>
        <v/>
      </c>
      <c r="O2495" s="17">
        <f>-(K2495*0.025+L2495*0.025)</f>
        <v/>
      </c>
      <c r="P2495" s="17">
        <f>32</f>
        <v/>
      </c>
      <c r="Q2495" s="17">
        <f>J2495+L2495+N2495+O2495-P2495-M2495</f>
        <v/>
      </c>
    </row>
    <row r="2496">
      <c r="A2496" s="16" t="inlineStr">
        <is>
          <t>5.22-5.28</t>
        </is>
      </c>
      <c r="B2496" s="16" t="inlineStr">
        <is>
          <t>PO-128-06630739743352044</t>
        </is>
      </c>
      <c r="C2496" s="16" t="inlineStr">
        <is>
          <t>Shipped</t>
        </is>
      </c>
      <c r="D2496" s="16" t="inlineStr">
        <is>
          <t>128-06630724014712044</t>
        </is>
      </c>
      <c r="E2496" s="16" t="inlineStr">
        <is>
          <t>Shipped</t>
        </is>
      </c>
      <c r="F2496" s="16" t="inlineStr">
        <is>
          <t>KTS-1678Y</t>
        </is>
      </c>
      <c r="G2496" s="16" t="inlineStr">
        <is>
          <t>Bocina portátil Inalámbrico, de 3 pulgadas, tamaño de bolsillo, 170 g, con asa, compatible con TF, USB y Micro SD, con radio FM y función TWS (True Wireless Stereo), adecuada para relajarse en casa o viajar al aire libre.</t>
        </is>
      </c>
      <c r="H2496" s="16" t="inlineStr">
        <is>
          <t>KTS-1678Y</t>
        </is>
      </c>
      <c r="I2496" s="16" t="n">
        <v>1</v>
      </c>
      <c r="J2496" s="17" t="n">
        <v>42.5</v>
      </c>
      <c r="K2496" s="17" t="n">
        <v>38.97</v>
      </c>
      <c r="L2496" s="17" t="n">
        <v>0</v>
      </c>
      <c r="M2496" s="17" t="n">
        <v>0</v>
      </c>
      <c r="N2496" s="17">
        <f>K2496*0.08+L2496*0.08</f>
        <v/>
      </c>
      <c r="O2496" s="17">
        <f>-(K2496*0.025+L2496*0.025)</f>
        <v/>
      </c>
      <c r="P2496" s="17">
        <f>32</f>
        <v/>
      </c>
      <c r="Q2496" s="17">
        <f>J2496+L2496+N2496+O2496-P2496-M2496</f>
        <v/>
      </c>
    </row>
    <row r="2497">
      <c r="A2497" s="16" t="inlineStr">
        <is>
          <t>5.22-5.28</t>
        </is>
      </c>
      <c r="B2497" s="16" t="inlineStr">
        <is>
          <t>PO-128-06630739743352044</t>
        </is>
      </c>
      <c r="C2497" s="16" t="inlineStr">
        <is>
          <t>Shipped</t>
        </is>
      </c>
      <c r="D2497" s="16" t="inlineStr">
        <is>
          <t>128-06630744986232044</t>
        </is>
      </c>
      <c r="E2497" s="16" t="inlineStr">
        <is>
          <t>Shipped</t>
        </is>
      </c>
      <c r="F2497" s="16" t="inlineStr">
        <is>
          <t>KTS-1678V</t>
        </is>
      </c>
      <c r="G2497" s="16" t="inlineStr">
        <is>
          <t>Bocina portátil Inalámbrico, de 3 pulgadas, tamaño de bolsillo, 170 g, con asa, compatible con TF, USB y Micro SD, con radio FM y función TWS (True Wireless Stereo), adecuada para relajarse en casa o viajar al aire libre.</t>
        </is>
      </c>
      <c r="H2497" s="16" t="inlineStr">
        <is>
          <t>KTS-1678V</t>
        </is>
      </c>
      <c r="I2497" s="16" t="n">
        <v>1</v>
      </c>
      <c r="J2497" s="17" t="n">
        <v>42.5</v>
      </c>
      <c r="K2497" s="17" t="n">
        <v>40.62</v>
      </c>
      <c r="L2497" s="17" t="n">
        <v>0</v>
      </c>
      <c r="M2497" s="17" t="n">
        <v>0</v>
      </c>
      <c r="N2497" s="17">
        <f>K2497*0.08+L2497*0.08</f>
        <v/>
      </c>
      <c r="O2497" s="17">
        <f>-(K2497*0.025+L2497*0.025)</f>
        <v/>
      </c>
      <c r="P2497" s="17">
        <f>32</f>
        <v/>
      </c>
      <c r="Q2497" s="17">
        <f>J2497+L2497+N2497+O2497-P2497-M2497</f>
        <v/>
      </c>
    </row>
    <row r="2498">
      <c r="A2498" s="16" t="inlineStr">
        <is>
          <t>5.22-5.28</t>
        </is>
      </c>
      <c r="B2498" s="16" t="inlineStr">
        <is>
          <t>PO-128-06630739743352044</t>
        </is>
      </c>
      <c r="C2498" s="16" t="inlineStr">
        <is>
          <t>Shipped</t>
        </is>
      </c>
      <c r="D2498" s="16" t="inlineStr">
        <is>
          <t>128-06630828872312044</t>
        </is>
      </c>
      <c r="E2498" s="16" t="inlineStr">
        <is>
          <t>Shipped</t>
        </is>
      </c>
      <c r="F2498" s="16" t="inlineStr">
        <is>
          <t>LB02235-blanco</t>
        </is>
      </c>
      <c r="G2498" s="16" t="inlineStr">
        <is>
          <t>Audífonos Inalámbricos para la Cabeza, Recargables y Multifuncionales - Conectan a Varios Dispositivos, soportan Radio FM, Tarjeta TF y AUX - 4 Horas de Reproducción Musical - Ideal para Trabajo Cotidiano, Juegos y Estudio</t>
        </is>
      </c>
      <c r="H2498" s="16" t="inlineStr">
        <is>
          <t>BLANCO</t>
        </is>
      </c>
      <c r="I2498" s="16" t="n">
        <v>1</v>
      </c>
      <c r="J2498" s="17" t="n">
        <v>37.71</v>
      </c>
      <c r="K2498" s="17" t="n">
        <v>40.66</v>
      </c>
      <c r="L2498" s="17" t="n">
        <v>0</v>
      </c>
      <c r="M2498" s="17" t="n">
        <v>0.73</v>
      </c>
      <c r="N2498" s="17">
        <f>K2498*0.08+L2498*0.08</f>
        <v/>
      </c>
      <c r="O2498" s="17">
        <f>-(K2498*0.025+L2498*0.025)</f>
        <v/>
      </c>
      <c r="P2498" s="17">
        <f>32</f>
        <v/>
      </c>
      <c r="Q2498" s="17">
        <f>J2498+L2498+N2498+O2498-P2498-M2498</f>
        <v/>
      </c>
    </row>
    <row r="2499">
      <c r="A2499" s="16" t="inlineStr">
        <is>
          <t>5.22-5.28</t>
        </is>
      </c>
      <c r="B2499" s="16" t="inlineStr">
        <is>
          <t>PO-128-06630739743352044</t>
        </is>
      </c>
      <c r="C2499" s="16" t="inlineStr">
        <is>
          <t>Shipped</t>
        </is>
      </c>
      <c r="D2499" s="16" t="inlineStr">
        <is>
          <t>128-06630781686392044</t>
        </is>
      </c>
      <c r="E2499" s="16" t="inlineStr">
        <is>
          <t>Shipped</t>
        </is>
      </c>
      <c r="F2499" s="16" t="inlineStr">
        <is>
          <t>MCM-001R</t>
        </is>
      </c>
      <c r="G2499" s="16" t="inlineStr">
        <is>
          <t>Musicord Altavoz Inalámbrico BT Portátil: ¡Sonido impactante, luces LED multicolores y 4 horas de autonomía! Compatible con TWS, FM, TF y USB – Imprescindible para fiestas y viajes</t>
        </is>
      </c>
      <c r="H2499" s="16" t="inlineStr">
        <is>
          <t>ROJO</t>
        </is>
      </c>
      <c r="I2499" s="16" t="n">
        <v>1</v>
      </c>
      <c r="J2499" s="17" t="n">
        <v>66.5</v>
      </c>
      <c r="K2499" s="17" t="n">
        <v>59.44</v>
      </c>
      <c r="L2499" s="17" t="n">
        <v>0</v>
      </c>
      <c r="M2499" s="17" t="n">
        <v>0</v>
      </c>
      <c r="N2499" s="17">
        <f>K2499*0.08+L2499*0.08</f>
        <v/>
      </c>
      <c r="O2499" s="17">
        <f>-(K2499*0.025+L2499*0.025)</f>
        <v/>
      </c>
      <c r="P2499" s="17">
        <f>32</f>
        <v/>
      </c>
      <c r="Q2499" s="17">
        <f>J2499+L2499+N2499+O2499-P2499-M2499</f>
        <v/>
      </c>
    </row>
    <row r="2500">
      <c r="A2500" s="16" t="inlineStr">
        <is>
          <t>5.22-5.28</t>
        </is>
      </c>
      <c r="B2500" s="16" t="inlineStr">
        <is>
          <t>PO-128-06630739743352044</t>
        </is>
      </c>
      <c r="C2500" s="16" t="inlineStr">
        <is>
          <t>Shipped</t>
        </is>
      </c>
      <c r="D2500" s="16" t="inlineStr">
        <is>
          <t>128-06630765957752044</t>
        </is>
      </c>
      <c r="E2500" s="16" t="inlineStr">
        <is>
          <t>Shipped</t>
        </is>
      </c>
      <c r="F2500" s="16" t="inlineStr">
        <is>
          <t>KTS-1678A</t>
        </is>
      </c>
      <c r="G2500" s="16" t="inlineStr">
        <is>
          <t>Bocina portátil Inalámbrico, de 3 pulgadas, tamaño de bolsillo, 170 g, con asa, compatible con TF, USB y Micro SD, con radio FM y función TWS (True Wireless Stereo), adecuada para relajarse en casa o viajar al aire libre.</t>
        </is>
      </c>
      <c r="H2500" s="16" t="inlineStr">
        <is>
          <t>KTS-1678A</t>
        </is>
      </c>
      <c r="I2500" s="16" t="n">
        <v>1</v>
      </c>
      <c r="J2500" s="17" t="n">
        <v>42.5</v>
      </c>
      <c r="K2500" s="17" t="n">
        <v>40.62</v>
      </c>
      <c r="L2500" s="17" t="n">
        <v>0</v>
      </c>
      <c r="M2500" s="17" t="n">
        <v>0</v>
      </c>
      <c r="N2500" s="17">
        <f>K2500*0.08+L2500*0.08</f>
        <v/>
      </c>
      <c r="O2500" s="17">
        <f>-(K2500*0.025+L2500*0.025)</f>
        <v/>
      </c>
      <c r="P2500" s="17">
        <f>32</f>
        <v/>
      </c>
      <c r="Q2500" s="17">
        <f>J2500+L2500+N2500+O2500-P2500-M2500</f>
        <v/>
      </c>
    </row>
    <row r="2501">
      <c r="A2501" s="16" t="inlineStr">
        <is>
          <t>5.22-5.28</t>
        </is>
      </c>
      <c r="B2501" s="16" t="inlineStr">
        <is>
          <t>PO-128-06630739743352044</t>
        </is>
      </c>
      <c r="C2501" s="16" t="inlineStr">
        <is>
          <t>Shipped</t>
        </is>
      </c>
      <c r="D2501" s="16" t="inlineStr">
        <is>
          <t>128-06630839358072044</t>
        </is>
      </c>
      <c r="E2501" s="16" t="inlineStr">
        <is>
          <t>Shipped</t>
        </is>
      </c>
      <c r="F2501" s="16" t="inlineStr">
        <is>
          <t>LB02235-rojo</t>
        </is>
      </c>
      <c r="G2501" s="16" t="inlineStr">
        <is>
          <t>Audífonos Inalámbricos para la Cabeza, Recargables y Multifuncionales - Conectan a Varios Dispositivos, soportan Radio FM, Tarjeta TF y AUX - 4 Horas de Reproducción Musical - Ideal para Trabajo Cotidiano, Juegos y Estudio</t>
        </is>
      </c>
      <c r="H2501" s="16" t="inlineStr">
        <is>
          <t>ROJO</t>
        </is>
      </c>
      <c r="I2501" s="16" t="n">
        <v>1</v>
      </c>
      <c r="J2501" s="17" t="n">
        <v>36.8</v>
      </c>
      <c r="K2501" s="17" t="n">
        <v>39.93</v>
      </c>
      <c r="L2501" s="17" t="n">
        <v>0</v>
      </c>
      <c r="M2501" s="17" t="n">
        <v>0</v>
      </c>
      <c r="N2501" s="17">
        <f>K2501*0.08+L2501*0.08</f>
        <v/>
      </c>
      <c r="O2501" s="17">
        <f>-(K2501*0.025+L2501*0.025)</f>
        <v/>
      </c>
      <c r="P2501" s="17">
        <f>32</f>
        <v/>
      </c>
      <c r="Q2501" s="17">
        <f>J2501+L2501+N2501+O2501-P2501-M2501</f>
        <v/>
      </c>
    </row>
    <row r="2502">
      <c r="A2502" s="16" t="inlineStr">
        <is>
          <t>5.22-5.28</t>
        </is>
      </c>
      <c r="B2502" s="16" t="inlineStr">
        <is>
          <t>PO-128-06630739743352044</t>
        </is>
      </c>
      <c r="C2502" s="16" t="inlineStr">
        <is>
          <t>Shipped</t>
        </is>
      </c>
      <c r="D2502" s="16" t="inlineStr">
        <is>
          <t>128-06630786929272044</t>
        </is>
      </c>
      <c r="E2502" s="16" t="inlineStr">
        <is>
          <t>Shipped</t>
        </is>
      </c>
      <c r="F2502" s="16" t="inlineStr">
        <is>
          <t>VB347T</t>
        </is>
      </c>
      <c r="G250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02" s="16" t="inlineStr">
        <is>
          <t>1 pieza</t>
        </is>
      </c>
      <c r="I2502" s="16" t="n">
        <v>1</v>
      </c>
      <c r="J2502" s="17" t="n">
        <v>79.90000000000001</v>
      </c>
      <c r="K2502" s="17" t="n">
        <v>75.59999999999999</v>
      </c>
      <c r="L2502" s="17" t="n">
        <v>0</v>
      </c>
      <c r="M2502" s="17" t="n">
        <v>0</v>
      </c>
      <c r="N2502" s="17">
        <f>K2502*0.08+L2502*0.08</f>
        <v/>
      </c>
      <c r="O2502" s="17">
        <f>-(K2502*0.025+L2502*0.025)</f>
        <v/>
      </c>
      <c r="P2502" s="17">
        <f>32</f>
        <v/>
      </c>
      <c r="Q2502" s="17">
        <f>J2502+L2502+N2502+O2502-P2502-M2502</f>
        <v/>
      </c>
    </row>
    <row r="2503">
      <c r="A2503" s="16" t="inlineStr">
        <is>
          <t>5.22-5.28</t>
        </is>
      </c>
      <c r="B2503" s="16" t="inlineStr">
        <is>
          <t>PO-128-06630739743352044</t>
        </is>
      </c>
      <c r="C2503" s="16" t="inlineStr">
        <is>
          <t>Shipped</t>
        </is>
      </c>
      <c r="D2503" s="16" t="inlineStr">
        <is>
          <t>128-06630703043192044</t>
        </is>
      </c>
      <c r="E2503" s="16" t="inlineStr">
        <is>
          <t>Shipped</t>
        </is>
      </c>
      <c r="F2503" s="16" t="inlineStr">
        <is>
          <t>KTS-1678R</t>
        </is>
      </c>
      <c r="G2503" s="16" t="inlineStr">
        <is>
          <t>Bocina portátil Inalámbrico, de 3 pulgadas, tamaño de bolsillo, 170 g, con asa, compatible con TF, USB y Micro SD, con radio FM y función TWS (True Wireless Stereo), adecuada para relajarse en casa o viajar al aire libre.</t>
        </is>
      </c>
      <c r="H2503" s="16" t="inlineStr">
        <is>
          <t>KTS-1678R</t>
        </is>
      </c>
      <c r="I2503" s="16" t="n">
        <v>1</v>
      </c>
      <c r="J2503" s="17" t="n">
        <v>42.5</v>
      </c>
      <c r="K2503" s="17" t="n">
        <v>40.62</v>
      </c>
      <c r="L2503" s="17" t="n">
        <v>0</v>
      </c>
      <c r="M2503" s="17" t="n">
        <v>0</v>
      </c>
      <c r="N2503" s="17">
        <f>K2503*0.08+L2503*0.08</f>
        <v/>
      </c>
      <c r="O2503" s="17">
        <f>-(K2503*0.025+L2503*0.025)</f>
        <v/>
      </c>
      <c r="P2503" s="17">
        <f>32</f>
        <v/>
      </c>
      <c r="Q2503" s="17">
        <f>J2503+L2503+N2503+O2503-P2503-M2503</f>
        <v/>
      </c>
    </row>
    <row r="2504">
      <c r="A2504" s="16" t="inlineStr">
        <is>
          <t>5.22-5.28</t>
        </is>
      </c>
      <c r="B2504" s="16" t="inlineStr">
        <is>
          <t>PO-128-06630739743352044</t>
        </is>
      </c>
      <c r="C2504" s="16" t="inlineStr">
        <is>
          <t>Shipped</t>
        </is>
      </c>
      <c r="D2504" s="16" t="inlineStr">
        <is>
          <t>128-06630849843832044</t>
        </is>
      </c>
      <c r="E2504" s="16" t="inlineStr">
        <is>
          <t>Shipped</t>
        </is>
      </c>
      <c r="F2504" s="16" t="inlineStr">
        <is>
          <t>LB02235-negro</t>
        </is>
      </c>
      <c r="G2504" s="16" t="inlineStr">
        <is>
          <t>Audífonos Inalámbricos para la Cabeza, Recargables y Multifuncionales - Conectan a Varios Dispositivos, soportan Radio FM, Tarjeta TF y AUX - 4 Horas de Reproducción Musical - Ideal para Trabajo Cotidiano, Juegos y Estudio</t>
        </is>
      </c>
      <c r="H2504" s="16" t="inlineStr">
        <is>
          <t>NEGRO</t>
        </is>
      </c>
      <c r="I2504" s="16" t="n">
        <v>1</v>
      </c>
      <c r="J2504" s="17" t="n">
        <v>37.71</v>
      </c>
      <c r="K2504" s="17" t="n">
        <v>40.66</v>
      </c>
      <c r="L2504" s="17" t="n">
        <v>0</v>
      </c>
      <c r="M2504" s="17" t="n">
        <v>0.73</v>
      </c>
      <c r="N2504" s="17">
        <f>K2504*0.08+L2504*0.08</f>
        <v/>
      </c>
      <c r="O2504" s="17">
        <f>-(K2504*0.025+L2504*0.025)</f>
        <v/>
      </c>
      <c r="P2504" s="17">
        <f>32</f>
        <v/>
      </c>
      <c r="Q2504" s="17">
        <f>J2504+L2504+N2504+O2504-P2504-M2504</f>
        <v/>
      </c>
    </row>
    <row r="2505">
      <c r="A2505" s="16" t="inlineStr">
        <is>
          <t>5.22-5.28</t>
        </is>
      </c>
      <c r="B2505" s="16" t="inlineStr">
        <is>
          <t>PO-128-06630739743352044</t>
        </is>
      </c>
      <c r="C2505" s="16" t="inlineStr">
        <is>
          <t>Shipped</t>
        </is>
      </c>
      <c r="D2505" s="16" t="inlineStr">
        <is>
          <t>128-06630807900792044</t>
        </is>
      </c>
      <c r="E2505" s="16" t="inlineStr">
        <is>
          <t>Shipped</t>
        </is>
      </c>
      <c r="F2505" s="16" t="inlineStr">
        <is>
          <t>MCM-003-V</t>
        </is>
      </c>
      <c r="G250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505" s="16" t="inlineStr">
        <is>
          <t>verde</t>
        </is>
      </c>
      <c r="I2505" s="16" t="n">
        <v>1</v>
      </c>
      <c r="J2505" s="17" t="n">
        <v>43</v>
      </c>
      <c r="K2505" s="17" t="n">
        <v>40.15</v>
      </c>
      <c r="L2505" s="17" t="n">
        <v>0</v>
      </c>
      <c r="M2505" s="17" t="n">
        <v>0</v>
      </c>
      <c r="N2505" s="17">
        <f>K2505*0.08+L2505*0.08</f>
        <v/>
      </c>
      <c r="O2505" s="17">
        <f>-(K2505*0.025+L2505*0.025)</f>
        <v/>
      </c>
      <c r="P2505" s="17">
        <f>32</f>
        <v/>
      </c>
      <c r="Q2505" s="17">
        <f>J2505+L2505+N2505+O2505-P2505-M2505</f>
        <v/>
      </c>
    </row>
    <row r="2506">
      <c r="A2506" s="16" t="inlineStr">
        <is>
          <t>5.22-5.28</t>
        </is>
      </c>
      <c r="B2506" s="16" t="inlineStr">
        <is>
          <t>PO-128-06599392835191081</t>
        </is>
      </c>
      <c r="C2506" s="16" t="inlineStr">
        <is>
          <t>Shipped</t>
        </is>
      </c>
      <c r="D2506" s="16" t="inlineStr">
        <is>
          <t>128-06599434778231081</t>
        </is>
      </c>
      <c r="E2506" s="16" t="inlineStr">
        <is>
          <t>Shipped</t>
        </is>
      </c>
      <c r="F2506" s="16" t="inlineStr">
        <is>
          <t>MB-185N</t>
        </is>
      </c>
      <c r="G2506" s="16" t="inlineStr">
        <is>
          <t>Bocina Radio FM/Reproductor, Compatible con Tarjeta TF, USB, Bluetooth, Aplicable para celular, computadora, Ipad y consola.</t>
        </is>
      </c>
      <c r="H2506" s="16" t="inlineStr">
        <is>
          <t>NEGRO/MB-185</t>
        </is>
      </c>
      <c r="I2506" s="16" t="n">
        <v>1</v>
      </c>
      <c r="J2506" s="17" t="n">
        <v>75.5</v>
      </c>
      <c r="K2506" s="17" t="n">
        <v>70.76000000000001</v>
      </c>
      <c r="L2506" s="17" t="n">
        <v>25.86</v>
      </c>
      <c r="M2506" s="17" t="n">
        <v>0</v>
      </c>
      <c r="N2506" s="17">
        <f>K2506*0.08+L2506*0.08</f>
        <v/>
      </c>
      <c r="O2506" s="17">
        <f>-(K2506*0.025+L2506*0.025)</f>
        <v/>
      </c>
      <c r="P2506" s="17">
        <f>32</f>
        <v/>
      </c>
      <c r="Q2506" s="17">
        <f>J2506+L2506+N2506+O2506-P2506-M2506</f>
        <v/>
      </c>
    </row>
    <row r="2507">
      <c r="A2507" s="16" t="inlineStr">
        <is>
          <t>5.22-5.28</t>
        </is>
      </c>
      <c r="B2507" s="16" t="inlineStr">
        <is>
          <t>PO-128-06323500222073748</t>
        </is>
      </c>
      <c r="C2507" s="16" t="inlineStr">
        <is>
          <t>Shipped</t>
        </is>
      </c>
      <c r="D2507" s="16" t="inlineStr">
        <is>
          <t>128-06323458279033748</t>
        </is>
      </c>
      <c r="E2507" s="16" t="inlineStr">
        <is>
          <t>Shipped</t>
        </is>
      </c>
      <c r="F2507" s="16" t="inlineStr">
        <is>
          <t>LB02235-azul</t>
        </is>
      </c>
      <c r="G2507" s="16" t="inlineStr">
        <is>
          <t>Audífonos Inalámbricos para la Cabeza, Recargables y Multifuncionales - Conectan a Varios Dispositivos, soportan Radio FM, Tarjeta TF y AUX - 4 Horas de Reproducción Musical - Ideal para Trabajo Cotidiano, Juegos y Estudio</t>
        </is>
      </c>
      <c r="H2507" s="16" t="inlineStr">
        <is>
          <t>AZUL</t>
        </is>
      </c>
      <c r="I2507" s="16" t="n">
        <v>1</v>
      </c>
      <c r="J2507" s="17" t="n">
        <v>36</v>
      </c>
      <c r="K2507" s="17" t="n">
        <v>6.01</v>
      </c>
      <c r="L2507" s="17" t="n">
        <v>25.86</v>
      </c>
      <c r="M2507" s="17" t="n">
        <v>0</v>
      </c>
      <c r="N2507" s="17">
        <f>K2507*0.08+L2507*0.08</f>
        <v/>
      </c>
      <c r="O2507" s="17">
        <f>-(K2507*0.025+L2507*0.025)</f>
        <v/>
      </c>
      <c r="P2507" s="17">
        <f>32</f>
        <v/>
      </c>
      <c r="Q2507" s="17">
        <f>J2507+L2507+N2507+O2507-P2507-M2507</f>
        <v/>
      </c>
    </row>
    <row r="2508">
      <c r="A2508" s="16" t="inlineStr">
        <is>
          <t>5.22-5.28</t>
        </is>
      </c>
      <c r="B2508" s="16" t="inlineStr">
        <is>
          <t>PO-128-06235294541433251</t>
        </is>
      </c>
      <c r="C2508" s="16" t="inlineStr">
        <is>
          <t>Shipped</t>
        </is>
      </c>
      <c r="D2508" s="16" t="inlineStr">
        <is>
          <t>128-06235294049913251</t>
        </is>
      </c>
      <c r="E2508" s="16" t="inlineStr">
        <is>
          <t>Shipped</t>
        </is>
      </c>
      <c r="F2508" s="16" t="inlineStr">
        <is>
          <t>MCM-001R</t>
        </is>
      </c>
      <c r="G2508" s="16" t="inlineStr">
        <is>
          <t>Musicord Altavoz Inalámbrico BT Portátil: ¡Sonido impactante, luces LED multicolores y 4 horas de autonomía! Compatible con TWS, FM, TF y USB – Imprescindible para fiestas y viajes</t>
        </is>
      </c>
      <c r="H2508" s="16" t="inlineStr">
        <is>
          <t>ROJO</t>
        </is>
      </c>
      <c r="I2508" s="16" t="n">
        <v>1</v>
      </c>
      <c r="J2508" s="17" t="n">
        <v>66.5</v>
      </c>
      <c r="K2508" s="17" t="n">
        <v>59.44</v>
      </c>
      <c r="L2508" s="17" t="n">
        <v>25.86</v>
      </c>
      <c r="M2508" s="17" t="n">
        <v>0</v>
      </c>
      <c r="N2508" s="17">
        <f>K2508*0.08+L2508*0.08</f>
        <v/>
      </c>
      <c r="O2508" s="17">
        <f>-(K2508*0.025+L2508*0.025)</f>
        <v/>
      </c>
      <c r="P2508" s="17">
        <f>32</f>
        <v/>
      </c>
      <c r="Q2508" s="17">
        <f>J2508+L2508+N2508+O2508-P2508-M2508</f>
        <v/>
      </c>
    </row>
    <row r="2509">
      <c r="A2509" s="16" t="inlineStr">
        <is>
          <t>5.22-5.28</t>
        </is>
      </c>
      <c r="B2509" s="16" t="inlineStr">
        <is>
          <t>PO-128-06667852380791697</t>
        </is>
      </c>
      <c r="C2509" s="16" t="inlineStr">
        <is>
          <t>Shipped</t>
        </is>
      </c>
      <c r="D2509" s="16" t="inlineStr">
        <is>
          <t>128-06667831409271697</t>
        </is>
      </c>
      <c r="E2509" s="16" t="inlineStr">
        <is>
          <t>Shipped</t>
        </is>
      </c>
      <c r="F2509" s="16" t="inlineStr">
        <is>
          <t>VB347T</t>
        </is>
      </c>
      <c r="G250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09" s="16" t="inlineStr">
        <is>
          <t>1 pieza</t>
        </is>
      </c>
      <c r="I2509" s="16" t="n">
        <v>1</v>
      </c>
      <c r="J2509" s="17" t="n">
        <v>79.90000000000001</v>
      </c>
      <c r="K2509" s="17" t="n">
        <v>94.5</v>
      </c>
      <c r="L2509" s="17" t="n">
        <v>25.86</v>
      </c>
      <c r="M2509" s="17" t="n">
        <v>0</v>
      </c>
      <c r="N2509" s="17">
        <f>K2509*0.08+L2509*0.08</f>
        <v/>
      </c>
      <c r="O2509" s="17">
        <f>-(K2509*0.025+L2509*0.025)</f>
        <v/>
      </c>
      <c r="P2509" s="17">
        <f>32</f>
        <v/>
      </c>
      <c r="Q2509" s="17">
        <f>J2509+L2509+N2509+O2509-P2509-M2509</f>
        <v/>
      </c>
    </row>
    <row r="2510">
      <c r="A2510" s="16" t="inlineStr">
        <is>
          <t>5.22-5.28</t>
        </is>
      </c>
      <c r="B2510" s="16" t="inlineStr">
        <is>
          <t>PO-128-06740141983350368</t>
        </is>
      </c>
      <c r="C2510" s="16" t="inlineStr">
        <is>
          <t>Shipped</t>
        </is>
      </c>
      <c r="D2510" s="16" t="inlineStr">
        <is>
          <t>128-06740183926390368</t>
        </is>
      </c>
      <c r="E2510" s="16" t="inlineStr">
        <is>
          <t>Shipped</t>
        </is>
      </c>
      <c r="F2510" s="16" t="inlineStr">
        <is>
          <t>MCM-001G</t>
        </is>
      </c>
      <c r="G2510" s="16" t="inlineStr">
        <is>
          <t>Musicord Altavoz Inalámbrico BT Portátil: ¡Sonido impactante, luces LED multicolores y 4 horas de autonomía! Compatible con TWS, FM, TF y USB – Imprescindible para fiestas y viajes</t>
        </is>
      </c>
      <c r="H2510" s="16" t="inlineStr">
        <is>
          <t>GRIS</t>
        </is>
      </c>
      <c r="I2510" s="16" t="n">
        <v>1</v>
      </c>
      <c r="J2510" s="17" t="n">
        <v>51.07</v>
      </c>
      <c r="K2510" s="17" t="n">
        <v>15.76</v>
      </c>
      <c r="L2510" s="17" t="n">
        <v>25.86</v>
      </c>
      <c r="M2510" s="17" t="n">
        <v>0</v>
      </c>
      <c r="N2510" s="17">
        <f>K2510*0.08+L2510*0.08</f>
        <v/>
      </c>
      <c r="O2510" s="17">
        <f>-(K2510*0.025+L2510*0.025)</f>
        <v/>
      </c>
      <c r="P2510" s="17">
        <f>32</f>
        <v/>
      </c>
      <c r="Q2510" s="17">
        <f>J2510+L2510+N2510+O2510-P2510-M2510</f>
        <v/>
      </c>
    </row>
    <row r="2511">
      <c r="A2511" s="16" t="inlineStr">
        <is>
          <t>5.22-5.28</t>
        </is>
      </c>
      <c r="B2511" s="16" t="inlineStr">
        <is>
          <t>PO-128-06628529618551995</t>
        </is>
      </c>
      <c r="C2511" s="16" t="inlineStr">
        <is>
          <t>Shipped</t>
        </is>
      </c>
      <c r="D2511" s="16" t="inlineStr">
        <is>
          <t>128-06628540104311995</t>
        </is>
      </c>
      <c r="E2511" s="16" t="inlineStr">
        <is>
          <t>Shipped</t>
        </is>
      </c>
      <c r="F2511" s="16" t="inlineStr">
        <is>
          <t>LB02235-negro</t>
        </is>
      </c>
      <c r="G2511" s="16" t="inlineStr">
        <is>
          <t>Audífonos Inalámbricos para la Cabeza, Recargables y Multifuncionales - Conectan a Varios Dispositivos, soportan Radio FM, Tarjeta TF y AUX - 4 Horas de Reproducción Musical - Ideal para Trabajo Cotidiano, Juegos y Estudio</t>
        </is>
      </c>
      <c r="H2511" s="16" t="inlineStr">
        <is>
          <t>NEGRO</t>
        </is>
      </c>
      <c r="I2511" s="16" t="n">
        <v>1</v>
      </c>
      <c r="J2511" s="17" t="n">
        <v>37.71</v>
      </c>
      <c r="K2511" s="17" t="n">
        <v>50.82</v>
      </c>
      <c r="L2511" s="17" t="n">
        <v>25.86</v>
      </c>
      <c r="M2511" s="17" t="n">
        <v>0</v>
      </c>
      <c r="N2511" s="17">
        <f>K2511*0.08+L2511*0.08</f>
        <v/>
      </c>
      <c r="O2511" s="17">
        <f>-(K2511*0.025+L2511*0.025)</f>
        <v/>
      </c>
      <c r="P2511" s="17">
        <f>32</f>
        <v/>
      </c>
      <c r="Q2511" s="17">
        <f>J2511+L2511+N2511+O2511-P2511-M2511</f>
        <v/>
      </c>
    </row>
    <row r="2512">
      <c r="A2512" s="16" t="inlineStr">
        <is>
          <t>5.22-5.28</t>
        </is>
      </c>
      <c r="B2512" s="16" t="inlineStr">
        <is>
          <t>PO-128-06285466901114038</t>
        </is>
      </c>
      <c r="C2512" s="16" t="inlineStr">
        <is>
          <t>Shipped</t>
        </is>
      </c>
      <c r="D2512" s="16" t="inlineStr">
        <is>
          <t>128-06285493115514038</t>
        </is>
      </c>
      <c r="E2512" s="16" t="inlineStr">
        <is>
          <t>Shipped</t>
        </is>
      </c>
      <c r="F2512" s="16" t="inlineStr">
        <is>
          <t>LB02235-azul</t>
        </is>
      </c>
      <c r="G2512" s="16" t="inlineStr">
        <is>
          <t>Audífonos Inalámbricos para la Cabeza, Recargables y Multifuncionales - Conectan a Varios Dispositivos, soportan Radio FM, Tarjeta TF y AUX - 4 Horas de Reproducción Musical - Ideal para Trabajo Cotidiano, Juegos y Estudio</t>
        </is>
      </c>
      <c r="H2512" s="16" t="inlineStr">
        <is>
          <t>AZUL</t>
        </is>
      </c>
      <c r="I2512" s="16" t="n">
        <v>1</v>
      </c>
      <c r="J2512" s="17" t="n">
        <v>36</v>
      </c>
      <c r="K2512" s="17" t="n">
        <v>49.11</v>
      </c>
      <c r="L2512" s="17" t="n">
        <v>25.86</v>
      </c>
      <c r="M2512" s="17" t="n">
        <v>0</v>
      </c>
      <c r="N2512" s="17">
        <f>K2512*0.08+L2512*0.08</f>
        <v/>
      </c>
      <c r="O2512" s="17">
        <f>-(K2512*0.025+L2512*0.025)</f>
        <v/>
      </c>
      <c r="P2512" s="17">
        <f>32</f>
        <v/>
      </c>
      <c r="Q2512" s="17">
        <f>J2512+L2512+N2512+O2512-P2512-M2512</f>
        <v/>
      </c>
    </row>
    <row r="2513">
      <c r="A2513" s="16" t="inlineStr">
        <is>
          <t>5.22-5.28</t>
        </is>
      </c>
      <c r="B2513" s="16" t="inlineStr">
        <is>
          <t>PO-128-06476781199992898</t>
        </is>
      </c>
      <c r="C2513" s="16" t="inlineStr">
        <is>
          <t>Shipped</t>
        </is>
      </c>
      <c r="D2513" s="16" t="inlineStr">
        <is>
          <t>128-06476705178232898</t>
        </is>
      </c>
      <c r="E2513" s="16" t="inlineStr">
        <is>
          <t>Shipped</t>
        </is>
      </c>
      <c r="F2513" s="16" t="inlineStr">
        <is>
          <t>MCM-001A</t>
        </is>
      </c>
      <c r="G2513" s="16" t="inlineStr">
        <is>
          <t>Musicord Altavoz Inalámbrico BT Portátil: ¡Sonido impactante, luces LED multicolores y 4 horas de autonomía! Compatible con TWS, FM, TF y USB – Imprescindible para fiestas y viajes</t>
        </is>
      </c>
      <c r="H2513" s="16" t="inlineStr">
        <is>
          <t>AZUL</t>
        </is>
      </c>
      <c r="I2513" s="16" t="n">
        <v>2</v>
      </c>
      <c r="J2513" s="17" t="n">
        <v>102.14</v>
      </c>
      <c r="K2513" s="17" t="n">
        <v>99.01000000000001</v>
      </c>
      <c r="L2513" s="17" t="n">
        <v>0</v>
      </c>
      <c r="M2513" s="17" t="n">
        <v>0</v>
      </c>
      <c r="N2513" s="17">
        <f>K2513*0.08+L2513*0.08</f>
        <v/>
      </c>
      <c r="O2513" s="17">
        <f>-(K2513*0.025+L2513*0.025)</f>
        <v/>
      </c>
      <c r="P2513" s="17">
        <f>32</f>
        <v/>
      </c>
      <c r="Q2513" s="17">
        <f>J2513+L2513+N2513+O2513-P2513-M2513</f>
        <v/>
      </c>
    </row>
    <row r="2514">
      <c r="A2514" s="16" t="inlineStr">
        <is>
          <t>5.22-5.28</t>
        </is>
      </c>
      <c r="B2514" s="16" t="inlineStr">
        <is>
          <t>PO-128-06476781199992898</t>
        </is>
      </c>
      <c r="C2514" s="16" t="inlineStr">
        <is>
          <t>Shipped</t>
        </is>
      </c>
      <c r="D2514" s="16" t="inlineStr">
        <is>
          <t>128-06476707799672898</t>
        </is>
      </c>
      <c r="E2514" s="16" t="inlineStr">
        <is>
          <t>Shipped</t>
        </is>
      </c>
      <c r="F2514" s="16" t="inlineStr">
        <is>
          <t>MCM-001G</t>
        </is>
      </c>
      <c r="G2514" s="16" t="inlineStr">
        <is>
          <t>Musicord Altavoz Inalámbrico BT Portátil: ¡Sonido impactante, luces LED multicolores y 4 horas de autonomía! Compatible con TWS, FM, TF y USB – Imprescindible para fiestas y viajes</t>
        </is>
      </c>
      <c r="H2514" s="16" t="inlineStr">
        <is>
          <t>GRIS</t>
        </is>
      </c>
      <c r="I2514" s="16" t="n">
        <v>2</v>
      </c>
      <c r="J2514" s="17" t="n">
        <v>102</v>
      </c>
      <c r="K2514" s="17" t="n">
        <v>97.89</v>
      </c>
      <c r="L2514" s="17" t="n">
        <v>0</v>
      </c>
      <c r="M2514" s="17" t="n">
        <v>0</v>
      </c>
      <c r="N2514" s="17">
        <f>K2514*0.08+L2514*0.08</f>
        <v/>
      </c>
      <c r="O2514" s="17">
        <f>-(K2514*0.025+L2514*0.025)</f>
        <v/>
      </c>
      <c r="P2514" s="17">
        <f>32</f>
        <v/>
      </c>
      <c r="Q2514" s="17">
        <f>J2514+L2514+N2514+O2514-P2514-M2514</f>
        <v/>
      </c>
    </row>
    <row r="2515">
      <c r="A2515" s="16" t="inlineStr">
        <is>
          <t>5.22-5.28</t>
        </is>
      </c>
      <c r="B2515" s="16" t="inlineStr">
        <is>
          <t>PO-128-06476781199992898</t>
        </is>
      </c>
      <c r="C2515" s="16" t="inlineStr">
        <is>
          <t>Shipped</t>
        </is>
      </c>
      <c r="D2515" s="16" t="inlineStr">
        <is>
          <t>128-06476710421112898</t>
        </is>
      </c>
      <c r="E2515" s="16" t="inlineStr">
        <is>
          <t>Shipped</t>
        </is>
      </c>
      <c r="F2515" s="16" t="inlineStr">
        <is>
          <t>MCM-001N</t>
        </is>
      </c>
      <c r="G2515" s="16" t="inlineStr">
        <is>
          <t>Musicord Altavoz Inalámbrico BT Portátil: ¡Sonido impactante, luces LED multicolores y 4 horas de autonomía! Compatible con TWS, FM, TF y USB – Imprescindible para fiestas y viajes</t>
        </is>
      </c>
      <c r="H2515" s="16" t="inlineStr">
        <is>
          <t>NEGRO</t>
        </is>
      </c>
      <c r="I2515" s="16" t="n">
        <v>2</v>
      </c>
      <c r="J2515" s="17" t="n">
        <v>121</v>
      </c>
      <c r="K2515" s="17" t="n">
        <v>113.7</v>
      </c>
      <c r="L2515" s="17" t="n">
        <v>0</v>
      </c>
      <c r="M2515" s="17" t="n">
        <v>0</v>
      </c>
      <c r="N2515" s="17">
        <f>K2515*0.08+L2515*0.08</f>
        <v/>
      </c>
      <c r="O2515" s="17">
        <f>-(K2515*0.025+L2515*0.025)</f>
        <v/>
      </c>
      <c r="P2515" s="17">
        <f>32</f>
        <v/>
      </c>
      <c r="Q2515" s="17">
        <f>J2515+L2515+N2515+O2515-P2515-M2515</f>
        <v/>
      </c>
    </row>
    <row r="2516">
      <c r="A2516" s="16" t="inlineStr">
        <is>
          <t>5.22-5.28</t>
        </is>
      </c>
      <c r="B2516" s="16" t="inlineStr">
        <is>
          <t>PO-128-06424570291832059</t>
        </is>
      </c>
      <c r="C2516" s="16" t="inlineStr">
        <is>
          <t>Shipped</t>
        </is>
      </c>
      <c r="D2516" s="16" t="inlineStr">
        <is>
          <t>128-06424512620152059</t>
        </is>
      </c>
      <c r="E2516" s="16" t="inlineStr">
        <is>
          <t>Shipped</t>
        </is>
      </c>
      <c r="F2516" s="16" t="inlineStr">
        <is>
          <t>LB02235-negro</t>
        </is>
      </c>
      <c r="G2516" s="16" t="inlineStr">
        <is>
          <t>Audífonos Inalámbricos para la Cabeza, Recargables y Multifuncionales - Conectan a Varios Dispositivos, soportan Radio FM, Tarjeta TF y AUX - 4 Horas de Reproducción Musical - Ideal para Trabajo Cotidiano, Juegos y Estudio</t>
        </is>
      </c>
      <c r="H2516" s="16" t="inlineStr">
        <is>
          <t>NEGRO</t>
        </is>
      </c>
      <c r="I2516" s="16" t="n">
        <v>1</v>
      </c>
      <c r="J2516" s="17" t="n">
        <v>36.8</v>
      </c>
      <c r="K2516" s="17" t="n">
        <v>49.91</v>
      </c>
      <c r="L2516" s="17" t="n">
        <v>25.86</v>
      </c>
      <c r="M2516" s="17" t="n">
        <v>0</v>
      </c>
      <c r="N2516" s="17">
        <f>K2516*0.08+L2516*0.08</f>
        <v/>
      </c>
      <c r="O2516" s="17">
        <f>-(K2516*0.025+L2516*0.025)</f>
        <v/>
      </c>
      <c r="P2516" s="17">
        <f>32</f>
        <v/>
      </c>
      <c r="Q2516" s="17">
        <f>J2516+L2516+N2516+O2516-P2516-M2516</f>
        <v/>
      </c>
    </row>
    <row r="2517">
      <c r="A2517" s="16" t="inlineStr">
        <is>
          <t>5.22-5.28</t>
        </is>
      </c>
      <c r="B2517" s="16" t="inlineStr">
        <is>
          <t>PO-128-06362538609272493</t>
        </is>
      </c>
      <c r="C2517" s="16" t="inlineStr">
        <is>
          <t>Shipped</t>
        </is>
      </c>
      <c r="D2517" s="16" t="inlineStr">
        <is>
          <t>128-06362559580792493</t>
        </is>
      </c>
      <c r="E2517" s="16" t="inlineStr">
        <is>
          <t>Shipped</t>
        </is>
      </c>
      <c r="F2517" s="16" t="inlineStr">
        <is>
          <t>MB-185A</t>
        </is>
      </c>
      <c r="G2517" s="16" t="inlineStr">
        <is>
          <t>Bocina Radio FM/Reproductor, Compatible con Tarjeta TF, USB, Bluetooth, Aplicable para celular, computadora, Ipad y consola.</t>
        </is>
      </c>
      <c r="H2517" s="16" t="inlineStr">
        <is>
          <t>AZUL/MB-185</t>
        </is>
      </c>
      <c r="I2517" s="16" t="n">
        <v>1</v>
      </c>
      <c r="J2517" s="17" t="n">
        <v>71.31</v>
      </c>
      <c r="K2517" s="17" t="n">
        <v>84.23999999999999</v>
      </c>
      <c r="L2517" s="17" t="n">
        <v>25.86</v>
      </c>
      <c r="M2517" s="17" t="n">
        <v>0</v>
      </c>
      <c r="N2517" s="17">
        <f>K2517*0.08+L2517*0.08</f>
        <v/>
      </c>
      <c r="O2517" s="17">
        <f>-(K2517*0.025+L2517*0.025)</f>
        <v/>
      </c>
      <c r="P2517" s="17">
        <f>32</f>
        <v/>
      </c>
      <c r="Q2517" s="17">
        <f>J2517+L2517+N2517+O2517-P2517-M2517</f>
        <v/>
      </c>
    </row>
    <row r="2518">
      <c r="A2518" s="16" t="inlineStr">
        <is>
          <t>5.22-5.28</t>
        </is>
      </c>
      <c r="B2518" s="16" t="inlineStr">
        <is>
          <t>PO-128-06372638997112497</t>
        </is>
      </c>
      <c r="C2518" s="16" t="inlineStr">
        <is>
          <t>Shipped</t>
        </is>
      </c>
      <c r="D2518" s="16" t="inlineStr">
        <is>
          <t>128-06372597054072497</t>
        </is>
      </c>
      <c r="E2518" s="16" t="inlineStr">
        <is>
          <t>Shipped</t>
        </is>
      </c>
      <c r="F2518" s="16" t="inlineStr">
        <is>
          <t>MCM-001G</t>
        </is>
      </c>
      <c r="G2518" s="16" t="inlineStr">
        <is>
          <t>Musicord Altavoz Inalámbrico BT Portátil: ¡Sonido impactante, luces LED multicolores y 4 horas de autonomía! Compatible con TWS, FM, TF y USB – Imprescindible para fiestas y viajes</t>
        </is>
      </c>
      <c r="H2518" s="16" t="inlineStr">
        <is>
          <t>GRIS</t>
        </is>
      </c>
      <c r="I2518" s="16" t="n">
        <v>1</v>
      </c>
      <c r="J2518" s="17" t="n">
        <v>51</v>
      </c>
      <c r="K2518" s="17" t="n">
        <v>7.07</v>
      </c>
      <c r="L2518" s="17" t="n">
        <v>25.86</v>
      </c>
      <c r="M2518" s="17" t="n">
        <v>0</v>
      </c>
      <c r="N2518" s="17">
        <f>K2518*0.08+L2518*0.08</f>
        <v/>
      </c>
      <c r="O2518" s="17">
        <f>-(K2518*0.025+L2518*0.025)</f>
        <v/>
      </c>
      <c r="P2518" s="17">
        <f>32</f>
        <v/>
      </c>
      <c r="Q2518" s="17">
        <f>J2518+L2518+N2518+O2518-P2518-M2518</f>
        <v/>
      </c>
    </row>
    <row r="2519">
      <c r="A2519" s="16" t="inlineStr">
        <is>
          <t>5.22-5.28</t>
        </is>
      </c>
      <c r="B2519" s="16" t="inlineStr">
        <is>
          <t>PO-128-06634058061432024</t>
        </is>
      </c>
      <c r="C2519" s="16" t="inlineStr">
        <is>
          <t>Shipped</t>
        </is>
      </c>
      <c r="D2519" s="16" t="inlineStr">
        <is>
          <t>128-06634194376312024</t>
        </is>
      </c>
      <c r="E2519" s="16" t="inlineStr">
        <is>
          <t>Shipped</t>
        </is>
      </c>
      <c r="F2519" s="16" t="inlineStr">
        <is>
          <t>LB02235-negro</t>
        </is>
      </c>
      <c r="G2519" s="16" t="inlineStr">
        <is>
          <t>Audífonos Inalámbricos para la Cabeza, Recargables y Multifuncionales - Conectan a Varios Dispositivos, soportan Radio FM, Tarjeta TF y AUX - 4 Horas de Reproducción Musical - Ideal para Trabajo Cotidiano, Juegos y Estudio</t>
        </is>
      </c>
      <c r="H2519" s="16" t="inlineStr">
        <is>
          <t>NEGRO</t>
        </is>
      </c>
      <c r="I2519" s="16" t="n">
        <v>1</v>
      </c>
      <c r="J2519" s="17" t="n">
        <v>36.8</v>
      </c>
      <c r="K2519" s="17" t="n">
        <v>49.91</v>
      </c>
      <c r="L2519" s="17" t="n">
        <v>25.86</v>
      </c>
      <c r="M2519" s="17" t="n">
        <v>0</v>
      </c>
      <c r="N2519" s="17">
        <f>K2519*0.08+L2519*0.08</f>
        <v/>
      </c>
      <c r="O2519" s="17">
        <f>-(K2519*0.025+L2519*0.025)</f>
        <v/>
      </c>
      <c r="P2519" s="17">
        <f>32</f>
        <v/>
      </c>
      <c r="Q2519" s="17">
        <f>J2519+L2519+N2519+O2519-P2519-M2519</f>
        <v/>
      </c>
    </row>
    <row r="2520">
      <c r="A2520" s="16" t="inlineStr">
        <is>
          <t>5.22-5.28</t>
        </is>
      </c>
      <c r="B2520" s="16" t="inlineStr">
        <is>
          <t>PO-128-06519652270712642</t>
        </is>
      </c>
      <c r="C2520" s="16" t="inlineStr">
        <is>
          <t>Shipped</t>
        </is>
      </c>
      <c r="D2520" s="16" t="inlineStr">
        <is>
          <t>128-06519757128312642</t>
        </is>
      </c>
      <c r="E2520" s="16" t="inlineStr">
        <is>
          <t>Shipped</t>
        </is>
      </c>
      <c r="F2520" s="16" t="inlineStr">
        <is>
          <t>LB02235-rojo</t>
        </is>
      </c>
      <c r="G2520" s="16" t="inlineStr">
        <is>
          <t>Audífonos Inalámbricos para la Cabeza, Recargables y Multifuncionales - Conectan a Varios Dispositivos, soportan Radio FM, Tarjeta TF y AUX - 4 Horas de Reproducción Musical - Ideal para Trabajo Cotidiano, Juegos y Estudio</t>
        </is>
      </c>
      <c r="H2520" s="16" t="inlineStr">
        <is>
          <t>ROJO</t>
        </is>
      </c>
      <c r="I2520" s="16" t="n">
        <v>1</v>
      </c>
      <c r="J2520" s="17" t="n">
        <v>36.8</v>
      </c>
      <c r="K2520" s="17" t="n">
        <v>49.91</v>
      </c>
      <c r="L2520" s="17" t="n">
        <v>25.86</v>
      </c>
      <c r="M2520" s="17" t="n">
        <v>0</v>
      </c>
      <c r="N2520" s="17">
        <f>K2520*0.08+L2520*0.08</f>
        <v/>
      </c>
      <c r="O2520" s="17">
        <f>-(K2520*0.025+L2520*0.025)</f>
        <v/>
      </c>
      <c r="P2520" s="17">
        <f>32</f>
        <v/>
      </c>
      <c r="Q2520" s="17">
        <f>J2520+L2520+N2520+O2520-P2520-M2520</f>
        <v/>
      </c>
    </row>
    <row r="2521">
      <c r="A2521" s="16" t="inlineStr">
        <is>
          <t>5.22-5.28</t>
        </is>
      </c>
      <c r="B2521" s="16" t="inlineStr">
        <is>
          <t>PO-128-06620654316151976</t>
        </is>
      </c>
      <c r="C2521" s="16" t="inlineStr">
        <is>
          <t>Shipped</t>
        </is>
      </c>
      <c r="D2521" s="16" t="inlineStr">
        <is>
          <t>128-06620659559031976</t>
        </is>
      </c>
      <c r="E2521" s="16" t="inlineStr">
        <is>
          <t>Shipped</t>
        </is>
      </c>
      <c r="F2521" s="16" t="inlineStr">
        <is>
          <t>MB-185R</t>
        </is>
      </c>
      <c r="G2521" s="16" t="inlineStr">
        <is>
          <t>Bocina Radio FM/Reproductor, Compatible con Tarjeta TF, USB, Bluetooth, Aplicable para celular, computadora, Ipad y consola.</t>
        </is>
      </c>
      <c r="H2521" s="16" t="inlineStr">
        <is>
          <t>ROJO/MB-185</t>
        </is>
      </c>
      <c r="I2521" s="16" t="n">
        <v>1</v>
      </c>
      <c r="J2521" s="17" t="n">
        <v>71.31</v>
      </c>
      <c r="K2521" s="17" t="n">
        <v>84.23999999999999</v>
      </c>
      <c r="L2521" s="17" t="n">
        <v>25.86</v>
      </c>
      <c r="M2521" s="17" t="n">
        <v>0</v>
      </c>
      <c r="N2521" s="17">
        <f>K2521*0.08+L2521*0.08</f>
        <v/>
      </c>
      <c r="O2521" s="17">
        <f>-(K2521*0.025+L2521*0.025)</f>
        <v/>
      </c>
      <c r="P2521" s="17">
        <f>32</f>
        <v/>
      </c>
      <c r="Q2521" s="17">
        <f>J2521+L2521+N2521+O2521-P2521-M2521</f>
        <v/>
      </c>
    </row>
    <row r="2522">
      <c r="A2522" s="16" t="inlineStr">
        <is>
          <t>5.22-5.28</t>
        </is>
      </c>
      <c r="B2522" s="16" t="inlineStr">
        <is>
          <t>PO-128-06195189151353488</t>
        </is>
      </c>
      <c r="C2522" s="16" t="inlineStr">
        <is>
          <t>Shipped</t>
        </is>
      </c>
      <c r="D2522" s="16" t="inlineStr">
        <is>
          <t>128-06195178665593488</t>
        </is>
      </c>
      <c r="E2522" s="16" t="inlineStr">
        <is>
          <t>Shipped</t>
        </is>
      </c>
      <c r="F2522" s="16" t="inlineStr">
        <is>
          <t>MCM-001A</t>
        </is>
      </c>
      <c r="G2522" s="16" t="inlineStr">
        <is>
          <t>Musicord Altavoz Inalámbrico BT Portátil: ¡Sonido impactante, luces LED multicolores y 4 horas de autonomía! Compatible con TWS, FM, TF y USB – Imprescindible para fiestas y viajes</t>
        </is>
      </c>
      <c r="H2522" s="16" t="inlineStr">
        <is>
          <t>AZUL</t>
        </is>
      </c>
      <c r="I2522" s="16" t="n">
        <v>1</v>
      </c>
      <c r="J2522" s="17" t="n">
        <v>51.07</v>
      </c>
      <c r="K2522" s="17" t="n">
        <v>59.47</v>
      </c>
      <c r="L2522" s="17" t="n">
        <v>25.86</v>
      </c>
      <c r="M2522" s="17" t="n">
        <v>0</v>
      </c>
      <c r="N2522" s="17">
        <f>K2522*0.08+L2522*0.08</f>
        <v/>
      </c>
      <c r="O2522" s="17">
        <f>-(K2522*0.025+L2522*0.025)</f>
        <v/>
      </c>
      <c r="P2522" s="17">
        <f>32</f>
        <v/>
      </c>
      <c r="Q2522" s="17">
        <f>J2522+L2522+N2522+O2522-P2522-M2522</f>
        <v/>
      </c>
    </row>
    <row r="2523">
      <c r="A2523" s="16" t="inlineStr">
        <is>
          <t>5.22-5.28</t>
        </is>
      </c>
      <c r="B2523" s="16" t="inlineStr">
        <is>
          <t>PO-128-06623382513271960</t>
        </is>
      </c>
      <c r="C2523" s="16" t="inlineStr">
        <is>
          <t>Shipped</t>
        </is>
      </c>
      <c r="D2523" s="16" t="inlineStr">
        <is>
          <t>128-06623424456311960</t>
        </is>
      </c>
      <c r="E2523" s="16" t="inlineStr">
        <is>
          <t>Shipped</t>
        </is>
      </c>
      <c r="F2523" s="16" t="inlineStr">
        <is>
          <t>VA384T-R</t>
        </is>
      </c>
      <c r="G2523" s="16" t="inlineStr">
        <is>
          <t>Bocina Portátil Bluetooth de 3 Pulgadas con Radio FM, USB TF TWS, Sonido Estéreo 5W, Bocina Recargable para Hogar Exterior Viaje Fiesta Camping</t>
        </is>
      </c>
      <c r="H2523" s="16" t="inlineStr">
        <is>
          <t>ROJO</t>
        </is>
      </c>
      <c r="I2523" s="16" t="n">
        <v>1</v>
      </c>
      <c r="J2523" s="17" t="n">
        <v>46</v>
      </c>
      <c r="K2523" s="17" t="n">
        <v>56.72</v>
      </c>
      <c r="L2523" s="17" t="n">
        <v>25.86</v>
      </c>
      <c r="M2523" s="17" t="n">
        <v>0</v>
      </c>
      <c r="N2523" s="17">
        <f>K2523*0.08+L2523*0.08</f>
        <v/>
      </c>
      <c r="O2523" s="17">
        <f>-(K2523*0.025+L2523*0.025)</f>
        <v/>
      </c>
      <c r="P2523" s="17">
        <f>32</f>
        <v/>
      </c>
      <c r="Q2523" s="17">
        <f>J2523+L2523+N2523+O2523-P2523-M2523</f>
        <v/>
      </c>
    </row>
    <row r="2524">
      <c r="A2524" s="16" t="inlineStr">
        <is>
          <t>5.22-5.28</t>
        </is>
      </c>
      <c r="B2524" s="16" t="inlineStr">
        <is>
          <t>PO-128-06623201393271963</t>
        </is>
      </c>
      <c r="C2524" s="16" t="inlineStr">
        <is>
          <t>Shipped</t>
        </is>
      </c>
      <c r="D2524" s="16" t="inlineStr">
        <is>
          <t>128-06623190907511963</t>
        </is>
      </c>
      <c r="E2524" s="16" t="inlineStr">
        <is>
          <t>Shipped</t>
        </is>
      </c>
      <c r="F2524" s="16" t="inlineStr">
        <is>
          <t>MCM-001G</t>
        </is>
      </c>
      <c r="G2524" s="16" t="inlineStr">
        <is>
          <t>Musicord Altavoz Inalámbrico BT Portátil: ¡Sonido impactante, luces LED multicolores y 4 horas de autonomía! Compatible con TWS, FM, TF y USB – Imprescindible para fiestas y viajes</t>
        </is>
      </c>
      <c r="H2524" s="16" t="inlineStr">
        <is>
          <t>GRIS</t>
        </is>
      </c>
      <c r="I2524" s="16" t="n">
        <v>2</v>
      </c>
      <c r="J2524" s="17" t="n">
        <v>102</v>
      </c>
      <c r="K2524" s="17" t="n">
        <v>117.58</v>
      </c>
      <c r="L2524" s="17" t="n">
        <v>25.86</v>
      </c>
      <c r="M2524" s="17" t="n">
        <v>0</v>
      </c>
      <c r="N2524" s="17">
        <f>K2524*0.08+L2524*0.08</f>
        <v/>
      </c>
      <c r="O2524" s="17">
        <f>-(K2524*0.025+L2524*0.025)</f>
        <v/>
      </c>
      <c r="P2524" s="17">
        <f>32</f>
        <v/>
      </c>
      <c r="Q2524" s="17">
        <f>J2524+L2524+N2524+O2524-P2524-M2524</f>
        <v/>
      </c>
    </row>
    <row r="2525">
      <c r="A2525" s="16" t="inlineStr">
        <is>
          <t>5.22-5.28</t>
        </is>
      </c>
      <c r="B2525" s="16" t="inlineStr">
        <is>
          <t>PO-128-06387565097592342</t>
        </is>
      </c>
      <c r="C2525" s="16" t="inlineStr">
        <is>
          <t>Shipped</t>
        </is>
      </c>
      <c r="D2525" s="16" t="inlineStr">
        <is>
          <t>128-06387523154552342</t>
        </is>
      </c>
      <c r="E2525" s="16" t="inlineStr">
        <is>
          <t>Shipped</t>
        </is>
      </c>
      <c r="F2525" s="16" t="inlineStr">
        <is>
          <t>MB-178-N</t>
        </is>
      </c>
      <c r="G2525" s="16" t="inlineStr">
        <is>
          <t>Bocina de Barra Bluetooth LINK BITS con dos altavoces, sonido de alta calidad y multifuncional (Bluetooth, Radio FM, USB, TF, AUX, TWS), ideal para juegos, reuniones, oficina y cine en casa.</t>
        </is>
      </c>
      <c r="H2525" s="16" t="inlineStr">
        <is>
          <t>NEGRO</t>
        </is>
      </c>
      <c r="I2525" s="16" t="n">
        <v>1</v>
      </c>
      <c r="J2525" s="17" t="n">
        <v>120</v>
      </c>
      <c r="K2525" s="17" t="n">
        <v>139.34</v>
      </c>
      <c r="L2525" s="17" t="n">
        <v>25.86</v>
      </c>
      <c r="M2525" s="17" t="n">
        <v>0</v>
      </c>
      <c r="N2525" s="17">
        <f>K2525*0.08+L2525*0.08</f>
        <v/>
      </c>
      <c r="O2525" s="17">
        <f>-(K2525*0.025+L2525*0.025)</f>
        <v/>
      </c>
      <c r="P2525" s="17">
        <f>32</f>
        <v/>
      </c>
      <c r="Q2525" s="17">
        <f>J2525+L2525+N2525+O2525-P2525-M2525</f>
        <v/>
      </c>
    </row>
    <row r="2526">
      <c r="A2526" s="16" t="inlineStr">
        <is>
          <t>5.22-5.28</t>
        </is>
      </c>
      <c r="B2526" s="16" t="inlineStr">
        <is>
          <t>PO-128-06214927544953373</t>
        </is>
      </c>
      <c r="C2526" s="16" t="inlineStr">
        <is>
          <t>Shipped</t>
        </is>
      </c>
      <c r="D2526" s="16" t="inlineStr">
        <is>
          <t>128-06214885601913373</t>
        </is>
      </c>
      <c r="E2526" s="16" t="inlineStr">
        <is>
          <t>Shipped</t>
        </is>
      </c>
      <c r="F2526" s="16" t="inlineStr">
        <is>
          <t>VA384T-R</t>
        </is>
      </c>
      <c r="G2526" s="16" t="inlineStr">
        <is>
          <t>Bocina Portátil Bluetooth de 3 Pulgadas con Radio FM, USB TF TWS, Sonido Estéreo 5W, Bocina Recargable para Hogar Exterior Viaje Fiesta Camping</t>
        </is>
      </c>
      <c r="H2526" s="16" t="inlineStr">
        <is>
          <t>ROJO</t>
        </is>
      </c>
      <c r="I2526" s="16" t="n">
        <v>1</v>
      </c>
      <c r="J2526" s="17" t="n">
        <v>46</v>
      </c>
      <c r="K2526" s="17" t="n">
        <v>56.72</v>
      </c>
      <c r="L2526" s="17" t="n">
        <v>25.86</v>
      </c>
      <c r="M2526" s="17" t="n">
        <v>0</v>
      </c>
      <c r="N2526" s="17">
        <f>K2526*0.08+L2526*0.08</f>
        <v/>
      </c>
      <c r="O2526" s="17">
        <f>-(K2526*0.025+L2526*0.025)</f>
        <v/>
      </c>
      <c r="P2526" s="17">
        <f>32</f>
        <v/>
      </c>
      <c r="Q2526" s="17">
        <f>J2526+L2526+N2526+O2526-P2526-M2526</f>
        <v/>
      </c>
    </row>
    <row r="2527">
      <c r="A2527" s="16" t="inlineStr">
        <is>
          <t>5.22-5.28</t>
        </is>
      </c>
      <c r="B2527" s="16" t="inlineStr">
        <is>
          <t>PO-128-06612094812791133</t>
        </is>
      </c>
      <c r="C2527" s="16" t="inlineStr">
        <is>
          <t>Shipped</t>
        </is>
      </c>
      <c r="D2527" s="16" t="inlineStr">
        <is>
          <t>128-06612079084151133</t>
        </is>
      </c>
      <c r="E2527" s="16" t="inlineStr">
        <is>
          <t>Shipped</t>
        </is>
      </c>
      <c r="F2527" s="16" t="inlineStr">
        <is>
          <t>LB02235-azul</t>
        </is>
      </c>
      <c r="G2527" s="16" t="inlineStr">
        <is>
          <t>Audífonos Inalámbricos para la Cabeza, Recargables y Multifuncionales - Conectan a Varios Dispositivos, soportan Radio FM, Tarjeta TF y AUX - 4 Horas de Reproducción Musical - Ideal para Trabajo Cotidiano, Juegos y Estudio</t>
        </is>
      </c>
      <c r="H2527" s="16" t="inlineStr">
        <is>
          <t>AZUL</t>
        </is>
      </c>
      <c r="I2527" s="16" t="n">
        <v>1</v>
      </c>
      <c r="J2527" s="17" t="n">
        <v>36.8</v>
      </c>
      <c r="K2527" s="17" t="n">
        <v>49.91</v>
      </c>
      <c r="L2527" s="17" t="n">
        <v>25.86</v>
      </c>
      <c r="M2527" s="17" t="n">
        <v>0</v>
      </c>
      <c r="N2527" s="17">
        <f>K2527*0.08+L2527*0.08</f>
        <v/>
      </c>
      <c r="O2527" s="17">
        <f>-(K2527*0.025+L2527*0.025)</f>
        <v/>
      </c>
      <c r="P2527" s="17">
        <f>32</f>
        <v/>
      </c>
      <c r="Q2527" s="17">
        <f>J2527+L2527+N2527+O2527-P2527-M2527</f>
        <v/>
      </c>
    </row>
    <row r="2528">
      <c r="A2528" s="16" t="inlineStr">
        <is>
          <t>5.22-5.28</t>
        </is>
      </c>
      <c r="B2528" s="16" t="inlineStr">
        <is>
          <t>PO-128-12128425623672045</t>
        </is>
      </c>
      <c r="C2528" s="16" t="inlineStr">
        <is>
          <t>Shipped</t>
        </is>
      </c>
      <c r="D2528" s="16" t="inlineStr">
        <is>
          <t>128-12128472809592045</t>
        </is>
      </c>
      <c r="E2528" s="16" t="inlineStr">
        <is>
          <t>Shipped</t>
        </is>
      </c>
      <c r="F2528" s="16" t="inlineStr">
        <is>
          <t>SA325T</t>
        </is>
      </c>
      <c r="G2528" s="16" t="inlineStr">
        <is>
          <t>Subwoofer Portátil Inalámbrico con Luces RGB, Sonido de Alta Potencia y Batería Duradera, TWS TF USB, Perfecto para Campamento Fiestas y Entretenimiento en Casa</t>
        </is>
      </c>
      <c r="H2528" s="16" t="inlineStr">
        <is>
          <t>NEGRO</t>
        </is>
      </c>
      <c r="I2528" s="16" t="n">
        <v>1</v>
      </c>
      <c r="J2528" s="17" t="n">
        <v>36</v>
      </c>
      <c r="K2528" s="17" t="n">
        <v>45.04</v>
      </c>
      <c r="L2528" s="17" t="n">
        <v>25.86</v>
      </c>
      <c r="M2528" s="17" t="n">
        <v>0</v>
      </c>
      <c r="N2528" s="17">
        <f>K2528*0.08+L2528*0.08</f>
        <v/>
      </c>
      <c r="O2528" s="17">
        <f>-(K2528*0.025+L2528*0.025)</f>
        <v/>
      </c>
      <c r="P2528" s="17">
        <f>32</f>
        <v/>
      </c>
      <c r="Q2528" s="17">
        <f>J2528+L2528+N2528+O2528-P2528-M2528</f>
        <v/>
      </c>
    </row>
    <row r="2529">
      <c r="A2529" s="16" t="inlineStr">
        <is>
          <t>5.22-5.28</t>
        </is>
      </c>
      <c r="B2529" s="16" t="inlineStr">
        <is>
          <t>PO-128-12121458403191959</t>
        </is>
      </c>
      <c r="C2529" s="16" t="inlineStr">
        <is>
          <t>Shipped</t>
        </is>
      </c>
      <c r="D2529" s="16" t="inlineStr">
        <is>
          <t>128-12121534424951959</t>
        </is>
      </c>
      <c r="E2529" s="16" t="inlineStr">
        <is>
          <t>Shipped</t>
        </is>
      </c>
      <c r="F2529" s="16" t="inlineStr">
        <is>
          <t>LB02235-negro</t>
        </is>
      </c>
      <c r="G2529" s="16" t="inlineStr">
        <is>
          <t>Audífonos Inalámbricos para la Cabeza, Recargables y Multifuncionales - Conectan a Varios Dispositivos, soportan Radio FM, Tarjeta TF y AUX - 4 Horas de Reproducción Musical - Ideal para Trabajo Cotidiano, Juegos y Estudio</t>
        </is>
      </c>
      <c r="H2529" s="16" t="inlineStr">
        <is>
          <t>NEGRO</t>
        </is>
      </c>
      <c r="I2529" s="16" t="n">
        <v>2</v>
      </c>
      <c r="J2529" s="17" t="n">
        <v>73.59999999999999</v>
      </c>
      <c r="K2529" s="17" t="n">
        <v>99.81999999999999</v>
      </c>
      <c r="L2529" s="17" t="n">
        <v>25.86</v>
      </c>
      <c r="M2529" s="17" t="n">
        <v>0</v>
      </c>
      <c r="N2529" s="17">
        <f>K2529*0.08+L2529*0.08</f>
        <v/>
      </c>
      <c r="O2529" s="17">
        <f>-(K2529*0.025+L2529*0.025)</f>
        <v/>
      </c>
      <c r="P2529" s="17">
        <f>32</f>
        <v/>
      </c>
      <c r="Q2529" s="17">
        <f>J2529+L2529+N2529+O2529-P2529-M2529</f>
        <v/>
      </c>
    </row>
    <row r="2530">
      <c r="A2530" s="16" t="inlineStr">
        <is>
          <t>5.22-5.28</t>
        </is>
      </c>
      <c r="B2530" s="16" t="inlineStr">
        <is>
          <t>PO-128-12211416332150463</t>
        </is>
      </c>
      <c r="C2530" s="16" t="inlineStr">
        <is>
          <t>Shipped</t>
        </is>
      </c>
      <c r="D2530" s="16" t="inlineStr">
        <is>
          <t>128-12211437303670463</t>
        </is>
      </c>
      <c r="E2530" s="16" t="inlineStr">
        <is>
          <t>Shipped</t>
        </is>
      </c>
      <c r="F2530" s="16" t="inlineStr">
        <is>
          <t>LB02235-rojo</t>
        </is>
      </c>
      <c r="G2530" s="16" t="inlineStr">
        <is>
          <t>Audífonos Inalámbricos para la Cabeza, Recargables y Multifuncionales - Conectan a Varios Dispositivos, soportan Radio FM, Tarjeta TF y AUX - 4 Horas de Reproducción Musical - Ideal para Trabajo Cotidiano, Juegos y Estudio</t>
        </is>
      </c>
      <c r="H2530" s="16" t="inlineStr">
        <is>
          <t>ROJO</t>
        </is>
      </c>
      <c r="I2530" s="16" t="n">
        <v>2</v>
      </c>
      <c r="J2530" s="17" t="n">
        <v>73.59999999999999</v>
      </c>
      <c r="K2530" s="17" t="n">
        <v>99.81999999999999</v>
      </c>
      <c r="L2530" s="17" t="n">
        <v>25.86</v>
      </c>
      <c r="M2530" s="17" t="n">
        <v>0</v>
      </c>
      <c r="N2530" s="17">
        <f>K2530*0.08+L2530*0.08</f>
        <v/>
      </c>
      <c r="O2530" s="17">
        <f>-(K2530*0.025+L2530*0.025)</f>
        <v/>
      </c>
      <c r="P2530" s="17">
        <f>32</f>
        <v/>
      </c>
      <c r="Q2530" s="17">
        <f>J2530+L2530+N2530+O2530-P2530-M2530</f>
        <v/>
      </c>
    </row>
    <row r="2531">
      <c r="A2531" s="16" t="inlineStr">
        <is>
          <t>5.22-5.28</t>
        </is>
      </c>
      <c r="B2531" s="16" t="inlineStr">
        <is>
          <t>PO-128-11887042547832394</t>
        </is>
      </c>
      <c r="C2531" s="16" t="inlineStr">
        <is>
          <t>Shipped</t>
        </is>
      </c>
      <c r="D2531" s="16" t="inlineStr">
        <is>
          <t>128-11887068762232394</t>
        </is>
      </c>
      <c r="E2531" s="16" t="inlineStr">
        <is>
          <t>Shipped</t>
        </is>
      </c>
      <c r="F2531" s="16" t="inlineStr">
        <is>
          <t>MCM-001N</t>
        </is>
      </c>
      <c r="G2531" s="16" t="inlineStr">
        <is>
          <t>Musicord Altavoz Inalámbrico BT Portátil: ¡Sonido impactante, luces LED multicolores y 4 horas de autonomía! Compatible con TWS, FM, TF y USB – Imprescindible para fiestas y viajes</t>
        </is>
      </c>
      <c r="H2531" s="16" t="inlineStr">
        <is>
          <t>NEGRO</t>
        </is>
      </c>
      <c r="I2531" s="16" t="n">
        <v>1</v>
      </c>
      <c r="J2531" s="17" t="n">
        <v>60.5</v>
      </c>
      <c r="K2531" s="17" t="n">
        <v>68.29000000000001</v>
      </c>
      <c r="L2531" s="17" t="n">
        <v>25.86</v>
      </c>
      <c r="M2531" s="17" t="n">
        <v>0</v>
      </c>
      <c r="N2531" s="17">
        <f>K2531*0.08+L2531*0.08</f>
        <v/>
      </c>
      <c r="O2531" s="17">
        <f>-(K2531*0.025+L2531*0.025)</f>
        <v/>
      </c>
      <c r="P2531" s="17">
        <f>32</f>
        <v/>
      </c>
      <c r="Q2531" s="17">
        <f>J2531+L2531+N2531+O2531-P2531-M2531</f>
        <v/>
      </c>
    </row>
    <row r="2532">
      <c r="A2532" s="16" t="inlineStr">
        <is>
          <t>5.22-5.28</t>
        </is>
      </c>
      <c r="B2532" s="16" t="inlineStr">
        <is>
          <t>PO-128-11847288722553657</t>
        </is>
      </c>
      <c r="C2532" s="16" t="inlineStr">
        <is>
          <t>Shipped</t>
        </is>
      </c>
      <c r="D2532" s="16" t="inlineStr">
        <is>
          <t>128-11847299208313657</t>
        </is>
      </c>
      <c r="E2532" s="16" t="inlineStr">
        <is>
          <t>Shipped</t>
        </is>
      </c>
      <c r="F2532" s="16" t="inlineStr">
        <is>
          <t>MCM-001G</t>
        </is>
      </c>
      <c r="G2532" s="16" t="inlineStr">
        <is>
          <t>Musicord Altavoz Inalámbrico BT Portátil: ¡Sonido impactante, luces LED multicolores y 4 horas de autonomía! Compatible con TWS, FM, TF y USB – Imprescindible para fiestas y viajes</t>
        </is>
      </c>
      <c r="H2532" s="16" t="inlineStr">
        <is>
          <t>GRIS</t>
        </is>
      </c>
      <c r="I2532" s="16" t="n">
        <v>1</v>
      </c>
      <c r="J2532" s="17" t="n">
        <v>51</v>
      </c>
      <c r="K2532" s="17" t="n">
        <v>58.79</v>
      </c>
      <c r="L2532" s="17" t="n">
        <v>25.86</v>
      </c>
      <c r="M2532" s="17" t="n">
        <v>0</v>
      </c>
      <c r="N2532" s="17">
        <f>K2532*0.08+L2532*0.08</f>
        <v/>
      </c>
      <c r="O2532" s="17">
        <f>-(K2532*0.025+L2532*0.025)</f>
        <v/>
      </c>
      <c r="P2532" s="17">
        <f>32</f>
        <v/>
      </c>
      <c r="Q2532" s="17">
        <f>J2532+L2532+N2532+O2532-P2532-M2532</f>
        <v/>
      </c>
    </row>
    <row r="2533">
      <c r="A2533" s="16" t="inlineStr">
        <is>
          <t>5.22-5.28</t>
        </is>
      </c>
      <c r="B2533" s="16" t="inlineStr">
        <is>
          <t>PO-128-12025211410552661</t>
        </is>
      </c>
      <c r="C2533" s="16" t="inlineStr">
        <is>
          <t>Shipped</t>
        </is>
      </c>
      <c r="D2533" s="16" t="inlineStr">
        <is>
          <t>128-12025169467512661</t>
        </is>
      </c>
      <c r="E2533" s="16" t="inlineStr">
        <is>
          <t>Shipped</t>
        </is>
      </c>
      <c r="F2533" s="16" t="inlineStr">
        <is>
          <t>LB02235-blanco</t>
        </is>
      </c>
      <c r="G2533" s="16" t="inlineStr">
        <is>
          <t>Audífonos Inalámbricos para la Cabeza, Recargables y Multifuncionales - Conectan a Varios Dispositivos, soportan Radio FM, Tarjeta TF y AUX - 4 Horas de Reproducción Musical - Ideal para Trabajo Cotidiano, Juegos y Estudio</t>
        </is>
      </c>
      <c r="H2533" s="16" t="inlineStr">
        <is>
          <t>BLANCO</t>
        </is>
      </c>
      <c r="I2533" s="16" t="n">
        <v>1</v>
      </c>
      <c r="J2533" s="17" t="n">
        <v>36.8</v>
      </c>
      <c r="K2533" s="17" t="n">
        <v>49.91</v>
      </c>
      <c r="L2533" s="17" t="n">
        <v>25.86</v>
      </c>
      <c r="M2533" s="17" t="n">
        <v>0</v>
      </c>
      <c r="N2533" s="17">
        <f>K2533*0.08+L2533*0.08</f>
        <v/>
      </c>
      <c r="O2533" s="17">
        <f>-(K2533*0.025+L2533*0.025)</f>
        <v/>
      </c>
      <c r="P2533" s="17">
        <f>32</f>
        <v/>
      </c>
      <c r="Q2533" s="17">
        <f>J2533+L2533+N2533+O2533-P2533-M2533</f>
        <v/>
      </c>
    </row>
    <row r="2534">
      <c r="A2534" s="16" t="inlineStr">
        <is>
          <t>5.22-5.28</t>
        </is>
      </c>
      <c r="B2534" s="16" t="inlineStr">
        <is>
          <t>PO-128-12267688702070063</t>
        </is>
      </c>
      <c r="C2534" s="16" t="inlineStr">
        <is>
          <t>Shipped</t>
        </is>
      </c>
      <c r="D2534" s="16" t="inlineStr">
        <is>
          <t>128-12267720159350063</t>
        </is>
      </c>
      <c r="E2534" s="16" t="inlineStr">
        <is>
          <t>Shipped</t>
        </is>
      </c>
      <c r="F2534" s="16" t="inlineStr">
        <is>
          <t>MB-185N</t>
        </is>
      </c>
      <c r="G2534" s="16" t="inlineStr">
        <is>
          <t>Bocina Radio FM/Reproductor, Compatible con Tarjeta TF, USB, Bluetooth, Aplicable para celular, computadora, Ipad y consola.</t>
        </is>
      </c>
      <c r="H2534" s="16" t="inlineStr">
        <is>
          <t>NEGRO/MB-185</t>
        </is>
      </c>
      <c r="I2534" s="16" t="n">
        <v>1</v>
      </c>
      <c r="J2534" s="17" t="n">
        <v>71.31</v>
      </c>
      <c r="K2534" s="17" t="n">
        <v>75.81999999999999</v>
      </c>
      <c r="L2534" s="17" t="n">
        <v>25.86</v>
      </c>
      <c r="M2534" s="17" t="n">
        <v>0</v>
      </c>
      <c r="N2534" s="17">
        <f>K2534*0.08+L2534*0.08</f>
        <v/>
      </c>
      <c r="O2534" s="17">
        <f>-(K2534*0.025+L2534*0.025)</f>
        <v/>
      </c>
      <c r="P2534" s="17">
        <f>32</f>
        <v/>
      </c>
      <c r="Q2534" s="17">
        <f>J2534+L2534+N2534+O2534-P2534-M2534</f>
        <v/>
      </c>
    </row>
    <row r="2535">
      <c r="A2535" s="16" t="inlineStr">
        <is>
          <t>5.22-5.28</t>
        </is>
      </c>
      <c r="B2535" s="16" t="inlineStr">
        <is>
          <t>PO-128-12104096719991100</t>
        </is>
      </c>
      <c r="C2535" s="16" t="inlineStr">
        <is>
          <t>Shipped</t>
        </is>
      </c>
      <c r="D2535" s="16" t="inlineStr">
        <is>
          <t>128-12104248763511100</t>
        </is>
      </c>
      <c r="E2535" s="16" t="inlineStr">
        <is>
          <t>Shipped</t>
        </is>
      </c>
      <c r="F2535" s="16" t="inlineStr">
        <is>
          <t>LV64W25</t>
        </is>
      </c>
      <c r="G2535" s="16" t="inlineStr">
        <is>
          <t>Ventilador de Techo LED TIANLAI con 5 Aspas, Control Remoto, 3 Colores Luz, 3 Velocidades, Temporizador, Fácil Instalación, E27 para Baño Cocina Dormitorio Salón</t>
        </is>
      </c>
      <c r="H2535" s="16" t="inlineStr">
        <is>
          <t>LV64W25</t>
        </is>
      </c>
      <c r="I2535" s="16" t="n">
        <v>4</v>
      </c>
      <c r="J2535" s="17" t="n">
        <v>396</v>
      </c>
      <c r="K2535" s="17" t="n">
        <v>451.2</v>
      </c>
      <c r="L2535" s="17" t="n">
        <v>0</v>
      </c>
      <c r="M2535" s="17" t="n">
        <v>0</v>
      </c>
      <c r="N2535" s="17">
        <f>K2535*0.08+L2535*0.08</f>
        <v/>
      </c>
      <c r="O2535" s="17">
        <f>-(K2535*0.025+L2535*0.025)</f>
        <v/>
      </c>
      <c r="P2535" s="17">
        <f>32</f>
        <v/>
      </c>
      <c r="Q2535" s="17">
        <f>J2535+L2535+N2535+O2535-P2535-M2535</f>
        <v/>
      </c>
    </row>
    <row r="2536">
      <c r="A2536" s="16" t="inlineStr">
        <is>
          <t>5.22-5.28</t>
        </is>
      </c>
      <c r="B2536" s="16" t="inlineStr">
        <is>
          <t>PO-128-12094173632631032</t>
        </is>
      </c>
      <c r="C2536" s="16" t="inlineStr">
        <is>
          <t>Shipped</t>
        </is>
      </c>
      <c r="D2536" s="16" t="inlineStr">
        <is>
          <t>128-12094152661111032</t>
        </is>
      </c>
      <c r="E2536" s="16" t="inlineStr">
        <is>
          <t>Shipped</t>
        </is>
      </c>
      <c r="F2536" s="16" t="inlineStr">
        <is>
          <t>LV64W25</t>
        </is>
      </c>
      <c r="G2536" s="16" t="inlineStr">
        <is>
          <t>Ventilador de Techo LED TIANLAI con 5 Aspas, Control Remoto, 3 Colores Luz, 3 Velocidades, Temporizador, Fácil Instalación, E27 para Baño Cocina Dormitorio Salón</t>
        </is>
      </c>
      <c r="H2536" s="16" t="inlineStr">
        <is>
          <t>LV64W25</t>
        </is>
      </c>
      <c r="I2536" s="16" t="n">
        <v>1</v>
      </c>
      <c r="J2536" s="17" t="n">
        <v>99</v>
      </c>
      <c r="K2536" s="17" t="n">
        <v>132.2</v>
      </c>
      <c r="L2536" s="17" t="n">
        <v>25.86</v>
      </c>
      <c r="M2536" s="17" t="n">
        <v>0</v>
      </c>
      <c r="N2536" s="17">
        <f>K2536*0.08+L2536*0.08</f>
        <v/>
      </c>
      <c r="O2536" s="17">
        <f>-(K2536*0.025+L2536*0.025)</f>
        <v/>
      </c>
      <c r="P2536" s="17">
        <f>32</f>
        <v/>
      </c>
      <c r="Q2536" s="17">
        <f>J2536+L2536+N2536+O2536-P2536-M2536</f>
        <v/>
      </c>
    </row>
    <row r="2537">
      <c r="A2537" s="16" t="inlineStr">
        <is>
          <t>5.22-5.28</t>
        </is>
      </c>
      <c r="B2537" s="16" t="inlineStr">
        <is>
          <t>PO-128-11845488105593666</t>
        </is>
      </c>
      <c r="C2537" s="16" t="inlineStr">
        <is>
          <t>Shipped</t>
        </is>
      </c>
      <c r="D2537" s="16" t="inlineStr">
        <is>
          <t>128-11845435676793666</t>
        </is>
      </c>
      <c r="E2537" s="16" t="inlineStr">
        <is>
          <t>Shipped</t>
        </is>
      </c>
      <c r="F2537" s="16" t="inlineStr">
        <is>
          <t>SA323T</t>
        </is>
      </c>
      <c r="G2537" s="16" t="inlineStr">
        <is>
          <t>Linkbits Bocina Portátil Parlantes BT Portátiles con Iluminación de Ambiente | 1 Hora de Duración, FM, TWS, TF/Micro SD | Ideal para Hogar, Fiestas y Viajes</t>
        </is>
      </c>
      <c r="H2537" s="16" t="inlineStr">
        <is>
          <t>SA323T</t>
        </is>
      </c>
      <c r="I2537" s="16" t="n">
        <v>1</v>
      </c>
      <c r="J2537" s="17" t="n">
        <v>44</v>
      </c>
      <c r="K2537" s="17" t="n">
        <v>45.85</v>
      </c>
      <c r="L2537" s="17" t="n">
        <v>25.86</v>
      </c>
      <c r="M2537" s="17" t="n">
        <v>0</v>
      </c>
      <c r="N2537" s="17">
        <f>K2537*0.08+L2537*0.08</f>
        <v/>
      </c>
      <c r="O2537" s="17">
        <f>-(K2537*0.025+L2537*0.025)</f>
        <v/>
      </c>
      <c r="P2537" s="17">
        <f>32</f>
        <v/>
      </c>
      <c r="Q2537" s="17">
        <f>J2537+L2537+N2537+O2537-P2537-M2537</f>
        <v/>
      </c>
    </row>
    <row r="2538">
      <c r="A2538" s="16" t="inlineStr">
        <is>
          <t>5.22-5.28</t>
        </is>
      </c>
      <c r="B2538" s="16" t="inlineStr">
        <is>
          <t>PO-128-12061636575351354</t>
        </is>
      </c>
      <c r="C2538" s="16" t="inlineStr">
        <is>
          <t>Shipped</t>
        </is>
      </c>
      <c r="D2538" s="16" t="inlineStr">
        <is>
          <t>128-12061615603831354</t>
        </is>
      </c>
      <c r="E2538" s="16" t="inlineStr">
        <is>
          <t>Shipped</t>
        </is>
      </c>
      <c r="F2538" s="16" t="inlineStr">
        <is>
          <t>LB02235-rojo</t>
        </is>
      </c>
      <c r="G2538" s="16" t="inlineStr">
        <is>
          <t>Audífonos Inalámbricos para la Cabeza, Recargables y Multifuncionales - Conectan a Varios Dispositivos, soportan Radio FM, Tarjeta TF y AUX - 4 Horas de Reproducción Musical - Ideal para Trabajo Cotidiano, Juegos y Estudio</t>
        </is>
      </c>
      <c r="H2538" s="16" t="inlineStr">
        <is>
          <t>ROJO</t>
        </is>
      </c>
      <c r="I2538" s="16" t="n">
        <v>1</v>
      </c>
      <c r="J2538" s="17" t="n">
        <v>36.8</v>
      </c>
      <c r="K2538" s="17" t="n">
        <v>42.42</v>
      </c>
      <c r="L2538" s="17" t="n">
        <v>25.86</v>
      </c>
      <c r="M2538" s="17" t="n">
        <v>0</v>
      </c>
      <c r="N2538" s="17">
        <f>K2538*0.08+L2538*0.08</f>
        <v/>
      </c>
      <c r="O2538" s="17">
        <f>-(K2538*0.025+L2538*0.025)</f>
        <v/>
      </c>
      <c r="P2538" s="17">
        <f>32</f>
        <v/>
      </c>
      <c r="Q2538" s="17">
        <f>J2538+L2538+N2538+O2538-P2538-M2538</f>
        <v/>
      </c>
    </row>
    <row r="2539">
      <c r="A2539" s="16" t="inlineStr">
        <is>
          <t>5.22-5.28</t>
        </is>
      </c>
      <c r="B2539" s="16" t="inlineStr">
        <is>
          <t>PO-128-12190486275191610</t>
        </is>
      </c>
      <c r="C2539" s="16" t="inlineStr">
        <is>
          <t>Shipped</t>
        </is>
      </c>
      <c r="D2539" s="16" t="inlineStr">
        <is>
          <t>128-12190444332151610</t>
        </is>
      </c>
      <c r="E2539" s="16" t="inlineStr">
        <is>
          <t>Shipped</t>
        </is>
      </c>
      <c r="F2539" s="16" t="inlineStr">
        <is>
          <t>MCM-001A</t>
        </is>
      </c>
      <c r="G2539" s="16" t="inlineStr">
        <is>
          <t>Musicord Altavoz Inalámbrico BT Portátil: ¡Sonido impactante, luces LED multicolores y 4 horas de autonomía! Compatible con TWS, FM, TF y USB – Imprescindible para fiestas y viajes</t>
        </is>
      </c>
      <c r="H2539" s="16" t="inlineStr">
        <is>
          <t>AZUL</t>
        </is>
      </c>
      <c r="I2539" s="16" t="n">
        <v>1</v>
      </c>
      <c r="J2539" s="17" t="n">
        <v>51.07</v>
      </c>
      <c r="K2539" s="17" t="n">
        <v>16.37</v>
      </c>
      <c r="L2539" s="17" t="n">
        <v>25.86</v>
      </c>
      <c r="M2539" s="17" t="n">
        <v>0</v>
      </c>
      <c r="N2539" s="17">
        <f>K2539*0.08+L2539*0.08</f>
        <v/>
      </c>
      <c r="O2539" s="17">
        <f>-(K2539*0.025+L2539*0.025)</f>
        <v/>
      </c>
      <c r="P2539" s="17">
        <f>32</f>
        <v/>
      </c>
      <c r="Q2539" s="17">
        <f>J2539+L2539+N2539+O2539-P2539-M2539</f>
        <v/>
      </c>
    </row>
    <row r="2540">
      <c r="A2540" s="16" t="inlineStr">
        <is>
          <t>5.22-5.28</t>
        </is>
      </c>
      <c r="B2540" s="16" t="inlineStr">
        <is>
          <t>PO-128-11947440837752994</t>
        </is>
      </c>
      <c r="C2540" s="16" t="inlineStr">
        <is>
          <t>Shipped</t>
        </is>
      </c>
      <c r="D2540" s="16" t="inlineStr">
        <is>
          <t>128-11947482780792994</t>
        </is>
      </c>
      <c r="E2540" s="16" t="inlineStr">
        <is>
          <t>Shipped</t>
        </is>
      </c>
      <c r="F2540" s="16" t="inlineStr">
        <is>
          <t>LB02235-rojo</t>
        </is>
      </c>
      <c r="G2540" s="16" t="inlineStr">
        <is>
          <t>Audífonos Inalámbricos para la Cabeza, Recargables y Multifuncionales - Conectan a Varios Dispositivos, soportan Radio FM, Tarjeta TF y AUX - 4 Horas de Reproducción Musical - Ideal para Trabajo Cotidiano, Juegos y Estudio</t>
        </is>
      </c>
      <c r="H2540" s="16" t="inlineStr">
        <is>
          <t>ROJO</t>
        </is>
      </c>
      <c r="I2540" s="16" t="n">
        <v>1</v>
      </c>
      <c r="J2540" s="17" t="n">
        <v>36.8</v>
      </c>
      <c r="K2540" s="17" t="n">
        <v>6.81</v>
      </c>
      <c r="L2540" s="17" t="n">
        <v>25.86</v>
      </c>
      <c r="M2540" s="17" t="n">
        <v>0</v>
      </c>
      <c r="N2540" s="17">
        <f>K2540*0.08+L2540*0.08</f>
        <v/>
      </c>
      <c r="O2540" s="17">
        <f>-(K2540*0.025+L2540*0.025)</f>
        <v/>
      </c>
      <c r="P2540" s="17">
        <f>32</f>
        <v/>
      </c>
      <c r="Q2540" s="17">
        <f>J2540+L2540+N2540+O2540-P2540-M2540</f>
        <v/>
      </c>
    </row>
    <row r="2541">
      <c r="A2541" s="16" t="inlineStr">
        <is>
          <t>5.22-5.28</t>
        </is>
      </c>
      <c r="B2541" s="16" t="inlineStr">
        <is>
          <t>PO-128-12175245535351764</t>
        </is>
      </c>
      <c r="C2541" s="16" t="inlineStr">
        <is>
          <t>Shipped</t>
        </is>
      </c>
      <c r="D2541" s="16" t="inlineStr">
        <is>
          <t>128-12175381850231764</t>
        </is>
      </c>
      <c r="E2541" s="16" t="inlineStr">
        <is>
          <t>Shipped</t>
        </is>
      </c>
      <c r="F2541" s="16" t="inlineStr">
        <is>
          <t>VB347T</t>
        </is>
      </c>
      <c r="G254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541" s="16" t="inlineStr">
        <is>
          <t>1 pieza</t>
        </is>
      </c>
      <c r="I2541" s="16" t="n">
        <v>1</v>
      </c>
      <c r="J2541" s="17" t="n">
        <v>77.90000000000001</v>
      </c>
      <c r="K2541" s="17" t="n">
        <v>92.5</v>
      </c>
      <c r="L2541" s="17" t="n">
        <v>25.86</v>
      </c>
      <c r="M2541" s="17" t="n">
        <v>0</v>
      </c>
      <c r="N2541" s="17">
        <f>K2541*0.08+L2541*0.08</f>
        <v/>
      </c>
      <c r="O2541" s="17">
        <f>-(K2541*0.025+L2541*0.025)</f>
        <v/>
      </c>
      <c r="P2541" s="17">
        <f>32</f>
        <v/>
      </c>
      <c r="Q2541" s="17">
        <f>J2541+L2541+N2541+O2541-P2541-M2541</f>
        <v/>
      </c>
    </row>
    <row r="2542">
      <c r="A2542" s="16" t="inlineStr">
        <is>
          <t>5.22-5.28</t>
        </is>
      </c>
      <c r="B2542" s="16" t="inlineStr">
        <is>
          <t>PO-128-11941482222712966</t>
        </is>
      </c>
      <c r="C2542" s="16" t="inlineStr">
        <is>
          <t>Shipped</t>
        </is>
      </c>
      <c r="D2542" s="16" t="inlineStr">
        <is>
          <t>128-11941440279672966</t>
        </is>
      </c>
      <c r="E2542" s="16" t="inlineStr">
        <is>
          <t>Shipped</t>
        </is>
      </c>
      <c r="F2542" s="16" t="inlineStr">
        <is>
          <t>LB02235-negro</t>
        </is>
      </c>
      <c r="G2542" s="16" t="inlineStr">
        <is>
          <t>Audífonos Inalámbricos para la Cabeza, Recargables y Multifuncionales - Conectan a Varios Dispositivos, soportan Radio FM, Tarjeta TF y AUX - 4 Horas de Reproducción Musical - Ideal para Trabajo Cotidiano, Juegos y Estudio</t>
        </is>
      </c>
      <c r="H2542" s="16" t="inlineStr">
        <is>
          <t>NEGRO</t>
        </is>
      </c>
      <c r="I2542" s="16" t="n">
        <v>1</v>
      </c>
      <c r="J2542" s="17" t="n">
        <v>36.8</v>
      </c>
      <c r="K2542" s="17" t="n">
        <v>49.91</v>
      </c>
      <c r="L2542" s="17" t="n">
        <v>25.86</v>
      </c>
      <c r="M2542" s="17" t="n">
        <v>0</v>
      </c>
      <c r="N2542" s="17">
        <f>K2542*0.08+L2542*0.08</f>
        <v/>
      </c>
      <c r="O2542" s="17">
        <f>-(K2542*0.025+L2542*0.025)</f>
        <v/>
      </c>
      <c r="P2542" s="17">
        <f>32</f>
        <v/>
      </c>
      <c r="Q2542" s="17">
        <f>J2542+L2542+N2542+O2542-P2542-M2542</f>
        <v/>
      </c>
    </row>
    <row r="2543">
      <c r="A2543" s="16" t="inlineStr">
        <is>
          <t>5.22-5.28</t>
        </is>
      </c>
      <c r="B2543" s="16" t="inlineStr">
        <is>
          <t>PO-128-12087672717431262</t>
        </is>
      </c>
      <c r="C2543" s="16" t="inlineStr">
        <is>
          <t>Shipped</t>
        </is>
      </c>
      <c r="D2543" s="16" t="inlineStr">
        <is>
          <t>128-12087777575031262</t>
        </is>
      </c>
      <c r="E2543" s="16" t="inlineStr">
        <is>
          <t>Shipped</t>
        </is>
      </c>
      <c r="F2543" s="16" t="inlineStr">
        <is>
          <t>LB02235-negro</t>
        </is>
      </c>
      <c r="G2543" s="16" t="inlineStr">
        <is>
          <t>Audífonos Inalámbricos para la Cabeza, Recargables y Multifuncionales - Conectan a Varios Dispositivos, soportan Radio FM, Tarjeta TF y AUX - 4 Horas de Reproducción Musical - Ideal para Trabajo Cotidiano, Juegos y Estudio</t>
        </is>
      </c>
      <c r="H2543" s="16" t="inlineStr">
        <is>
          <t>NEGRO</t>
        </is>
      </c>
      <c r="I2543" s="16" t="n">
        <v>1</v>
      </c>
      <c r="J2543" s="17" t="n">
        <v>36.8</v>
      </c>
      <c r="K2543" s="17" t="n">
        <v>39.93</v>
      </c>
      <c r="L2543" s="17" t="n">
        <v>12.92</v>
      </c>
      <c r="M2543" s="17" t="n">
        <v>0</v>
      </c>
      <c r="N2543" s="17">
        <f>K2543*0.08+L2543*0.08</f>
        <v/>
      </c>
      <c r="O2543" s="17">
        <f>-(K2543*0.025+L2543*0.025)</f>
        <v/>
      </c>
      <c r="P2543" s="17">
        <f>32</f>
        <v/>
      </c>
      <c r="Q2543" s="17">
        <f>J2543+L2543+N2543+O2543-P2543-M2543</f>
        <v/>
      </c>
    </row>
    <row r="2544">
      <c r="A2544" s="16" t="inlineStr">
        <is>
          <t>5.22-5.28</t>
        </is>
      </c>
      <c r="B2544" s="16" t="inlineStr">
        <is>
          <t>PO-128-12087672717431262</t>
        </is>
      </c>
      <c r="C2544" s="16" t="inlineStr">
        <is>
          <t>Shipped</t>
        </is>
      </c>
      <c r="D2544" s="16" t="inlineStr">
        <is>
          <t>128-12087735631991262</t>
        </is>
      </c>
      <c r="E2544" s="16" t="inlineStr">
        <is>
          <t>Shipped</t>
        </is>
      </c>
      <c r="F2544" s="16" t="inlineStr">
        <is>
          <t>LB02235-rojo</t>
        </is>
      </c>
      <c r="G2544" s="16" t="inlineStr">
        <is>
          <t>Audífonos Inalámbricos para la Cabeza, Recargables y Multifuncionales - Conectan a Varios Dispositivos, soportan Radio FM, Tarjeta TF y AUX - 4 Horas de Reproducción Musical - Ideal para Trabajo Cotidiano, Juegos y Estudio</t>
        </is>
      </c>
      <c r="H2544" s="16" t="inlineStr">
        <is>
          <t>ROJO</t>
        </is>
      </c>
      <c r="I2544" s="16" t="n">
        <v>1</v>
      </c>
      <c r="J2544" s="17" t="n">
        <v>36.8</v>
      </c>
      <c r="K2544" s="17" t="n">
        <v>39.94</v>
      </c>
      <c r="L2544" s="17" t="n">
        <v>12.94</v>
      </c>
      <c r="M2544" s="17" t="n">
        <v>0</v>
      </c>
      <c r="N2544" s="17">
        <f>K2544*0.08+L2544*0.08</f>
        <v/>
      </c>
      <c r="O2544" s="17">
        <f>-(K2544*0.025+L2544*0.025)</f>
        <v/>
      </c>
      <c r="P2544" s="17">
        <f>32</f>
        <v/>
      </c>
      <c r="Q2544" s="17">
        <f>J2544+L2544+N2544+O2544-P2544-M2544</f>
        <v/>
      </c>
    </row>
    <row r="2545">
      <c r="A2545" s="16" t="inlineStr">
        <is>
          <t>5.22-5.28</t>
        </is>
      </c>
      <c r="B2545" s="16" t="inlineStr">
        <is>
          <t>PO-128-11747124288633100</t>
        </is>
      </c>
      <c r="C2545" s="16" t="inlineStr">
        <is>
          <t>Shipped</t>
        </is>
      </c>
      <c r="D2545" s="16" t="inlineStr">
        <is>
          <t>128-11747082345593100</t>
        </is>
      </c>
      <c r="E2545" s="16" t="inlineStr">
        <is>
          <t>Shipped</t>
        </is>
      </c>
      <c r="F2545" s="16" t="inlineStr">
        <is>
          <t>KTS-1678A</t>
        </is>
      </c>
      <c r="G2545" s="16" t="inlineStr">
        <is>
          <t>Bocina portátil Inalámbrico, de 3 pulgadas, tamaño de bolsillo, 170 g, con asa, compatible con TF, USB y Micro SD, con radio FM y función TWS (True Wireless Stereo), adecuada para relajarse en casa o viajar al aire libre.</t>
        </is>
      </c>
      <c r="H2545" s="16" t="inlineStr">
        <is>
          <t>KTS-1678A</t>
        </is>
      </c>
      <c r="I2545" s="16" t="n">
        <v>1</v>
      </c>
      <c r="J2545" s="17" t="n">
        <v>40</v>
      </c>
      <c r="K2545" s="17" t="n">
        <v>48.28</v>
      </c>
      <c r="L2545" s="17" t="n">
        <v>25.86</v>
      </c>
      <c r="M2545" s="17" t="n">
        <v>0</v>
      </c>
      <c r="N2545" s="17">
        <f>K2545*0.08+L2545*0.08</f>
        <v/>
      </c>
      <c r="O2545" s="17">
        <f>-(K2545*0.025+L2545*0.025)</f>
        <v/>
      </c>
      <c r="P2545" s="17">
        <f>32</f>
        <v/>
      </c>
      <c r="Q2545" s="17">
        <f>J2545+L2545+N2545+O2545-P2545-M2545</f>
        <v/>
      </c>
    </row>
    <row r="2546">
      <c r="A2546" s="16" t="inlineStr">
        <is>
          <t>5.22-5.28</t>
        </is>
      </c>
      <c r="B2546" s="16" t="inlineStr">
        <is>
          <t>PO-128-12156715203191685</t>
        </is>
      </c>
      <c r="C2546" s="16" t="inlineStr">
        <is>
          <t>Shipped</t>
        </is>
      </c>
      <c r="D2546" s="16" t="inlineStr">
        <is>
          <t>128-12156736174711685</t>
        </is>
      </c>
      <c r="E2546" s="16" t="inlineStr">
        <is>
          <t>Shipped</t>
        </is>
      </c>
      <c r="F2546" s="16" t="inlineStr">
        <is>
          <t>KTS-1678R</t>
        </is>
      </c>
      <c r="G2546" s="16" t="inlineStr">
        <is>
          <t>Bocina portátil Inalámbrico, de 3 pulgadas, tamaño de bolsillo, 170 g, con asa, compatible con TF, USB y Micro SD, con radio FM y función TWS (True Wireless Stereo), adecuada para relajarse en casa o viajar al aire libre.</t>
        </is>
      </c>
      <c r="H2546" s="16" t="inlineStr">
        <is>
          <t>KTS-1678R</t>
        </is>
      </c>
      <c r="I2546" s="16" t="n">
        <v>3</v>
      </c>
      <c r="J2546" s="17" t="n">
        <v>120</v>
      </c>
      <c r="K2546" s="17" t="n">
        <v>144.84</v>
      </c>
      <c r="L2546" s="17" t="n">
        <v>25.86</v>
      </c>
      <c r="M2546" s="17" t="n">
        <v>0</v>
      </c>
      <c r="N2546" s="17">
        <f>K2546*0.08+L2546*0.08</f>
        <v/>
      </c>
      <c r="O2546" s="17">
        <f>-(K2546*0.025+L2546*0.025)</f>
        <v/>
      </c>
      <c r="P2546" s="17">
        <f>32</f>
        <v/>
      </c>
      <c r="Q2546" s="17">
        <f>J2546+L2546+N2546+O2546-P2546-M2546</f>
        <v/>
      </c>
    </row>
    <row r="2547">
      <c r="A2547" s="16" t="inlineStr">
        <is>
          <t>5.22-5.28</t>
        </is>
      </c>
      <c r="B2547" s="16" t="inlineStr">
        <is>
          <t>PO-128-12194337029751653</t>
        </is>
      </c>
      <c r="C2547" s="16" t="inlineStr">
        <is>
          <t>Shipped</t>
        </is>
      </c>
      <c r="D2547" s="16" t="inlineStr">
        <is>
          <t>128-12194316058231653</t>
        </is>
      </c>
      <c r="E2547" s="16" t="inlineStr">
        <is>
          <t>Shipped</t>
        </is>
      </c>
      <c r="F2547" s="16" t="inlineStr">
        <is>
          <t>SA325T</t>
        </is>
      </c>
      <c r="G2547" s="16" t="inlineStr">
        <is>
          <t>Subwoofer Portátil Inalámbrico con Luces RGB, Sonido de Alta Potencia y Batería Duradera, TWS TF USB, Perfecto para Campamento Fiestas y Entretenimiento en Casa</t>
        </is>
      </c>
      <c r="H2547" s="16" t="inlineStr">
        <is>
          <t>NEGRO</t>
        </is>
      </c>
      <c r="I2547" s="16" t="n">
        <v>1</v>
      </c>
      <c r="J2547" s="17" t="n">
        <v>36</v>
      </c>
      <c r="K2547" s="17" t="n">
        <v>36.38</v>
      </c>
      <c r="L2547" s="17" t="n">
        <v>25.86</v>
      </c>
      <c r="M2547" s="17" t="n">
        <v>0</v>
      </c>
      <c r="N2547" s="17">
        <f>K2547*0.08+L2547*0.08</f>
        <v/>
      </c>
      <c r="O2547" s="17">
        <f>-(K2547*0.025+L2547*0.025)</f>
        <v/>
      </c>
      <c r="P2547" s="17">
        <f>32</f>
        <v/>
      </c>
      <c r="Q2547" s="17">
        <f>J2547+L2547+N2547+O2547-P2547-M2547</f>
        <v/>
      </c>
    </row>
    <row r="2548">
      <c r="A2548" s="16" t="inlineStr">
        <is>
          <t>5.22-5.28</t>
        </is>
      </c>
      <c r="B2548" s="16" t="inlineStr">
        <is>
          <t>PO-128-01283742720630125</t>
        </is>
      </c>
      <c r="C2548" s="16" t="inlineStr">
        <is>
          <t>Shipped</t>
        </is>
      </c>
      <c r="D2548" s="16" t="inlineStr">
        <is>
          <t>128-01283763692150125</t>
        </is>
      </c>
      <c r="E2548" s="16" t="inlineStr">
        <is>
          <t>Shipped</t>
        </is>
      </c>
      <c r="F2548" s="16" t="inlineStr">
        <is>
          <t>SA325T</t>
        </is>
      </c>
      <c r="G2548" s="16" t="inlineStr">
        <is>
          <t>Subwoofer Portátil Inalámbrico con Luces RGB, Sonido de Alta Potencia y Batería Duradera, TWS TF USB, Perfecto para Campamento Fiestas y Entretenimiento en Casa</t>
        </is>
      </c>
      <c r="H2548" s="16" t="inlineStr">
        <is>
          <t>NEGRO</t>
        </is>
      </c>
      <c r="I2548" s="16" t="n">
        <v>1</v>
      </c>
      <c r="J2548" s="17" t="n">
        <v>36</v>
      </c>
      <c r="K2548" s="17" t="n">
        <v>45.04</v>
      </c>
      <c r="L2548" s="17" t="n">
        <v>25.86</v>
      </c>
      <c r="M2548" s="17" t="n">
        <v>0</v>
      </c>
      <c r="N2548" s="17">
        <f>K2548*0.08+L2548*0.08</f>
        <v/>
      </c>
      <c r="O2548" s="17">
        <f>-(K2548*0.025+L2548*0.025)</f>
        <v/>
      </c>
      <c r="P2548" s="17">
        <f>32</f>
        <v/>
      </c>
      <c r="Q2548" s="17">
        <f>J2548+L2548+N2548+O2548-P2548-M2548</f>
        <v/>
      </c>
    </row>
    <row r="2549">
      <c r="A2549" s="16" t="inlineStr">
        <is>
          <t>5.22-5.28</t>
        </is>
      </c>
      <c r="B2549" s="16" t="inlineStr">
        <is>
          <t>PO-128-00712644572793337</t>
        </is>
      </c>
      <c r="C2549" s="16" t="inlineStr">
        <is>
          <t>Shipped</t>
        </is>
      </c>
      <c r="D2549" s="16" t="inlineStr">
        <is>
          <t>128-00712665544313337</t>
        </is>
      </c>
      <c r="E2549" s="16" t="inlineStr">
        <is>
          <t>Shipped</t>
        </is>
      </c>
      <c r="F2549" s="16" t="inlineStr">
        <is>
          <t>MB-178-N</t>
        </is>
      </c>
      <c r="G2549" s="16" t="inlineStr">
        <is>
          <t>Bocina de Barra Bluetooth LINK BITS con dos altavoces, sonido de alta calidad y multifuncional (Bluetooth, Radio FM, USB, TF, AUX, TWS), ideal para juegos, reuniones, oficina y cine en casa.</t>
        </is>
      </c>
      <c r="H2549" s="16" t="inlineStr">
        <is>
          <t>NEGRO</t>
        </is>
      </c>
      <c r="I2549" s="16" t="n">
        <v>1</v>
      </c>
      <c r="J2549" s="17" t="n">
        <v>120</v>
      </c>
      <c r="K2549" s="17" t="n">
        <v>139.34</v>
      </c>
      <c r="L2549" s="17" t="n">
        <v>25.86</v>
      </c>
      <c r="M2549" s="17" t="n">
        <v>0</v>
      </c>
      <c r="N2549" s="17">
        <f>K2549*0.08+L2549*0.08</f>
        <v/>
      </c>
      <c r="O2549" s="17">
        <f>-(K2549*0.025+L2549*0.025)</f>
        <v/>
      </c>
      <c r="P2549" s="17">
        <f>32</f>
        <v/>
      </c>
      <c r="Q2549" s="17">
        <f>J2549+L2549+N2549+O2549-P2549-M2549</f>
        <v/>
      </c>
    </row>
    <row r="2550">
      <c r="A2550" s="16" t="inlineStr">
        <is>
          <t>5.22-5.28</t>
        </is>
      </c>
      <c r="B2550" s="16" t="inlineStr">
        <is>
          <t>PO-128-00805704151673932</t>
        </is>
      </c>
      <c r="C2550" s="16" t="inlineStr">
        <is>
          <t>Shipped</t>
        </is>
      </c>
      <c r="D2550" s="16" t="inlineStr">
        <is>
          <t>128-00805662208633932</t>
        </is>
      </c>
      <c r="E2550" s="16" t="inlineStr">
        <is>
          <t>Shipped</t>
        </is>
      </c>
      <c r="F2550" s="16" t="inlineStr">
        <is>
          <t>FA028</t>
        </is>
      </c>
      <c r="G2550" s="16" t="inlineStr">
        <is>
          <t>Extractor de agua para garrafas de agua, compatible con carga USB, extractor de agua automático, práctico, con dos modos de toma de agua: manual y programado, ideal para dormitorios, salones, oficinas, uso al aire libre y otros escenarios.</t>
        </is>
      </c>
      <c r="H2550" s="16" t="inlineStr">
        <is>
          <t>FA028</t>
        </is>
      </c>
      <c r="I2550" s="16" t="n">
        <v>1</v>
      </c>
      <c r="J2550" s="17" t="n">
        <v>27</v>
      </c>
      <c r="K2550" s="17" t="n">
        <v>36.58</v>
      </c>
      <c r="L2550" s="17" t="n">
        <v>25.86</v>
      </c>
      <c r="M2550" s="17" t="n">
        <v>0</v>
      </c>
      <c r="N2550" s="17">
        <f>K2550*0.08+L2550*0.08</f>
        <v/>
      </c>
      <c r="O2550" s="17">
        <f>-(K2550*0.025+L2550*0.025)</f>
        <v/>
      </c>
      <c r="P2550" s="17">
        <f>32</f>
        <v/>
      </c>
      <c r="Q2550" s="17">
        <f>J2550+L2550+N2550+O2550-P2550-M2550</f>
        <v/>
      </c>
    </row>
    <row r="2551">
      <c r="A2551" s="16" t="inlineStr">
        <is>
          <t>5.22-5.28</t>
        </is>
      </c>
      <c r="B2551" s="16" t="inlineStr">
        <is>
          <t>PO-128-00800948495993896</t>
        </is>
      </c>
      <c r="C2551" s="16" t="inlineStr">
        <is>
          <t>Shipped</t>
        </is>
      </c>
      <c r="D2551" s="16" t="inlineStr">
        <is>
          <t>128-00800982574713896</t>
        </is>
      </c>
      <c r="E2551" s="16" t="inlineStr">
        <is>
          <t>Shipped</t>
        </is>
      </c>
      <c r="F2551" s="16" t="inlineStr">
        <is>
          <t>SA8056T</t>
        </is>
      </c>
      <c r="G255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551" s="16" t="inlineStr">
        <is>
          <t>SA8056T</t>
        </is>
      </c>
      <c r="I2551" s="16" t="n">
        <v>1</v>
      </c>
      <c r="J2551" s="17" t="n">
        <v>121</v>
      </c>
      <c r="K2551" s="17" t="n">
        <v>141.38</v>
      </c>
      <c r="L2551" s="17" t="n">
        <v>25.86</v>
      </c>
      <c r="M2551" s="17" t="n">
        <v>0</v>
      </c>
      <c r="N2551" s="17">
        <f>K2551*0.08+L2551*0.08</f>
        <v/>
      </c>
      <c r="O2551" s="17">
        <f>-(K2551*0.025+L2551*0.025)</f>
        <v/>
      </c>
      <c r="P2551" s="17">
        <f>32</f>
        <v/>
      </c>
      <c r="Q2551" s="17">
        <f>J2551+L2551+N2551+O2551-P2551-M2551</f>
        <v/>
      </c>
    </row>
    <row r="2552">
      <c r="A2552" s="16" t="inlineStr">
        <is>
          <t>5.22-5.28</t>
        </is>
      </c>
      <c r="B2552" s="16" t="inlineStr">
        <is>
          <t>PO-128-01020082258552654</t>
        </is>
      </c>
      <c r="C2552" s="16" t="inlineStr">
        <is>
          <t>Shipped</t>
        </is>
      </c>
      <c r="D2552" s="16" t="inlineStr">
        <is>
          <t>128-01020187116152654</t>
        </is>
      </c>
      <c r="E2552" s="16" t="inlineStr">
        <is>
          <t>Shipped</t>
        </is>
      </c>
      <c r="F2552" s="16" t="inlineStr">
        <is>
          <t>MCM-003-N</t>
        </is>
      </c>
      <c r="G2552"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552" s="16" t="inlineStr">
        <is>
          <t>negro</t>
        </is>
      </c>
      <c r="I2552" s="16" t="n">
        <v>1</v>
      </c>
      <c r="J2552" s="17" t="n">
        <v>46</v>
      </c>
      <c r="K2552" s="17" t="n">
        <v>5.76</v>
      </c>
      <c r="L2552" s="17" t="n">
        <v>25.86</v>
      </c>
      <c r="M2552" s="17" t="n">
        <v>0</v>
      </c>
      <c r="N2552" s="17">
        <f>K2552*0.08+L2552*0.08</f>
        <v/>
      </c>
      <c r="O2552" s="17">
        <f>-(K2552*0.025+L2552*0.025)</f>
        <v/>
      </c>
      <c r="P2552" s="17">
        <f>32</f>
        <v/>
      </c>
      <c r="Q2552" s="17">
        <f>J2552+L2552+N2552+O2552-P2552-M2552</f>
        <v/>
      </c>
    </row>
    <row r="2553">
      <c r="A2553" s="16" t="inlineStr">
        <is>
          <t>5.22-5.28</t>
        </is>
      </c>
      <c r="B2553" s="16" t="inlineStr">
        <is>
          <t>PO-128-00883122017912321</t>
        </is>
      </c>
      <c r="C2553" s="16" t="inlineStr">
        <is>
          <t>Shipped</t>
        </is>
      </c>
      <c r="D2553" s="16" t="inlineStr">
        <is>
          <t>128-00883132503672321</t>
        </is>
      </c>
      <c r="E2553" s="16" t="inlineStr">
        <is>
          <t>Shipped</t>
        </is>
      </c>
      <c r="F2553" s="16" t="inlineStr">
        <is>
          <t>LB02235-rojo</t>
        </is>
      </c>
      <c r="G2553" s="16" t="inlineStr">
        <is>
          <t>Audífonos Inalámbricos para la Cabeza, Recargables y Multifuncionales - Conectan a Varios Dispositivos, soportan Radio FM, Tarjeta TF y AUX - 4 Horas de Reproducción Musical - Ideal para Trabajo Cotidiano, Juegos y Estudio</t>
        </is>
      </c>
      <c r="H2553" s="16" t="inlineStr">
        <is>
          <t>ROJO</t>
        </is>
      </c>
      <c r="I2553" s="16" t="n">
        <v>1</v>
      </c>
      <c r="J2553" s="17" t="n">
        <v>36.8</v>
      </c>
      <c r="K2553" s="17" t="n">
        <v>49.91</v>
      </c>
      <c r="L2553" s="17" t="n">
        <v>25.86</v>
      </c>
      <c r="M2553" s="17" t="n">
        <v>0</v>
      </c>
      <c r="N2553" s="17">
        <f>K2553*0.08+L2553*0.08</f>
        <v/>
      </c>
      <c r="O2553" s="17">
        <f>-(K2553*0.025+L2553*0.025)</f>
        <v/>
      </c>
      <c r="P2553" s="17">
        <f>32</f>
        <v/>
      </c>
      <c r="Q2553" s="17">
        <f>J2553+L2553+N2553+O2553-P2553-M2553</f>
        <v/>
      </c>
    </row>
    <row r="2554">
      <c r="A2554" s="16" t="inlineStr">
        <is>
          <t>5.22-5.28</t>
        </is>
      </c>
      <c r="B2554" s="16" t="inlineStr">
        <is>
          <t>PO-128-01068418202231406</t>
        </is>
      </c>
      <c r="C2554" s="16" t="inlineStr">
        <is>
          <t>Shipped</t>
        </is>
      </c>
      <c r="D2554" s="16" t="inlineStr">
        <is>
          <t>128-01068410337911406</t>
        </is>
      </c>
      <c r="E2554" s="16" t="inlineStr">
        <is>
          <t>Shipped</t>
        </is>
      </c>
      <c r="F2554" s="16" t="inlineStr">
        <is>
          <t>SA325T</t>
        </is>
      </c>
      <c r="G2554" s="16" t="inlineStr">
        <is>
          <t>Subwoofer Portátil Inalámbrico con Luces RGB, Sonido de Alta Potencia y Batería Duradera, TWS TF USB, Perfecto para Campamento Fiestas y Entretenimiento en Casa</t>
        </is>
      </c>
      <c r="H2554" s="16" t="inlineStr">
        <is>
          <t>NEGRO</t>
        </is>
      </c>
      <c r="I2554" s="16" t="n">
        <v>1</v>
      </c>
      <c r="J2554" s="17" t="n">
        <v>36</v>
      </c>
      <c r="K2554" s="17" t="n">
        <v>45.04</v>
      </c>
      <c r="L2554" s="17" t="n">
        <v>25.86</v>
      </c>
      <c r="M2554" s="17" t="n">
        <v>0</v>
      </c>
      <c r="N2554" s="17">
        <f>K2554*0.08+L2554*0.08</f>
        <v/>
      </c>
      <c r="O2554" s="17">
        <f>-(K2554*0.025+L2554*0.025)</f>
        <v/>
      </c>
      <c r="P2554" s="17">
        <f>32</f>
        <v/>
      </c>
      <c r="Q2554" s="17">
        <f>J2554+L2554+N2554+O2554-P2554-M2554</f>
        <v/>
      </c>
    </row>
    <row r="2555">
      <c r="A2555" s="16" t="inlineStr">
        <is>
          <t>5.22-5.28</t>
        </is>
      </c>
      <c r="B2555" s="16" t="inlineStr">
        <is>
          <t>PO-128-01261193759350195</t>
        </is>
      </c>
      <c r="C2555" s="16" t="inlineStr">
        <is>
          <t>Shipped</t>
        </is>
      </c>
      <c r="D2555" s="16" t="inlineStr">
        <is>
          <t>128-01261157059190195</t>
        </is>
      </c>
      <c r="E2555" s="16" t="inlineStr">
        <is>
          <t>Shipped</t>
        </is>
      </c>
      <c r="F2555" s="16" t="inlineStr">
        <is>
          <t>HD005</t>
        </is>
      </c>
      <c r="G2555" s="16" t="inlineStr">
        <is>
          <t>Link bits HD005 Antena UHF para Exteriores, Antena de TV Digital HD con 10 Metros de Cable, Recepción 470-862MHz, 9-7dB de Ganancia, Antena para Canales Abiertos y HD, Resistente al Agua y Viento, Fácil Instalación</t>
        </is>
      </c>
      <c r="H2555" s="16" t="inlineStr">
        <is>
          <t>1</t>
        </is>
      </c>
      <c r="I2555" s="16" t="n">
        <v>1</v>
      </c>
      <c r="J2555" s="17" t="n">
        <v>70</v>
      </c>
      <c r="K2555" s="17" t="n">
        <v>94.28</v>
      </c>
      <c r="L2555" s="17" t="n">
        <v>25.86</v>
      </c>
      <c r="M2555" s="17" t="n">
        <v>0</v>
      </c>
      <c r="N2555" s="17">
        <f>K2555*0.08+L2555*0.08</f>
        <v/>
      </c>
      <c r="O2555" s="17">
        <f>-(K2555*0.025+L2555*0.025)</f>
        <v/>
      </c>
      <c r="P2555" s="17">
        <f>32</f>
        <v/>
      </c>
      <c r="Q2555" s="17">
        <f>J2555+L2555+N2555+O2555-P2555-M2555</f>
        <v/>
      </c>
    </row>
    <row r="2556">
      <c r="A2556" s="16" t="inlineStr">
        <is>
          <t>5.22-5.28</t>
        </is>
      </c>
      <c r="B2556" s="16" t="inlineStr">
        <is>
          <t>PO-128-00706313221753567</t>
        </is>
      </c>
      <c r="C2556" s="16" t="inlineStr">
        <is>
          <t>Shipped</t>
        </is>
      </c>
      <c r="D2556" s="16" t="inlineStr">
        <is>
          <t>128-00706292250233567</t>
        </is>
      </c>
      <c r="E2556" s="16" t="inlineStr">
        <is>
          <t>Shipped</t>
        </is>
      </c>
      <c r="F2556" s="16" t="inlineStr">
        <is>
          <t>SA325T</t>
        </is>
      </c>
      <c r="G2556" s="16" t="inlineStr">
        <is>
          <t>Subwoofer Portátil Inalámbrico con Luces RGB, Sonido de Alta Potencia y Batería Duradera, TWS TF USB, Perfecto para Campamento Fiestas y Entretenimiento en Casa</t>
        </is>
      </c>
      <c r="H2556" s="16" t="inlineStr">
        <is>
          <t>NEGRO</t>
        </is>
      </c>
      <c r="I2556" s="16" t="n">
        <v>1</v>
      </c>
      <c r="J2556" s="17" t="n">
        <v>36</v>
      </c>
      <c r="K2556" s="17" t="n">
        <v>45.04</v>
      </c>
      <c r="L2556" s="17" t="n">
        <v>25.86</v>
      </c>
      <c r="M2556" s="17" t="n">
        <v>0</v>
      </c>
      <c r="N2556" s="17">
        <f>K2556*0.08+L2556*0.08</f>
        <v/>
      </c>
      <c r="O2556" s="17">
        <f>-(K2556*0.025+L2556*0.025)</f>
        <v/>
      </c>
      <c r="P2556" s="17">
        <f>32</f>
        <v/>
      </c>
      <c r="Q2556" s="17">
        <f>J2556+L2556+N2556+O2556-P2556-M2556</f>
        <v/>
      </c>
    </row>
    <row r="2557">
      <c r="A2557" s="16" t="inlineStr">
        <is>
          <t>5.22-5.28</t>
        </is>
      </c>
      <c r="B2557" s="16" t="inlineStr">
        <is>
          <t>PO-128-01143860122231855</t>
        </is>
      </c>
      <c r="C2557" s="16" t="inlineStr">
        <is>
          <t>Shipped</t>
        </is>
      </c>
      <c r="D2557" s="16" t="inlineStr">
        <is>
          <t>128-01143839150711855</t>
        </is>
      </c>
      <c r="E2557" s="16" t="inlineStr">
        <is>
          <t>Shipped</t>
        </is>
      </c>
      <c r="F2557" s="16" t="inlineStr">
        <is>
          <t>FA028</t>
        </is>
      </c>
      <c r="G2557" s="16" t="inlineStr">
        <is>
          <t>Extractor de agua para garrafas de agua, compatible con carga USB, extractor de agua automático, práctico, con dos modos de toma de agua: manual y programado, ideal para dormitorios, salones, oficinas, uso al aire libre y otros escenarios.</t>
        </is>
      </c>
      <c r="H2557" s="16" t="inlineStr">
        <is>
          <t>FA028</t>
        </is>
      </c>
      <c r="I2557" s="16" t="n">
        <v>1</v>
      </c>
      <c r="J2557" s="17" t="n">
        <v>27</v>
      </c>
      <c r="K2557" s="17" t="n">
        <v>36.58</v>
      </c>
      <c r="L2557" s="17" t="n">
        <v>25.86</v>
      </c>
      <c r="M2557" s="17" t="n">
        <v>0</v>
      </c>
      <c r="N2557" s="17">
        <f>K2557*0.08+L2557*0.08</f>
        <v/>
      </c>
      <c r="O2557" s="17">
        <f>-(K2557*0.025+L2557*0.025)</f>
        <v/>
      </c>
      <c r="P2557" s="17">
        <f>32</f>
        <v/>
      </c>
      <c r="Q2557" s="17">
        <f>J2557+L2557+N2557+O2557-P2557-M2557</f>
        <v/>
      </c>
    </row>
    <row r="2558">
      <c r="A2558" s="16" t="inlineStr">
        <is>
          <t>5.22-5.28</t>
        </is>
      </c>
      <c r="B2558" s="16" t="inlineStr">
        <is>
          <t>PO-128-01000656118392770</t>
        </is>
      </c>
      <c r="C2558" s="16" t="inlineStr">
        <is>
          <t>Shipped</t>
        </is>
      </c>
      <c r="D2558" s="16" t="inlineStr">
        <is>
          <t>128-01000635146872770</t>
        </is>
      </c>
      <c r="E2558" s="16" t="inlineStr">
        <is>
          <t>Shipped</t>
        </is>
      </c>
      <c r="F2558" s="16" t="inlineStr">
        <is>
          <t>LB02235-negro</t>
        </is>
      </c>
      <c r="G2558" s="16" t="inlineStr">
        <is>
          <t>Audífonos Inalámbricos para la Cabeza, Recargables y Multifuncionales - Conectan a Varios Dispositivos, soportan Radio FM, Tarjeta TF y AUX - 4 Horas de Reproducción Musical - Ideal para Trabajo Cotidiano, Juegos y Estudio</t>
        </is>
      </c>
      <c r="H2558" s="16" t="inlineStr">
        <is>
          <t>NEGRO</t>
        </is>
      </c>
      <c r="I2558" s="16" t="n">
        <v>10</v>
      </c>
      <c r="J2558" s="17" t="n">
        <v>368</v>
      </c>
      <c r="K2558" s="17" t="n">
        <v>499.1</v>
      </c>
      <c r="L2558" s="17" t="n">
        <v>0</v>
      </c>
      <c r="M2558" s="17" t="n">
        <v>0</v>
      </c>
      <c r="N2558" s="17">
        <f>K2558*0.08+L2558*0.08</f>
        <v/>
      </c>
      <c r="O2558" s="17">
        <f>-(K2558*0.025+L2558*0.025)</f>
        <v/>
      </c>
      <c r="P2558" s="17">
        <f>32</f>
        <v/>
      </c>
      <c r="Q2558" s="17">
        <f>J2558+L2558+N2558+O2558-P2558-M2558</f>
        <v/>
      </c>
    </row>
    <row r="2559">
      <c r="A2559" s="16" t="inlineStr">
        <is>
          <t>5.22-5.28</t>
        </is>
      </c>
      <c r="B2559" s="16" t="inlineStr">
        <is>
          <t>PO-128-00943814907512151</t>
        </is>
      </c>
      <c r="C2559" s="16" t="inlineStr">
        <is>
          <t>Shipped</t>
        </is>
      </c>
      <c r="D2559" s="16" t="inlineStr">
        <is>
          <t>128-00943779518072151</t>
        </is>
      </c>
      <c r="E2559" s="16" t="inlineStr">
        <is>
          <t>Shipped</t>
        </is>
      </c>
      <c r="F2559" s="16" t="inlineStr">
        <is>
          <t>MCM-001G</t>
        </is>
      </c>
      <c r="G2559" s="16" t="inlineStr">
        <is>
          <t>Musicord Altavoz Inalámbrico BT Portátil: ¡Sonido impactante, luces LED multicolores y 4 horas de autonomía! Compatible con TWS, FM, TF y USB – Imprescindible para fiestas y viajes</t>
        </is>
      </c>
      <c r="H2559" s="16" t="inlineStr">
        <is>
          <t>GRIS</t>
        </is>
      </c>
      <c r="I2559" s="16" t="n">
        <v>2</v>
      </c>
      <c r="J2559" s="17" t="n">
        <v>102</v>
      </c>
      <c r="K2559" s="17" t="n">
        <v>117.58</v>
      </c>
      <c r="L2559" s="17" t="n">
        <v>0</v>
      </c>
      <c r="M2559" s="17" t="n">
        <v>0</v>
      </c>
      <c r="N2559" s="17">
        <f>K2559*0.08+L2559*0.08</f>
        <v/>
      </c>
      <c r="O2559" s="17">
        <f>-(K2559*0.025+L2559*0.025)</f>
        <v/>
      </c>
      <c r="P2559" s="17">
        <f>32</f>
        <v/>
      </c>
      <c r="Q2559" s="17">
        <f>J2559+L2559+N2559+O2559-P2559-M2559</f>
        <v/>
      </c>
    </row>
    <row r="2560">
      <c r="A2560" s="16" t="inlineStr">
        <is>
          <t>5.22-5.28</t>
        </is>
      </c>
      <c r="B2560" s="16" t="inlineStr">
        <is>
          <t>PO-128-00943814907512151</t>
        </is>
      </c>
      <c r="C2560" s="16" t="inlineStr">
        <is>
          <t>Shipped</t>
        </is>
      </c>
      <c r="D2560" s="16" t="inlineStr">
        <is>
          <t>128-00943774275192151</t>
        </is>
      </c>
      <c r="E2560" s="16" t="inlineStr">
        <is>
          <t>Shipped</t>
        </is>
      </c>
      <c r="F2560" s="16" t="inlineStr">
        <is>
          <t>VA384T-A</t>
        </is>
      </c>
      <c r="G2560" s="16" t="inlineStr">
        <is>
          <t>Bocina Portátil Bluetooth de 3 Pulgadas con Radio FM, USB TF TWS, Sonido Estéreo 5W, Bocina Recargable para Hogar Exterior Viaje Fiesta Camping</t>
        </is>
      </c>
      <c r="H2560" s="16" t="inlineStr">
        <is>
          <t>AZUL</t>
        </is>
      </c>
      <c r="I2560" s="16" t="n">
        <v>1</v>
      </c>
      <c r="J2560" s="17" t="n">
        <v>46</v>
      </c>
      <c r="K2560" s="17" t="n">
        <v>56.72</v>
      </c>
      <c r="L2560" s="17" t="n">
        <v>0</v>
      </c>
      <c r="M2560" s="17" t="n">
        <v>0</v>
      </c>
      <c r="N2560" s="17">
        <f>K2560*0.08+L2560*0.08</f>
        <v/>
      </c>
      <c r="O2560" s="17">
        <f>-(K2560*0.025+L2560*0.025)</f>
        <v/>
      </c>
      <c r="P2560" s="17">
        <f>32</f>
        <v/>
      </c>
      <c r="Q2560" s="17">
        <f>J2560+L2560+N2560+O2560-P2560-M2560</f>
        <v/>
      </c>
    </row>
    <row r="2561">
      <c r="A2561" s="16" t="inlineStr">
        <is>
          <t>5.22-5.28</t>
        </is>
      </c>
      <c r="B2561" s="16" t="inlineStr">
        <is>
          <t>PO-128-00943814907512151</t>
        </is>
      </c>
      <c r="C2561" s="16" t="inlineStr">
        <is>
          <t>Shipped</t>
        </is>
      </c>
      <c r="D2561" s="16" t="inlineStr">
        <is>
          <t>128-00943769032312151</t>
        </is>
      </c>
      <c r="E2561" s="16" t="inlineStr">
        <is>
          <t>Shipped</t>
        </is>
      </c>
      <c r="F2561" s="16" t="inlineStr">
        <is>
          <t>MCM-001A</t>
        </is>
      </c>
      <c r="G2561" s="16" t="inlineStr">
        <is>
          <t>Musicord Altavoz Inalámbrico BT Portátil: ¡Sonido impactante, luces LED multicolores y 4 horas de autonomía! Compatible con TWS, FM, TF y USB – Imprescindible para fiestas y viajes</t>
        </is>
      </c>
      <c r="H2561" s="16" t="inlineStr">
        <is>
          <t>AZUL</t>
        </is>
      </c>
      <c r="I2561" s="16" t="n">
        <v>3</v>
      </c>
      <c r="J2561" s="17" t="n">
        <v>153.21</v>
      </c>
      <c r="K2561" s="17" t="n">
        <v>178.41</v>
      </c>
      <c r="L2561" s="17" t="n">
        <v>0</v>
      </c>
      <c r="M2561" s="17" t="n">
        <v>0</v>
      </c>
      <c r="N2561" s="17">
        <f>K2561*0.08+L2561*0.08</f>
        <v/>
      </c>
      <c r="O2561" s="17">
        <f>-(K2561*0.025+L2561*0.025)</f>
        <v/>
      </c>
      <c r="P2561" s="17">
        <f>32</f>
        <v/>
      </c>
      <c r="Q2561" s="17">
        <f>J2561+L2561+N2561+O2561-P2561-M2561</f>
        <v/>
      </c>
    </row>
    <row r="2562">
      <c r="A2562" s="16" t="inlineStr">
        <is>
          <t>5.22-5.28</t>
        </is>
      </c>
      <c r="B2562" s="16" t="inlineStr">
        <is>
          <t>PO-128-00980733676152891</t>
        </is>
      </c>
      <c r="C2562" s="16" t="inlineStr">
        <is>
          <t>Shipped</t>
        </is>
      </c>
      <c r="D2562" s="16" t="inlineStr">
        <is>
          <t>128-00980670761592891</t>
        </is>
      </c>
      <c r="E2562" s="16" t="inlineStr">
        <is>
          <t>Shipped</t>
        </is>
      </c>
      <c r="F2562" s="16" t="inlineStr">
        <is>
          <t>LB02235-azul</t>
        </is>
      </c>
      <c r="G2562" s="16" t="inlineStr">
        <is>
          <t>Audífonos Inalámbricos para la Cabeza, Recargables y Multifuncionales - Conectan a Varios Dispositivos, soportan Radio FM, Tarjeta TF y AUX - 4 Horas de Reproducción Musical - Ideal para Trabajo Cotidiano, Juegos y Estudio</t>
        </is>
      </c>
      <c r="H2562" s="16" t="inlineStr">
        <is>
          <t>AZUL</t>
        </is>
      </c>
      <c r="I2562" s="16" t="n">
        <v>2</v>
      </c>
      <c r="J2562" s="17" t="n">
        <v>73.59999999999999</v>
      </c>
      <c r="K2562" s="17" t="n">
        <v>99.81999999999999</v>
      </c>
      <c r="L2562" s="17" t="n">
        <v>0</v>
      </c>
      <c r="M2562" s="17" t="n">
        <v>0</v>
      </c>
      <c r="N2562" s="17">
        <f>K2562*0.08+L2562*0.08</f>
        <v/>
      </c>
      <c r="O2562" s="17">
        <f>-(K2562*0.025+L2562*0.025)</f>
        <v/>
      </c>
      <c r="P2562" s="17">
        <f>32</f>
        <v/>
      </c>
      <c r="Q2562" s="17">
        <f>J2562+L2562+N2562+O2562-P2562-M2562</f>
        <v/>
      </c>
    </row>
    <row r="2563">
      <c r="A2563" s="16" t="inlineStr">
        <is>
          <t>5.22-5.28</t>
        </is>
      </c>
      <c r="B2563" s="16" t="inlineStr">
        <is>
          <t>PO-128-00980733676152891</t>
        </is>
      </c>
      <c r="C2563" s="16" t="inlineStr">
        <is>
          <t>Shipped</t>
        </is>
      </c>
      <c r="D2563" s="16" t="inlineStr">
        <is>
          <t>128-00980649790072891</t>
        </is>
      </c>
      <c r="E2563" s="16" t="inlineStr">
        <is>
          <t>Shipped</t>
        </is>
      </c>
      <c r="F2563" s="16" t="inlineStr">
        <is>
          <t>LB02235-blanco</t>
        </is>
      </c>
      <c r="G2563" s="16" t="inlineStr">
        <is>
          <t>Audífonos Inalámbricos para la Cabeza, Recargables y Multifuncionales - Conectan a Varios Dispositivos, soportan Radio FM, Tarjeta TF y AUX - 4 Horas de Reproducción Musical - Ideal para Trabajo Cotidiano, Juegos y Estudio</t>
        </is>
      </c>
      <c r="H2563" s="16" t="inlineStr">
        <is>
          <t>BLANCO</t>
        </is>
      </c>
      <c r="I2563" s="16" t="n">
        <v>2</v>
      </c>
      <c r="J2563" s="17" t="n">
        <v>73.59999999999999</v>
      </c>
      <c r="K2563" s="17" t="n">
        <v>99.81999999999999</v>
      </c>
      <c r="L2563" s="17" t="n">
        <v>0</v>
      </c>
      <c r="M2563" s="17" t="n">
        <v>0</v>
      </c>
      <c r="N2563" s="17">
        <f>K2563*0.08+L2563*0.08</f>
        <v/>
      </c>
      <c r="O2563" s="17">
        <f>-(K2563*0.025+L2563*0.025)</f>
        <v/>
      </c>
      <c r="P2563" s="17">
        <f>32</f>
        <v/>
      </c>
      <c r="Q2563" s="17">
        <f>J2563+L2563+N2563+O2563-P2563-M2563</f>
        <v/>
      </c>
    </row>
    <row r="2564">
      <c r="A2564" s="16" t="inlineStr">
        <is>
          <t>5.22-5.28</t>
        </is>
      </c>
      <c r="B2564" s="16" t="inlineStr">
        <is>
          <t>PO-128-00980733676152891</t>
        </is>
      </c>
      <c r="C2564" s="16" t="inlineStr">
        <is>
          <t>Shipped</t>
        </is>
      </c>
      <c r="D2564" s="16" t="inlineStr">
        <is>
          <t>128-00980754647672891</t>
        </is>
      </c>
      <c r="E2564" s="16" t="inlineStr">
        <is>
          <t>Shipped</t>
        </is>
      </c>
      <c r="F2564" s="16" t="inlineStr">
        <is>
          <t>LB02235-negro</t>
        </is>
      </c>
      <c r="G2564" s="16" t="inlineStr">
        <is>
          <t>Audífonos Inalámbricos para la Cabeza, Recargables y Multifuncionales - Conectan a Varios Dispositivos, soportan Radio FM, Tarjeta TF y AUX - 4 Horas de Reproducción Musical - Ideal para Trabajo Cotidiano, Juegos y Estudio</t>
        </is>
      </c>
      <c r="H2564" s="16" t="inlineStr">
        <is>
          <t>NEGRO</t>
        </is>
      </c>
      <c r="I2564" s="16" t="n">
        <v>2</v>
      </c>
      <c r="J2564" s="17" t="n">
        <v>73.59999999999999</v>
      </c>
      <c r="K2564" s="17" t="n">
        <v>99.81999999999999</v>
      </c>
      <c r="L2564" s="17" t="n">
        <v>0</v>
      </c>
      <c r="M2564" s="17" t="n">
        <v>0</v>
      </c>
      <c r="N2564" s="17">
        <f>K2564*0.08+L2564*0.08</f>
        <v/>
      </c>
      <c r="O2564" s="17">
        <f>-(K2564*0.025+L2564*0.025)</f>
        <v/>
      </c>
      <c r="P2564" s="17">
        <f>32</f>
        <v/>
      </c>
      <c r="Q2564" s="17">
        <f>J2564+L2564+N2564+O2564-P2564-M2564</f>
        <v/>
      </c>
    </row>
    <row r="2565">
      <c r="A2565" s="16" t="inlineStr">
        <is>
          <t>5.22-5.28</t>
        </is>
      </c>
      <c r="B2565" s="16" t="inlineStr">
        <is>
          <t>PO-128-00980733676152891</t>
        </is>
      </c>
      <c r="C2565" s="16" t="inlineStr">
        <is>
          <t>Shipped</t>
        </is>
      </c>
      <c r="D2565" s="16" t="inlineStr">
        <is>
          <t>128-00980712704632891</t>
        </is>
      </c>
      <c r="E2565" s="16" t="inlineStr">
        <is>
          <t>Shipped</t>
        </is>
      </c>
      <c r="F2565" s="16" t="inlineStr">
        <is>
          <t>LB02235-rojo</t>
        </is>
      </c>
      <c r="G2565" s="16" t="inlineStr">
        <is>
          <t>Audífonos Inalámbricos para la Cabeza, Recargables y Multifuncionales - Conectan a Varios Dispositivos, soportan Radio FM, Tarjeta TF y AUX - 4 Horas de Reproducción Musical - Ideal para Trabajo Cotidiano, Juegos y Estudio</t>
        </is>
      </c>
      <c r="H2565" s="16" t="inlineStr">
        <is>
          <t>ROJO</t>
        </is>
      </c>
      <c r="I2565" s="16" t="n">
        <v>2</v>
      </c>
      <c r="J2565" s="17" t="n">
        <v>73.59999999999999</v>
      </c>
      <c r="K2565" s="17" t="n">
        <v>99.81999999999999</v>
      </c>
      <c r="L2565" s="17" t="n">
        <v>0</v>
      </c>
      <c r="M2565" s="17" t="n">
        <v>0</v>
      </c>
      <c r="N2565" s="17">
        <f>K2565*0.08+L2565*0.08</f>
        <v/>
      </c>
      <c r="O2565" s="17">
        <f>-(K2565*0.025+L2565*0.025)</f>
        <v/>
      </c>
      <c r="P2565" s="17">
        <f>32</f>
        <v/>
      </c>
      <c r="Q2565" s="17">
        <f>J2565+L2565+N2565+O2565-P2565-M2565</f>
        <v/>
      </c>
    </row>
    <row r="2566">
      <c r="A2566" s="16" t="inlineStr">
        <is>
          <t>5.22-5.28</t>
        </is>
      </c>
      <c r="B2566" s="16" t="inlineStr">
        <is>
          <t>PO-128-01116463309431120</t>
        </is>
      </c>
      <c r="C2566" s="16" t="inlineStr">
        <is>
          <t>Shipped</t>
        </is>
      </c>
      <c r="D2566" s="16" t="inlineStr">
        <is>
          <t>128-01116484280951120</t>
        </is>
      </c>
      <c r="E2566" s="16" t="inlineStr">
        <is>
          <t>Shipped</t>
        </is>
      </c>
      <c r="F2566" s="16" t="inlineStr">
        <is>
          <t>S39W48</t>
        </is>
      </c>
      <c r="G2566"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566" s="16" t="inlineStr">
        <is>
          <t>1 pieza</t>
        </is>
      </c>
      <c r="I2566" s="16" t="n">
        <v>1</v>
      </c>
      <c r="J2566" s="17" t="n">
        <v>30</v>
      </c>
      <c r="K2566" s="17" t="n">
        <v>42.58</v>
      </c>
      <c r="L2566" s="17" t="n">
        <v>25.86</v>
      </c>
      <c r="M2566" s="17" t="n">
        <v>0</v>
      </c>
      <c r="N2566" s="17">
        <f>K2566*0.08+L2566*0.08</f>
        <v/>
      </c>
      <c r="O2566" s="17">
        <f>-(K2566*0.025+L2566*0.025)</f>
        <v/>
      </c>
      <c r="P2566" s="17">
        <f>32</f>
        <v/>
      </c>
      <c r="Q2566" s="17">
        <f>J2566+L2566+N2566+O2566-P2566-M2566</f>
        <v/>
      </c>
    </row>
    <row r="2567">
      <c r="A2567" s="16" t="inlineStr">
        <is>
          <t>5.22-5.28</t>
        </is>
      </c>
      <c r="B2567" s="16" t="inlineStr">
        <is>
          <t>PO-128-01126147533431958</t>
        </is>
      </c>
      <c r="C2567" s="16" t="inlineStr">
        <is>
          <t>Shipped</t>
        </is>
      </c>
      <c r="D2567" s="16" t="inlineStr">
        <is>
          <t>128-01126105590391958</t>
        </is>
      </c>
      <c r="E2567" s="16" t="inlineStr">
        <is>
          <t>Shipped</t>
        </is>
      </c>
      <c r="F2567" s="16" t="inlineStr">
        <is>
          <t>MB-185N</t>
        </is>
      </c>
      <c r="G2567" s="16" t="inlineStr">
        <is>
          <t>Bocina Radio FM/Reproductor, Compatible con Tarjeta TF, USB, Bluetooth, Aplicable para celular, computadora, Ipad y consola.</t>
        </is>
      </c>
      <c r="H2567" s="16" t="inlineStr">
        <is>
          <t>NEGRO/MB-185</t>
        </is>
      </c>
      <c r="I2567" s="16" t="n">
        <v>1</v>
      </c>
      <c r="J2567" s="17" t="n">
        <v>75.5</v>
      </c>
      <c r="K2567" s="17" t="n">
        <v>88.44</v>
      </c>
      <c r="L2567" s="17" t="n">
        <v>25.86</v>
      </c>
      <c r="M2567" s="17" t="n">
        <v>0</v>
      </c>
      <c r="N2567" s="17">
        <f>K2567*0.08+L2567*0.08</f>
        <v/>
      </c>
      <c r="O2567" s="17">
        <f>-(K2567*0.025+L2567*0.025)</f>
        <v/>
      </c>
      <c r="P2567" s="17">
        <f>32</f>
        <v/>
      </c>
      <c r="Q2567" s="17">
        <f>J2567+L2567+N2567+O2567-P2567-M2567</f>
        <v/>
      </c>
    </row>
    <row r="2568">
      <c r="A2568" s="16" t="inlineStr">
        <is>
          <t>5.22-5.28</t>
        </is>
      </c>
      <c r="B2568" s="16" t="inlineStr">
        <is>
          <t>PO-128-00981358203512887</t>
        </is>
      </c>
      <c r="C2568" s="16" t="inlineStr">
        <is>
          <t>Shipped</t>
        </is>
      </c>
      <c r="D2568" s="16" t="inlineStr">
        <is>
          <t>128-00981400146552887</t>
        </is>
      </c>
      <c r="E2568" s="16" t="inlineStr">
        <is>
          <t>Shipped</t>
        </is>
      </c>
      <c r="F2568" s="16" t="inlineStr">
        <is>
          <t>LB02235-rojo</t>
        </is>
      </c>
      <c r="G2568" s="16" t="inlineStr">
        <is>
          <t>Audífonos Inalámbricos para la Cabeza, Recargables y Multifuncionales - Conectan a Varios Dispositivos, soportan Radio FM, Tarjeta TF y AUX - 4 Horas de Reproducción Musical - Ideal para Trabajo Cotidiano, Juegos y Estudio</t>
        </is>
      </c>
      <c r="H2568" s="16" t="inlineStr">
        <is>
          <t>ROJO</t>
        </is>
      </c>
      <c r="I2568" s="16" t="n">
        <v>1</v>
      </c>
      <c r="J2568" s="17" t="n">
        <v>36.8</v>
      </c>
      <c r="K2568" s="17" t="n">
        <v>49.91</v>
      </c>
      <c r="L2568" s="17" t="n">
        <v>25.86</v>
      </c>
      <c r="M2568" s="17" t="n">
        <v>0</v>
      </c>
      <c r="N2568" s="17">
        <f>K2568*0.08+L2568*0.08</f>
        <v/>
      </c>
      <c r="O2568" s="17">
        <f>-(K2568*0.025+L2568*0.025)</f>
        <v/>
      </c>
      <c r="P2568" s="17">
        <f>32</f>
        <v/>
      </c>
      <c r="Q2568" s="17">
        <f>J2568+L2568+N2568+O2568-P2568-M2568</f>
        <v/>
      </c>
    </row>
    <row r="2569">
      <c r="A2569" s="16" t="inlineStr">
        <is>
          <t>5.22-5.28</t>
        </is>
      </c>
      <c r="B2569" s="16" t="inlineStr">
        <is>
          <t>PO-128-20193206328952998</t>
        </is>
      </c>
      <c r="C2569" s="16" t="inlineStr">
        <is>
          <t>Shipped</t>
        </is>
      </c>
      <c r="D2569" s="16" t="inlineStr">
        <is>
          <t>128-20193185357432998</t>
        </is>
      </c>
      <c r="E2569" s="16" t="inlineStr">
        <is>
          <t>Shipped</t>
        </is>
      </c>
      <c r="F2569" s="16" t="inlineStr">
        <is>
          <t>LB02235-azul</t>
        </is>
      </c>
      <c r="G2569" s="16" t="inlineStr">
        <is>
          <t>Audífonos Inalámbricos para la Cabeza, Recargables y Multifuncionales - Conectan a Varios Dispositivos, soportan Radio FM, Tarjeta TF y AUX - 4 Horas de Reproducción Musical - Ideal para Trabajo Cotidiano, Juegos y Estudio</t>
        </is>
      </c>
      <c r="H2569" s="16" t="inlineStr">
        <is>
          <t>AZUL</t>
        </is>
      </c>
      <c r="I2569" s="16" t="n">
        <v>1</v>
      </c>
      <c r="J2569" s="17" t="n">
        <v>36.8</v>
      </c>
      <c r="K2569" s="17" t="n">
        <v>39.94</v>
      </c>
      <c r="L2569" s="17" t="n">
        <v>25.86</v>
      </c>
      <c r="M2569" s="17" t="n">
        <v>0</v>
      </c>
      <c r="N2569" s="17">
        <f>K2569*0.08+L2569*0.08</f>
        <v/>
      </c>
      <c r="O2569" s="17">
        <f>-(K2569*0.025+L2569*0.025)</f>
        <v/>
      </c>
      <c r="P2569" s="17">
        <f>32</f>
        <v/>
      </c>
      <c r="Q2569" s="17">
        <f>J2569+L2569+N2569+O2569-P2569-M2569</f>
        <v/>
      </c>
    </row>
    <row r="2570">
      <c r="A2570" s="16" t="inlineStr">
        <is>
          <t>5.22-5.28</t>
        </is>
      </c>
      <c r="B2570" s="16" t="inlineStr">
        <is>
          <t>PO-128-20064551580793764</t>
        </is>
      </c>
      <c r="C2570" s="16" t="inlineStr">
        <is>
          <t>Shipped</t>
        </is>
      </c>
      <c r="D2570" s="16" t="inlineStr">
        <is>
          <t>128-20064619738233764</t>
        </is>
      </c>
      <c r="E2570" s="16" t="inlineStr">
        <is>
          <t>Shipped</t>
        </is>
      </c>
      <c r="F2570" s="16" t="inlineStr">
        <is>
          <t>LB02235-negro</t>
        </is>
      </c>
      <c r="G2570" s="16" t="inlineStr">
        <is>
          <t>Audífonos Inalámbricos para la Cabeza, Recargables y Multifuncionales - Conectan a Varios Dispositivos, soportan Radio FM, Tarjeta TF y AUX - 4 Horas de Reproducción Musical - Ideal para Trabajo Cotidiano, Juegos y Estudio</t>
        </is>
      </c>
      <c r="H2570" s="16" t="inlineStr">
        <is>
          <t>NEGRO</t>
        </is>
      </c>
      <c r="I2570" s="16" t="n">
        <v>1</v>
      </c>
      <c r="J2570" s="17" t="n">
        <v>36.8</v>
      </c>
      <c r="K2570" s="17" t="n">
        <v>49.91</v>
      </c>
      <c r="L2570" s="17" t="n">
        <v>25.86</v>
      </c>
      <c r="M2570" s="17" t="n">
        <v>0</v>
      </c>
      <c r="N2570" s="17">
        <f>K2570*0.08+L2570*0.08</f>
        <v/>
      </c>
      <c r="O2570" s="17">
        <f>-(K2570*0.025+L2570*0.025)</f>
        <v/>
      </c>
      <c r="P2570" s="17">
        <f>32</f>
        <v/>
      </c>
      <c r="Q2570" s="17">
        <f>J2570+L2570+N2570+O2570-P2570-M2570</f>
        <v/>
      </c>
    </row>
    <row r="2571">
      <c r="A2571" s="16" t="inlineStr">
        <is>
          <t>5.22-5.28</t>
        </is>
      </c>
      <c r="B2571" s="16" t="inlineStr">
        <is>
          <t>PO-128-20265098532472635</t>
        </is>
      </c>
      <c r="C2571" s="16" t="inlineStr">
        <is>
          <t>Shipped</t>
        </is>
      </c>
      <c r="D2571" s="16" t="inlineStr">
        <is>
          <t>128-20265077560952635</t>
        </is>
      </c>
      <c r="E2571" s="16" t="inlineStr">
        <is>
          <t>Shipped</t>
        </is>
      </c>
      <c r="F2571" s="16" t="inlineStr">
        <is>
          <t>SA323T</t>
        </is>
      </c>
      <c r="G2571" s="16" t="inlineStr">
        <is>
          <t>Linkbits Bocina Portátil Parlantes BT Portátiles con Iluminación de Ambiente | 1 Hora de Duración, FM, TWS, TF/Micro SD | Ideal para Hogar, Fiestas y Viajes</t>
        </is>
      </c>
      <c r="H2571" s="16" t="inlineStr">
        <is>
          <t>SA323T</t>
        </is>
      </c>
      <c r="I2571" s="16" t="n">
        <v>1</v>
      </c>
      <c r="J2571" s="17" t="n">
        <v>46</v>
      </c>
      <c r="K2571" s="17" t="n">
        <v>44.05</v>
      </c>
      <c r="L2571" s="17" t="n">
        <v>25.86</v>
      </c>
      <c r="M2571" s="17" t="n">
        <v>0</v>
      </c>
      <c r="N2571" s="17">
        <f>K2571*0.08+L2571*0.08</f>
        <v/>
      </c>
      <c r="O2571" s="17">
        <f>-(K2571*0.025+L2571*0.025)</f>
        <v/>
      </c>
      <c r="P2571" s="17">
        <f>32</f>
        <v/>
      </c>
      <c r="Q2571" s="17">
        <f>J2571+L2571+N2571+O2571-P2571-M2571</f>
        <v/>
      </c>
    </row>
    <row r="2572">
      <c r="A2572" s="16" t="inlineStr">
        <is>
          <t>5.22-5.28</t>
        </is>
      </c>
      <c r="B2572" s="16" t="inlineStr">
        <is>
          <t>PO-128-20501141873270202</t>
        </is>
      </c>
      <c r="C2572" s="16" t="inlineStr">
        <is>
          <t>Shipped</t>
        </is>
      </c>
      <c r="D2572" s="16" t="inlineStr">
        <is>
          <t>128-20501194302070202</t>
        </is>
      </c>
      <c r="E2572" s="16" t="inlineStr">
        <is>
          <t>Shipped</t>
        </is>
      </c>
      <c r="F2572" s="16" t="inlineStr">
        <is>
          <t>MCM-001N</t>
        </is>
      </c>
      <c r="G2572" s="16" t="inlineStr">
        <is>
          <t>Musicord Altavoz Inalámbrico BT Portátil: ¡Sonido impactante, luces LED multicolores y 4 horas de autonomía! Compatible con TWS, FM, TF y USB – Imprescindible para fiestas y viajes</t>
        </is>
      </c>
      <c r="H2572" s="16" t="inlineStr">
        <is>
          <t>NEGRO</t>
        </is>
      </c>
      <c r="I2572" s="16" t="n">
        <v>1</v>
      </c>
      <c r="J2572" s="17" t="n">
        <v>61</v>
      </c>
      <c r="K2572" s="17" t="n">
        <v>68.79000000000001</v>
      </c>
      <c r="L2572" s="17" t="n">
        <v>25.86</v>
      </c>
      <c r="M2572" s="17" t="n">
        <v>0.5</v>
      </c>
      <c r="N2572" s="17">
        <f>K2572*0.08+L2572*0.08</f>
        <v/>
      </c>
      <c r="O2572" s="17">
        <f>-(K2572*0.025+L2572*0.025)</f>
        <v/>
      </c>
      <c r="P2572" s="17">
        <f>32</f>
        <v/>
      </c>
      <c r="Q2572" s="17">
        <f>J2572+L2572+N2572+O2572-P2572-M2572</f>
        <v/>
      </c>
    </row>
    <row r="2573">
      <c r="A2573" s="16" t="inlineStr">
        <is>
          <t>5.22-5.28</t>
        </is>
      </c>
      <c r="B2573" s="16" t="inlineStr">
        <is>
          <t>PO-128-19958190428793374</t>
        </is>
      </c>
      <c r="C2573" s="16" t="inlineStr">
        <is>
          <t>Shipped</t>
        </is>
      </c>
      <c r="D2573" s="16" t="inlineStr">
        <is>
          <t>128-19958221886073374</t>
        </is>
      </c>
      <c r="E2573" s="16" t="inlineStr">
        <is>
          <t>Shipped</t>
        </is>
      </c>
      <c r="F2573" s="16" t="inlineStr">
        <is>
          <t>KTS-1678A</t>
        </is>
      </c>
      <c r="G2573" s="16" t="inlineStr">
        <is>
          <t>Bocina portátil Inalámbrico, de 3 pulgadas, tamaño de bolsillo, 170 g, con asa, compatible con TF, USB y Micro SD, con radio FM y función TWS (True Wireless Stereo), adecuada para relajarse en casa o viajar al aire libre.</t>
        </is>
      </c>
      <c r="H2573" s="16" t="inlineStr">
        <is>
          <t>KTS-1678A</t>
        </is>
      </c>
      <c r="I2573" s="16" t="n">
        <v>1</v>
      </c>
      <c r="J2573" s="17" t="n">
        <v>42.5</v>
      </c>
      <c r="K2573" s="17" t="n">
        <v>50.78</v>
      </c>
      <c r="L2573" s="17" t="n">
        <v>25.86</v>
      </c>
      <c r="M2573" s="17" t="n">
        <v>0</v>
      </c>
      <c r="N2573" s="17">
        <f>K2573*0.08+L2573*0.08</f>
        <v/>
      </c>
      <c r="O2573" s="17">
        <f>-(K2573*0.025+L2573*0.025)</f>
        <v/>
      </c>
      <c r="P2573" s="17">
        <f>32</f>
        <v/>
      </c>
      <c r="Q2573" s="17">
        <f>J2573+L2573+N2573+O2573-P2573-M2573</f>
        <v/>
      </c>
    </row>
    <row r="2574">
      <c r="A2574" s="16" t="inlineStr">
        <is>
          <t>5.22-5.28</t>
        </is>
      </c>
      <c r="B2574" s="16" t="inlineStr">
        <is>
          <t>PO-128-20114169613432511</t>
        </is>
      </c>
      <c r="C2574" s="16" t="inlineStr">
        <is>
          <t>Shipped</t>
        </is>
      </c>
      <c r="D2574" s="16" t="inlineStr">
        <is>
          <t>128-20114052219512511</t>
        </is>
      </c>
      <c r="E2574" s="16" t="inlineStr">
        <is>
          <t>Shipped</t>
        </is>
      </c>
      <c r="F2574" s="16" t="inlineStr">
        <is>
          <t>LB02235-azul</t>
        </is>
      </c>
      <c r="G2574" s="16" t="inlineStr">
        <is>
          <t>Audífonos Inalámbricos para la Cabeza, Recargables y Multifuncionales - Conectan a Varios Dispositivos, soportan Radio FM, Tarjeta TF y AUX - 4 Horas de Reproducción Musical - Ideal para Trabajo Cotidiano, Juegos y Estudio</t>
        </is>
      </c>
      <c r="H2574" s="16" t="inlineStr">
        <is>
          <t>AZUL</t>
        </is>
      </c>
      <c r="I2574" s="16" t="n">
        <v>1</v>
      </c>
      <c r="J2574" s="17" t="n">
        <v>36.8</v>
      </c>
      <c r="K2574" s="17" t="n">
        <v>49.91</v>
      </c>
      <c r="L2574" s="17" t="n">
        <v>12.93</v>
      </c>
      <c r="M2574" s="17" t="n">
        <v>0</v>
      </c>
      <c r="N2574" s="17">
        <f>K2574*0.08+L2574*0.08</f>
        <v/>
      </c>
      <c r="O2574" s="17">
        <f>-(K2574*0.025+L2574*0.025)</f>
        <v/>
      </c>
      <c r="P2574" s="17">
        <f>32</f>
        <v/>
      </c>
      <c r="Q2574" s="17">
        <f>J2574+L2574+N2574+O2574-P2574-M2574</f>
        <v/>
      </c>
    </row>
    <row r="2575">
      <c r="A2575" s="16" t="inlineStr">
        <is>
          <t>5.22-5.28</t>
        </is>
      </c>
      <c r="B2575" s="16" t="inlineStr">
        <is>
          <t>PO-128-20114169613432511</t>
        </is>
      </c>
      <c r="C2575" s="16" t="inlineStr">
        <is>
          <t>Shipped</t>
        </is>
      </c>
      <c r="D2575" s="16" t="inlineStr">
        <is>
          <t>128-20114127670392511</t>
        </is>
      </c>
      <c r="E2575" s="16" t="inlineStr">
        <is>
          <t>Shipped</t>
        </is>
      </c>
      <c r="F2575" s="16" t="inlineStr">
        <is>
          <t>LB02235-rojo</t>
        </is>
      </c>
      <c r="G2575" s="16" t="inlineStr">
        <is>
          <t>Audífonos Inalámbricos para la Cabeza, Recargables y Multifuncionales - Conectan a Varios Dispositivos, soportan Radio FM, Tarjeta TF y AUX - 4 Horas de Reproducción Musical - Ideal para Trabajo Cotidiano, Juegos y Estudio</t>
        </is>
      </c>
      <c r="H2575" s="16" t="inlineStr">
        <is>
          <t>ROJO</t>
        </is>
      </c>
      <c r="I2575" s="16" t="n">
        <v>1</v>
      </c>
      <c r="J2575" s="17" t="n">
        <v>36.8</v>
      </c>
      <c r="K2575" s="17" t="n">
        <v>49.91</v>
      </c>
      <c r="L2575" s="17" t="n">
        <v>12.93</v>
      </c>
      <c r="M2575" s="17" t="n">
        <v>0</v>
      </c>
      <c r="N2575" s="17">
        <f>K2575*0.08+L2575*0.08</f>
        <v/>
      </c>
      <c r="O2575" s="17">
        <f>-(K2575*0.025+L2575*0.025)</f>
        <v/>
      </c>
      <c r="P2575" s="17">
        <f>32</f>
        <v/>
      </c>
      <c r="Q2575" s="17">
        <f>J2575+L2575+N2575+O2575-P2575-M2575</f>
        <v/>
      </c>
    </row>
    <row r="2576">
      <c r="A2576" s="16" t="inlineStr">
        <is>
          <t>5.22-5.28</t>
        </is>
      </c>
      <c r="B2576" s="16" t="inlineStr">
        <is>
          <t>PO-128-08986967951993232</t>
        </is>
      </c>
      <c r="C2576" s="16" t="inlineStr">
        <is>
          <t>Shipped</t>
        </is>
      </c>
      <c r="D2576" s="16" t="inlineStr">
        <is>
          <t>128-08987050855033232</t>
        </is>
      </c>
      <c r="E2576" s="16" t="inlineStr">
        <is>
          <t>Shipped</t>
        </is>
      </c>
      <c r="F2576" s="16" t="inlineStr">
        <is>
          <t>LB02235-blanco</t>
        </is>
      </c>
      <c r="G2576" s="16" t="inlineStr">
        <is>
          <t>Audífonos Inalámbricos para la Cabeza, Recargables y Multifuncionales - Conectan a Varios Dispositivos, soportan Radio FM, Tarjeta TF y AUX - 4 Horas de Reproducción Musical - Ideal para Trabajo Cotidiano, Juegos y Estudio</t>
        </is>
      </c>
      <c r="H2576" s="16" t="inlineStr">
        <is>
          <t>BLANCO</t>
        </is>
      </c>
      <c r="I2576" s="16" t="n">
        <v>1</v>
      </c>
      <c r="J2576" s="17" t="n">
        <v>36.8</v>
      </c>
      <c r="K2576" s="17" t="n">
        <v>49.91</v>
      </c>
      <c r="L2576" s="17" t="n">
        <v>25.86</v>
      </c>
      <c r="M2576" s="17" t="n">
        <v>0</v>
      </c>
      <c r="N2576" s="17">
        <f>K2576*0.08+L2576*0.08</f>
        <v/>
      </c>
      <c r="O2576" s="17">
        <f>-(K2576*0.025+L2576*0.025)</f>
        <v/>
      </c>
      <c r="P2576" s="17">
        <f>32</f>
        <v/>
      </c>
      <c r="Q2576" s="17">
        <f>J2576+L2576+N2576+O2576-P2576-M2576</f>
        <v/>
      </c>
    </row>
    <row r="2577">
      <c r="A2577" s="16" t="inlineStr">
        <is>
          <t>5.22-5.28</t>
        </is>
      </c>
      <c r="B2577" s="16" t="inlineStr">
        <is>
          <t>PO-128-16371031358070180</t>
        </is>
      </c>
      <c r="C2577" s="16" t="inlineStr">
        <is>
          <t>Delivered</t>
        </is>
      </c>
      <c r="D2577" s="16" t="inlineStr">
        <is>
          <t>128-16370989415030180</t>
        </is>
      </c>
      <c r="E2577" s="16" t="inlineStr">
        <is>
          <t>Delivered</t>
        </is>
      </c>
      <c r="F2577" s="16" t="inlineStr">
        <is>
          <t>LB02235-azul</t>
        </is>
      </c>
      <c r="G2577" s="16" t="inlineStr">
        <is>
          <t>Audífonos Inalámbricos para la Cabeza, Recargables y Multifuncionales - Conectan a Varios Dispositivos, soportan Radio FM, Tarjeta TF y AUX - 4 Horas de Reproducción Musical - Ideal para Trabajo Cotidiano, Juegos y Estudio</t>
        </is>
      </c>
      <c r="H2577" s="16" t="inlineStr">
        <is>
          <t>AZUL</t>
        </is>
      </c>
      <c r="I2577" s="16" t="n">
        <v>1</v>
      </c>
      <c r="J2577" s="17" t="n">
        <v>36</v>
      </c>
      <c r="K2577" s="17" t="n">
        <v>49.11</v>
      </c>
      <c r="L2577" s="17" t="n">
        <v>0</v>
      </c>
      <c r="M2577" s="17" t="n">
        <v>0</v>
      </c>
      <c r="N2577" s="17">
        <f>K2577*0.08+L2577*0.08</f>
        <v/>
      </c>
      <c r="O2577" s="17">
        <f>-(K2577*0.025+L2577*0.025)</f>
        <v/>
      </c>
      <c r="P2577" s="17">
        <f>32</f>
        <v/>
      </c>
      <c r="Q2577" s="17">
        <f>J2577+L2577+N2577+O2577-P2577-M2577</f>
        <v/>
      </c>
    </row>
    <row r="2578">
      <c r="A2578" s="16" t="inlineStr">
        <is>
          <t>5.22-5.28</t>
        </is>
      </c>
      <c r="B2578" s="16" t="inlineStr">
        <is>
          <t>PO-128-16371031358070180</t>
        </is>
      </c>
      <c r="C2578" s="16" t="inlineStr">
        <is>
          <t>Delivered</t>
        </is>
      </c>
      <c r="D2578" s="16" t="inlineStr">
        <is>
          <t>128-16370926500470180</t>
        </is>
      </c>
      <c r="E2578" s="16" t="inlineStr">
        <is>
          <t>Delivered</t>
        </is>
      </c>
      <c r="F2578" s="16" t="inlineStr">
        <is>
          <t>LB02235-negro</t>
        </is>
      </c>
      <c r="G2578" s="16" t="inlineStr">
        <is>
          <t>Audífonos Inalámbricos para la Cabeza, Recargables y Multifuncionales - Conectan a Varios Dispositivos, soportan Radio FM, Tarjeta TF y AUX - 4 Horas de Reproducción Musical - Ideal para Trabajo Cotidiano, Juegos y Estudio</t>
        </is>
      </c>
      <c r="H2578" s="16" t="inlineStr">
        <is>
          <t>NEGRO</t>
        </is>
      </c>
      <c r="I2578" s="16" t="n">
        <v>2</v>
      </c>
      <c r="J2578" s="17" t="n">
        <v>73.59999999999999</v>
      </c>
      <c r="K2578" s="17" t="n">
        <v>99.81999999999999</v>
      </c>
      <c r="L2578" s="17" t="n">
        <v>0</v>
      </c>
      <c r="M2578" s="17" t="n">
        <v>0</v>
      </c>
      <c r="N2578" s="17">
        <f>K2578*0.08+L2578*0.08</f>
        <v/>
      </c>
      <c r="O2578" s="17">
        <f>-(K2578*0.025+L2578*0.025)</f>
        <v/>
      </c>
      <c r="P2578" s="17">
        <f>32</f>
        <v/>
      </c>
      <c r="Q2578" s="17">
        <f>J2578+L2578+N2578+O2578-P2578-M2578</f>
        <v/>
      </c>
    </row>
    <row r="2579">
      <c r="A2579" s="16" t="inlineStr">
        <is>
          <t>5.22-5.28</t>
        </is>
      </c>
      <c r="B2579" s="16" t="inlineStr">
        <is>
          <t>PO-128-16371031358070180</t>
        </is>
      </c>
      <c r="C2579" s="16" t="inlineStr">
        <is>
          <t>Delivered</t>
        </is>
      </c>
      <c r="D2579" s="16" t="inlineStr">
        <is>
          <t>128-16371010386550180</t>
        </is>
      </c>
      <c r="E2579" s="16" t="inlineStr">
        <is>
          <t>Delivered</t>
        </is>
      </c>
      <c r="F2579" s="16" t="inlineStr">
        <is>
          <t>LB02235-blanco</t>
        </is>
      </c>
      <c r="G2579" s="16" t="inlineStr">
        <is>
          <t>Audífonos Inalámbricos para la Cabeza, Recargables y Multifuncionales - Conectan a Varios Dispositivos, soportan Radio FM, Tarjeta TF y AUX - 4 Horas de Reproducción Musical - Ideal para Trabajo Cotidiano, Juegos y Estudio</t>
        </is>
      </c>
      <c r="H2579" s="16" t="inlineStr">
        <is>
          <t>BLANCO</t>
        </is>
      </c>
      <c r="I2579" s="16" t="n">
        <v>2</v>
      </c>
      <c r="J2579" s="17" t="n">
        <v>73.59999999999999</v>
      </c>
      <c r="K2579" s="17" t="n">
        <v>99.81999999999999</v>
      </c>
      <c r="L2579" s="17" t="n">
        <v>0</v>
      </c>
      <c r="M2579" s="17" t="n">
        <v>0</v>
      </c>
      <c r="N2579" s="17">
        <f>K2579*0.08+L2579*0.08</f>
        <v/>
      </c>
      <c r="O2579" s="17">
        <f>-(K2579*0.025+L2579*0.025)</f>
        <v/>
      </c>
      <c r="P2579" s="17">
        <f>32</f>
        <v/>
      </c>
      <c r="Q2579" s="17">
        <f>J2579+L2579+N2579+O2579-P2579-M2579</f>
        <v/>
      </c>
    </row>
    <row r="2580">
      <c r="A2580" s="16" t="inlineStr">
        <is>
          <t>5.22-5.28</t>
        </is>
      </c>
      <c r="B2580" s="16" t="inlineStr">
        <is>
          <t>PO-128-16371031358070180</t>
        </is>
      </c>
      <c r="C2580" s="16" t="inlineStr">
        <is>
          <t>Delivered</t>
        </is>
      </c>
      <c r="D2580" s="16" t="inlineStr">
        <is>
          <t>128-16370947471990180</t>
        </is>
      </c>
      <c r="E2580" s="16" t="inlineStr">
        <is>
          <t>Delivered</t>
        </is>
      </c>
      <c r="F2580" s="16" t="inlineStr">
        <is>
          <t>LB02235-rojo</t>
        </is>
      </c>
      <c r="G2580" s="16" t="inlineStr">
        <is>
          <t>Audífonos Inalámbricos para la Cabeza, Recargables y Multifuncionales - Conectan a Varios Dispositivos, soportan Radio FM, Tarjeta TF y AUX - 4 Horas de Reproducción Musical - Ideal para Trabajo Cotidiano, Juegos y Estudio</t>
        </is>
      </c>
      <c r="H2580" s="16" t="inlineStr">
        <is>
          <t>ROJO</t>
        </is>
      </c>
      <c r="I2580" s="16" t="n">
        <v>1</v>
      </c>
      <c r="J2580" s="17" t="n">
        <v>36.8</v>
      </c>
      <c r="K2580" s="17" t="n">
        <v>49.91</v>
      </c>
      <c r="L2580" s="17" t="n">
        <v>0</v>
      </c>
      <c r="M2580" s="17" t="n">
        <v>0</v>
      </c>
      <c r="N2580" s="17">
        <f>K2580*0.08+L2580*0.08</f>
        <v/>
      </c>
      <c r="O2580" s="17">
        <f>-(K2580*0.025+L2580*0.025)</f>
        <v/>
      </c>
      <c r="P2580" s="17">
        <f>32</f>
        <v/>
      </c>
      <c r="Q2580" s="17">
        <f>J2580+L2580+N2580+O2580-P2580-M2580</f>
        <v/>
      </c>
    </row>
    <row r="2581">
      <c r="A2581" s="16" t="inlineStr">
        <is>
          <t>5.22-5.28</t>
        </is>
      </c>
      <c r="B2581" s="16" t="inlineStr">
        <is>
          <t>PO-128-16461231135350730</t>
        </is>
      </c>
      <c r="C2581" s="16" t="inlineStr">
        <is>
          <t>Delivered</t>
        </is>
      </c>
      <c r="D2581" s="16" t="inlineStr">
        <is>
          <t>128-16461178706550730</t>
        </is>
      </c>
      <c r="E2581" s="16" t="inlineStr">
        <is>
          <t>Delivered</t>
        </is>
      </c>
      <c r="F2581" s="16" t="inlineStr">
        <is>
          <t>FA028</t>
        </is>
      </c>
      <c r="G2581" s="16" t="inlineStr">
        <is>
          <t>Extractor de agua para garrafas de agua, compatible con carga USB, extractor de agua automático, práctico, con dos modos de toma de agua: manual y programado, ideal para dormitorios, salones, oficinas, uso al aire libre y otros escenarios.</t>
        </is>
      </c>
      <c r="H2581" s="16" t="inlineStr">
        <is>
          <t>FA028</t>
        </is>
      </c>
      <c r="I2581" s="16" t="n">
        <v>1</v>
      </c>
      <c r="J2581" s="17" t="n">
        <v>35</v>
      </c>
      <c r="K2581" s="17" t="n">
        <v>37.56</v>
      </c>
      <c r="L2581" s="17" t="n">
        <v>25.86</v>
      </c>
      <c r="M2581" s="17" t="n">
        <v>0</v>
      </c>
      <c r="N2581" s="17">
        <f>K2581*0.08+L2581*0.08</f>
        <v/>
      </c>
      <c r="O2581" s="17">
        <f>-(K2581*0.025+L2581*0.025)</f>
        <v/>
      </c>
      <c r="P2581" s="17">
        <f>32</f>
        <v/>
      </c>
      <c r="Q2581" s="17">
        <f>J2581+L2581+N2581+O2581-P2581-M2581</f>
        <v/>
      </c>
    </row>
    <row r="2582">
      <c r="A2582" s="16" t="inlineStr">
        <is>
          <t>5.22-5.28</t>
        </is>
      </c>
      <c r="B2582" s="16" t="inlineStr">
        <is>
          <t>PO-128-16433744487030830</t>
        </is>
      </c>
      <c r="C2582" s="16" t="inlineStr">
        <is>
          <t>Delivered</t>
        </is>
      </c>
      <c r="D2582" s="16" t="inlineStr">
        <is>
          <t>128-16433786307190830</t>
        </is>
      </c>
      <c r="E2582" s="16" t="inlineStr">
        <is>
          <t>Delivered</t>
        </is>
      </c>
      <c r="F2582" s="16" t="inlineStr">
        <is>
          <t>S09W18IB</t>
        </is>
      </c>
      <c r="G258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582" s="16" t="inlineStr">
        <is>
          <t>1 pieza</t>
        </is>
      </c>
      <c r="I2582" s="16" t="n">
        <v>3</v>
      </c>
      <c r="J2582" s="17" t="n">
        <v>99</v>
      </c>
      <c r="K2582" s="17" t="n">
        <v>130.92</v>
      </c>
      <c r="L2582" s="17" t="n">
        <v>25.86</v>
      </c>
      <c r="M2582" s="17" t="n">
        <v>0</v>
      </c>
      <c r="N2582" s="17">
        <f>K2582*0.08+L2582*0.08</f>
        <v/>
      </c>
      <c r="O2582" s="17">
        <f>-(K2582*0.025+L2582*0.025)</f>
        <v/>
      </c>
      <c r="P2582" s="17">
        <f>32</f>
        <v/>
      </c>
      <c r="Q2582" s="17">
        <f>J2582+L2582+N2582+O2582-P2582-M2582</f>
        <v/>
      </c>
    </row>
    <row r="2583">
      <c r="A2583" s="16" t="inlineStr">
        <is>
          <t>5.22-5.28</t>
        </is>
      </c>
      <c r="B2583" s="16" t="inlineStr">
        <is>
          <t>PO-128-15914092124793865</t>
        </is>
      </c>
      <c r="C2583" s="16" t="inlineStr">
        <is>
          <t>Delivered</t>
        </is>
      </c>
      <c r="D2583" s="16" t="inlineStr">
        <is>
          <t>128-15914071153273865</t>
        </is>
      </c>
      <c r="E2583" s="16" t="inlineStr">
        <is>
          <t>Delivered</t>
        </is>
      </c>
      <c r="F2583" s="16" t="inlineStr">
        <is>
          <t>LB02235-negro</t>
        </is>
      </c>
      <c r="G2583" s="16" t="inlineStr">
        <is>
          <t>Audífonos Inalámbricos para la Cabeza, Recargables y Multifuncionales - Conectan a Varios Dispositivos, soportan Radio FM, Tarjeta TF y AUX - 4 Horas de Reproducción Musical - Ideal para Trabajo Cotidiano, Juegos y Estudio</t>
        </is>
      </c>
      <c r="H2583" s="16" t="inlineStr">
        <is>
          <t>NEGRO</t>
        </is>
      </c>
      <c r="I2583" s="16" t="n">
        <v>1</v>
      </c>
      <c r="J2583" s="17" t="n">
        <v>36.8</v>
      </c>
      <c r="K2583" s="17" t="n">
        <v>49.91</v>
      </c>
      <c r="L2583" s="17" t="n">
        <v>25.86</v>
      </c>
      <c r="M2583" s="17" t="n">
        <v>0</v>
      </c>
      <c r="N2583" s="17">
        <f>K2583*0.08+L2583*0.08</f>
        <v/>
      </c>
      <c r="O2583" s="17">
        <f>-(K2583*0.025+L2583*0.025)</f>
        <v/>
      </c>
      <c r="P2583" s="17">
        <f>32</f>
        <v/>
      </c>
      <c r="Q2583" s="17">
        <f>J2583+L2583+N2583+O2583-P2583-M2583</f>
        <v/>
      </c>
    </row>
    <row r="2584">
      <c r="A2584" s="16" t="inlineStr">
        <is>
          <t>5.22-5.28</t>
        </is>
      </c>
      <c r="B2584" s="16" t="inlineStr">
        <is>
          <t>PO-128-15902420280954063</t>
        </is>
      </c>
      <c r="C2584" s="16" t="inlineStr">
        <is>
          <t>Delivered</t>
        </is>
      </c>
      <c r="D2584" s="16" t="inlineStr">
        <is>
          <t>128-15902378337914063</t>
        </is>
      </c>
      <c r="E2584" s="16" t="inlineStr">
        <is>
          <t>Delivered</t>
        </is>
      </c>
      <c r="F2584" s="16" t="inlineStr">
        <is>
          <t>LB02235-negro</t>
        </is>
      </c>
      <c r="G2584" s="16" t="inlineStr">
        <is>
          <t>Audífonos Inalámbricos para la Cabeza, Recargables y Multifuncionales - Conectan a Varios Dispositivos, soportan Radio FM, Tarjeta TF y AUX - 4 Horas de Reproducción Musical - Ideal para Trabajo Cotidiano, Juegos y Estudio</t>
        </is>
      </c>
      <c r="H2584" s="16" t="inlineStr">
        <is>
          <t>NEGRO</t>
        </is>
      </c>
      <c r="I2584" s="16" t="n">
        <v>1</v>
      </c>
      <c r="J2584" s="17" t="n">
        <v>36.8</v>
      </c>
      <c r="K2584" s="17" t="n">
        <v>6.81</v>
      </c>
      <c r="L2584" s="17" t="n">
        <v>25.86</v>
      </c>
      <c r="M2584" s="17" t="n">
        <v>0</v>
      </c>
      <c r="N2584" s="17">
        <f>K2584*0.08+L2584*0.08</f>
        <v/>
      </c>
      <c r="O2584" s="17">
        <f>-(K2584*0.025+L2584*0.025)</f>
        <v/>
      </c>
      <c r="P2584" s="17">
        <f>32</f>
        <v/>
      </c>
      <c r="Q2584" s="17">
        <f>J2584+L2584+N2584+O2584-P2584-M2584</f>
        <v/>
      </c>
    </row>
    <row r="2585">
      <c r="A2585" s="16" t="inlineStr">
        <is>
          <t>5.22-5.28</t>
        </is>
      </c>
      <c r="B2585" s="16" t="inlineStr">
        <is>
          <t>PO-128-05441966042230810</t>
        </is>
      </c>
      <c r="C2585" s="16" t="inlineStr">
        <is>
          <t>Delivered</t>
        </is>
      </c>
      <c r="D2585" s="16" t="inlineStr">
        <is>
          <t>128-05441987013750810</t>
        </is>
      </c>
      <c r="E2585" s="16" t="inlineStr">
        <is>
          <t>Delivered</t>
        </is>
      </c>
      <c r="F2585" s="16" t="inlineStr">
        <is>
          <t>MB-178-N</t>
        </is>
      </c>
      <c r="G2585" s="16" t="inlineStr">
        <is>
          <t>Bocina de Barra Bluetooth LINK BITS con dos altavoces, sonido de alta calidad y multifuncional (Bluetooth, Radio FM, USB, TF, AUX, TWS), ideal para juegos, reuniones, oficina y cine en casa.</t>
        </is>
      </c>
      <c r="H2585" s="16" t="inlineStr">
        <is>
          <t>NEGRO</t>
        </is>
      </c>
      <c r="I2585" s="16" t="n">
        <v>1</v>
      </c>
      <c r="J2585" s="17" t="n">
        <v>125</v>
      </c>
      <c r="K2585" s="17" t="n">
        <v>144.34</v>
      </c>
      <c r="L2585" s="17" t="n">
        <v>25.86</v>
      </c>
      <c r="M2585" s="17" t="n">
        <v>0</v>
      </c>
      <c r="N2585" s="17">
        <f>K2585*0.08+L2585*0.08</f>
        <v/>
      </c>
      <c r="O2585" s="17">
        <f>-(K2585*0.025+L2585*0.025)</f>
        <v/>
      </c>
      <c r="P2585" s="17">
        <f>32</f>
        <v/>
      </c>
      <c r="Q2585" s="17">
        <f>J2585+L2585+N2585+O2585-P2585-M2585</f>
        <v/>
      </c>
    </row>
    <row r="2586">
      <c r="A2586" s="16" t="inlineStr">
        <is>
          <t>5.22-5.28</t>
        </is>
      </c>
      <c r="B2586" s="16" t="inlineStr">
        <is>
          <t>PO-128-05406313147510126</t>
        </is>
      </c>
      <c r="C2586" s="16" t="inlineStr">
        <is>
          <t>Delivered</t>
        </is>
      </c>
      <c r="D2586" s="16" t="inlineStr">
        <is>
          <t>128-05406418005110126</t>
        </is>
      </c>
      <c r="E2586" s="16" t="inlineStr">
        <is>
          <t>Delivered</t>
        </is>
      </c>
      <c r="F2586" s="16" t="inlineStr">
        <is>
          <t>SA325T</t>
        </is>
      </c>
      <c r="G2586" s="16" t="inlineStr">
        <is>
          <t>Subwoofer Portátil Inalámbrico con Luces RGB, Sonido de Alta Potencia y Batería Duradera, TWS TF USB, Perfecto para Campamento Fiestas y Entretenimiento en Casa</t>
        </is>
      </c>
      <c r="H2586" s="16" t="inlineStr">
        <is>
          <t>NEGRO</t>
        </is>
      </c>
      <c r="I2586" s="16" t="n">
        <v>6</v>
      </c>
      <c r="J2586" s="17" t="n">
        <v>227.94</v>
      </c>
      <c r="K2586" s="17" t="n">
        <v>225.72</v>
      </c>
      <c r="L2586" s="17" t="n">
        <v>0</v>
      </c>
      <c r="M2586" s="17" t="n">
        <v>9.539999999999999</v>
      </c>
      <c r="N2586" s="17">
        <f>K2586*0.08+L2586*0.08</f>
        <v/>
      </c>
      <c r="O2586" s="17">
        <f>-(K2586*0.025+L2586*0.025)</f>
        <v/>
      </c>
      <c r="P2586" s="17">
        <f>32</f>
        <v/>
      </c>
      <c r="Q2586" s="17">
        <f>J2586+L2586+N2586+O2586-P2586-M2586</f>
        <v/>
      </c>
    </row>
    <row r="2587">
      <c r="A2587" s="16" t="inlineStr">
        <is>
          <t>5.22-5.28</t>
        </is>
      </c>
      <c r="B2587" s="16" t="inlineStr">
        <is>
          <t>PO-128-05082859308153014</t>
        </is>
      </c>
      <c r="C2587" s="16" t="inlineStr">
        <is>
          <t>Delivered</t>
        </is>
      </c>
      <c r="D2587" s="16" t="inlineStr">
        <is>
          <t>128-05082964165753014</t>
        </is>
      </c>
      <c r="E2587" s="16" t="inlineStr">
        <is>
          <t>Delivered</t>
        </is>
      </c>
      <c r="F2587" s="16" t="inlineStr">
        <is>
          <t>SA8058T</t>
        </is>
      </c>
      <c r="G2587"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2587" s="16" t="inlineStr">
        <is>
          <t>SA8058T</t>
        </is>
      </c>
      <c r="I2587" s="16" t="n">
        <v>1</v>
      </c>
      <c r="J2587" s="17" t="n">
        <v>220</v>
      </c>
      <c r="K2587" s="17" t="n">
        <v>213.22</v>
      </c>
      <c r="L2587" s="17" t="n">
        <v>25.86</v>
      </c>
      <c r="M2587" s="17" t="n">
        <v>0</v>
      </c>
      <c r="N2587" s="17">
        <f>K2587*0.08+L2587*0.08</f>
        <v/>
      </c>
      <c r="O2587" s="17">
        <f>-(K2587*0.025+L2587*0.025)</f>
        <v/>
      </c>
      <c r="P2587" s="17">
        <f>32</f>
        <v/>
      </c>
      <c r="Q2587" s="17">
        <f>J2587+L2587+N2587+O2587-P2587-M2587</f>
        <v/>
      </c>
    </row>
    <row r="2588">
      <c r="A2588" s="16" t="inlineStr">
        <is>
          <t>5.22-5.28</t>
        </is>
      </c>
      <c r="B2588" s="16" t="inlineStr">
        <is>
          <t>PO-128-04983922465912452</t>
        </is>
      </c>
      <c r="C2588" s="16" t="inlineStr">
        <is>
          <t>Delivered</t>
        </is>
      </c>
      <c r="D2588" s="16" t="inlineStr">
        <is>
          <t>128-04983911980152452</t>
        </is>
      </c>
      <c r="E2588" s="16" t="inlineStr">
        <is>
          <t>Delivered</t>
        </is>
      </c>
      <c r="F2588" s="16" t="inlineStr">
        <is>
          <t>LB02235-negro</t>
        </is>
      </c>
      <c r="G2588" s="16" t="inlineStr">
        <is>
          <t>Audífonos Inalámbricos para la Cabeza, Recargables y Multifuncionales - Conectan a Varios Dispositivos, soportan Radio FM, Tarjeta TF y AUX - 4 Horas de Reproducción Musical - Ideal para Trabajo Cotidiano, Juegos y Estudio</t>
        </is>
      </c>
      <c r="H2588" s="16" t="inlineStr">
        <is>
          <t>NEGRO</t>
        </is>
      </c>
      <c r="I2588" s="16" t="n">
        <v>1</v>
      </c>
      <c r="J2588" s="17" t="n">
        <v>36.8</v>
      </c>
      <c r="K2588" s="17" t="n">
        <v>40.25</v>
      </c>
      <c r="L2588" s="17" t="n">
        <v>25.86</v>
      </c>
      <c r="M2588" s="17" t="n">
        <v>0</v>
      </c>
      <c r="N2588" s="17">
        <f>K2588*0.08+L2588*0.08</f>
        <v/>
      </c>
      <c r="O2588" s="17">
        <f>-(K2588*0.025+L2588*0.025)</f>
        <v/>
      </c>
      <c r="P2588" s="17">
        <f>32</f>
        <v/>
      </c>
      <c r="Q2588" s="17">
        <f>J2588+L2588+N2588+O2588-P2588-M2588</f>
        <v/>
      </c>
    </row>
    <row r="2589">
      <c r="A2589" s="16" t="inlineStr">
        <is>
          <t>5.22-5.28</t>
        </is>
      </c>
      <c r="B2589" s="16" t="inlineStr">
        <is>
          <t>PO-128-05389149028470231</t>
        </is>
      </c>
      <c r="C2589" s="16" t="inlineStr">
        <is>
          <t>Delivered</t>
        </is>
      </c>
      <c r="D2589" s="16" t="inlineStr">
        <is>
          <t>128-05389159514230231</t>
        </is>
      </c>
      <c r="E2589" s="16" t="inlineStr">
        <is>
          <t>Delivered</t>
        </is>
      </c>
      <c r="F2589" s="16" t="inlineStr">
        <is>
          <t>LB02235-negro</t>
        </is>
      </c>
      <c r="G2589" s="16" t="inlineStr">
        <is>
          <t>Audífonos Inalámbricos para la Cabeza, Recargables y Multifuncionales - Conectan a Varios Dispositivos, soportan Radio FM, Tarjeta TF y AUX - 4 Horas de Reproducción Musical - Ideal para Trabajo Cotidiano, Juegos y Estudio</t>
        </is>
      </c>
      <c r="H2589" s="16" t="inlineStr">
        <is>
          <t>NEGRO</t>
        </is>
      </c>
      <c r="I2589" s="16" t="n">
        <v>1</v>
      </c>
      <c r="J2589" s="17" t="n">
        <v>36.8</v>
      </c>
      <c r="K2589" s="17" t="n">
        <v>49.91</v>
      </c>
      <c r="L2589" s="17" t="n">
        <v>25.86</v>
      </c>
      <c r="M2589" s="17" t="n">
        <v>0</v>
      </c>
      <c r="N2589" s="17">
        <f>K2589*0.08+L2589*0.08</f>
        <v/>
      </c>
      <c r="O2589" s="17">
        <f>-(K2589*0.025+L2589*0.025)</f>
        <v/>
      </c>
      <c r="P2589" s="17">
        <f>32</f>
        <v/>
      </c>
      <c r="Q2589" s="17">
        <f>J2589+L2589+N2589+O2589-P2589-M2589</f>
        <v/>
      </c>
    </row>
    <row r="2590">
      <c r="A2590" s="16" t="inlineStr">
        <is>
          <t>5.22-5.28</t>
        </is>
      </c>
      <c r="B2590" s="16" t="inlineStr">
        <is>
          <t>PO-128-04890502602873139</t>
        </is>
      </c>
      <c r="C2590" s="16" t="inlineStr">
        <is>
          <t>Delivered</t>
        </is>
      </c>
      <c r="D2590" s="16" t="inlineStr">
        <is>
          <t>128-04890523574393139</t>
        </is>
      </c>
      <c r="E2590" s="16" t="inlineStr">
        <is>
          <t>Delivered</t>
        </is>
      </c>
      <c r="F2590" s="16" t="inlineStr">
        <is>
          <t>LB02235-negro</t>
        </is>
      </c>
      <c r="G2590" s="16" t="inlineStr">
        <is>
          <t>Audífonos Inalámbricos para la Cabeza, Recargables y Multifuncionales - Conectan a Varios Dispositivos, soportan Radio FM, Tarjeta TF y AUX - 4 Horas de Reproducción Musical - Ideal para Trabajo Cotidiano, Juegos y Estudio</t>
        </is>
      </c>
      <c r="H2590" s="16" t="inlineStr">
        <is>
          <t>NEGRO</t>
        </is>
      </c>
      <c r="I2590" s="16" t="n">
        <v>1</v>
      </c>
      <c r="J2590" s="17" t="n">
        <v>36.8</v>
      </c>
      <c r="K2590" s="17" t="n">
        <v>49.91</v>
      </c>
      <c r="L2590" s="17" t="n">
        <v>25.86</v>
      </c>
      <c r="M2590" s="17" t="n">
        <v>0</v>
      </c>
      <c r="N2590" s="17">
        <f>K2590*0.08+L2590*0.08</f>
        <v/>
      </c>
      <c r="O2590" s="17">
        <f>-(K2590*0.025+L2590*0.025)</f>
        <v/>
      </c>
      <c r="P2590" s="17">
        <f>32</f>
        <v/>
      </c>
      <c r="Q2590" s="17">
        <f>J2590+L2590+N2590+O2590-P2590-M2590</f>
        <v/>
      </c>
    </row>
    <row r="2591">
      <c r="A2591" s="16" t="inlineStr">
        <is>
          <t>5.22-5.28</t>
        </is>
      </c>
      <c r="B2591" s="16" t="inlineStr">
        <is>
          <t>PO-128-04816447122553514</t>
        </is>
      </c>
      <c r="C2591" s="16" t="inlineStr">
        <is>
          <t>Delivered</t>
        </is>
      </c>
      <c r="D2591" s="16" t="inlineStr">
        <is>
          <t>128-04816443190393514</t>
        </is>
      </c>
      <c r="E2591" s="16" t="inlineStr">
        <is>
          <t>Delivered</t>
        </is>
      </c>
      <c r="F2591" s="16" t="inlineStr">
        <is>
          <t>LB02235-rojo</t>
        </is>
      </c>
      <c r="G2591" s="16" t="inlineStr">
        <is>
          <t>Audífonos Inalámbricos para la Cabeza, Recargables y Multifuncionales - Conectan a Varios Dispositivos, soportan Radio FM, Tarjeta TF y AUX - 4 Horas de Reproducción Musical - Ideal para Trabajo Cotidiano, Juegos y Estudio</t>
        </is>
      </c>
      <c r="H2591" s="16" t="inlineStr">
        <is>
          <t>ROJO</t>
        </is>
      </c>
      <c r="I2591" s="16" t="n">
        <v>1</v>
      </c>
      <c r="J2591" s="17" t="n">
        <v>36.8</v>
      </c>
      <c r="K2591" s="17" t="n">
        <v>43.78</v>
      </c>
      <c r="L2591" s="17" t="n">
        <v>25.86</v>
      </c>
      <c r="M2591" s="17" t="n">
        <v>0</v>
      </c>
      <c r="N2591" s="17">
        <f>K2591*0.08+L2591*0.08</f>
        <v/>
      </c>
      <c r="O2591" s="17">
        <f>-(K2591*0.025+L2591*0.025)</f>
        <v/>
      </c>
      <c r="P2591" s="17">
        <f>32</f>
        <v/>
      </c>
      <c r="Q2591" s="17">
        <f>J2591+L2591+N2591+O2591-P2591-M2591</f>
        <v/>
      </c>
    </row>
    <row r="2592">
      <c r="A2592" s="16" t="inlineStr">
        <is>
          <t>5.22-5.28</t>
        </is>
      </c>
      <c r="B2592" s="16" t="inlineStr">
        <is>
          <t>PO-128-05082621374073016</t>
        </is>
      </c>
      <c r="C2592" s="16" t="inlineStr">
        <is>
          <t>Delivered</t>
        </is>
      </c>
      <c r="D2592" s="16" t="inlineStr">
        <is>
          <t>128-05082647588473016</t>
        </is>
      </c>
      <c r="E2592" s="16" t="inlineStr">
        <is>
          <t>Delivered</t>
        </is>
      </c>
      <c r="F2592" s="16" t="inlineStr">
        <is>
          <t>LB02235-blanco</t>
        </is>
      </c>
      <c r="G2592" s="16" t="inlineStr">
        <is>
          <t>Audífonos Inalámbricos para la Cabeza, Recargables y Multifuncionales - Conectan a Varios Dispositivos, soportan Radio FM, Tarjeta TF y AUX - 4 Horas de Reproducción Musical - Ideal para Trabajo Cotidiano, Juegos y Estudio</t>
        </is>
      </c>
      <c r="H2592" s="16" t="inlineStr">
        <is>
          <t>BLANCO</t>
        </is>
      </c>
      <c r="I2592" s="16" t="n">
        <v>1</v>
      </c>
      <c r="J2592" s="17" t="n">
        <v>36.8</v>
      </c>
      <c r="K2592" s="17" t="n">
        <v>49.91</v>
      </c>
      <c r="L2592" s="17" t="n">
        <v>25.86</v>
      </c>
      <c r="M2592" s="17" t="n">
        <v>0</v>
      </c>
      <c r="N2592" s="17">
        <f>K2592*0.08+L2592*0.08</f>
        <v/>
      </c>
      <c r="O2592" s="17">
        <f>-(K2592*0.025+L2592*0.025)</f>
        <v/>
      </c>
      <c r="P2592" s="17">
        <f>32</f>
        <v/>
      </c>
      <c r="Q2592" s="17">
        <f>J2592+L2592+N2592+O2592-P2592-M2592</f>
        <v/>
      </c>
    </row>
    <row r="2593">
      <c r="A2593" s="16" t="inlineStr">
        <is>
          <t>5.22-5.28</t>
        </is>
      </c>
      <c r="B2593" s="16" t="inlineStr">
        <is>
          <t>PO-128-05229358234231119</t>
        </is>
      </c>
      <c r="C2593" s="16" t="inlineStr">
        <is>
          <t>Delivered</t>
        </is>
      </c>
      <c r="D2593" s="16" t="inlineStr">
        <is>
          <t>128-05229316291191119</t>
        </is>
      </c>
      <c r="E2593" s="16" t="inlineStr">
        <is>
          <t>Delivered</t>
        </is>
      </c>
      <c r="F2593" s="16" t="inlineStr">
        <is>
          <t>MB-178-N</t>
        </is>
      </c>
      <c r="G2593" s="16" t="inlineStr">
        <is>
          <t>Bocina de Barra Bluetooth LINK BITS con dos altavoces, sonido de alta calidad y multifuncional (Bluetooth, Radio FM, USB, TF, AUX, TWS), ideal para juegos, reuniones, oficina y cine en casa.</t>
        </is>
      </c>
      <c r="H2593" s="16" t="inlineStr">
        <is>
          <t>NEGRO</t>
        </is>
      </c>
      <c r="I2593" s="16" t="n">
        <v>1</v>
      </c>
      <c r="J2593" s="17" t="n">
        <v>125</v>
      </c>
      <c r="K2593" s="17" t="n">
        <v>115.48</v>
      </c>
      <c r="L2593" s="17" t="n">
        <v>25.86</v>
      </c>
      <c r="M2593" s="17" t="n">
        <v>0</v>
      </c>
      <c r="N2593" s="17">
        <f>K2593*0.08+L2593*0.08</f>
        <v/>
      </c>
      <c r="O2593" s="17">
        <f>-(K2593*0.025+L2593*0.025)</f>
        <v/>
      </c>
      <c r="P2593" s="17">
        <f>32</f>
        <v/>
      </c>
      <c r="Q2593" s="17">
        <f>J2593+L2593+N2593+O2593-P2593-M2593</f>
        <v/>
      </c>
    </row>
    <row r="2594">
      <c r="A2594" s="16" t="inlineStr">
        <is>
          <t>5.22-5.28</t>
        </is>
      </c>
      <c r="B2594" s="16" t="inlineStr">
        <is>
          <t>PO-128-05437539958390772</t>
        </is>
      </c>
      <c r="C2594" s="16" t="inlineStr">
        <is>
          <t>Delivered</t>
        </is>
      </c>
      <c r="D2594" s="16" t="inlineStr">
        <is>
          <t>128-05437581901430772</t>
        </is>
      </c>
      <c r="E2594" s="16" t="inlineStr">
        <is>
          <t>Delivered</t>
        </is>
      </c>
      <c r="F2594" s="16" t="inlineStr">
        <is>
          <t>LB02235-negro</t>
        </is>
      </c>
      <c r="G2594" s="16" t="inlineStr">
        <is>
          <t>Audífonos Inalámbricos para la Cabeza, Recargables y Multifuncionales - Conectan a Varios Dispositivos, soportan Radio FM, Tarjeta TF y AUX - 4 Horas de Reproducción Musical - Ideal para Trabajo Cotidiano, Juegos y Estudio</t>
        </is>
      </c>
      <c r="H2594" s="16" t="inlineStr">
        <is>
          <t>NEGRO</t>
        </is>
      </c>
      <c r="I2594" s="16" t="n">
        <v>1</v>
      </c>
      <c r="J2594" s="17" t="n">
        <v>36.8</v>
      </c>
      <c r="K2594" s="17" t="n">
        <v>49.91</v>
      </c>
      <c r="L2594" s="17" t="n">
        <v>25.86</v>
      </c>
      <c r="M2594" s="17" t="n">
        <v>0</v>
      </c>
      <c r="N2594" s="17">
        <f>K2594*0.08+L2594*0.08</f>
        <v/>
      </c>
      <c r="O2594" s="17">
        <f>-(K2594*0.025+L2594*0.025)</f>
        <v/>
      </c>
      <c r="P2594" s="17">
        <f>32</f>
        <v/>
      </c>
      <c r="Q2594" s="17">
        <f>J2594+L2594+N2594+O2594-P2594-M2594</f>
        <v/>
      </c>
    </row>
    <row r="2595">
      <c r="A2595" s="16" t="inlineStr">
        <is>
          <t>5.22-5.28</t>
        </is>
      </c>
      <c r="B2595" s="16" t="inlineStr">
        <is>
          <t>PO-128-05399031527030042</t>
        </is>
      </c>
      <c r="C2595" s="16" t="inlineStr">
        <is>
          <t>Delivered</t>
        </is>
      </c>
      <c r="D2595" s="16" t="inlineStr">
        <is>
          <t>128-05399052498550042</t>
        </is>
      </c>
      <c r="E2595" s="16" t="inlineStr">
        <is>
          <t>Delivered</t>
        </is>
      </c>
      <c r="F2595" s="16" t="inlineStr">
        <is>
          <t>VA880T</t>
        </is>
      </c>
      <c r="G259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595" s="16" t="inlineStr">
        <is>
          <t>1 pieza</t>
        </is>
      </c>
      <c r="I2595" s="16" t="n">
        <v>3</v>
      </c>
      <c r="J2595" s="17" t="n">
        <v>344.94</v>
      </c>
      <c r="K2595" s="17" t="n">
        <v>381.81</v>
      </c>
      <c r="L2595" s="17" t="n">
        <v>0</v>
      </c>
      <c r="M2595" s="17" t="n">
        <v>0</v>
      </c>
      <c r="N2595" s="17">
        <f>K2595*0.08+L2595*0.08</f>
        <v/>
      </c>
      <c r="O2595" s="17">
        <f>-(K2595*0.025+L2595*0.025)</f>
        <v/>
      </c>
      <c r="P2595" s="17">
        <f>32</f>
        <v/>
      </c>
      <c r="Q2595" s="17">
        <f>J2595+L2595+N2595+O2595-P2595-M2595</f>
        <v/>
      </c>
    </row>
    <row r="2596">
      <c r="A2596" s="16" t="inlineStr">
        <is>
          <t>5.22-5.28</t>
        </is>
      </c>
      <c r="B2596" s="16" t="inlineStr">
        <is>
          <t>PO-128-05173866322551512</t>
        </is>
      </c>
      <c r="C2596" s="16" t="inlineStr">
        <is>
          <t>Delivered</t>
        </is>
      </c>
      <c r="D2596" s="16" t="inlineStr">
        <is>
          <t>128-05173785057911512</t>
        </is>
      </c>
      <c r="E2596" s="16" t="inlineStr">
        <is>
          <t>Delivered</t>
        </is>
      </c>
      <c r="F2596" s="16" t="inlineStr">
        <is>
          <t>000089-50PZS</t>
        </is>
      </c>
      <c r="G2596" s="16" t="inlineStr">
        <is>
          <t>Mascarillas Infantiles KF94 50 pcs, Cuatro Capas de Protección con Tejido de Fusión Filtrante, Patrones Divertidos, Piel Amigable y Transpirable</t>
        </is>
      </c>
      <c r="H2596" s="16" t="inlineStr">
        <is>
          <t>50PZS/NINA ESTAMPADO</t>
        </is>
      </c>
      <c r="I2596" s="16" t="n">
        <v>1</v>
      </c>
      <c r="J2596" s="17" t="n">
        <v>113</v>
      </c>
      <c r="K2596" s="17" t="n">
        <v>145.59</v>
      </c>
      <c r="L2596" s="17" t="n">
        <v>25.86</v>
      </c>
      <c r="M2596" s="17" t="n">
        <v>0</v>
      </c>
      <c r="N2596" s="17">
        <f>K2596*0.08+L2596*0.08</f>
        <v/>
      </c>
      <c r="O2596" s="17">
        <f>-(K2596*0.025+L2596*0.025)</f>
        <v/>
      </c>
      <c r="P2596" s="17">
        <f>32</f>
        <v/>
      </c>
      <c r="Q2596" s="17">
        <f>J2596+L2596+N2596+O2596-P2596-M2596</f>
        <v/>
      </c>
    </row>
    <row r="2597">
      <c r="A2597" s="16" t="inlineStr">
        <is>
          <t>5.22-5.28</t>
        </is>
      </c>
      <c r="B2597" s="16" t="inlineStr">
        <is>
          <t>PO-128-04825493223033524</t>
        </is>
      </c>
      <c r="C2597" s="16" t="inlineStr">
        <is>
          <t>Delivered</t>
        </is>
      </c>
      <c r="D2597" s="16" t="inlineStr">
        <is>
          <t>128-04825474872953524</t>
        </is>
      </c>
      <c r="E2597" s="16" t="inlineStr">
        <is>
          <t>Delivered</t>
        </is>
      </c>
      <c r="F2597" s="16" t="inlineStr">
        <is>
          <t>KTS-1678V</t>
        </is>
      </c>
      <c r="G2597" s="16" t="inlineStr">
        <is>
          <t>Bocina portátil Inalámbrico, de 3 pulgadas, tamaño de bolsillo, 170 g, con asa, compatible con TF, USB y Micro SD, con radio FM y función TWS (True Wireless Stereo), adecuada para relajarse en casa o viajar al aire libre.</t>
        </is>
      </c>
      <c r="H2597" s="16" t="inlineStr">
        <is>
          <t>KTS-1678V</t>
        </is>
      </c>
      <c r="I2597" s="16" t="n">
        <v>1</v>
      </c>
      <c r="J2597" s="17" t="n">
        <v>42.5</v>
      </c>
      <c r="K2597" s="17" t="n">
        <v>50.78</v>
      </c>
      <c r="L2597" s="17" t="n">
        <v>25.86</v>
      </c>
      <c r="M2597" s="17" t="n">
        <v>0</v>
      </c>
      <c r="N2597" s="17">
        <f>K2597*0.08+L2597*0.08</f>
        <v/>
      </c>
      <c r="O2597" s="17">
        <f>-(K2597*0.025+L2597*0.025)</f>
        <v/>
      </c>
      <c r="P2597" s="17">
        <f>32</f>
        <v/>
      </c>
      <c r="Q2597" s="17">
        <f>J2597+L2597+N2597+O2597-P2597-M2597</f>
        <v/>
      </c>
    </row>
    <row r="2598">
      <c r="A2598" s="16" t="inlineStr">
        <is>
          <t>5.22-5.28</t>
        </is>
      </c>
      <c r="B2598" s="16" t="inlineStr">
        <is>
          <t>PO-128-05293269903991696</t>
        </is>
      </c>
      <c r="C2598" s="16" t="inlineStr">
        <is>
          <t>Delivered</t>
        </is>
      </c>
      <c r="D2598" s="16" t="inlineStr">
        <is>
          <t>128-05293311847031696</t>
        </is>
      </c>
      <c r="E2598" s="16" t="inlineStr">
        <is>
          <t>Delivered</t>
        </is>
      </c>
      <c r="F2598" s="16" t="inlineStr">
        <is>
          <t>VA880T</t>
        </is>
      </c>
      <c r="G259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598" s="16" t="inlineStr">
        <is>
          <t>1 pieza</t>
        </is>
      </c>
      <c r="I2598" s="16" t="n">
        <v>1</v>
      </c>
      <c r="J2598" s="17" t="n">
        <v>114.98</v>
      </c>
      <c r="K2598" s="17" t="n">
        <v>75.55</v>
      </c>
      <c r="L2598" s="17" t="n">
        <v>25.86</v>
      </c>
      <c r="M2598" s="17" t="n">
        <v>0</v>
      </c>
      <c r="N2598" s="17">
        <f>K2598*0.08+L2598*0.08</f>
        <v/>
      </c>
      <c r="O2598" s="17">
        <f>-(K2598*0.025+L2598*0.025)</f>
        <v/>
      </c>
      <c r="P2598" s="17">
        <f>32</f>
        <v/>
      </c>
      <c r="Q2598" s="17">
        <f>J2598+L2598+N2598+O2598-P2598-M2598</f>
        <v/>
      </c>
    </row>
    <row r="2599">
      <c r="A2599" s="16" t="inlineStr">
        <is>
          <t>5.22-5.28</t>
        </is>
      </c>
      <c r="B2599" s="16" t="inlineStr">
        <is>
          <t>PO-128-04828327788153573</t>
        </is>
      </c>
      <c r="C2599" s="16" t="inlineStr">
        <is>
          <t>Delivered</t>
        </is>
      </c>
      <c r="D2599" s="16" t="inlineStr">
        <is>
          <t>128-04828338273913573</t>
        </is>
      </c>
      <c r="E2599" s="16" t="inlineStr">
        <is>
          <t>Delivered</t>
        </is>
      </c>
      <c r="F2599" s="16" t="inlineStr">
        <is>
          <t>S58W60</t>
        </is>
      </c>
      <c r="G2599"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2599" s="16" t="inlineStr">
        <is>
          <t>1 pieza</t>
        </is>
      </c>
      <c r="I2599" s="16" t="n">
        <v>1</v>
      </c>
      <c r="J2599" s="17" t="n">
        <v>59</v>
      </c>
      <c r="K2599" s="17" t="n">
        <v>76.53</v>
      </c>
      <c r="L2599" s="17" t="n">
        <v>25.86</v>
      </c>
      <c r="M2599" s="17" t="n">
        <v>0</v>
      </c>
      <c r="N2599" s="17">
        <f>K2599*0.08+L2599*0.08</f>
        <v/>
      </c>
      <c r="O2599" s="17">
        <f>-(K2599*0.025+L2599*0.025)</f>
        <v/>
      </c>
      <c r="P2599" s="17">
        <f>32</f>
        <v/>
      </c>
      <c r="Q2599" s="17">
        <f>J2599+L2599+N2599+O2599-P2599-M2599</f>
        <v/>
      </c>
    </row>
    <row r="2600">
      <c r="A2600" s="16" t="inlineStr">
        <is>
          <t>5.22-5.28</t>
        </is>
      </c>
      <c r="B2600" s="16" t="inlineStr">
        <is>
          <t>PO-128-05256553349752045</t>
        </is>
      </c>
      <c r="C2600" s="16" t="inlineStr">
        <is>
          <t>Delivered</t>
        </is>
      </c>
      <c r="D2600" s="16" t="inlineStr">
        <is>
          <t>128-05256521892472045</t>
        </is>
      </c>
      <c r="E2600" s="16" t="inlineStr">
        <is>
          <t>Delivered</t>
        </is>
      </c>
      <c r="F2600" s="16" t="inlineStr">
        <is>
          <t>FA028</t>
        </is>
      </c>
      <c r="G2600" s="16" t="inlineStr">
        <is>
          <t>Extractor de agua para garrafas de agua, compatible con carga USB, extractor de agua automático, práctico, con dos modos de toma de agua: manual y programado, ideal para dormitorios, salones, oficinas, uso al aire libre y otros escenarios.</t>
        </is>
      </c>
      <c r="H2600" s="16" t="inlineStr">
        <is>
          <t>FA028</t>
        </is>
      </c>
      <c r="I2600" s="16" t="n">
        <v>1</v>
      </c>
      <c r="J2600" s="17" t="n">
        <v>35</v>
      </c>
      <c r="K2600" s="17" t="n">
        <v>44.58</v>
      </c>
      <c r="L2600" s="17" t="n">
        <v>25.86</v>
      </c>
      <c r="M2600" s="17" t="n">
        <v>0</v>
      </c>
      <c r="N2600" s="17">
        <f>K2600*0.08+L2600*0.08</f>
        <v/>
      </c>
      <c r="O2600" s="17">
        <f>-(K2600*0.025+L2600*0.025)</f>
        <v/>
      </c>
      <c r="P2600" s="17">
        <f>32</f>
        <v/>
      </c>
      <c r="Q2600" s="17">
        <f>J2600+L2600+N2600+O2600-P2600-M2600</f>
        <v/>
      </c>
    </row>
    <row r="2601">
      <c r="A2601" s="16" t="inlineStr">
        <is>
          <t>5.22-5.28</t>
        </is>
      </c>
      <c r="B2601" s="16" t="inlineStr">
        <is>
          <t>PO-128-04868646139513269</t>
        </is>
      </c>
      <c r="C2601" s="16" t="inlineStr">
        <is>
          <t>Delivered</t>
        </is>
      </c>
      <c r="D2601" s="16" t="inlineStr">
        <is>
          <t>128-04868625167993269</t>
        </is>
      </c>
      <c r="E2601" s="16" t="inlineStr">
        <is>
          <t>Delivered</t>
        </is>
      </c>
      <c r="F2601" s="16" t="inlineStr">
        <is>
          <t>LB02235-negro</t>
        </is>
      </c>
      <c r="G2601" s="16" t="inlineStr">
        <is>
          <t>Audífonos Inalámbricos para la Cabeza, Recargables y Multifuncionales - Conectan a Varios Dispositivos, soportan Radio FM, Tarjeta TF y AUX - 4 Horas de Reproducción Musical - Ideal para Trabajo Cotidiano, Juegos y Estudio</t>
        </is>
      </c>
      <c r="H2601" s="16" t="inlineStr">
        <is>
          <t>NEGRO</t>
        </is>
      </c>
      <c r="I2601" s="16" t="n">
        <v>1</v>
      </c>
      <c r="J2601" s="17" t="n">
        <v>36.8</v>
      </c>
      <c r="K2601" s="17" t="n">
        <v>49.91</v>
      </c>
      <c r="L2601" s="17" t="n">
        <v>25.86</v>
      </c>
      <c r="M2601" s="17" t="n">
        <v>0</v>
      </c>
      <c r="N2601" s="17">
        <f>K2601*0.08+L2601*0.08</f>
        <v/>
      </c>
      <c r="O2601" s="17">
        <f>-(K2601*0.025+L2601*0.025)</f>
        <v/>
      </c>
      <c r="P2601" s="17">
        <f>32</f>
        <v/>
      </c>
      <c r="Q2601" s="17">
        <f>J2601+L2601+N2601+O2601-P2601-M2601</f>
        <v/>
      </c>
    </row>
    <row r="2602">
      <c r="A2602" s="16" t="inlineStr">
        <is>
          <t>5.22-5.28</t>
        </is>
      </c>
      <c r="B2602" s="16" t="inlineStr">
        <is>
          <t>PO-128-04938506163833941</t>
        </is>
      </c>
      <c r="C2602" s="16" t="inlineStr">
        <is>
          <t>Delivered</t>
        </is>
      </c>
      <c r="D2602" s="16" t="inlineStr">
        <is>
          <t>128-04938464220793941</t>
        </is>
      </c>
      <c r="E2602" s="16" t="inlineStr">
        <is>
          <t>Delivered</t>
        </is>
      </c>
      <c r="F2602" s="16" t="inlineStr">
        <is>
          <t>VA384T-R</t>
        </is>
      </c>
      <c r="G2602" s="16" t="inlineStr">
        <is>
          <t>Bocina Portátil Bluetooth de 3 Pulgadas con Radio FM, USB TF TWS, Sonido Estéreo 5W, Bocina Recargable para Hogar Exterior Viaje Fiesta Camping</t>
        </is>
      </c>
      <c r="H2602" s="16" t="inlineStr">
        <is>
          <t>ROJO</t>
        </is>
      </c>
      <c r="I2602" s="16" t="n">
        <v>1</v>
      </c>
      <c r="J2602" s="17" t="n">
        <v>50</v>
      </c>
      <c r="K2602" s="17" t="n">
        <v>48.58</v>
      </c>
      <c r="L2602" s="17" t="n">
        <v>25.86</v>
      </c>
      <c r="M2602" s="17" t="n">
        <v>0</v>
      </c>
      <c r="N2602" s="17">
        <f>K2602*0.08+L2602*0.08</f>
        <v/>
      </c>
      <c r="O2602" s="17">
        <f>-(K2602*0.025+L2602*0.025)</f>
        <v/>
      </c>
      <c r="P2602" s="17">
        <f>32</f>
        <v/>
      </c>
      <c r="Q2602" s="17">
        <f>J2602+L2602+N2602+O2602-P2602-M2602</f>
        <v/>
      </c>
    </row>
    <row r="2603">
      <c r="A2603" s="16" t="inlineStr">
        <is>
          <t>5.22-5.28</t>
        </is>
      </c>
      <c r="B2603" s="16" t="inlineStr">
        <is>
          <t>PO-128-05283236608631692</t>
        </is>
      </c>
      <c r="C2603" s="16" t="inlineStr">
        <is>
          <t>Delivered</t>
        </is>
      </c>
      <c r="D2603" s="16" t="inlineStr">
        <is>
          <t>128-05283304766071692</t>
        </is>
      </c>
      <c r="E2603" s="16" t="inlineStr">
        <is>
          <t>Delivered</t>
        </is>
      </c>
      <c r="F2603" s="16" t="inlineStr">
        <is>
          <t>LB02235-negro</t>
        </is>
      </c>
      <c r="G2603" s="16" t="inlineStr">
        <is>
          <t>Audífonos Inalámbricos para la Cabeza, Recargables y Multifuncionales - Conectan a Varios Dispositivos, soportan Radio FM, Tarjeta TF y AUX - 4 Horas de Reproducción Musical - Ideal para Trabajo Cotidiano, Juegos y Estudio</t>
        </is>
      </c>
      <c r="H2603" s="16" t="inlineStr">
        <is>
          <t>NEGRO</t>
        </is>
      </c>
      <c r="I2603" s="16" t="n">
        <v>1</v>
      </c>
      <c r="J2603" s="17" t="n">
        <v>36.8</v>
      </c>
      <c r="K2603" s="17" t="n">
        <v>49.91</v>
      </c>
      <c r="L2603" s="17" t="n">
        <v>12.93</v>
      </c>
      <c r="M2603" s="17" t="n">
        <v>0</v>
      </c>
      <c r="N2603" s="17">
        <f>K2603*0.08+L2603*0.08</f>
        <v/>
      </c>
      <c r="O2603" s="17">
        <f>-(K2603*0.025+L2603*0.025)</f>
        <v/>
      </c>
      <c r="P2603" s="17">
        <f>32</f>
        <v/>
      </c>
      <c r="Q2603" s="17">
        <f>J2603+L2603+N2603+O2603-P2603-M2603</f>
        <v/>
      </c>
    </row>
    <row r="2604">
      <c r="A2604" s="16" t="inlineStr">
        <is>
          <t>5.22-5.28</t>
        </is>
      </c>
      <c r="B2604" s="16" t="inlineStr">
        <is>
          <t>PO-128-05283236608631692</t>
        </is>
      </c>
      <c r="C2604" s="16" t="inlineStr">
        <is>
          <t>Delivered</t>
        </is>
      </c>
      <c r="D2604" s="16" t="inlineStr">
        <is>
          <t>128-05283283794551692</t>
        </is>
      </c>
      <c r="E2604" s="16" t="inlineStr">
        <is>
          <t>Delivered</t>
        </is>
      </c>
      <c r="F2604" s="16" t="inlineStr">
        <is>
          <t>LB02235-rojo</t>
        </is>
      </c>
      <c r="G2604" s="16" t="inlineStr">
        <is>
          <t>Audífonos Inalámbricos para la Cabeza, Recargables y Multifuncionales - Conectan a Varios Dispositivos, soportan Radio FM, Tarjeta TF y AUX - 4 Horas de Reproducción Musical - Ideal para Trabajo Cotidiano, Juegos y Estudio</t>
        </is>
      </c>
      <c r="H2604" s="16" t="inlineStr">
        <is>
          <t>ROJO</t>
        </is>
      </c>
      <c r="I2604" s="16" t="n">
        <v>1</v>
      </c>
      <c r="J2604" s="17" t="n">
        <v>36.8</v>
      </c>
      <c r="K2604" s="17" t="n">
        <v>49.91</v>
      </c>
      <c r="L2604" s="17" t="n">
        <v>12.93</v>
      </c>
      <c r="M2604" s="17" t="n">
        <v>0</v>
      </c>
      <c r="N2604" s="17">
        <f>K2604*0.08+L2604*0.08</f>
        <v/>
      </c>
      <c r="O2604" s="17">
        <f>-(K2604*0.025+L2604*0.025)</f>
        <v/>
      </c>
      <c r="P2604" s="17">
        <f>32</f>
        <v/>
      </c>
      <c r="Q2604" s="17">
        <f>J2604+L2604+N2604+O2604-P2604-M2604</f>
        <v/>
      </c>
    </row>
    <row r="2605">
      <c r="A2605" s="16" t="inlineStr">
        <is>
          <t>5.22-5.28</t>
        </is>
      </c>
      <c r="B2605" s="16" t="inlineStr">
        <is>
          <t>PO-128-17391194043512421</t>
        </is>
      </c>
      <c r="C2605" s="16" t="inlineStr">
        <is>
          <t>Delivered</t>
        </is>
      </c>
      <c r="D2605" s="16" t="inlineStr">
        <is>
          <t>128-17391246472312421</t>
        </is>
      </c>
      <c r="E2605" s="16" t="inlineStr">
        <is>
          <t>Delivered</t>
        </is>
      </c>
      <c r="F2605" s="16" t="inlineStr">
        <is>
          <t>LB02235-negro</t>
        </is>
      </c>
      <c r="G2605" s="16" t="inlineStr">
        <is>
          <t>Audífonos Inalámbricos para la Cabeza, Recargables y Multifuncionales - Conectan a Varios Dispositivos, soportan Radio FM, Tarjeta TF y AUX - 4 Horas de Reproducción Musical - Ideal para Trabajo Cotidiano, Juegos y Estudio</t>
        </is>
      </c>
      <c r="H2605" s="16" t="inlineStr">
        <is>
          <t>NEGRO</t>
        </is>
      </c>
      <c r="I2605" s="16" t="n">
        <v>1</v>
      </c>
      <c r="J2605" s="17" t="n">
        <v>36.8</v>
      </c>
      <c r="K2605" s="17" t="n">
        <v>49.91</v>
      </c>
      <c r="L2605" s="17" t="n">
        <v>25.86</v>
      </c>
      <c r="M2605" s="17" t="n">
        <v>0</v>
      </c>
      <c r="N2605" s="17">
        <f>K2605*0.08+L2605*0.08</f>
        <v/>
      </c>
      <c r="O2605" s="17">
        <f>-(K2605*0.025+L2605*0.025)</f>
        <v/>
      </c>
      <c r="P2605" s="17">
        <f>32</f>
        <v/>
      </c>
      <c r="Q2605" s="17">
        <f>J2605+L2605+N2605+O2605-P2605-M2605</f>
        <v/>
      </c>
    </row>
    <row r="2606">
      <c r="A2606" s="16" t="inlineStr">
        <is>
          <t>5.22-5.28</t>
        </is>
      </c>
      <c r="B2606" s="16" t="inlineStr">
        <is>
          <t>PO-128-17431440494712117</t>
        </is>
      </c>
      <c r="C2606" s="16" t="inlineStr">
        <is>
          <t>Delivered</t>
        </is>
      </c>
      <c r="D2606" s="16" t="inlineStr">
        <is>
          <t>128-17431482437752117</t>
        </is>
      </c>
      <c r="E2606" s="16" t="inlineStr">
        <is>
          <t>Delivered</t>
        </is>
      </c>
      <c r="F2606" s="16" t="inlineStr">
        <is>
          <t>VA880T</t>
        </is>
      </c>
      <c r="G260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606" s="16" t="inlineStr">
        <is>
          <t>1 pieza</t>
        </is>
      </c>
      <c r="I2606" s="16" t="n">
        <v>1</v>
      </c>
      <c r="J2606" s="17" t="n">
        <v>114.98</v>
      </c>
      <c r="K2606" s="17" t="n">
        <v>127.27</v>
      </c>
      <c r="L2606" s="17" t="n">
        <v>25.86</v>
      </c>
      <c r="M2606" s="17" t="n">
        <v>0</v>
      </c>
      <c r="N2606" s="17">
        <f>K2606*0.08+L2606*0.08</f>
        <v/>
      </c>
      <c r="O2606" s="17">
        <f>-(K2606*0.025+L2606*0.025)</f>
        <v/>
      </c>
      <c r="P2606" s="17">
        <f>32</f>
        <v/>
      </c>
      <c r="Q2606" s="17">
        <f>J2606+L2606+N2606+O2606-P2606-M2606</f>
        <v/>
      </c>
    </row>
    <row r="2607">
      <c r="A2607" s="16" t="inlineStr">
        <is>
          <t>5.22-5.28</t>
        </is>
      </c>
      <c r="B2607" s="16" t="inlineStr">
        <is>
          <t>PO-128-17263757274233178</t>
        </is>
      </c>
      <c r="C2607" s="16" t="inlineStr">
        <is>
          <t>Delivered</t>
        </is>
      </c>
      <c r="D2607" s="16" t="inlineStr">
        <is>
          <t>128-17263816256633178</t>
        </is>
      </c>
      <c r="E2607" s="16" t="inlineStr">
        <is>
          <t>Delivered</t>
        </is>
      </c>
      <c r="F2607" s="16" t="inlineStr">
        <is>
          <t>LB02235-rojo</t>
        </is>
      </c>
      <c r="G2607" s="16" t="inlineStr">
        <is>
          <t>Audífonos Inalámbricos para la Cabeza, Recargables y Multifuncionales - Conectan a Varios Dispositivos, soportan Radio FM, Tarjeta TF y AUX - 4 Horas de Reproducción Musical - Ideal para Trabajo Cotidiano, Juegos y Estudio</t>
        </is>
      </c>
      <c r="H2607" s="16" t="inlineStr">
        <is>
          <t>ROJO</t>
        </is>
      </c>
      <c r="I2607" s="16" t="n">
        <v>1</v>
      </c>
      <c r="J2607" s="17" t="n">
        <v>36.8</v>
      </c>
      <c r="K2607" s="17" t="n">
        <v>41.33</v>
      </c>
      <c r="L2607" s="17" t="n">
        <v>25.86</v>
      </c>
      <c r="M2607" s="17" t="n">
        <v>0</v>
      </c>
      <c r="N2607" s="17">
        <f>K2607*0.08+L2607*0.08</f>
        <v/>
      </c>
      <c r="O2607" s="17">
        <f>-(K2607*0.025+L2607*0.025)</f>
        <v/>
      </c>
      <c r="P2607" s="17">
        <f>32</f>
        <v/>
      </c>
      <c r="Q2607" s="17">
        <f>J2607+L2607+N2607+O2607-P2607-M2607</f>
        <v/>
      </c>
    </row>
    <row r="2608">
      <c r="A2608" s="16" t="inlineStr">
        <is>
          <t>5.22-5.28</t>
        </is>
      </c>
      <c r="B2608" s="16" t="inlineStr">
        <is>
          <t>PO-128-17680866911351588</t>
        </is>
      </c>
      <c r="C2608" s="16" t="inlineStr">
        <is>
          <t>Delivered</t>
        </is>
      </c>
      <c r="D2608" s="16" t="inlineStr">
        <is>
          <t>128-17680887882871588</t>
        </is>
      </c>
      <c r="E2608" s="16" t="inlineStr">
        <is>
          <t>Delivered</t>
        </is>
      </c>
      <c r="F2608" s="16" t="inlineStr">
        <is>
          <t>MB-185R</t>
        </is>
      </c>
      <c r="G2608" s="16" t="inlineStr">
        <is>
          <t>Bocina Radio FM/Reproductor, Compatible con Tarjeta TF, USB, Bluetooth, Aplicable para celular, computadora, Ipad y consola.</t>
        </is>
      </c>
      <c r="H2608" s="16" t="inlineStr">
        <is>
          <t>ROJO/MB-185</t>
        </is>
      </c>
      <c r="I2608" s="16" t="n">
        <v>1</v>
      </c>
      <c r="J2608" s="17" t="n">
        <v>75.5</v>
      </c>
      <c r="K2608" s="17" t="n">
        <v>88.44</v>
      </c>
      <c r="L2608" s="17" t="n">
        <v>25.86</v>
      </c>
      <c r="M2608" s="17" t="n">
        <v>0</v>
      </c>
      <c r="N2608" s="17">
        <f>K2608*0.08+L2608*0.08</f>
        <v/>
      </c>
      <c r="O2608" s="17">
        <f>-(K2608*0.025+L2608*0.025)</f>
        <v/>
      </c>
      <c r="P2608" s="17">
        <f>32</f>
        <v/>
      </c>
      <c r="Q2608" s="17">
        <f>J2608+L2608+N2608+O2608-P2608-M2608</f>
        <v/>
      </c>
    </row>
    <row r="2609">
      <c r="A2609" s="16" t="inlineStr">
        <is>
          <t>5.22-5.28</t>
        </is>
      </c>
      <c r="B2609" s="16" t="inlineStr">
        <is>
          <t>PO-128-17553857600631323</t>
        </is>
      </c>
      <c r="C2609" s="16" t="inlineStr">
        <is>
          <t>Delivered</t>
        </is>
      </c>
      <c r="D2609" s="16" t="inlineStr">
        <is>
          <t>128-17553870707831323</t>
        </is>
      </c>
      <c r="E2609" s="16" t="inlineStr">
        <is>
          <t>Delivered</t>
        </is>
      </c>
      <c r="F2609" s="16" t="inlineStr">
        <is>
          <t>LB02235-rojo</t>
        </is>
      </c>
      <c r="G2609" s="16" t="inlineStr">
        <is>
          <t>Audífonos Inalámbricos para la Cabeza, Recargables y Multifuncionales - Conectan a Varios Dispositivos, soportan Radio FM, Tarjeta TF y AUX - 4 Horas de Reproducción Musical - Ideal para Trabajo Cotidiano, Juegos y Estudio</t>
        </is>
      </c>
      <c r="H2609" s="16" t="inlineStr">
        <is>
          <t>ROJO</t>
        </is>
      </c>
      <c r="I2609" s="16" t="n">
        <v>1</v>
      </c>
      <c r="J2609" s="17" t="n">
        <v>36.8</v>
      </c>
      <c r="K2609" s="17" t="n">
        <v>49.91</v>
      </c>
      <c r="L2609" s="17" t="n">
        <v>25.86</v>
      </c>
      <c r="M2609" s="17" t="n">
        <v>0</v>
      </c>
      <c r="N2609" s="17">
        <f>K2609*0.08+L2609*0.08</f>
        <v/>
      </c>
      <c r="O2609" s="17">
        <f>-(K2609*0.025+L2609*0.025)</f>
        <v/>
      </c>
      <c r="P2609" s="17">
        <f>32</f>
        <v/>
      </c>
      <c r="Q2609" s="17">
        <f>J2609+L2609+N2609+O2609-P2609-M2609</f>
        <v/>
      </c>
    </row>
    <row r="2610">
      <c r="A2610" s="16" t="inlineStr">
        <is>
          <t>5.22-5.28</t>
        </is>
      </c>
      <c r="B2610" s="16" t="inlineStr">
        <is>
          <t>PO-128-17715550206070486</t>
        </is>
      </c>
      <c r="C2610" s="16" t="inlineStr">
        <is>
          <t>Delivered</t>
        </is>
      </c>
      <c r="D2610" s="16" t="inlineStr">
        <is>
          <t>128-17715508263030486</t>
        </is>
      </c>
      <c r="E2610" s="16" t="inlineStr">
        <is>
          <t>Delivered</t>
        </is>
      </c>
      <c r="F2610" s="16" t="inlineStr">
        <is>
          <t>KTS-1678N</t>
        </is>
      </c>
      <c r="G2610" s="16" t="inlineStr">
        <is>
          <t>Bocina portátil Inalámbrico, de 3 pulgadas, tamaño de bolsillo, 170 g, con asa, compatible con TF, USB y Micro SD, con radio FM y función TWS (True Wireless Stereo), adecuada para relajarse en casa o viajar al aire libre.</t>
        </is>
      </c>
      <c r="H2610" s="16" t="inlineStr">
        <is>
          <t>KTS-1678N</t>
        </is>
      </c>
      <c r="I2610" s="16" t="n">
        <v>1</v>
      </c>
      <c r="J2610" s="17" t="n">
        <v>42.5</v>
      </c>
      <c r="K2610" s="17" t="n">
        <v>35.4</v>
      </c>
      <c r="L2610" s="17" t="n">
        <v>25.86</v>
      </c>
      <c r="M2610" s="17" t="n">
        <v>0</v>
      </c>
      <c r="N2610" s="17">
        <f>K2610*0.08+L2610*0.08</f>
        <v/>
      </c>
      <c r="O2610" s="17">
        <f>-(K2610*0.025+L2610*0.025)</f>
        <v/>
      </c>
      <c r="P2610" s="17">
        <f>32</f>
        <v/>
      </c>
      <c r="Q2610" s="17">
        <f>J2610+L2610+N2610+O2610-P2610-M2610</f>
        <v/>
      </c>
    </row>
    <row r="2611">
      <c r="A2611" s="16" t="inlineStr">
        <is>
          <t>5.22-5.28</t>
        </is>
      </c>
      <c r="B2611" s="16" t="inlineStr">
        <is>
          <t>PO-128-17527131175031419</t>
        </is>
      </c>
      <c r="C2611" s="16" t="inlineStr">
        <is>
          <t>Delivered</t>
        </is>
      </c>
      <c r="D2611" s="16" t="inlineStr">
        <is>
          <t>128-17527089231991419</t>
        </is>
      </c>
      <c r="E2611" s="16" t="inlineStr">
        <is>
          <t>Delivered</t>
        </is>
      </c>
      <c r="F2611" s="16" t="inlineStr">
        <is>
          <t>LB02235-rojo</t>
        </is>
      </c>
      <c r="G2611" s="16" t="inlineStr">
        <is>
          <t>Audífonos Inalámbricos para la Cabeza, Recargables y Multifuncionales - Conectan a Varios Dispositivos, soportan Radio FM, Tarjeta TF y AUX - 4 Horas de Reproducción Musical - Ideal para Trabajo Cotidiano, Juegos y Estudio</t>
        </is>
      </c>
      <c r="H2611" s="16" t="inlineStr">
        <is>
          <t>ROJO</t>
        </is>
      </c>
      <c r="I2611" s="16" t="n">
        <v>1</v>
      </c>
      <c r="J2611" s="17" t="n">
        <v>36.8</v>
      </c>
      <c r="K2611" s="17" t="n">
        <v>49.91</v>
      </c>
      <c r="L2611" s="17" t="n">
        <v>25.86</v>
      </c>
      <c r="M2611" s="17" t="n">
        <v>0</v>
      </c>
      <c r="N2611" s="17">
        <f>K2611*0.08+L2611*0.08</f>
        <v/>
      </c>
      <c r="O2611" s="17">
        <f>-(K2611*0.025+L2611*0.025)</f>
        <v/>
      </c>
      <c r="P2611" s="17">
        <f>32</f>
        <v/>
      </c>
      <c r="Q2611" s="17">
        <f>J2611+L2611+N2611+O2611-P2611-M2611</f>
        <v/>
      </c>
    </row>
    <row r="2612">
      <c r="A2612" s="16" t="inlineStr">
        <is>
          <t>5.22-5.28</t>
        </is>
      </c>
      <c r="B2612" s="16" t="inlineStr">
        <is>
          <t>PO-128-17444979003512994</t>
        </is>
      </c>
      <c r="C2612" s="16" t="inlineStr">
        <is>
          <t>Delivered</t>
        </is>
      </c>
      <c r="D2612" s="16" t="inlineStr">
        <is>
          <t>128-17444984246392994</t>
        </is>
      </c>
      <c r="E2612" s="16" t="inlineStr">
        <is>
          <t>Delivered</t>
        </is>
      </c>
      <c r="F2612" s="16" t="inlineStr">
        <is>
          <t>LB02235-negro</t>
        </is>
      </c>
      <c r="G2612" s="16" t="inlineStr">
        <is>
          <t>Audífonos Inalámbricos para la Cabeza, Recargables y Multifuncionales - Conectan a Varios Dispositivos, soportan Radio FM, Tarjeta TF y AUX - 4 Horas de Reproducción Musical - Ideal para Trabajo Cotidiano, Juegos y Estudio</t>
        </is>
      </c>
      <c r="H2612" s="16" t="inlineStr">
        <is>
          <t>NEGRO</t>
        </is>
      </c>
      <c r="I2612" s="16" t="n">
        <v>1</v>
      </c>
      <c r="J2612" s="17" t="n">
        <v>36.8</v>
      </c>
      <c r="K2612" s="17" t="n">
        <v>49.91</v>
      </c>
      <c r="L2612" s="17" t="n">
        <v>25.86</v>
      </c>
      <c r="M2612" s="17" t="n">
        <v>0</v>
      </c>
      <c r="N2612" s="17">
        <f>K2612*0.08+L2612*0.08</f>
        <v/>
      </c>
      <c r="O2612" s="17">
        <f>-(K2612*0.025+L2612*0.025)</f>
        <v/>
      </c>
      <c r="P2612" s="17">
        <f>32</f>
        <v/>
      </c>
      <c r="Q2612" s="17">
        <f>J2612+L2612+N2612+O2612-P2612-M2612</f>
        <v/>
      </c>
    </row>
    <row r="2613">
      <c r="A2613" s="16" t="inlineStr">
        <is>
          <t>5.22-5.28</t>
        </is>
      </c>
      <c r="B2613" s="16" t="inlineStr">
        <is>
          <t>PO-128-17237673260153270</t>
        </is>
      </c>
      <c r="C2613" s="16" t="inlineStr">
        <is>
          <t>Delivered</t>
        </is>
      </c>
      <c r="D2613" s="16" t="inlineStr">
        <is>
          <t>128-17237741417593270</t>
        </is>
      </c>
      <c r="E2613" s="16" t="inlineStr">
        <is>
          <t>Delivered</t>
        </is>
      </c>
      <c r="F2613" s="16" t="inlineStr">
        <is>
          <t>VA384T-N</t>
        </is>
      </c>
      <c r="G2613" s="16" t="inlineStr">
        <is>
          <t>Bocina Portátil Bluetooth de 3 Pulgadas con Radio FM, USB TF TWS, Sonido Estéreo 5W, Bocina Recargable para Hogar Exterior Viaje Fiesta Camping</t>
        </is>
      </c>
      <c r="H2613" s="16" t="inlineStr">
        <is>
          <t>NEGRO</t>
        </is>
      </c>
      <c r="I2613" s="16" t="n">
        <v>1</v>
      </c>
      <c r="J2613" s="17" t="n">
        <v>50</v>
      </c>
      <c r="K2613" s="17" t="n">
        <v>60.72</v>
      </c>
      <c r="L2613" s="17" t="n">
        <v>25.86</v>
      </c>
      <c r="M2613" s="17" t="n">
        <v>0</v>
      </c>
      <c r="N2613" s="17">
        <f>K2613*0.08+L2613*0.08</f>
        <v/>
      </c>
      <c r="O2613" s="17">
        <f>-(K2613*0.025+L2613*0.025)</f>
        <v/>
      </c>
      <c r="P2613" s="17">
        <f>32</f>
        <v/>
      </c>
      <c r="Q2613" s="17">
        <f>J2613+L2613+N2613+O2613-P2613-M2613</f>
        <v/>
      </c>
    </row>
    <row r="2614">
      <c r="A2614" s="16" t="inlineStr">
        <is>
          <t>5.22-5.28</t>
        </is>
      </c>
      <c r="B2614" s="16" t="inlineStr">
        <is>
          <t>PO-128-17637491213431849</t>
        </is>
      </c>
      <c r="C2614" s="16" t="inlineStr">
        <is>
          <t>Delivered</t>
        </is>
      </c>
      <c r="D2614" s="16" t="inlineStr">
        <is>
          <t>128-17637512184951849</t>
        </is>
      </c>
      <c r="E2614" s="16" t="inlineStr">
        <is>
          <t>Delivered</t>
        </is>
      </c>
      <c r="F2614" s="16" t="inlineStr">
        <is>
          <t>FA028</t>
        </is>
      </c>
      <c r="G2614" s="16" t="inlineStr">
        <is>
          <t>Extractor de agua para garrafas de agua, compatible con carga USB, extractor de agua automático, práctico, con dos modos de toma de agua: manual y programado, ideal para dormitorios, salones, oficinas, uso al aire libre y otros escenarios.</t>
        </is>
      </c>
      <c r="H2614" s="16" t="inlineStr">
        <is>
          <t>FA028</t>
        </is>
      </c>
      <c r="I2614" s="16" t="n">
        <v>1</v>
      </c>
      <c r="J2614" s="17" t="n">
        <v>35</v>
      </c>
      <c r="K2614" s="17" t="n">
        <v>44.58</v>
      </c>
      <c r="L2614" s="17" t="n">
        <v>25.86</v>
      </c>
      <c r="M2614" s="17" t="n">
        <v>0</v>
      </c>
      <c r="N2614" s="17">
        <f>K2614*0.08+L2614*0.08</f>
        <v/>
      </c>
      <c r="O2614" s="17">
        <f>-(K2614*0.025+L2614*0.025)</f>
        <v/>
      </c>
      <c r="P2614" s="17">
        <f>32</f>
        <v/>
      </c>
      <c r="Q2614" s="17">
        <f>J2614+L2614+N2614+O2614-P2614-M2614</f>
        <v/>
      </c>
    </row>
    <row r="2615">
      <c r="A2615" s="16" t="inlineStr">
        <is>
          <t>5.22-5.28</t>
        </is>
      </c>
      <c r="B2615" s="16" t="inlineStr">
        <is>
          <t>PO-128-17665063268471749</t>
        </is>
      </c>
      <c r="C2615" s="16" t="inlineStr">
        <is>
          <t>Delivered</t>
        </is>
      </c>
      <c r="D2615" s="16" t="inlineStr">
        <is>
          <t>128-17665021325431749</t>
        </is>
      </c>
      <c r="E2615" s="16" t="inlineStr">
        <is>
          <t>Delivered</t>
        </is>
      </c>
      <c r="F2615" s="16" t="inlineStr">
        <is>
          <t>LB02235-rojo</t>
        </is>
      </c>
      <c r="G2615" s="16" t="inlineStr">
        <is>
          <t>Audífonos Inalámbricos para la Cabeza, Recargables y Multifuncionales - Conectan a Varios Dispositivos, soportan Radio FM, Tarjeta TF y AUX - 4 Horas de Reproducción Musical - Ideal para Trabajo Cotidiano, Juegos y Estudio</t>
        </is>
      </c>
      <c r="H2615" s="16" t="inlineStr">
        <is>
          <t>ROJO</t>
        </is>
      </c>
      <c r="I2615" s="16" t="n">
        <v>1</v>
      </c>
      <c r="J2615" s="17" t="n">
        <v>36.8</v>
      </c>
      <c r="K2615" s="17" t="n">
        <v>0</v>
      </c>
      <c r="L2615" s="17" t="n">
        <v>0</v>
      </c>
      <c r="M2615" s="17" t="n">
        <v>0</v>
      </c>
      <c r="N2615" s="17">
        <f>K2615*0.08+L2615*0.08</f>
        <v/>
      </c>
      <c r="O2615" s="17">
        <f>-(K2615*0.025+L2615*0.025)</f>
        <v/>
      </c>
      <c r="P2615" s="17">
        <f>32</f>
        <v/>
      </c>
      <c r="Q2615" s="17">
        <f>J2615+L2615+N2615+O2615-P2615-M2615</f>
        <v/>
      </c>
    </row>
    <row r="2616">
      <c r="A2616" s="16" t="inlineStr">
        <is>
          <t>5.22-5.28</t>
        </is>
      </c>
      <c r="B2616" s="16" t="inlineStr">
        <is>
          <t>PO-128-17783497306230915</t>
        </is>
      </c>
      <c r="C2616" s="16" t="inlineStr">
        <is>
          <t>Delivered</t>
        </is>
      </c>
      <c r="D2616" s="16" t="inlineStr">
        <is>
          <t>128-17783476334710915</t>
        </is>
      </c>
      <c r="E2616" s="16" t="inlineStr">
        <is>
          <t>Delivered</t>
        </is>
      </c>
      <c r="F2616" s="16" t="inlineStr">
        <is>
          <t>000089-50PZS</t>
        </is>
      </c>
      <c r="G2616" s="16" t="inlineStr">
        <is>
          <t>Mascarillas Infantiles KF94 50 pcs, Cuatro Capas de Protección con Tejido de Fusión Filtrante, Patrones Divertidos, Piel Amigable y Transpirable</t>
        </is>
      </c>
      <c r="H2616" s="16" t="inlineStr">
        <is>
          <t>50PZS/NINA ESTAMPADO</t>
        </is>
      </c>
      <c r="I2616" s="16" t="n">
        <v>3</v>
      </c>
      <c r="J2616" s="17" t="n">
        <v>339</v>
      </c>
      <c r="K2616" s="17" t="n">
        <v>436.77</v>
      </c>
      <c r="L2616" s="17" t="n">
        <v>0</v>
      </c>
      <c r="M2616" s="17" t="n">
        <v>0</v>
      </c>
      <c r="N2616" s="17">
        <f>K2616*0.08+L2616*0.08</f>
        <v/>
      </c>
      <c r="O2616" s="17">
        <f>-(K2616*0.025+L2616*0.025)</f>
        <v/>
      </c>
      <c r="P2616" s="17">
        <f>32</f>
        <v/>
      </c>
      <c r="Q2616" s="17">
        <f>J2616+L2616+N2616+O2616-P2616-M2616</f>
        <v/>
      </c>
    </row>
    <row r="2617">
      <c r="A2617" s="16" t="inlineStr">
        <is>
          <t>5.22-5.28</t>
        </is>
      </c>
      <c r="B2617" s="16" t="inlineStr">
        <is>
          <t>PO-128-17663921672311755</t>
        </is>
      </c>
      <c r="C2617" s="16" t="inlineStr">
        <is>
          <t>Delivered</t>
        </is>
      </c>
      <c r="D2617" s="16" t="inlineStr">
        <is>
          <t>128-17663942643831755</t>
        </is>
      </c>
      <c r="E2617" s="16" t="inlineStr">
        <is>
          <t>Delivered</t>
        </is>
      </c>
      <c r="F2617" s="16" t="inlineStr">
        <is>
          <t>LB02235-rojo</t>
        </is>
      </c>
      <c r="G2617" s="16" t="inlineStr">
        <is>
          <t>Audífonos Inalámbricos para la Cabeza, Recargables y Multifuncionales - Conectan a Varios Dispositivos, soportan Radio FM, Tarjeta TF y AUX - 4 Horas de Reproducción Musical - Ideal para Trabajo Cotidiano, Juegos y Estudio</t>
        </is>
      </c>
      <c r="H2617" s="16" t="inlineStr">
        <is>
          <t>ROJO</t>
        </is>
      </c>
      <c r="I2617" s="16" t="n">
        <v>1</v>
      </c>
      <c r="J2617" s="17" t="n">
        <v>36.8</v>
      </c>
      <c r="K2617" s="17" t="n">
        <v>39.94</v>
      </c>
      <c r="L2617" s="17" t="n">
        <v>25.86</v>
      </c>
      <c r="M2617" s="17" t="n">
        <v>0</v>
      </c>
      <c r="N2617" s="17">
        <f>K2617*0.08+L2617*0.08</f>
        <v/>
      </c>
      <c r="O2617" s="17">
        <f>-(K2617*0.025+L2617*0.025)</f>
        <v/>
      </c>
      <c r="P2617" s="17">
        <f>32</f>
        <v/>
      </c>
      <c r="Q2617" s="17">
        <f>J2617+L2617+N2617+O2617-P2617-M2617</f>
        <v/>
      </c>
    </row>
    <row r="2618">
      <c r="A2618" s="16" t="inlineStr">
        <is>
          <t>5.22-5.28</t>
        </is>
      </c>
      <c r="B2618" s="16" t="inlineStr">
        <is>
          <t>PO-128-17689479401591603</t>
        </is>
      </c>
      <c r="C2618" s="16" t="inlineStr">
        <is>
          <t>Delivered</t>
        </is>
      </c>
      <c r="D2618" s="16" t="inlineStr">
        <is>
          <t>128-17689559355511603</t>
        </is>
      </c>
      <c r="E2618" s="16" t="inlineStr">
        <is>
          <t>Delivered</t>
        </is>
      </c>
      <c r="F2618" s="16" t="inlineStr">
        <is>
          <t>FA028</t>
        </is>
      </c>
      <c r="G2618" s="16" t="inlineStr">
        <is>
          <t>Extractor de agua para garrafas de agua, compatible con carga USB, extractor de agua automático, práctico, con dos modos de toma de agua: manual y programado, ideal para dormitorios, salones, oficinas, uso al aire libre y otros escenarios.</t>
        </is>
      </c>
      <c r="H2618" s="16" t="inlineStr">
        <is>
          <t>FA028</t>
        </is>
      </c>
      <c r="I2618" s="16" t="n">
        <v>1</v>
      </c>
      <c r="J2618" s="17" t="n">
        <v>35</v>
      </c>
      <c r="K2618" s="17" t="n">
        <v>44.58</v>
      </c>
      <c r="L2618" s="17" t="n">
        <v>25.86</v>
      </c>
      <c r="M2618" s="17" t="n">
        <v>0</v>
      </c>
      <c r="N2618" s="17">
        <f>K2618*0.08+L2618*0.08</f>
        <v/>
      </c>
      <c r="O2618" s="17">
        <f>-(K2618*0.025+L2618*0.025)</f>
        <v/>
      </c>
      <c r="P2618" s="17">
        <f>32</f>
        <v/>
      </c>
      <c r="Q2618" s="17">
        <f>J2618+L2618+N2618+O2618-P2618-M2618</f>
        <v/>
      </c>
    </row>
    <row r="2619">
      <c r="A2619" s="16" t="inlineStr">
        <is>
          <t>5.22-5.28</t>
        </is>
      </c>
      <c r="B2619" s="16" t="inlineStr">
        <is>
          <t>PO-128-17665499589751744</t>
        </is>
      </c>
      <c r="C2619" s="16" t="inlineStr">
        <is>
          <t>Delivered</t>
        </is>
      </c>
      <c r="D2619" s="16" t="inlineStr">
        <is>
          <t>128-17665552018551744</t>
        </is>
      </c>
      <c r="E2619" s="16" t="inlineStr">
        <is>
          <t>Delivered</t>
        </is>
      </c>
      <c r="F2619" s="16" t="inlineStr">
        <is>
          <t>MCM-003-V</t>
        </is>
      </c>
      <c r="G2619"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619" s="16" t="inlineStr">
        <is>
          <t>verde</t>
        </is>
      </c>
      <c r="I2619" s="16" t="n">
        <v>1</v>
      </c>
      <c r="J2619" s="17" t="n">
        <v>43</v>
      </c>
      <c r="K2619" s="17" t="n">
        <v>7.08</v>
      </c>
      <c r="L2619" s="17" t="n">
        <v>25.86</v>
      </c>
      <c r="M2619" s="17" t="n">
        <v>0</v>
      </c>
      <c r="N2619" s="17">
        <f>K2619*0.08+L2619*0.08</f>
        <v/>
      </c>
      <c r="O2619" s="17">
        <f>-(K2619*0.025+L2619*0.025)</f>
        <v/>
      </c>
      <c r="P2619" s="17">
        <f>32</f>
        <v/>
      </c>
      <c r="Q2619" s="17">
        <f>J2619+L2619+N2619+O2619-P2619-M2619</f>
        <v/>
      </c>
    </row>
    <row r="2620">
      <c r="A2620" s="16" t="inlineStr">
        <is>
          <t>5.22-5.28</t>
        </is>
      </c>
      <c r="B2620" s="16" t="inlineStr">
        <is>
          <t>PO-128-17779362947190107</t>
        </is>
      </c>
      <c r="C2620" s="16" t="inlineStr">
        <is>
          <t>Delivered</t>
        </is>
      </c>
      <c r="D2620" s="16" t="inlineStr">
        <is>
          <t>128-17779400958070107</t>
        </is>
      </c>
      <c r="E2620" s="16" t="inlineStr">
        <is>
          <t>Delivered</t>
        </is>
      </c>
      <c r="F2620" s="16" t="inlineStr">
        <is>
          <t>LB02235-negro</t>
        </is>
      </c>
      <c r="G2620" s="16" t="inlineStr">
        <is>
          <t>Audífonos Inalámbricos para la Cabeza, Recargables y Multifuncionales - Conectan a Varios Dispositivos, soportan Radio FM, Tarjeta TF y AUX - 4 Horas de Reproducción Musical - Ideal para Trabajo Cotidiano, Juegos y Estudio</t>
        </is>
      </c>
      <c r="H2620" s="16" t="inlineStr">
        <is>
          <t>NEGRO</t>
        </is>
      </c>
      <c r="I2620" s="16" t="n">
        <v>1</v>
      </c>
      <c r="J2620" s="17" t="n">
        <v>36.8</v>
      </c>
      <c r="K2620" s="17" t="n">
        <v>49.91</v>
      </c>
      <c r="L2620" s="17" t="n">
        <v>25.86</v>
      </c>
      <c r="M2620" s="17" t="n">
        <v>0</v>
      </c>
      <c r="N2620" s="17">
        <f>K2620*0.08+L2620*0.08</f>
        <v/>
      </c>
      <c r="O2620" s="17">
        <f>-(K2620*0.025+L2620*0.025)</f>
        <v/>
      </c>
      <c r="P2620" s="17">
        <f>32</f>
        <v/>
      </c>
      <c r="Q2620" s="17">
        <f>J2620+L2620+N2620+O2620-P2620-M2620</f>
        <v/>
      </c>
    </row>
    <row r="2621">
      <c r="A2621" s="16" t="inlineStr">
        <is>
          <t>5.22-5.28</t>
        </is>
      </c>
      <c r="B2621" s="16" t="inlineStr">
        <is>
          <t>PO-128-17800241795191007</t>
        </is>
      </c>
      <c r="C2621" s="16" t="inlineStr">
        <is>
          <t>Delivered</t>
        </is>
      </c>
      <c r="D2621" s="16" t="inlineStr">
        <is>
          <t>128-17800262766711007</t>
        </is>
      </c>
      <c r="E2621" s="16" t="inlineStr">
        <is>
          <t>Delivered</t>
        </is>
      </c>
      <c r="F2621" s="16" t="inlineStr">
        <is>
          <t>SA8056T</t>
        </is>
      </c>
      <c r="G262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621" s="16" t="inlineStr">
        <is>
          <t>SA8056T</t>
        </is>
      </c>
      <c r="I2621" s="16" t="n">
        <v>1</v>
      </c>
      <c r="J2621" s="17" t="n">
        <v>123.9</v>
      </c>
      <c r="K2621" s="17" t="n">
        <v>144.28</v>
      </c>
      <c r="L2621" s="17" t="n">
        <v>25.86</v>
      </c>
      <c r="M2621" s="17" t="n">
        <v>0</v>
      </c>
      <c r="N2621" s="17">
        <f>K2621*0.08+L2621*0.08</f>
        <v/>
      </c>
      <c r="O2621" s="17">
        <f>-(K2621*0.025+L2621*0.025)</f>
        <v/>
      </c>
      <c r="P2621" s="17">
        <f>32</f>
        <v/>
      </c>
      <c r="Q2621" s="17">
        <f>J2621+L2621+N2621+O2621-P2621-M2621</f>
        <v/>
      </c>
    </row>
    <row r="2622">
      <c r="A2622" s="16" t="inlineStr">
        <is>
          <t>5.22-5.28</t>
        </is>
      </c>
      <c r="B2622" s="16" t="inlineStr">
        <is>
          <t>PO-128-17701314880630442</t>
        </is>
      </c>
      <c r="C2622" s="16" t="inlineStr">
        <is>
          <t>Delivered</t>
        </is>
      </c>
      <c r="D2622" s="16" t="inlineStr">
        <is>
          <t>128-17701466924150442</t>
        </is>
      </c>
      <c r="E2622" s="16" t="inlineStr">
        <is>
          <t>Delivered</t>
        </is>
      </c>
      <c r="F2622" s="16" t="inlineStr">
        <is>
          <t>VA384T-A</t>
        </is>
      </c>
      <c r="G2622" s="16" t="inlineStr">
        <is>
          <t>Bocina Portátil Bluetooth de 3 Pulgadas con Radio FM, USB TF TWS, Sonido Estéreo 5W, Bocina Recargable para Hogar Exterior Viaje Fiesta Camping</t>
        </is>
      </c>
      <c r="H2622" s="16" t="inlineStr">
        <is>
          <t>AZUL</t>
        </is>
      </c>
      <c r="I2622" s="16" t="n">
        <v>1</v>
      </c>
      <c r="J2622" s="17" t="n">
        <v>48</v>
      </c>
      <c r="K2622" s="17" t="n">
        <v>58.72</v>
      </c>
      <c r="L2622" s="17" t="n">
        <v>25.86</v>
      </c>
      <c r="M2622" s="17" t="n">
        <v>0</v>
      </c>
      <c r="N2622" s="17">
        <f>K2622*0.08+L2622*0.08</f>
        <v/>
      </c>
      <c r="O2622" s="17">
        <f>-(K2622*0.025+L2622*0.025)</f>
        <v/>
      </c>
      <c r="P2622" s="17">
        <f>32</f>
        <v/>
      </c>
      <c r="Q2622" s="17">
        <f>J2622+L2622+N2622+O2622-P2622-M2622</f>
        <v/>
      </c>
    </row>
    <row r="2623">
      <c r="A2623" s="16" t="inlineStr">
        <is>
          <t>5.22-5.28</t>
        </is>
      </c>
      <c r="B2623" s="16" t="inlineStr">
        <is>
          <t>PO-128-17678828019831536</t>
        </is>
      </c>
      <c r="C2623" s="16" t="inlineStr">
        <is>
          <t>Delivered</t>
        </is>
      </c>
      <c r="D2623" s="16" t="inlineStr">
        <is>
          <t>128-17678851612791536</t>
        </is>
      </c>
      <c r="E2623" s="16" t="inlineStr">
        <is>
          <t>Delivered</t>
        </is>
      </c>
      <c r="F2623" s="16" t="inlineStr">
        <is>
          <t>FA028</t>
        </is>
      </c>
      <c r="G2623" s="16" t="inlineStr">
        <is>
          <t>Extractor de agua para garrafas de agua, compatible con carga USB, extractor de agua automático, práctico, con dos modos de toma de agua: manual y programado, ideal para dormitorios, salones, oficinas, uso al aire libre y otros escenarios.</t>
        </is>
      </c>
      <c r="H2623" s="16" t="inlineStr">
        <is>
          <t>FA028</t>
        </is>
      </c>
      <c r="I2623" s="16" t="n">
        <v>1</v>
      </c>
      <c r="J2623" s="17" t="n">
        <v>35</v>
      </c>
      <c r="K2623" s="17" t="n">
        <v>44.58</v>
      </c>
      <c r="L2623" s="17" t="n">
        <v>25.86</v>
      </c>
      <c r="M2623" s="17" t="n">
        <v>0</v>
      </c>
      <c r="N2623" s="17">
        <f>K2623*0.08+L2623*0.08</f>
        <v/>
      </c>
      <c r="O2623" s="17">
        <f>-(K2623*0.025+L2623*0.025)</f>
        <v/>
      </c>
      <c r="P2623" s="17">
        <f>32</f>
        <v/>
      </c>
      <c r="Q2623" s="17">
        <f>J2623+L2623+N2623+O2623-P2623-M2623</f>
        <v/>
      </c>
    </row>
    <row r="2624">
      <c r="A2624" s="16" t="inlineStr">
        <is>
          <t>5.22-5.28</t>
        </is>
      </c>
      <c r="B2624" s="16" t="inlineStr">
        <is>
          <t>PO-128-17556828275831368</t>
        </is>
      </c>
      <c r="C2624" s="16" t="inlineStr">
        <is>
          <t>Delivered</t>
        </is>
      </c>
      <c r="D2624" s="16" t="inlineStr">
        <is>
          <t>128-17556786332791368</t>
        </is>
      </c>
      <c r="E2624" s="16" t="inlineStr">
        <is>
          <t>Delivered</t>
        </is>
      </c>
      <c r="F2624" s="16" t="inlineStr">
        <is>
          <t>LB02235-negro</t>
        </is>
      </c>
      <c r="G2624" s="16" t="inlineStr">
        <is>
          <t>Audífonos Inalámbricos para la Cabeza, Recargables y Multifuncionales - Conectan a Varios Dispositivos, soportan Radio FM, Tarjeta TF y AUX - 4 Horas de Reproducción Musical - Ideal para Trabajo Cotidiano, Juegos y Estudio</t>
        </is>
      </c>
      <c r="H2624" s="16" t="inlineStr">
        <is>
          <t>NEGRO</t>
        </is>
      </c>
      <c r="I2624" s="16" t="n">
        <v>1</v>
      </c>
      <c r="J2624" s="17" t="n">
        <v>36.8</v>
      </c>
      <c r="K2624" s="17" t="n">
        <v>49.91</v>
      </c>
      <c r="L2624" s="17" t="n">
        <v>25.86</v>
      </c>
      <c r="M2624" s="17" t="n">
        <v>0</v>
      </c>
      <c r="N2624" s="17">
        <f>K2624*0.08+L2624*0.08</f>
        <v/>
      </c>
      <c r="O2624" s="17">
        <f>-(K2624*0.025+L2624*0.025)</f>
        <v/>
      </c>
      <c r="P2624" s="17">
        <f>32</f>
        <v/>
      </c>
      <c r="Q2624" s="17">
        <f>J2624+L2624+N2624+O2624-P2624-M2624</f>
        <v/>
      </c>
    </row>
    <row r="2625">
      <c r="A2625" s="16" t="inlineStr">
        <is>
          <t>5.22-5.28</t>
        </is>
      </c>
      <c r="B2625" s="16" t="inlineStr">
        <is>
          <t>PO-128-17283687253114084</t>
        </is>
      </c>
      <c r="C2625" s="16" t="inlineStr">
        <is>
          <t>Delivered</t>
        </is>
      </c>
      <c r="D2625" s="16" t="inlineStr">
        <is>
          <t>128-17283645310074084</t>
        </is>
      </c>
      <c r="E2625" s="16" t="inlineStr">
        <is>
          <t>Delivered</t>
        </is>
      </c>
      <c r="F2625" s="16" t="inlineStr">
        <is>
          <t>VA880T</t>
        </is>
      </c>
      <c r="G262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625" s="16" t="inlineStr">
        <is>
          <t>1 pieza</t>
        </is>
      </c>
      <c r="I2625" s="16" t="n">
        <v>1</v>
      </c>
      <c r="J2625" s="17" t="n">
        <v>114.98</v>
      </c>
      <c r="K2625" s="17" t="n">
        <v>127.27</v>
      </c>
      <c r="L2625" s="17" t="n">
        <v>25.86</v>
      </c>
      <c r="M2625" s="17" t="n">
        <v>0</v>
      </c>
      <c r="N2625" s="17">
        <f>K2625*0.08+L2625*0.08</f>
        <v/>
      </c>
      <c r="O2625" s="17">
        <f>-(K2625*0.025+L2625*0.025)</f>
        <v/>
      </c>
      <c r="P2625" s="17">
        <f>32</f>
        <v/>
      </c>
      <c r="Q2625" s="17">
        <f>J2625+L2625+N2625+O2625-P2625-M2625</f>
        <v/>
      </c>
    </row>
    <row r="2626">
      <c r="A2626" s="16" t="inlineStr">
        <is>
          <t>5.22-5.28</t>
        </is>
      </c>
      <c r="B2626" s="16" t="inlineStr">
        <is>
          <t>PO-128-17387195087992381</t>
        </is>
      </c>
      <c r="C2626" s="16" t="inlineStr">
        <is>
          <t>Delivered</t>
        </is>
      </c>
      <c r="D2626" s="16" t="inlineStr">
        <is>
          <t>128-17387153144952381</t>
        </is>
      </c>
      <c r="E2626" s="16" t="inlineStr">
        <is>
          <t>Delivered</t>
        </is>
      </c>
      <c r="F2626" s="16" t="inlineStr">
        <is>
          <t>LB02235-rojo</t>
        </is>
      </c>
      <c r="G2626" s="16" t="inlineStr">
        <is>
          <t>Audífonos Inalámbricos para la Cabeza, Recargables y Multifuncionales - Conectan a Varios Dispositivos, soportan Radio FM, Tarjeta TF y AUX - 4 Horas de Reproducción Musical - Ideal para Trabajo Cotidiano, Juegos y Estudio</t>
        </is>
      </c>
      <c r="H2626" s="16" t="inlineStr">
        <is>
          <t>ROJO</t>
        </is>
      </c>
      <c r="I2626" s="16" t="n">
        <v>1</v>
      </c>
      <c r="J2626" s="17" t="n">
        <v>36.8</v>
      </c>
      <c r="K2626" s="17" t="n">
        <v>6.81</v>
      </c>
      <c r="L2626" s="17" t="n">
        <v>25.86</v>
      </c>
      <c r="M2626" s="17" t="n">
        <v>0</v>
      </c>
      <c r="N2626" s="17">
        <f>K2626*0.08+L2626*0.08</f>
        <v/>
      </c>
      <c r="O2626" s="17">
        <f>-(K2626*0.025+L2626*0.025)</f>
        <v/>
      </c>
      <c r="P2626" s="17">
        <f>32</f>
        <v/>
      </c>
      <c r="Q2626" s="17">
        <f>J2626+L2626+N2626+O2626-P2626-M2626</f>
        <v/>
      </c>
    </row>
    <row r="2627">
      <c r="A2627" s="16" t="inlineStr">
        <is>
          <t>5.22-5.28</t>
        </is>
      </c>
      <c r="B2627" s="16" t="inlineStr">
        <is>
          <t>PO-128-17688099763831611</t>
        </is>
      </c>
      <c r="C2627" s="16" t="inlineStr">
        <is>
          <t>Delivered</t>
        </is>
      </c>
      <c r="D2627" s="16" t="inlineStr">
        <is>
          <t>128-17688125978231611</t>
        </is>
      </c>
      <c r="E2627" s="16" t="inlineStr">
        <is>
          <t>Delivered</t>
        </is>
      </c>
      <c r="F2627" s="16" t="inlineStr">
        <is>
          <t>MB-185N</t>
        </is>
      </c>
      <c r="G2627" s="16" t="inlineStr">
        <is>
          <t>Bocina Radio FM/Reproductor, Compatible con Tarjeta TF, USB, Bluetooth, Aplicable para celular, computadora, Ipad y consola.</t>
        </is>
      </c>
      <c r="H2627" s="16" t="inlineStr">
        <is>
          <t>NEGRO/MB-185</t>
        </is>
      </c>
      <c r="I2627" s="16" t="n">
        <v>1</v>
      </c>
      <c r="J2627" s="17" t="n">
        <v>75.5</v>
      </c>
      <c r="K2627" s="17" t="n">
        <v>88.44</v>
      </c>
      <c r="L2627" s="17" t="n">
        <v>25.86</v>
      </c>
      <c r="M2627" s="17" t="n">
        <v>0</v>
      </c>
      <c r="N2627" s="17">
        <f>K2627*0.08+L2627*0.08</f>
        <v/>
      </c>
      <c r="O2627" s="17">
        <f>-(K2627*0.025+L2627*0.025)</f>
        <v/>
      </c>
      <c r="P2627" s="17">
        <f>32</f>
        <v/>
      </c>
      <c r="Q2627" s="17">
        <f>J2627+L2627+N2627+O2627-P2627-M2627</f>
        <v/>
      </c>
    </row>
    <row r="2628">
      <c r="A2628" s="16" t="inlineStr">
        <is>
          <t>5.22-5.28</t>
        </is>
      </c>
      <c r="B2628" s="16" t="inlineStr">
        <is>
          <t>PO-128-17374387717752329</t>
        </is>
      </c>
      <c r="C2628" s="16" t="inlineStr">
        <is>
          <t>Delivered</t>
        </is>
      </c>
      <c r="D2628" s="16" t="inlineStr">
        <is>
          <t>128-17374366746232329</t>
        </is>
      </c>
      <c r="E2628" s="16" t="inlineStr">
        <is>
          <t>Delivered</t>
        </is>
      </c>
      <c r="F2628" s="16" t="inlineStr">
        <is>
          <t>LB02235-negro</t>
        </is>
      </c>
      <c r="G2628" s="16" t="inlineStr">
        <is>
          <t>Audífonos Inalámbricos para la Cabeza, Recargables y Multifuncionales - Conectan a Varios Dispositivos, soportan Radio FM, Tarjeta TF y AUX - 4 Horas de Reproducción Musical - Ideal para Trabajo Cotidiano, Juegos y Estudio</t>
        </is>
      </c>
      <c r="H2628" s="16" t="inlineStr">
        <is>
          <t>NEGRO</t>
        </is>
      </c>
      <c r="I2628" s="16" t="n">
        <v>1</v>
      </c>
      <c r="J2628" s="17" t="n">
        <v>37.71</v>
      </c>
      <c r="K2628" s="17" t="n">
        <v>40.66</v>
      </c>
      <c r="L2628" s="17" t="n">
        <v>25.86</v>
      </c>
      <c r="M2628" s="17" t="n">
        <v>0</v>
      </c>
      <c r="N2628" s="17">
        <f>K2628*0.08+L2628*0.08</f>
        <v/>
      </c>
      <c r="O2628" s="17">
        <f>-(K2628*0.025+L2628*0.025)</f>
        <v/>
      </c>
      <c r="P2628" s="17">
        <f>32</f>
        <v/>
      </c>
      <c r="Q2628" s="17">
        <f>J2628+L2628+N2628+O2628-P2628-M2628</f>
        <v/>
      </c>
    </row>
    <row r="2629">
      <c r="A2629" s="16" t="inlineStr">
        <is>
          <t>5.22-5.28</t>
        </is>
      </c>
      <c r="B2629" s="16" t="inlineStr">
        <is>
          <t>PO-128-17258833280633144</t>
        </is>
      </c>
      <c r="C2629" s="16" t="inlineStr">
        <is>
          <t>Delivered</t>
        </is>
      </c>
      <c r="D2629" s="16" t="inlineStr">
        <is>
          <t>128-17258854252153144</t>
        </is>
      </c>
      <c r="E2629" s="16" t="inlineStr">
        <is>
          <t>Delivered</t>
        </is>
      </c>
      <c r="F2629" s="16" t="inlineStr">
        <is>
          <t>VB347T</t>
        </is>
      </c>
      <c r="G262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29" s="16" t="inlineStr">
        <is>
          <t>1 pieza</t>
        </is>
      </c>
      <c r="I2629" s="16" t="n">
        <v>1</v>
      </c>
      <c r="J2629" s="17" t="n">
        <v>79.90000000000001</v>
      </c>
      <c r="K2629" s="17" t="n">
        <v>94.5</v>
      </c>
      <c r="L2629" s="17" t="n">
        <v>25.86</v>
      </c>
      <c r="M2629" s="17" t="n">
        <v>0</v>
      </c>
      <c r="N2629" s="17">
        <f>K2629*0.08+L2629*0.08</f>
        <v/>
      </c>
      <c r="O2629" s="17">
        <f>-(K2629*0.025+L2629*0.025)</f>
        <v/>
      </c>
      <c r="P2629" s="17">
        <f>32</f>
        <v/>
      </c>
      <c r="Q2629" s="17">
        <f>J2629+L2629+N2629+O2629-P2629-M2629</f>
        <v/>
      </c>
    </row>
    <row r="2630">
      <c r="A2630" s="16" t="inlineStr">
        <is>
          <t>5.22-5.28</t>
        </is>
      </c>
      <c r="B2630" s="16" t="inlineStr">
        <is>
          <t>PO-128-17856373801590606</t>
        </is>
      </c>
      <c r="C2630" s="16" t="inlineStr">
        <is>
          <t>Delivered</t>
        </is>
      </c>
      <c r="D2630" s="16" t="inlineStr">
        <is>
          <t>128-17856415744630606</t>
        </is>
      </c>
      <c r="E2630" s="16" t="inlineStr">
        <is>
          <t>Delivered</t>
        </is>
      </c>
      <c r="F2630" s="16" t="inlineStr">
        <is>
          <t>LB02235-blanco</t>
        </is>
      </c>
      <c r="G2630" s="16" t="inlineStr">
        <is>
          <t>Audífonos Inalámbricos para la Cabeza, Recargables y Multifuncionales - Conectan a Varios Dispositivos, soportan Radio FM, Tarjeta TF y AUX - 4 Horas de Reproducción Musical - Ideal para Trabajo Cotidiano, Juegos y Estudio</t>
        </is>
      </c>
      <c r="H2630" s="16" t="inlineStr">
        <is>
          <t>BLANCO</t>
        </is>
      </c>
      <c r="I2630" s="16" t="n">
        <v>1</v>
      </c>
      <c r="J2630" s="17" t="n">
        <v>37.71</v>
      </c>
      <c r="K2630" s="17" t="n">
        <v>50.82</v>
      </c>
      <c r="L2630" s="17" t="n">
        <v>25.86</v>
      </c>
      <c r="M2630" s="17" t="n">
        <v>0</v>
      </c>
      <c r="N2630" s="17">
        <f>K2630*0.08+L2630*0.08</f>
        <v/>
      </c>
      <c r="O2630" s="17">
        <f>-(K2630*0.025+L2630*0.025)</f>
        <v/>
      </c>
      <c r="P2630" s="17">
        <f>32</f>
        <v/>
      </c>
      <c r="Q2630" s="17">
        <f>J2630+L2630+N2630+O2630-P2630-M2630</f>
        <v/>
      </c>
    </row>
    <row r="2631">
      <c r="A2631" s="16" t="inlineStr">
        <is>
          <t>5.22-5.28</t>
        </is>
      </c>
      <c r="B2631" s="16" t="inlineStr">
        <is>
          <t>PO-128-17308493839993936</t>
        </is>
      </c>
      <c r="C2631" s="16" t="inlineStr">
        <is>
          <t>Delivered</t>
        </is>
      </c>
      <c r="D2631" s="16" t="inlineStr">
        <is>
          <t>128-17308514811513936</t>
        </is>
      </c>
      <c r="E2631" s="16" t="inlineStr">
        <is>
          <t>Delivered</t>
        </is>
      </c>
      <c r="F2631" s="16" t="inlineStr">
        <is>
          <t>MB-185N</t>
        </is>
      </c>
      <c r="G2631" s="16" t="inlineStr">
        <is>
          <t>Bocina Radio FM/Reproductor, Compatible con Tarjeta TF, USB, Bluetooth, Aplicable para celular, computadora, Ipad y consola.</t>
        </is>
      </c>
      <c r="H2631" s="16" t="inlineStr">
        <is>
          <t>NEGRO/MB-185</t>
        </is>
      </c>
      <c r="I2631" s="16" t="n">
        <v>1</v>
      </c>
      <c r="J2631" s="17" t="n">
        <v>75.5</v>
      </c>
      <c r="K2631" s="17" t="n">
        <v>88.44</v>
      </c>
      <c r="L2631" s="17" t="n">
        <v>25.86</v>
      </c>
      <c r="M2631" s="17" t="n">
        <v>0</v>
      </c>
      <c r="N2631" s="17">
        <f>K2631*0.08+L2631*0.08</f>
        <v/>
      </c>
      <c r="O2631" s="17">
        <f>-(K2631*0.025+L2631*0.025)</f>
        <v/>
      </c>
      <c r="P2631" s="17">
        <f>32</f>
        <v/>
      </c>
      <c r="Q2631" s="17">
        <f>J2631+L2631+N2631+O2631-P2631-M2631</f>
        <v/>
      </c>
    </row>
    <row r="2632">
      <c r="A2632" s="16" t="inlineStr">
        <is>
          <t>5.22-5.28</t>
        </is>
      </c>
      <c r="B2632" s="16" t="inlineStr">
        <is>
          <t>PO-128-17272249938554024</t>
        </is>
      </c>
      <c r="C2632" s="16" t="inlineStr">
        <is>
          <t>Delivered</t>
        </is>
      </c>
      <c r="D2632" s="16" t="inlineStr">
        <is>
          <t>128-17272270910074024</t>
        </is>
      </c>
      <c r="E2632" s="16" t="inlineStr">
        <is>
          <t>Delivered</t>
        </is>
      </c>
      <c r="F2632" s="16" t="inlineStr">
        <is>
          <t>MCM-001A</t>
        </is>
      </c>
      <c r="G2632" s="16" t="inlineStr">
        <is>
          <t>Musicord Altavoz Inalámbrico BT Portátil: ¡Sonido impactante, luces LED multicolores y 4 horas de autonomía! Compatible con TWS, FM, TF y USB – Imprescindible para fiestas y viajes</t>
        </is>
      </c>
      <c r="H2632" s="16" t="inlineStr">
        <is>
          <t>AZUL</t>
        </is>
      </c>
      <c r="I2632" s="16" t="n">
        <v>1</v>
      </c>
      <c r="J2632" s="17" t="n">
        <v>51.07</v>
      </c>
      <c r="K2632" s="17" t="n">
        <v>59.47</v>
      </c>
      <c r="L2632" s="17" t="n">
        <v>13</v>
      </c>
      <c r="M2632" s="17" t="n">
        <v>0</v>
      </c>
      <c r="N2632" s="17">
        <f>K2632*0.08+L2632*0.08</f>
        <v/>
      </c>
      <c r="O2632" s="17">
        <f>-(K2632*0.025+L2632*0.025)</f>
        <v/>
      </c>
      <c r="P2632" s="17">
        <f>32</f>
        <v/>
      </c>
      <c r="Q2632" s="17">
        <f>J2632+L2632+N2632+O2632-P2632-M2632</f>
        <v/>
      </c>
    </row>
    <row r="2633">
      <c r="A2633" s="16" t="inlineStr">
        <is>
          <t>5.22-5.28</t>
        </is>
      </c>
      <c r="B2633" s="16" t="inlineStr">
        <is>
          <t>PO-128-17272249938554024</t>
        </is>
      </c>
      <c r="C2633" s="16" t="inlineStr">
        <is>
          <t>Delivered</t>
        </is>
      </c>
      <c r="D2633" s="16" t="inlineStr">
        <is>
          <t>128-17272187023994024</t>
        </is>
      </c>
      <c r="E2633" s="16" t="inlineStr">
        <is>
          <t>Delivered</t>
        </is>
      </c>
      <c r="F2633" s="16" t="inlineStr">
        <is>
          <t>MCM-001G</t>
        </is>
      </c>
      <c r="G2633" s="16" t="inlineStr">
        <is>
          <t>Musicord Altavoz Inalámbrico BT Portátil: ¡Sonido impactante, luces LED multicolores y 4 horas de autonomía! Compatible con TWS, FM, TF y USB – Imprescindible para fiestas y viajes</t>
        </is>
      </c>
      <c r="H2633" s="16" t="inlineStr">
        <is>
          <t>GRIS</t>
        </is>
      </c>
      <c r="I2633" s="16" t="n">
        <v>1</v>
      </c>
      <c r="J2633" s="17" t="n">
        <v>51.07</v>
      </c>
      <c r="K2633" s="17" t="n">
        <v>58.86</v>
      </c>
      <c r="L2633" s="17" t="n">
        <v>12.86</v>
      </c>
      <c r="M2633" s="17" t="n">
        <v>0</v>
      </c>
      <c r="N2633" s="17">
        <f>K2633*0.08+L2633*0.08</f>
        <v/>
      </c>
      <c r="O2633" s="17">
        <f>-(K2633*0.025+L2633*0.025)</f>
        <v/>
      </c>
      <c r="P2633" s="17">
        <f>32</f>
        <v/>
      </c>
      <c r="Q2633" s="17">
        <f>J2633+L2633+N2633+O2633-P2633-M2633</f>
        <v/>
      </c>
    </row>
    <row r="2634">
      <c r="A2634" s="16" t="inlineStr">
        <is>
          <t>5.22-5.28</t>
        </is>
      </c>
      <c r="B2634" s="16" t="inlineStr">
        <is>
          <t>PO-128-17859816940150586</t>
        </is>
      </c>
      <c r="C2634" s="16" t="inlineStr">
        <is>
          <t>Delivered</t>
        </is>
      </c>
      <c r="D2634" s="16" t="inlineStr">
        <is>
          <t>128-17859843154550586</t>
        </is>
      </c>
      <c r="E2634" s="16" t="inlineStr">
        <is>
          <t>Delivered</t>
        </is>
      </c>
      <c r="F2634" s="16" t="inlineStr">
        <is>
          <t>HD005</t>
        </is>
      </c>
      <c r="G2634" s="16" t="inlineStr">
        <is>
          <t>Link bits HD005 Antena UHF para Exteriores, Antena de TV Digital HD con 10 Metros de Cable, Recepción 470-862MHz, 9-7dB de Ganancia, Antena para Canales Abiertos y HD, Resistente al Agua y Viento, Fácil Instalación</t>
        </is>
      </c>
      <c r="H2634" s="16" t="inlineStr">
        <is>
          <t>1</t>
        </is>
      </c>
      <c r="I2634" s="16" t="n">
        <v>1</v>
      </c>
      <c r="J2634" s="17" t="n">
        <v>75</v>
      </c>
      <c r="K2634" s="17" t="n">
        <v>92.66</v>
      </c>
      <c r="L2634" s="17" t="n">
        <v>25.86</v>
      </c>
      <c r="M2634" s="17" t="n">
        <v>0</v>
      </c>
      <c r="N2634" s="17">
        <f>K2634*0.08+L2634*0.08</f>
        <v/>
      </c>
      <c r="O2634" s="17">
        <f>-(K2634*0.025+L2634*0.025)</f>
        <v/>
      </c>
      <c r="P2634" s="17">
        <f>32</f>
        <v/>
      </c>
      <c r="Q2634" s="17">
        <f>J2634+L2634+N2634+O2634-P2634-M2634</f>
        <v/>
      </c>
    </row>
    <row r="2635">
      <c r="A2635" s="16" t="inlineStr">
        <is>
          <t>5.22-5.28</t>
        </is>
      </c>
      <c r="B2635" s="16" t="inlineStr">
        <is>
          <t>PO-128-17516599916152633</t>
        </is>
      </c>
      <c r="C2635" s="16" t="inlineStr">
        <is>
          <t>Delivered</t>
        </is>
      </c>
      <c r="D2635" s="16" t="inlineStr">
        <is>
          <t>128-17516652344952633</t>
        </is>
      </c>
      <c r="E2635" s="16" t="inlineStr">
        <is>
          <t>Delivered</t>
        </is>
      </c>
      <c r="F2635" s="16" t="inlineStr">
        <is>
          <t>LB02235-rojo</t>
        </is>
      </c>
      <c r="G2635" s="16" t="inlineStr">
        <is>
          <t>Audífonos Inalámbricos para la Cabeza, Recargables y Multifuncionales - Conectan a Varios Dispositivos, soportan Radio FM, Tarjeta TF y AUX - 4 Horas de Reproducción Musical - Ideal para Trabajo Cotidiano, Juegos y Estudio</t>
        </is>
      </c>
      <c r="H2635" s="16" t="inlineStr">
        <is>
          <t>ROJO</t>
        </is>
      </c>
      <c r="I2635" s="16" t="n">
        <v>1</v>
      </c>
      <c r="J2635" s="17" t="n">
        <v>36.8</v>
      </c>
      <c r="K2635" s="17" t="n">
        <v>49.91</v>
      </c>
      <c r="L2635" s="17" t="n">
        <v>25.86</v>
      </c>
      <c r="M2635" s="17" t="n">
        <v>0</v>
      </c>
      <c r="N2635" s="17">
        <f>K2635*0.08+L2635*0.08</f>
        <v/>
      </c>
      <c r="O2635" s="17">
        <f>-(K2635*0.025+L2635*0.025)</f>
        <v/>
      </c>
      <c r="P2635" s="17">
        <f>32</f>
        <v/>
      </c>
      <c r="Q2635" s="17">
        <f>J2635+L2635+N2635+O2635-P2635-M2635</f>
        <v/>
      </c>
    </row>
    <row r="2636">
      <c r="A2636" s="16" t="inlineStr">
        <is>
          <t>5.22-5.28</t>
        </is>
      </c>
      <c r="B2636" s="16" t="inlineStr">
        <is>
          <t>PO-128-17458987198073041</t>
        </is>
      </c>
      <c r="C2636" s="16" t="inlineStr">
        <is>
          <t>Delivered</t>
        </is>
      </c>
      <c r="D2636" s="16" t="inlineStr">
        <is>
          <t>128-17458966226553041</t>
        </is>
      </c>
      <c r="E2636" s="16" t="inlineStr">
        <is>
          <t>Delivered</t>
        </is>
      </c>
      <c r="F2636" s="16" t="inlineStr">
        <is>
          <t>MCM-001N</t>
        </is>
      </c>
      <c r="G2636" s="16" t="inlineStr">
        <is>
          <t>Musicord Altavoz Inalámbrico BT Portátil: ¡Sonido impactante, luces LED multicolores y 4 horas de autonomía! Compatible con TWS, FM, TF y USB – Imprescindible para fiestas y viajes</t>
        </is>
      </c>
      <c r="H2636" s="16" t="inlineStr">
        <is>
          <t>NEGRO</t>
        </is>
      </c>
      <c r="I2636" s="16" t="n">
        <v>1</v>
      </c>
      <c r="J2636" s="17" t="n">
        <v>61</v>
      </c>
      <c r="K2636" s="17" t="n">
        <v>68.79000000000001</v>
      </c>
      <c r="L2636" s="17" t="n">
        <v>25.86</v>
      </c>
      <c r="M2636" s="17" t="n">
        <v>0</v>
      </c>
      <c r="N2636" s="17">
        <f>K2636*0.08+L2636*0.08</f>
        <v/>
      </c>
      <c r="O2636" s="17">
        <f>-(K2636*0.025+L2636*0.025)</f>
        <v/>
      </c>
      <c r="P2636" s="17">
        <f>32</f>
        <v/>
      </c>
      <c r="Q2636" s="17">
        <f>J2636+L2636+N2636+O2636-P2636-M2636</f>
        <v/>
      </c>
    </row>
    <row r="2637">
      <c r="A2637" s="16" t="inlineStr">
        <is>
          <t>5.22-5.28</t>
        </is>
      </c>
      <c r="B2637" s="16" t="inlineStr">
        <is>
          <t>PO-128-17342827239033669</t>
        </is>
      </c>
      <c r="C2637" s="16" t="inlineStr">
        <is>
          <t>Delivered</t>
        </is>
      </c>
      <c r="D2637" s="16" t="inlineStr">
        <is>
          <t>128-17342937339513669</t>
        </is>
      </c>
      <c r="E2637" s="16" t="inlineStr">
        <is>
          <t>Delivered</t>
        </is>
      </c>
      <c r="F2637" s="16" t="inlineStr">
        <is>
          <t>LB02235-negro</t>
        </is>
      </c>
      <c r="G2637" s="16" t="inlineStr">
        <is>
          <t>Audífonos Inalámbricos para la Cabeza, Recargables y Multifuncionales - Conectan a Varios Dispositivos, soportan Radio FM, Tarjeta TF y AUX - 4 Horas de Reproducción Musical - Ideal para Trabajo Cotidiano, Juegos y Estudio</t>
        </is>
      </c>
      <c r="H2637" s="16" t="inlineStr">
        <is>
          <t>NEGRO</t>
        </is>
      </c>
      <c r="I2637" s="16" t="n">
        <v>1</v>
      </c>
      <c r="J2637" s="17" t="n">
        <v>37.71</v>
      </c>
      <c r="K2637" s="17" t="n">
        <v>40.66</v>
      </c>
      <c r="L2637" s="17" t="n">
        <v>13.05</v>
      </c>
      <c r="M2637" s="17" t="n">
        <v>0.73</v>
      </c>
      <c r="N2637" s="17">
        <f>K2637*0.08+L2637*0.08</f>
        <v/>
      </c>
      <c r="O2637" s="17">
        <f>-(K2637*0.025+L2637*0.025)</f>
        <v/>
      </c>
      <c r="P2637" s="17">
        <f>32</f>
        <v/>
      </c>
      <c r="Q2637" s="17">
        <f>J2637+L2637+N2637+O2637-P2637-M2637</f>
        <v/>
      </c>
    </row>
    <row r="2638">
      <c r="A2638" s="16" t="inlineStr">
        <is>
          <t>5.22-5.28</t>
        </is>
      </c>
      <c r="B2638" s="16" t="inlineStr">
        <is>
          <t>PO-128-17342827239033669</t>
        </is>
      </c>
      <c r="C2638" s="16" t="inlineStr">
        <is>
          <t>Delivered</t>
        </is>
      </c>
      <c r="D2638" s="16" t="inlineStr">
        <is>
          <t>128-17342869182073669</t>
        </is>
      </c>
      <c r="E2638" s="16" t="inlineStr">
        <is>
          <t>Delivered</t>
        </is>
      </c>
      <c r="F2638" s="16" t="inlineStr">
        <is>
          <t>LB02235-rojo</t>
        </is>
      </c>
      <c r="G2638" s="16" t="inlineStr">
        <is>
          <t>Audífonos Inalámbricos para la Cabeza, Recargables y Multifuncionales - Conectan a Varios Dispositivos, soportan Radio FM, Tarjeta TF y AUX - 4 Horas de Reproducción Musical - Ideal para Trabajo Cotidiano, Juegos y Estudio</t>
        </is>
      </c>
      <c r="H2638" s="16" t="inlineStr">
        <is>
          <t>ROJO</t>
        </is>
      </c>
      <c r="I2638" s="16" t="n">
        <v>1</v>
      </c>
      <c r="J2638" s="17" t="n">
        <v>36.8</v>
      </c>
      <c r="K2638" s="17" t="n">
        <v>39.93</v>
      </c>
      <c r="L2638" s="17" t="n">
        <v>12.81</v>
      </c>
      <c r="M2638" s="17" t="n">
        <v>0</v>
      </c>
      <c r="N2638" s="17">
        <f>K2638*0.08+L2638*0.08</f>
        <v/>
      </c>
      <c r="O2638" s="17">
        <f>-(K2638*0.025+L2638*0.025)</f>
        <v/>
      </c>
      <c r="P2638" s="17">
        <f>32</f>
        <v/>
      </c>
      <c r="Q2638" s="17">
        <f>J2638+L2638+N2638+O2638-P2638-M2638</f>
        <v/>
      </c>
    </row>
    <row r="2639">
      <c r="A2639" s="16" t="inlineStr">
        <is>
          <t>5.22-5.28</t>
        </is>
      </c>
      <c r="B2639" s="16" t="inlineStr">
        <is>
          <t>PO-128-17810592579190817</t>
        </is>
      </c>
      <c r="C2639" s="16" t="inlineStr">
        <is>
          <t>Delivered</t>
        </is>
      </c>
      <c r="D2639" s="16" t="inlineStr">
        <is>
          <t>128-17810584714870817</t>
        </is>
      </c>
      <c r="E2639" s="16" t="inlineStr">
        <is>
          <t>Delivered</t>
        </is>
      </c>
      <c r="F2639" s="16" t="inlineStr">
        <is>
          <t>KTS-1678N</t>
        </is>
      </c>
      <c r="G2639" s="16" t="inlineStr">
        <is>
          <t>Bocina portátil Inalámbrico, de 3 pulgadas, tamaño de bolsillo, 170 g, con asa, compatible con TF, USB y Micro SD, con radio FM y función TWS (True Wireless Stereo), adecuada para relajarse en casa o viajar al aire libre.</t>
        </is>
      </c>
      <c r="H2639" s="16" t="inlineStr">
        <is>
          <t>KTS-1678N</t>
        </is>
      </c>
      <c r="I2639" s="16" t="n">
        <v>1</v>
      </c>
      <c r="J2639" s="17" t="n">
        <v>42.5</v>
      </c>
      <c r="K2639" s="17" t="n">
        <v>48.98</v>
      </c>
      <c r="L2639" s="17" t="n">
        <v>8.789999999999999</v>
      </c>
      <c r="M2639" s="17" t="n">
        <v>0</v>
      </c>
      <c r="N2639" s="17">
        <f>K2639*0.08+L2639*0.08</f>
        <v/>
      </c>
      <c r="O2639" s="17">
        <f>-(K2639*0.025+L2639*0.025)</f>
        <v/>
      </c>
      <c r="P2639" s="17">
        <f>32</f>
        <v/>
      </c>
      <c r="Q2639" s="17">
        <f>J2639+L2639+N2639+O2639-P2639-M2639</f>
        <v/>
      </c>
    </row>
    <row r="2640">
      <c r="A2640" s="16" t="inlineStr">
        <is>
          <t>5.22-5.28</t>
        </is>
      </c>
      <c r="B2640" s="16" t="inlineStr">
        <is>
          <t>PO-128-17810592579190817</t>
        </is>
      </c>
      <c r="C2640" s="16" t="inlineStr">
        <is>
          <t>Delivered</t>
        </is>
      </c>
      <c r="D2640" s="16" t="inlineStr">
        <is>
          <t>128-17810563743350817</t>
        </is>
      </c>
      <c r="E2640" s="16" t="inlineStr">
        <is>
          <t>Delivered</t>
        </is>
      </c>
      <c r="F2640" s="16" t="inlineStr">
        <is>
          <t>LB02235-rojo</t>
        </is>
      </c>
      <c r="G2640" s="16" t="inlineStr">
        <is>
          <t>Audífonos Inalámbricos para la Cabeza, Recargables y Multifuncionales - Conectan a Varios Dispositivos, soportan Radio FM, Tarjeta TF y AUX - 4 Horas de Reproducción Musical - Ideal para Trabajo Cotidiano, Juegos y Estudio</t>
        </is>
      </c>
      <c r="H2640" s="16" t="inlineStr">
        <is>
          <t>ROJO</t>
        </is>
      </c>
      <c r="I2640" s="16" t="n">
        <v>1</v>
      </c>
      <c r="J2640" s="17" t="n">
        <v>36.8</v>
      </c>
      <c r="K2640" s="17" t="n">
        <v>48.14</v>
      </c>
      <c r="L2640" s="17" t="n">
        <v>8.640000000000001</v>
      </c>
      <c r="M2640" s="17" t="n">
        <v>0</v>
      </c>
      <c r="N2640" s="17">
        <f>K2640*0.08+L2640*0.08</f>
        <v/>
      </c>
      <c r="O2640" s="17">
        <f>-(K2640*0.025+L2640*0.025)</f>
        <v/>
      </c>
      <c r="P2640" s="17">
        <f>32</f>
        <v/>
      </c>
      <c r="Q2640" s="17">
        <f>J2640+L2640+N2640+O2640-P2640-M2640</f>
        <v/>
      </c>
    </row>
    <row r="2641">
      <c r="A2641" s="16" t="inlineStr">
        <is>
          <t>5.22-5.28</t>
        </is>
      </c>
      <c r="B2641" s="16" t="inlineStr">
        <is>
          <t>PO-128-17810592579190817</t>
        </is>
      </c>
      <c r="C2641" s="16" t="inlineStr">
        <is>
          <t>Delivered</t>
        </is>
      </c>
      <c r="D2641" s="16" t="inlineStr">
        <is>
          <t>128-17810571607670817</t>
        </is>
      </c>
      <c r="E2641" s="16" t="inlineStr">
        <is>
          <t>Delivered</t>
        </is>
      </c>
      <c r="F2641" s="16" t="inlineStr">
        <is>
          <t>KTS-1678Y</t>
        </is>
      </c>
      <c r="G2641" s="16" t="inlineStr">
        <is>
          <t>Bocina portátil Inalámbrico, de 3 pulgadas, tamaño de bolsillo, 170 g, con asa, compatible con TF, USB y Micro SD, con radio FM y función TWS (True Wireless Stereo), adecuada para relajarse en casa o viajar al aire libre.</t>
        </is>
      </c>
      <c r="H2641" s="16" t="inlineStr">
        <is>
          <t>KTS-1678Y</t>
        </is>
      </c>
      <c r="I2641" s="16" t="n">
        <v>1</v>
      </c>
      <c r="J2641" s="17" t="n">
        <v>42.5</v>
      </c>
      <c r="K2641" s="17" t="n">
        <v>46.99</v>
      </c>
      <c r="L2641" s="17" t="n">
        <v>8.43</v>
      </c>
      <c r="M2641" s="17" t="n">
        <v>0</v>
      </c>
      <c r="N2641" s="17">
        <f>K2641*0.08+L2641*0.08</f>
        <v/>
      </c>
      <c r="O2641" s="17">
        <f>-(K2641*0.025+L2641*0.025)</f>
        <v/>
      </c>
      <c r="P2641" s="17">
        <f>32</f>
        <v/>
      </c>
      <c r="Q2641" s="17">
        <f>J2641+L2641+N2641+O2641-P2641-M2641</f>
        <v/>
      </c>
    </row>
    <row r="2642">
      <c r="A2642" s="16" t="inlineStr">
        <is>
          <t>5.22-5.28</t>
        </is>
      </c>
      <c r="B2642" s="16" t="inlineStr">
        <is>
          <t>PO-128-17294240881273895</t>
        </is>
      </c>
      <c r="C2642" s="16" t="inlineStr">
        <is>
          <t>Delivered</t>
        </is>
      </c>
      <c r="D2642" s="16" t="inlineStr">
        <is>
          <t>128-17294261852793895</t>
        </is>
      </c>
      <c r="E2642" s="16" t="inlineStr">
        <is>
          <t>Delivered</t>
        </is>
      </c>
      <c r="F2642" s="16" t="inlineStr">
        <is>
          <t>MCM-001A</t>
        </is>
      </c>
      <c r="G2642" s="16" t="inlineStr">
        <is>
          <t>Musicord Altavoz Inalámbrico BT Portátil: ¡Sonido impactante, luces LED multicolores y 4 horas de autonomía! Compatible con TWS, FM, TF y USB – Imprescindible para fiestas y viajes</t>
        </is>
      </c>
      <c r="H2642" s="16" t="inlineStr">
        <is>
          <t>AZUL</t>
        </is>
      </c>
      <c r="I2642" s="16" t="n">
        <v>1</v>
      </c>
      <c r="J2642" s="17" t="n">
        <v>51.07</v>
      </c>
      <c r="K2642" s="17" t="n">
        <v>59.47</v>
      </c>
      <c r="L2642" s="17" t="n">
        <v>25.86</v>
      </c>
      <c r="M2642" s="17" t="n">
        <v>0</v>
      </c>
      <c r="N2642" s="17">
        <f>K2642*0.08+L2642*0.08</f>
        <v/>
      </c>
      <c r="O2642" s="17">
        <f>-(K2642*0.025+L2642*0.025)</f>
        <v/>
      </c>
      <c r="P2642" s="17">
        <f>32</f>
        <v/>
      </c>
      <c r="Q2642" s="17">
        <f>J2642+L2642+N2642+O2642-P2642-M2642</f>
        <v/>
      </c>
    </row>
    <row r="2643">
      <c r="A2643" s="16" t="inlineStr">
        <is>
          <t>5.22-5.28</t>
        </is>
      </c>
      <c r="B2643" s="16" t="inlineStr">
        <is>
          <t>PO-128-17359161897592482</t>
        </is>
      </c>
      <c r="C2643" s="16" t="inlineStr">
        <is>
          <t>Delivered</t>
        </is>
      </c>
      <c r="D2643" s="16" t="inlineStr">
        <is>
          <t>128-17359182869112482</t>
        </is>
      </c>
      <c r="E2643" s="16" t="inlineStr">
        <is>
          <t>Delivered</t>
        </is>
      </c>
      <c r="F2643" s="16" t="inlineStr">
        <is>
          <t>LB02235-negro</t>
        </is>
      </c>
      <c r="G2643" s="16" t="inlineStr">
        <is>
          <t>Audífonos Inalámbricos para la Cabeza, Recargables y Multifuncionales - Conectan a Varios Dispositivos, soportan Radio FM, Tarjeta TF y AUX - 4 Horas de Reproducción Musical - Ideal para Trabajo Cotidiano, Juegos y Estudio</t>
        </is>
      </c>
      <c r="H2643" s="16" t="inlineStr">
        <is>
          <t>NEGRO</t>
        </is>
      </c>
      <c r="I2643" s="16" t="n">
        <v>1</v>
      </c>
      <c r="J2643" s="17" t="n">
        <v>37.71</v>
      </c>
      <c r="K2643" s="17" t="n">
        <v>40.66</v>
      </c>
      <c r="L2643" s="17" t="n">
        <v>25.86</v>
      </c>
      <c r="M2643" s="17" t="n">
        <v>0</v>
      </c>
      <c r="N2643" s="17">
        <f>K2643*0.08+L2643*0.08</f>
        <v/>
      </c>
      <c r="O2643" s="17">
        <f>-(K2643*0.025+L2643*0.025)</f>
        <v/>
      </c>
      <c r="P2643" s="17">
        <f>32</f>
        <v/>
      </c>
      <c r="Q2643" s="17">
        <f>J2643+L2643+N2643+O2643-P2643-M2643</f>
        <v/>
      </c>
    </row>
    <row r="2644">
      <c r="A2644" s="16" t="inlineStr">
        <is>
          <t>5.22-5.28</t>
        </is>
      </c>
      <c r="B2644" s="16" t="inlineStr">
        <is>
          <t>PO-128-17541355274871524</t>
        </is>
      </c>
      <c r="C2644" s="16" t="inlineStr">
        <is>
          <t>Delivered</t>
        </is>
      </c>
      <c r="D2644" s="16" t="inlineStr">
        <is>
          <t>128-17541376246391524</t>
        </is>
      </c>
      <c r="E2644" s="16" t="inlineStr">
        <is>
          <t>Delivered</t>
        </is>
      </c>
      <c r="F2644" s="16" t="inlineStr">
        <is>
          <t>HD005</t>
        </is>
      </c>
      <c r="G2644" s="16" t="inlineStr">
        <is>
          <t>Link bits HD005 Antena UHF para Exteriores, Antena de TV Digital HD con 10 Metros de Cable, Recepción 470-862MHz, 9-7dB de Ganancia, Antena para Canales Abiertos y HD, Resistente al Agua y Viento, Fácil Instalación</t>
        </is>
      </c>
      <c r="H2644" s="16" t="inlineStr">
        <is>
          <t>1</t>
        </is>
      </c>
      <c r="I2644" s="16" t="n">
        <v>1</v>
      </c>
      <c r="J2644" s="17" t="n">
        <v>75</v>
      </c>
      <c r="K2644" s="17" t="n">
        <v>92.66</v>
      </c>
      <c r="L2644" s="17" t="n">
        <v>25.86</v>
      </c>
      <c r="M2644" s="17" t="n">
        <v>0</v>
      </c>
      <c r="N2644" s="17">
        <f>K2644*0.08+L2644*0.08</f>
        <v/>
      </c>
      <c r="O2644" s="17">
        <f>-(K2644*0.025+L2644*0.025)</f>
        <v/>
      </c>
      <c r="P2644" s="17">
        <f>32</f>
        <v/>
      </c>
      <c r="Q2644" s="17">
        <f>J2644+L2644+N2644+O2644-P2644-M2644</f>
        <v/>
      </c>
    </row>
    <row r="2645">
      <c r="A2645" s="16" t="inlineStr">
        <is>
          <t>5.22-5.28</t>
        </is>
      </c>
      <c r="B2645" s="16" t="inlineStr">
        <is>
          <t>PO-128-17701166413430445</t>
        </is>
      </c>
      <c r="C2645" s="16" t="inlineStr">
        <is>
          <t>Delivered</t>
        </is>
      </c>
      <c r="D2645" s="16" t="inlineStr">
        <is>
          <t>128-17701171656310445</t>
        </is>
      </c>
      <c r="E2645" s="16" t="inlineStr">
        <is>
          <t>Delivered</t>
        </is>
      </c>
      <c r="F2645" s="16" t="inlineStr">
        <is>
          <t>S09W18IB</t>
        </is>
      </c>
      <c r="G264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645" s="16" t="inlineStr">
        <is>
          <t>1 pieza</t>
        </is>
      </c>
      <c r="I2645" s="16" t="n">
        <v>2</v>
      </c>
      <c r="J2645" s="17" t="n">
        <v>66</v>
      </c>
      <c r="K2645" s="17" t="n">
        <v>69.84</v>
      </c>
      <c r="L2645" s="17" t="n">
        <v>25.86</v>
      </c>
      <c r="M2645" s="17" t="n">
        <v>6.42</v>
      </c>
      <c r="N2645" s="17">
        <f>K2645*0.08+L2645*0.08</f>
        <v/>
      </c>
      <c r="O2645" s="17">
        <f>-(K2645*0.025+L2645*0.025)</f>
        <v/>
      </c>
      <c r="P2645" s="17">
        <f>32</f>
        <v/>
      </c>
      <c r="Q2645" s="17">
        <f>J2645+L2645+N2645+O2645-P2645-M2645</f>
        <v/>
      </c>
    </row>
    <row r="2646">
      <c r="A2646" s="16" t="inlineStr">
        <is>
          <t>5.22-5.28</t>
        </is>
      </c>
      <c r="B2646" s="16" t="inlineStr">
        <is>
          <t>PO-128-17422019282552109</t>
        </is>
      </c>
      <c r="C2646" s="16" t="inlineStr">
        <is>
          <t>Delivered</t>
        </is>
      </c>
      <c r="D2646" s="16" t="inlineStr">
        <is>
          <t>128-17421987825272109</t>
        </is>
      </c>
      <c r="E2646" s="16" t="inlineStr">
        <is>
          <t>Delivered</t>
        </is>
      </c>
      <c r="F2646" s="16" t="inlineStr">
        <is>
          <t>LB02235-rojo</t>
        </is>
      </c>
      <c r="G2646" s="16" t="inlineStr">
        <is>
          <t>Audífonos Inalámbricos para la Cabeza, Recargables y Multifuncionales - Conectan a Varios Dispositivos, soportan Radio FM, Tarjeta TF y AUX - 4 Horas de Reproducción Musical - Ideal para Trabajo Cotidiano, Juegos y Estudio</t>
        </is>
      </c>
      <c r="H2646" s="16" t="inlineStr">
        <is>
          <t>ROJO</t>
        </is>
      </c>
      <c r="I2646" s="16" t="n">
        <v>1</v>
      </c>
      <c r="J2646" s="17" t="n">
        <v>36.8</v>
      </c>
      <c r="K2646" s="17" t="n">
        <v>49.91</v>
      </c>
      <c r="L2646" s="17" t="n">
        <v>25.86</v>
      </c>
      <c r="M2646" s="17" t="n">
        <v>0</v>
      </c>
      <c r="N2646" s="17">
        <f>K2646*0.08+L2646*0.08</f>
        <v/>
      </c>
      <c r="O2646" s="17">
        <f>-(K2646*0.025+L2646*0.025)</f>
        <v/>
      </c>
      <c r="P2646" s="17">
        <f>32</f>
        <v/>
      </c>
      <c r="Q2646" s="17">
        <f>J2646+L2646+N2646+O2646-P2646-M2646</f>
        <v/>
      </c>
    </row>
    <row r="2647">
      <c r="A2647" s="16" t="inlineStr">
        <is>
          <t>5.22-5.28</t>
        </is>
      </c>
      <c r="B2647" s="16" t="inlineStr">
        <is>
          <t>PO-128-17661395994231704</t>
        </is>
      </c>
      <c r="C2647" s="16" t="inlineStr">
        <is>
          <t>Delivered</t>
        </is>
      </c>
      <c r="D2647" s="16" t="inlineStr">
        <is>
          <t>128-17661385508471704</t>
        </is>
      </c>
      <c r="E2647" s="16" t="inlineStr">
        <is>
          <t>Delivered</t>
        </is>
      </c>
      <c r="F2647" s="16" t="inlineStr">
        <is>
          <t>LB02235-rojo</t>
        </is>
      </c>
      <c r="G2647" s="16" t="inlineStr">
        <is>
          <t>Audífonos Inalámbricos para la Cabeza, Recargables y Multifuncionales - Conectan a Varios Dispositivos, soportan Radio FM, Tarjeta TF y AUX - 4 Horas de Reproducción Musical - Ideal para Trabajo Cotidiano, Juegos y Estudio</t>
        </is>
      </c>
      <c r="H2647" s="16" t="inlineStr">
        <is>
          <t>ROJO</t>
        </is>
      </c>
      <c r="I2647" s="16" t="n">
        <v>1</v>
      </c>
      <c r="J2647" s="17" t="n">
        <v>36.8</v>
      </c>
      <c r="K2647" s="17" t="n">
        <v>49.91</v>
      </c>
      <c r="L2647" s="17" t="n">
        <v>25.86</v>
      </c>
      <c r="M2647" s="17" t="n">
        <v>0</v>
      </c>
      <c r="N2647" s="17">
        <f>K2647*0.08+L2647*0.08</f>
        <v/>
      </c>
      <c r="O2647" s="17">
        <f>-(K2647*0.025+L2647*0.025)</f>
        <v/>
      </c>
      <c r="P2647" s="17">
        <f>32</f>
        <v/>
      </c>
      <c r="Q2647" s="17">
        <f>J2647+L2647+N2647+O2647-P2647-M2647</f>
        <v/>
      </c>
    </row>
    <row r="2648">
      <c r="A2648" s="16" t="inlineStr">
        <is>
          <t>5.22-5.28</t>
        </is>
      </c>
      <c r="B2648" s="16" t="inlineStr">
        <is>
          <t>PO-128-17462017214072831</t>
        </is>
      </c>
      <c r="C2648" s="16" t="inlineStr">
        <is>
          <t>Delivered</t>
        </is>
      </c>
      <c r="D2648" s="16" t="inlineStr">
        <is>
          <t>128-17461996242552831</t>
        </is>
      </c>
      <c r="E2648" s="16" t="inlineStr">
        <is>
          <t>Delivered</t>
        </is>
      </c>
      <c r="F2648" s="16" t="inlineStr">
        <is>
          <t>MB-178-N</t>
        </is>
      </c>
      <c r="G2648" s="16" t="inlineStr">
        <is>
          <t>Bocina de Barra Bluetooth LINK BITS con dos altavoces, sonido de alta calidad y multifuncional (Bluetooth, Radio FM, USB, TF, AUX, TWS), ideal para juegos, reuniones, oficina y cine en casa.</t>
        </is>
      </c>
      <c r="H2648" s="16" t="inlineStr">
        <is>
          <t>NEGRO</t>
        </is>
      </c>
      <c r="I2648" s="16" t="n">
        <v>1</v>
      </c>
      <c r="J2648" s="17" t="n">
        <v>125</v>
      </c>
      <c r="K2648" s="17" t="n">
        <v>144.34</v>
      </c>
      <c r="L2648" s="17" t="n">
        <v>25.86</v>
      </c>
      <c r="M2648" s="17" t="n">
        <v>0</v>
      </c>
      <c r="N2648" s="17">
        <f>K2648*0.08+L2648*0.08</f>
        <v/>
      </c>
      <c r="O2648" s="17">
        <f>-(K2648*0.025+L2648*0.025)</f>
        <v/>
      </c>
      <c r="P2648" s="17">
        <f>32</f>
        <v/>
      </c>
      <c r="Q2648" s="17">
        <f>J2648+L2648+N2648+O2648-P2648-M2648</f>
        <v/>
      </c>
    </row>
    <row r="2649">
      <c r="A2649" s="16" t="inlineStr">
        <is>
          <t>5.22-5.28</t>
        </is>
      </c>
      <c r="B2649" s="16" t="inlineStr">
        <is>
          <t>PO-128-17640532035191831</t>
        </is>
      </c>
      <c r="C2649" s="16" t="inlineStr">
        <is>
          <t>Delivered</t>
        </is>
      </c>
      <c r="D2649" s="16" t="inlineStr">
        <is>
          <t>128-17640490092151831</t>
        </is>
      </c>
      <c r="E2649" s="16" t="inlineStr">
        <is>
          <t>Delivered</t>
        </is>
      </c>
      <c r="F2649" s="16" t="inlineStr">
        <is>
          <t>SA325T</t>
        </is>
      </c>
      <c r="G2649" s="16" t="inlineStr">
        <is>
          <t>Subwoofer Portátil Inalámbrico con Luces RGB, Sonido de Alta Potencia y Batería Duradera, TWS TF USB, Perfecto para Campamento Fiestas y Entretenimiento en Casa</t>
        </is>
      </c>
      <c r="H2649" s="16" t="inlineStr">
        <is>
          <t>NEGRO</t>
        </is>
      </c>
      <c r="I2649" s="16" t="n">
        <v>1</v>
      </c>
      <c r="J2649" s="17" t="n">
        <v>38</v>
      </c>
      <c r="K2649" s="17" t="n">
        <v>47.04</v>
      </c>
      <c r="L2649" s="17" t="n">
        <v>25.86</v>
      </c>
      <c r="M2649" s="17" t="n">
        <v>0</v>
      </c>
      <c r="N2649" s="17">
        <f>K2649*0.08+L2649*0.08</f>
        <v/>
      </c>
      <c r="O2649" s="17">
        <f>-(K2649*0.025+L2649*0.025)</f>
        <v/>
      </c>
      <c r="P2649" s="17">
        <f>32</f>
        <v/>
      </c>
      <c r="Q2649" s="17">
        <f>J2649+L2649+N2649+O2649-P2649-M2649</f>
        <v/>
      </c>
    </row>
    <row r="2650">
      <c r="A2650" s="16" t="inlineStr">
        <is>
          <t>5.22-5.28</t>
        </is>
      </c>
      <c r="B2650" s="16" t="inlineStr">
        <is>
          <t>PO-128-17507701146232620</t>
        </is>
      </c>
      <c r="C2650" s="16" t="inlineStr">
        <is>
          <t>Delivered</t>
        </is>
      </c>
      <c r="D2650" s="16" t="inlineStr">
        <is>
          <t>128-17507777167992620</t>
        </is>
      </c>
      <c r="E2650" s="16" t="inlineStr">
        <is>
          <t>Delivered</t>
        </is>
      </c>
      <c r="F2650" s="16" t="inlineStr">
        <is>
          <t>LB02235-blanco</t>
        </is>
      </c>
      <c r="G2650" s="16" t="inlineStr">
        <is>
          <t>Audífonos Inalámbricos para la Cabeza, Recargables y Multifuncionales - Conectan a Varios Dispositivos, soportan Radio FM, Tarjeta TF y AUX - 4 Horas de Reproducción Musical - Ideal para Trabajo Cotidiano, Juegos y Estudio</t>
        </is>
      </c>
      <c r="H2650" s="16" t="inlineStr">
        <is>
          <t>BLANCO</t>
        </is>
      </c>
      <c r="I2650" s="16" t="n">
        <v>1</v>
      </c>
      <c r="J2650" s="17" t="n">
        <v>37.71</v>
      </c>
      <c r="K2650" s="17" t="n">
        <v>50.82</v>
      </c>
      <c r="L2650" s="17" t="n">
        <v>25.86</v>
      </c>
      <c r="M2650" s="17" t="n">
        <v>0</v>
      </c>
      <c r="N2650" s="17">
        <f>K2650*0.08+L2650*0.08</f>
        <v/>
      </c>
      <c r="O2650" s="17">
        <f>-(K2650*0.025+L2650*0.025)</f>
        <v/>
      </c>
      <c r="P2650" s="17">
        <f>32</f>
        <v/>
      </c>
      <c r="Q2650" s="17">
        <f>J2650+L2650+N2650+O2650-P2650-M2650</f>
        <v/>
      </c>
    </row>
    <row r="2651">
      <c r="A2651" s="16" t="inlineStr">
        <is>
          <t>5.22-5.28</t>
        </is>
      </c>
      <c r="B2651" s="16" t="inlineStr">
        <is>
          <t>PO-128-17717893089910280</t>
        </is>
      </c>
      <c r="C2651" s="16" t="inlineStr">
        <is>
          <t>Delivered</t>
        </is>
      </c>
      <c r="D2651" s="16" t="inlineStr">
        <is>
          <t>128-17717851146870280</t>
        </is>
      </c>
      <c r="E2651" s="16" t="inlineStr">
        <is>
          <t>Delivered</t>
        </is>
      </c>
      <c r="F2651" s="16" t="inlineStr">
        <is>
          <t>MCM-001A</t>
        </is>
      </c>
      <c r="G2651" s="16" t="inlineStr">
        <is>
          <t>Musicord Altavoz Inalámbrico BT Portátil: ¡Sonido impactante, luces LED multicolores y 4 horas de autonomía! Compatible con TWS, FM, TF y USB – Imprescindible para fiestas y viajes</t>
        </is>
      </c>
      <c r="H2651" s="16" t="inlineStr">
        <is>
          <t>AZUL</t>
        </is>
      </c>
      <c r="I2651" s="16" t="n">
        <v>1</v>
      </c>
      <c r="J2651" s="17" t="n">
        <v>51.07</v>
      </c>
      <c r="K2651" s="17" t="n">
        <v>6.02</v>
      </c>
      <c r="L2651" s="17" t="n">
        <v>25.86</v>
      </c>
      <c r="M2651" s="17" t="n">
        <v>0</v>
      </c>
      <c r="N2651" s="17">
        <f>K2651*0.08+L2651*0.08</f>
        <v/>
      </c>
      <c r="O2651" s="17">
        <f>-(K2651*0.025+L2651*0.025)</f>
        <v/>
      </c>
      <c r="P2651" s="17">
        <f>32</f>
        <v/>
      </c>
      <c r="Q2651" s="17">
        <f>J2651+L2651+N2651+O2651-P2651-M2651</f>
        <v/>
      </c>
    </row>
    <row r="2652">
      <c r="A2652" s="16" t="inlineStr">
        <is>
          <t>5.22-5.28</t>
        </is>
      </c>
      <c r="B2652" s="16" t="inlineStr">
        <is>
          <t>PO-128-17191526467193547</t>
        </is>
      </c>
      <c r="C2652" s="16" t="inlineStr">
        <is>
          <t>Delivered</t>
        </is>
      </c>
      <c r="D2652" s="16" t="inlineStr">
        <is>
          <t>128-17191505495673547</t>
        </is>
      </c>
      <c r="E2652" s="16" t="inlineStr">
        <is>
          <t>Delivered</t>
        </is>
      </c>
      <c r="F2652" s="16" t="inlineStr">
        <is>
          <t>LB02235-negro</t>
        </is>
      </c>
      <c r="G2652" s="16" t="inlineStr">
        <is>
          <t>Audífonos Inalámbricos para la Cabeza, Recargables y Multifuncionales - Conectan a Varios Dispositivos, soportan Radio FM, Tarjeta TF y AUX - 4 Horas de Reproducción Musical - Ideal para Trabajo Cotidiano, Juegos y Estudio</t>
        </is>
      </c>
      <c r="H2652" s="16" t="inlineStr">
        <is>
          <t>NEGRO</t>
        </is>
      </c>
      <c r="I2652" s="16" t="n">
        <v>1</v>
      </c>
      <c r="J2652" s="17" t="n">
        <v>37.71</v>
      </c>
      <c r="K2652" s="17" t="n">
        <v>50.82</v>
      </c>
      <c r="L2652" s="17" t="n">
        <v>25.86</v>
      </c>
      <c r="M2652" s="17" t="n">
        <v>0</v>
      </c>
      <c r="N2652" s="17">
        <f>K2652*0.08+L2652*0.08</f>
        <v/>
      </c>
      <c r="O2652" s="17">
        <f>-(K2652*0.025+L2652*0.025)</f>
        <v/>
      </c>
      <c r="P2652" s="17">
        <f>32</f>
        <v/>
      </c>
      <c r="Q2652" s="17">
        <f>J2652+L2652+N2652+O2652-P2652-M2652</f>
        <v/>
      </c>
    </row>
    <row r="2653">
      <c r="A2653" s="16" t="inlineStr">
        <is>
          <t>5.22-5.28</t>
        </is>
      </c>
      <c r="B2653" s="16" t="inlineStr">
        <is>
          <t>PO-128-17813235221110801</t>
        </is>
      </c>
      <c r="C2653" s="16" t="inlineStr">
        <is>
          <t>Delivered</t>
        </is>
      </c>
      <c r="D2653" s="16" t="inlineStr">
        <is>
          <t>128-17813340078710801</t>
        </is>
      </c>
      <c r="E2653" s="16" t="inlineStr">
        <is>
          <t>Delivered</t>
        </is>
      </c>
      <c r="F2653" s="16" t="inlineStr">
        <is>
          <t>SA323T</t>
        </is>
      </c>
      <c r="G2653" s="16" t="inlineStr">
        <is>
          <t>Linkbits Bocina Portátil Parlantes BT Portátiles con Iluminación de Ambiente | 1 Hora de Duración, FM, TWS, TF/Micro SD | Ideal para Hogar, Fiestas y Viajes</t>
        </is>
      </c>
      <c r="H2653" s="16" t="inlineStr">
        <is>
          <t>SA323T</t>
        </is>
      </c>
      <c r="I2653" s="16" t="n">
        <v>1</v>
      </c>
      <c r="J2653" s="17" t="n">
        <v>46</v>
      </c>
      <c r="K2653" s="17" t="n">
        <v>3.34</v>
      </c>
      <c r="L2653" s="17" t="n">
        <v>25.86</v>
      </c>
      <c r="M2653" s="17" t="n">
        <v>0</v>
      </c>
      <c r="N2653" s="17">
        <f>K2653*0.08+L2653*0.08</f>
        <v/>
      </c>
      <c r="O2653" s="17">
        <f>-(K2653*0.025+L2653*0.025)</f>
        <v/>
      </c>
      <c r="P2653" s="17">
        <f>32</f>
        <v/>
      </c>
      <c r="Q2653" s="17">
        <f>J2653+L2653+N2653+O2653-P2653-M2653</f>
        <v/>
      </c>
    </row>
    <row r="2654">
      <c r="A2654" s="16" t="inlineStr">
        <is>
          <t>5.22-5.28</t>
        </is>
      </c>
      <c r="B2654" s="16" t="inlineStr">
        <is>
          <t>PO-128-17186997811833508</t>
        </is>
      </c>
      <c r="C2654" s="16" t="inlineStr">
        <is>
          <t>Delivered</t>
        </is>
      </c>
      <c r="D2654" s="16" t="inlineStr">
        <is>
          <t>128-17187008297593508</t>
        </is>
      </c>
      <c r="E2654" s="16" t="inlineStr">
        <is>
          <t>Delivered</t>
        </is>
      </c>
      <c r="F2654" s="16" t="inlineStr">
        <is>
          <t>MCM-001A</t>
        </is>
      </c>
      <c r="G2654" s="16" t="inlineStr">
        <is>
          <t>Musicord Altavoz Inalámbrico BT Portátil: ¡Sonido impactante, luces LED multicolores y 4 horas de autonomía! Compatible con TWS, FM, TF y USB – Imprescindible para fiestas y viajes</t>
        </is>
      </c>
      <c r="H2654" s="16" t="inlineStr">
        <is>
          <t>AZUL</t>
        </is>
      </c>
      <c r="I2654" s="16" t="n">
        <v>1</v>
      </c>
      <c r="J2654" s="17" t="n">
        <v>51.07</v>
      </c>
      <c r="K2654" s="17" t="n">
        <v>59.47</v>
      </c>
      <c r="L2654" s="17" t="n">
        <v>25.86</v>
      </c>
      <c r="M2654" s="17" t="n">
        <v>0</v>
      </c>
      <c r="N2654" s="17">
        <f>K2654*0.08+L2654*0.08</f>
        <v/>
      </c>
      <c r="O2654" s="17">
        <f>-(K2654*0.025+L2654*0.025)</f>
        <v/>
      </c>
      <c r="P2654" s="17">
        <f>32</f>
        <v/>
      </c>
      <c r="Q2654" s="17">
        <f>J2654+L2654+N2654+O2654-P2654-M2654</f>
        <v/>
      </c>
    </row>
    <row r="2655">
      <c r="A2655" s="16" t="inlineStr">
        <is>
          <t>5.22-5.28</t>
        </is>
      </c>
      <c r="B2655" s="16" t="inlineStr">
        <is>
          <t>PO-128-17307690158713943</t>
        </is>
      </c>
      <c r="C2655" s="16" t="inlineStr">
        <is>
          <t>Delivered</t>
        </is>
      </c>
      <c r="D2655" s="16" t="inlineStr">
        <is>
          <t>128-17307648215673943</t>
        </is>
      </c>
      <c r="E2655" s="16" t="inlineStr">
        <is>
          <t>Delivered</t>
        </is>
      </c>
      <c r="F2655" s="16" t="inlineStr">
        <is>
          <t>SA325T</t>
        </is>
      </c>
      <c r="G2655" s="16" t="inlineStr">
        <is>
          <t>Subwoofer Portátil Inalámbrico con Luces RGB, Sonido de Alta Potencia y Batería Duradera, TWS TF USB, Perfecto para Campamento Fiestas y Entretenimiento en Casa</t>
        </is>
      </c>
      <c r="H2655" s="16" t="inlineStr">
        <is>
          <t>NEGRO</t>
        </is>
      </c>
      <c r="I2655" s="16" t="n">
        <v>1</v>
      </c>
      <c r="J2655" s="17" t="n">
        <v>38</v>
      </c>
      <c r="K2655" s="17" t="n">
        <v>47.04</v>
      </c>
      <c r="L2655" s="17" t="n">
        <v>25.86</v>
      </c>
      <c r="M2655" s="17" t="n">
        <v>0</v>
      </c>
      <c r="N2655" s="17">
        <f>K2655*0.08+L2655*0.08</f>
        <v/>
      </c>
      <c r="O2655" s="17">
        <f>-(K2655*0.025+L2655*0.025)</f>
        <v/>
      </c>
      <c r="P2655" s="17">
        <f>32</f>
        <v/>
      </c>
      <c r="Q2655" s="17">
        <f>J2655+L2655+N2655+O2655-P2655-M2655</f>
        <v/>
      </c>
    </row>
    <row r="2656">
      <c r="A2656" s="16" t="inlineStr">
        <is>
          <t>5.22-5.28</t>
        </is>
      </c>
      <c r="B2656" s="16" t="inlineStr">
        <is>
          <t>PO-128-06709288924790424</t>
        </is>
      </c>
      <c r="C2656" s="16" t="inlineStr">
        <is>
          <t>Delivered</t>
        </is>
      </c>
      <c r="D2656" s="16" t="inlineStr">
        <is>
          <t>128-06709236495990424</t>
        </is>
      </c>
      <c r="E2656" s="16" t="inlineStr">
        <is>
          <t>Delivered</t>
        </is>
      </c>
      <c r="F2656" s="16" t="inlineStr">
        <is>
          <t>KTS-1678N</t>
        </is>
      </c>
      <c r="G2656" s="16" t="inlineStr">
        <is>
          <t>Bocina portátil Inalámbrico, de 3 pulgadas, tamaño de bolsillo, 170 g, con asa, compatible con TF, USB y Micro SD, con radio FM y función TWS (True Wireless Stereo), adecuada para relajarse en casa o viajar al aire libre.</t>
        </is>
      </c>
      <c r="H2656" s="16" t="inlineStr">
        <is>
          <t>KTS-1678N</t>
        </is>
      </c>
      <c r="I2656" s="16" t="n">
        <v>1</v>
      </c>
      <c r="J2656" s="17" t="n">
        <v>42.5</v>
      </c>
      <c r="K2656" s="17" t="n">
        <v>43.63</v>
      </c>
      <c r="L2656" s="17" t="n">
        <v>25.86</v>
      </c>
      <c r="M2656" s="17" t="n">
        <v>0</v>
      </c>
      <c r="N2656" s="17">
        <f>K2656*0.08+L2656*0.08</f>
        <v/>
      </c>
      <c r="O2656" s="17">
        <f>-(K2656*0.025+L2656*0.025)</f>
        <v/>
      </c>
      <c r="P2656" s="17">
        <f>32</f>
        <v/>
      </c>
      <c r="Q2656" s="17">
        <f>J2656+L2656+N2656+O2656-P2656-M2656</f>
        <v/>
      </c>
    </row>
    <row r="2657">
      <c r="A2657" s="16" t="inlineStr">
        <is>
          <t>5.22-5.28</t>
        </is>
      </c>
      <c r="B2657" s="16" t="inlineStr">
        <is>
          <t>PO-128-06234728079993255</t>
        </is>
      </c>
      <c r="C2657" s="16" t="inlineStr">
        <is>
          <t>Delivered</t>
        </is>
      </c>
      <c r="D2657" s="16" t="inlineStr">
        <is>
          <t>128-06234686136953255</t>
        </is>
      </c>
      <c r="E2657" s="16" t="inlineStr">
        <is>
          <t>Delivered</t>
        </is>
      </c>
      <c r="F2657" s="16" t="inlineStr">
        <is>
          <t>MCM-001G</t>
        </is>
      </c>
      <c r="G2657" s="16" t="inlineStr">
        <is>
          <t>Musicord Altavoz Inalámbrico BT Portátil: ¡Sonido impactante, luces LED multicolores y 4 horas de autonomía! Compatible con TWS, FM, TF y USB – Imprescindible para fiestas y viajes</t>
        </is>
      </c>
      <c r="H2657" s="16" t="inlineStr">
        <is>
          <t>GRIS</t>
        </is>
      </c>
      <c r="I2657" s="16" t="n">
        <v>1</v>
      </c>
      <c r="J2657" s="17" t="n">
        <v>51.07</v>
      </c>
      <c r="K2657" s="17" t="n">
        <v>58.86</v>
      </c>
      <c r="L2657" s="17" t="n">
        <v>25.86</v>
      </c>
      <c r="M2657" s="17" t="n">
        <v>0</v>
      </c>
      <c r="N2657" s="17">
        <f>K2657*0.08+L2657*0.08</f>
        <v/>
      </c>
      <c r="O2657" s="17">
        <f>-(K2657*0.025+L2657*0.025)</f>
        <v/>
      </c>
      <c r="P2657" s="17">
        <f>32</f>
        <v/>
      </c>
      <c r="Q2657" s="17">
        <f>J2657+L2657+N2657+O2657-P2657-M2657</f>
        <v/>
      </c>
    </row>
    <row r="2658">
      <c r="A2658" s="16" t="inlineStr">
        <is>
          <t>5.22-5.28</t>
        </is>
      </c>
      <c r="B2658" s="16" t="inlineStr">
        <is>
          <t>PO-128-06793627141750947</t>
        </is>
      </c>
      <c r="C2658" s="16" t="inlineStr">
        <is>
          <t>Delivered</t>
        </is>
      </c>
      <c r="D2658" s="16" t="inlineStr">
        <is>
          <t>128-06793611413110947</t>
        </is>
      </c>
      <c r="E2658" s="16" t="inlineStr">
        <is>
          <t>Delivered</t>
        </is>
      </c>
      <c r="F2658" s="16" t="inlineStr">
        <is>
          <t>KTS-1678Y</t>
        </is>
      </c>
      <c r="G2658" s="16" t="inlineStr">
        <is>
          <t>Bocina portátil Inalámbrico, de 3 pulgadas, tamaño de bolsillo, 170 g, con asa, compatible con TF, USB y Micro SD, con radio FM y función TWS (True Wireless Stereo), adecuada para relajarse en casa o viajar al aire libre.</t>
        </is>
      </c>
      <c r="H2658" s="16" t="inlineStr">
        <is>
          <t>KTS-1678Y</t>
        </is>
      </c>
      <c r="I2658" s="16" t="n">
        <v>1</v>
      </c>
      <c r="J2658" s="17" t="n">
        <v>42.5</v>
      </c>
      <c r="K2658" s="17" t="n">
        <v>48.72</v>
      </c>
      <c r="L2658" s="17" t="n">
        <v>25.86</v>
      </c>
      <c r="M2658" s="17" t="n">
        <v>0</v>
      </c>
      <c r="N2658" s="17">
        <f>K2658*0.08+L2658*0.08</f>
        <v/>
      </c>
      <c r="O2658" s="17">
        <f>-(K2658*0.025+L2658*0.025)</f>
        <v/>
      </c>
      <c r="P2658" s="17">
        <f>32</f>
        <v/>
      </c>
      <c r="Q2658" s="17">
        <f>J2658+L2658+N2658+O2658-P2658-M2658</f>
        <v/>
      </c>
    </row>
    <row r="2659">
      <c r="A2659" s="16" t="inlineStr">
        <is>
          <t>5.22-5.28</t>
        </is>
      </c>
      <c r="B2659" s="16" t="inlineStr">
        <is>
          <t>PO-128-06699373266551637</t>
        </is>
      </c>
      <c r="C2659" s="16" t="inlineStr">
        <is>
          <t>Delivered</t>
        </is>
      </c>
      <c r="D2659" s="16" t="inlineStr">
        <is>
          <t>128-06699415209591637</t>
        </is>
      </c>
      <c r="E2659" s="16" t="inlineStr">
        <is>
          <t>Delivered</t>
        </is>
      </c>
      <c r="F2659" s="16" t="inlineStr">
        <is>
          <t>LB02235-negro</t>
        </is>
      </c>
      <c r="G2659" s="16" t="inlineStr">
        <is>
          <t>Audífonos Inalámbricos para la Cabeza, Recargables y Multifuncionales - Conectan a Varios Dispositivos, soportan Radio FM, Tarjeta TF y AUX - 4 Horas de Reproducción Musical - Ideal para Trabajo Cotidiano, Juegos y Estudio</t>
        </is>
      </c>
      <c r="H2659" s="16" t="inlineStr">
        <is>
          <t>NEGRO</t>
        </is>
      </c>
      <c r="I2659" s="16" t="n">
        <v>3</v>
      </c>
      <c r="J2659" s="17" t="n">
        <v>113.13</v>
      </c>
      <c r="K2659" s="17" t="n">
        <v>152.46</v>
      </c>
      <c r="L2659" s="17" t="n">
        <v>25.86</v>
      </c>
      <c r="M2659" s="17" t="n">
        <v>0</v>
      </c>
      <c r="N2659" s="17">
        <f>K2659*0.08+L2659*0.08</f>
        <v/>
      </c>
      <c r="O2659" s="17">
        <f>-(K2659*0.025+L2659*0.025)</f>
        <v/>
      </c>
      <c r="P2659" s="17">
        <f>32</f>
        <v/>
      </c>
      <c r="Q2659" s="17">
        <f>J2659+L2659+N2659+O2659-P2659-M2659</f>
        <v/>
      </c>
    </row>
    <row r="2660">
      <c r="A2660" s="16" t="inlineStr">
        <is>
          <t>5.22-5.28</t>
        </is>
      </c>
      <c r="B2660" s="16" t="inlineStr">
        <is>
          <t>PO-128-06411186340472267</t>
        </is>
      </c>
      <c r="C2660" s="16" t="inlineStr">
        <is>
          <t>Delivered</t>
        </is>
      </c>
      <c r="D2660" s="16" t="inlineStr">
        <is>
          <t>128-06411207311992267</t>
        </is>
      </c>
      <c r="E2660" s="16" t="inlineStr">
        <is>
          <t>Delivered</t>
        </is>
      </c>
      <c r="F2660" s="16" t="inlineStr">
        <is>
          <t>VA384T-A</t>
        </is>
      </c>
      <c r="G2660" s="16" t="inlineStr">
        <is>
          <t>Bocina Portátil Bluetooth de 3 Pulgadas con Radio FM, USB TF TWS, Sonido Estéreo 5W, Bocina Recargable para Hogar Exterior Viaje Fiesta Camping</t>
        </is>
      </c>
      <c r="H2660" s="16" t="inlineStr">
        <is>
          <t>AZUL</t>
        </is>
      </c>
      <c r="I2660" s="16" t="n">
        <v>1</v>
      </c>
      <c r="J2660" s="17" t="n">
        <v>48</v>
      </c>
      <c r="K2660" s="17" t="n">
        <v>58.72</v>
      </c>
      <c r="L2660" s="17" t="n">
        <v>25.86</v>
      </c>
      <c r="M2660" s="17" t="n">
        <v>0</v>
      </c>
      <c r="N2660" s="17">
        <f>K2660*0.08+L2660*0.08</f>
        <v/>
      </c>
      <c r="O2660" s="17">
        <f>-(K2660*0.025+L2660*0.025)</f>
        <v/>
      </c>
      <c r="P2660" s="17">
        <f>32</f>
        <v/>
      </c>
      <c r="Q2660" s="17">
        <f>J2660+L2660+N2660+O2660-P2660-M2660</f>
        <v/>
      </c>
    </row>
    <row r="2661">
      <c r="A2661" s="16" t="inlineStr">
        <is>
          <t>5.22-5.28</t>
        </is>
      </c>
      <c r="B2661" s="16" t="inlineStr">
        <is>
          <t>PO-128-06798672466550981</t>
        </is>
      </c>
      <c r="C2661" s="16" t="inlineStr">
        <is>
          <t>Delivered</t>
        </is>
      </c>
      <c r="D2661" s="16" t="inlineStr">
        <is>
          <t>128-06798661980790981</t>
        </is>
      </c>
      <c r="E2661" s="16" t="inlineStr">
        <is>
          <t>Delivered</t>
        </is>
      </c>
      <c r="F2661" s="16" t="inlineStr">
        <is>
          <t>MB-178-N</t>
        </is>
      </c>
      <c r="G2661" s="16" t="inlineStr">
        <is>
          <t>Bocina de Barra Bluetooth LINK BITS con dos altavoces, sonido de alta calidad y multifuncional (Bluetooth, Radio FM, USB, TF, AUX, TWS), ideal para juegos, reuniones, oficina y cine en casa.</t>
        </is>
      </c>
      <c r="H2661" s="16" t="inlineStr">
        <is>
          <t>NEGRO</t>
        </is>
      </c>
      <c r="I2661" s="16" t="n">
        <v>1</v>
      </c>
      <c r="J2661" s="17" t="n">
        <v>125</v>
      </c>
      <c r="K2661" s="17" t="n">
        <v>144.34</v>
      </c>
      <c r="L2661" s="17" t="n">
        <v>25.86</v>
      </c>
      <c r="M2661" s="17" t="n">
        <v>0</v>
      </c>
      <c r="N2661" s="17">
        <f>K2661*0.08+L2661*0.08</f>
        <v/>
      </c>
      <c r="O2661" s="17">
        <f>-(K2661*0.025+L2661*0.025)</f>
        <v/>
      </c>
      <c r="P2661" s="17">
        <f>32</f>
        <v/>
      </c>
      <c r="Q2661" s="17">
        <f>J2661+L2661+N2661+O2661-P2661-M2661</f>
        <v/>
      </c>
    </row>
    <row r="2662">
      <c r="A2662" s="16" t="inlineStr">
        <is>
          <t>5.22-5.28</t>
        </is>
      </c>
      <c r="B2662" s="16" t="inlineStr">
        <is>
          <t>PO-128-06859933886070550</t>
        </is>
      </c>
      <c r="C2662" s="16" t="inlineStr">
        <is>
          <t>Delivered</t>
        </is>
      </c>
      <c r="D2662" s="16" t="inlineStr">
        <is>
          <t>128-06859946993270550</t>
        </is>
      </c>
      <c r="E2662" s="16" t="inlineStr">
        <is>
          <t>Delivered</t>
        </is>
      </c>
      <c r="F2662" s="16" t="inlineStr">
        <is>
          <t>SA325T</t>
        </is>
      </c>
      <c r="G2662" s="16" t="inlineStr">
        <is>
          <t>Subwoofer Portátil Inalámbrico con Luces RGB, Sonido de Alta Potencia y Batería Duradera, TWS TF USB, Perfecto para Campamento Fiestas y Entretenimiento en Casa</t>
        </is>
      </c>
      <c r="H2662" s="16" t="inlineStr">
        <is>
          <t>NEGRO</t>
        </is>
      </c>
      <c r="I2662" s="16" t="n">
        <v>1</v>
      </c>
      <c r="J2662" s="17" t="n">
        <v>38</v>
      </c>
      <c r="K2662" s="17" t="n">
        <v>44.18</v>
      </c>
      <c r="L2662" s="17" t="n">
        <v>0</v>
      </c>
      <c r="M2662" s="17" t="n">
        <v>0.01</v>
      </c>
      <c r="N2662" s="17">
        <f>K2662*0.08+L2662*0.08</f>
        <v/>
      </c>
      <c r="O2662" s="17">
        <f>-(K2662*0.025+L2662*0.025)</f>
        <v/>
      </c>
      <c r="P2662" s="17">
        <f>32</f>
        <v/>
      </c>
      <c r="Q2662" s="17">
        <f>J2662+L2662+N2662+O2662-P2662-M2662</f>
        <v/>
      </c>
    </row>
    <row r="2663">
      <c r="A2663" s="16" t="inlineStr">
        <is>
          <t>5.22-5.28</t>
        </is>
      </c>
      <c r="B2663" s="16" t="inlineStr">
        <is>
          <t>PO-128-06859933886070550</t>
        </is>
      </c>
      <c r="C2663" s="16" t="inlineStr">
        <is>
          <t>Delivered</t>
        </is>
      </c>
      <c r="D2663" s="16" t="inlineStr">
        <is>
          <t>128-06859926021750550</t>
        </is>
      </c>
      <c r="E2663" s="16" t="inlineStr">
        <is>
          <t>Delivered</t>
        </is>
      </c>
      <c r="F2663" s="16" t="inlineStr">
        <is>
          <t>MCM-001A</t>
        </is>
      </c>
      <c r="G2663" s="16" t="inlineStr">
        <is>
          <t>Musicord Altavoz Inalámbrico BT Portátil: ¡Sonido impactante, luces LED multicolores y 4 horas de autonomía! Compatible con TWS, FM, TF y USB – Imprescindible para fiestas y viajes</t>
        </is>
      </c>
      <c r="H2663" s="16" t="inlineStr">
        <is>
          <t>AZUL</t>
        </is>
      </c>
      <c r="I2663" s="16" t="n">
        <v>2</v>
      </c>
      <c r="J2663" s="17" t="n">
        <v>102.14</v>
      </c>
      <c r="K2663" s="17" t="n">
        <v>111.71</v>
      </c>
      <c r="L2663" s="17" t="n">
        <v>0</v>
      </c>
      <c r="M2663" s="17" t="n">
        <v>0</v>
      </c>
      <c r="N2663" s="17">
        <f>K2663*0.08+L2663*0.08</f>
        <v/>
      </c>
      <c r="O2663" s="17">
        <f>-(K2663*0.025+L2663*0.025)</f>
        <v/>
      </c>
      <c r="P2663" s="17">
        <f>32</f>
        <v/>
      </c>
      <c r="Q2663" s="17">
        <f>J2663+L2663+N2663+O2663-P2663-M2663</f>
        <v/>
      </c>
    </row>
    <row r="2664">
      <c r="A2664" s="16" t="inlineStr">
        <is>
          <t>5.22-5.28</t>
        </is>
      </c>
      <c r="B2664" s="16" t="inlineStr">
        <is>
          <t>PO-128-06859933886070550</t>
        </is>
      </c>
      <c r="C2664" s="16" t="inlineStr">
        <is>
          <t>Delivered</t>
        </is>
      </c>
      <c r="D2664" s="16" t="inlineStr">
        <is>
          <t>128-06859936507510550</t>
        </is>
      </c>
      <c r="E2664" s="16" t="inlineStr">
        <is>
          <t>Delivered</t>
        </is>
      </c>
      <c r="F2664" s="16" t="inlineStr">
        <is>
          <t>MCM-001N</t>
        </is>
      </c>
      <c r="G2664" s="16" t="inlineStr">
        <is>
          <t>Musicord Altavoz Inalámbrico BT Portátil: ¡Sonido impactante, luces LED multicolores y 4 horas de autonomía! Compatible con TWS, FM, TF y USB – Imprescindible para fiestas y viajes</t>
        </is>
      </c>
      <c r="H2664" s="16" t="inlineStr">
        <is>
          <t>NEGRO</t>
        </is>
      </c>
      <c r="I2664" s="16" t="n">
        <v>2</v>
      </c>
      <c r="J2664" s="17" t="n">
        <v>122</v>
      </c>
      <c r="K2664" s="17" t="n">
        <v>129.22</v>
      </c>
      <c r="L2664" s="17" t="n">
        <v>0</v>
      </c>
      <c r="M2664" s="17" t="n">
        <v>0</v>
      </c>
      <c r="N2664" s="17">
        <f>K2664*0.08+L2664*0.08</f>
        <v/>
      </c>
      <c r="O2664" s="17">
        <f>-(K2664*0.025+L2664*0.025)</f>
        <v/>
      </c>
      <c r="P2664" s="17">
        <f>32</f>
        <v/>
      </c>
      <c r="Q2664" s="17">
        <f>J2664+L2664+N2664+O2664-P2664-M2664</f>
        <v/>
      </c>
    </row>
    <row r="2665">
      <c r="A2665" s="16" t="inlineStr">
        <is>
          <t>5.22-5.28</t>
        </is>
      </c>
      <c r="B2665" s="16" t="inlineStr">
        <is>
          <t>PO-128-06230302121593217</t>
        </is>
      </c>
      <c r="C2665" s="16" t="inlineStr">
        <is>
          <t>Delivered</t>
        </is>
      </c>
      <c r="D2665" s="16" t="inlineStr">
        <is>
          <t>128-06230365036153217</t>
        </is>
      </c>
      <c r="E2665" s="16" t="inlineStr">
        <is>
          <t>Delivered</t>
        </is>
      </c>
      <c r="F2665" s="16" t="inlineStr">
        <is>
          <t>LB02235-negro</t>
        </is>
      </c>
      <c r="G2665" s="16" t="inlineStr">
        <is>
          <t>Audífonos Inalámbricos para la Cabeza, Recargables y Multifuncionales - Conectan a Varios Dispositivos, soportan Radio FM, Tarjeta TF y AUX - 4 Horas de Reproducción Musical - Ideal para Trabajo Cotidiano, Juegos y Estudio</t>
        </is>
      </c>
      <c r="H2665" s="16" t="inlineStr">
        <is>
          <t>NEGRO</t>
        </is>
      </c>
      <c r="I2665" s="16" t="n">
        <v>1</v>
      </c>
      <c r="J2665" s="17" t="n">
        <v>37.71</v>
      </c>
      <c r="K2665" s="17" t="n">
        <v>28.91</v>
      </c>
      <c r="L2665" s="17" t="n">
        <v>13.16</v>
      </c>
      <c r="M2665" s="17" t="n">
        <v>0</v>
      </c>
      <c r="N2665" s="17">
        <f>K2665*0.08+L2665*0.08</f>
        <v/>
      </c>
      <c r="O2665" s="17">
        <f>-(K2665*0.025+L2665*0.025)</f>
        <v/>
      </c>
      <c r="P2665" s="17">
        <f>32</f>
        <v/>
      </c>
      <c r="Q2665" s="17">
        <f>J2665+L2665+N2665+O2665-P2665-M2665</f>
        <v/>
      </c>
    </row>
    <row r="2666">
      <c r="A2666" s="16" t="inlineStr">
        <is>
          <t>5.22-5.28</t>
        </is>
      </c>
      <c r="B2666" s="16" t="inlineStr">
        <is>
          <t>PO-128-06230302121593217</t>
        </is>
      </c>
      <c r="C2666" s="16" t="inlineStr">
        <is>
          <t>Delivered</t>
        </is>
      </c>
      <c r="D2666" s="16" t="inlineStr">
        <is>
          <t>128-06230344064633217</t>
        </is>
      </c>
      <c r="E2666" s="16" t="inlineStr">
        <is>
          <t>Delivered</t>
        </is>
      </c>
      <c r="F2666" s="16" t="inlineStr">
        <is>
          <t>LB02235-azul</t>
        </is>
      </c>
      <c r="G2666" s="16" t="inlineStr">
        <is>
          <t>Audífonos Inalámbricos para la Cabeza, Recargables y Multifuncionales - Conectan a Varios Dispositivos, soportan Radio FM, Tarjeta TF y AUX - 4 Horas de Reproducción Musical - Ideal para Trabajo Cotidiano, Juegos y Estudio</t>
        </is>
      </c>
      <c r="H2666" s="16" t="inlineStr">
        <is>
          <t>AZUL</t>
        </is>
      </c>
      <c r="I2666" s="16" t="n">
        <v>1</v>
      </c>
      <c r="J2666" s="17" t="n">
        <v>36</v>
      </c>
      <c r="K2666" s="17" t="n">
        <v>27.92</v>
      </c>
      <c r="L2666" s="17" t="n">
        <v>12.71</v>
      </c>
      <c r="M2666" s="17" t="n">
        <v>0</v>
      </c>
      <c r="N2666" s="17">
        <f>K2666*0.08+L2666*0.08</f>
        <v/>
      </c>
      <c r="O2666" s="17">
        <f>-(K2666*0.025+L2666*0.025)</f>
        <v/>
      </c>
      <c r="P2666" s="17">
        <f>32</f>
        <v/>
      </c>
      <c r="Q2666" s="17">
        <f>J2666+L2666+N2666+O2666-P2666-M2666</f>
        <v/>
      </c>
    </row>
    <row r="2667">
      <c r="A2667" s="16" t="inlineStr">
        <is>
          <t>5.22-5.28</t>
        </is>
      </c>
      <c r="B2667" s="16" t="inlineStr">
        <is>
          <t>PO-128-06330272246393837</t>
        </is>
      </c>
      <c r="C2667" s="16" t="inlineStr">
        <is>
          <t>Delivered</t>
        </is>
      </c>
      <c r="D2667" s="16" t="inlineStr">
        <is>
          <t>128-06330282732153837</t>
        </is>
      </c>
      <c r="E2667" s="16" t="inlineStr">
        <is>
          <t>Delivered</t>
        </is>
      </c>
      <c r="F2667" s="16" t="inlineStr">
        <is>
          <t>KTS-1943-R</t>
        </is>
      </c>
      <c r="G2667" s="16" t="inlineStr">
        <is>
          <t>Altavoz Mini Karaoke Portátil BT con Micrófono Inalámbrico, Función TWS, Radio FM, USB/TF, Batería de Larga Duración, Perfecto para Casa, Exterior y Regalos Especiales</t>
        </is>
      </c>
      <c r="H2667" s="16" t="inlineStr">
        <is>
          <t>ROJO</t>
        </is>
      </c>
      <c r="I2667" s="16" t="n">
        <v>1</v>
      </c>
      <c r="J2667" s="17" t="n">
        <v>75</v>
      </c>
      <c r="K2667" s="17" t="n">
        <v>90.59999999999999</v>
      </c>
      <c r="L2667" s="17" t="n">
        <v>25.86</v>
      </c>
      <c r="M2667" s="17" t="n">
        <v>0</v>
      </c>
      <c r="N2667" s="17">
        <f>K2667*0.08+L2667*0.08</f>
        <v/>
      </c>
      <c r="O2667" s="17">
        <f>-(K2667*0.025+L2667*0.025)</f>
        <v/>
      </c>
      <c r="P2667" s="17">
        <f>32</f>
        <v/>
      </c>
      <c r="Q2667" s="17">
        <f>J2667+L2667+N2667+O2667-P2667-M2667</f>
        <v/>
      </c>
    </row>
    <row r="2668">
      <c r="A2668" s="16" t="inlineStr">
        <is>
          <t>5.22-5.28</t>
        </is>
      </c>
      <c r="B2668" s="16" t="inlineStr">
        <is>
          <t>PO-128-06866237159030579</t>
        </is>
      </c>
      <c r="C2668" s="16" t="inlineStr">
        <is>
          <t>Delivered</t>
        </is>
      </c>
      <c r="D2668" s="16" t="inlineStr">
        <is>
          <t>128-06866216187510579</t>
        </is>
      </c>
      <c r="E2668" s="16" t="inlineStr">
        <is>
          <t>Delivered</t>
        </is>
      </c>
      <c r="F2668" s="16" t="inlineStr">
        <is>
          <t>MCM-001G</t>
        </is>
      </c>
      <c r="G2668" s="16" t="inlineStr">
        <is>
          <t>Musicord Altavoz Inalámbrico BT Portátil: ¡Sonido impactante, luces LED multicolores y 4 horas de autonomía! Compatible con TWS, FM, TF y USB – Imprescindible para fiestas y viajes</t>
        </is>
      </c>
      <c r="H2668" s="16" t="inlineStr">
        <is>
          <t>GRIS</t>
        </is>
      </c>
      <c r="I2668" s="16" t="n">
        <v>1</v>
      </c>
      <c r="J2668" s="17" t="n">
        <v>51.07</v>
      </c>
      <c r="K2668" s="17" t="n">
        <v>58.86</v>
      </c>
      <c r="L2668" s="17" t="n">
        <v>25.86</v>
      </c>
      <c r="M2668" s="17" t="n">
        <v>0</v>
      </c>
      <c r="N2668" s="17">
        <f>K2668*0.08+L2668*0.08</f>
        <v/>
      </c>
      <c r="O2668" s="17">
        <f>-(K2668*0.025+L2668*0.025)</f>
        <v/>
      </c>
      <c r="P2668" s="17">
        <f>32</f>
        <v/>
      </c>
      <c r="Q2668" s="17">
        <f>J2668+L2668+N2668+O2668-P2668-M2668</f>
        <v/>
      </c>
    </row>
    <row r="2669">
      <c r="A2669" s="16" t="inlineStr">
        <is>
          <t>5.22-5.28</t>
        </is>
      </c>
      <c r="B2669" s="16" t="inlineStr">
        <is>
          <t>PO-128-06371787228792500</t>
        </is>
      </c>
      <c r="C2669" s="16" t="inlineStr">
        <is>
          <t>Delivered</t>
        </is>
      </c>
      <c r="D2669" s="16" t="inlineStr">
        <is>
          <t>128-06371813443192500</t>
        </is>
      </c>
      <c r="E2669" s="16" t="inlineStr">
        <is>
          <t>Delivered</t>
        </is>
      </c>
      <c r="F2669" s="16" t="inlineStr">
        <is>
          <t>VB347T</t>
        </is>
      </c>
      <c r="G266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69" s="16" t="inlineStr">
        <is>
          <t>1 pieza</t>
        </is>
      </c>
      <c r="I2669" s="16" t="n">
        <v>1</v>
      </c>
      <c r="J2669" s="17" t="n">
        <v>79.90000000000001</v>
      </c>
      <c r="K2669" s="17" t="n">
        <v>94.5</v>
      </c>
      <c r="L2669" s="17" t="n">
        <v>25.86</v>
      </c>
      <c r="M2669" s="17" t="n">
        <v>0</v>
      </c>
      <c r="N2669" s="17">
        <f>K2669*0.08+L2669*0.08</f>
        <v/>
      </c>
      <c r="O2669" s="17">
        <f>-(K2669*0.025+L2669*0.025)</f>
        <v/>
      </c>
      <c r="P2669" s="17">
        <f>32</f>
        <v/>
      </c>
      <c r="Q2669" s="17">
        <f>J2669+L2669+N2669+O2669-P2669-M2669</f>
        <v/>
      </c>
    </row>
    <row r="2670">
      <c r="A2670" s="16" t="inlineStr">
        <is>
          <t>5.22-5.28</t>
        </is>
      </c>
      <c r="B2670" s="16" t="inlineStr">
        <is>
          <t>PO-128-06323182976633751</t>
        </is>
      </c>
      <c r="C2670" s="16" t="inlineStr">
        <is>
          <t>Delivered</t>
        </is>
      </c>
      <c r="D2670" s="16" t="inlineStr">
        <is>
          <t>128-06323214433913751</t>
        </is>
      </c>
      <c r="E2670" s="16" t="inlineStr">
        <is>
          <t>Delivered</t>
        </is>
      </c>
      <c r="F2670" s="16" t="inlineStr">
        <is>
          <t>SA8056T</t>
        </is>
      </c>
      <c r="G267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670" s="16" t="inlineStr">
        <is>
          <t>SA8056T</t>
        </is>
      </c>
      <c r="I2670" s="16" t="n">
        <v>1</v>
      </c>
      <c r="J2670" s="17" t="n">
        <v>123.9</v>
      </c>
      <c r="K2670" s="17" t="n">
        <v>144.28</v>
      </c>
      <c r="L2670" s="17" t="n">
        <v>25.86</v>
      </c>
      <c r="M2670" s="17" t="n">
        <v>0</v>
      </c>
      <c r="N2670" s="17">
        <f>K2670*0.08+L2670*0.08</f>
        <v/>
      </c>
      <c r="O2670" s="17">
        <f>-(K2670*0.025+L2670*0.025)</f>
        <v/>
      </c>
      <c r="P2670" s="17">
        <f>32</f>
        <v/>
      </c>
      <c r="Q2670" s="17">
        <f>J2670+L2670+N2670+O2670-P2670-M2670</f>
        <v/>
      </c>
    </row>
    <row r="2671">
      <c r="A2671" s="16" t="inlineStr">
        <is>
          <t>5.22-5.28</t>
        </is>
      </c>
      <c r="B2671" s="16" t="inlineStr">
        <is>
          <t>PO-128-06272420956793988</t>
        </is>
      </c>
      <c r="C2671" s="16" t="inlineStr">
        <is>
          <t>Delivered</t>
        </is>
      </c>
      <c r="D2671" s="16" t="inlineStr">
        <is>
          <t>128-06272447171193988</t>
        </is>
      </c>
      <c r="E2671" s="16" t="inlineStr">
        <is>
          <t>Delivered</t>
        </is>
      </c>
      <c r="F2671" s="16" t="inlineStr">
        <is>
          <t>LB02235-negro</t>
        </is>
      </c>
      <c r="G2671" s="16" t="inlineStr">
        <is>
          <t>Audífonos Inalámbricos para la Cabeza, Recargables y Multifuncionales - Conectan a Varios Dispositivos, soportan Radio FM, Tarjeta TF y AUX - 4 Horas de Reproducción Musical - Ideal para Trabajo Cotidiano, Juegos y Estudio</t>
        </is>
      </c>
      <c r="H2671" s="16" t="inlineStr">
        <is>
          <t>NEGRO</t>
        </is>
      </c>
      <c r="I2671" s="16" t="n">
        <v>1</v>
      </c>
      <c r="J2671" s="17" t="n">
        <v>37.71</v>
      </c>
      <c r="K2671" s="17" t="n">
        <v>50.82</v>
      </c>
      <c r="L2671" s="17" t="n">
        <v>25.86</v>
      </c>
      <c r="M2671" s="17" t="n">
        <v>0</v>
      </c>
      <c r="N2671" s="17">
        <f>K2671*0.08+L2671*0.08</f>
        <v/>
      </c>
      <c r="O2671" s="17">
        <f>-(K2671*0.025+L2671*0.025)</f>
        <v/>
      </c>
      <c r="P2671" s="17">
        <f>32</f>
        <v/>
      </c>
      <c r="Q2671" s="17">
        <f>J2671+L2671+N2671+O2671-P2671-M2671</f>
        <v/>
      </c>
    </row>
    <row r="2672">
      <c r="A2672" s="16" t="inlineStr">
        <is>
          <t>5.22-5.28</t>
        </is>
      </c>
      <c r="B2672" s="16" t="inlineStr">
        <is>
          <t>PO-128-06812534897270771</t>
        </is>
      </c>
      <c r="C2672" s="16" t="inlineStr">
        <is>
          <t>Delivered</t>
        </is>
      </c>
      <c r="D2672" s="16" t="inlineStr">
        <is>
          <t>128-06812545383030771</t>
        </is>
      </c>
      <c r="E2672" s="16" t="inlineStr">
        <is>
          <t>Delivered</t>
        </is>
      </c>
      <c r="F2672" s="16" t="inlineStr">
        <is>
          <t>HD005</t>
        </is>
      </c>
      <c r="G2672" s="16" t="inlineStr">
        <is>
          <t>Link bits HD005 Antena UHF para Exteriores, Antena de TV Digital HD con 10 Metros de Cable, Recepción 470-862MHz, 9-7dB de Ganancia, Antena para Canales Abiertos y HD, Resistente al Agua y Viento, Fácil Instalación</t>
        </is>
      </c>
      <c r="H2672" s="16" t="inlineStr">
        <is>
          <t>1</t>
        </is>
      </c>
      <c r="I2672" s="16" t="n">
        <v>1</v>
      </c>
      <c r="J2672" s="17" t="n">
        <v>75</v>
      </c>
      <c r="K2672" s="17" t="n">
        <v>92.66</v>
      </c>
      <c r="L2672" s="17" t="n">
        <v>25.86</v>
      </c>
      <c r="M2672" s="17" t="n">
        <v>0</v>
      </c>
      <c r="N2672" s="17">
        <f>K2672*0.08+L2672*0.08</f>
        <v/>
      </c>
      <c r="O2672" s="17">
        <f>-(K2672*0.025+L2672*0.025)</f>
        <v/>
      </c>
      <c r="P2672" s="17">
        <f>32</f>
        <v/>
      </c>
      <c r="Q2672" s="17">
        <f>J2672+L2672+N2672+O2672-P2672-M2672</f>
        <v/>
      </c>
    </row>
    <row r="2673">
      <c r="A2673" s="16" t="inlineStr">
        <is>
          <t>5.22-5.28</t>
        </is>
      </c>
      <c r="B2673" s="16" t="inlineStr">
        <is>
          <t>PO-128-06188957819513463</t>
        </is>
      </c>
      <c r="C2673" s="16" t="inlineStr">
        <is>
          <t>Delivered</t>
        </is>
      </c>
      <c r="D2673" s="16" t="inlineStr">
        <is>
          <t>128-06188968305273463</t>
        </is>
      </c>
      <c r="E2673" s="16" t="inlineStr">
        <is>
          <t>Delivered</t>
        </is>
      </c>
      <c r="F2673" s="16" t="inlineStr">
        <is>
          <t>SA325T</t>
        </is>
      </c>
      <c r="G2673" s="16" t="inlineStr">
        <is>
          <t>Subwoofer Portátil Inalámbrico con Luces RGB, Sonido de Alta Potencia y Batería Duradera, TWS TF USB, Perfecto para Campamento Fiestas y Entretenimiento en Casa</t>
        </is>
      </c>
      <c r="H2673" s="16" t="inlineStr">
        <is>
          <t>NEGRO</t>
        </is>
      </c>
      <c r="I2673" s="16" t="n">
        <v>1</v>
      </c>
      <c r="J2673" s="17" t="n">
        <v>38</v>
      </c>
      <c r="K2673" s="17" t="n">
        <v>47.04</v>
      </c>
      <c r="L2673" s="17" t="n">
        <v>25.86</v>
      </c>
      <c r="M2673" s="17" t="n">
        <v>0</v>
      </c>
      <c r="N2673" s="17">
        <f>K2673*0.08+L2673*0.08</f>
        <v/>
      </c>
      <c r="O2673" s="17">
        <f>-(K2673*0.025+L2673*0.025)</f>
        <v/>
      </c>
      <c r="P2673" s="17">
        <f>32</f>
        <v/>
      </c>
      <c r="Q2673" s="17">
        <f>J2673+L2673+N2673+O2673-P2673-M2673</f>
        <v/>
      </c>
    </row>
    <row r="2674">
      <c r="A2674" s="16" t="inlineStr">
        <is>
          <t>5.22-5.28</t>
        </is>
      </c>
      <c r="B2674" s="16" t="inlineStr">
        <is>
          <t>PO-128-06760480113270249</t>
        </is>
      </c>
      <c r="C2674" s="16" t="inlineStr">
        <is>
          <t>Delivered</t>
        </is>
      </c>
      <c r="D2674" s="16" t="inlineStr">
        <is>
          <t>128-06760532542070249</t>
        </is>
      </c>
      <c r="E2674" s="16" t="inlineStr">
        <is>
          <t>Delivered</t>
        </is>
      </c>
      <c r="F2674" s="16" t="inlineStr">
        <is>
          <t>VA384T-N</t>
        </is>
      </c>
      <c r="G2674" s="16" t="inlineStr">
        <is>
          <t>Bocina Portátil Bluetooth de 3 Pulgadas con Radio FM, USB TF TWS, Sonido Estéreo 5W, Bocina Recargable para Hogar Exterior Viaje Fiesta Camping</t>
        </is>
      </c>
      <c r="H2674" s="16" t="inlineStr">
        <is>
          <t>NEGRO</t>
        </is>
      </c>
      <c r="I2674" s="16" t="n">
        <v>1</v>
      </c>
      <c r="J2674" s="17" t="n">
        <v>50</v>
      </c>
      <c r="K2674" s="17" t="n">
        <v>60.72</v>
      </c>
      <c r="L2674" s="17" t="n">
        <v>25.86</v>
      </c>
      <c r="M2674" s="17" t="n">
        <v>0</v>
      </c>
      <c r="N2674" s="17">
        <f>K2674*0.08+L2674*0.08</f>
        <v/>
      </c>
      <c r="O2674" s="17">
        <f>-(K2674*0.025+L2674*0.025)</f>
        <v/>
      </c>
      <c r="P2674" s="17">
        <f>32</f>
        <v/>
      </c>
      <c r="Q2674" s="17">
        <f>J2674+L2674+N2674+O2674-P2674-M2674</f>
        <v/>
      </c>
    </row>
    <row r="2675">
      <c r="A2675" s="16" t="inlineStr">
        <is>
          <t>5.22-5.28</t>
        </is>
      </c>
      <c r="B2675" s="16" t="inlineStr">
        <is>
          <t>PO-128-06814674140790820</t>
        </is>
      </c>
      <c r="C2675" s="16" t="inlineStr">
        <is>
          <t>Delivered</t>
        </is>
      </c>
      <c r="D2675" s="16" t="inlineStr">
        <is>
          <t>128-06814647926390820</t>
        </is>
      </c>
      <c r="E2675" s="16" t="inlineStr">
        <is>
          <t>Delivered</t>
        </is>
      </c>
      <c r="F2675" s="16" t="inlineStr">
        <is>
          <t>KTS-1678Y</t>
        </is>
      </c>
      <c r="G2675" s="16" t="inlineStr">
        <is>
          <t>Bocina portátil Inalámbrico, de 3 pulgadas, tamaño de bolsillo, 170 g, con asa, compatible con TF, USB y Micro SD, con radio FM y función TWS (True Wireless Stereo), adecuada para relajarse en casa o viajar al aire libre.</t>
        </is>
      </c>
      <c r="H2675" s="16" t="inlineStr">
        <is>
          <t>KTS-1678Y</t>
        </is>
      </c>
      <c r="I2675" s="16" t="n">
        <v>1</v>
      </c>
      <c r="J2675" s="17" t="n">
        <v>42.5</v>
      </c>
      <c r="K2675" s="17" t="n">
        <v>48.72</v>
      </c>
      <c r="L2675" s="17" t="n">
        <v>8.380000000000001</v>
      </c>
      <c r="M2675" s="17" t="n">
        <v>0</v>
      </c>
      <c r="N2675" s="17">
        <f>K2675*0.08+L2675*0.08</f>
        <v/>
      </c>
      <c r="O2675" s="17">
        <f>-(K2675*0.025+L2675*0.025)</f>
        <v/>
      </c>
      <c r="P2675" s="17">
        <f>32</f>
        <v/>
      </c>
      <c r="Q2675" s="17">
        <f>J2675+L2675+N2675+O2675-P2675-M2675</f>
        <v/>
      </c>
    </row>
    <row r="2676">
      <c r="A2676" s="16" t="inlineStr">
        <is>
          <t>5.22-5.28</t>
        </is>
      </c>
      <c r="B2676" s="16" t="inlineStr">
        <is>
          <t>PO-128-06814674140790820</t>
        </is>
      </c>
      <c r="C2676" s="16" t="inlineStr">
        <is>
          <t>Delivered</t>
        </is>
      </c>
      <c r="D2676" s="16" t="inlineStr">
        <is>
          <t>128-06814642683510820</t>
        </is>
      </c>
      <c r="E2676" s="16" t="inlineStr">
        <is>
          <t>Delivered</t>
        </is>
      </c>
      <c r="F2676" s="16" t="inlineStr">
        <is>
          <t>KTS-1678A</t>
        </is>
      </c>
      <c r="G2676" s="16" t="inlineStr">
        <is>
          <t>Bocina portátil Inalámbrico, de 3 pulgadas, tamaño de bolsillo, 170 g, con asa, compatible con TF, USB y Micro SD, con radio FM y función TWS (True Wireless Stereo), adecuada para relajarse en casa o viajar al aire libre.</t>
        </is>
      </c>
      <c r="H2676" s="16" t="inlineStr">
        <is>
          <t>KTS-1678A</t>
        </is>
      </c>
      <c r="I2676" s="16" t="n">
        <v>1</v>
      </c>
      <c r="J2676" s="17" t="n">
        <v>42.5</v>
      </c>
      <c r="K2676" s="17" t="n">
        <v>50.78</v>
      </c>
      <c r="L2676" s="17" t="n">
        <v>8.73</v>
      </c>
      <c r="M2676" s="17" t="n">
        <v>0</v>
      </c>
      <c r="N2676" s="17">
        <f>K2676*0.08+L2676*0.08</f>
        <v/>
      </c>
      <c r="O2676" s="17">
        <f>-(K2676*0.025+L2676*0.025)</f>
        <v/>
      </c>
      <c r="P2676" s="17">
        <f>32</f>
        <v/>
      </c>
      <c r="Q2676" s="17">
        <f>J2676+L2676+N2676+O2676-P2676-M2676</f>
        <v/>
      </c>
    </row>
    <row r="2677">
      <c r="A2677" s="16" t="inlineStr">
        <is>
          <t>5.22-5.28</t>
        </is>
      </c>
      <c r="B2677" s="16" t="inlineStr">
        <is>
          <t>PO-128-06814674140790820</t>
        </is>
      </c>
      <c r="C2677" s="16" t="inlineStr">
        <is>
          <t>Delivered</t>
        </is>
      </c>
      <c r="D2677" s="16" t="inlineStr">
        <is>
          <t>128-06814621711990820</t>
        </is>
      </c>
      <c r="E2677" s="16" t="inlineStr">
        <is>
          <t>Delivered</t>
        </is>
      </c>
      <c r="F2677" s="16" t="inlineStr">
        <is>
          <t>KTS-1678V</t>
        </is>
      </c>
      <c r="G2677" s="16" t="inlineStr">
        <is>
          <t>Bocina portátil Inalámbrico, de 3 pulgadas, tamaño de bolsillo, 170 g, con asa, compatible con TF, USB y Micro SD, con radio FM y función TWS (True Wireless Stereo), adecuada para relajarse en casa o viajar al aire libre.</t>
        </is>
      </c>
      <c r="H2677" s="16" t="inlineStr">
        <is>
          <t>KTS-1678V</t>
        </is>
      </c>
      <c r="I2677" s="16" t="n">
        <v>1</v>
      </c>
      <c r="J2677" s="17" t="n">
        <v>42.5</v>
      </c>
      <c r="K2677" s="17" t="n">
        <v>50.78</v>
      </c>
      <c r="L2677" s="17" t="n">
        <v>8.75</v>
      </c>
      <c r="M2677" s="17" t="n">
        <v>0</v>
      </c>
      <c r="N2677" s="17">
        <f>K2677*0.08+L2677*0.08</f>
        <v/>
      </c>
      <c r="O2677" s="17">
        <f>-(K2677*0.025+L2677*0.025)</f>
        <v/>
      </c>
      <c r="P2677" s="17">
        <f>32</f>
        <v/>
      </c>
      <c r="Q2677" s="17">
        <f>J2677+L2677+N2677+O2677-P2677-M2677</f>
        <v/>
      </c>
    </row>
    <row r="2678">
      <c r="A2678" s="16" t="inlineStr">
        <is>
          <t>5.22-5.28</t>
        </is>
      </c>
      <c r="B2678" s="16" t="inlineStr">
        <is>
          <t>PO-128-06745547039350144</t>
        </is>
      </c>
      <c r="C2678" s="16" t="inlineStr">
        <is>
          <t>Delivered</t>
        </is>
      </c>
      <c r="D2678" s="16" t="inlineStr">
        <is>
          <t>128-06745494610550144</t>
        </is>
      </c>
      <c r="E2678" s="16" t="inlineStr">
        <is>
          <t>Delivered</t>
        </is>
      </c>
      <c r="F2678" s="16" t="inlineStr">
        <is>
          <t>FA028</t>
        </is>
      </c>
      <c r="G2678" s="16" t="inlineStr">
        <is>
          <t>Extractor de agua para garrafas de agua, compatible con carga USB, extractor de agua automático, práctico, con dos modos de toma de agua: manual y programado, ideal para dormitorios, salones, oficinas, uso al aire libre y otros escenarios.</t>
        </is>
      </c>
      <c r="H2678" s="16" t="inlineStr">
        <is>
          <t>FA028</t>
        </is>
      </c>
      <c r="I2678" s="16" t="n">
        <v>1</v>
      </c>
      <c r="J2678" s="17" t="n">
        <v>35</v>
      </c>
      <c r="K2678" s="17" t="n">
        <v>44.58</v>
      </c>
      <c r="L2678" s="17" t="n">
        <v>25.86</v>
      </c>
      <c r="M2678" s="17" t="n">
        <v>0</v>
      </c>
      <c r="N2678" s="17">
        <f>K2678*0.08+L2678*0.08</f>
        <v/>
      </c>
      <c r="O2678" s="17">
        <f>-(K2678*0.025+L2678*0.025)</f>
        <v/>
      </c>
      <c r="P2678" s="17">
        <f>32</f>
        <v/>
      </c>
      <c r="Q2678" s="17">
        <f>J2678+L2678+N2678+O2678-P2678-M2678</f>
        <v/>
      </c>
    </row>
    <row r="2679">
      <c r="A2679" s="16" t="inlineStr">
        <is>
          <t>5.22-5.28</t>
        </is>
      </c>
      <c r="B2679" s="16" t="inlineStr">
        <is>
          <t>PO-128-06333299282553819</t>
        </is>
      </c>
      <c r="C2679" s="16" t="inlineStr">
        <is>
          <t>Delivered</t>
        </is>
      </c>
      <c r="D2679" s="16" t="inlineStr">
        <is>
          <t>128-06333270446713819</t>
        </is>
      </c>
      <c r="E2679" s="16" t="inlineStr">
        <is>
          <t>Delivered</t>
        </is>
      </c>
      <c r="F2679" s="16" t="inlineStr">
        <is>
          <t>FA028</t>
        </is>
      </c>
      <c r="G2679" s="16" t="inlineStr">
        <is>
          <t>Extractor de agua para garrafas de agua, compatible con carga USB, extractor de agua automático, práctico, con dos modos de toma de agua: manual y programado, ideal para dormitorios, salones, oficinas, uso al aire libre y otros escenarios.</t>
        </is>
      </c>
      <c r="H2679" s="16" t="inlineStr">
        <is>
          <t>FA028</t>
        </is>
      </c>
      <c r="I2679" s="16" t="n">
        <v>1</v>
      </c>
      <c r="J2679" s="17" t="n">
        <v>35</v>
      </c>
      <c r="K2679" s="17" t="n">
        <v>44.58</v>
      </c>
      <c r="L2679" s="17" t="n">
        <v>25.86</v>
      </c>
      <c r="M2679" s="17" t="n">
        <v>0</v>
      </c>
      <c r="N2679" s="17">
        <f>K2679*0.08+L2679*0.08</f>
        <v/>
      </c>
      <c r="O2679" s="17">
        <f>-(K2679*0.025+L2679*0.025)</f>
        <v/>
      </c>
      <c r="P2679" s="17">
        <f>32</f>
        <v/>
      </c>
      <c r="Q2679" s="17">
        <f>J2679+L2679+N2679+O2679-P2679-M2679</f>
        <v/>
      </c>
    </row>
    <row r="2680">
      <c r="A2680" s="16" t="inlineStr">
        <is>
          <t>5.22-5.28</t>
        </is>
      </c>
      <c r="B2680" s="16" t="inlineStr">
        <is>
          <t>PO-128-06481334620792937</t>
        </is>
      </c>
      <c r="C2680" s="16" t="inlineStr">
        <is>
          <t>Delivered</t>
        </is>
      </c>
      <c r="D2680" s="16" t="inlineStr">
        <is>
          <t>128-06481292677752937</t>
        </is>
      </c>
      <c r="E2680" s="16" t="inlineStr">
        <is>
          <t>Delivered</t>
        </is>
      </c>
      <c r="F2680" s="16" t="inlineStr">
        <is>
          <t>MCM-001A</t>
        </is>
      </c>
      <c r="G2680" s="16" t="inlineStr">
        <is>
          <t>Musicord Altavoz Inalámbrico BT Portátil: ¡Sonido impactante, luces LED multicolores y 4 horas de autonomía! Compatible con TWS, FM, TF y USB – Imprescindible para fiestas y viajes</t>
        </is>
      </c>
      <c r="H2680" s="16" t="inlineStr">
        <is>
          <t>AZUL</t>
        </is>
      </c>
      <c r="I2680" s="16" t="n">
        <v>1</v>
      </c>
      <c r="J2680" s="17" t="n">
        <v>51.07</v>
      </c>
      <c r="K2680" s="17" t="n">
        <v>16.37</v>
      </c>
      <c r="L2680" s="17" t="n">
        <v>25.86</v>
      </c>
      <c r="M2680" s="17" t="n">
        <v>0</v>
      </c>
      <c r="N2680" s="17">
        <f>K2680*0.08+L2680*0.08</f>
        <v/>
      </c>
      <c r="O2680" s="17">
        <f>-(K2680*0.025+L2680*0.025)</f>
        <v/>
      </c>
      <c r="P2680" s="17">
        <f>32</f>
        <v/>
      </c>
      <c r="Q2680" s="17">
        <f>J2680+L2680+N2680+O2680-P2680-M2680</f>
        <v/>
      </c>
    </row>
    <row r="2681">
      <c r="A2681" s="16" t="inlineStr">
        <is>
          <t>5.22-5.28</t>
        </is>
      </c>
      <c r="B2681" s="16" t="inlineStr">
        <is>
          <t>PO-128-06456049874553023</t>
        </is>
      </c>
      <c r="C2681" s="16" t="inlineStr">
        <is>
          <t>Delivered</t>
        </is>
      </c>
      <c r="D2681" s="16" t="inlineStr">
        <is>
          <t>128-06456201918073023</t>
        </is>
      </c>
      <c r="E2681" s="16" t="inlineStr">
        <is>
          <t>Delivered</t>
        </is>
      </c>
      <c r="F2681" s="16" t="inlineStr">
        <is>
          <t>LB02235-negro</t>
        </is>
      </c>
      <c r="G2681" s="16" t="inlineStr">
        <is>
          <t>Audífonos Inalámbricos para la Cabeza, Recargables y Multifuncionales - Conectan a Varios Dispositivos, soportan Radio FM, Tarjeta TF y AUX - 4 Horas de Reproducción Musical - Ideal para Trabajo Cotidiano, Juegos y Estudio</t>
        </is>
      </c>
      <c r="H2681" s="16" t="inlineStr">
        <is>
          <t>NEGRO</t>
        </is>
      </c>
      <c r="I2681" s="16" t="n">
        <v>1</v>
      </c>
      <c r="J2681" s="17" t="n">
        <v>37.71</v>
      </c>
      <c r="K2681" s="17" t="n">
        <v>50.82</v>
      </c>
      <c r="L2681" s="17" t="n">
        <v>25.86</v>
      </c>
      <c r="M2681" s="17" t="n">
        <v>0</v>
      </c>
      <c r="N2681" s="17">
        <f>K2681*0.08+L2681*0.08</f>
        <v/>
      </c>
      <c r="O2681" s="17">
        <f>-(K2681*0.025+L2681*0.025)</f>
        <v/>
      </c>
      <c r="P2681" s="17">
        <f>32</f>
        <v/>
      </c>
      <c r="Q2681" s="17">
        <f>J2681+L2681+N2681+O2681-P2681-M2681</f>
        <v/>
      </c>
    </row>
    <row r="2682">
      <c r="A2682" s="16" t="inlineStr">
        <is>
          <t>5.22-5.28</t>
        </is>
      </c>
      <c r="B2682" s="16" t="inlineStr">
        <is>
          <t>PO-128-06465103887992841</t>
        </is>
      </c>
      <c r="C2682" s="16" t="inlineStr">
        <is>
          <t>Delivered</t>
        </is>
      </c>
      <c r="D2682" s="16" t="inlineStr">
        <is>
          <t>128-06465137966712841</t>
        </is>
      </c>
      <c r="E2682" s="16" t="inlineStr">
        <is>
          <t>Delivered</t>
        </is>
      </c>
      <c r="F2682" s="16" t="inlineStr">
        <is>
          <t>EM04W36</t>
        </is>
      </c>
      <c r="G268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682" s="16" t="inlineStr">
        <is>
          <t>1 pieza</t>
        </is>
      </c>
      <c r="I2682" s="16" t="n">
        <v>1</v>
      </c>
      <c r="J2682" s="17" t="n">
        <v>62</v>
      </c>
      <c r="K2682" s="17" t="n">
        <v>71.29000000000001</v>
      </c>
      <c r="L2682" s="17" t="n">
        <v>25.86</v>
      </c>
      <c r="M2682" s="17" t="n">
        <v>0</v>
      </c>
      <c r="N2682" s="17">
        <f>K2682*0.08+L2682*0.08</f>
        <v/>
      </c>
      <c r="O2682" s="17">
        <f>-(K2682*0.025+L2682*0.025)</f>
        <v/>
      </c>
      <c r="P2682" s="17">
        <f>32</f>
        <v/>
      </c>
      <c r="Q2682" s="17">
        <f>J2682+L2682+N2682+O2682-P2682-M2682</f>
        <v/>
      </c>
    </row>
    <row r="2683">
      <c r="A2683" s="16" t="inlineStr">
        <is>
          <t>5.22-5.28</t>
        </is>
      </c>
      <c r="B2683" s="16" t="inlineStr">
        <is>
          <t>PO-128-06245923830393314</t>
        </is>
      </c>
      <c r="C2683" s="16" t="inlineStr">
        <is>
          <t>Delivered</t>
        </is>
      </c>
      <c r="D2683" s="16" t="inlineStr">
        <is>
          <t>128-06245976259193314</t>
        </is>
      </c>
      <c r="E2683" s="16" t="inlineStr">
        <is>
          <t>Delivered</t>
        </is>
      </c>
      <c r="F2683" s="16" t="inlineStr">
        <is>
          <t>MB-185N</t>
        </is>
      </c>
      <c r="G2683" s="16" t="inlineStr">
        <is>
          <t>Bocina Radio FM/Reproductor, Compatible con Tarjeta TF, USB, Bluetooth, Aplicable para celular, computadora, Ipad y consola.</t>
        </is>
      </c>
      <c r="H2683" s="16" t="inlineStr">
        <is>
          <t>NEGRO/MB-185</t>
        </is>
      </c>
      <c r="I2683" s="16" t="n">
        <v>1</v>
      </c>
      <c r="J2683" s="17" t="n">
        <v>75.5</v>
      </c>
      <c r="K2683" s="17" t="n">
        <v>88.44</v>
      </c>
      <c r="L2683" s="17" t="n">
        <v>25.86</v>
      </c>
      <c r="M2683" s="17" t="n">
        <v>0</v>
      </c>
      <c r="N2683" s="17">
        <f>K2683*0.08+L2683*0.08</f>
        <v/>
      </c>
      <c r="O2683" s="17">
        <f>-(K2683*0.025+L2683*0.025)</f>
        <v/>
      </c>
      <c r="P2683" s="17">
        <f>32</f>
        <v/>
      </c>
      <c r="Q2683" s="17">
        <f>J2683+L2683+N2683+O2683-P2683-M2683</f>
        <v/>
      </c>
    </row>
    <row r="2684">
      <c r="A2684" s="16" t="inlineStr">
        <is>
          <t>5.22-5.28</t>
        </is>
      </c>
      <c r="B2684" s="16" t="inlineStr">
        <is>
          <t>PO-128-06267519713913187</t>
        </is>
      </c>
      <c r="C2684" s="16" t="inlineStr">
        <is>
          <t>Delivered</t>
        </is>
      </c>
      <c r="D2684" s="16" t="inlineStr">
        <is>
          <t>128-06267530199673187</t>
        </is>
      </c>
      <c r="E2684" s="16" t="inlineStr">
        <is>
          <t>Delivered</t>
        </is>
      </c>
      <c r="F2684" s="16" t="inlineStr">
        <is>
          <t>MB-183R</t>
        </is>
      </c>
      <c r="G2684" s="16" t="inlineStr">
        <is>
          <t>Linkbits Altavoz Bluetooth Portátil con Stereo Inalámbrico TWS Impermeable y a Prueba de Polvo IP65 Altavoz de Graves de Rango Completo de 52mm con Doble Unidad Ligero de 215g para Camping Senderismo y Fiestas al Aire Libre</t>
        </is>
      </c>
      <c r="H2684" s="16" t="inlineStr">
        <is>
          <t>ROJO/MB-183</t>
        </is>
      </c>
      <c r="I2684" s="16" t="n">
        <v>1</v>
      </c>
      <c r="J2684" s="17" t="n">
        <v>84.90000000000001</v>
      </c>
      <c r="K2684" s="17" t="n">
        <v>92.14</v>
      </c>
      <c r="L2684" s="17" t="n">
        <v>25.86</v>
      </c>
      <c r="M2684" s="17" t="n">
        <v>0</v>
      </c>
      <c r="N2684" s="17">
        <f>K2684*0.08+L2684*0.08</f>
        <v/>
      </c>
      <c r="O2684" s="17">
        <f>-(K2684*0.025+L2684*0.025)</f>
        <v/>
      </c>
      <c r="P2684" s="17">
        <f>32</f>
        <v/>
      </c>
      <c r="Q2684" s="17">
        <f>J2684+L2684+N2684+O2684-P2684-M2684</f>
        <v/>
      </c>
    </row>
    <row r="2685">
      <c r="A2685" s="16" t="inlineStr">
        <is>
          <t>5.22-5.28</t>
        </is>
      </c>
      <c r="B2685" s="16" t="inlineStr">
        <is>
          <t>PO-128-06817814815350803</t>
        </is>
      </c>
      <c r="C2685" s="16" t="inlineStr">
        <is>
          <t>Delivered</t>
        </is>
      </c>
      <c r="D2685" s="16" t="inlineStr">
        <is>
          <t>128-06817783358070803</t>
        </is>
      </c>
      <c r="E2685" s="16" t="inlineStr">
        <is>
          <t>Delivered</t>
        </is>
      </c>
      <c r="F2685" s="16" t="inlineStr">
        <is>
          <t>VA384T-A</t>
        </is>
      </c>
      <c r="G2685" s="16" t="inlineStr">
        <is>
          <t>Bocina Portátil Bluetooth de 3 Pulgadas con Radio FM, USB TF TWS, Sonido Estéreo 5W, Bocina Recargable para Hogar Exterior Viaje Fiesta Camping</t>
        </is>
      </c>
      <c r="H2685" s="16" t="inlineStr">
        <is>
          <t>AZUL</t>
        </is>
      </c>
      <c r="I2685" s="16" t="n">
        <v>1</v>
      </c>
      <c r="J2685" s="17" t="n">
        <v>48</v>
      </c>
      <c r="K2685" s="17" t="n">
        <v>58.72</v>
      </c>
      <c r="L2685" s="17" t="n">
        <v>25.86</v>
      </c>
      <c r="M2685" s="17" t="n">
        <v>0</v>
      </c>
      <c r="N2685" s="17">
        <f>K2685*0.08+L2685*0.08</f>
        <v/>
      </c>
      <c r="O2685" s="17">
        <f>-(K2685*0.025+L2685*0.025)</f>
        <v/>
      </c>
      <c r="P2685" s="17">
        <f>32</f>
        <v/>
      </c>
      <c r="Q2685" s="17">
        <f>J2685+L2685+N2685+O2685-P2685-M2685</f>
        <v/>
      </c>
    </row>
    <row r="2686">
      <c r="A2686" s="16" t="inlineStr">
        <is>
          <t>5.22-5.28</t>
        </is>
      </c>
      <c r="B2686" s="16" t="inlineStr">
        <is>
          <t>PO-128-06720134759030489</t>
        </is>
      </c>
      <c r="C2686" s="16" t="inlineStr">
        <is>
          <t>Delivered</t>
        </is>
      </c>
      <c r="D2686" s="16" t="inlineStr">
        <is>
          <t>128-06720271073910489</t>
        </is>
      </c>
      <c r="E2686" s="16" t="inlineStr">
        <is>
          <t>Delivered</t>
        </is>
      </c>
      <c r="F2686" s="16" t="inlineStr">
        <is>
          <t>LB02235-azul</t>
        </is>
      </c>
      <c r="G2686" s="16" t="inlineStr">
        <is>
          <t>Audífonos Inalámbricos para la Cabeza, Recargables y Multifuncionales - Conectan a Varios Dispositivos, soportan Radio FM, Tarjeta TF y AUX - 4 Horas de Reproducción Musical - Ideal para Trabajo Cotidiano, Juegos y Estudio</t>
        </is>
      </c>
      <c r="H2686" s="16" t="inlineStr">
        <is>
          <t>AZUL</t>
        </is>
      </c>
      <c r="I2686" s="16" t="n">
        <v>1</v>
      </c>
      <c r="J2686" s="17" t="n">
        <v>36</v>
      </c>
      <c r="K2686" s="17" t="n">
        <v>49.11</v>
      </c>
      <c r="L2686" s="17" t="n">
        <v>25.86</v>
      </c>
      <c r="M2686" s="17" t="n">
        <v>0</v>
      </c>
      <c r="N2686" s="17">
        <f>K2686*0.08+L2686*0.08</f>
        <v/>
      </c>
      <c r="O2686" s="17">
        <f>-(K2686*0.025+L2686*0.025)</f>
        <v/>
      </c>
      <c r="P2686" s="17">
        <f>32</f>
        <v/>
      </c>
      <c r="Q2686" s="17">
        <f>J2686+L2686+N2686+O2686-P2686-M2686</f>
        <v/>
      </c>
    </row>
    <row r="2687">
      <c r="A2687" s="16" t="inlineStr">
        <is>
          <t>5.22-5.28</t>
        </is>
      </c>
      <c r="B2687" s="16" t="inlineStr">
        <is>
          <t>PO-128-06221748869753394</t>
        </is>
      </c>
      <c r="C2687" s="16" t="inlineStr">
        <is>
          <t>Delivered</t>
        </is>
      </c>
      <c r="D2687" s="16" t="inlineStr">
        <is>
          <t>128-06221828823673394</t>
        </is>
      </c>
      <c r="E2687" s="16" t="inlineStr">
        <is>
          <t>Delivered</t>
        </is>
      </c>
      <c r="F2687" s="16" t="inlineStr">
        <is>
          <t>LB02235-negro</t>
        </is>
      </c>
      <c r="G2687" s="16" t="inlineStr">
        <is>
          <t>Audífonos Inalámbricos para la Cabeza, Recargables y Multifuncionales - Conectan a Varios Dispositivos, soportan Radio FM, Tarjeta TF y AUX - 4 Horas de Reproducción Musical - Ideal para Trabajo Cotidiano, Juegos y Estudio</t>
        </is>
      </c>
      <c r="H2687" s="16" t="inlineStr">
        <is>
          <t>NEGRO</t>
        </is>
      </c>
      <c r="I2687" s="16" t="n">
        <v>1</v>
      </c>
      <c r="J2687" s="17" t="n">
        <v>37.71</v>
      </c>
      <c r="K2687" s="17" t="n">
        <v>43.2</v>
      </c>
      <c r="L2687" s="17" t="n">
        <v>25.86</v>
      </c>
      <c r="M2687" s="17" t="n">
        <v>0</v>
      </c>
      <c r="N2687" s="17">
        <f>K2687*0.08+L2687*0.08</f>
        <v/>
      </c>
      <c r="O2687" s="17">
        <f>-(K2687*0.025+L2687*0.025)</f>
        <v/>
      </c>
      <c r="P2687" s="17">
        <f>32</f>
        <v/>
      </c>
      <c r="Q2687" s="17">
        <f>J2687+L2687+N2687+O2687-P2687-M2687</f>
        <v/>
      </c>
    </row>
    <row r="2688">
      <c r="A2688" s="16" t="inlineStr">
        <is>
          <t>5.22-5.28</t>
        </is>
      </c>
      <c r="B2688" s="16" t="inlineStr">
        <is>
          <t>PO-128-06489808338552692</t>
        </is>
      </c>
      <c r="C2688" s="16" t="inlineStr">
        <is>
          <t>Delivered</t>
        </is>
      </c>
      <c r="D2688" s="16" t="inlineStr">
        <is>
          <t>128-06489850281592692</t>
        </is>
      </c>
      <c r="E2688" s="16" t="inlineStr">
        <is>
          <t>Delivered</t>
        </is>
      </c>
      <c r="F2688" s="16" t="inlineStr">
        <is>
          <t>LB02235-negro</t>
        </is>
      </c>
      <c r="G2688" s="16" t="inlineStr">
        <is>
          <t>Audífonos Inalámbricos para la Cabeza, Recargables y Multifuncionales - Conectan a Varios Dispositivos, soportan Radio FM, Tarjeta TF y AUX - 4 Horas de Reproducción Musical - Ideal para Trabajo Cotidiano, Juegos y Estudio</t>
        </is>
      </c>
      <c r="H2688" s="16" t="inlineStr">
        <is>
          <t>NEGRO</t>
        </is>
      </c>
      <c r="I2688" s="16" t="n">
        <v>1</v>
      </c>
      <c r="J2688" s="17" t="n">
        <v>37.71</v>
      </c>
      <c r="K2688" s="17" t="n">
        <v>50.82</v>
      </c>
      <c r="L2688" s="17" t="n">
        <v>25.86</v>
      </c>
      <c r="M2688" s="17" t="n">
        <v>0</v>
      </c>
      <c r="N2688" s="17">
        <f>K2688*0.08+L2688*0.08</f>
        <v/>
      </c>
      <c r="O2688" s="17">
        <f>-(K2688*0.025+L2688*0.025)</f>
        <v/>
      </c>
      <c r="P2688" s="17">
        <f>32</f>
        <v/>
      </c>
      <c r="Q2688" s="17">
        <f>J2688+L2688+N2688+O2688-P2688-M2688</f>
        <v/>
      </c>
    </row>
    <row r="2689">
      <c r="A2689" s="16" t="inlineStr">
        <is>
          <t>5.22-5.28</t>
        </is>
      </c>
      <c r="B2689" s="16" t="inlineStr">
        <is>
          <t>PO-128-06535031921271465</t>
        </is>
      </c>
      <c r="C2689" s="16" t="inlineStr">
        <is>
          <t>Delivered</t>
        </is>
      </c>
      <c r="D2689" s="16" t="inlineStr">
        <is>
          <t>128-06535042407031465</t>
        </is>
      </c>
      <c r="E2689" s="16" t="inlineStr">
        <is>
          <t>Delivered</t>
        </is>
      </c>
      <c r="F2689" s="16" t="inlineStr">
        <is>
          <t>LB02235-azul</t>
        </is>
      </c>
      <c r="G2689" s="16" t="inlineStr">
        <is>
          <t>Audífonos Inalámbricos para la Cabeza, Recargables y Multifuncionales - Conectan a Varios Dispositivos, soportan Radio FM, Tarjeta TF y AUX - 4 Horas de Reproducción Musical - Ideal para Trabajo Cotidiano, Juegos y Estudio</t>
        </is>
      </c>
      <c r="H2689" s="16" t="inlineStr">
        <is>
          <t>AZUL</t>
        </is>
      </c>
      <c r="I2689" s="16" t="n">
        <v>1</v>
      </c>
      <c r="J2689" s="17" t="n">
        <v>36</v>
      </c>
      <c r="K2689" s="17" t="n">
        <v>49.11</v>
      </c>
      <c r="L2689" s="17" t="n">
        <v>25.86</v>
      </c>
      <c r="M2689" s="17" t="n">
        <v>0</v>
      </c>
      <c r="N2689" s="17">
        <f>K2689*0.08+L2689*0.08</f>
        <v/>
      </c>
      <c r="O2689" s="17">
        <f>-(K2689*0.025+L2689*0.025)</f>
        <v/>
      </c>
      <c r="P2689" s="17">
        <f>32</f>
        <v/>
      </c>
      <c r="Q2689" s="17">
        <f>J2689+L2689+N2689+O2689-P2689-M2689</f>
        <v/>
      </c>
    </row>
    <row r="2690">
      <c r="A2690" s="16" t="inlineStr">
        <is>
          <t>5.22-5.28</t>
        </is>
      </c>
      <c r="B2690" s="16" t="inlineStr">
        <is>
          <t>PO-128-06719029566070494</t>
        </is>
      </c>
      <c r="C2690" s="16" t="inlineStr">
        <is>
          <t>Delivered</t>
        </is>
      </c>
      <c r="D2690" s="16" t="inlineStr">
        <is>
          <t>128-06719097723510494</t>
        </is>
      </c>
      <c r="E2690" s="16" t="inlineStr">
        <is>
          <t>Delivered</t>
        </is>
      </c>
      <c r="F2690" s="16" t="inlineStr">
        <is>
          <t>MCM-001R</t>
        </is>
      </c>
      <c r="G2690" s="16" t="inlineStr">
        <is>
          <t>Musicord Altavoz Inalámbrico BT Portátil: ¡Sonido impactante, luces LED multicolores y 4 horas de autonomía! Compatible con TWS, FM, TF y USB – Imprescindible para fiestas y viajes</t>
        </is>
      </c>
      <c r="H2690" s="16" t="inlineStr">
        <is>
          <t>ROJO</t>
        </is>
      </c>
      <c r="I2690" s="16" t="n">
        <v>1</v>
      </c>
      <c r="J2690" s="17" t="n">
        <v>66.5</v>
      </c>
      <c r="K2690" s="17" t="n">
        <v>31.19</v>
      </c>
      <c r="L2690" s="17" t="n">
        <v>25.86</v>
      </c>
      <c r="M2690" s="17" t="n">
        <v>0</v>
      </c>
      <c r="N2690" s="17">
        <f>K2690*0.08+L2690*0.08</f>
        <v/>
      </c>
      <c r="O2690" s="17">
        <f>-(K2690*0.025+L2690*0.025)</f>
        <v/>
      </c>
      <c r="P2690" s="17">
        <f>32</f>
        <v/>
      </c>
      <c r="Q2690" s="17">
        <f>J2690+L2690+N2690+O2690-P2690-M2690</f>
        <v/>
      </c>
    </row>
    <row r="2691">
      <c r="A2691" s="16" t="inlineStr">
        <is>
          <t>5.22-5.28</t>
        </is>
      </c>
      <c r="B2691" s="16" t="inlineStr">
        <is>
          <t>PO-128-06596411008631035</t>
        </is>
      </c>
      <c r="C2691" s="16" t="inlineStr">
        <is>
          <t>Delivered</t>
        </is>
      </c>
      <c r="D2691" s="16" t="inlineStr">
        <is>
          <t>128-06596431980151035</t>
        </is>
      </c>
      <c r="E2691" s="16" t="inlineStr">
        <is>
          <t>Delivered</t>
        </is>
      </c>
      <c r="F2691" s="16" t="inlineStr">
        <is>
          <t>SA323T</t>
        </is>
      </c>
      <c r="G2691" s="16" t="inlineStr">
        <is>
          <t>Linkbits Bocina Portátil Parlantes BT Portátiles con Iluminación de Ambiente | 1 Hora de Duración, FM, TWS, TF/Micro SD | Ideal para Hogar, Fiestas y Viajes</t>
        </is>
      </c>
      <c r="H2691" s="16" t="inlineStr">
        <is>
          <t>SA323T</t>
        </is>
      </c>
      <c r="I2691" s="16" t="n">
        <v>1</v>
      </c>
      <c r="J2691" s="17" t="n">
        <v>46</v>
      </c>
      <c r="K2691" s="17" t="n">
        <v>55.06</v>
      </c>
      <c r="L2691" s="17" t="n">
        <v>25.86</v>
      </c>
      <c r="M2691" s="17" t="n">
        <v>0</v>
      </c>
      <c r="N2691" s="17">
        <f>K2691*0.08+L2691*0.08</f>
        <v/>
      </c>
      <c r="O2691" s="17">
        <f>-(K2691*0.025+L2691*0.025)</f>
        <v/>
      </c>
      <c r="P2691" s="17">
        <f>32</f>
        <v/>
      </c>
      <c r="Q2691" s="17">
        <f>J2691+L2691+N2691+O2691-P2691-M2691</f>
        <v/>
      </c>
    </row>
    <row r="2692">
      <c r="A2692" s="16" t="inlineStr">
        <is>
          <t>5.22-5.28</t>
        </is>
      </c>
      <c r="B2692" s="16" t="inlineStr">
        <is>
          <t>PO-128-06867656197750632</t>
        </is>
      </c>
      <c r="C2692" s="16" t="inlineStr">
        <is>
          <t>Delivered</t>
        </is>
      </c>
      <c r="D2692" s="16" t="inlineStr">
        <is>
          <t>128-06867698140790632</t>
        </is>
      </c>
      <c r="E2692" s="16" t="inlineStr">
        <is>
          <t>Delivered</t>
        </is>
      </c>
      <c r="F2692" s="16" t="inlineStr">
        <is>
          <t>VB347T</t>
        </is>
      </c>
      <c r="G269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692" s="16" t="inlineStr">
        <is>
          <t>1 pieza</t>
        </is>
      </c>
      <c r="I2692" s="16" t="n">
        <v>1</v>
      </c>
      <c r="J2692" s="17" t="n">
        <v>79.90000000000001</v>
      </c>
      <c r="K2692" s="17" t="n">
        <v>94.5</v>
      </c>
      <c r="L2692" s="17" t="n">
        <v>25.86</v>
      </c>
      <c r="M2692" s="17" t="n">
        <v>0</v>
      </c>
      <c r="N2692" s="17">
        <f>K2692*0.08+L2692*0.08</f>
        <v/>
      </c>
      <c r="O2692" s="17">
        <f>-(K2692*0.025+L2692*0.025)</f>
        <v/>
      </c>
      <c r="P2692" s="17">
        <f>32</f>
        <v/>
      </c>
      <c r="Q2692" s="17">
        <f>J2692+L2692+N2692+O2692-P2692-M2692</f>
        <v/>
      </c>
    </row>
    <row r="2693">
      <c r="A2693" s="16" t="inlineStr">
        <is>
          <t>5.22-5.28</t>
        </is>
      </c>
      <c r="B2693" s="16" t="inlineStr">
        <is>
          <t>PO-128-06867909514870633</t>
        </is>
      </c>
      <c r="C2693" s="16" t="inlineStr">
        <is>
          <t>Delivered</t>
        </is>
      </c>
      <c r="D2693" s="16" t="inlineStr">
        <is>
          <t>128-06867867571830633</t>
        </is>
      </c>
      <c r="E2693" s="16" t="inlineStr">
        <is>
          <t>Delivered</t>
        </is>
      </c>
      <c r="F2693" s="16" t="inlineStr">
        <is>
          <t>KTS-1678N</t>
        </is>
      </c>
      <c r="G2693" s="16" t="inlineStr">
        <is>
          <t>Bocina portátil Inalámbrico, de 3 pulgadas, tamaño de bolsillo, 170 g, con asa, compatible con TF, USB y Micro SD, con radio FM y función TWS (True Wireless Stereo), adecuada para relajarse en casa o viajar al aire libre.</t>
        </is>
      </c>
      <c r="H2693" s="16" t="inlineStr">
        <is>
          <t>KTS-1678N</t>
        </is>
      </c>
      <c r="I2693" s="16" t="n">
        <v>2</v>
      </c>
      <c r="J2693" s="17" t="n">
        <v>85</v>
      </c>
      <c r="K2693" s="17" t="n">
        <v>58.46</v>
      </c>
      <c r="L2693" s="17" t="n">
        <v>25.86</v>
      </c>
      <c r="M2693" s="17" t="n">
        <v>0</v>
      </c>
      <c r="N2693" s="17">
        <f>K2693*0.08+L2693*0.08</f>
        <v/>
      </c>
      <c r="O2693" s="17">
        <f>-(K2693*0.025+L2693*0.025)</f>
        <v/>
      </c>
      <c r="P2693" s="17">
        <f>32</f>
        <v/>
      </c>
      <c r="Q2693" s="17">
        <f>J2693+L2693+N2693+O2693-P2693-M2693</f>
        <v/>
      </c>
    </row>
    <row r="2694">
      <c r="A2694" s="16" t="inlineStr">
        <is>
          <t>5.22-5.28</t>
        </is>
      </c>
      <c r="B2694" s="16" t="inlineStr">
        <is>
          <t>PO-128-06470907566712871</t>
        </is>
      </c>
      <c r="C2694" s="16" t="inlineStr">
        <is>
          <t>Delivered</t>
        </is>
      </c>
      <c r="D2694" s="16" t="inlineStr">
        <is>
          <t>128-06470959995512871</t>
        </is>
      </c>
      <c r="E2694" s="16" t="inlineStr">
        <is>
          <t>Delivered</t>
        </is>
      </c>
      <c r="F2694" s="16" t="inlineStr">
        <is>
          <t>LB02235-rojo</t>
        </is>
      </c>
      <c r="G2694" s="16" t="inlineStr">
        <is>
          <t>Audífonos Inalámbricos para la Cabeza, Recargables y Multifuncionales - Conectan a Varios Dispositivos, soportan Radio FM, Tarjeta TF y AUX - 4 Horas de Reproducción Musical - Ideal para Trabajo Cotidiano, Juegos y Estudio</t>
        </is>
      </c>
      <c r="H2694" s="16" t="inlineStr">
        <is>
          <t>ROJO</t>
        </is>
      </c>
      <c r="I2694" s="16" t="n">
        <v>1</v>
      </c>
      <c r="J2694" s="17" t="n">
        <v>36.8</v>
      </c>
      <c r="K2694" s="17" t="n">
        <v>49.91</v>
      </c>
      <c r="L2694" s="17" t="n">
        <v>25.86</v>
      </c>
      <c r="M2694" s="17" t="n">
        <v>0</v>
      </c>
      <c r="N2694" s="17">
        <f>K2694*0.08+L2694*0.08</f>
        <v/>
      </c>
      <c r="O2694" s="17">
        <f>-(K2694*0.025+L2694*0.025)</f>
        <v/>
      </c>
      <c r="P2694" s="17">
        <f>32</f>
        <v/>
      </c>
      <c r="Q2694" s="17">
        <f>J2694+L2694+N2694+O2694-P2694-M2694</f>
        <v/>
      </c>
    </row>
    <row r="2695">
      <c r="A2695" s="16" t="inlineStr">
        <is>
          <t>5.22-5.28</t>
        </is>
      </c>
      <c r="B2695" s="16" t="inlineStr">
        <is>
          <t>PO-128-06243498916473264</t>
        </is>
      </c>
      <c r="C2695" s="16" t="inlineStr">
        <is>
          <t>Delivered</t>
        </is>
      </c>
      <c r="D2695" s="16" t="inlineStr">
        <is>
          <t>128-06243603774073264</t>
        </is>
      </c>
      <c r="E2695" s="16" t="inlineStr">
        <is>
          <t>Delivered</t>
        </is>
      </c>
      <c r="F2695" s="16" t="inlineStr">
        <is>
          <t>SA323T</t>
        </is>
      </c>
      <c r="G2695" s="16" t="inlineStr">
        <is>
          <t>Linkbits Bocina Portátil Parlantes BT Portátiles con Iluminación de Ambiente | 1 Hora de Duración, FM, TWS, TF/Micro SD | Ideal para Hogar, Fiestas y Viajes</t>
        </is>
      </c>
      <c r="H2695" s="16" t="inlineStr">
        <is>
          <t>SA323T</t>
        </is>
      </c>
      <c r="I2695" s="16" t="n">
        <v>1</v>
      </c>
      <c r="J2695" s="17" t="n">
        <v>46</v>
      </c>
      <c r="K2695" s="17" t="n">
        <v>55.06</v>
      </c>
      <c r="L2695" s="17" t="n">
        <v>25.86</v>
      </c>
      <c r="M2695" s="17" t="n">
        <v>0</v>
      </c>
      <c r="N2695" s="17">
        <f>K2695*0.08+L2695*0.08</f>
        <v/>
      </c>
      <c r="O2695" s="17">
        <f>-(K2695*0.025+L2695*0.025)</f>
        <v/>
      </c>
      <c r="P2695" s="17">
        <f>32</f>
        <v/>
      </c>
      <c r="Q2695" s="17">
        <f>J2695+L2695+N2695+O2695-P2695-M2695</f>
        <v/>
      </c>
    </row>
    <row r="2696">
      <c r="A2696" s="16" t="inlineStr">
        <is>
          <t>5.22-5.28</t>
        </is>
      </c>
      <c r="B2696" s="16" t="inlineStr">
        <is>
          <t>PO-128-06706713298550441</t>
        </is>
      </c>
      <c r="C2696" s="16" t="inlineStr">
        <is>
          <t>Delivered</t>
        </is>
      </c>
      <c r="D2696" s="16" t="inlineStr">
        <is>
          <t>128-06706818156150441</t>
        </is>
      </c>
      <c r="E2696" s="16" t="inlineStr">
        <is>
          <t>Delivered</t>
        </is>
      </c>
      <c r="F2696" s="16" t="inlineStr">
        <is>
          <t>LB02235-azul</t>
        </is>
      </c>
      <c r="G2696" s="16" t="inlineStr">
        <is>
          <t>Audífonos Inalámbricos para la Cabeza, Recargables y Multifuncionales - Conectan a Varios Dispositivos, soportan Radio FM, Tarjeta TF y AUX - 4 Horas de Reproducción Musical - Ideal para Trabajo Cotidiano, Juegos y Estudio</t>
        </is>
      </c>
      <c r="H2696" s="16" t="inlineStr">
        <is>
          <t>AZUL</t>
        </is>
      </c>
      <c r="I2696" s="16" t="n">
        <v>1</v>
      </c>
      <c r="J2696" s="17" t="n">
        <v>36</v>
      </c>
      <c r="K2696" s="17" t="n">
        <v>6.01</v>
      </c>
      <c r="L2696" s="17" t="n">
        <v>25.86</v>
      </c>
      <c r="M2696" s="17" t="n">
        <v>0</v>
      </c>
      <c r="N2696" s="17">
        <f>K2696*0.08+L2696*0.08</f>
        <v/>
      </c>
      <c r="O2696" s="17">
        <f>-(K2696*0.025+L2696*0.025)</f>
        <v/>
      </c>
      <c r="P2696" s="17">
        <f>32</f>
        <v/>
      </c>
      <c r="Q2696" s="17">
        <f>J2696+L2696+N2696+O2696-P2696-M2696</f>
        <v/>
      </c>
    </row>
    <row r="2697">
      <c r="A2697" s="16" t="inlineStr">
        <is>
          <t>5.22-5.28</t>
        </is>
      </c>
      <c r="B2697" s="16" t="inlineStr">
        <is>
          <t>PO-128-06729589699190305</t>
        </is>
      </c>
      <c r="C2697" s="16" t="inlineStr">
        <is>
          <t>Delivered</t>
        </is>
      </c>
      <c r="D2697" s="16" t="inlineStr">
        <is>
          <t>128-06729631642230305</t>
        </is>
      </c>
      <c r="E2697" s="16" t="inlineStr">
        <is>
          <t>Delivered</t>
        </is>
      </c>
      <c r="F2697" s="16" t="inlineStr">
        <is>
          <t>KTS-1678Y</t>
        </is>
      </c>
      <c r="G2697" s="16" t="inlineStr">
        <is>
          <t>Bocina portátil Inalámbrico, de 3 pulgadas, tamaño de bolsillo, 170 g, con asa, compatible con TF, USB y Micro SD, con radio FM y función TWS (True Wireless Stereo), adecuada para relajarse en casa o viajar al aire libre.</t>
        </is>
      </c>
      <c r="H2697" s="16" t="inlineStr">
        <is>
          <t>KTS-1678Y</t>
        </is>
      </c>
      <c r="I2697" s="16" t="n">
        <v>1</v>
      </c>
      <c r="J2697" s="17" t="n">
        <v>42.5</v>
      </c>
      <c r="K2697" s="17" t="n">
        <v>5.62</v>
      </c>
      <c r="L2697" s="17" t="n">
        <v>25.86</v>
      </c>
      <c r="M2697" s="17" t="n">
        <v>0</v>
      </c>
      <c r="N2697" s="17">
        <f>K2697*0.08+L2697*0.08</f>
        <v/>
      </c>
      <c r="O2697" s="17">
        <f>-(K2697*0.025+L2697*0.025)</f>
        <v/>
      </c>
      <c r="P2697" s="17">
        <f>32</f>
        <v/>
      </c>
      <c r="Q2697" s="17">
        <f>J2697+L2697+N2697+O2697-P2697-M2697</f>
        <v/>
      </c>
    </row>
    <row r="2698">
      <c r="A2698" s="16" t="inlineStr">
        <is>
          <t>5.22-5.28</t>
        </is>
      </c>
      <c r="B2698" s="16" t="inlineStr">
        <is>
          <t>PO-128-06658921866871684</t>
        </is>
      </c>
      <c r="C2698" s="16" t="inlineStr">
        <is>
          <t>Delivered</t>
        </is>
      </c>
      <c r="D2698" s="16" t="inlineStr">
        <is>
          <t>128-06658963809911684</t>
        </is>
      </c>
      <c r="E2698" s="16" t="inlineStr">
        <is>
          <t>Delivered</t>
        </is>
      </c>
      <c r="F2698" s="16" t="inlineStr">
        <is>
          <t>MB-185N</t>
        </is>
      </c>
      <c r="G2698" s="16" t="inlineStr">
        <is>
          <t>Bocina Radio FM/Reproductor, Compatible con Tarjeta TF, USB, Bluetooth, Aplicable para celular, computadora, Ipad y consola.</t>
        </is>
      </c>
      <c r="H2698" s="16" t="inlineStr">
        <is>
          <t>NEGRO/MB-185</t>
        </is>
      </c>
      <c r="I2698" s="16" t="n">
        <v>1</v>
      </c>
      <c r="J2698" s="17" t="n">
        <v>75.5</v>
      </c>
      <c r="K2698" s="17" t="n">
        <v>88.44</v>
      </c>
      <c r="L2698" s="17" t="n">
        <v>25.86</v>
      </c>
      <c r="M2698" s="17" t="n">
        <v>0</v>
      </c>
      <c r="N2698" s="17">
        <f>K2698*0.08+L2698*0.08</f>
        <v/>
      </c>
      <c r="O2698" s="17">
        <f>-(K2698*0.025+L2698*0.025)</f>
        <v/>
      </c>
      <c r="P2698" s="17">
        <f>32</f>
        <v/>
      </c>
      <c r="Q2698" s="17">
        <f>J2698+L2698+N2698+O2698-P2698-M2698</f>
        <v/>
      </c>
    </row>
    <row r="2699">
      <c r="A2699" s="16" t="inlineStr">
        <is>
          <t>5.22-5.28</t>
        </is>
      </c>
      <c r="B2699" s="16" t="inlineStr">
        <is>
          <t>PO-128-06359257155192446</t>
        </is>
      </c>
      <c r="C2699" s="16" t="inlineStr">
        <is>
          <t>Delivered</t>
        </is>
      </c>
      <c r="D2699" s="16" t="inlineStr">
        <is>
          <t>128-06359362012792446</t>
        </is>
      </c>
      <c r="E2699" s="16" t="inlineStr">
        <is>
          <t>Delivered</t>
        </is>
      </c>
      <c r="F2699" s="16" t="inlineStr">
        <is>
          <t>S58W60</t>
        </is>
      </c>
      <c r="G2699"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2699" s="16" t="inlineStr">
        <is>
          <t>1 pieza</t>
        </is>
      </c>
      <c r="I2699" s="16" t="n">
        <v>1</v>
      </c>
      <c r="J2699" s="17" t="n">
        <v>59</v>
      </c>
      <c r="K2699" s="17" t="n">
        <v>33.43</v>
      </c>
      <c r="L2699" s="17" t="n">
        <v>25.86</v>
      </c>
      <c r="M2699" s="17" t="n">
        <v>0</v>
      </c>
      <c r="N2699" s="17">
        <f>K2699*0.08+L2699*0.08</f>
        <v/>
      </c>
      <c r="O2699" s="17">
        <f>-(K2699*0.025+L2699*0.025)</f>
        <v/>
      </c>
      <c r="P2699" s="17">
        <f>32</f>
        <v/>
      </c>
      <c r="Q2699" s="17">
        <f>J2699+L2699+N2699+O2699-P2699-M2699</f>
        <v/>
      </c>
    </row>
    <row r="2700">
      <c r="A2700" s="16" t="inlineStr">
        <is>
          <t>5.22-5.28</t>
        </is>
      </c>
      <c r="B2700" s="16" t="inlineStr">
        <is>
          <t>PO-128-06614410542711950</t>
        </is>
      </c>
      <c r="C2700" s="16" t="inlineStr">
        <is>
          <t>Delivered</t>
        </is>
      </c>
      <c r="D2700" s="16" t="inlineStr">
        <is>
          <t>128-06614368599671950</t>
        </is>
      </c>
      <c r="E2700" s="16" t="inlineStr">
        <is>
          <t>Delivered</t>
        </is>
      </c>
      <c r="F2700" s="16" t="inlineStr">
        <is>
          <t>LB02235-azul</t>
        </is>
      </c>
      <c r="G2700" s="16" t="inlineStr">
        <is>
          <t>Audífonos Inalámbricos para la Cabeza, Recargables y Multifuncionales - Conectan a Varios Dispositivos, soportan Radio FM, Tarjeta TF y AUX - 4 Horas de Reproducción Musical - Ideal para Trabajo Cotidiano, Juegos y Estudio</t>
        </is>
      </c>
      <c r="H2700" s="16" t="inlineStr">
        <is>
          <t>AZUL</t>
        </is>
      </c>
      <c r="I2700" s="16" t="n">
        <v>1</v>
      </c>
      <c r="J2700" s="17" t="n">
        <v>36</v>
      </c>
      <c r="K2700" s="17" t="n">
        <v>49.11</v>
      </c>
      <c r="L2700" s="17" t="n">
        <v>25.86</v>
      </c>
      <c r="M2700" s="17" t="n">
        <v>0</v>
      </c>
      <c r="N2700" s="17">
        <f>K2700*0.08+L2700*0.08</f>
        <v/>
      </c>
      <c r="O2700" s="17">
        <f>-(K2700*0.025+L2700*0.025)</f>
        <v/>
      </c>
      <c r="P2700" s="17">
        <f>32</f>
        <v/>
      </c>
      <c r="Q2700" s="17">
        <f>J2700+L2700+N2700+O2700-P2700-M2700</f>
        <v/>
      </c>
    </row>
    <row r="2701">
      <c r="A2701" s="16" t="inlineStr">
        <is>
          <t>5.22-5.28</t>
        </is>
      </c>
      <c r="B2701" s="16" t="inlineStr">
        <is>
          <t>PO-128-06237216609913238</t>
        </is>
      </c>
      <c r="C2701" s="16" t="inlineStr">
        <is>
          <t>Delivered</t>
        </is>
      </c>
      <c r="D2701" s="16" t="inlineStr">
        <is>
          <t>128-06237135345273238</t>
        </is>
      </c>
      <c r="E2701" s="16" t="inlineStr">
        <is>
          <t>Delivered</t>
        </is>
      </c>
      <c r="F2701" s="16" t="inlineStr">
        <is>
          <t>LV64W25</t>
        </is>
      </c>
      <c r="G2701" s="16" t="inlineStr">
        <is>
          <t>Ventilador de Techo LED TIANLAI con 5 Aspas, Control Remoto, 3 Colores Luz, 3 Velocidades, Temporizador, Fácil Instalación, E27 para Baño Cocina Dormitorio Salón</t>
        </is>
      </c>
      <c r="H2701" s="16" t="inlineStr">
        <is>
          <t>LV64W25</t>
        </is>
      </c>
      <c r="I2701" s="16" t="n">
        <v>4</v>
      </c>
      <c r="J2701" s="17" t="n">
        <v>500</v>
      </c>
      <c r="K2701" s="17" t="n">
        <v>632.8</v>
      </c>
      <c r="L2701" s="17" t="n">
        <v>0</v>
      </c>
      <c r="M2701" s="17" t="n">
        <v>0</v>
      </c>
      <c r="N2701" s="17">
        <f>K2701*0.08+L2701*0.08</f>
        <v/>
      </c>
      <c r="O2701" s="17">
        <f>-(K2701*0.025+L2701*0.025)</f>
        <v/>
      </c>
      <c r="P2701" s="17">
        <f>32</f>
        <v/>
      </c>
      <c r="Q2701" s="17">
        <f>J2701+L2701+N2701+O2701-P2701-M2701</f>
        <v/>
      </c>
    </row>
    <row r="2702">
      <c r="A2702" s="16" t="inlineStr">
        <is>
          <t>5.22-5.28</t>
        </is>
      </c>
      <c r="B2702" s="16" t="inlineStr">
        <is>
          <t>PO-128-06808405279350795</t>
        </is>
      </c>
      <c r="C2702" s="16" t="inlineStr">
        <is>
          <t>Delivered</t>
        </is>
      </c>
      <c r="D2702" s="16" t="inlineStr">
        <is>
          <t>128-06808443290230795</t>
        </is>
      </c>
      <c r="E2702" s="16" t="inlineStr">
        <is>
          <t>Delivered</t>
        </is>
      </c>
      <c r="F2702" s="16" t="inlineStr">
        <is>
          <t>SA323T</t>
        </is>
      </c>
      <c r="G2702" s="16" t="inlineStr">
        <is>
          <t>Linkbits Bocina Portátil Parlantes BT Portátiles con Iluminación de Ambiente | 1 Hora de Duración, FM, TWS, TF/Micro SD | Ideal para Hogar, Fiestas y Viajes</t>
        </is>
      </c>
      <c r="H2702" s="16" t="inlineStr">
        <is>
          <t>SA323T</t>
        </is>
      </c>
      <c r="I2702" s="16" t="n">
        <v>1</v>
      </c>
      <c r="J2702" s="17" t="n">
        <v>46</v>
      </c>
      <c r="K2702" s="17" t="n">
        <v>44.04</v>
      </c>
      <c r="L2702" s="17" t="n">
        <v>25.86</v>
      </c>
      <c r="M2702" s="17" t="n">
        <v>0</v>
      </c>
      <c r="N2702" s="17">
        <f>K2702*0.08+L2702*0.08</f>
        <v/>
      </c>
      <c r="O2702" s="17">
        <f>-(K2702*0.025+L2702*0.025)</f>
        <v/>
      </c>
      <c r="P2702" s="17">
        <f>32</f>
        <v/>
      </c>
      <c r="Q2702" s="17">
        <f>J2702+L2702+N2702+O2702-P2702-M2702</f>
        <v/>
      </c>
    </row>
    <row r="2703">
      <c r="A2703" s="16" t="inlineStr">
        <is>
          <t>5.22-5.28</t>
        </is>
      </c>
      <c r="B2703" s="16" t="inlineStr">
        <is>
          <t>PO-128-06446755169912951</t>
        </is>
      </c>
      <c r="C2703" s="16" t="inlineStr">
        <is>
          <t>Delivered</t>
        </is>
      </c>
      <c r="D2703" s="16" t="inlineStr">
        <is>
          <t>128-06446810220152951</t>
        </is>
      </c>
      <c r="E2703" s="16" t="inlineStr">
        <is>
          <t>Delivered</t>
        </is>
      </c>
      <c r="F2703" s="16" t="inlineStr">
        <is>
          <t>KTS-1678Y</t>
        </is>
      </c>
      <c r="G2703" s="16" t="inlineStr">
        <is>
          <t>Bocina portátil Inalámbrico, de 3 pulgadas, tamaño de bolsillo, 170 g, con asa, compatible con TF, USB y Micro SD, con radio FM y función TWS (True Wireless Stereo), adecuada para relajarse en casa o viajar al aire libre.</t>
        </is>
      </c>
      <c r="H2703" s="16" t="inlineStr">
        <is>
          <t>KTS-1678Y</t>
        </is>
      </c>
      <c r="I2703" s="16" t="n">
        <v>1</v>
      </c>
      <c r="J2703" s="17" t="n">
        <v>42.5</v>
      </c>
      <c r="K2703" s="17" t="n">
        <v>48.72</v>
      </c>
      <c r="L2703" s="17" t="n">
        <v>25.86</v>
      </c>
      <c r="M2703" s="17" t="n">
        <v>0</v>
      </c>
      <c r="N2703" s="17">
        <f>K2703*0.08+L2703*0.08</f>
        <v/>
      </c>
      <c r="O2703" s="17">
        <f>-(K2703*0.025+L2703*0.025)</f>
        <v/>
      </c>
      <c r="P2703" s="17">
        <f>32</f>
        <v/>
      </c>
      <c r="Q2703" s="17">
        <f>J2703+L2703+N2703+O2703-P2703-M2703</f>
        <v/>
      </c>
    </row>
    <row r="2704">
      <c r="A2704" s="16" t="inlineStr">
        <is>
          <t>5.22-5.28</t>
        </is>
      </c>
      <c r="B2704" s="16" t="inlineStr">
        <is>
          <t>PO-128-06740207478390368</t>
        </is>
      </c>
      <c r="C2704" s="16" t="inlineStr">
        <is>
          <t>Delivered</t>
        </is>
      </c>
      <c r="D2704" s="16" t="inlineStr">
        <is>
          <t>128-06740165535350368</t>
        </is>
      </c>
      <c r="E2704" s="16" t="inlineStr">
        <is>
          <t>Delivered</t>
        </is>
      </c>
      <c r="F2704" s="16" t="inlineStr">
        <is>
          <t>MB-185A</t>
        </is>
      </c>
      <c r="G2704" s="16" t="inlineStr">
        <is>
          <t>Bocina Radio FM/Reproductor, Compatible con Tarjeta TF, USB, Bluetooth, Aplicable para celular, computadora, Ipad y consola.</t>
        </is>
      </c>
      <c r="H2704" s="16" t="inlineStr">
        <is>
          <t>AZUL/MB-185</t>
        </is>
      </c>
      <c r="I2704" s="16" t="n">
        <v>1</v>
      </c>
      <c r="J2704" s="17" t="n">
        <v>75.5</v>
      </c>
      <c r="K2704" s="17" t="n">
        <v>5.68</v>
      </c>
      <c r="L2704" s="17" t="n">
        <v>25.86</v>
      </c>
      <c r="M2704" s="17" t="n">
        <v>0</v>
      </c>
      <c r="N2704" s="17">
        <f>K2704*0.08+L2704*0.08</f>
        <v/>
      </c>
      <c r="O2704" s="17">
        <f>-(K2704*0.025+L2704*0.025)</f>
        <v/>
      </c>
      <c r="P2704" s="17">
        <f>32</f>
        <v/>
      </c>
      <c r="Q2704" s="17">
        <f>J2704+L2704+N2704+O2704-P2704-M2704</f>
        <v/>
      </c>
    </row>
    <row r="2705">
      <c r="A2705" s="16" t="inlineStr">
        <is>
          <t>5.22-5.28</t>
        </is>
      </c>
      <c r="B2705" s="16" t="inlineStr">
        <is>
          <t>PO-128-06828384225910866</t>
        </is>
      </c>
      <c r="C2705" s="16" t="inlineStr">
        <is>
          <t>Delivered</t>
        </is>
      </c>
      <c r="D2705" s="16" t="inlineStr">
        <is>
          <t>128-06828426168950866</t>
        </is>
      </c>
      <c r="E2705" s="16" t="inlineStr">
        <is>
          <t>Delivered</t>
        </is>
      </c>
      <c r="F2705" s="16" t="inlineStr">
        <is>
          <t>SA325T</t>
        </is>
      </c>
      <c r="G2705" s="16" t="inlineStr">
        <is>
          <t>Subwoofer Portátil Inalámbrico con Luces RGB, Sonido de Alta Potencia y Batería Duradera, TWS TF USB, Perfecto para Campamento Fiestas y Entretenimiento en Casa</t>
        </is>
      </c>
      <c r="H2705" s="16" t="inlineStr">
        <is>
          <t>NEGRO</t>
        </is>
      </c>
      <c r="I2705" s="16" t="n">
        <v>2</v>
      </c>
      <c r="J2705" s="17" t="n">
        <v>76</v>
      </c>
      <c r="K2705" s="17" t="n">
        <v>94.08</v>
      </c>
      <c r="L2705" s="17" t="n">
        <v>25.86</v>
      </c>
      <c r="M2705" s="17" t="n">
        <v>0</v>
      </c>
      <c r="N2705" s="17">
        <f>K2705*0.08+L2705*0.08</f>
        <v/>
      </c>
      <c r="O2705" s="17">
        <f>-(K2705*0.025+L2705*0.025)</f>
        <v/>
      </c>
      <c r="P2705" s="17">
        <f>32</f>
        <v/>
      </c>
      <c r="Q2705" s="17">
        <f>J2705+L2705+N2705+O2705-P2705-M2705</f>
        <v/>
      </c>
    </row>
    <row r="2706">
      <c r="A2706" s="16" t="inlineStr">
        <is>
          <t>5.22-5.28</t>
        </is>
      </c>
      <c r="B2706" s="16" t="inlineStr">
        <is>
          <t>PO-128-06563363845751358</t>
        </is>
      </c>
      <c r="C2706" s="16" t="inlineStr">
        <is>
          <t>Delivered</t>
        </is>
      </c>
      <c r="D2706" s="16" t="inlineStr">
        <is>
          <t>128-06563353359991358</t>
        </is>
      </c>
      <c r="E2706" s="16" t="inlineStr">
        <is>
          <t>Delivered</t>
        </is>
      </c>
      <c r="F2706" s="16" t="inlineStr">
        <is>
          <t>LB02235-negro</t>
        </is>
      </c>
      <c r="G2706" s="16" t="inlineStr">
        <is>
          <t>Audífonos Inalámbricos para la Cabeza, Recargables y Multifuncionales - Conectan a Varios Dispositivos, soportan Radio FM, Tarjeta TF y AUX - 4 Horas de Reproducción Musical - Ideal para Trabajo Cotidiano, Juegos y Estudio</t>
        </is>
      </c>
      <c r="H2706" s="16" t="inlineStr">
        <is>
          <t>NEGRO</t>
        </is>
      </c>
      <c r="I2706" s="16" t="n">
        <v>1</v>
      </c>
      <c r="J2706" s="17" t="n">
        <v>37.71</v>
      </c>
      <c r="K2706" s="17" t="n">
        <v>50.82</v>
      </c>
      <c r="L2706" s="17" t="n">
        <v>25.86</v>
      </c>
      <c r="M2706" s="17" t="n">
        <v>0</v>
      </c>
      <c r="N2706" s="17">
        <f>K2706*0.08+L2706*0.08</f>
        <v/>
      </c>
      <c r="O2706" s="17">
        <f>-(K2706*0.025+L2706*0.025)</f>
        <v/>
      </c>
      <c r="P2706" s="17">
        <f>32</f>
        <v/>
      </c>
      <c r="Q2706" s="17">
        <f>J2706+L2706+N2706+O2706-P2706-M2706</f>
        <v/>
      </c>
    </row>
    <row r="2707">
      <c r="A2707" s="16" t="inlineStr">
        <is>
          <t>5.22-5.28</t>
        </is>
      </c>
      <c r="B2707" s="16" t="inlineStr">
        <is>
          <t>PO-128-06763256853110230</t>
        </is>
      </c>
      <c r="C2707" s="16" t="inlineStr">
        <is>
          <t>Delivered</t>
        </is>
      </c>
      <c r="D2707" s="16" t="inlineStr">
        <is>
          <t>128-06763269960310230</t>
        </is>
      </c>
      <c r="E2707" s="16" t="inlineStr">
        <is>
          <t>Delivered</t>
        </is>
      </c>
      <c r="F2707" s="16" t="inlineStr">
        <is>
          <t>LB02235-blanco</t>
        </is>
      </c>
      <c r="G2707" s="16" t="inlineStr">
        <is>
          <t>Audífonos Inalámbricos para la Cabeza, Recargables y Multifuncionales - Conectan a Varios Dispositivos, soportan Radio FM, Tarjeta TF y AUX - 4 Horas de Reproducción Musical - Ideal para Trabajo Cotidiano, Juegos y Estudio</t>
        </is>
      </c>
      <c r="H2707" s="16" t="inlineStr">
        <is>
          <t>BLANCO</t>
        </is>
      </c>
      <c r="I2707" s="16" t="n">
        <v>1</v>
      </c>
      <c r="J2707" s="17" t="n">
        <v>37.71</v>
      </c>
      <c r="K2707" s="17" t="n">
        <v>47.93</v>
      </c>
      <c r="L2707" s="17" t="n">
        <v>5.16</v>
      </c>
      <c r="M2707" s="17" t="n">
        <v>0</v>
      </c>
      <c r="N2707" s="17">
        <f>K2707*0.08+L2707*0.08</f>
        <v/>
      </c>
      <c r="O2707" s="17">
        <f>-(K2707*0.025+L2707*0.025)</f>
        <v/>
      </c>
      <c r="P2707" s="17">
        <f>32</f>
        <v/>
      </c>
      <c r="Q2707" s="17">
        <f>J2707+L2707+N2707+O2707-P2707-M2707</f>
        <v/>
      </c>
    </row>
    <row r="2708">
      <c r="A2708" s="16" t="inlineStr">
        <is>
          <t>5.22-5.28</t>
        </is>
      </c>
      <c r="B2708" s="16" t="inlineStr">
        <is>
          <t>PO-128-06763256853110230</t>
        </is>
      </c>
      <c r="C2708" s="16" t="inlineStr">
        <is>
          <t>Delivered</t>
        </is>
      </c>
      <c r="D2708" s="16" t="inlineStr">
        <is>
          <t>128-06763248988790230</t>
        </is>
      </c>
      <c r="E2708" s="16" t="inlineStr">
        <is>
          <t>Delivered</t>
        </is>
      </c>
      <c r="F2708" s="16" t="inlineStr">
        <is>
          <t>LB02235-negro</t>
        </is>
      </c>
      <c r="G2708" s="16" t="inlineStr">
        <is>
          <t>Audífonos Inalámbricos para la Cabeza, Recargables y Multifuncionales - Conectan a Varios Dispositivos, soportan Radio FM, Tarjeta TF y AUX - 4 Horas de Reproducción Musical - Ideal para Trabajo Cotidiano, Juegos y Estudio</t>
        </is>
      </c>
      <c r="H2708" s="16" t="inlineStr">
        <is>
          <t>NEGRO</t>
        </is>
      </c>
      <c r="I2708" s="16" t="n">
        <v>3</v>
      </c>
      <c r="J2708" s="17" t="n">
        <v>113.13</v>
      </c>
      <c r="K2708" s="17" t="n">
        <v>143.81</v>
      </c>
      <c r="L2708" s="17" t="n">
        <v>15.52</v>
      </c>
      <c r="M2708" s="17" t="n">
        <v>0</v>
      </c>
      <c r="N2708" s="17">
        <f>K2708*0.08+L2708*0.08</f>
        <v/>
      </c>
      <c r="O2708" s="17">
        <f>-(K2708*0.025+L2708*0.025)</f>
        <v/>
      </c>
      <c r="P2708" s="17">
        <f>32</f>
        <v/>
      </c>
      <c r="Q2708" s="17">
        <f>J2708+L2708+N2708+O2708-P2708-M2708</f>
        <v/>
      </c>
    </row>
    <row r="2709">
      <c r="A2709" s="16" t="inlineStr">
        <is>
          <t>5.22-5.28</t>
        </is>
      </c>
      <c r="B2709" s="16" t="inlineStr">
        <is>
          <t>PO-128-06763256853110230</t>
        </is>
      </c>
      <c r="C2709" s="16" t="inlineStr">
        <is>
          <t>Delivered</t>
        </is>
      </c>
      <c r="D2709" s="16" t="inlineStr">
        <is>
          <t>128-06763259474550230</t>
        </is>
      </c>
      <c r="E2709" s="16" t="inlineStr">
        <is>
          <t>Delivered</t>
        </is>
      </c>
      <c r="F2709" s="16" t="inlineStr">
        <is>
          <t>LB02235-azul</t>
        </is>
      </c>
      <c r="G2709" s="16" t="inlineStr">
        <is>
          <t>Audífonos Inalámbricos para la Cabeza, Recargables y Multifuncionales - Conectan a Varios Dispositivos, soportan Radio FM, Tarjeta TF y AUX - 4 Horas de Reproducción Musical - Ideal para Trabajo Cotidiano, Juegos y Estudio</t>
        </is>
      </c>
      <c r="H2709" s="16" t="inlineStr">
        <is>
          <t>AZUL</t>
        </is>
      </c>
      <c r="I2709" s="16" t="n">
        <v>1</v>
      </c>
      <c r="J2709" s="17" t="n">
        <v>37.71</v>
      </c>
      <c r="K2709" s="17" t="n">
        <v>47.94</v>
      </c>
      <c r="L2709" s="17" t="n">
        <v>5.17</v>
      </c>
      <c r="M2709" s="17" t="n">
        <v>0</v>
      </c>
      <c r="N2709" s="17">
        <f>K2709*0.08+L2709*0.08</f>
        <v/>
      </c>
      <c r="O2709" s="17">
        <f>-(K2709*0.025+L2709*0.025)</f>
        <v/>
      </c>
      <c r="P2709" s="17">
        <f>32</f>
        <v/>
      </c>
      <c r="Q2709" s="17">
        <f>J2709+L2709+N2709+O2709-P2709-M2709</f>
        <v/>
      </c>
    </row>
    <row r="2710">
      <c r="A2710" s="16" t="inlineStr">
        <is>
          <t>5.22-5.28</t>
        </is>
      </c>
      <c r="B2710" s="16" t="inlineStr">
        <is>
          <t>PO-128-06696179861111654</t>
        </is>
      </c>
      <c r="C2710" s="16" t="inlineStr">
        <is>
          <t>Delivered</t>
        </is>
      </c>
      <c r="D2710" s="16" t="inlineStr">
        <is>
          <t>128-06696221804151654</t>
        </is>
      </c>
      <c r="E2710" s="16" t="inlineStr">
        <is>
          <t>Delivered</t>
        </is>
      </c>
      <c r="F2710" s="16" t="inlineStr">
        <is>
          <t>MCM-001G</t>
        </is>
      </c>
      <c r="G2710" s="16" t="inlineStr">
        <is>
          <t>Musicord Altavoz Inalámbrico BT Portátil: ¡Sonido impactante, luces LED multicolores y 4 horas de autonomía! Compatible con TWS, FM, TF y USB – Imprescindible para fiestas y viajes</t>
        </is>
      </c>
      <c r="H2710" s="16" t="inlineStr">
        <is>
          <t>GRIS</t>
        </is>
      </c>
      <c r="I2710" s="16" t="n">
        <v>1</v>
      </c>
      <c r="J2710" s="17" t="n">
        <v>51.07</v>
      </c>
      <c r="K2710" s="17" t="n">
        <v>58.86</v>
      </c>
      <c r="L2710" s="17" t="n">
        <v>25.86</v>
      </c>
      <c r="M2710" s="17" t="n">
        <v>0</v>
      </c>
      <c r="N2710" s="17">
        <f>K2710*0.08+L2710*0.08</f>
        <v/>
      </c>
      <c r="O2710" s="17">
        <f>-(K2710*0.025+L2710*0.025)</f>
        <v/>
      </c>
      <c r="P2710" s="17">
        <f>32</f>
        <v/>
      </c>
      <c r="Q2710" s="17">
        <f>J2710+L2710+N2710+O2710-P2710-M2710</f>
        <v/>
      </c>
    </row>
    <row r="2711">
      <c r="A2711" s="16" t="inlineStr">
        <is>
          <t>5.22-5.28</t>
        </is>
      </c>
      <c r="B2711" s="16" t="inlineStr">
        <is>
          <t>PO-128-06838193295990680</t>
        </is>
      </c>
      <c r="C2711" s="16" t="inlineStr">
        <is>
          <t>Delivered</t>
        </is>
      </c>
      <c r="D2711" s="16" t="inlineStr">
        <is>
          <t>128-06838151352950680</t>
        </is>
      </c>
      <c r="E2711" s="16" t="inlineStr">
        <is>
          <t>Delivered</t>
        </is>
      </c>
      <c r="F2711" s="16" t="inlineStr">
        <is>
          <t>SA325T</t>
        </is>
      </c>
      <c r="G2711" s="16" t="inlineStr">
        <is>
          <t>Subwoofer Portátil Inalámbrico con Luces RGB, Sonido de Alta Potencia y Batería Duradera, TWS TF USB, Perfecto para Campamento Fiestas y Entretenimiento en Casa</t>
        </is>
      </c>
      <c r="H2711" s="16" t="inlineStr">
        <is>
          <t>NEGRO</t>
        </is>
      </c>
      <c r="I2711" s="16" t="n">
        <v>1</v>
      </c>
      <c r="J2711" s="17" t="n">
        <v>38</v>
      </c>
      <c r="K2711" s="17" t="n">
        <v>47.04</v>
      </c>
      <c r="L2711" s="17" t="n">
        <v>25.86</v>
      </c>
      <c r="M2711" s="17" t="n">
        <v>0</v>
      </c>
      <c r="N2711" s="17">
        <f>K2711*0.08+L2711*0.08</f>
        <v/>
      </c>
      <c r="O2711" s="17">
        <f>-(K2711*0.025+L2711*0.025)</f>
        <v/>
      </c>
      <c r="P2711" s="17">
        <f>32</f>
        <v/>
      </c>
      <c r="Q2711" s="17">
        <f>J2711+L2711+N2711+O2711-P2711-M2711</f>
        <v/>
      </c>
    </row>
    <row r="2712">
      <c r="A2712" s="16" t="inlineStr">
        <is>
          <t>5.22-5.28</t>
        </is>
      </c>
      <c r="B2712" s="16" t="inlineStr">
        <is>
          <t>PO-128-06616945101431934</t>
        </is>
      </c>
      <c r="C2712" s="16" t="inlineStr">
        <is>
          <t>Delivered</t>
        </is>
      </c>
      <c r="D2712" s="16" t="inlineStr">
        <is>
          <t>128-06617081416311934</t>
        </is>
      </c>
      <c r="E2712" s="16" t="inlineStr">
        <is>
          <t>Delivered</t>
        </is>
      </c>
      <c r="F2712" s="16" t="inlineStr">
        <is>
          <t>EM04W36</t>
        </is>
      </c>
      <c r="G271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712" s="16" t="inlineStr">
        <is>
          <t>1 pieza</t>
        </is>
      </c>
      <c r="I2712" s="16" t="n">
        <v>1</v>
      </c>
      <c r="J2712" s="17" t="n">
        <v>60</v>
      </c>
      <c r="K2712" s="17" t="n">
        <v>69.29000000000001</v>
      </c>
      <c r="L2712" s="17" t="n">
        <v>25.86</v>
      </c>
      <c r="M2712" s="17" t="n">
        <v>0</v>
      </c>
      <c r="N2712" s="17">
        <f>K2712*0.08+L2712*0.08</f>
        <v/>
      </c>
      <c r="O2712" s="17">
        <f>-(K2712*0.025+L2712*0.025)</f>
        <v/>
      </c>
      <c r="P2712" s="17">
        <f>32</f>
        <v/>
      </c>
      <c r="Q2712" s="17">
        <f>J2712+L2712+N2712+O2712-P2712-M2712</f>
        <v/>
      </c>
    </row>
    <row r="2713">
      <c r="A2713" s="16" t="inlineStr">
        <is>
          <t>5.22-5.28</t>
        </is>
      </c>
      <c r="B2713" s="16" t="inlineStr">
        <is>
          <t>PO-128-06545506284151528</t>
        </is>
      </c>
      <c r="C2713" s="16" t="inlineStr">
        <is>
          <t>Delivered</t>
        </is>
      </c>
      <c r="D2713" s="16" t="inlineStr">
        <is>
          <t>128-06545514803831528</t>
        </is>
      </c>
      <c r="E2713" s="16" t="inlineStr">
        <is>
          <t>Delivered</t>
        </is>
      </c>
      <c r="F2713" s="16" t="inlineStr">
        <is>
          <t>VB347T</t>
        </is>
      </c>
      <c r="G271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13" s="16" t="inlineStr">
        <is>
          <t>1 pieza</t>
        </is>
      </c>
      <c r="I2713" s="16" t="n">
        <v>2</v>
      </c>
      <c r="J2713" s="17" t="n">
        <v>155.8</v>
      </c>
      <c r="K2713" s="17" t="n">
        <v>121.48</v>
      </c>
      <c r="L2713" s="17" t="n">
        <v>0</v>
      </c>
      <c r="M2713" s="17" t="n">
        <v>0</v>
      </c>
      <c r="N2713" s="17">
        <f>K2713*0.08+L2713*0.08</f>
        <v/>
      </c>
      <c r="O2713" s="17">
        <f>-(K2713*0.025+L2713*0.025)</f>
        <v/>
      </c>
      <c r="P2713" s="17">
        <f>32</f>
        <v/>
      </c>
      <c r="Q2713" s="17">
        <f>J2713+L2713+N2713+O2713-P2713-M2713</f>
        <v/>
      </c>
    </row>
    <row r="2714">
      <c r="A2714" s="16" t="inlineStr">
        <is>
          <t>5.22-5.28</t>
        </is>
      </c>
      <c r="B2714" s="16" t="inlineStr">
        <is>
          <t>PO-128-06545506284151528</t>
        </is>
      </c>
      <c r="C2714" s="16" t="inlineStr">
        <is>
          <t>Delivered</t>
        </is>
      </c>
      <c r="D2714" s="16" t="inlineStr">
        <is>
          <t>128-06545504318071528</t>
        </is>
      </c>
      <c r="E2714" s="16" t="inlineStr">
        <is>
          <t>Delivered</t>
        </is>
      </c>
      <c r="F2714" s="16" t="inlineStr">
        <is>
          <t>LB02235-negro</t>
        </is>
      </c>
      <c r="G2714" s="16" t="inlineStr">
        <is>
          <t>Audífonos Inalámbricos para la Cabeza, Recargables y Multifuncionales - Conectan a Varios Dispositivos, soportan Radio FM, Tarjeta TF y AUX - 4 Horas de Reproducción Musical - Ideal para Trabajo Cotidiano, Juegos y Estudio</t>
        </is>
      </c>
      <c r="H2714" s="16" t="inlineStr">
        <is>
          <t>NEGRO</t>
        </is>
      </c>
      <c r="I2714" s="16" t="n">
        <v>2</v>
      </c>
      <c r="J2714" s="17" t="n">
        <v>73.59999999999999</v>
      </c>
      <c r="K2714" s="17" t="n">
        <v>59.93</v>
      </c>
      <c r="L2714" s="17" t="n">
        <v>0</v>
      </c>
      <c r="M2714" s="17" t="n">
        <v>0</v>
      </c>
      <c r="N2714" s="17">
        <f>K2714*0.08+L2714*0.08</f>
        <v/>
      </c>
      <c r="O2714" s="17">
        <f>-(K2714*0.025+L2714*0.025)</f>
        <v/>
      </c>
      <c r="P2714" s="17">
        <f>32</f>
        <v/>
      </c>
      <c r="Q2714" s="17">
        <f>J2714+L2714+N2714+O2714-P2714-M2714</f>
        <v/>
      </c>
    </row>
    <row r="2715">
      <c r="A2715" s="16" t="inlineStr">
        <is>
          <t>5.22-5.28</t>
        </is>
      </c>
      <c r="B2715" s="16" t="inlineStr">
        <is>
          <t>PO-128-06455037998713029</t>
        </is>
      </c>
      <c r="C2715" s="16" t="inlineStr">
        <is>
          <t>Delivered</t>
        </is>
      </c>
      <c r="D2715" s="16" t="inlineStr">
        <is>
          <t>128-06455051105913029</t>
        </is>
      </c>
      <c r="E2715" s="16" t="inlineStr">
        <is>
          <t>Delivered</t>
        </is>
      </c>
      <c r="F2715" s="16" t="inlineStr">
        <is>
          <t>LV64W25</t>
        </is>
      </c>
      <c r="G2715" s="16" t="inlineStr">
        <is>
          <t>Ventilador de Techo LED TIANLAI con 5 Aspas, Control Remoto, 3 Colores Luz, 3 Velocidades, Temporizador, Fácil Instalación, E27 para Baño Cocina Dormitorio Salón</t>
        </is>
      </c>
      <c r="H2715" s="16" t="inlineStr">
        <is>
          <t>LV64W25</t>
        </is>
      </c>
      <c r="I2715" s="16" t="n">
        <v>4</v>
      </c>
      <c r="J2715" s="17" t="n">
        <v>396</v>
      </c>
      <c r="K2715" s="17" t="n">
        <v>528.8</v>
      </c>
      <c r="L2715" s="17" t="n">
        <v>0</v>
      </c>
      <c r="M2715" s="17" t="n">
        <v>0</v>
      </c>
      <c r="N2715" s="17">
        <f>K2715*0.08+L2715*0.08</f>
        <v/>
      </c>
      <c r="O2715" s="17">
        <f>-(K2715*0.025+L2715*0.025)</f>
        <v/>
      </c>
      <c r="P2715" s="17">
        <f>32</f>
        <v/>
      </c>
      <c r="Q2715" s="17">
        <f>J2715+L2715+N2715+O2715-P2715-M2715</f>
        <v/>
      </c>
    </row>
    <row r="2716">
      <c r="A2716" s="16" t="inlineStr">
        <is>
          <t>5.22-5.28</t>
        </is>
      </c>
      <c r="B2716" s="16" t="inlineStr">
        <is>
          <t>PO-128-06740100634230368</t>
        </is>
      </c>
      <c r="C2716" s="16" t="inlineStr">
        <is>
          <t>Delivered</t>
        </is>
      </c>
      <c r="D2716" s="16" t="inlineStr">
        <is>
          <t>128-06740205491830368</t>
        </is>
      </c>
      <c r="E2716" s="16" t="inlineStr">
        <is>
          <t>Delivered</t>
        </is>
      </c>
      <c r="F2716" s="16" t="inlineStr">
        <is>
          <t>LV34W04</t>
        </is>
      </c>
      <c r="G271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716" s="16" t="inlineStr">
        <is>
          <t>LV34W04</t>
        </is>
      </c>
      <c r="I2716" s="16" t="n">
        <v>1</v>
      </c>
      <c r="J2716" s="17" t="n">
        <v>220</v>
      </c>
      <c r="K2716" s="17" t="n">
        <v>256.63</v>
      </c>
      <c r="L2716" s="17" t="n">
        <v>25.86</v>
      </c>
      <c r="M2716" s="17" t="n">
        <v>0</v>
      </c>
      <c r="N2716" s="17">
        <f>K2716*0.08+L2716*0.08</f>
        <v/>
      </c>
      <c r="O2716" s="17">
        <f>-(K2716*0.025+L2716*0.025)</f>
        <v/>
      </c>
      <c r="P2716" s="17">
        <f>32</f>
        <v/>
      </c>
      <c r="Q2716" s="17">
        <f>J2716+L2716+N2716+O2716-P2716-M2716</f>
        <v/>
      </c>
    </row>
    <row r="2717">
      <c r="A2717" s="16" t="inlineStr">
        <is>
          <t>5.22-5.28</t>
        </is>
      </c>
      <c r="B2717" s="16" t="inlineStr">
        <is>
          <t>PO-128-06698355456631643</t>
        </is>
      </c>
      <c r="C2717" s="16" t="inlineStr">
        <is>
          <t>Delivered</t>
        </is>
      </c>
      <c r="D2717" s="16" t="inlineStr">
        <is>
          <t>128-06698381671031643</t>
        </is>
      </c>
      <c r="E2717" s="16" t="inlineStr">
        <is>
          <t>Delivered</t>
        </is>
      </c>
      <c r="F2717" s="16" t="inlineStr">
        <is>
          <t>SA323T</t>
        </is>
      </c>
      <c r="G2717" s="16" t="inlineStr">
        <is>
          <t>Linkbits Bocina Portátil Parlantes BT Portátiles con Iluminación de Ambiente | 1 Hora de Duración, FM, TWS, TF/Micro SD | Ideal para Hogar, Fiestas y Viajes</t>
        </is>
      </c>
      <c r="H2717" s="16" t="inlineStr">
        <is>
          <t>SA323T</t>
        </is>
      </c>
      <c r="I2717" s="16" t="n">
        <v>1</v>
      </c>
      <c r="J2717" s="17" t="n">
        <v>44</v>
      </c>
      <c r="K2717" s="17" t="n">
        <v>45.09</v>
      </c>
      <c r="L2717" s="17" t="n">
        <v>25.86</v>
      </c>
      <c r="M2717" s="17" t="n">
        <v>0</v>
      </c>
      <c r="N2717" s="17">
        <f>K2717*0.08+L2717*0.08</f>
        <v/>
      </c>
      <c r="O2717" s="17">
        <f>-(K2717*0.025+L2717*0.025)</f>
        <v/>
      </c>
      <c r="P2717" s="17">
        <f>32</f>
        <v/>
      </c>
      <c r="Q2717" s="17">
        <f>J2717+L2717+N2717+O2717-P2717-M2717</f>
        <v/>
      </c>
    </row>
    <row r="2718">
      <c r="A2718" s="16" t="inlineStr">
        <is>
          <t>5.22-5.28</t>
        </is>
      </c>
      <c r="B2718" s="16" t="inlineStr">
        <is>
          <t>PO-128-06504096809592801</t>
        </is>
      </c>
      <c r="C2718" s="16" t="inlineStr">
        <is>
          <t>Delivered</t>
        </is>
      </c>
      <c r="D2718" s="16" t="inlineStr">
        <is>
          <t>128-06504086323832801</t>
        </is>
      </c>
      <c r="E2718" s="16" t="inlineStr">
        <is>
          <t>Delivered</t>
        </is>
      </c>
      <c r="F2718" s="16" t="inlineStr">
        <is>
          <t>LB02235-negro</t>
        </is>
      </c>
      <c r="G2718" s="16" t="inlineStr">
        <is>
          <t>Audífonos Inalámbricos para la Cabeza, Recargables y Multifuncionales - Conectan a Varios Dispositivos, soportan Radio FM, Tarjeta TF y AUX - 4 Horas de Reproducción Musical - Ideal para Trabajo Cotidiano, Juegos y Estudio</t>
        </is>
      </c>
      <c r="H2718" s="16" t="inlineStr">
        <is>
          <t>NEGRO</t>
        </is>
      </c>
      <c r="I2718" s="16" t="n">
        <v>1</v>
      </c>
      <c r="J2718" s="17" t="n">
        <v>36.8</v>
      </c>
      <c r="K2718" s="17" t="n">
        <v>49.91</v>
      </c>
      <c r="L2718" s="17" t="n">
        <v>25.86</v>
      </c>
      <c r="M2718" s="17" t="n">
        <v>0</v>
      </c>
      <c r="N2718" s="17">
        <f>K2718*0.08+L2718*0.08</f>
        <v/>
      </c>
      <c r="O2718" s="17">
        <f>-(K2718*0.025+L2718*0.025)</f>
        <v/>
      </c>
      <c r="P2718" s="17">
        <f>32</f>
        <v/>
      </c>
      <c r="Q2718" s="17">
        <f>J2718+L2718+N2718+O2718-P2718-M2718</f>
        <v/>
      </c>
    </row>
    <row r="2719">
      <c r="A2719" s="16" t="inlineStr">
        <is>
          <t>5.22-5.28</t>
        </is>
      </c>
      <c r="B2719" s="16" t="inlineStr">
        <is>
          <t>PO-128-06323327468153751</t>
        </is>
      </c>
      <c r="C2719" s="16" t="inlineStr">
        <is>
          <t>Delivered</t>
        </is>
      </c>
      <c r="D2719" s="16" t="inlineStr">
        <is>
          <t>128-06323285525113751</t>
        </is>
      </c>
      <c r="E2719" s="16" t="inlineStr">
        <is>
          <t>Delivered</t>
        </is>
      </c>
      <c r="F2719" s="16" t="inlineStr">
        <is>
          <t>SA8056T</t>
        </is>
      </c>
      <c r="G271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19" s="16" t="inlineStr">
        <is>
          <t>SA8056T</t>
        </is>
      </c>
      <c r="I2719" s="16" t="n">
        <v>1</v>
      </c>
      <c r="J2719" s="17" t="n">
        <v>121</v>
      </c>
      <c r="K2719" s="17" t="n">
        <v>89.66</v>
      </c>
      <c r="L2719" s="17" t="n">
        <v>25.86</v>
      </c>
      <c r="M2719" s="17" t="n">
        <v>0</v>
      </c>
      <c r="N2719" s="17">
        <f>K2719*0.08+L2719*0.08</f>
        <v/>
      </c>
      <c r="O2719" s="17">
        <f>-(K2719*0.025+L2719*0.025)</f>
        <v/>
      </c>
      <c r="P2719" s="17">
        <f>32</f>
        <v/>
      </c>
      <c r="Q2719" s="17">
        <f>J2719+L2719+N2719+O2719-P2719-M2719</f>
        <v/>
      </c>
    </row>
    <row r="2720">
      <c r="A2720" s="16" t="inlineStr">
        <is>
          <t>5.22-5.28</t>
        </is>
      </c>
      <c r="B2720" s="16" t="inlineStr">
        <is>
          <t>PO-128-06478449464952888</t>
        </is>
      </c>
      <c r="C2720" s="16" t="inlineStr">
        <is>
          <t>Delivered</t>
        </is>
      </c>
      <c r="D2720" s="16" t="inlineStr">
        <is>
          <t>128-06478520899192888</t>
        </is>
      </c>
      <c r="E2720" s="16" t="inlineStr">
        <is>
          <t>Delivered</t>
        </is>
      </c>
      <c r="F2720" s="16" t="inlineStr">
        <is>
          <t>LB02235-negro</t>
        </is>
      </c>
      <c r="G2720" s="16" t="inlineStr">
        <is>
          <t>Audífonos Inalámbricos para la Cabeza, Recargables y Multifuncionales - Conectan a Varios Dispositivos, soportan Radio FM, Tarjeta TF y AUX - 4 Horas de Reproducción Musical - Ideal para Trabajo Cotidiano, Juegos y Estudio</t>
        </is>
      </c>
      <c r="H2720" s="16" t="inlineStr">
        <is>
          <t>NEGRO</t>
        </is>
      </c>
      <c r="I2720" s="16" t="n">
        <v>1</v>
      </c>
      <c r="J2720" s="17" t="n">
        <v>36.8</v>
      </c>
      <c r="K2720" s="17" t="n">
        <v>49.91</v>
      </c>
      <c r="L2720" s="17" t="n">
        <v>25.86</v>
      </c>
      <c r="M2720" s="17" t="n">
        <v>0</v>
      </c>
      <c r="N2720" s="17">
        <f>K2720*0.08+L2720*0.08</f>
        <v/>
      </c>
      <c r="O2720" s="17">
        <f>-(K2720*0.025+L2720*0.025)</f>
        <v/>
      </c>
      <c r="P2720" s="17">
        <f>32</f>
        <v/>
      </c>
      <c r="Q2720" s="17">
        <f>J2720+L2720+N2720+O2720-P2720-M2720</f>
        <v/>
      </c>
    </row>
    <row r="2721">
      <c r="A2721" s="16" t="inlineStr">
        <is>
          <t>5.22-5.28</t>
        </is>
      </c>
      <c r="B2721" s="16" t="inlineStr">
        <is>
          <t>PO-128-06538647537271443</t>
        </is>
      </c>
      <c r="C2721" s="16" t="inlineStr">
        <is>
          <t>Delivered</t>
        </is>
      </c>
      <c r="D2721" s="16" t="inlineStr">
        <is>
          <t>128-06538605594231443</t>
        </is>
      </c>
      <c r="E2721" s="16" t="inlineStr">
        <is>
          <t>Delivered</t>
        </is>
      </c>
      <c r="F2721" s="16" t="inlineStr">
        <is>
          <t>SA325T</t>
        </is>
      </c>
      <c r="G2721" s="16" t="inlineStr">
        <is>
          <t>Subwoofer Portátil Inalámbrico con Luces RGB, Sonido de Alta Potencia y Batería Duradera, TWS TF USB, Perfecto para Campamento Fiestas y Entretenimiento en Casa</t>
        </is>
      </c>
      <c r="H2721" s="16" t="inlineStr">
        <is>
          <t>NEGRO</t>
        </is>
      </c>
      <c r="I2721" s="16" t="n">
        <v>1</v>
      </c>
      <c r="J2721" s="17" t="n">
        <v>36</v>
      </c>
      <c r="K2721" s="17" t="n">
        <v>45.04</v>
      </c>
      <c r="L2721" s="17" t="n">
        <v>25.86</v>
      </c>
      <c r="M2721" s="17" t="n">
        <v>0</v>
      </c>
      <c r="N2721" s="17">
        <f>K2721*0.08+L2721*0.08</f>
        <v/>
      </c>
      <c r="O2721" s="17">
        <f>-(K2721*0.025+L2721*0.025)</f>
        <v/>
      </c>
      <c r="P2721" s="17">
        <f>32</f>
        <v/>
      </c>
      <c r="Q2721" s="17">
        <f>J2721+L2721+N2721+O2721-P2721-M2721</f>
        <v/>
      </c>
    </row>
    <row r="2722">
      <c r="A2722" s="16" t="inlineStr">
        <is>
          <t>5.22-5.28</t>
        </is>
      </c>
      <c r="B2722" s="16" t="inlineStr">
        <is>
          <t>PO-128-06844036081270711</t>
        </is>
      </c>
      <c r="C2722" s="16" t="inlineStr">
        <is>
          <t>Delivered</t>
        </is>
      </c>
      <c r="D2722" s="16" t="inlineStr">
        <is>
          <t>128-06844032149110711</t>
        </is>
      </c>
      <c r="E2722" s="16" t="inlineStr">
        <is>
          <t>Delivered</t>
        </is>
      </c>
      <c r="F2722" s="16" t="inlineStr">
        <is>
          <t>S09W18IB</t>
        </is>
      </c>
      <c r="G272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722" s="16" t="inlineStr">
        <is>
          <t>1 pieza</t>
        </is>
      </c>
      <c r="I2722" s="16" t="n">
        <v>1</v>
      </c>
      <c r="J2722" s="17" t="n">
        <v>32</v>
      </c>
      <c r="K2722" s="17" t="n">
        <v>38.2</v>
      </c>
      <c r="L2722" s="17" t="n">
        <v>25.86</v>
      </c>
      <c r="M2722" s="17" t="n">
        <v>0</v>
      </c>
      <c r="N2722" s="17">
        <f>K2722*0.08+L2722*0.08</f>
        <v/>
      </c>
      <c r="O2722" s="17">
        <f>-(K2722*0.025+L2722*0.025)</f>
        <v/>
      </c>
      <c r="P2722" s="17">
        <f>32</f>
        <v/>
      </c>
      <c r="Q2722" s="17">
        <f>J2722+L2722+N2722+O2722-P2722-M2722</f>
        <v/>
      </c>
    </row>
    <row r="2723">
      <c r="A2723" s="16" t="inlineStr">
        <is>
          <t>5.22-5.28</t>
        </is>
      </c>
      <c r="B2723" s="16" t="inlineStr">
        <is>
          <t>PO-128-06418106455672288</t>
        </is>
      </c>
      <c r="C2723" s="16" t="inlineStr">
        <is>
          <t>Delivered</t>
        </is>
      </c>
      <c r="D2723" s="16" t="inlineStr">
        <is>
          <t>128-06418085484152288</t>
        </is>
      </c>
      <c r="E2723" s="16" t="inlineStr">
        <is>
          <t>Delivered</t>
        </is>
      </c>
      <c r="F2723" s="16" t="inlineStr">
        <is>
          <t>MB-185A</t>
        </is>
      </c>
      <c r="G2723" s="16" t="inlineStr">
        <is>
          <t>Bocina Radio FM/Reproductor, Compatible con Tarjeta TF, USB, Bluetooth, Aplicable para celular, computadora, Ipad y consola.</t>
        </is>
      </c>
      <c r="H2723" s="16" t="inlineStr">
        <is>
          <t>AZUL/MB-185</t>
        </is>
      </c>
      <c r="I2723" s="16" t="n">
        <v>1</v>
      </c>
      <c r="J2723" s="17" t="n">
        <v>71.31</v>
      </c>
      <c r="K2723" s="17" t="n">
        <v>84.23999999999999</v>
      </c>
      <c r="L2723" s="17" t="n">
        <v>25.86</v>
      </c>
      <c r="M2723" s="17" t="n">
        <v>0</v>
      </c>
      <c r="N2723" s="17">
        <f>K2723*0.08+L2723*0.08</f>
        <v/>
      </c>
      <c r="O2723" s="17">
        <f>-(K2723*0.025+L2723*0.025)</f>
        <v/>
      </c>
      <c r="P2723" s="17">
        <f>32</f>
        <v/>
      </c>
      <c r="Q2723" s="17">
        <f>J2723+L2723+N2723+O2723-P2723-M2723</f>
        <v/>
      </c>
    </row>
    <row r="2724">
      <c r="A2724" s="16" t="inlineStr">
        <is>
          <t>5.22-5.28</t>
        </is>
      </c>
      <c r="B2724" s="16" t="inlineStr">
        <is>
          <t>PO-128-06648850565751872</t>
        </is>
      </c>
      <c r="C2724" s="16" t="inlineStr">
        <is>
          <t>Delivered</t>
        </is>
      </c>
      <c r="D2724" s="16" t="inlineStr">
        <is>
          <t>128-06648840079991872</t>
        </is>
      </c>
      <c r="E2724" s="16" t="inlineStr">
        <is>
          <t>Delivered</t>
        </is>
      </c>
      <c r="F2724" s="16" t="inlineStr">
        <is>
          <t>LV34W04</t>
        </is>
      </c>
      <c r="G272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724" s="16" t="inlineStr">
        <is>
          <t>LV34W04</t>
        </is>
      </c>
      <c r="I2724" s="16" t="n">
        <v>1</v>
      </c>
      <c r="J2724" s="17" t="n">
        <v>220</v>
      </c>
      <c r="K2724" s="17" t="n">
        <v>160.79</v>
      </c>
      <c r="L2724" s="17" t="n">
        <v>25.86</v>
      </c>
      <c r="M2724" s="17" t="n">
        <v>0</v>
      </c>
      <c r="N2724" s="17">
        <f>K2724*0.08+L2724*0.08</f>
        <v/>
      </c>
      <c r="O2724" s="17">
        <f>-(K2724*0.025+L2724*0.025)</f>
        <v/>
      </c>
      <c r="P2724" s="17">
        <f>32</f>
        <v/>
      </c>
      <c r="Q2724" s="17">
        <f>J2724+L2724+N2724+O2724-P2724-M2724</f>
        <v/>
      </c>
    </row>
    <row r="2725">
      <c r="A2725" s="16" t="inlineStr">
        <is>
          <t>5.22-5.28</t>
        </is>
      </c>
      <c r="B2725" s="16" t="inlineStr">
        <is>
          <t>PO-128-06199873208953524</t>
        </is>
      </c>
      <c r="C2725" s="16" t="inlineStr">
        <is>
          <t>Delivered</t>
        </is>
      </c>
      <c r="D2725" s="16" t="inlineStr">
        <is>
          <t>128-06199904666233524</t>
        </is>
      </c>
      <c r="E2725" s="16" t="inlineStr">
        <is>
          <t>Delivered</t>
        </is>
      </c>
      <c r="F2725" s="16" t="inlineStr">
        <is>
          <t>MB-185R</t>
        </is>
      </c>
      <c r="G2725" s="16" t="inlineStr">
        <is>
          <t>Bocina Radio FM/Reproductor, Compatible con Tarjeta TF, USB, Bluetooth, Aplicable para celular, computadora, Ipad y consola.</t>
        </is>
      </c>
      <c r="H2725" s="16" t="inlineStr">
        <is>
          <t>ROJO/MB-185</t>
        </is>
      </c>
      <c r="I2725" s="16" t="n">
        <v>1</v>
      </c>
      <c r="J2725" s="17" t="n">
        <v>71.31</v>
      </c>
      <c r="K2725" s="17" t="n">
        <v>84.23999999999999</v>
      </c>
      <c r="L2725" s="17" t="n">
        <v>25.86</v>
      </c>
      <c r="M2725" s="17" t="n">
        <v>0</v>
      </c>
      <c r="N2725" s="17">
        <f>K2725*0.08+L2725*0.08</f>
        <v/>
      </c>
      <c r="O2725" s="17">
        <f>-(K2725*0.025+L2725*0.025)</f>
        <v/>
      </c>
      <c r="P2725" s="17">
        <f>32</f>
        <v/>
      </c>
      <c r="Q2725" s="17">
        <f>J2725+L2725+N2725+O2725-P2725-M2725</f>
        <v/>
      </c>
    </row>
    <row r="2726">
      <c r="A2726" s="16" t="inlineStr">
        <is>
          <t>5.22-5.28</t>
        </is>
      </c>
      <c r="B2726" s="16" t="inlineStr">
        <is>
          <t>PO-128-06636657347191819</t>
        </is>
      </c>
      <c r="C2726" s="16" t="inlineStr">
        <is>
          <t>Delivered</t>
        </is>
      </c>
      <c r="D2726" s="16" t="inlineStr">
        <is>
          <t>128-06636725504631819</t>
        </is>
      </c>
      <c r="E2726" s="16" t="inlineStr">
        <is>
          <t>Delivered</t>
        </is>
      </c>
      <c r="F2726" s="16" t="inlineStr">
        <is>
          <t>LB02235-negro</t>
        </is>
      </c>
      <c r="G2726" s="16" t="inlineStr">
        <is>
          <t>Audífonos Inalámbricos para la Cabeza, Recargables y Multifuncionales - Conectan a Varios Dispositivos, soportan Radio FM, Tarjeta TF y AUX - 4 Horas de Reproducción Musical - Ideal para Trabajo Cotidiano, Juegos y Estudio</t>
        </is>
      </c>
      <c r="H2726" s="16" t="inlineStr">
        <is>
          <t>NEGRO</t>
        </is>
      </c>
      <c r="I2726" s="16" t="n">
        <v>1</v>
      </c>
      <c r="J2726" s="17" t="n">
        <v>36.8</v>
      </c>
      <c r="K2726" s="17" t="n">
        <v>49.91</v>
      </c>
      <c r="L2726" s="17" t="n">
        <v>25.86</v>
      </c>
      <c r="M2726" s="17" t="n">
        <v>0</v>
      </c>
      <c r="N2726" s="17">
        <f>K2726*0.08+L2726*0.08</f>
        <v/>
      </c>
      <c r="O2726" s="17">
        <f>-(K2726*0.025+L2726*0.025)</f>
        <v/>
      </c>
      <c r="P2726" s="17">
        <f>32</f>
        <v/>
      </c>
      <c r="Q2726" s="17">
        <f>J2726+L2726+N2726+O2726-P2726-M2726</f>
        <v/>
      </c>
    </row>
    <row r="2727">
      <c r="A2727" s="16" t="inlineStr">
        <is>
          <t>5.22-5.28</t>
        </is>
      </c>
      <c r="B2727" s="16" t="inlineStr">
        <is>
          <t>PO-128-06559737682551317</t>
        </is>
      </c>
      <c r="C2727" s="16" t="inlineStr">
        <is>
          <t>Delivered</t>
        </is>
      </c>
      <c r="D2727" s="16" t="inlineStr">
        <is>
          <t>128-06559790111351317</t>
        </is>
      </c>
      <c r="E2727" s="16" t="inlineStr">
        <is>
          <t>Delivered</t>
        </is>
      </c>
      <c r="F2727" s="16" t="inlineStr">
        <is>
          <t>MCM-001N</t>
        </is>
      </c>
      <c r="G2727" s="16" t="inlineStr">
        <is>
          <t>Musicord Altavoz Inalámbrico BT Portátil: ¡Sonido impactante, luces LED multicolores y 4 horas de autonomía! Compatible con TWS, FM, TF y USB – Imprescindible para fiestas y viajes</t>
        </is>
      </c>
      <c r="H2727" s="16" t="inlineStr">
        <is>
          <t>NEGRO</t>
        </is>
      </c>
      <c r="I2727" s="16" t="n">
        <v>1</v>
      </c>
      <c r="J2727" s="17" t="n">
        <v>60.5</v>
      </c>
      <c r="K2727" s="17" t="n">
        <v>68.29000000000001</v>
      </c>
      <c r="L2727" s="17" t="n">
        <v>25.86</v>
      </c>
      <c r="M2727" s="17" t="n">
        <v>0</v>
      </c>
      <c r="N2727" s="17">
        <f>K2727*0.08+L2727*0.08</f>
        <v/>
      </c>
      <c r="O2727" s="17">
        <f>-(K2727*0.025+L2727*0.025)</f>
        <v/>
      </c>
      <c r="P2727" s="17">
        <f>32</f>
        <v/>
      </c>
      <c r="Q2727" s="17">
        <f>J2727+L2727+N2727+O2727-P2727-M2727</f>
        <v/>
      </c>
    </row>
    <row r="2728">
      <c r="A2728" s="16" t="inlineStr">
        <is>
          <t>5.22-5.28</t>
        </is>
      </c>
      <c r="B2728" s="16" t="inlineStr">
        <is>
          <t>PO-128-06205903934073552</t>
        </is>
      </c>
      <c r="C2728" s="16" t="inlineStr">
        <is>
          <t>Delivered</t>
        </is>
      </c>
      <c r="D2728" s="16" t="inlineStr">
        <is>
          <t>128-06206040248953552</t>
        </is>
      </c>
      <c r="E2728" s="16" t="inlineStr">
        <is>
          <t>Delivered</t>
        </is>
      </c>
      <c r="F2728" s="16" t="inlineStr">
        <is>
          <t>SA325T</t>
        </is>
      </c>
      <c r="G2728" s="16" t="inlineStr">
        <is>
          <t>Subwoofer Portátil Inalámbrico con Luces RGB, Sonido de Alta Potencia y Batería Duradera, TWS TF USB, Perfecto para Campamento Fiestas y Entretenimiento en Casa</t>
        </is>
      </c>
      <c r="H2728" s="16" t="inlineStr">
        <is>
          <t>NEGRO</t>
        </is>
      </c>
      <c r="I2728" s="16" t="n">
        <v>1</v>
      </c>
      <c r="J2728" s="17" t="n">
        <v>36</v>
      </c>
      <c r="K2728" s="17" t="n">
        <v>1.94</v>
      </c>
      <c r="L2728" s="17" t="n">
        <v>25.86</v>
      </c>
      <c r="M2728" s="17" t="n">
        <v>0</v>
      </c>
      <c r="N2728" s="17">
        <f>K2728*0.08+L2728*0.08</f>
        <v/>
      </c>
      <c r="O2728" s="17">
        <f>-(K2728*0.025+L2728*0.025)</f>
        <v/>
      </c>
      <c r="P2728" s="17">
        <f>32</f>
        <v/>
      </c>
      <c r="Q2728" s="17">
        <f>J2728+L2728+N2728+O2728-P2728-M2728</f>
        <v/>
      </c>
    </row>
    <row r="2729">
      <c r="A2729" s="16" t="inlineStr">
        <is>
          <t>5.22-5.28</t>
        </is>
      </c>
      <c r="B2729" s="16" t="inlineStr">
        <is>
          <t>PO-128-06321396634233760</t>
        </is>
      </c>
      <c r="C2729" s="16" t="inlineStr">
        <is>
          <t>Delivered</t>
        </is>
      </c>
      <c r="D2729" s="16" t="inlineStr">
        <is>
          <t>128-06321375662713760</t>
        </is>
      </c>
      <c r="E2729" s="16" t="inlineStr">
        <is>
          <t>Delivered</t>
        </is>
      </c>
      <c r="F2729" s="16" t="inlineStr">
        <is>
          <t>LB02235-negro</t>
        </is>
      </c>
      <c r="G2729" s="16" t="inlineStr">
        <is>
          <t>Audífonos Inalámbricos para la Cabeza, Recargables y Multifuncionales - Conectan a Varios Dispositivos, soportan Radio FM, Tarjeta TF y AUX - 4 Horas de Reproducción Musical - Ideal para Trabajo Cotidiano, Juegos y Estudio</t>
        </is>
      </c>
      <c r="H2729" s="16" t="inlineStr">
        <is>
          <t>NEGRO</t>
        </is>
      </c>
      <c r="I2729" s="16" t="n">
        <v>1</v>
      </c>
      <c r="J2729" s="17" t="n">
        <v>36.8</v>
      </c>
      <c r="K2729" s="17" t="n">
        <v>49.91</v>
      </c>
      <c r="L2729" s="17" t="n">
        <v>25.86</v>
      </c>
      <c r="M2729" s="17" t="n">
        <v>0</v>
      </c>
      <c r="N2729" s="17">
        <f>K2729*0.08+L2729*0.08</f>
        <v/>
      </c>
      <c r="O2729" s="17">
        <f>-(K2729*0.025+L2729*0.025)</f>
        <v/>
      </c>
      <c r="P2729" s="17">
        <f>32</f>
        <v/>
      </c>
      <c r="Q2729" s="17">
        <f>J2729+L2729+N2729+O2729-P2729-M2729</f>
        <v/>
      </c>
    </row>
    <row r="2730">
      <c r="A2730" s="16" t="inlineStr">
        <is>
          <t>5.22-5.28</t>
        </is>
      </c>
      <c r="B2730" s="16" t="inlineStr">
        <is>
          <t>PO-128-06675376195191778</t>
        </is>
      </c>
      <c r="C2730" s="16" t="inlineStr">
        <is>
          <t>Delivered</t>
        </is>
      </c>
      <c r="D2730" s="16" t="inlineStr">
        <is>
          <t>128-06675336873591778</t>
        </is>
      </c>
      <c r="E2730" s="16" t="inlineStr">
        <is>
          <t>Delivered</t>
        </is>
      </c>
      <c r="F2730" s="16" t="inlineStr">
        <is>
          <t>KTS-1678Y</t>
        </is>
      </c>
      <c r="G2730" s="16" t="inlineStr">
        <is>
          <t>Bocina portátil Inalámbrico, de 3 pulgadas, tamaño de bolsillo, 170 g, con asa, compatible con TF, USB y Micro SD, con radio FM y función TWS (True Wireless Stereo), adecuada para relajarse en casa o viajar al aire libre.</t>
        </is>
      </c>
      <c r="H2730" s="16" t="inlineStr">
        <is>
          <t>KTS-1678Y</t>
        </is>
      </c>
      <c r="I2730" s="16" t="n">
        <v>1</v>
      </c>
      <c r="J2730" s="17" t="n">
        <v>40</v>
      </c>
      <c r="K2730" s="17" t="n">
        <v>46.22</v>
      </c>
      <c r="L2730" s="17" t="n">
        <v>25.86</v>
      </c>
      <c r="M2730" s="17" t="n">
        <v>0</v>
      </c>
      <c r="N2730" s="17">
        <f>K2730*0.08+L2730*0.08</f>
        <v/>
      </c>
      <c r="O2730" s="17">
        <f>-(K2730*0.025+L2730*0.025)</f>
        <v/>
      </c>
      <c r="P2730" s="17">
        <f>32</f>
        <v/>
      </c>
      <c r="Q2730" s="17">
        <f>J2730+L2730+N2730+O2730-P2730-M2730</f>
        <v/>
      </c>
    </row>
    <row r="2731">
      <c r="A2731" s="16" t="inlineStr">
        <is>
          <t>5.22-5.28</t>
        </is>
      </c>
      <c r="B2731" s="16" t="inlineStr">
        <is>
          <t>PO-128-06266169590393195</t>
        </is>
      </c>
      <c r="C2731" s="16" t="inlineStr">
        <is>
          <t>Delivered</t>
        </is>
      </c>
      <c r="D2731" s="16" t="inlineStr">
        <is>
          <t>128-06266211533433195</t>
        </is>
      </c>
      <c r="E2731" s="16" t="inlineStr">
        <is>
          <t>Delivered</t>
        </is>
      </c>
      <c r="F2731" s="16" t="inlineStr">
        <is>
          <t>LB02235-azul</t>
        </is>
      </c>
      <c r="G2731" s="16" t="inlineStr">
        <is>
          <t>Audífonos Inalámbricos para la Cabeza, Recargables y Multifuncionales - Conectan a Varios Dispositivos, soportan Radio FM, Tarjeta TF y AUX - 4 Horas de Reproducción Musical - Ideal para Trabajo Cotidiano, Juegos y Estudio</t>
        </is>
      </c>
      <c r="H2731" s="16" t="inlineStr">
        <is>
          <t>AZUL</t>
        </is>
      </c>
      <c r="I2731" s="16" t="n">
        <v>1</v>
      </c>
      <c r="J2731" s="17" t="n">
        <v>36.8</v>
      </c>
      <c r="K2731" s="17" t="n">
        <v>49.91</v>
      </c>
      <c r="L2731" s="17" t="n">
        <v>12.93</v>
      </c>
      <c r="M2731" s="17" t="n">
        <v>0</v>
      </c>
      <c r="N2731" s="17">
        <f>K2731*0.08+L2731*0.08</f>
        <v/>
      </c>
      <c r="O2731" s="17">
        <f>-(K2731*0.025+L2731*0.025)</f>
        <v/>
      </c>
      <c r="P2731" s="17">
        <f>32</f>
        <v/>
      </c>
      <c r="Q2731" s="17">
        <f>J2731+L2731+N2731+O2731-P2731-M2731</f>
        <v/>
      </c>
    </row>
    <row r="2732">
      <c r="A2732" s="16" t="inlineStr">
        <is>
          <t>5.22-5.28</t>
        </is>
      </c>
      <c r="B2732" s="16" t="inlineStr">
        <is>
          <t>PO-128-06266169590393195</t>
        </is>
      </c>
      <c r="C2732" s="16" t="inlineStr">
        <is>
          <t>Delivered</t>
        </is>
      </c>
      <c r="D2732" s="16" t="inlineStr">
        <is>
          <t>128-06266192722553195</t>
        </is>
      </c>
      <c r="E2732" s="16" t="inlineStr">
        <is>
          <t>Delivered</t>
        </is>
      </c>
      <c r="F2732" s="16" t="inlineStr">
        <is>
          <t>LB02235-azul</t>
        </is>
      </c>
      <c r="G2732" s="16" t="inlineStr">
        <is>
          <t>Audífonos Inalámbricos para la Cabeza, Recargables y Multifuncionales - Conectan a Varios Dispositivos, soportan Radio FM, Tarjeta TF y AUX - 4 Horas de Reproducción Musical - Ideal para Trabajo Cotidiano, Juegos y Estudio</t>
        </is>
      </c>
      <c r="H2732" s="16" t="inlineStr">
        <is>
          <t>AZUL</t>
        </is>
      </c>
      <c r="I2732" s="16" t="n">
        <v>1</v>
      </c>
      <c r="J2732" s="17" t="n">
        <v>36.8</v>
      </c>
      <c r="K2732" s="17" t="n">
        <v>49.91</v>
      </c>
      <c r="L2732" s="17" t="n">
        <v>12.93</v>
      </c>
      <c r="M2732" s="17" t="n">
        <v>0</v>
      </c>
      <c r="N2732" s="17">
        <f>K2732*0.08+L2732*0.08</f>
        <v/>
      </c>
      <c r="O2732" s="17">
        <f>-(K2732*0.025+L2732*0.025)</f>
        <v/>
      </c>
      <c r="P2732" s="17">
        <f>32</f>
        <v/>
      </c>
      <c r="Q2732" s="17">
        <f>J2732+L2732+N2732+O2732-P2732-M2732</f>
        <v/>
      </c>
    </row>
    <row r="2733">
      <c r="A2733" s="16" t="inlineStr">
        <is>
          <t>5.22-5.28</t>
        </is>
      </c>
      <c r="B2733" s="16" t="inlineStr">
        <is>
          <t>PO-128-06646805120631884</t>
        </is>
      </c>
      <c r="C2733" s="16" t="inlineStr">
        <is>
          <t>Delivered</t>
        </is>
      </c>
      <c r="D2733" s="16" t="inlineStr">
        <is>
          <t>128-06646957164151884</t>
        </is>
      </c>
      <c r="E2733" s="16" t="inlineStr">
        <is>
          <t>Delivered</t>
        </is>
      </c>
      <c r="F2733" s="16" t="inlineStr">
        <is>
          <t>SA8056T</t>
        </is>
      </c>
      <c r="G273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33" s="16" t="inlineStr">
        <is>
          <t>SA8056T</t>
        </is>
      </c>
      <c r="I2733" s="16" t="n">
        <v>2</v>
      </c>
      <c r="J2733" s="17" t="n">
        <v>242</v>
      </c>
      <c r="K2733" s="17" t="n">
        <v>212.08</v>
      </c>
      <c r="L2733" s="17" t="n">
        <v>0</v>
      </c>
      <c r="M2733" s="17" t="n">
        <v>0</v>
      </c>
      <c r="N2733" s="17">
        <f>K2733*0.08+L2733*0.08</f>
        <v/>
      </c>
      <c r="O2733" s="17">
        <f>-(K2733*0.025+L2733*0.025)</f>
        <v/>
      </c>
      <c r="P2733" s="17">
        <f>32</f>
        <v/>
      </c>
      <c r="Q2733" s="17">
        <f>J2733+L2733+N2733+O2733-P2733-M2733</f>
        <v/>
      </c>
    </row>
    <row r="2734">
      <c r="A2734" s="16" t="inlineStr">
        <is>
          <t>5.22-5.28</t>
        </is>
      </c>
      <c r="B2734" s="16" t="inlineStr">
        <is>
          <t>PO-128-06371834235512501</t>
        </is>
      </c>
      <c r="C2734" s="16" t="inlineStr">
        <is>
          <t>Delivered</t>
        </is>
      </c>
      <c r="D2734" s="16" t="inlineStr">
        <is>
          <t>128-06371886664312501</t>
        </is>
      </c>
      <c r="E2734" s="16" t="inlineStr">
        <is>
          <t>Delivered</t>
        </is>
      </c>
      <c r="F2734" s="16" t="inlineStr">
        <is>
          <t>MB-185A</t>
        </is>
      </c>
      <c r="G2734" s="16" t="inlineStr">
        <is>
          <t>Bocina Radio FM/Reproductor, Compatible con Tarjeta TF, USB, Bluetooth, Aplicable para celular, computadora, Ipad y consola.</t>
        </is>
      </c>
      <c r="H2734" s="16" t="inlineStr">
        <is>
          <t>AZUL/MB-185</t>
        </is>
      </c>
      <c r="I2734" s="16" t="n">
        <v>1</v>
      </c>
      <c r="J2734" s="17" t="n">
        <v>71.31</v>
      </c>
      <c r="K2734" s="17" t="n">
        <v>84.23999999999999</v>
      </c>
      <c r="L2734" s="17" t="n">
        <v>25.86</v>
      </c>
      <c r="M2734" s="17" t="n">
        <v>0</v>
      </c>
      <c r="N2734" s="17">
        <f>K2734*0.08+L2734*0.08</f>
        <v/>
      </c>
      <c r="O2734" s="17">
        <f>-(K2734*0.025+L2734*0.025)</f>
        <v/>
      </c>
      <c r="P2734" s="17">
        <f>32</f>
        <v/>
      </c>
      <c r="Q2734" s="17">
        <f>J2734+L2734+N2734+O2734-P2734-M2734</f>
        <v/>
      </c>
    </row>
    <row r="2735">
      <c r="A2735" s="16" t="inlineStr">
        <is>
          <t>5.22-5.28</t>
        </is>
      </c>
      <c r="B2735" s="16" t="inlineStr">
        <is>
          <t>PO-128-06674789171831782</t>
        </is>
      </c>
      <c r="C2735" s="16" t="inlineStr">
        <is>
          <t>Delivered</t>
        </is>
      </c>
      <c r="D2735" s="16" t="inlineStr">
        <is>
          <t>128-06674752471671782</t>
        </is>
      </c>
      <c r="E2735" s="16" t="inlineStr">
        <is>
          <t>Delivered</t>
        </is>
      </c>
      <c r="F2735" s="16" t="inlineStr">
        <is>
          <t>LV64W25</t>
        </is>
      </c>
      <c r="G2735" s="16" t="inlineStr">
        <is>
          <t>Ventilador de Techo LED TIANLAI con 5 Aspas, Control Remoto, 3 Colores Luz, 3 Velocidades, Temporizador, Fácil Instalación, E27 para Baño Cocina Dormitorio Salón</t>
        </is>
      </c>
      <c r="H2735" s="16" t="inlineStr">
        <is>
          <t>LV64W25</t>
        </is>
      </c>
      <c r="I2735" s="16" t="n">
        <v>2</v>
      </c>
      <c r="J2735" s="17" t="n">
        <v>198</v>
      </c>
      <c r="K2735" s="17" t="n">
        <v>264.4</v>
      </c>
      <c r="L2735" s="17" t="n">
        <v>0</v>
      </c>
      <c r="M2735" s="17" t="n">
        <v>0</v>
      </c>
      <c r="N2735" s="17">
        <f>K2735*0.08+L2735*0.08</f>
        <v/>
      </c>
      <c r="O2735" s="17">
        <f>-(K2735*0.025+L2735*0.025)</f>
        <v/>
      </c>
      <c r="P2735" s="17">
        <f>32</f>
        <v/>
      </c>
      <c r="Q2735" s="17">
        <f>J2735+L2735+N2735+O2735-P2735-M2735</f>
        <v/>
      </c>
    </row>
    <row r="2736">
      <c r="A2736" s="16" t="inlineStr">
        <is>
          <t>5.22-5.28</t>
        </is>
      </c>
      <c r="B2736" s="16" t="inlineStr">
        <is>
          <t>PO-128-06540970092151493</t>
        </is>
      </c>
      <c r="C2736" s="16" t="inlineStr">
        <is>
          <t>Delivered</t>
        </is>
      </c>
      <c r="D2736" s="16" t="inlineStr">
        <is>
          <t>128-06540949120631493</t>
        </is>
      </c>
      <c r="E2736" s="16" t="inlineStr">
        <is>
          <t>Delivered</t>
        </is>
      </c>
      <c r="F2736" s="16" t="inlineStr">
        <is>
          <t>LB02235-azul</t>
        </is>
      </c>
      <c r="G2736" s="16" t="inlineStr">
        <is>
          <t>Audífonos Inalámbricos para la Cabeza, Recargables y Multifuncionales - Conectan a Varios Dispositivos, soportan Radio FM, Tarjeta TF y AUX - 4 Horas de Reproducción Musical - Ideal para Trabajo Cotidiano, Juegos y Estudio</t>
        </is>
      </c>
      <c r="H2736" s="16" t="inlineStr">
        <is>
          <t>AZUL</t>
        </is>
      </c>
      <c r="I2736" s="16" t="n">
        <v>1</v>
      </c>
      <c r="J2736" s="17" t="n">
        <v>36.8</v>
      </c>
      <c r="K2736" s="17" t="n">
        <v>49.91</v>
      </c>
      <c r="L2736" s="17" t="n">
        <v>25.86</v>
      </c>
      <c r="M2736" s="17" t="n">
        <v>0</v>
      </c>
      <c r="N2736" s="17">
        <f>K2736*0.08+L2736*0.08</f>
        <v/>
      </c>
      <c r="O2736" s="17">
        <f>-(K2736*0.025+L2736*0.025)</f>
        <v/>
      </c>
      <c r="P2736" s="17">
        <f>32</f>
        <v/>
      </c>
      <c r="Q2736" s="17">
        <f>J2736+L2736+N2736+O2736-P2736-M2736</f>
        <v/>
      </c>
    </row>
    <row r="2737">
      <c r="A2737" s="16" t="inlineStr">
        <is>
          <t>5.22-5.28</t>
        </is>
      </c>
      <c r="B2737" s="16" t="inlineStr">
        <is>
          <t>PO-128-06433036677752137</t>
        </is>
      </c>
      <c r="C2737" s="16" t="inlineStr">
        <is>
          <t>Delivered</t>
        </is>
      </c>
      <c r="D2737" s="16" t="inlineStr">
        <is>
          <t>128-06432994734712137</t>
        </is>
      </c>
      <c r="E2737" s="16" t="inlineStr">
        <is>
          <t>Delivered</t>
        </is>
      </c>
      <c r="F2737" s="16" t="inlineStr">
        <is>
          <t>SA325T</t>
        </is>
      </c>
      <c r="G2737" s="16" t="inlineStr">
        <is>
          <t>Subwoofer Portátil Inalámbrico con Luces RGB, Sonido de Alta Potencia y Batería Duradera, TWS TF USB, Perfecto para Campamento Fiestas y Entretenimiento en Casa</t>
        </is>
      </c>
      <c r="H2737" s="16" t="inlineStr">
        <is>
          <t>NEGRO</t>
        </is>
      </c>
      <c r="I2737" s="16" t="n">
        <v>1</v>
      </c>
      <c r="J2737" s="17" t="n">
        <v>36</v>
      </c>
      <c r="K2737" s="17" t="n">
        <v>45.04</v>
      </c>
      <c r="L2737" s="17" t="n">
        <v>25.86</v>
      </c>
      <c r="M2737" s="17" t="n">
        <v>0</v>
      </c>
      <c r="N2737" s="17">
        <f>K2737*0.08+L2737*0.08</f>
        <v/>
      </c>
      <c r="O2737" s="17">
        <f>-(K2737*0.025+L2737*0.025)</f>
        <v/>
      </c>
      <c r="P2737" s="17">
        <f>32</f>
        <v/>
      </c>
      <c r="Q2737" s="17">
        <f>J2737+L2737+N2737+O2737-P2737-M2737</f>
        <v/>
      </c>
    </row>
    <row r="2738">
      <c r="A2738" s="16" t="inlineStr">
        <is>
          <t>5.22-5.28</t>
        </is>
      </c>
      <c r="B2738" s="16" t="inlineStr">
        <is>
          <t>PO-128-06597548734071026</t>
        </is>
      </c>
      <c r="C2738" s="16" t="inlineStr">
        <is>
          <t>Delivered</t>
        </is>
      </c>
      <c r="D2738" s="16" t="inlineStr">
        <is>
          <t>128-06597506791031026</t>
        </is>
      </c>
      <c r="E2738" s="16" t="inlineStr">
        <is>
          <t>Delivered</t>
        </is>
      </c>
      <c r="F2738" s="16" t="inlineStr">
        <is>
          <t>LB02235-rojo</t>
        </is>
      </c>
      <c r="G2738" s="16" t="inlineStr">
        <is>
          <t>Audífonos Inalámbricos para la Cabeza, Recargables y Multifuncionales - Conectan a Varios Dispositivos, soportan Radio FM, Tarjeta TF y AUX - 4 Horas de Reproducción Musical - Ideal para Trabajo Cotidiano, Juegos y Estudio</t>
        </is>
      </c>
      <c r="H2738" s="16" t="inlineStr">
        <is>
          <t>ROJO</t>
        </is>
      </c>
      <c r="I2738" s="16" t="n">
        <v>1</v>
      </c>
      <c r="J2738" s="17" t="n">
        <v>36.8</v>
      </c>
      <c r="K2738" s="17" t="n">
        <v>49.91</v>
      </c>
      <c r="L2738" s="17" t="n">
        <v>25.86</v>
      </c>
      <c r="M2738" s="17" t="n">
        <v>0</v>
      </c>
      <c r="N2738" s="17">
        <f>K2738*0.08+L2738*0.08</f>
        <v/>
      </c>
      <c r="O2738" s="17">
        <f>-(K2738*0.025+L2738*0.025)</f>
        <v/>
      </c>
      <c r="P2738" s="17">
        <f>32</f>
        <v/>
      </c>
      <c r="Q2738" s="17">
        <f>J2738+L2738+N2738+O2738-P2738-M2738</f>
        <v/>
      </c>
    </row>
    <row r="2739">
      <c r="A2739" s="16" t="inlineStr">
        <is>
          <t>5.22-5.28</t>
        </is>
      </c>
      <c r="B2739" s="16" t="inlineStr">
        <is>
          <t>PO-128-06241683011193277</t>
        </is>
      </c>
      <c r="C2739" s="16" t="inlineStr">
        <is>
          <t>Delivered</t>
        </is>
      </c>
      <c r="D2739" s="16" t="inlineStr">
        <is>
          <t>128-06241724954233277</t>
        </is>
      </c>
      <c r="E2739" s="16" t="inlineStr">
        <is>
          <t>Delivered</t>
        </is>
      </c>
      <c r="F2739" s="16" t="inlineStr">
        <is>
          <t>MB-185N</t>
        </is>
      </c>
      <c r="G2739" s="16" t="inlineStr">
        <is>
          <t>Bocina Radio FM/Reproductor, Compatible con Tarjeta TF, USB, Bluetooth, Aplicable para celular, computadora, Ipad y consola.</t>
        </is>
      </c>
      <c r="H2739" s="16" t="inlineStr">
        <is>
          <t>NEGRO/MB-185</t>
        </is>
      </c>
      <c r="I2739" s="16" t="n">
        <v>1</v>
      </c>
      <c r="J2739" s="17" t="n">
        <v>71.31</v>
      </c>
      <c r="K2739" s="17" t="n">
        <v>84.23999999999999</v>
      </c>
      <c r="L2739" s="17" t="n">
        <v>25.86</v>
      </c>
      <c r="M2739" s="17" t="n">
        <v>0</v>
      </c>
      <c r="N2739" s="17">
        <f>K2739*0.08+L2739*0.08</f>
        <v/>
      </c>
      <c r="O2739" s="17">
        <f>-(K2739*0.025+L2739*0.025)</f>
        <v/>
      </c>
      <c r="P2739" s="17">
        <f>32</f>
        <v/>
      </c>
      <c r="Q2739" s="17">
        <f>J2739+L2739+N2739+O2739-P2739-M2739</f>
        <v/>
      </c>
    </row>
    <row r="2740">
      <c r="A2740" s="16" t="inlineStr">
        <is>
          <t>5.22-5.28</t>
        </is>
      </c>
      <c r="B2740" s="16" t="inlineStr">
        <is>
          <t>PO-128-06724436444790270</t>
        </is>
      </c>
      <c r="C2740" s="16" t="inlineStr">
        <is>
          <t>Delivered</t>
        </is>
      </c>
      <c r="D2740" s="16" t="inlineStr">
        <is>
          <t>128-06724394501750270</t>
        </is>
      </c>
      <c r="E2740" s="16" t="inlineStr">
        <is>
          <t>Delivered</t>
        </is>
      </c>
      <c r="F2740" s="16" t="inlineStr">
        <is>
          <t>LB02235-rojo</t>
        </is>
      </c>
      <c r="G2740" s="16" t="inlineStr">
        <is>
          <t>Audífonos Inalámbricos para la Cabeza, Recargables y Multifuncionales - Conectan a Varios Dispositivos, soportan Radio FM, Tarjeta TF y AUX - 4 Horas de Reproducción Musical - Ideal para Trabajo Cotidiano, Juegos y Estudio</t>
        </is>
      </c>
      <c r="H2740" s="16" t="inlineStr">
        <is>
          <t>ROJO</t>
        </is>
      </c>
      <c r="I2740" s="16" t="n">
        <v>1</v>
      </c>
      <c r="J2740" s="17" t="n">
        <v>36.8</v>
      </c>
      <c r="K2740" s="17" t="n">
        <v>49.91</v>
      </c>
      <c r="L2740" s="17" t="n">
        <v>25.86</v>
      </c>
      <c r="M2740" s="17" t="n">
        <v>0</v>
      </c>
      <c r="N2740" s="17">
        <f>K2740*0.08+L2740*0.08</f>
        <v/>
      </c>
      <c r="O2740" s="17">
        <f>-(K2740*0.025+L2740*0.025)</f>
        <v/>
      </c>
      <c r="P2740" s="17">
        <f>32</f>
        <v/>
      </c>
      <c r="Q2740" s="17">
        <f>J2740+L2740+N2740+O2740-P2740-M2740</f>
        <v/>
      </c>
    </row>
    <row r="2741">
      <c r="A2741" s="16" t="inlineStr">
        <is>
          <t>5.22-5.28</t>
        </is>
      </c>
      <c r="B2741" s="16" t="inlineStr">
        <is>
          <t>PO-128-06777998776950078</t>
        </is>
      </c>
      <c r="C2741" s="16" t="inlineStr">
        <is>
          <t>Delivered</t>
        </is>
      </c>
      <c r="D2741" s="16" t="inlineStr">
        <is>
          <t>128-06778074798710078</t>
        </is>
      </c>
      <c r="E2741" s="16" t="inlineStr">
        <is>
          <t>Delivered</t>
        </is>
      </c>
      <c r="F2741" s="16" t="inlineStr">
        <is>
          <t>LB02235-negro</t>
        </is>
      </c>
      <c r="G2741" s="16" t="inlineStr">
        <is>
          <t>Audífonos Inalámbricos para la Cabeza, Recargables y Multifuncionales - Conectan a Varios Dispositivos, soportan Radio FM, Tarjeta TF y AUX - 4 Horas de Reproducción Musical - Ideal para Trabajo Cotidiano, Juegos y Estudio</t>
        </is>
      </c>
      <c r="H2741" s="16" t="inlineStr">
        <is>
          <t>NEGRO</t>
        </is>
      </c>
      <c r="I2741" s="16" t="n">
        <v>1</v>
      </c>
      <c r="J2741" s="17" t="n">
        <v>36.8</v>
      </c>
      <c r="K2741" s="17" t="n">
        <v>49.91</v>
      </c>
      <c r="L2741" s="17" t="n">
        <v>25.86</v>
      </c>
      <c r="M2741" s="17" t="n">
        <v>0</v>
      </c>
      <c r="N2741" s="17">
        <f>K2741*0.08+L2741*0.08</f>
        <v/>
      </c>
      <c r="O2741" s="17">
        <f>-(K2741*0.025+L2741*0.025)</f>
        <v/>
      </c>
      <c r="P2741" s="17">
        <f>32</f>
        <v/>
      </c>
      <c r="Q2741" s="17">
        <f>J2741+L2741+N2741+O2741-P2741-M2741</f>
        <v/>
      </c>
    </row>
    <row r="2742">
      <c r="A2742" s="16" t="inlineStr">
        <is>
          <t>5.22-5.28</t>
        </is>
      </c>
      <c r="B2742" s="16" t="inlineStr">
        <is>
          <t>PO-128-06758609536630194</t>
        </is>
      </c>
      <c r="C2742" s="16" t="inlineStr">
        <is>
          <t>Delivered</t>
        </is>
      </c>
      <c r="D2742" s="16" t="inlineStr">
        <is>
          <t>128-06758651479670194</t>
        </is>
      </c>
      <c r="E2742" s="16" t="inlineStr">
        <is>
          <t>Delivered</t>
        </is>
      </c>
      <c r="F2742" s="16" t="inlineStr">
        <is>
          <t>MB-184N</t>
        </is>
      </c>
      <c r="G2742" s="16" t="inlineStr">
        <is>
          <t>Link bits Portable Bluetooth Speaker - 800W Peak Power, 50W Full-Range Audio with Dual Bass System &amp; Deep Bass Membranes, Powerful &amp; Distortion-Free Sound, IP65 Waterproof Dustproof, TWS Support &amp; 6H Battery for Outdoor/Party</t>
        </is>
      </c>
      <c r="H2742" s="16" t="inlineStr">
        <is>
          <t>NEGRO/MB-184</t>
        </is>
      </c>
      <c r="I2742" s="16" t="n">
        <v>1</v>
      </c>
      <c r="J2742" s="17" t="n">
        <v>588</v>
      </c>
      <c r="K2742" s="17" t="n">
        <v>697.61</v>
      </c>
      <c r="L2742" s="17" t="n">
        <v>0</v>
      </c>
      <c r="M2742" s="17" t="n">
        <v>0</v>
      </c>
      <c r="N2742" s="17">
        <f>K2742*0.08+L2742*0.08</f>
        <v/>
      </c>
      <c r="O2742" s="17">
        <f>-(K2742*0.025+L2742*0.025)</f>
        <v/>
      </c>
      <c r="P2742" s="17">
        <f>32</f>
        <v/>
      </c>
      <c r="Q2742" s="17">
        <f>J2742+L2742+N2742+O2742-P2742-M2742</f>
        <v/>
      </c>
    </row>
    <row r="2743">
      <c r="A2743" s="16" t="inlineStr">
        <is>
          <t>5.22-5.28</t>
        </is>
      </c>
      <c r="B2743" s="16" t="inlineStr">
        <is>
          <t>PO-128-06416077568632300</t>
        </is>
      </c>
      <c r="C2743" s="16" t="inlineStr">
        <is>
          <t>Delivered</t>
        </is>
      </c>
      <c r="D2743" s="16" t="inlineStr">
        <is>
          <t>128-06416035625592300</t>
        </is>
      </c>
      <c r="E2743" s="16" t="inlineStr">
        <is>
          <t>Delivered</t>
        </is>
      </c>
      <c r="F2743" s="16" t="inlineStr">
        <is>
          <t>FA028</t>
        </is>
      </c>
      <c r="G2743" s="16" t="inlineStr">
        <is>
          <t>Extractor de agua para garrafas de agua, compatible con carga USB, extractor de agua automático, práctico, con dos modos de toma de agua: manual y programado, ideal para dormitorios, salones, oficinas, uso al aire libre y otros escenarios.</t>
        </is>
      </c>
      <c r="H2743" s="16" t="inlineStr">
        <is>
          <t>FA028</t>
        </is>
      </c>
      <c r="I2743" s="16" t="n">
        <v>1</v>
      </c>
      <c r="J2743" s="17" t="n">
        <v>27</v>
      </c>
      <c r="K2743" s="17" t="n">
        <v>36.58</v>
      </c>
      <c r="L2743" s="17" t="n">
        <v>25.86</v>
      </c>
      <c r="M2743" s="17" t="n">
        <v>0</v>
      </c>
      <c r="N2743" s="17">
        <f>K2743*0.08+L2743*0.08</f>
        <v/>
      </c>
      <c r="O2743" s="17">
        <f>-(K2743*0.025+L2743*0.025)</f>
        <v/>
      </c>
      <c r="P2743" s="17">
        <f>32</f>
        <v/>
      </c>
      <c r="Q2743" s="17">
        <f>J2743+L2743+N2743+O2743-P2743-M2743</f>
        <v/>
      </c>
    </row>
    <row r="2744">
      <c r="A2744" s="16" t="inlineStr">
        <is>
          <t>5.22-5.28</t>
        </is>
      </c>
      <c r="B2744" s="16" t="inlineStr">
        <is>
          <t>PO-128-06810892984950778</t>
        </is>
      </c>
      <c r="C2744" s="16" t="inlineStr">
        <is>
          <t>Delivered</t>
        </is>
      </c>
      <c r="D2744" s="16" t="inlineStr">
        <is>
          <t>128-06810945413750778</t>
        </is>
      </c>
      <c r="E2744" s="16" t="inlineStr">
        <is>
          <t>Delivered</t>
        </is>
      </c>
      <c r="F2744" s="16" t="inlineStr">
        <is>
          <t>SA8056T</t>
        </is>
      </c>
      <c r="G274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44" s="16" t="inlineStr">
        <is>
          <t>SA8056T</t>
        </is>
      </c>
      <c r="I2744" s="16" t="n">
        <v>1</v>
      </c>
      <c r="J2744" s="17" t="n">
        <v>121</v>
      </c>
      <c r="K2744" s="17" t="n">
        <v>113.1</v>
      </c>
      <c r="L2744" s="17" t="n">
        <v>25.86</v>
      </c>
      <c r="M2744" s="17" t="n">
        <v>0</v>
      </c>
      <c r="N2744" s="17">
        <f>K2744*0.08+L2744*0.08</f>
        <v/>
      </c>
      <c r="O2744" s="17">
        <f>-(K2744*0.025+L2744*0.025)</f>
        <v/>
      </c>
      <c r="P2744" s="17">
        <f>32</f>
        <v/>
      </c>
      <c r="Q2744" s="17">
        <f>J2744+L2744+N2744+O2744-P2744-M2744</f>
        <v/>
      </c>
    </row>
    <row r="2745">
      <c r="A2745" s="16" t="inlineStr">
        <is>
          <t>5.22-5.28</t>
        </is>
      </c>
      <c r="B2745" s="16" t="inlineStr">
        <is>
          <t>PO-128-06699617828471634</t>
        </is>
      </c>
      <c r="C2745" s="16" t="inlineStr">
        <is>
          <t>Delivered</t>
        </is>
      </c>
      <c r="D2745" s="16" t="inlineStr">
        <is>
          <t>128-06699575885431634</t>
        </is>
      </c>
      <c r="E2745" s="16" t="inlineStr">
        <is>
          <t>Delivered</t>
        </is>
      </c>
      <c r="F2745" s="16" t="inlineStr">
        <is>
          <t>LB02235-blanco</t>
        </is>
      </c>
      <c r="G2745" s="16" t="inlineStr">
        <is>
          <t>Audífonos Inalámbricos para la Cabeza, Recargables y Multifuncionales - Conectan a Varios Dispositivos, soportan Radio FM, Tarjeta TF y AUX - 4 Horas de Reproducción Musical - Ideal para Trabajo Cotidiano, Juegos y Estudio</t>
        </is>
      </c>
      <c r="H2745" s="16" t="inlineStr">
        <is>
          <t>BLANCO</t>
        </is>
      </c>
      <c r="I2745" s="16" t="n">
        <v>1</v>
      </c>
      <c r="J2745" s="17" t="n">
        <v>36.8</v>
      </c>
      <c r="K2745" s="17" t="n">
        <v>49.91</v>
      </c>
      <c r="L2745" s="17" t="n">
        <v>25.86</v>
      </c>
      <c r="M2745" s="17" t="n">
        <v>0</v>
      </c>
      <c r="N2745" s="17">
        <f>K2745*0.08+L2745*0.08</f>
        <v/>
      </c>
      <c r="O2745" s="17">
        <f>-(K2745*0.025+L2745*0.025)</f>
        <v/>
      </c>
      <c r="P2745" s="17">
        <f>32</f>
        <v/>
      </c>
      <c r="Q2745" s="17">
        <f>J2745+L2745+N2745+O2745-P2745-M2745</f>
        <v/>
      </c>
    </row>
    <row r="2746">
      <c r="A2746" s="16" t="inlineStr">
        <is>
          <t>5.22-5.28</t>
        </is>
      </c>
      <c r="B2746" s="16" t="inlineStr">
        <is>
          <t>PO-128-06385711355512355</t>
        </is>
      </c>
      <c r="C2746" s="16" t="inlineStr">
        <is>
          <t>Delivered</t>
        </is>
      </c>
      <c r="D2746" s="16" t="inlineStr">
        <is>
          <t>128-06385669412472355</t>
        </is>
      </c>
      <c r="E2746" s="16" t="inlineStr">
        <is>
          <t>Delivered</t>
        </is>
      </c>
      <c r="F2746" s="16" t="inlineStr">
        <is>
          <t>KTS-1678V</t>
        </is>
      </c>
      <c r="G2746" s="16" t="inlineStr">
        <is>
          <t>Bocina portátil Inalámbrico, de 3 pulgadas, tamaño de bolsillo, 170 g, con asa, compatible con TF, USB y Micro SD, con radio FM y función TWS (True Wireless Stereo), adecuada para relajarse en casa o viajar al aire libre.</t>
        </is>
      </c>
      <c r="H2746" s="16" t="inlineStr">
        <is>
          <t>KTS-1678V</t>
        </is>
      </c>
      <c r="I2746" s="16" t="n">
        <v>1</v>
      </c>
      <c r="J2746" s="17" t="n">
        <v>40</v>
      </c>
      <c r="K2746" s="17" t="n">
        <v>48.28</v>
      </c>
      <c r="L2746" s="17" t="n">
        <v>25.86</v>
      </c>
      <c r="M2746" s="17" t="n">
        <v>0</v>
      </c>
      <c r="N2746" s="17">
        <f>K2746*0.08+L2746*0.08</f>
        <v/>
      </c>
      <c r="O2746" s="17">
        <f>-(K2746*0.025+L2746*0.025)</f>
        <v/>
      </c>
      <c r="P2746" s="17">
        <f>32</f>
        <v/>
      </c>
      <c r="Q2746" s="17">
        <f>J2746+L2746+N2746+O2746-P2746-M2746</f>
        <v/>
      </c>
    </row>
    <row r="2747">
      <c r="A2747" s="16" t="inlineStr">
        <is>
          <t>5.22-5.28</t>
        </is>
      </c>
      <c r="B2747" s="16" t="inlineStr">
        <is>
          <t>PO-128-06765040650870028</t>
        </is>
      </c>
      <c r="C2747" s="16" t="inlineStr">
        <is>
          <t>Delivered</t>
        </is>
      </c>
      <c r="D2747" s="16" t="inlineStr">
        <is>
          <t>128-06765066865270028</t>
        </is>
      </c>
      <c r="E2747" s="16" t="inlineStr">
        <is>
          <t>Delivered</t>
        </is>
      </c>
      <c r="F2747" s="16" t="inlineStr">
        <is>
          <t>MB-183R</t>
        </is>
      </c>
      <c r="G2747" s="16" t="inlineStr">
        <is>
          <t>Linkbits Altavoz Bluetooth Portátil con Stereo Inalámbrico TWS Impermeable y a Prueba de Polvo IP65 Altavoz de Graves de Rango Completo de 52mm con Doble Unidad Ligero de 215g para Camping Senderismo y Fiestas al Aire Libre</t>
        </is>
      </c>
      <c r="H2747" s="16" t="inlineStr">
        <is>
          <t>ROJO/MB-183</t>
        </is>
      </c>
      <c r="I2747" s="16" t="n">
        <v>1</v>
      </c>
      <c r="J2747" s="17" t="n">
        <v>70</v>
      </c>
      <c r="K2747" s="17" t="n">
        <v>87.38</v>
      </c>
      <c r="L2747" s="17" t="n">
        <v>25.86</v>
      </c>
      <c r="M2747" s="17" t="n">
        <v>0</v>
      </c>
      <c r="N2747" s="17">
        <f>K2747*0.08+L2747*0.08</f>
        <v/>
      </c>
      <c r="O2747" s="17">
        <f>-(K2747*0.025+L2747*0.025)</f>
        <v/>
      </c>
      <c r="P2747" s="17">
        <f>32</f>
        <v/>
      </c>
      <c r="Q2747" s="17">
        <f>J2747+L2747+N2747+O2747-P2747-M2747</f>
        <v/>
      </c>
    </row>
    <row r="2748">
      <c r="A2748" s="16" t="inlineStr">
        <is>
          <t>5.22-5.28</t>
        </is>
      </c>
      <c r="B2748" s="16" t="inlineStr">
        <is>
          <t>PO-128-06819992254070852</t>
        </is>
      </c>
      <c r="C2748" s="16" t="inlineStr">
        <is>
          <t>Delivered</t>
        </is>
      </c>
      <c r="D2748" s="16" t="inlineStr">
        <is>
          <t>128-06820002739830852</t>
        </is>
      </c>
      <c r="E2748" s="16" t="inlineStr">
        <is>
          <t>Delivered</t>
        </is>
      </c>
      <c r="F2748" s="16" t="inlineStr">
        <is>
          <t>SA8056T</t>
        </is>
      </c>
      <c r="G274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48" s="16" t="inlineStr">
        <is>
          <t>SA8056T</t>
        </is>
      </c>
      <c r="I2748" s="16" t="n">
        <v>1</v>
      </c>
      <c r="J2748" s="17" t="n">
        <v>121</v>
      </c>
      <c r="K2748" s="17" t="n">
        <v>141.38</v>
      </c>
      <c r="L2748" s="17" t="n">
        <v>25.86</v>
      </c>
      <c r="M2748" s="17" t="n">
        <v>0</v>
      </c>
      <c r="N2748" s="17">
        <f>K2748*0.08+L2748*0.08</f>
        <v/>
      </c>
      <c r="O2748" s="17">
        <f>-(K2748*0.025+L2748*0.025)</f>
        <v/>
      </c>
      <c r="P2748" s="17">
        <f>32</f>
        <v/>
      </c>
      <c r="Q2748" s="17">
        <f>J2748+L2748+N2748+O2748-P2748-M2748</f>
        <v/>
      </c>
    </row>
    <row r="2749">
      <c r="A2749" s="16" t="inlineStr">
        <is>
          <t>5.22-5.28</t>
        </is>
      </c>
      <c r="B2749" s="16" t="inlineStr">
        <is>
          <t>PO-128-06755568036470212</t>
        </is>
      </c>
      <c r="C2749" s="16" t="inlineStr">
        <is>
          <t>Delivered</t>
        </is>
      </c>
      <c r="D2749" s="16" t="inlineStr">
        <is>
          <t>128-06755536579190212</t>
        </is>
      </c>
      <c r="E2749" s="16" t="inlineStr">
        <is>
          <t>Delivered</t>
        </is>
      </c>
      <c r="F2749" s="16" t="inlineStr">
        <is>
          <t>FA028</t>
        </is>
      </c>
      <c r="G2749" s="16" t="inlineStr">
        <is>
          <t>Extractor de agua para garrafas de agua, compatible con carga USB, extractor de agua automático, práctico, con dos modos de toma de agua: manual y programado, ideal para dormitorios, salones, oficinas, uso al aire libre y otros escenarios.</t>
        </is>
      </c>
      <c r="H2749" s="16" t="inlineStr">
        <is>
          <t>FA028</t>
        </is>
      </c>
      <c r="I2749" s="16" t="n">
        <v>1</v>
      </c>
      <c r="J2749" s="17" t="n">
        <v>27</v>
      </c>
      <c r="K2749" s="17" t="n">
        <v>36.58</v>
      </c>
      <c r="L2749" s="17" t="n">
        <v>25.86</v>
      </c>
      <c r="M2749" s="17" t="n">
        <v>0</v>
      </c>
      <c r="N2749" s="17">
        <f>K2749*0.08+L2749*0.08</f>
        <v/>
      </c>
      <c r="O2749" s="17">
        <f>-(K2749*0.025+L2749*0.025)</f>
        <v/>
      </c>
      <c r="P2749" s="17">
        <f>32</f>
        <v/>
      </c>
      <c r="Q2749" s="17">
        <f>J2749+L2749+N2749+O2749-P2749-M2749</f>
        <v/>
      </c>
    </row>
    <row r="2750">
      <c r="A2750" s="16" t="inlineStr">
        <is>
          <t>5.22-5.28</t>
        </is>
      </c>
      <c r="B2750" s="16" t="inlineStr">
        <is>
          <t>PO-128-06792311839350955</t>
        </is>
      </c>
      <c r="C2750" s="16" t="inlineStr">
        <is>
          <t>Delivered</t>
        </is>
      </c>
      <c r="D2750" s="16" t="inlineStr">
        <is>
          <t>128-06792353782390955</t>
        </is>
      </c>
      <c r="E2750" s="16" t="inlineStr">
        <is>
          <t>Delivered</t>
        </is>
      </c>
      <c r="F2750" s="16" t="inlineStr">
        <is>
          <t>SA8058T</t>
        </is>
      </c>
      <c r="G2750"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2750" s="16" t="inlineStr">
        <is>
          <t>SA8058T</t>
        </is>
      </c>
      <c r="I2750" s="16" t="n">
        <v>2</v>
      </c>
      <c r="J2750" s="17" t="n">
        <v>400</v>
      </c>
      <c r="K2750" s="17" t="n">
        <v>445.32</v>
      </c>
      <c r="L2750" s="17" t="n">
        <v>0</v>
      </c>
      <c r="M2750" s="17" t="n">
        <v>0</v>
      </c>
      <c r="N2750" s="17">
        <f>K2750*0.08+L2750*0.08</f>
        <v/>
      </c>
      <c r="O2750" s="17">
        <f>-(K2750*0.025+L2750*0.025)</f>
        <v/>
      </c>
      <c r="P2750" s="17">
        <f>32</f>
        <v/>
      </c>
      <c r="Q2750" s="17">
        <f>J2750+L2750+N2750+O2750-P2750-M2750</f>
        <v/>
      </c>
    </row>
    <row r="2751">
      <c r="A2751" s="16" t="inlineStr">
        <is>
          <t>5.22-5.28</t>
        </is>
      </c>
      <c r="B2751" s="16" t="inlineStr">
        <is>
          <t>PO-128-06778833864310074</t>
        </is>
      </c>
      <c r="C2751" s="16" t="inlineStr">
        <is>
          <t>Delivered</t>
        </is>
      </c>
      <c r="D2751" s="16" t="inlineStr">
        <is>
          <t>128-06778791921270074</t>
        </is>
      </c>
      <c r="E2751" s="16" t="inlineStr">
        <is>
          <t>Delivered</t>
        </is>
      </c>
      <c r="F2751" s="16" t="inlineStr">
        <is>
          <t>FA028</t>
        </is>
      </c>
      <c r="G2751" s="16" t="inlineStr">
        <is>
          <t>Extractor de agua para garrafas de agua, compatible con carga USB, extractor de agua automático, práctico, con dos modos de toma de agua: manual y programado, ideal para dormitorios, salones, oficinas, uso al aire libre y otros escenarios.</t>
        </is>
      </c>
      <c r="H2751" s="16" t="inlineStr">
        <is>
          <t>FA028</t>
        </is>
      </c>
      <c r="I2751" s="16" t="n">
        <v>1</v>
      </c>
      <c r="J2751" s="17" t="n">
        <v>27</v>
      </c>
      <c r="K2751" s="17" t="n">
        <v>36.58</v>
      </c>
      <c r="L2751" s="17" t="n">
        <v>25.86</v>
      </c>
      <c r="M2751" s="17" t="n">
        <v>0</v>
      </c>
      <c r="N2751" s="17">
        <f>K2751*0.08+L2751*0.08</f>
        <v/>
      </c>
      <c r="O2751" s="17">
        <f>-(K2751*0.025+L2751*0.025)</f>
        <v/>
      </c>
      <c r="P2751" s="17">
        <f>32</f>
        <v/>
      </c>
      <c r="Q2751" s="17">
        <f>J2751+L2751+N2751+O2751-P2751-M2751</f>
        <v/>
      </c>
    </row>
    <row r="2752">
      <c r="A2752" s="16" t="inlineStr">
        <is>
          <t>5.22-5.28</t>
        </is>
      </c>
      <c r="B2752" s="16" t="inlineStr">
        <is>
          <t>PO-128-06787571205750919</t>
        </is>
      </c>
      <c r="C2752" s="16" t="inlineStr">
        <is>
          <t>Delivered</t>
        </is>
      </c>
      <c r="D2752" s="16" t="inlineStr">
        <is>
          <t>128-06787602663030919</t>
        </is>
      </c>
      <c r="E2752" s="16" t="inlineStr">
        <is>
          <t>Delivered</t>
        </is>
      </c>
      <c r="F2752" s="16" t="inlineStr">
        <is>
          <t>LB02235-azul</t>
        </is>
      </c>
      <c r="G2752" s="16" t="inlineStr">
        <is>
          <t>Audífonos Inalámbricos para la Cabeza, Recargables y Multifuncionales - Conectan a Varios Dispositivos, soportan Radio FM, Tarjeta TF y AUX - 4 Horas de Reproducción Musical - Ideal para Trabajo Cotidiano, Juegos y Estudio</t>
        </is>
      </c>
      <c r="H2752" s="16" t="inlineStr">
        <is>
          <t>AZUL</t>
        </is>
      </c>
      <c r="I2752" s="16" t="n">
        <v>1</v>
      </c>
      <c r="J2752" s="17" t="n">
        <v>36.8</v>
      </c>
      <c r="K2752" s="17" t="n">
        <v>42.42</v>
      </c>
      <c r="L2752" s="17" t="n">
        <v>25.86</v>
      </c>
      <c r="M2752" s="17" t="n">
        <v>0</v>
      </c>
      <c r="N2752" s="17">
        <f>K2752*0.08+L2752*0.08</f>
        <v/>
      </c>
      <c r="O2752" s="17">
        <f>-(K2752*0.025+L2752*0.025)</f>
        <v/>
      </c>
      <c r="P2752" s="17">
        <f>32</f>
        <v/>
      </c>
      <c r="Q2752" s="17">
        <f>J2752+L2752+N2752+O2752-P2752-M2752</f>
        <v/>
      </c>
    </row>
    <row r="2753">
      <c r="A2753" s="16" t="inlineStr">
        <is>
          <t>5.22-5.28</t>
        </is>
      </c>
      <c r="B2753" s="16" t="inlineStr">
        <is>
          <t>PO-128-06278783283834014</t>
        </is>
      </c>
      <c r="C2753" s="16" t="inlineStr">
        <is>
          <t>Delivered</t>
        </is>
      </c>
      <c r="D2753" s="16" t="inlineStr">
        <is>
          <t>128-06278728233594014</t>
        </is>
      </c>
      <c r="E2753" s="16" t="inlineStr">
        <is>
          <t>Delivered</t>
        </is>
      </c>
      <c r="F2753" s="16" t="inlineStr">
        <is>
          <t>KTS-1678V</t>
        </is>
      </c>
      <c r="G2753" s="16" t="inlineStr">
        <is>
          <t>Bocina portátil Inalámbrico, de 3 pulgadas, tamaño de bolsillo, 170 g, con asa, compatible con TF, USB y Micro SD, con radio FM y función TWS (True Wireless Stereo), adecuada para relajarse en casa o viajar al aire libre.</t>
        </is>
      </c>
      <c r="H2753" s="16" t="inlineStr">
        <is>
          <t>KTS-1678V</t>
        </is>
      </c>
      <c r="I2753" s="16" t="n">
        <v>1</v>
      </c>
      <c r="J2753" s="17" t="n">
        <v>40</v>
      </c>
      <c r="K2753" s="17" t="n">
        <v>48.28</v>
      </c>
      <c r="L2753" s="17" t="n">
        <v>25.86</v>
      </c>
      <c r="M2753" s="17" t="n">
        <v>0</v>
      </c>
      <c r="N2753" s="17">
        <f>K2753*0.08+L2753*0.08</f>
        <v/>
      </c>
      <c r="O2753" s="17">
        <f>-(K2753*0.025+L2753*0.025)</f>
        <v/>
      </c>
      <c r="P2753" s="17">
        <f>32</f>
        <v/>
      </c>
      <c r="Q2753" s="17">
        <f>J2753+L2753+N2753+O2753-P2753-M2753</f>
        <v/>
      </c>
    </row>
    <row r="2754">
      <c r="A2754" s="16" t="inlineStr">
        <is>
          <t>5.22-5.28</t>
        </is>
      </c>
      <c r="B2754" s="16" t="inlineStr">
        <is>
          <t>PO-128-06534191048311468</t>
        </is>
      </c>
      <c r="C2754" s="16" t="inlineStr">
        <is>
          <t>Delivered</t>
        </is>
      </c>
      <c r="D2754" s="16" t="inlineStr">
        <is>
          <t>128-06534149105271468</t>
        </is>
      </c>
      <c r="E2754" s="16" t="inlineStr">
        <is>
          <t>Delivered</t>
        </is>
      </c>
      <c r="F2754" s="16" t="inlineStr">
        <is>
          <t>SA8056T</t>
        </is>
      </c>
      <c r="G275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54" s="16" t="inlineStr">
        <is>
          <t>SA8056T</t>
        </is>
      </c>
      <c r="I2754" s="16" t="n">
        <v>1</v>
      </c>
      <c r="J2754" s="17" t="n">
        <v>121</v>
      </c>
      <c r="K2754" s="17" t="n">
        <v>141.38</v>
      </c>
      <c r="L2754" s="17" t="n">
        <v>25.86</v>
      </c>
      <c r="M2754" s="17" t="n">
        <v>0</v>
      </c>
      <c r="N2754" s="17">
        <f>K2754*0.08+L2754*0.08</f>
        <v/>
      </c>
      <c r="O2754" s="17">
        <f>-(K2754*0.025+L2754*0.025)</f>
        <v/>
      </c>
      <c r="P2754" s="17">
        <f>32</f>
        <v/>
      </c>
      <c r="Q2754" s="17">
        <f>J2754+L2754+N2754+O2754-P2754-M2754</f>
        <v/>
      </c>
    </row>
    <row r="2755">
      <c r="A2755" s="16" t="inlineStr">
        <is>
          <t>5.22-5.28</t>
        </is>
      </c>
      <c r="B2755" s="16" t="inlineStr">
        <is>
          <t>PO-128-06786992046710923</t>
        </is>
      </c>
      <c r="C2755" s="16" t="inlineStr">
        <is>
          <t>Delivered</t>
        </is>
      </c>
      <c r="D2755" s="16" t="inlineStr">
        <is>
          <t>128-06787013018230923</t>
        </is>
      </c>
      <c r="E2755" s="16" t="inlineStr">
        <is>
          <t>Delivered</t>
        </is>
      </c>
      <c r="F2755" s="16" t="inlineStr">
        <is>
          <t>LV64W25</t>
        </is>
      </c>
      <c r="G2755" s="16" t="inlineStr">
        <is>
          <t>Ventilador de Techo LED TIANLAI con 5 Aspas, Control Remoto, 3 Colores Luz, 3 Velocidades, Temporizador, Fácil Instalación, E27 para Baño Cocina Dormitorio Salón</t>
        </is>
      </c>
      <c r="H2755" s="16" t="inlineStr">
        <is>
          <t>LV64W25</t>
        </is>
      </c>
      <c r="I2755" s="16" t="n">
        <v>1</v>
      </c>
      <c r="J2755" s="17" t="n">
        <v>99</v>
      </c>
      <c r="K2755" s="17" t="n">
        <v>132.2</v>
      </c>
      <c r="L2755" s="17" t="n">
        <v>25.86</v>
      </c>
      <c r="M2755" s="17" t="n">
        <v>0</v>
      </c>
      <c r="N2755" s="17">
        <f>K2755*0.08+L2755*0.08</f>
        <v/>
      </c>
      <c r="O2755" s="17">
        <f>-(K2755*0.025+L2755*0.025)</f>
        <v/>
      </c>
      <c r="P2755" s="17">
        <f>32</f>
        <v/>
      </c>
      <c r="Q2755" s="17">
        <f>J2755+L2755+N2755+O2755-P2755-M2755</f>
        <v/>
      </c>
    </row>
    <row r="2756">
      <c r="A2756" s="16" t="inlineStr">
        <is>
          <t>5.22-5.28</t>
        </is>
      </c>
      <c r="B2756" s="16" t="inlineStr">
        <is>
          <t>PO-128-06291396977274069</t>
        </is>
      </c>
      <c r="C2756" s="16" t="inlineStr">
        <is>
          <t>Delivered</t>
        </is>
      </c>
      <c r="D2756" s="16" t="inlineStr">
        <is>
          <t>128-06291417948794069</t>
        </is>
      </c>
      <c r="E2756" s="16" t="inlineStr">
        <is>
          <t>Delivered</t>
        </is>
      </c>
      <c r="F2756" s="16" t="inlineStr">
        <is>
          <t>LB02235-rojo</t>
        </is>
      </c>
      <c r="G2756" s="16" t="inlineStr">
        <is>
          <t>Audífonos Inalámbricos para la Cabeza, Recargables y Multifuncionales - Conectan a Varios Dispositivos, soportan Radio FM, Tarjeta TF y AUX - 4 Horas de Reproducción Musical - Ideal para Trabajo Cotidiano, Juegos y Estudio</t>
        </is>
      </c>
      <c r="H2756" s="16" t="inlineStr">
        <is>
          <t>ROJO</t>
        </is>
      </c>
      <c r="I2756" s="16" t="n">
        <v>1</v>
      </c>
      <c r="J2756" s="17" t="n">
        <v>36.8</v>
      </c>
      <c r="K2756" s="17" t="n">
        <v>37.44</v>
      </c>
      <c r="L2756" s="17" t="n">
        <v>25.86</v>
      </c>
      <c r="M2756" s="17" t="n">
        <v>0</v>
      </c>
      <c r="N2756" s="17">
        <f>K2756*0.08+L2756*0.08</f>
        <v/>
      </c>
      <c r="O2756" s="17">
        <f>-(K2756*0.025+L2756*0.025)</f>
        <v/>
      </c>
      <c r="P2756" s="17">
        <f>32</f>
        <v/>
      </c>
      <c r="Q2756" s="17">
        <f>J2756+L2756+N2756+O2756-P2756-M2756</f>
        <v/>
      </c>
    </row>
    <row r="2757">
      <c r="A2757" s="16" t="inlineStr">
        <is>
          <t>5.22-5.28</t>
        </is>
      </c>
      <c r="B2757" s="16" t="inlineStr">
        <is>
          <t>PO-128-06621944750711971</t>
        </is>
      </c>
      <c r="C2757" s="16" t="inlineStr">
        <is>
          <t>Delivered</t>
        </is>
      </c>
      <c r="D2757" s="16" t="inlineStr">
        <is>
          <t>128-06621902807671971</t>
        </is>
      </c>
      <c r="E2757" s="16" t="inlineStr">
        <is>
          <t>Delivered</t>
        </is>
      </c>
      <c r="F2757" s="16" t="inlineStr">
        <is>
          <t>MB-185R</t>
        </is>
      </c>
      <c r="G2757" s="16" t="inlineStr">
        <is>
          <t>Bocina Radio FM/Reproductor, Compatible con Tarjeta TF, USB, Bluetooth, Aplicable para celular, computadora, Ipad y consola.</t>
        </is>
      </c>
      <c r="H2757" s="16" t="inlineStr">
        <is>
          <t>ROJO/MB-185</t>
        </is>
      </c>
      <c r="I2757" s="16" t="n">
        <v>1</v>
      </c>
      <c r="J2757" s="17" t="n">
        <v>71.31</v>
      </c>
      <c r="K2757" s="17" t="n">
        <v>84.23999999999999</v>
      </c>
      <c r="L2757" s="17" t="n">
        <v>25.86</v>
      </c>
      <c r="M2757" s="17" t="n">
        <v>0</v>
      </c>
      <c r="N2757" s="17">
        <f>K2757*0.08+L2757*0.08</f>
        <v/>
      </c>
      <c r="O2757" s="17">
        <f>-(K2757*0.025+L2757*0.025)</f>
        <v/>
      </c>
      <c r="P2757" s="17">
        <f>32</f>
        <v/>
      </c>
      <c r="Q2757" s="17">
        <f>J2757+L2757+N2757+O2757-P2757-M2757</f>
        <v/>
      </c>
    </row>
    <row r="2758">
      <c r="A2758" s="16" t="inlineStr">
        <is>
          <t>5.22-5.28</t>
        </is>
      </c>
      <c r="B2758" s="16" t="inlineStr">
        <is>
          <t>PO-128-06614543237751951</t>
        </is>
      </c>
      <c r="C2758" s="16" t="inlineStr">
        <is>
          <t>Delivered</t>
        </is>
      </c>
      <c r="D2758" s="16" t="inlineStr">
        <is>
          <t>128-06614501294711951</t>
        </is>
      </c>
      <c r="E2758" s="16" t="inlineStr">
        <is>
          <t>Delivered</t>
        </is>
      </c>
      <c r="F2758" s="16" t="inlineStr">
        <is>
          <t>VA384T-G</t>
        </is>
      </c>
      <c r="G2758" s="16" t="inlineStr">
        <is>
          <t>Bocina Portátil Bluetooth de 3 Pulgadas con Radio FM, USB TF TWS, Sonido Estéreo 5W, Bocina Recargable para Hogar Exterior Viaje Fiesta Camping</t>
        </is>
      </c>
      <c r="H2758" s="16" t="inlineStr">
        <is>
          <t>GRIS</t>
        </is>
      </c>
      <c r="I2758" s="16" t="n">
        <v>1</v>
      </c>
      <c r="J2758" s="17" t="n">
        <v>46</v>
      </c>
      <c r="K2758" s="17" t="n">
        <v>56.72</v>
      </c>
      <c r="L2758" s="17" t="n">
        <v>25.86</v>
      </c>
      <c r="M2758" s="17" t="n">
        <v>0</v>
      </c>
      <c r="N2758" s="17">
        <f>K2758*0.08+L2758*0.08</f>
        <v/>
      </c>
      <c r="O2758" s="17">
        <f>-(K2758*0.025+L2758*0.025)</f>
        <v/>
      </c>
      <c r="P2758" s="17">
        <f>32</f>
        <v/>
      </c>
      <c r="Q2758" s="17">
        <f>J2758+L2758+N2758+O2758-P2758-M2758</f>
        <v/>
      </c>
    </row>
    <row r="2759">
      <c r="A2759" s="16" t="inlineStr">
        <is>
          <t>5.22-5.28</t>
        </is>
      </c>
      <c r="B2759" s="16" t="inlineStr">
        <is>
          <t>PO-128-12270487775350047</t>
        </is>
      </c>
      <c r="C2759" s="16" t="inlineStr">
        <is>
          <t>Delivered</t>
        </is>
      </c>
      <c r="D2759" s="16" t="inlineStr">
        <is>
          <t>128-12270513989750047</t>
        </is>
      </c>
      <c r="E2759" s="16" t="inlineStr">
        <is>
          <t>Delivered</t>
        </is>
      </c>
      <c r="F2759" s="16" t="inlineStr">
        <is>
          <t>LB02235-negro</t>
        </is>
      </c>
      <c r="G2759" s="16" t="inlineStr">
        <is>
          <t>Audífonos Inalámbricos para la Cabeza, Recargables y Multifuncionales - Conectan a Varios Dispositivos, soportan Radio FM, Tarjeta TF y AUX - 4 Horas de Reproducción Musical - Ideal para Trabajo Cotidiano, Juegos y Estudio</t>
        </is>
      </c>
      <c r="H2759" s="16" t="inlineStr">
        <is>
          <t>NEGRO</t>
        </is>
      </c>
      <c r="I2759" s="16" t="n">
        <v>1</v>
      </c>
      <c r="J2759" s="17" t="n">
        <v>36.8</v>
      </c>
      <c r="K2759" s="17" t="n">
        <v>49.91</v>
      </c>
      <c r="L2759" s="17" t="n">
        <v>25.86</v>
      </c>
      <c r="M2759" s="17" t="n">
        <v>0</v>
      </c>
      <c r="N2759" s="17">
        <f>K2759*0.08+L2759*0.08</f>
        <v/>
      </c>
      <c r="O2759" s="17">
        <f>-(K2759*0.025+L2759*0.025)</f>
        <v/>
      </c>
      <c r="P2759" s="17">
        <f>32</f>
        <v/>
      </c>
      <c r="Q2759" s="17">
        <f>J2759+L2759+N2759+O2759-P2759-M2759</f>
        <v/>
      </c>
    </row>
    <row r="2760">
      <c r="A2760" s="16" t="inlineStr">
        <is>
          <t>5.22-5.28</t>
        </is>
      </c>
      <c r="B2760" s="16" t="inlineStr">
        <is>
          <t>PO-128-11941872504952965</t>
        </is>
      </c>
      <c r="C2760" s="16" t="inlineStr">
        <is>
          <t>Delivered</t>
        </is>
      </c>
      <c r="D2760" s="16" t="inlineStr">
        <is>
          <t>128-11941903962232965</t>
        </is>
      </c>
      <c r="E2760" s="16" t="inlineStr">
        <is>
          <t>Delivered</t>
        </is>
      </c>
      <c r="F2760" s="16" t="inlineStr">
        <is>
          <t>MCM-001R</t>
        </is>
      </c>
      <c r="G2760" s="16" t="inlineStr">
        <is>
          <t>Musicord Altavoz Inalámbrico BT Portátil: ¡Sonido impactante, luces LED multicolores y 4 horas de autonomía! Compatible con TWS, FM, TF y USB – Imprescindible para fiestas y viajes</t>
        </is>
      </c>
      <c r="H2760" s="16" t="inlineStr">
        <is>
          <t>ROJO</t>
        </is>
      </c>
      <c r="I2760" s="16" t="n">
        <v>1</v>
      </c>
      <c r="J2760" s="17" t="n">
        <v>66</v>
      </c>
      <c r="K2760" s="17" t="n">
        <v>73.79000000000001</v>
      </c>
      <c r="L2760" s="17" t="n">
        <v>25.86</v>
      </c>
      <c r="M2760" s="17" t="n">
        <v>0</v>
      </c>
      <c r="N2760" s="17">
        <f>K2760*0.08+L2760*0.08</f>
        <v/>
      </c>
      <c r="O2760" s="17">
        <f>-(K2760*0.025+L2760*0.025)</f>
        <v/>
      </c>
      <c r="P2760" s="17">
        <f>32</f>
        <v/>
      </c>
      <c r="Q2760" s="17">
        <f>J2760+L2760+N2760+O2760-P2760-M2760</f>
        <v/>
      </c>
    </row>
    <row r="2761">
      <c r="A2761" s="16" t="inlineStr">
        <is>
          <t>5.22-5.28</t>
        </is>
      </c>
      <c r="B2761" s="16" t="inlineStr">
        <is>
          <t>PO-128-11746926231673103</t>
        </is>
      </c>
      <c r="C2761" s="16" t="inlineStr">
        <is>
          <t>Delivered</t>
        </is>
      </c>
      <c r="D2761" s="16" t="inlineStr">
        <is>
          <t>128-11746943271033103</t>
        </is>
      </c>
      <c r="E2761" s="16" t="inlineStr">
        <is>
          <t>Delivered</t>
        </is>
      </c>
      <c r="F2761" s="16" t="inlineStr">
        <is>
          <t>KTS-1678A</t>
        </is>
      </c>
      <c r="G2761" s="16" t="inlineStr">
        <is>
          <t>Bocina portátil Inalámbrico, de 3 pulgadas, tamaño de bolsillo, 170 g, con asa, compatible con TF, USB y Micro SD, con radio FM y función TWS (True Wireless Stereo), adecuada para relajarse en casa o viajar al aire libre.</t>
        </is>
      </c>
      <c r="H2761" s="16" t="inlineStr">
        <is>
          <t>KTS-1678A</t>
        </is>
      </c>
      <c r="I2761" s="16" t="n">
        <v>1</v>
      </c>
      <c r="J2761" s="17" t="n">
        <v>40</v>
      </c>
      <c r="K2761" s="17" t="n">
        <v>48.28</v>
      </c>
      <c r="L2761" s="17" t="n">
        <v>25.86</v>
      </c>
      <c r="M2761" s="17" t="n">
        <v>0</v>
      </c>
      <c r="N2761" s="17">
        <f>K2761*0.08+L2761*0.08</f>
        <v/>
      </c>
      <c r="O2761" s="17">
        <f>-(K2761*0.025+L2761*0.025)</f>
        <v/>
      </c>
      <c r="P2761" s="17">
        <f>32</f>
        <v/>
      </c>
      <c r="Q2761" s="17">
        <f>J2761+L2761+N2761+O2761-P2761-M2761</f>
        <v/>
      </c>
    </row>
    <row r="2762">
      <c r="A2762" s="16" t="inlineStr">
        <is>
          <t>5.22-5.28</t>
        </is>
      </c>
      <c r="B2762" s="16" t="inlineStr">
        <is>
          <t>PO-128-11894748521592412</t>
        </is>
      </c>
      <c r="C2762" s="16" t="inlineStr">
        <is>
          <t>Delivered</t>
        </is>
      </c>
      <c r="D2762" s="16" t="inlineStr">
        <is>
          <t>128-11894853379192412</t>
        </is>
      </c>
      <c r="E2762" s="16" t="inlineStr">
        <is>
          <t>Delivered</t>
        </is>
      </c>
      <c r="F2762" s="16" t="inlineStr">
        <is>
          <t>LB02235-negro</t>
        </is>
      </c>
      <c r="G2762" s="16" t="inlineStr">
        <is>
          <t>Audífonos Inalámbricos para la Cabeza, Recargables y Multifuncionales - Conectan a Varios Dispositivos, soportan Radio FM, Tarjeta TF y AUX - 4 Horas de Reproducción Musical - Ideal para Trabajo Cotidiano, Juegos y Estudio</t>
        </is>
      </c>
      <c r="H2762" s="16" t="inlineStr">
        <is>
          <t>NEGRO</t>
        </is>
      </c>
      <c r="I2762" s="16" t="n">
        <v>1</v>
      </c>
      <c r="J2762" s="17" t="n">
        <v>36.8</v>
      </c>
      <c r="K2762" s="17" t="n">
        <v>49.91</v>
      </c>
      <c r="L2762" s="17" t="n">
        <v>25.86</v>
      </c>
      <c r="M2762" s="17" t="n">
        <v>0</v>
      </c>
      <c r="N2762" s="17">
        <f>K2762*0.08+L2762*0.08</f>
        <v/>
      </c>
      <c r="O2762" s="17">
        <f>-(K2762*0.025+L2762*0.025)</f>
        <v/>
      </c>
      <c r="P2762" s="17">
        <f>32</f>
        <v/>
      </c>
      <c r="Q2762" s="17">
        <f>J2762+L2762+N2762+O2762-P2762-M2762</f>
        <v/>
      </c>
    </row>
    <row r="2763">
      <c r="A2763" s="16" t="inlineStr">
        <is>
          <t>5.22-5.28</t>
        </is>
      </c>
      <c r="B2763" s="16" t="inlineStr">
        <is>
          <t>PO-128-12162889065591710</t>
        </is>
      </c>
      <c r="C2763" s="16" t="inlineStr">
        <is>
          <t>Delivered</t>
        </is>
      </c>
      <c r="D2763" s="16" t="inlineStr">
        <is>
          <t>128-12162878579831710</t>
        </is>
      </c>
      <c r="E2763" s="16" t="inlineStr">
        <is>
          <t>Delivered</t>
        </is>
      </c>
      <c r="F2763" s="16" t="inlineStr">
        <is>
          <t>LB02235-negro</t>
        </is>
      </c>
      <c r="G2763" s="16" t="inlineStr">
        <is>
          <t>Audífonos Inalámbricos para la Cabeza, Recargables y Multifuncionales - Conectan a Varios Dispositivos, soportan Radio FM, Tarjeta TF y AUX - 4 Horas de Reproducción Musical - Ideal para Trabajo Cotidiano, Juegos y Estudio</t>
        </is>
      </c>
      <c r="H2763" s="16" t="inlineStr">
        <is>
          <t>NEGRO</t>
        </is>
      </c>
      <c r="I2763" s="16" t="n">
        <v>1</v>
      </c>
      <c r="J2763" s="17" t="n">
        <v>36.8</v>
      </c>
      <c r="K2763" s="17" t="n">
        <v>43.75</v>
      </c>
      <c r="L2763" s="17" t="n">
        <v>25.86</v>
      </c>
      <c r="M2763" s="17" t="n">
        <v>0</v>
      </c>
      <c r="N2763" s="17">
        <f>K2763*0.08+L2763*0.08</f>
        <v/>
      </c>
      <c r="O2763" s="17">
        <f>-(K2763*0.025+L2763*0.025)</f>
        <v/>
      </c>
      <c r="P2763" s="17">
        <f>32</f>
        <v/>
      </c>
      <c r="Q2763" s="17">
        <f>J2763+L2763+N2763+O2763-P2763-M2763</f>
        <v/>
      </c>
    </row>
    <row r="2764">
      <c r="A2764" s="16" t="inlineStr">
        <is>
          <t>5.22-5.28</t>
        </is>
      </c>
      <c r="B2764" s="16" t="inlineStr">
        <is>
          <t>PO-128-12283227891830099</t>
        </is>
      </c>
      <c r="C2764" s="16" t="inlineStr">
        <is>
          <t>Delivered</t>
        </is>
      </c>
      <c r="D2764" s="16" t="inlineStr">
        <is>
          <t>128-12283248863350099</t>
        </is>
      </c>
      <c r="E2764" s="16" t="inlineStr">
        <is>
          <t>Delivered</t>
        </is>
      </c>
      <c r="F2764" s="16" t="inlineStr">
        <is>
          <t>SA8056T</t>
        </is>
      </c>
      <c r="G276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64" s="16" t="inlineStr">
        <is>
          <t>SA8056T</t>
        </is>
      </c>
      <c r="I2764" s="16" t="n">
        <v>1</v>
      </c>
      <c r="J2764" s="17" t="n">
        <v>121</v>
      </c>
      <c r="K2764" s="17" t="n">
        <v>141.38</v>
      </c>
      <c r="L2764" s="17" t="n">
        <v>25.86</v>
      </c>
      <c r="M2764" s="17" t="n">
        <v>0</v>
      </c>
      <c r="N2764" s="17">
        <f>K2764*0.08+L2764*0.08</f>
        <v/>
      </c>
      <c r="O2764" s="17">
        <f>-(K2764*0.025+L2764*0.025)</f>
        <v/>
      </c>
      <c r="P2764" s="17">
        <f>32</f>
        <v/>
      </c>
      <c r="Q2764" s="17">
        <f>J2764+L2764+N2764+O2764-P2764-M2764</f>
        <v/>
      </c>
    </row>
    <row r="2765">
      <c r="A2765" s="16" t="inlineStr">
        <is>
          <t>5.22-5.28</t>
        </is>
      </c>
      <c r="B2765" s="16" t="inlineStr">
        <is>
          <t>PO-128-11864497103992467</t>
        </is>
      </c>
      <c r="C2765" s="16" t="inlineStr">
        <is>
          <t>Delivered</t>
        </is>
      </c>
      <c r="D2765" s="16" t="inlineStr">
        <is>
          <t>128-11864455160952467</t>
        </is>
      </c>
      <c r="E2765" s="16" t="inlineStr">
        <is>
          <t>Delivered</t>
        </is>
      </c>
      <c r="F2765" s="16" t="inlineStr">
        <is>
          <t>MCM-001N</t>
        </is>
      </c>
      <c r="G2765" s="16" t="inlineStr">
        <is>
          <t>Musicord Altavoz Inalámbrico BT Portátil: ¡Sonido impactante, luces LED multicolores y 4 horas de autonomía! Compatible con TWS, FM, TF y USB – Imprescindible para fiestas y viajes</t>
        </is>
      </c>
      <c r="H2765" s="16" t="inlineStr">
        <is>
          <t>NEGRO</t>
        </is>
      </c>
      <c r="I2765" s="16" t="n">
        <v>1</v>
      </c>
      <c r="J2765" s="17" t="n">
        <v>60.5</v>
      </c>
      <c r="K2765" s="17" t="n">
        <v>25.19</v>
      </c>
      <c r="L2765" s="17" t="n">
        <v>25.86</v>
      </c>
      <c r="M2765" s="17" t="n">
        <v>0</v>
      </c>
      <c r="N2765" s="17">
        <f>K2765*0.08+L2765*0.08</f>
        <v/>
      </c>
      <c r="O2765" s="17">
        <f>-(K2765*0.025+L2765*0.025)</f>
        <v/>
      </c>
      <c r="P2765" s="17">
        <f>32</f>
        <v/>
      </c>
      <c r="Q2765" s="17">
        <f>J2765+L2765+N2765+O2765-P2765-M2765</f>
        <v/>
      </c>
    </row>
    <row r="2766">
      <c r="A2766" s="16" t="inlineStr">
        <is>
          <t>5.22-5.28</t>
        </is>
      </c>
      <c r="B2766" s="16" t="inlineStr">
        <is>
          <t>PO-128-11729850811513205</t>
        </is>
      </c>
      <c r="C2766" s="16" t="inlineStr">
        <is>
          <t>Delivered</t>
        </is>
      </c>
      <c r="D2766" s="16" t="inlineStr">
        <is>
          <t>128-11729861297273205</t>
        </is>
      </c>
      <c r="E2766" s="16" t="inlineStr">
        <is>
          <t>Delivered</t>
        </is>
      </c>
      <c r="F2766" s="16" t="inlineStr">
        <is>
          <t>S09W18IB</t>
        </is>
      </c>
      <c r="G276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766" s="16" t="inlineStr">
        <is>
          <t>1 pieza</t>
        </is>
      </c>
      <c r="I2766" s="16" t="n">
        <v>3</v>
      </c>
      <c r="J2766" s="17" t="n">
        <v>96</v>
      </c>
      <c r="K2766" s="17" t="n">
        <v>127.92</v>
      </c>
      <c r="L2766" s="17" t="n">
        <v>25.86</v>
      </c>
      <c r="M2766" s="17" t="n">
        <v>0</v>
      </c>
      <c r="N2766" s="17">
        <f>K2766*0.08+L2766*0.08</f>
        <v/>
      </c>
      <c r="O2766" s="17">
        <f>-(K2766*0.025+L2766*0.025)</f>
        <v/>
      </c>
      <c r="P2766" s="17">
        <f>32</f>
        <v/>
      </c>
      <c r="Q2766" s="17">
        <f>J2766+L2766+N2766+O2766-P2766-M2766</f>
        <v/>
      </c>
    </row>
    <row r="2767">
      <c r="A2767" s="16" t="inlineStr">
        <is>
          <t>5.22-5.28</t>
        </is>
      </c>
      <c r="B2767" s="16" t="inlineStr">
        <is>
          <t>PO-128-11911146217592253</t>
        </is>
      </c>
      <c r="C2767" s="16" t="inlineStr">
        <is>
          <t>Delivered</t>
        </is>
      </c>
      <c r="D2767" s="16" t="inlineStr">
        <is>
          <t>128-11911104274552253</t>
        </is>
      </c>
      <c r="E2767" s="16" t="inlineStr">
        <is>
          <t>Delivered</t>
        </is>
      </c>
      <c r="F2767" s="16" t="inlineStr">
        <is>
          <t>LB02235-negro</t>
        </is>
      </c>
      <c r="G2767" s="16" t="inlineStr">
        <is>
          <t>Audífonos Inalámbricos para la Cabeza, Recargables y Multifuncionales - Conectan a Varios Dispositivos, soportan Radio FM, Tarjeta TF y AUX - 4 Horas de Reproducción Musical - Ideal para Trabajo Cotidiano, Juegos y Estudio</t>
        </is>
      </c>
      <c r="H2767" s="16" t="inlineStr">
        <is>
          <t>NEGRO</t>
        </is>
      </c>
      <c r="I2767" s="16" t="n">
        <v>1</v>
      </c>
      <c r="J2767" s="17" t="n">
        <v>36.8</v>
      </c>
      <c r="K2767" s="17" t="n">
        <v>6.81</v>
      </c>
      <c r="L2767" s="17" t="n">
        <v>25.86</v>
      </c>
      <c r="M2767" s="17" t="n">
        <v>0</v>
      </c>
      <c r="N2767" s="17">
        <f>K2767*0.08+L2767*0.08</f>
        <v/>
      </c>
      <c r="O2767" s="17">
        <f>-(K2767*0.025+L2767*0.025)</f>
        <v/>
      </c>
      <c r="P2767" s="17">
        <f>32</f>
        <v/>
      </c>
      <c r="Q2767" s="17">
        <f>J2767+L2767+N2767+O2767-P2767-M2767</f>
        <v/>
      </c>
    </row>
    <row r="2768">
      <c r="A2768" s="16" t="inlineStr">
        <is>
          <t>5.22-5.28</t>
        </is>
      </c>
      <c r="B2768" s="16" t="inlineStr">
        <is>
          <t>PO-128-12166938468471750</t>
        </is>
      </c>
      <c r="C2768" s="16" t="inlineStr">
        <is>
          <t>Delivered</t>
        </is>
      </c>
      <c r="D2768" s="16" t="inlineStr">
        <is>
          <t>128-12166990897271750</t>
        </is>
      </c>
      <c r="E2768" s="16" t="inlineStr">
        <is>
          <t>Delivered</t>
        </is>
      </c>
      <c r="F2768" s="16" t="inlineStr">
        <is>
          <t>LB02235-azul</t>
        </is>
      </c>
      <c r="G2768" s="16" t="inlineStr">
        <is>
          <t>Audífonos Inalámbricos para la Cabeza, Recargables y Multifuncionales - Conectan a Varios Dispositivos, soportan Radio FM, Tarjeta TF y AUX - 4 Horas de Reproducción Musical - Ideal para Trabajo Cotidiano, Juegos y Estudio</t>
        </is>
      </c>
      <c r="H2768" s="16" t="inlineStr">
        <is>
          <t>AZUL</t>
        </is>
      </c>
      <c r="I2768" s="16" t="n">
        <v>1</v>
      </c>
      <c r="J2768" s="17" t="n">
        <v>36.8</v>
      </c>
      <c r="K2768" s="17" t="n">
        <v>49.91</v>
      </c>
      <c r="L2768" s="17" t="n">
        <v>25.86</v>
      </c>
      <c r="M2768" s="17" t="n">
        <v>0</v>
      </c>
      <c r="N2768" s="17">
        <f>K2768*0.08+L2768*0.08</f>
        <v/>
      </c>
      <c r="O2768" s="17">
        <f>-(K2768*0.025+L2768*0.025)</f>
        <v/>
      </c>
      <c r="P2768" s="17">
        <f>32</f>
        <v/>
      </c>
      <c r="Q2768" s="17">
        <f>J2768+L2768+N2768+O2768-P2768-M2768</f>
        <v/>
      </c>
    </row>
    <row r="2769">
      <c r="A2769" s="16" t="inlineStr">
        <is>
          <t>5.22-5.28</t>
        </is>
      </c>
      <c r="B2769" s="16" t="inlineStr">
        <is>
          <t>PO-128-12136529278071805</t>
        </is>
      </c>
      <c r="C2769" s="16" t="inlineStr">
        <is>
          <t>Delivered</t>
        </is>
      </c>
      <c r="D2769" s="16" t="inlineStr">
        <is>
          <t>128-12136534520951805</t>
        </is>
      </c>
      <c r="E2769" s="16" t="inlineStr">
        <is>
          <t>Delivered</t>
        </is>
      </c>
      <c r="F2769" s="16" t="inlineStr">
        <is>
          <t>LB02235-blanco</t>
        </is>
      </c>
      <c r="G2769" s="16" t="inlineStr">
        <is>
          <t>Audífonos Inalámbricos para la Cabeza, Recargables y Multifuncionales - Conectan a Varios Dispositivos, soportan Radio FM, Tarjeta TF y AUX - 4 Horas de Reproducción Musical - Ideal para Trabajo Cotidiano, Juegos y Estudio</t>
        </is>
      </c>
      <c r="H2769" s="16" t="inlineStr">
        <is>
          <t>BLANCO</t>
        </is>
      </c>
      <c r="I2769" s="16" t="n">
        <v>2</v>
      </c>
      <c r="J2769" s="17" t="n">
        <v>73.59999999999999</v>
      </c>
      <c r="K2769" s="17" t="n">
        <v>99.81999999999999</v>
      </c>
      <c r="L2769" s="17" t="n">
        <v>25.86</v>
      </c>
      <c r="M2769" s="17" t="n">
        <v>0</v>
      </c>
      <c r="N2769" s="17">
        <f>K2769*0.08+L2769*0.08</f>
        <v/>
      </c>
      <c r="O2769" s="17">
        <f>-(K2769*0.025+L2769*0.025)</f>
        <v/>
      </c>
      <c r="P2769" s="17">
        <f>32</f>
        <v/>
      </c>
      <c r="Q2769" s="17">
        <f>J2769+L2769+N2769+O2769-P2769-M2769</f>
        <v/>
      </c>
    </row>
    <row r="2770">
      <c r="A2770" s="16" t="inlineStr">
        <is>
          <t>5.22-5.28</t>
        </is>
      </c>
      <c r="B2770" s="16" t="inlineStr">
        <is>
          <t>PO-128-11764249490553190</t>
        </is>
      </c>
      <c r="C2770" s="16" t="inlineStr">
        <is>
          <t>Delivered</t>
        </is>
      </c>
      <c r="D2770" s="16" t="inlineStr">
        <is>
          <t>128-11764228519033190</t>
        </is>
      </c>
      <c r="E2770" s="16" t="inlineStr">
        <is>
          <t>Delivered</t>
        </is>
      </c>
      <c r="F2770" s="16" t="inlineStr">
        <is>
          <t>LB02235-azul</t>
        </is>
      </c>
      <c r="G2770" s="16" t="inlineStr">
        <is>
          <t>Audífonos Inalámbricos para la Cabeza, Recargables y Multifuncionales - Conectan a Varios Dispositivos, soportan Radio FM, Tarjeta TF y AUX - 4 Horas de Reproducción Musical - Ideal para Trabajo Cotidiano, Juegos y Estudio</t>
        </is>
      </c>
      <c r="H2770" s="16" t="inlineStr">
        <is>
          <t>AZUL</t>
        </is>
      </c>
      <c r="I2770" s="16" t="n">
        <v>1</v>
      </c>
      <c r="J2770" s="17" t="n">
        <v>36.8</v>
      </c>
      <c r="K2770" s="17" t="n">
        <v>49.91</v>
      </c>
      <c r="L2770" s="17" t="n">
        <v>25.86</v>
      </c>
      <c r="M2770" s="17" t="n">
        <v>0</v>
      </c>
      <c r="N2770" s="17">
        <f>K2770*0.08+L2770*0.08</f>
        <v/>
      </c>
      <c r="O2770" s="17">
        <f>-(K2770*0.025+L2770*0.025)</f>
        <v/>
      </c>
      <c r="P2770" s="17">
        <f>32</f>
        <v/>
      </c>
      <c r="Q2770" s="17">
        <f>J2770+L2770+N2770+O2770-P2770-M2770</f>
        <v/>
      </c>
    </row>
    <row r="2771">
      <c r="A2771" s="16" t="inlineStr">
        <is>
          <t>5.22-5.28</t>
        </is>
      </c>
      <c r="B2771" s="16" t="inlineStr">
        <is>
          <t>PO-128-11802927342713920</t>
        </is>
      </c>
      <c r="C2771" s="16" t="inlineStr">
        <is>
          <t>Delivered</t>
        </is>
      </c>
      <c r="D2771" s="16" t="inlineStr">
        <is>
          <t>128-11802885399673920</t>
        </is>
      </c>
      <c r="E2771" s="16" t="inlineStr">
        <is>
          <t>Delivered</t>
        </is>
      </c>
      <c r="F2771" s="16" t="inlineStr">
        <is>
          <t>S09W18IB</t>
        </is>
      </c>
      <c r="G277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771" s="16" t="inlineStr">
        <is>
          <t>1 pieza</t>
        </is>
      </c>
      <c r="I2771" s="16" t="n">
        <v>3</v>
      </c>
      <c r="J2771" s="17" t="n">
        <v>96</v>
      </c>
      <c r="K2771" s="17" t="n">
        <v>84.81999999999999</v>
      </c>
      <c r="L2771" s="17" t="n">
        <v>25.86</v>
      </c>
      <c r="M2771" s="17" t="n">
        <v>0</v>
      </c>
      <c r="N2771" s="17">
        <f>K2771*0.08+L2771*0.08</f>
        <v/>
      </c>
      <c r="O2771" s="17">
        <f>-(K2771*0.025+L2771*0.025)</f>
        <v/>
      </c>
      <c r="P2771" s="17">
        <f>32</f>
        <v/>
      </c>
      <c r="Q2771" s="17">
        <f>J2771+L2771+N2771+O2771-P2771-M2771</f>
        <v/>
      </c>
    </row>
    <row r="2772">
      <c r="A2772" s="16" t="inlineStr">
        <is>
          <t>5.22-5.28</t>
        </is>
      </c>
      <c r="B2772" s="16" t="inlineStr">
        <is>
          <t>PO-128-12334539511670689</t>
        </is>
      </c>
      <c r="C2772" s="16" t="inlineStr">
        <is>
          <t>Delivered</t>
        </is>
      </c>
      <c r="D2772" s="16" t="inlineStr">
        <is>
          <t>128-12334570968950689</t>
        </is>
      </c>
      <c r="E2772" s="16" t="inlineStr">
        <is>
          <t>Delivered</t>
        </is>
      </c>
      <c r="F2772" s="16" t="inlineStr">
        <is>
          <t>LB02235-negro</t>
        </is>
      </c>
      <c r="G2772" s="16" t="inlineStr">
        <is>
          <t>Audífonos Inalámbricos para la Cabeza, Recargables y Multifuncionales - Conectan a Varios Dispositivos, soportan Radio FM, Tarjeta TF y AUX - 4 Horas de Reproducción Musical - Ideal para Trabajo Cotidiano, Juegos y Estudio</t>
        </is>
      </c>
      <c r="H2772" s="16" t="inlineStr">
        <is>
          <t>NEGRO</t>
        </is>
      </c>
      <c r="I2772" s="16" t="n">
        <v>1</v>
      </c>
      <c r="J2772" s="17" t="n">
        <v>36.8</v>
      </c>
      <c r="K2772" s="17" t="n">
        <v>44.85</v>
      </c>
      <c r="L2772" s="17" t="n">
        <v>25.86</v>
      </c>
      <c r="M2772" s="17" t="n">
        <v>0</v>
      </c>
      <c r="N2772" s="17">
        <f>K2772*0.08+L2772*0.08</f>
        <v/>
      </c>
      <c r="O2772" s="17">
        <f>-(K2772*0.025+L2772*0.025)</f>
        <v/>
      </c>
      <c r="P2772" s="17">
        <f>32</f>
        <v/>
      </c>
      <c r="Q2772" s="17">
        <f>J2772+L2772+N2772+O2772-P2772-M2772</f>
        <v/>
      </c>
    </row>
    <row r="2773">
      <c r="A2773" s="16" t="inlineStr">
        <is>
          <t>5.22-5.28</t>
        </is>
      </c>
      <c r="B2773" s="16" t="inlineStr">
        <is>
          <t>PO-128-11964093709432833</t>
        </is>
      </c>
      <c r="C2773" s="16" t="inlineStr">
        <is>
          <t>Delivered</t>
        </is>
      </c>
      <c r="D2773" s="16" t="inlineStr">
        <is>
          <t>128-11964161866872833</t>
        </is>
      </c>
      <c r="E2773" s="16" t="inlineStr">
        <is>
          <t>Delivered</t>
        </is>
      </c>
      <c r="F2773" s="16" t="inlineStr">
        <is>
          <t>LB02235-rojo</t>
        </is>
      </c>
      <c r="G2773" s="16" t="inlineStr">
        <is>
          <t>Audífonos Inalámbricos para la Cabeza, Recargables y Multifuncionales - Conectan a Varios Dispositivos, soportan Radio FM, Tarjeta TF y AUX - 4 Horas de Reproducción Musical - Ideal para Trabajo Cotidiano, Juegos y Estudio</t>
        </is>
      </c>
      <c r="H2773" s="16" t="inlineStr">
        <is>
          <t>ROJO</t>
        </is>
      </c>
      <c r="I2773" s="16" t="n">
        <v>2</v>
      </c>
      <c r="J2773" s="17" t="n">
        <v>73.59999999999999</v>
      </c>
      <c r="K2773" s="17" t="n">
        <v>79.87</v>
      </c>
      <c r="L2773" s="17" t="n">
        <v>25.86</v>
      </c>
      <c r="M2773" s="17" t="n">
        <v>0</v>
      </c>
      <c r="N2773" s="17">
        <f>K2773*0.08+L2773*0.08</f>
        <v/>
      </c>
      <c r="O2773" s="17">
        <f>-(K2773*0.025+L2773*0.025)</f>
        <v/>
      </c>
      <c r="P2773" s="17">
        <f>32</f>
        <v/>
      </c>
      <c r="Q2773" s="17">
        <f>J2773+L2773+N2773+O2773-P2773-M2773</f>
        <v/>
      </c>
    </row>
    <row r="2774">
      <c r="A2774" s="16" t="inlineStr">
        <is>
          <t>5.22-5.28</t>
        </is>
      </c>
      <c r="B2774" s="16" t="inlineStr">
        <is>
          <t>PO-128-12167832311671747</t>
        </is>
      </c>
      <c r="C2774" s="16" t="inlineStr">
        <is>
          <t>Delivered</t>
        </is>
      </c>
      <c r="D2774" s="16" t="inlineStr">
        <is>
          <t>128-12167837554551747</t>
        </is>
      </c>
      <c r="E2774" s="16" t="inlineStr">
        <is>
          <t>Delivered</t>
        </is>
      </c>
      <c r="F2774" s="16" t="inlineStr">
        <is>
          <t>KTS-1678V</t>
        </is>
      </c>
      <c r="G2774" s="16" t="inlineStr">
        <is>
          <t>Bocina portátil Inalámbrico, de 3 pulgadas, tamaño de bolsillo, 170 g, con asa, compatible con TF, USB y Micro SD, con radio FM y función TWS (True Wireless Stereo), adecuada para relajarse en casa o viajar al aire libre.</t>
        </is>
      </c>
      <c r="H2774" s="16" t="inlineStr">
        <is>
          <t>KTS-1678V</t>
        </is>
      </c>
      <c r="I2774" s="16" t="n">
        <v>1</v>
      </c>
      <c r="J2774" s="17" t="n">
        <v>40</v>
      </c>
      <c r="K2774" s="17" t="n">
        <v>48.28</v>
      </c>
      <c r="L2774" s="17" t="n">
        <v>12.93</v>
      </c>
      <c r="M2774" s="17" t="n">
        <v>0</v>
      </c>
      <c r="N2774" s="17">
        <f>K2774*0.08+L2774*0.08</f>
        <v/>
      </c>
      <c r="O2774" s="17">
        <f>-(K2774*0.025+L2774*0.025)</f>
        <v/>
      </c>
      <c r="P2774" s="17">
        <f>32</f>
        <v/>
      </c>
      <c r="Q2774" s="17">
        <f>J2774+L2774+N2774+O2774-P2774-M2774</f>
        <v/>
      </c>
    </row>
    <row r="2775">
      <c r="A2775" s="16" t="inlineStr">
        <is>
          <t>5.22-5.28</t>
        </is>
      </c>
      <c r="B2775" s="16" t="inlineStr">
        <is>
          <t>PO-128-12167832311671747</t>
        </is>
      </c>
      <c r="C2775" s="16" t="inlineStr">
        <is>
          <t>Delivered</t>
        </is>
      </c>
      <c r="D2775" s="16" t="inlineStr">
        <is>
          <t>128-12167816583031747</t>
        </is>
      </c>
      <c r="E2775" s="16" t="inlineStr">
        <is>
          <t>Delivered</t>
        </is>
      </c>
      <c r="F2775" s="16" t="inlineStr">
        <is>
          <t>KTS-1678R</t>
        </is>
      </c>
      <c r="G2775" s="16" t="inlineStr">
        <is>
          <t>Bocina portátil Inalámbrico, de 3 pulgadas, tamaño de bolsillo, 170 g, con asa, compatible con TF, USB y Micro SD, con radio FM y función TWS (True Wireless Stereo), adecuada para relajarse en casa o viajar al aire libre.</t>
        </is>
      </c>
      <c r="H2775" s="16" t="inlineStr">
        <is>
          <t>KTS-1678R</t>
        </is>
      </c>
      <c r="I2775" s="16" t="n">
        <v>1</v>
      </c>
      <c r="J2775" s="17" t="n">
        <v>40</v>
      </c>
      <c r="K2775" s="17" t="n">
        <v>48.28</v>
      </c>
      <c r="L2775" s="17" t="n">
        <v>12.93</v>
      </c>
      <c r="M2775" s="17" t="n">
        <v>0</v>
      </c>
      <c r="N2775" s="17">
        <f>K2775*0.08+L2775*0.08</f>
        <v/>
      </c>
      <c r="O2775" s="17">
        <f>-(K2775*0.025+L2775*0.025)</f>
        <v/>
      </c>
      <c r="P2775" s="17">
        <f>32</f>
        <v/>
      </c>
      <c r="Q2775" s="17">
        <f>J2775+L2775+N2775+O2775-P2775-M2775</f>
        <v/>
      </c>
    </row>
    <row r="2776">
      <c r="A2776" s="16" t="inlineStr">
        <is>
          <t>5.22-5.28</t>
        </is>
      </c>
      <c r="B2776" s="16" t="inlineStr">
        <is>
          <t>PO-128-11739627722873275</t>
        </is>
      </c>
      <c r="C2776" s="16" t="inlineStr">
        <is>
          <t>Delivered</t>
        </is>
      </c>
      <c r="D2776" s="16" t="inlineStr">
        <is>
          <t>128-11739648694393275</t>
        </is>
      </c>
      <c r="E2776" s="16" t="inlineStr">
        <is>
          <t>Delivered</t>
        </is>
      </c>
      <c r="F2776" s="16" t="inlineStr">
        <is>
          <t>VB347T</t>
        </is>
      </c>
      <c r="G277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776" s="16" t="inlineStr">
        <is>
          <t>1 pieza</t>
        </is>
      </c>
      <c r="I2776" s="16" t="n">
        <v>1</v>
      </c>
      <c r="J2776" s="17" t="n">
        <v>77.90000000000001</v>
      </c>
      <c r="K2776" s="17" t="n">
        <v>92.5</v>
      </c>
      <c r="L2776" s="17" t="n">
        <v>25.86</v>
      </c>
      <c r="M2776" s="17" t="n">
        <v>0</v>
      </c>
      <c r="N2776" s="17">
        <f>K2776*0.08+L2776*0.08</f>
        <v/>
      </c>
      <c r="O2776" s="17">
        <f>-(K2776*0.025+L2776*0.025)</f>
        <v/>
      </c>
      <c r="P2776" s="17">
        <f>32</f>
        <v/>
      </c>
      <c r="Q2776" s="17">
        <f>J2776+L2776+N2776+O2776-P2776-M2776</f>
        <v/>
      </c>
    </row>
    <row r="2777">
      <c r="A2777" s="16" t="inlineStr">
        <is>
          <t>5.22-5.28</t>
        </is>
      </c>
      <c r="B2777" s="16" t="inlineStr">
        <is>
          <t>PO-128-11909490414712260</t>
        </is>
      </c>
      <c r="C2777" s="16" t="inlineStr">
        <is>
          <t>Delivered</t>
        </is>
      </c>
      <c r="D2777" s="16" t="inlineStr">
        <is>
          <t>128-11909495411832260</t>
        </is>
      </c>
      <c r="E2777" s="16" t="inlineStr">
        <is>
          <t>Delivered</t>
        </is>
      </c>
      <c r="F2777" s="16" t="inlineStr">
        <is>
          <t>LB02235-rojo</t>
        </is>
      </c>
      <c r="G2777" s="16" t="inlineStr">
        <is>
          <t>Audífonos Inalámbricos para la Cabeza, Recargables y Multifuncionales - Conectan a Varios Dispositivos, soportan Radio FM, Tarjeta TF y AUX - 4 Horas de Reproducción Musical - Ideal para Trabajo Cotidiano, Juegos y Estudio</t>
        </is>
      </c>
      <c r="H2777" s="16" t="inlineStr">
        <is>
          <t>ROJO</t>
        </is>
      </c>
      <c r="I2777" s="16" t="n">
        <v>1</v>
      </c>
      <c r="J2777" s="17" t="n">
        <v>36.8</v>
      </c>
      <c r="K2777" s="17" t="n">
        <v>49.91</v>
      </c>
      <c r="L2777" s="17" t="n">
        <v>25.86</v>
      </c>
      <c r="M2777" s="17" t="n">
        <v>0</v>
      </c>
      <c r="N2777" s="17">
        <f>K2777*0.08+L2777*0.08</f>
        <v/>
      </c>
      <c r="O2777" s="17">
        <f>-(K2777*0.025+L2777*0.025)</f>
        <v/>
      </c>
      <c r="P2777" s="17">
        <f>32</f>
        <v/>
      </c>
      <c r="Q2777" s="17">
        <f>J2777+L2777+N2777+O2777-P2777-M2777</f>
        <v/>
      </c>
    </row>
    <row r="2778">
      <c r="A2778" s="16" t="inlineStr">
        <is>
          <t>5.22-5.28</t>
        </is>
      </c>
      <c r="B2778" s="16" t="inlineStr">
        <is>
          <t>PO-128-11979676685432930</t>
        </is>
      </c>
      <c r="C2778" s="16" t="inlineStr">
        <is>
          <t>Delivered</t>
        </is>
      </c>
      <c r="D2778" s="16" t="inlineStr">
        <is>
          <t>128-11979718628472930</t>
        </is>
      </c>
      <c r="E2778" s="16" t="inlineStr">
        <is>
          <t>Delivered</t>
        </is>
      </c>
      <c r="F2778" s="16" t="inlineStr">
        <is>
          <t>MB-185N</t>
        </is>
      </c>
      <c r="G2778" s="16" t="inlineStr">
        <is>
          <t>Bocina Radio FM/Reproductor, Compatible con Tarjeta TF, USB, Bluetooth, Aplicable para celular, computadora, Ipad y consola.</t>
        </is>
      </c>
      <c r="H2778" s="16" t="inlineStr">
        <is>
          <t>NEGRO/MB-185</t>
        </is>
      </c>
      <c r="I2778" s="16" t="n">
        <v>1</v>
      </c>
      <c r="J2778" s="17" t="n">
        <v>71.31</v>
      </c>
      <c r="K2778" s="17" t="n">
        <v>1.48</v>
      </c>
      <c r="L2778" s="17" t="n">
        <v>25.86</v>
      </c>
      <c r="M2778" s="17" t="n">
        <v>0</v>
      </c>
      <c r="N2778" s="17">
        <f>K2778*0.08+L2778*0.08</f>
        <v/>
      </c>
      <c r="O2778" s="17">
        <f>-(K2778*0.025+L2778*0.025)</f>
        <v/>
      </c>
      <c r="P2778" s="17">
        <f>32</f>
        <v/>
      </c>
      <c r="Q2778" s="17">
        <f>J2778+L2778+N2778+O2778-P2778-M2778</f>
        <v/>
      </c>
    </row>
    <row r="2779">
      <c r="A2779" s="16" t="inlineStr">
        <is>
          <t>5.22-5.28</t>
        </is>
      </c>
      <c r="B2779" s="16" t="inlineStr">
        <is>
          <t>PO-128-12314802906230807</t>
        </is>
      </c>
      <c r="C2779" s="16" t="inlineStr">
        <is>
          <t>Delivered</t>
        </is>
      </c>
      <c r="D2779" s="16" t="inlineStr">
        <is>
          <t>128-12314760963190807</t>
        </is>
      </c>
      <c r="E2779" s="16" t="inlineStr">
        <is>
          <t>Delivered</t>
        </is>
      </c>
      <c r="F2779" s="16" t="inlineStr">
        <is>
          <t>LB02235-azul</t>
        </is>
      </c>
      <c r="G2779" s="16" t="inlineStr">
        <is>
          <t>Audífonos Inalámbricos para la Cabeza, Recargables y Multifuncionales - Conectan a Varios Dispositivos, soportan Radio FM, Tarjeta TF y AUX - 4 Horas de Reproducción Musical - Ideal para Trabajo Cotidiano, Juegos y Estudio</t>
        </is>
      </c>
      <c r="H2779" s="16" t="inlineStr">
        <is>
          <t>AZUL</t>
        </is>
      </c>
      <c r="I2779" s="16" t="n">
        <v>1</v>
      </c>
      <c r="J2779" s="17" t="n">
        <v>36.8</v>
      </c>
      <c r="K2779" s="17" t="n">
        <v>49.91</v>
      </c>
      <c r="L2779" s="17" t="n">
        <v>12.93</v>
      </c>
      <c r="M2779" s="17" t="n">
        <v>0</v>
      </c>
      <c r="N2779" s="17">
        <f>K2779*0.08+L2779*0.08</f>
        <v/>
      </c>
      <c r="O2779" s="17">
        <f>-(K2779*0.025+L2779*0.025)</f>
        <v/>
      </c>
      <c r="P2779" s="17">
        <f>32</f>
        <v/>
      </c>
      <c r="Q2779" s="17">
        <f>J2779+L2779+N2779+O2779-P2779-M2779</f>
        <v/>
      </c>
    </row>
    <row r="2780">
      <c r="A2780" s="16" t="inlineStr">
        <is>
          <t>5.22-5.28</t>
        </is>
      </c>
      <c r="B2780" s="16" t="inlineStr">
        <is>
          <t>PO-128-12314802906230807</t>
        </is>
      </c>
      <c r="C2780" s="16" t="inlineStr">
        <is>
          <t>Delivered</t>
        </is>
      </c>
      <c r="D2780" s="16" t="inlineStr">
        <is>
          <t>128-12314719020150807</t>
        </is>
      </c>
      <c r="E2780" s="16" t="inlineStr">
        <is>
          <t>Delivered</t>
        </is>
      </c>
      <c r="F2780" s="16" t="inlineStr">
        <is>
          <t>LB02235-rojo</t>
        </is>
      </c>
      <c r="G2780" s="16" t="inlineStr">
        <is>
          <t>Audífonos Inalámbricos para la Cabeza, Recargables y Multifuncionales - Conectan a Varios Dispositivos, soportan Radio FM, Tarjeta TF y AUX - 4 Horas de Reproducción Musical - Ideal para Trabajo Cotidiano, Juegos y Estudio</t>
        </is>
      </c>
      <c r="H2780" s="16" t="inlineStr">
        <is>
          <t>ROJO</t>
        </is>
      </c>
      <c r="I2780" s="16" t="n">
        <v>1</v>
      </c>
      <c r="J2780" s="17" t="n">
        <v>36.8</v>
      </c>
      <c r="K2780" s="17" t="n">
        <v>49.91</v>
      </c>
      <c r="L2780" s="17" t="n">
        <v>12.93</v>
      </c>
      <c r="M2780" s="17" t="n">
        <v>0</v>
      </c>
      <c r="N2780" s="17">
        <f>K2780*0.08+L2780*0.08</f>
        <v/>
      </c>
      <c r="O2780" s="17">
        <f>-(K2780*0.025+L2780*0.025)</f>
        <v/>
      </c>
      <c r="P2780" s="17">
        <f>32</f>
        <v/>
      </c>
      <c r="Q2780" s="17">
        <f>J2780+L2780+N2780+O2780-P2780-M2780</f>
        <v/>
      </c>
    </row>
    <row r="2781">
      <c r="A2781" s="16" t="inlineStr">
        <is>
          <t>5.22-5.28</t>
        </is>
      </c>
      <c r="B2781" s="16" t="inlineStr">
        <is>
          <t>PO-128-12192039186551600</t>
        </is>
      </c>
      <c r="C2781" s="16" t="inlineStr">
        <is>
          <t>Delivered</t>
        </is>
      </c>
      <c r="D2781" s="16" t="inlineStr">
        <is>
          <t>128-12192144044151600</t>
        </is>
      </c>
      <c r="E2781" s="16" t="inlineStr">
        <is>
          <t>Delivered</t>
        </is>
      </c>
      <c r="F2781" s="16" t="inlineStr">
        <is>
          <t>LB02235-rojo</t>
        </is>
      </c>
      <c r="G2781" s="16" t="inlineStr">
        <is>
          <t>Audífonos Inalámbricos para la Cabeza, Recargables y Multifuncionales - Conectan a Varios Dispositivos, soportan Radio FM, Tarjeta TF y AUX - 4 Horas de Reproducción Musical - Ideal para Trabajo Cotidiano, Juegos y Estudio</t>
        </is>
      </c>
      <c r="H2781" s="16" t="inlineStr">
        <is>
          <t>ROJO</t>
        </is>
      </c>
      <c r="I2781" s="16" t="n">
        <v>1</v>
      </c>
      <c r="J2781" s="17" t="n">
        <v>36.8</v>
      </c>
      <c r="K2781" s="17" t="n">
        <v>49.91</v>
      </c>
      <c r="L2781" s="17" t="n">
        <v>25.86</v>
      </c>
      <c r="M2781" s="17" t="n">
        <v>0</v>
      </c>
      <c r="N2781" s="17">
        <f>K2781*0.08+L2781*0.08</f>
        <v/>
      </c>
      <c r="O2781" s="17">
        <f>-(K2781*0.025+L2781*0.025)</f>
        <v/>
      </c>
      <c r="P2781" s="17">
        <f>32</f>
        <v/>
      </c>
      <c r="Q2781" s="17">
        <f>J2781+L2781+N2781+O2781-P2781-M2781</f>
        <v/>
      </c>
    </row>
    <row r="2782">
      <c r="A2782" s="16" t="inlineStr">
        <is>
          <t>5.22-5.28</t>
        </is>
      </c>
      <c r="B2782" s="16" t="inlineStr">
        <is>
          <t>PO-128-12362404872310587</t>
        </is>
      </c>
      <c r="C2782" s="16" t="inlineStr">
        <is>
          <t>Delivered</t>
        </is>
      </c>
      <c r="D2782" s="16" t="inlineStr">
        <is>
          <t>128-12362425843830587</t>
        </is>
      </c>
      <c r="E2782" s="16" t="inlineStr">
        <is>
          <t>Delivered</t>
        </is>
      </c>
      <c r="F2782" s="16" t="inlineStr">
        <is>
          <t>LB02235-negro</t>
        </is>
      </c>
      <c r="G2782" s="16" t="inlineStr">
        <is>
          <t>Audífonos Inalámbricos para la Cabeza, Recargables y Multifuncionales - Conectan a Varios Dispositivos, soportan Radio FM, Tarjeta TF y AUX - 4 Horas de Reproducción Musical - Ideal para Trabajo Cotidiano, Juegos y Estudio</t>
        </is>
      </c>
      <c r="H2782" s="16" t="inlineStr">
        <is>
          <t>NEGRO</t>
        </is>
      </c>
      <c r="I2782" s="16" t="n">
        <v>1</v>
      </c>
      <c r="J2782" s="17" t="n">
        <v>36.8</v>
      </c>
      <c r="K2782" s="17" t="n">
        <v>39.94</v>
      </c>
      <c r="L2782" s="17" t="n">
        <v>25.86</v>
      </c>
      <c r="M2782" s="17" t="n">
        <v>0</v>
      </c>
      <c r="N2782" s="17">
        <f>K2782*0.08+L2782*0.08</f>
        <v/>
      </c>
      <c r="O2782" s="17">
        <f>-(K2782*0.025+L2782*0.025)</f>
        <v/>
      </c>
      <c r="P2782" s="17">
        <f>32</f>
        <v/>
      </c>
      <c r="Q2782" s="17">
        <f>J2782+L2782+N2782+O2782-P2782-M2782</f>
        <v/>
      </c>
    </row>
    <row r="2783">
      <c r="A2783" s="16" t="inlineStr">
        <is>
          <t>5.22-5.28</t>
        </is>
      </c>
      <c r="B2783" s="16" t="inlineStr">
        <is>
          <t>PO-128-12178419570551555</t>
        </is>
      </c>
      <c r="C2783" s="16" t="inlineStr">
        <is>
          <t>Delivered</t>
        </is>
      </c>
      <c r="D2783" s="16" t="inlineStr">
        <is>
          <t>128-12178571614071555</t>
        </is>
      </c>
      <c r="E2783" s="16" t="inlineStr">
        <is>
          <t>Delivered</t>
        </is>
      </c>
      <c r="F2783" s="16" t="inlineStr">
        <is>
          <t>FA028</t>
        </is>
      </c>
      <c r="G2783" s="16" t="inlineStr">
        <is>
          <t>Extractor de agua para garrafas de agua, compatible con carga USB, extractor de agua automático, práctico, con dos modos de toma de agua: manual y programado, ideal para dormitorios, salones, oficinas, uso al aire libre y otros escenarios.</t>
        </is>
      </c>
      <c r="H2783" s="16" t="inlineStr">
        <is>
          <t>FA028</t>
        </is>
      </c>
      <c r="I2783" s="16" t="n">
        <v>1</v>
      </c>
      <c r="J2783" s="17" t="n">
        <v>27</v>
      </c>
      <c r="K2783" s="17" t="n">
        <v>36.58</v>
      </c>
      <c r="L2783" s="17" t="n">
        <v>25.86</v>
      </c>
      <c r="M2783" s="17" t="n">
        <v>0</v>
      </c>
      <c r="N2783" s="17">
        <f>K2783*0.08+L2783*0.08</f>
        <v/>
      </c>
      <c r="O2783" s="17">
        <f>-(K2783*0.025+L2783*0.025)</f>
        <v/>
      </c>
      <c r="P2783" s="17">
        <f>32</f>
        <v/>
      </c>
      <c r="Q2783" s="17">
        <f>J2783+L2783+N2783+O2783-P2783-M2783</f>
        <v/>
      </c>
    </row>
    <row r="2784">
      <c r="A2784" s="16" t="inlineStr">
        <is>
          <t>5.22-5.28</t>
        </is>
      </c>
      <c r="B2784" s="16" t="inlineStr">
        <is>
          <t>PO-128-12216004744310499</t>
        </is>
      </c>
      <c r="C2784" s="16" t="inlineStr">
        <is>
          <t>Delivered</t>
        </is>
      </c>
      <c r="D2784" s="16" t="inlineStr">
        <is>
          <t>128-12216020472950499</t>
        </is>
      </c>
      <c r="E2784" s="16" t="inlineStr">
        <is>
          <t>Delivered</t>
        </is>
      </c>
      <c r="F2784" s="16" t="inlineStr">
        <is>
          <t>S58W60</t>
        </is>
      </c>
      <c r="G2784"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2784" s="16" t="inlineStr">
        <is>
          <t>1 pieza</t>
        </is>
      </c>
      <c r="I2784" s="16" t="n">
        <v>5</v>
      </c>
      <c r="J2784" s="17" t="n">
        <v>285</v>
      </c>
      <c r="K2784" s="17" t="n">
        <v>372.65</v>
      </c>
      <c r="L2784" s="17" t="n">
        <v>0</v>
      </c>
      <c r="M2784" s="17" t="n">
        <v>0</v>
      </c>
      <c r="N2784" s="17">
        <f>K2784*0.08+L2784*0.08</f>
        <v/>
      </c>
      <c r="O2784" s="17">
        <f>-(K2784*0.025+L2784*0.025)</f>
        <v/>
      </c>
      <c r="P2784" s="17">
        <f>32</f>
        <v/>
      </c>
      <c r="Q2784" s="17">
        <f>J2784+L2784+N2784+O2784-P2784-M2784</f>
        <v/>
      </c>
    </row>
    <row r="2785">
      <c r="A2785" s="16" t="inlineStr">
        <is>
          <t>5.22-5.28</t>
        </is>
      </c>
      <c r="B2785" s="16" t="inlineStr">
        <is>
          <t>PO-128-11936399230072164</t>
        </is>
      </c>
      <c r="C2785" s="16" t="inlineStr">
        <is>
          <t>Delivered</t>
        </is>
      </c>
      <c r="D2785" s="16" t="inlineStr">
        <is>
          <t>128-11936388744312164</t>
        </is>
      </c>
      <c r="E2785" s="16" t="inlineStr">
        <is>
          <t>Delivered</t>
        </is>
      </c>
      <c r="F2785" s="16" t="inlineStr">
        <is>
          <t>SA323T</t>
        </is>
      </c>
      <c r="G2785" s="16" t="inlineStr">
        <is>
          <t>Linkbits Bocina Portátil Parlantes BT Portátiles con Iluminación de Ambiente | 1 Hora de Duración, FM, TWS, TF/Micro SD | Ideal para Hogar, Fiestas y Viajes</t>
        </is>
      </c>
      <c r="H2785" s="16" t="inlineStr">
        <is>
          <t>SA323T</t>
        </is>
      </c>
      <c r="I2785" s="16" t="n">
        <v>1</v>
      </c>
      <c r="J2785" s="17" t="n">
        <v>44</v>
      </c>
      <c r="K2785" s="17" t="n">
        <v>53.06</v>
      </c>
      <c r="L2785" s="17" t="n">
        <v>25.86</v>
      </c>
      <c r="M2785" s="17" t="n">
        <v>0</v>
      </c>
      <c r="N2785" s="17">
        <f>K2785*0.08+L2785*0.08</f>
        <v/>
      </c>
      <c r="O2785" s="17">
        <f>-(K2785*0.025+L2785*0.025)</f>
        <v/>
      </c>
      <c r="P2785" s="17">
        <f>32</f>
        <v/>
      </c>
      <c r="Q2785" s="17">
        <f>J2785+L2785+N2785+O2785-P2785-M2785</f>
        <v/>
      </c>
    </row>
    <row r="2786">
      <c r="A2786" s="16" t="inlineStr">
        <is>
          <t>5.22-5.28</t>
        </is>
      </c>
      <c r="B2786" s="16" t="inlineStr">
        <is>
          <t>PO-128-12071092088951171</t>
        </is>
      </c>
      <c r="C2786" s="16" t="inlineStr">
        <is>
          <t>Delivered</t>
        </is>
      </c>
      <c r="D2786" s="16" t="inlineStr">
        <is>
          <t>128-12071134031991171</t>
        </is>
      </c>
      <c r="E2786" s="16" t="inlineStr">
        <is>
          <t>Delivered</t>
        </is>
      </c>
      <c r="F2786" s="16" t="inlineStr">
        <is>
          <t>SA325T</t>
        </is>
      </c>
      <c r="G2786" s="16" t="inlineStr">
        <is>
          <t>Subwoofer Portátil Inalámbrico con Luces RGB, Sonido de Alta Potencia y Batería Duradera, TWS TF USB, Perfecto para Campamento Fiestas y Entretenimiento en Casa</t>
        </is>
      </c>
      <c r="H2786" s="16" t="inlineStr">
        <is>
          <t>NEGRO</t>
        </is>
      </c>
      <c r="I2786" s="16" t="n">
        <v>2</v>
      </c>
      <c r="J2786" s="17" t="n">
        <v>72</v>
      </c>
      <c r="K2786" s="17" t="n">
        <v>90.08</v>
      </c>
      <c r="L2786" s="17" t="n">
        <v>25.86</v>
      </c>
      <c r="M2786" s="17" t="n">
        <v>0</v>
      </c>
      <c r="N2786" s="17">
        <f>K2786*0.08+L2786*0.08</f>
        <v/>
      </c>
      <c r="O2786" s="17">
        <f>-(K2786*0.025+L2786*0.025)</f>
        <v/>
      </c>
      <c r="P2786" s="17">
        <f>32</f>
        <v/>
      </c>
      <c r="Q2786" s="17">
        <f>J2786+L2786+N2786+O2786-P2786-M2786</f>
        <v/>
      </c>
    </row>
    <row r="2787">
      <c r="A2787" s="16" t="inlineStr">
        <is>
          <t>5.22-5.28</t>
        </is>
      </c>
      <c r="B2787" s="16" t="inlineStr">
        <is>
          <t>PO-128-11770086613113989</t>
        </is>
      </c>
      <c r="C2787" s="16" t="inlineStr">
        <is>
          <t>Delivered</t>
        </is>
      </c>
      <c r="D2787" s="16" t="inlineStr">
        <is>
          <t>128-11770070884473989</t>
        </is>
      </c>
      <c r="E2787" s="16" t="inlineStr">
        <is>
          <t>Delivered</t>
        </is>
      </c>
      <c r="F2787" s="16" t="inlineStr">
        <is>
          <t>MB-185N</t>
        </is>
      </c>
      <c r="G2787" s="16" t="inlineStr">
        <is>
          <t>Bocina Radio FM/Reproductor, Compatible con Tarjeta TF, USB, Bluetooth, Aplicable para celular, computadora, Ipad y consola.</t>
        </is>
      </c>
      <c r="H2787" s="16" t="inlineStr">
        <is>
          <t>NEGRO/MB-185</t>
        </is>
      </c>
      <c r="I2787" s="16" t="n">
        <v>1</v>
      </c>
      <c r="J2787" s="17" t="n">
        <v>71.31</v>
      </c>
      <c r="K2787" s="17" t="n">
        <v>84.23999999999999</v>
      </c>
      <c r="L2787" s="17" t="n">
        <v>25.86</v>
      </c>
      <c r="M2787" s="17" t="n">
        <v>0</v>
      </c>
      <c r="N2787" s="17">
        <f>K2787*0.08+L2787*0.08</f>
        <v/>
      </c>
      <c r="O2787" s="17">
        <f>-(K2787*0.025+L2787*0.025)</f>
        <v/>
      </c>
      <c r="P2787" s="17">
        <f>32</f>
        <v/>
      </c>
      <c r="Q2787" s="17">
        <f>J2787+L2787+N2787+O2787-P2787-M2787</f>
        <v/>
      </c>
    </row>
    <row r="2788">
      <c r="A2788" s="16" t="inlineStr">
        <is>
          <t>5.22-5.28</t>
        </is>
      </c>
      <c r="B2788" s="16" t="inlineStr">
        <is>
          <t>PO-128-12016126830712651</t>
        </is>
      </c>
      <c r="C2788" s="16" t="inlineStr">
        <is>
          <t>Delivered</t>
        </is>
      </c>
      <c r="D2788" s="16" t="inlineStr">
        <is>
          <t>128-12016147802232651</t>
        </is>
      </c>
      <c r="E2788" s="16" t="inlineStr">
        <is>
          <t>Delivered</t>
        </is>
      </c>
      <c r="F2788" s="16" t="inlineStr">
        <is>
          <t>MCM-001G</t>
        </is>
      </c>
      <c r="G2788" s="16" t="inlineStr">
        <is>
          <t>Musicord Altavoz Inalámbrico BT Portátil: ¡Sonido impactante, luces LED multicolores y 4 horas de autonomía! Compatible con TWS, FM, TF y USB – Imprescindible para fiestas y viajes</t>
        </is>
      </c>
      <c r="H2788" s="16" t="inlineStr">
        <is>
          <t>GRIS</t>
        </is>
      </c>
      <c r="I2788" s="16" t="n">
        <v>1</v>
      </c>
      <c r="J2788" s="17" t="n">
        <v>51</v>
      </c>
      <c r="K2788" s="17" t="n">
        <v>7.07</v>
      </c>
      <c r="L2788" s="17" t="n">
        <v>25.86</v>
      </c>
      <c r="M2788" s="17" t="n">
        <v>0</v>
      </c>
      <c r="N2788" s="17">
        <f>K2788*0.08+L2788*0.08</f>
        <v/>
      </c>
      <c r="O2788" s="17">
        <f>-(K2788*0.025+L2788*0.025)</f>
        <v/>
      </c>
      <c r="P2788" s="17">
        <f>32</f>
        <v/>
      </c>
      <c r="Q2788" s="17">
        <f>J2788+L2788+N2788+O2788-P2788-M2788</f>
        <v/>
      </c>
    </row>
    <row r="2789">
      <c r="A2789" s="16" t="inlineStr">
        <is>
          <t>5.22-5.28</t>
        </is>
      </c>
      <c r="B2789" s="16" t="inlineStr">
        <is>
          <t>PO-128-12257709781110251</t>
        </is>
      </c>
      <c r="C2789" s="16" t="inlineStr">
        <is>
          <t>Delivered</t>
        </is>
      </c>
      <c r="D2789" s="16" t="inlineStr">
        <is>
          <t>128-12257730752630251</t>
        </is>
      </c>
      <c r="E2789" s="16" t="inlineStr">
        <is>
          <t>Delivered</t>
        </is>
      </c>
      <c r="F2789" s="16" t="inlineStr">
        <is>
          <t>MB-185N</t>
        </is>
      </c>
      <c r="G2789" s="16" t="inlineStr">
        <is>
          <t>Bocina Radio FM/Reproductor, Compatible con Tarjeta TF, USB, Bluetooth, Aplicable para celular, computadora, Ipad y consola.</t>
        </is>
      </c>
      <c r="H2789" s="16" t="inlineStr">
        <is>
          <t>NEGRO/MB-185</t>
        </is>
      </c>
      <c r="I2789" s="16" t="n">
        <v>1</v>
      </c>
      <c r="J2789" s="17" t="n">
        <v>71.31</v>
      </c>
      <c r="K2789" s="17" t="n">
        <v>84.23999999999999</v>
      </c>
      <c r="L2789" s="17" t="n">
        <v>25.86</v>
      </c>
      <c r="M2789" s="17" t="n">
        <v>0</v>
      </c>
      <c r="N2789" s="17">
        <f>K2789*0.08+L2789*0.08</f>
        <v/>
      </c>
      <c r="O2789" s="17">
        <f>-(K2789*0.025+L2789*0.025)</f>
        <v/>
      </c>
      <c r="P2789" s="17">
        <f>32</f>
        <v/>
      </c>
      <c r="Q2789" s="17">
        <f>J2789+L2789+N2789+O2789-P2789-M2789</f>
        <v/>
      </c>
    </row>
    <row r="2790">
      <c r="A2790" s="16" t="inlineStr">
        <is>
          <t>5.22-5.28</t>
        </is>
      </c>
      <c r="B2790" s="16" t="inlineStr">
        <is>
          <t>PO-128-12138112607351794</t>
        </is>
      </c>
      <c r="C2790" s="16" t="inlineStr">
        <is>
          <t>Delivered</t>
        </is>
      </c>
      <c r="D2790" s="16" t="inlineStr">
        <is>
          <t>128-12138117850231794</t>
        </is>
      </c>
      <c r="E2790" s="16" t="inlineStr">
        <is>
          <t>Delivered</t>
        </is>
      </c>
      <c r="F2790" s="16" t="inlineStr">
        <is>
          <t>MCM-001A</t>
        </is>
      </c>
      <c r="G2790" s="16" t="inlineStr">
        <is>
          <t>Musicord Altavoz Inalámbrico BT Portátil: ¡Sonido impactante, luces LED multicolores y 4 horas de autonomía! Compatible con TWS, FM, TF y USB – Imprescindible para fiestas y viajes</t>
        </is>
      </c>
      <c r="H2790" s="16" t="inlineStr">
        <is>
          <t>AZUL</t>
        </is>
      </c>
      <c r="I2790" s="16" t="n">
        <v>2</v>
      </c>
      <c r="J2790" s="17" t="n">
        <v>102.14</v>
      </c>
      <c r="K2790" s="17" t="n">
        <v>118.94</v>
      </c>
      <c r="L2790" s="17" t="n">
        <v>0</v>
      </c>
      <c r="M2790" s="17" t="n">
        <v>0</v>
      </c>
      <c r="N2790" s="17">
        <f>K2790*0.08+L2790*0.08</f>
        <v/>
      </c>
      <c r="O2790" s="17">
        <f>-(K2790*0.025+L2790*0.025)</f>
        <v/>
      </c>
      <c r="P2790" s="17">
        <f>32</f>
        <v/>
      </c>
      <c r="Q2790" s="17">
        <f>J2790+L2790+N2790+O2790-P2790-M2790</f>
        <v/>
      </c>
    </row>
    <row r="2791">
      <c r="A2791" s="16" t="inlineStr">
        <is>
          <t>5.22-5.28</t>
        </is>
      </c>
      <c r="B2791" s="16" t="inlineStr">
        <is>
          <t>PO-128-12138112607351794</t>
        </is>
      </c>
      <c r="C2791" s="16" t="inlineStr">
        <is>
          <t>Delivered</t>
        </is>
      </c>
      <c r="D2791" s="16" t="inlineStr">
        <is>
          <t>128-12138138821751794</t>
        </is>
      </c>
      <c r="E2791" s="16" t="inlineStr">
        <is>
          <t>Delivered</t>
        </is>
      </c>
      <c r="F2791" s="16" t="inlineStr">
        <is>
          <t>LB02235-azul</t>
        </is>
      </c>
      <c r="G2791" s="16" t="inlineStr">
        <is>
          <t>Audífonos Inalámbricos para la Cabeza, Recargables y Multifuncionales - Conectan a Varios Dispositivos, soportan Radio FM, Tarjeta TF y AUX - 4 Horas de Reproducción Musical - Ideal para Trabajo Cotidiano, Juegos y Estudio</t>
        </is>
      </c>
      <c r="H2791" s="16" t="inlineStr">
        <is>
          <t>AZUL</t>
        </is>
      </c>
      <c r="I2791" s="16" t="n">
        <v>3</v>
      </c>
      <c r="J2791" s="17" t="n">
        <v>110.4</v>
      </c>
      <c r="K2791" s="17" t="n">
        <v>149.73</v>
      </c>
      <c r="L2791" s="17" t="n">
        <v>0</v>
      </c>
      <c r="M2791" s="17" t="n">
        <v>0</v>
      </c>
      <c r="N2791" s="17">
        <f>K2791*0.08+L2791*0.08</f>
        <v/>
      </c>
      <c r="O2791" s="17">
        <f>-(K2791*0.025+L2791*0.025)</f>
        <v/>
      </c>
      <c r="P2791" s="17">
        <f>32</f>
        <v/>
      </c>
      <c r="Q2791" s="17">
        <f>J2791+L2791+N2791+O2791-P2791-M2791</f>
        <v/>
      </c>
    </row>
    <row r="2792">
      <c r="A2792" s="16" t="inlineStr">
        <is>
          <t>5.22-5.28</t>
        </is>
      </c>
      <c r="B2792" s="16" t="inlineStr">
        <is>
          <t>PO-128-12165602337911758</t>
        </is>
      </c>
      <c r="C2792" s="16" t="inlineStr">
        <is>
          <t>Delivered</t>
        </is>
      </c>
      <c r="D2792" s="16" t="inlineStr">
        <is>
          <t>128-12165522383991758</t>
        </is>
      </c>
      <c r="E2792" s="16" t="inlineStr">
        <is>
          <t>Delivered</t>
        </is>
      </c>
      <c r="F2792" s="16" t="inlineStr">
        <is>
          <t>MCM-001G</t>
        </is>
      </c>
      <c r="G2792" s="16" t="inlineStr">
        <is>
          <t>Musicord Altavoz Inalámbrico BT Portátil: ¡Sonido impactante, luces LED multicolores y 4 horas de autonomía! Compatible con TWS, FM, TF y USB – Imprescindible para fiestas y viajes</t>
        </is>
      </c>
      <c r="H2792" s="16" t="inlineStr">
        <is>
          <t>GRIS</t>
        </is>
      </c>
      <c r="I2792" s="16" t="n">
        <v>2</v>
      </c>
      <c r="J2792" s="17" t="n">
        <v>102</v>
      </c>
      <c r="K2792" s="17" t="n">
        <v>117.58</v>
      </c>
      <c r="L2792" s="17" t="n">
        <v>25.86</v>
      </c>
      <c r="M2792" s="17" t="n">
        <v>0</v>
      </c>
      <c r="N2792" s="17">
        <f>K2792*0.08+L2792*0.08</f>
        <v/>
      </c>
      <c r="O2792" s="17">
        <f>-(K2792*0.025+L2792*0.025)</f>
        <v/>
      </c>
      <c r="P2792" s="17">
        <f>32</f>
        <v/>
      </c>
      <c r="Q2792" s="17">
        <f>J2792+L2792+N2792+O2792-P2792-M2792</f>
        <v/>
      </c>
    </row>
    <row r="2793">
      <c r="A2793" s="16" t="inlineStr">
        <is>
          <t>5.22-5.28</t>
        </is>
      </c>
      <c r="B2793" s="16" t="inlineStr">
        <is>
          <t>PO-128-12234927921270323</t>
        </is>
      </c>
      <c r="C2793" s="16" t="inlineStr">
        <is>
          <t>Delivered</t>
        </is>
      </c>
      <c r="D2793" s="16" t="inlineStr">
        <is>
          <t>128-12234943649910323</t>
        </is>
      </c>
      <c r="E2793" s="16" t="inlineStr">
        <is>
          <t>Delivered</t>
        </is>
      </c>
      <c r="F2793" s="16" t="inlineStr">
        <is>
          <t>SA8056T</t>
        </is>
      </c>
      <c r="G279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793" s="16" t="inlineStr">
        <is>
          <t>SA8056T</t>
        </is>
      </c>
      <c r="I2793" s="16" t="n">
        <v>1</v>
      </c>
      <c r="J2793" s="17" t="n">
        <v>121</v>
      </c>
      <c r="K2793" s="17" t="n">
        <v>141.38</v>
      </c>
      <c r="L2793" s="17" t="n">
        <v>25.86</v>
      </c>
      <c r="M2793" s="17" t="n">
        <v>0</v>
      </c>
      <c r="N2793" s="17">
        <f>K2793*0.08+L2793*0.08</f>
        <v/>
      </c>
      <c r="O2793" s="17">
        <f>-(K2793*0.025+L2793*0.025)</f>
        <v/>
      </c>
      <c r="P2793" s="17">
        <f>32</f>
        <v/>
      </c>
      <c r="Q2793" s="17">
        <f>J2793+L2793+N2793+O2793-P2793-M2793</f>
        <v/>
      </c>
    </row>
    <row r="2794">
      <c r="A2794" s="16" t="inlineStr">
        <is>
          <t>5.22-5.28</t>
        </is>
      </c>
      <c r="B2794" s="16" t="inlineStr">
        <is>
          <t>PO-128-11782145155194045</t>
        </is>
      </c>
      <c r="C2794" s="16" t="inlineStr">
        <is>
          <t>Delivered</t>
        </is>
      </c>
      <c r="D2794" s="16" t="inlineStr">
        <is>
          <t>128-11782171369594045</t>
        </is>
      </c>
      <c r="E2794" s="16" t="inlineStr">
        <is>
          <t>Delivered</t>
        </is>
      </c>
      <c r="F2794" s="16" t="inlineStr">
        <is>
          <t>LV64W25</t>
        </is>
      </c>
      <c r="G2794" s="16" t="inlineStr">
        <is>
          <t>Ventilador de Techo LED TIANLAI con 5 Aspas, Control Remoto, 3 Colores Luz, 3 Velocidades, Temporizador, Fácil Instalación, E27 para Baño Cocina Dormitorio Salón</t>
        </is>
      </c>
      <c r="H2794" s="16" t="inlineStr">
        <is>
          <t>LV64W25</t>
        </is>
      </c>
      <c r="I2794" s="16" t="n">
        <v>1</v>
      </c>
      <c r="J2794" s="17" t="n">
        <v>99</v>
      </c>
      <c r="K2794" s="17" t="n">
        <v>107.89</v>
      </c>
      <c r="L2794" s="17" t="n">
        <v>25.86</v>
      </c>
      <c r="M2794" s="17" t="n">
        <v>0</v>
      </c>
      <c r="N2794" s="17">
        <f>K2794*0.08+L2794*0.08</f>
        <v/>
      </c>
      <c r="O2794" s="17">
        <f>-(K2794*0.025+L2794*0.025)</f>
        <v/>
      </c>
      <c r="P2794" s="17">
        <f>32</f>
        <v/>
      </c>
      <c r="Q2794" s="17">
        <f>J2794+L2794+N2794+O2794-P2794-M2794</f>
        <v/>
      </c>
    </row>
    <row r="2795">
      <c r="A2795" s="16" t="inlineStr">
        <is>
          <t>5.22-5.28</t>
        </is>
      </c>
      <c r="B2795" s="16" t="inlineStr">
        <is>
          <t>PO-128-11698535232633582</t>
        </is>
      </c>
      <c r="C2795" s="16" t="inlineStr">
        <is>
          <t>Delivered</t>
        </is>
      </c>
      <c r="D2795" s="16" t="inlineStr">
        <is>
          <t>128-11698566689913582</t>
        </is>
      </c>
      <c r="E2795" s="16" t="inlineStr">
        <is>
          <t>Delivered</t>
        </is>
      </c>
      <c r="F2795" s="16" t="inlineStr">
        <is>
          <t>LB02235-blanco</t>
        </is>
      </c>
      <c r="G2795" s="16" t="inlineStr">
        <is>
          <t>Audífonos Inalámbricos para la Cabeza, Recargables y Multifuncionales - Conectan a Varios Dispositivos, soportan Radio FM, Tarjeta TF y AUX - 4 Horas de Reproducción Musical - Ideal para Trabajo Cotidiano, Juegos y Estudio</t>
        </is>
      </c>
      <c r="H2795" s="16" t="inlineStr">
        <is>
          <t>BLANCO</t>
        </is>
      </c>
      <c r="I2795" s="16" t="n">
        <v>1</v>
      </c>
      <c r="J2795" s="17" t="n">
        <v>36.8</v>
      </c>
      <c r="K2795" s="17" t="n">
        <v>49.91</v>
      </c>
      <c r="L2795" s="17" t="n">
        <v>6.47</v>
      </c>
      <c r="M2795" s="17" t="n">
        <v>0</v>
      </c>
      <c r="N2795" s="17">
        <f>K2795*0.08+L2795*0.08</f>
        <v/>
      </c>
      <c r="O2795" s="17">
        <f>-(K2795*0.025+L2795*0.025)</f>
        <v/>
      </c>
      <c r="P2795" s="17">
        <f>32</f>
        <v/>
      </c>
      <c r="Q2795" s="17">
        <f>J2795+L2795+N2795+O2795-P2795-M2795</f>
        <v/>
      </c>
    </row>
    <row r="2796">
      <c r="A2796" s="16" t="inlineStr">
        <is>
          <t>5.22-5.28</t>
        </is>
      </c>
      <c r="B2796" s="16" t="inlineStr">
        <is>
          <t>PO-128-11698535232633582</t>
        </is>
      </c>
      <c r="C2796" s="16" t="inlineStr">
        <is>
          <t>Delivered</t>
        </is>
      </c>
      <c r="D2796" s="16" t="inlineStr">
        <is>
          <t>128-11698556204153582</t>
        </is>
      </c>
      <c r="E2796" s="16" t="inlineStr">
        <is>
          <t>Delivered</t>
        </is>
      </c>
      <c r="F2796" s="16" t="inlineStr">
        <is>
          <t>LB02235-negro</t>
        </is>
      </c>
      <c r="G2796" s="16" t="inlineStr">
        <is>
          <t>Audífonos Inalámbricos para la Cabeza, Recargables y Multifuncionales - Conectan a Varios Dispositivos, soportan Radio FM, Tarjeta TF y AUX - 4 Horas de Reproducción Musical - Ideal para Trabajo Cotidiano, Juegos y Estudio</t>
        </is>
      </c>
      <c r="H2796" s="16" t="inlineStr">
        <is>
          <t>NEGRO</t>
        </is>
      </c>
      <c r="I2796" s="16" t="n">
        <v>1</v>
      </c>
      <c r="J2796" s="17" t="n">
        <v>36.8</v>
      </c>
      <c r="K2796" s="17" t="n">
        <v>49.91</v>
      </c>
      <c r="L2796" s="17" t="n">
        <v>6.47</v>
      </c>
      <c r="M2796" s="17" t="n">
        <v>0</v>
      </c>
      <c r="N2796" s="17">
        <f>K2796*0.08+L2796*0.08</f>
        <v/>
      </c>
      <c r="O2796" s="17">
        <f>-(K2796*0.025+L2796*0.025)</f>
        <v/>
      </c>
      <c r="P2796" s="17">
        <f>32</f>
        <v/>
      </c>
      <c r="Q2796" s="17">
        <f>J2796+L2796+N2796+O2796-P2796-M2796</f>
        <v/>
      </c>
    </row>
    <row r="2797">
      <c r="A2797" s="16" t="inlineStr">
        <is>
          <t>5.22-5.28</t>
        </is>
      </c>
      <c r="B2797" s="16" t="inlineStr">
        <is>
          <t>PO-128-11698535232633582</t>
        </is>
      </c>
      <c r="C2797" s="16" t="inlineStr">
        <is>
          <t>Delivered</t>
        </is>
      </c>
      <c r="D2797" s="16" t="inlineStr">
        <is>
          <t>128-11698482803833582</t>
        </is>
      </c>
      <c r="E2797" s="16" t="inlineStr">
        <is>
          <t>Delivered</t>
        </is>
      </c>
      <c r="F2797" s="16" t="inlineStr">
        <is>
          <t>LB02235-rojo</t>
        </is>
      </c>
      <c r="G2797" s="16" t="inlineStr">
        <is>
          <t>Audífonos Inalámbricos para la Cabeza, Recargables y Multifuncionales - Conectan a Varios Dispositivos, soportan Radio FM, Tarjeta TF y AUX - 4 Horas de Reproducción Musical - Ideal para Trabajo Cotidiano, Juegos y Estudio</t>
        </is>
      </c>
      <c r="H2797" s="16" t="inlineStr">
        <is>
          <t>ROJO</t>
        </is>
      </c>
      <c r="I2797" s="16" t="n">
        <v>1</v>
      </c>
      <c r="J2797" s="17" t="n">
        <v>36.8</v>
      </c>
      <c r="K2797" s="17" t="n">
        <v>49.91</v>
      </c>
      <c r="L2797" s="17" t="n">
        <v>6.47</v>
      </c>
      <c r="M2797" s="17" t="n">
        <v>0</v>
      </c>
      <c r="N2797" s="17">
        <f>K2797*0.08+L2797*0.08</f>
        <v/>
      </c>
      <c r="O2797" s="17">
        <f>-(K2797*0.025+L2797*0.025)</f>
        <v/>
      </c>
      <c r="P2797" s="17">
        <f>32</f>
        <v/>
      </c>
      <c r="Q2797" s="17">
        <f>J2797+L2797+N2797+O2797-P2797-M2797</f>
        <v/>
      </c>
    </row>
    <row r="2798">
      <c r="A2798" s="16" t="inlineStr">
        <is>
          <t>5.22-5.28</t>
        </is>
      </c>
      <c r="B2798" s="16" t="inlineStr">
        <is>
          <t>PO-128-11698535232633582</t>
        </is>
      </c>
      <c r="C2798" s="16" t="inlineStr">
        <is>
          <t>Delivered</t>
        </is>
      </c>
      <c r="D2798" s="16" t="inlineStr">
        <is>
          <t>128-11698514261113582</t>
        </is>
      </c>
      <c r="E2798" s="16" t="inlineStr">
        <is>
          <t>Delivered</t>
        </is>
      </c>
      <c r="F2798" s="16" t="inlineStr">
        <is>
          <t>LB02235-azul</t>
        </is>
      </c>
      <c r="G2798" s="16" t="inlineStr">
        <is>
          <t>Audífonos Inalámbricos para la Cabeza, Recargables y Multifuncionales - Conectan a Varios Dispositivos, soportan Radio FM, Tarjeta TF y AUX - 4 Horas de Reproducción Musical - Ideal para Trabajo Cotidiano, Juegos y Estudio</t>
        </is>
      </c>
      <c r="H2798" s="16" t="inlineStr">
        <is>
          <t>AZUL</t>
        </is>
      </c>
      <c r="I2798" s="16" t="n">
        <v>1</v>
      </c>
      <c r="J2798" s="17" t="n">
        <v>36.8</v>
      </c>
      <c r="K2798" s="17" t="n">
        <v>49.91</v>
      </c>
      <c r="L2798" s="17" t="n">
        <v>6.47</v>
      </c>
      <c r="M2798" s="17" t="n">
        <v>0</v>
      </c>
      <c r="N2798" s="17">
        <f>K2798*0.08+L2798*0.08</f>
        <v/>
      </c>
      <c r="O2798" s="17">
        <f>-(K2798*0.025+L2798*0.025)</f>
        <v/>
      </c>
      <c r="P2798" s="17">
        <f>32</f>
        <v/>
      </c>
      <c r="Q2798" s="17">
        <f>J2798+L2798+N2798+O2798-P2798-M2798</f>
        <v/>
      </c>
    </row>
    <row r="2799">
      <c r="A2799" s="16" t="inlineStr">
        <is>
          <t>5.22-5.28</t>
        </is>
      </c>
      <c r="B2799" s="16" t="inlineStr">
        <is>
          <t>PO-128-11823313820793798</t>
        </is>
      </c>
      <c r="C2799" s="16" t="inlineStr">
        <is>
          <t>Delivered</t>
        </is>
      </c>
      <c r="D2799" s="16" t="inlineStr">
        <is>
          <t>128-11823292849273798</t>
        </is>
      </c>
      <c r="E2799" s="16" t="inlineStr">
        <is>
          <t>Delivered</t>
        </is>
      </c>
      <c r="F2799" s="16" t="inlineStr">
        <is>
          <t>S09W18IB-8PZS</t>
        </is>
      </c>
      <c r="G279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799" s="16" t="inlineStr">
        <is>
          <t>8 piezas</t>
        </is>
      </c>
      <c r="I2799" s="16" t="n">
        <v>1</v>
      </c>
      <c r="J2799" s="17" t="n">
        <v>260</v>
      </c>
      <c r="K2799" s="17" t="n">
        <v>297.97</v>
      </c>
      <c r="L2799" s="17" t="n">
        <v>0</v>
      </c>
      <c r="M2799" s="17" t="n">
        <v>0</v>
      </c>
      <c r="N2799" s="17">
        <f>K2799*0.08+L2799*0.08</f>
        <v/>
      </c>
      <c r="O2799" s="17">
        <f>-(K2799*0.025+L2799*0.025)</f>
        <v/>
      </c>
      <c r="P2799" s="17">
        <f>32</f>
        <v/>
      </c>
      <c r="Q2799" s="17">
        <f>J2799+L2799+N2799+O2799-P2799-M2799</f>
        <v/>
      </c>
    </row>
    <row r="2800">
      <c r="A2800" s="16" t="inlineStr">
        <is>
          <t>5.22-5.28</t>
        </is>
      </c>
      <c r="B2800" s="16" t="inlineStr">
        <is>
          <t>PO-128-11783139361914038</t>
        </is>
      </c>
      <c r="C2800" s="16" t="inlineStr">
        <is>
          <t>Delivered</t>
        </is>
      </c>
      <c r="D2800" s="16" t="inlineStr">
        <is>
          <t>128-11783140672634038</t>
        </is>
      </c>
      <c r="E2800" s="16" t="inlineStr">
        <is>
          <t>Delivered</t>
        </is>
      </c>
      <c r="F2800" s="16" t="inlineStr">
        <is>
          <t>MB-185N</t>
        </is>
      </c>
      <c r="G2800" s="16" t="inlineStr">
        <is>
          <t>Bocina Radio FM/Reproductor, Compatible con Tarjeta TF, USB, Bluetooth, Aplicable para celular, computadora, Ipad y consola.</t>
        </is>
      </c>
      <c r="H2800" s="16" t="inlineStr">
        <is>
          <t>NEGRO/MB-185</t>
        </is>
      </c>
      <c r="I2800" s="16" t="n">
        <v>1</v>
      </c>
      <c r="J2800" s="17" t="n">
        <v>71.31</v>
      </c>
      <c r="K2800" s="17" t="n">
        <v>69.65000000000001</v>
      </c>
      <c r="L2800" s="17" t="n">
        <v>25.86</v>
      </c>
      <c r="M2800" s="17" t="n">
        <v>0</v>
      </c>
      <c r="N2800" s="17">
        <f>K2800*0.08+L2800*0.08</f>
        <v/>
      </c>
      <c r="O2800" s="17">
        <f>-(K2800*0.025+L2800*0.025)</f>
        <v/>
      </c>
      <c r="P2800" s="17">
        <f>32</f>
        <v/>
      </c>
      <c r="Q2800" s="17">
        <f>J2800+L2800+N2800+O2800-P2800-M2800</f>
        <v/>
      </c>
    </row>
    <row r="2801">
      <c r="A2801" s="16" t="inlineStr">
        <is>
          <t>5.22-5.28</t>
        </is>
      </c>
      <c r="B2801" s="16" t="inlineStr">
        <is>
          <t>PO-128-12313807946870810</t>
        </is>
      </c>
      <c r="C2801" s="16" t="inlineStr">
        <is>
          <t>Delivered</t>
        </is>
      </c>
      <c r="D2801" s="16" t="inlineStr">
        <is>
          <t>128-12313866929270810</t>
        </is>
      </c>
      <c r="E2801" s="16" t="inlineStr">
        <is>
          <t>Delivered</t>
        </is>
      </c>
      <c r="F2801" s="16" t="inlineStr">
        <is>
          <t>LB02235-negro</t>
        </is>
      </c>
      <c r="G2801" s="16" t="inlineStr">
        <is>
          <t>Audífonos Inalámbricos para la Cabeza, Recargables y Multifuncionales - Conectan a Varios Dispositivos, soportan Radio FM, Tarjeta TF y AUX - 4 Horas de Reproducción Musical - Ideal para Trabajo Cotidiano, Juegos y Estudio</t>
        </is>
      </c>
      <c r="H2801" s="16" t="inlineStr">
        <is>
          <t>NEGRO</t>
        </is>
      </c>
      <c r="I2801" s="16" t="n">
        <v>1</v>
      </c>
      <c r="J2801" s="17" t="n">
        <v>36.8</v>
      </c>
      <c r="K2801" s="17" t="n">
        <v>49.91</v>
      </c>
      <c r="L2801" s="17" t="n">
        <v>25.86</v>
      </c>
      <c r="M2801" s="17" t="n">
        <v>0</v>
      </c>
      <c r="N2801" s="17">
        <f>K2801*0.08+L2801*0.08</f>
        <v/>
      </c>
      <c r="O2801" s="17">
        <f>-(K2801*0.025+L2801*0.025)</f>
        <v/>
      </c>
      <c r="P2801" s="17">
        <f>32</f>
        <v/>
      </c>
      <c r="Q2801" s="17">
        <f>J2801+L2801+N2801+O2801-P2801-M2801</f>
        <v/>
      </c>
    </row>
    <row r="2802">
      <c r="A2802" s="16" t="inlineStr">
        <is>
          <t>5.22-5.28</t>
        </is>
      </c>
      <c r="B2802" s="16" t="inlineStr">
        <is>
          <t>PO-128-11924135923832111</t>
        </is>
      </c>
      <c r="C2802" s="16" t="inlineStr">
        <is>
          <t>Delivered</t>
        </is>
      </c>
      <c r="D2802" s="16" t="inlineStr">
        <is>
          <t>128-11924093980792111</t>
        </is>
      </c>
      <c r="E2802" s="16" t="inlineStr">
        <is>
          <t>Delivered</t>
        </is>
      </c>
      <c r="F2802" s="16" t="inlineStr">
        <is>
          <t>KTS-1678A</t>
        </is>
      </c>
      <c r="G2802" s="16" t="inlineStr">
        <is>
          <t>Bocina portátil Inalámbrico, de 3 pulgadas, tamaño de bolsillo, 170 g, con asa, compatible con TF, USB y Micro SD, con radio FM y función TWS (True Wireless Stereo), adecuada para relajarse en casa o viajar al aire libre.</t>
        </is>
      </c>
      <c r="H2802" s="16" t="inlineStr">
        <is>
          <t>KTS-1678A</t>
        </is>
      </c>
      <c r="I2802" s="16" t="n">
        <v>1</v>
      </c>
      <c r="J2802" s="17" t="n">
        <v>40</v>
      </c>
      <c r="K2802" s="17" t="n">
        <v>48.28</v>
      </c>
      <c r="L2802" s="17" t="n">
        <v>25.86</v>
      </c>
      <c r="M2802" s="17" t="n">
        <v>0</v>
      </c>
      <c r="N2802" s="17">
        <f>K2802*0.08+L2802*0.08</f>
        <v/>
      </c>
      <c r="O2802" s="17">
        <f>-(K2802*0.025+L2802*0.025)</f>
        <v/>
      </c>
      <c r="P2802" s="17">
        <f>32</f>
        <v/>
      </c>
      <c r="Q2802" s="17">
        <f>J2802+L2802+N2802+O2802-P2802-M2802</f>
        <v/>
      </c>
    </row>
    <row r="2803">
      <c r="A2803" s="16" t="inlineStr">
        <is>
          <t>5.22-5.28</t>
        </is>
      </c>
      <c r="B2803" s="16" t="inlineStr">
        <is>
          <t>PO-128-11955798029433008</t>
        </is>
      </c>
      <c r="C2803" s="16" t="inlineStr">
        <is>
          <t>Delivered</t>
        </is>
      </c>
      <c r="D2803" s="16" t="inlineStr">
        <is>
          <t>128-11955829486713008</t>
        </is>
      </c>
      <c r="E2803" s="16" t="inlineStr">
        <is>
          <t>Delivered</t>
        </is>
      </c>
      <c r="F2803" s="16" t="inlineStr">
        <is>
          <t>MCM-001N</t>
        </is>
      </c>
      <c r="G2803" s="16" t="inlineStr">
        <is>
          <t>Musicord Altavoz Inalámbrico BT Portátil: ¡Sonido impactante, luces LED multicolores y 4 horas de autonomía! Compatible con TWS, FM, TF y USB – Imprescindible para fiestas y viajes</t>
        </is>
      </c>
      <c r="H2803" s="16" t="inlineStr">
        <is>
          <t>NEGRO</t>
        </is>
      </c>
      <c r="I2803" s="16" t="n">
        <v>1</v>
      </c>
      <c r="J2803" s="17" t="n">
        <v>60.5</v>
      </c>
      <c r="K2803" s="17" t="n">
        <v>58.05</v>
      </c>
      <c r="L2803" s="17" t="n">
        <v>25.86</v>
      </c>
      <c r="M2803" s="17" t="n">
        <v>0</v>
      </c>
      <c r="N2803" s="17">
        <f>K2803*0.08+L2803*0.08</f>
        <v/>
      </c>
      <c r="O2803" s="17">
        <f>-(K2803*0.025+L2803*0.025)</f>
        <v/>
      </c>
      <c r="P2803" s="17">
        <f>32</f>
        <v/>
      </c>
      <c r="Q2803" s="17">
        <f>J2803+L2803+N2803+O2803-P2803-M2803</f>
        <v/>
      </c>
    </row>
    <row r="2804">
      <c r="A2804" s="16" t="inlineStr">
        <is>
          <t>5.22-5.28</t>
        </is>
      </c>
      <c r="B2804" s="16" t="inlineStr">
        <is>
          <t>PO-128-11737368041593286</t>
        </is>
      </c>
      <c r="C2804" s="16" t="inlineStr">
        <is>
          <t>Delivered</t>
        </is>
      </c>
      <c r="D2804" s="16" t="inlineStr">
        <is>
          <t>128-11737352312953286</t>
        </is>
      </c>
      <c r="E2804" s="16" t="inlineStr">
        <is>
          <t>Delivered</t>
        </is>
      </c>
      <c r="F2804" s="16" t="inlineStr">
        <is>
          <t>000090-50PZS</t>
        </is>
      </c>
      <c r="G2804" s="16" t="inlineStr">
        <is>
          <t>Mascarillas Infantiles KF94 50 pcs, Cuatro Capas de Protección con Tejido de Fusión Filtrante, Patrones Divertidos, Piel Amigable y Transpirable</t>
        </is>
      </c>
      <c r="H2804" s="16" t="inlineStr">
        <is>
          <t>50PZS/NINO ESTAMPADO</t>
        </is>
      </c>
      <c r="I2804" s="16" t="n">
        <v>2</v>
      </c>
      <c r="J2804" s="17" t="n">
        <v>198</v>
      </c>
      <c r="K2804" s="17" t="n">
        <v>263.18</v>
      </c>
      <c r="L2804" s="17" t="n">
        <v>0</v>
      </c>
      <c r="M2804" s="17" t="n">
        <v>0</v>
      </c>
      <c r="N2804" s="17">
        <f>K2804*0.08+L2804*0.08</f>
        <v/>
      </c>
      <c r="O2804" s="17">
        <f>-(K2804*0.025+L2804*0.025)</f>
        <v/>
      </c>
      <c r="P2804" s="17">
        <f>32</f>
        <v/>
      </c>
      <c r="Q2804" s="17">
        <f>J2804+L2804+N2804+O2804-P2804-M2804</f>
        <v/>
      </c>
    </row>
    <row r="2805">
      <c r="A2805" s="16" t="inlineStr">
        <is>
          <t>5.22-5.28</t>
        </is>
      </c>
      <c r="B2805" s="16" t="inlineStr">
        <is>
          <t>PO-128-11934050522232114</t>
        </is>
      </c>
      <c r="C2805" s="16" t="inlineStr">
        <is>
          <t>Delivered</t>
        </is>
      </c>
      <c r="D2805" s="16" t="inlineStr">
        <is>
          <t>128-11934008579192114</t>
        </is>
      </c>
      <c r="E2805" s="16" t="inlineStr">
        <is>
          <t>Delivered</t>
        </is>
      </c>
      <c r="F2805" s="16" t="inlineStr">
        <is>
          <t>LB02235-azul</t>
        </is>
      </c>
      <c r="G2805" s="16" t="inlineStr">
        <is>
          <t>Audífonos Inalámbricos para la Cabeza, Recargables y Multifuncionales - Conectan a Varios Dispositivos, soportan Radio FM, Tarjeta TF y AUX - 4 Horas de Reproducción Musical - Ideal para Trabajo Cotidiano, Juegos y Estudio</t>
        </is>
      </c>
      <c r="H2805" s="16" t="inlineStr">
        <is>
          <t>AZUL</t>
        </is>
      </c>
      <c r="I2805" s="16" t="n">
        <v>1</v>
      </c>
      <c r="J2805" s="17" t="n">
        <v>36.8</v>
      </c>
      <c r="K2805" s="17" t="n">
        <v>49.91</v>
      </c>
      <c r="L2805" s="17" t="n">
        <v>25.86</v>
      </c>
      <c r="M2805" s="17" t="n">
        <v>0</v>
      </c>
      <c r="N2805" s="17">
        <f>K2805*0.08+L2805*0.08</f>
        <v/>
      </c>
      <c r="O2805" s="17">
        <f>-(K2805*0.025+L2805*0.025)</f>
        <v/>
      </c>
      <c r="P2805" s="17">
        <f>32</f>
        <v/>
      </c>
      <c r="Q2805" s="17">
        <f>J2805+L2805+N2805+O2805-P2805-M2805</f>
        <v/>
      </c>
    </row>
    <row r="2806">
      <c r="A2806" s="16" t="inlineStr">
        <is>
          <t>5.22-5.28</t>
        </is>
      </c>
      <c r="B2806" s="16" t="inlineStr">
        <is>
          <t>PO-128-11822602744953802</t>
        </is>
      </c>
      <c r="C2806" s="16" t="inlineStr">
        <is>
          <t>Delivered</t>
        </is>
      </c>
      <c r="D2806" s="16" t="inlineStr">
        <is>
          <t>128-11822581773433802</t>
        </is>
      </c>
      <c r="E2806" s="16" t="inlineStr">
        <is>
          <t>Delivered</t>
        </is>
      </c>
      <c r="F2806" s="16" t="inlineStr">
        <is>
          <t>FA028</t>
        </is>
      </c>
      <c r="G2806" s="16" t="inlineStr">
        <is>
          <t>Extractor de agua para garrafas de agua, compatible con carga USB, extractor de agua automático, práctico, con dos modos de toma de agua: manual y programado, ideal para dormitorios, salones, oficinas, uso al aire libre y otros escenarios.</t>
        </is>
      </c>
      <c r="H2806" s="16" t="inlineStr">
        <is>
          <t>FA028</t>
        </is>
      </c>
      <c r="I2806" s="16" t="n">
        <v>1</v>
      </c>
      <c r="J2806" s="17" t="n">
        <v>27</v>
      </c>
      <c r="K2806" s="17" t="n">
        <v>36.58</v>
      </c>
      <c r="L2806" s="17" t="n">
        <v>25.86</v>
      </c>
      <c r="M2806" s="17" t="n">
        <v>0</v>
      </c>
      <c r="N2806" s="17">
        <f>K2806*0.08+L2806*0.08</f>
        <v/>
      </c>
      <c r="O2806" s="17">
        <f>-(K2806*0.025+L2806*0.025)</f>
        <v/>
      </c>
      <c r="P2806" s="17">
        <f>32</f>
        <v/>
      </c>
      <c r="Q2806" s="17">
        <f>J2806+L2806+N2806+O2806-P2806-M2806</f>
        <v/>
      </c>
    </row>
    <row r="2807">
      <c r="A2807" s="16" t="inlineStr">
        <is>
          <t>5.22-5.28</t>
        </is>
      </c>
      <c r="B2807" s="16" t="inlineStr">
        <is>
          <t>PO-128-11913871730552298</t>
        </is>
      </c>
      <c r="C2807" s="16" t="inlineStr">
        <is>
          <t>Delivered</t>
        </is>
      </c>
      <c r="D2807" s="16" t="inlineStr">
        <is>
          <t>128-11913892702072298</t>
        </is>
      </c>
      <c r="E2807" s="16" t="inlineStr">
        <is>
          <t>Delivered</t>
        </is>
      </c>
      <c r="F2807" s="16" t="inlineStr">
        <is>
          <t>MB-185N</t>
        </is>
      </c>
      <c r="G2807" s="16" t="inlineStr">
        <is>
          <t>Bocina Radio FM/Reproductor, Compatible con Tarjeta TF, USB, Bluetooth, Aplicable para celular, computadora, Ipad y consola.</t>
        </is>
      </c>
      <c r="H2807" s="16" t="inlineStr">
        <is>
          <t>NEGRO/MB-185</t>
        </is>
      </c>
      <c r="I2807" s="16" t="n">
        <v>1</v>
      </c>
      <c r="J2807" s="17" t="n">
        <v>71.31</v>
      </c>
      <c r="K2807" s="17" t="n">
        <v>67.40000000000001</v>
      </c>
      <c r="L2807" s="17" t="n">
        <v>25.86</v>
      </c>
      <c r="M2807" s="17" t="n">
        <v>0</v>
      </c>
      <c r="N2807" s="17">
        <f>K2807*0.08+L2807*0.08</f>
        <v/>
      </c>
      <c r="O2807" s="17">
        <f>-(K2807*0.025+L2807*0.025)</f>
        <v/>
      </c>
      <c r="P2807" s="17">
        <f>32</f>
        <v/>
      </c>
      <c r="Q2807" s="17">
        <f>J2807+L2807+N2807+O2807-P2807-M2807</f>
        <v/>
      </c>
    </row>
    <row r="2808">
      <c r="A2808" s="16" t="inlineStr">
        <is>
          <t>5.22-5.28</t>
        </is>
      </c>
      <c r="B2808" s="16" t="inlineStr">
        <is>
          <t>PO-128-12358920681590606</t>
        </is>
      </c>
      <c r="C2808" s="16" t="inlineStr">
        <is>
          <t>Delivered</t>
        </is>
      </c>
      <c r="D2808" s="16" t="inlineStr">
        <is>
          <t>128-12358899710070606</t>
        </is>
      </c>
      <c r="E2808" s="16" t="inlineStr">
        <is>
          <t>Delivered</t>
        </is>
      </c>
      <c r="F2808" s="16" t="inlineStr">
        <is>
          <t>LB02235-negro</t>
        </is>
      </c>
      <c r="G2808" s="16" t="inlineStr">
        <is>
          <t>Audífonos Inalámbricos para la Cabeza, Recargables y Multifuncionales - Conectan a Varios Dispositivos, soportan Radio FM, Tarjeta TF y AUX - 4 Horas de Reproducción Musical - Ideal para Trabajo Cotidiano, Juegos y Estudio</t>
        </is>
      </c>
      <c r="H2808" s="16" t="inlineStr">
        <is>
          <t>NEGRO</t>
        </is>
      </c>
      <c r="I2808" s="16" t="n">
        <v>2</v>
      </c>
      <c r="J2808" s="17" t="n">
        <v>73.59999999999999</v>
      </c>
      <c r="K2808" s="17" t="n">
        <v>79.87</v>
      </c>
      <c r="L2808" s="17" t="n">
        <v>25.86</v>
      </c>
      <c r="M2808" s="17" t="n">
        <v>0</v>
      </c>
      <c r="N2808" s="17">
        <f>K2808*0.08+L2808*0.08</f>
        <v/>
      </c>
      <c r="O2808" s="17">
        <f>-(K2808*0.025+L2808*0.025)</f>
        <v/>
      </c>
      <c r="P2808" s="17">
        <f>32</f>
        <v/>
      </c>
      <c r="Q2808" s="17">
        <f>J2808+L2808+N2808+O2808-P2808-M2808</f>
        <v/>
      </c>
    </row>
    <row r="2809">
      <c r="A2809" s="16" t="inlineStr">
        <is>
          <t>5.22-5.28</t>
        </is>
      </c>
      <c r="B2809" s="16" t="inlineStr">
        <is>
          <t>PO-128-11778833979514001</t>
        </is>
      </c>
      <c r="C2809" s="16" t="inlineStr">
        <is>
          <t>Delivered</t>
        </is>
      </c>
      <c r="D2809" s="16" t="inlineStr">
        <is>
          <t>128-11778844465274001</t>
        </is>
      </c>
      <c r="E2809" s="16" t="inlineStr">
        <is>
          <t>Delivered</t>
        </is>
      </c>
      <c r="F2809" s="16" t="inlineStr">
        <is>
          <t>LV64W25</t>
        </is>
      </c>
      <c r="G2809" s="16" t="inlineStr">
        <is>
          <t>Ventilador de Techo LED TIANLAI con 5 Aspas, Control Remoto, 3 Colores Luz, 3 Velocidades, Temporizador, Fácil Instalación, E27 para Baño Cocina Dormitorio Salón</t>
        </is>
      </c>
      <c r="H2809" s="16" t="inlineStr">
        <is>
          <t>LV64W25</t>
        </is>
      </c>
      <c r="I2809" s="16" t="n">
        <v>1</v>
      </c>
      <c r="J2809" s="17" t="n">
        <v>99</v>
      </c>
      <c r="K2809" s="17" t="n">
        <v>132.2</v>
      </c>
      <c r="L2809" s="17" t="n">
        <v>25.86</v>
      </c>
      <c r="M2809" s="17" t="n">
        <v>0</v>
      </c>
      <c r="N2809" s="17">
        <f>K2809*0.08+L2809*0.08</f>
        <v/>
      </c>
      <c r="O2809" s="17">
        <f>-(K2809*0.025+L2809*0.025)</f>
        <v/>
      </c>
      <c r="P2809" s="17">
        <f>32</f>
        <v/>
      </c>
      <c r="Q2809" s="17">
        <f>J2809+L2809+N2809+O2809-P2809-M2809</f>
        <v/>
      </c>
    </row>
    <row r="2810">
      <c r="A2810" s="16" t="inlineStr">
        <is>
          <t>5.22-5.28</t>
        </is>
      </c>
      <c r="B2810" s="16" t="inlineStr">
        <is>
          <t>PO-128-12043804270711524</t>
        </is>
      </c>
      <c r="C2810" s="16" t="inlineStr">
        <is>
          <t>Delivered</t>
        </is>
      </c>
      <c r="D2810" s="16" t="inlineStr">
        <is>
          <t>128-12043825242231524</t>
        </is>
      </c>
      <c r="E2810" s="16" t="inlineStr">
        <is>
          <t>Delivered</t>
        </is>
      </c>
      <c r="F2810" s="16" t="inlineStr">
        <is>
          <t>MCM-001A</t>
        </is>
      </c>
      <c r="G2810" s="16" t="inlineStr">
        <is>
          <t>Musicord Altavoz Inalámbrico BT Portátil: ¡Sonido impactante, luces LED multicolores y 4 horas de autonomía! Compatible con TWS, FM, TF y USB – Imprescindible para fiestas y viajes</t>
        </is>
      </c>
      <c r="H2810" s="16" t="inlineStr">
        <is>
          <t>AZUL</t>
        </is>
      </c>
      <c r="I2810" s="16" t="n">
        <v>1</v>
      </c>
      <c r="J2810" s="17" t="n">
        <v>51.07</v>
      </c>
      <c r="K2810" s="17" t="n">
        <v>16.37</v>
      </c>
      <c r="L2810" s="17" t="n">
        <v>25.86</v>
      </c>
      <c r="M2810" s="17" t="n">
        <v>0</v>
      </c>
      <c r="N2810" s="17">
        <f>K2810*0.08+L2810*0.08</f>
        <v/>
      </c>
      <c r="O2810" s="17">
        <f>-(K2810*0.025+L2810*0.025)</f>
        <v/>
      </c>
      <c r="P2810" s="17">
        <f>32</f>
        <v/>
      </c>
      <c r="Q2810" s="17">
        <f>J2810+L2810+N2810+O2810-P2810-M2810</f>
        <v/>
      </c>
    </row>
    <row r="2811">
      <c r="A2811" s="16" t="inlineStr">
        <is>
          <t>5.22-5.28</t>
        </is>
      </c>
      <c r="B2811" s="16" t="inlineStr">
        <is>
          <t>PO-128-12110686718071127</t>
        </is>
      </c>
      <c r="C2811" s="16" t="inlineStr">
        <is>
          <t>Delivered</t>
        </is>
      </c>
      <c r="D2811" s="16" t="inlineStr">
        <is>
          <t>128-12110697203831127</t>
        </is>
      </c>
      <c r="E2811" s="16" t="inlineStr">
        <is>
          <t>Delivered</t>
        </is>
      </c>
      <c r="F2811" s="16" t="inlineStr">
        <is>
          <t>LB02235-azul</t>
        </is>
      </c>
      <c r="G2811" s="16" t="inlineStr">
        <is>
          <t>Audífonos Inalámbricos para la Cabeza, Recargables y Multifuncionales - Conectan a Varios Dispositivos, soportan Radio FM, Tarjeta TF y AUX - 4 Horas de Reproducción Musical - Ideal para Trabajo Cotidiano, Juegos y Estudio</t>
        </is>
      </c>
      <c r="H2811" s="16" t="inlineStr">
        <is>
          <t>AZUL</t>
        </is>
      </c>
      <c r="I2811" s="16" t="n">
        <v>1</v>
      </c>
      <c r="J2811" s="17" t="n">
        <v>36.8</v>
      </c>
      <c r="K2811" s="17" t="n">
        <v>49.91</v>
      </c>
      <c r="L2811" s="17" t="n">
        <v>25.86</v>
      </c>
      <c r="M2811" s="17" t="n">
        <v>0</v>
      </c>
      <c r="N2811" s="17">
        <f>K2811*0.08+L2811*0.08</f>
        <v/>
      </c>
      <c r="O2811" s="17">
        <f>-(K2811*0.025+L2811*0.025)</f>
        <v/>
      </c>
      <c r="P2811" s="17">
        <f>32</f>
        <v/>
      </c>
      <c r="Q2811" s="17">
        <f>J2811+L2811+N2811+O2811-P2811-M2811</f>
        <v/>
      </c>
    </row>
    <row r="2812">
      <c r="A2812" s="16" t="inlineStr">
        <is>
          <t>5.22-5.28</t>
        </is>
      </c>
      <c r="B2812" s="16" t="inlineStr">
        <is>
          <t>PO-128-11703558101113552</t>
        </is>
      </c>
      <c r="C2812" s="16" t="inlineStr">
        <is>
          <t>Delivered</t>
        </is>
      </c>
      <c r="D2812" s="16" t="inlineStr">
        <is>
          <t>128-11703495186553552</t>
        </is>
      </c>
      <c r="E2812" s="16" t="inlineStr">
        <is>
          <t>Delivered</t>
        </is>
      </c>
      <c r="F2812" s="16" t="inlineStr">
        <is>
          <t>MCM-001A</t>
        </is>
      </c>
      <c r="G2812" s="16" t="inlineStr">
        <is>
          <t>Musicord Altavoz Inalámbrico BT Portátil: ¡Sonido impactante, luces LED multicolores y 4 horas de autonomía! Compatible con TWS, FM, TF y USB – Imprescindible para fiestas y viajes</t>
        </is>
      </c>
      <c r="H2812" s="16" t="inlineStr">
        <is>
          <t>AZUL</t>
        </is>
      </c>
      <c r="I2812" s="16" t="n">
        <v>1</v>
      </c>
      <c r="J2812" s="17" t="n">
        <v>51.07</v>
      </c>
      <c r="K2812" s="17" t="n">
        <v>11.95</v>
      </c>
      <c r="L2812" s="17" t="n">
        <v>13.02</v>
      </c>
      <c r="M2812" s="17" t="n">
        <v>0</v>
      </c>
      <c r="N2812" s="17">
        <f>K2812*0.08+L2812*0.08</f>
        <v/>
      </c>
      <c r="O2812" s="17">
        <f>-(K2812*0.025+L2812*0.025)</f>
        <v/>
      </c>
      <c r="P2812" s="17">
        <f>32</f>
        <v/>
      </c>
      <c r="Q2812" s="17">
        <f>J2812+L2812+N2812+O2812-P2812-M2812</f>
        <v/>
      </c>
    </row>
    <row r="2813">
      <c r="A2813" s="16" t="inlineStr">
        <is>
          <t>5.22-5.28</t>
        </is>
      </c>
      <c r="B2813" s="16" t="inlineStr">
        <is>
          <t>PO-128-11703558101113552</t>
        </is>
      </c>
      <c r="C2813" s="16" t="inlineStr">
        <is>
          <t>Delivered</t>
        </is>
      </c>
      <c r="D2813" s="16" t="inlineStr">
        <is>
          <t>128-11703579072633552</t>
        </is>
      </c>
      <c r="E2813" s="16" t="inlineStr">
        <is>
          <t>Delivered</t>
        </is>
      </c>
      <c r="F2813" s="16" t="inlineStr">
        <is>
          <t>MCM-001G</t>
        </is>
      </c>
      <c r="G2813" s="16" t="inlineStr">
        <is>
          <t>Musicord Altavoz Inalámbrico BT Portátil: ¡Sonido impactante, luces LED multicolores y 4 horas de autonomía! Compatible con TWS, FM, TF y USB – Imprescindible para fiestas y viajes</t>
        </is>
      </c>
      <c r="H2813" s="16" t="inlineStr">
        <is>
          <t>GRIS</t>
        </is>
      </c>
      <c r="I2813" s="16" t="n">
        <v>1</v>
      </c>
      <c r="J2813" s="17" t="n">
        <v>51</v>
      </c>
      <c r="K2813" s="17" t="n">
        <v>11.79</v>
      </c>
      <c r="L2813" s="17" t="n">
        <v>12.84</v>
      </c>
      <c r="M2813" s="17" t="n">
        <v>0</v>
      </c>
      <c r="N2813" s="17">
        <f>K2813*0.08+L2813*0.08</f>
        <v/>
      </c>
      <c r="O2813" s="17">
        <f>-(K2813*0.025+L2813*0.025)</f>
        <v/>
      </c>
      <c r="P2813" s="17">
        <f>32</f>
        <v/>
      </c>
      <c r="Q2813" s="17">
        <f>J2813+L2813+N2813+O2813-P2813-M2813</f>
        <v/>
      </c>
    </row>
    <row r="2814">
      <c r="A2814" s="16" t="inlineStr">
        <is>
          <t>5.22-5.28</t>
        </is>
      </c>
      <c r="B2814" s="16" t="inlineStr">
        <is>
          <t>PO-128-12099952744311063</t>
        </is>
      </c>
      <c r="C2814" s="16" t="inlineStr">
        <is>
          <t>Delivered</t>
        </is>
      </c>
      <c r="D2814" s="16" t="inlineStr">
        <is>
          <t>128-12099994687351063</t>
        </is>
      </c>
      <c r="E2814" s="16" t="inlineStr">
        <is>
          <t>Delivered</t>
        </is>
      </c>
      <c r="F2814" s="16" t="inlineStr">
        <is>
          <t>LB02235-negro</t>
        </is>
      </c>
      <c r="G2814" s="16" t="inlineStr">
        <is>
          <t>Audífonos Inalámbricos para la Cabeza, Recargables y Multifuncionales - Conectan a Varios Dispositivos, soportan Radio FM, Tarjeta TF y AUX - 4 Horas de Reproducción Musical - Ideal para Trabajo Cotidiano, Juegos y Estudio</t>
        </is>
      </c>
      <c r="H2814" s="16" t="inlineStr">
        <is>
          <t>NEGRO</t>
        </is>
      </c>
      <c r="I2814" s="16" t="n">
        <v>1</v>
      </c>
      <c r="J2814" s="17" t="n">
        <v>36.8</v>
      </c>
      <c r="K2814" s="17" t="n">
        <v>6.81</v>
      </c>
      <c r="L2814" s="17" t="n">
        <v>25.86</v>
      </c>
      <c r="M2814" s="17" t="n">
        <v>0</v>
      </c>
      <c r="N2814" s="17">
        <f>K2814*0.08+L2814*0.08</f>
        <v/>
      </c>
      <c r="O2814" s="17">
        <f>-(K2814*0.025+L2814*0.025)</f>
        <v/>
      </c>
      <c r="P2814" s="17">
        <f>32</f>
        <v/>
      </c>
      <c r="Q2814" s="17">
        <f>J2814+L2814+N2814+O2814-P2814-M2814</f>
        <v/>
      </c>
    </row>
    <row r="2815">
      <c r="A2815" s="16" t="inlineStr">
        <is>
          <t>5.22-5.28</t>
        </is>
      </c>
      <c r="B2815" s="16" t="inlineStr">
        <is>
          <t>PO-128-12097485530231076</t>
        </is>
      </c>
      <c r="C2815" s="16" t="inlineStr">
        <is>
          <t>Delivered</t>
        </is>
      </c>
      <c r="D2815" s="16" t="inlineStr">
        <is>
          <t>128-12097506501751076</t>
        </is>
      </c>
      <c r="E2815" s="16" t="inlineStr">
        <is>
          <t>Delivered</t>
        </is>
      </c>
      <c r="F2815" s="16" t="inlineStr">
        <is>
          <t>LB02235-negro</t>
        </is>
      </c>
      <c r="G2815" s="16" t="inlineStr">
        <is>
          <t>Audífonos Inalámbricos para la Cabeza, Recargables y Multifuncionales - Conectan a Varios Dispositivos, soportan Radio FM, Tarjeta TF y AUX - 4 Horas de Reproducción Musical - Ideal para Trabajo Cotidiano, Juegos y Estudio</t>
        </is>
      </c>
      <c r="H2815" s="16" t="inlineStr">
        <is>
          <t>NEGRO</t>
        </is>
      </c>
      <c r="I2815" s="16" t="n">
        <v>1</v>
      </c>
      <c r="J2815" s="17" t="n">
        <v>36.8</v>
      </c>
      <c r="K2815" s="17" t="n">
        <v>49.91</v>
      </c>
      <c r="L2815" s="17" t="n">
        <v>25.86</v>
      </c>
      <c r="M2815" s="17" t="n">
        <v>0</v>
      </c>
      <c r="N2815" s="17">
        <f>K2815*0.08+L2815*0.08</f>
        <v/>
      </c>
      <c r="O2815" s="17">
        <f>-(K2815*0.025+L2815*0.025)</f>
        <v/>
      </c>
      <c r="P2815" s="17">
        <f>32</f>
        <v/>
      </c>
      <c r="Q2815" s="17">
        <f>J2815+L2815+N2815+O2815-P2815-M2815</f>
        <v/>
      </c>
    </row>
    <row r="2816">
      <c r="A2816" s="16" t="inlineStr">
        <is>
          <t>5.22-5.28</t>
        </is>
      </c>
      <c r="B2816" s="16" t="inlineStr">
        <is>
          <t>PO-128-11993698665592782</t>
        </is>
      </c>
      <c r="C2816" s="16" t="inlineStr">
        <is>
          <t>Delivered</t>
        </is>
      </c>
      <c r="D2816" s="16" t="inlineStr">
        <is>
          <t>128-11993757647992782</t>
        </is>
      </c>
      <c r="E2816" s="16" t="inlineStr">
        <is>
          <t>Delivered</t>
        </is>
      </c>
      <c r="F2816" s="16" t="inlineStr">
        <is>
          <t>MCM-001G</t>
        </is>
      </c>
      <c r="G2816" s="16" t="inlineStr">
        <is>
          <t>Musicord Altavoz Inalámbrico BT Portátil: ¡Sonido impactante, luces LED multicolores y 4 horas de autonomía! Compatible con TWS, FM, TF y USB – Imprescindible para fiestas y viajes</t>
        </is>
      </c>
      <c r="H2816" s="16" t="inlineStr">
        <is>
          <t>GRIS</t>
        </is>
      </c>
      <c r="I2816" s="16" t="n">
        <v>1</v>
      </c>
      <c r="J2816" s="17" t="n">
        <v>51</v>
      </c>
      <c r="K2816" s="17" t="n">
        <v>58.79</v>
      </c>
      <c r="L2816" s="17" t="n">
        <v>25.86</v>
      </c>
      <c r="M2816" s="17" t="n">
        <v>0</v>
      </c>
      <c r="N2816" s="17">
        <f>K2816*0.08+L2816*0.08</f>
        <v/>
      </c>
      <c r="O2816" s="17">
        <f>-(K2816*0.025+L2816*0.025)</f>
        <v/>
      </c>
      <c r="P2816" s="17">
        <f>32</f>
        <v/>
      </c>
      <c r="Q2816" s="17">
        <f>J2816+L2816+N2816+O2816-P2816-M2816</f>
        <v/>
      </c>
    </row>
    <row r="2817">
      <c r="A2817" s="16" t="inlineStr">
        <is>
          <t>5.22-5.28</t>
        </is>
      </c>
      <c r="B2817" s="16" t="inlineStr">
        <is>
          <t>PO-128-12330366834550648</t>
        </is>
      </c>
      <c r="C2817" s="16" t="inlineStr">
        <is>
          <t>Delivered</t>
        </is>
      </c>
      <c r="D2817" s="16" t="inlineStr">
        <is>
          <t>128-12330345863030648</t>
        </is>
      </c>
      <c r="E2817" s="16" t="inlineStr">
        <is>
          <t>Delivered</t>
        </is>
      </c>
      <c r="F2817" s="16" t="inlineStr">
        <is>
          <t>LB02235-blanco</t>
        </is>
      </c>
      <c r="G2817" s="16" t="inlineStr">
        <is>
          <t>Audífonos Inalámbricos para la Cabeza, Recargables y Multifuncionales - Conectan a Varios Dispositivos, soportan Radio FM, Tarjeta TF y AUX - 4 Horas de Reproducción Musical - Ideal para Trabajo Cotidiano, Juegos y Estudio</t>
        </is>
      </c>
      <c r="H2817" s="16" t="inlineStr">
        <is>
          <t>BLANCO</t>
        </is>
      </c>
      <c r="I2817" s="16" t="n">
        <v>2</v>
      </c>
      <c r="J2817" s="17" t="n">
        <v>73.59999999999999</v>
      </c>
      <c r="K2817" s="17" t="n">
        <v>99.81999999999999</v>
      </c>
      <c r="L2817" s="17" t="n">
        <v>0</v>
      </c>
      <c r="M2817" s="17" t="n">
        <v>0</v>
      </c>
      <c r="N2817" s="17">
        <f>K2817*0.08+L2817*0.08</f>
        <v/>
      </c>
      <c r="O2817" s="17">
        <f>-(K2817*0.025+L2817*0.025)</f>
        <v/>
      </c>
      <c r="P2817" s="17">
        <f>32</f>
        <v/>
      </c>
      <c r="Q2817" s="17">
        <f>J2817+L2817+N2817+O2817-P2817-M2817</f>
        <v/>
      </c>
    </row>
    <row r="2818">
      <c r="A2818" s="16" t="inlineStr">
        <is>
          <t>5.22-5.28</t>
        </is>
      </c>
      <c r="B2818" s="16" t="inlineStr">
        <is>
          <t>PO-128-12330366834550648</t>
        </is>
      </c>
      <c r="C2818" s="16" t="inlineStr">
        <is>
          <t>Delivered</t>
        </is>
      </c>
      <c r="D2818" s="16" t="inlineStr">
        <is>
          <t>128-12330356348790648</t>
        </is>
      </c>
      <c r="E2818" s="16" t="inlineStr">
        <is>
          <t>Delivered</t>
        </is>
      </c>
      <c r="F2818" s="16" t="inlineStr">
        <is>
          <t>LB02235-rojo</t>
        </is>
      </c>
      <c r="G2818" s="16" t="inlineStr">
        <is>
          <t>Audífonos Inalámbricos para la Cabeza, Recargables y Multifuncionales - Conectan a Varios Dispositivos, soportan Radio FM, Tarjeta TF y AUX - 4 Horas de Reproducción Musical - Ideal para Trabajo Cotidiano, Juegos y Estudio</t>
        </is>
      </c>
      <c r="H2818" s="16" t="inlineStr">
        <is>
          <t>ROJO</t>
        </is>
      </c>
      <c r="I2818" s="16" t="n">
        <v>1</v>
      </c>
      <c r="J2818" s="17" t="n">
        <v>36.8</v>
      </c>
      <c r="K2818" s="17" t="n">
        <v>49.91</v>
      </c>
      <c r="L2818" s="17" t="n">
        <v>0</v>
      </c>
      <c r="M2818" s="17" t="n">
        <v>0</v>
      </c>
      <c r="N2818" s="17">
        <f>K2818*0.08+L2818*0.08</f>
        <v/>
      </c>
      <c r="O2818" s="17">
        <f>-(K2818*0.025+L2818*0.025)</f>
        <v/>
      </c>
      <c r="P2818" s="17">
        <f>32</f>
        <v/>
      </c>
      <c r="Q2818" s="17">
        <f>J2818+L2818+N2818+O2818-P2818-M2818</f>
        <v/>
      </c>
    </row>
    <row r="2819">
      <c r="A2819" s="16" t="inlineStr">
        <is>
          <t>5.22-5.28</t>
        </is>
      </c>
      <c r="B2819" s="16" t="inlineStr">
        <is>
          <t>PO-128-12330366834550648</t>
        </is>
      </c>
      <c r="C2819" s="16" t="inlineStr">
        <is>
          <t>Delivered</t>
        </is>
      </c>
      <c r="D2819" s="16" t="inlineStr">
        <is>
          <t>128-12330387806070648</t>
        </is>
      </c>
      <c r="E2819" s="16" t="inlineStr">
        <is>
          <t>Delivered</t>
        </is>
      </c>
      <c r="F2819" s="16" t="inlineStr">
        <is>
          <t>LB02235-negro</t>
        </is>
      </c>
      <c r="G2819" s="16" t="inlineStr">
        <is>
          <t>Audífonos Inalámbricos para la Cabeza, Recargables y Multifuncionales - Conectan a Varios Dispositivos, soportan Radio FM, Tarjeta TF y AUX - 4 Horas de Reproducción Musical - Ideal para Trabajo Cotidiano, Juegos y Estudio</t>
        </is>
      </c>
      <c r="H2819" s="16" t="inlineStr">
        <is>
          <t>NEGRO</t>
        </is>
      </c>
      <c r="I2819" s="16" t="n">
        <v>2</v>
      </c>
      <c r="J2819" s="17" t="n">
        <v>73.59999999999999</v>
      </c>
      <c r="K2819" s="17" t="n">
        <v>99.81999999999999</v>
      </c>
      <c r="L2819" s="17" t="n">
        <v>0</v>
      </c>
      <c r="M2819" s="17" t="n">
        <v>0</v>
      </c>
      <c r="N2819" s="17">
        <f>K2819*0.08+L2819*0.08</f>
        <v/>
      </c>
      <c r="O2819" s="17">
        <f>-(K2819*0.025+L2819*0.025)</f>
        <v/>
      </c>
      <c r="P2819" s="17">
        <f>32</f>
        <v/>
      </c>
      <c r="Q2819" s="17">
        <f>J2819+L2819+N2819+O2819-P2819-M2819</f>
        <v/>
      </c>
    </row>
    <row r="2820">
      <c r="A2820" s="16" t="inlineStr">
        <is>
          <t>5.22-5.28</t>
        </is>
      </c>
      <c r="B2820" s="16" t="inlineStr">
        <is>
          <t>PO-128-12330366834550648</t>
        </is>
      </c>
      <c r="C2820" s="16" t="inlineStr">
        <is>
          <t>Delivered</t>
        </is>
      </c>
      <c r="D2820" s="16" t="inlineStr">
        <is>
          <t>128-12330398291830648</t>
        </is>
      </c>
      <c r="E2820" s="16" t="inlineStr">
        <is>
          <t>Delivered</t>
        </is>
      </c>
      <c r="F2820" s="16" t="inlineStr">
        <is>
          <t>LB02235-azul</t>
        </is>
      </c>
      <c r="G2820" s="16" t="inlineStr">
        <is>
          <t>Audífonos Inalámbricos para la Cabeza, Recargables y Multifuncionales - Conectan a Varios Dispositivos, soportan Radio FM, Tarjeta TF y AUX - 4 Horas de Reproducción Musical - Ideal para Trabajo Cotidiano, Juegos y Estudio</t>
        </is>
      </c>
      <c r="H2820" s="16" t="inlineStr">
        <is>
          <t>AZUL</t>
        </is>
      </c>
      <c r="I2820" s="16" t="n">
        <v>1</v>
      </c>
      <c r="J2820" s="17" t="n">
        <v>36.8</v>
      </c>
      <c r="K2820" s="17" t="n">
        <v>49.91</v>
      </c>
      <c r="L2820" s="17" t="n">
        <v>0</v>
      </c>
      <c r="M2820" s="17" t="n">
        <v>0</v>
      </c>
      <c r="N2820" s="17">
        <f>K2820*0.08+L2820*0.08</f>
        <v/>
      </c>
      <c r="O2820" s="17">
        <f>-(K2820*0.025+L2820*0.025)</f>
        <v/>
      </c>
      <c r="P2820" s="17">
        <f>32</f>
        <v/>
      </c>
      <c r="Q2820" s="17">
        <f>J2820+L2820+N2820+O2820-P2820-M2820</f>
        <v/>
      </c>
    </row>
    <row r="2821">
      <c r="A2821" s="16" t="inlineStr">
        <is>
          <t>5.22-5.28</t>
        </is>
      </c>
      <c r="B2821" s="16" t="inlineStr">
        <is>
          <t>PO-128-12029912393591417</t>
        </is>
      </c>
      <c r="C2821" s="16" t="inlineStr">
        <is>
          <t>Delivered</t>
        </is>
      </c>
      <c r="D2821" s="16" t="inlineStr">
        <is>
          <t>128-12029922879351417</t>
        </is>
      </c>
      <c r="E2821" s="16" t="inlineStr">
        <is>
          <t>Delivered</t>
        </is>
      </c>
      <c r="F2821" s="16" t="inlineStr">
        <is>
          <t>MCM-001R</t>
        </is>
      </c>
      <c r="G2821" s="16" t="inlineStr">
        <is>
          <t>Musicord Altavoz Inalámbrico BT Portátil: ¡Sonido impactante, luces LED multicolores y 4 horas de autonomía! Compatible con TWS, FM, TF y USB – Imprescindible para fiestas y viajes</t>
        </is>
      </c>
      <c r="H2821" s="16" t="inlineStr">
        <is>
          <t>ROJO</t>
        </is>
      </c>
      <c r="I2821" s="16" t="n">
        <v>1</v>
      </c>
      <c r="J2821" s="17" t="n">
        <v>66</v>
      </c>
      <c r="K2821" s="17" t="n">
        <v>73.79000000000001</v>
      </c>
      <c r="L2821" s="17" t="n">
        <v>25.86</v>
      </c>
      <c r="M2821" s="17" t="n">
        <v>0</v>
      </c>
      <c r="N2821" s="17">
        <f>K2821*0.08+L2821*0.08</f>
        <v/>
      </c>
      <c r="O2821" s="17">
        <f>-(K2821*0.025+L2821*0.025)</f>
        <v/>
      </c>
      <c r="P2821" s="17">
        <f>32</f>
        <v/>
      </c>
      <c r="Q2821" s="17">
        <f>J2821+L2821+N2821+O2821-P2821-M2821</f>
        <v/>
      </c>
    </row>
    <row r="2822">
      <c r="A2822" s="16" t="inlineStr">
        <is>
          <t>5.22-5.28</t>
        </is>
      </c>
      <c r="B2822" s="16" t="inlineStr">
        <is>
          <t>PO-128-12113186271351942</t>
        </is>
      </c>
      <c r="C2822" s="16" t="inlineStr">
        <is>
          <t>Delivered</t>
        </is>
      </c>
      <c r="D2822" s="16" t="inlineStr">
        <is>
          <t>128-12113207242871942</t>
        </is>
      </c>
      <c r="E2822" s="16" t="inlineStr">
        <is>
          <t>Delivered</t>
        </is>
      </c>
      <c r="F2822" s="16" t="inlineStr">
        <is>
          <t>FA028</t>
        </is>
      </c>
      <c r="G2822" s="16" t="inlineStr">
        <is>
          <t>Extractor de agua para garrafas de agua, compatible con carga USB, extractor de agua automático, práctico, con dos modos de toma de agua: manual y programado, ideal para dormitorios, salones, oficinas, uso al aire libre y otros escenarios.</t>
        </is>
      </c>
      <c r="H2822" s="16" t="inlineStr">
        <is>
          <t>FA028</t>
        </is>
      </c>
      <c r="I2822" s="16" t="n">
        <v>1</v>
      </c>
      <c r="J2822" s="17" t="n">
        <v>27</v>
      </c>
      <c r="K2822" s="17" t="n">
        <v>36.58</v>
      </c>
      <c r="L2822" s="17" t="n">
        <v>25.86</v>
      </c>
      <c r="M2822" s="17" t="n">
        <v>0</v>
      </c>
      <c r="N2822" s="17">
        <f>K2822*0.08+L2822*0.08</f>
        <v/>
      </c>
      <c r="O2822" s="17">
        <f>-(K2822*0.025+L2822*0.025)</f>
        <v/>
      </c>
      <c r="P2822" s="17">
        <f>32</f>
        <v/>
      </c>
      <c r="Q2822" s="17">
        <f>J2822+L2822+N2822+O2822-P2822-M2822</f>
        <v/>
      </c>
    </row>
    <row r="2823">
      <c r="A2823" s="16" t="inlineStr">
        <is>
          <t>5.22-5.28</t>
        </is>
      </c>
      <c r="B2823" s="16" t="inlineStr">
        <is>
          <t>PO-128-12126242645111992</t>
        </is>
      </c>
      <c r="C2823" s="16" t="inlineStr">
        <is>
          <t>Delivered</t>
        </is>
      </c>
      <c r="D2823" s="16" t="inlineStr">
        <is>
          <t>128-12126268859511992</t>
        </is>
      </c>
      <c r="E2823" s="16" t="inlineStr">
        <is>
          <t>Delivered</t>
        </is>
      </c>
      <c r="F2823" s="16" t="inlineStr">
        <is>
          <t>LB02235-negro</t>
        </is>
      </c>
      <c r="G2823" s="16" t="inlineStr">
        <is>
          <t>Audífonos Inalámbricos para la Cabeza, Recargables y Multifuncionales - Conectan a Varios Dispositivos, soportan Radio FM, Tarjeta TF y AUX - 4 Horas de Reproducción Musical - Ideal para Trabajo Cotidiano, Juegos y Estudio</t>
        </is>
      </c>
      <c r="H2823" s="16" t="inlineStr">
        <is>
          <t>NEGRO</t>
        </is>
      </c>
      <c r="I2823" s="16" t="n">
        <v>1</v>
      </c>
      <c r="J2823" s="17" t="n">
        <v>36.8</v>
      </c>
      <c r="K2823" s="17" t="n">
        <v>49.91</v>
      </c>
      <c r="L2823" s="17" t="n">
        <v>25.86</v>
      </c>
      <c r="M2823" s="17" t="n">
        <v>0</v>
      </c>
      <c r="N2823" s="17">
        <f>K2823*0.08+L2823*0.08</f>
        <v/>
      </c>
      <c r="O2823" s="17">
        <f>-(K2823*0.025+L2823*0.025)</f>
        <v/>
      </c>
      <c r="P2823" s="17">
        <f>32</f>
        <v/>
      </c>
      <c r="Q2823" s="17">
        <f>J2823+L2823+N2823+O2823-P2823-M2823</f>
        <v/>
      </c>
    </row>
    <row r="2824">
      <c r="A2824" s="16" t="inlineStr">
        <is>
          <t>5.22-5.28</t>
        </is>
      </c>
      <c r="B2824" s="16" t="inlineStr">
        <is>
          <t>PO-128-11811719212153741</t>
        </is>
      </c>
      <c r="C2824" s="16" t="inlineStr">
        <is>
          <t>Delivered</t>
        </is>
      </c>
      <c r="D2824" s="16" t="inlineStr">
        <is>
          <t>128-11811761155193741</t>
        </is>
      </c>
      <c r="E2824" s="16" t="inlineStr">
        <is>
          <t>Delivered</t>
        </is>
      </c>
      <c r="F2824" s="16" t="inlineStr">
        <is>
          <t>SA8058T</t>
        </is>
      </c>
      <c r="G2824"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2824" s="16" t="inlineStr">
        <is>
          <t>SA8058T</t>
        </is>
      </c>
      <c r="I2824" s="16" t="n">
        <v>1</v>
      </c>
      <c r="J2824" s="17" t="n">
        <v>200</v>
      </c>
      <c r="K2824" s="17" t="n">
        <v>222.66</v>
      </c>
      <c r="L2824" s="17" t="n">
        <v>25.86</v>
      </c>
      <c r="M2824" s="17" t="n">
        <v>0</v>
      </c>
      <c r="N2824" s="17">
        <f>K2824*0.08+L2824*0.08</f>
        <v/>
      </c>
      <c r="O2824" s="17">
        <f>-(K2824*0.025+L2824*0.025)</f>
        <v/>
      </c>
      <c r="P2824" s="17">
        <f>32</f>
        <v/>
      </c>
      <c r="Q2824" s="17">
        <f>J2824+L2824+N2824+O2824-P2824-M2824</f>
        <v/>
      </c>
    </row>
    <row r="2825">
      <c r="A2825" s="16" t="inlineStr">
        <is>
          <t>5.22-5.28</t>
        </is>
      </c>
      <c r="B2825" s="16" t="inlineStr">
        <is>
          <t>PO-128-12290395393910950</t>
        </is>
      </c>
      <c r="C2825" s="16" t="inlineStr">
        <is>
          <t>Delivered</t>
        </is>
      </c>
      <c r="D2825" s="16" t="inlineStr">
        <is>
          <t>128-12290353450870950</t>
        </is>
      </c>
      <c r="E2825" s="16" t="inlineStr">
        <is>
          <t>Delivered</t>
        </is>
      </c>
      <c r="F2825" s="16" t="inlineStr">
        <is>
          <t>LV64W25</t>
        </is>
      </c>
      <c r="G2825" s="16" t="inlineStr">
        <is>
          <t>Ventilador de Techo LED TIANLAI con 5 Aspas, Control Remoto, 3 Colores Luz, 3 Velocidades, Temporizador, Fácil Instalación, E27 para Baño Cocina Dormitorio Salón</t>
        </is>
      </c>
      <c r="H2825" s="16" t="inlineStr">
        <is>
          <t>LV64W25</t>
        </is>
      </c>
      <c r="I2825" s="16" t="n">
        <v>2</v>
      </c>
      <c r="J2825" s="17" t="n">
        <v>198</v>
      </c>
      <c r="K2825" s="17" t="n">
        <v>264.4</v>
      </c>
      <c r="L2825" s="17" t="n">
        <v>0</v>
      </c>
      <c r="M2825" s="17" t="n">
        <v>0</v>
      </c>
      <c r="N2825" s="17">
        <f>K2825*0.08+L2825*0.08</f>
        <v/>
      </c>
      <c r="O2825" s="17">
        <f>-(K2825*0.025+L2825*0.025)</f>
        <v/>
      </c>
      <c r="P2825" s="17">
        <f>32</f>
        <v/>
      </c>
      <c r="Q2825" s="17">
        <f>J2825+L2825+N2825+O2825-P2825-M2825</f>
        <v/>
      </c>
    </row>
    <row r="2826">
      <c r="A2826" s="16" t="inlineStr">
        <is>
          <t>5.22-5.28</t>
        </is>
      </c>
      <c r="B2826" s="16" t="inlineStr">
        <is>
          <t>PO-128-11940573233272973</t>
        </is>
      </c>
      <c r="C2826" s="16" t="inlineStr">
        <is>
          <t>Delivered</t>
        </is>
      </c>
      <c r="D2826" s="16" t="inlineStr">
        <is>
          <t>128-11940541775992973</t>
        </is>
      </c>
      <c r="E2826" s="16" t="inlineStr">
        <is>
          <t>Delivered</t>
        </is>
      </c>
      <c r="F2826" s="16" t="inlineStr">
        <is>
          <t>FA028</t>
        </is>
      </c>
      <c r="G2826" s="16" t="inlineStr">
        <is>
          <t>Extractor de agua para garrafas de agua, compatible con carga USB, extractor de agua automático, práctico, con dos modos de toma de agua: manual y programado, ideal para dormitorios, salones, oficinas, uso al aire libre y otros escenarios.</t>
        </is>
      </c>
      <c r="H2826" s="16" t="inlineStr">
        <is>
          <t>FA028</t>
        </is>
      </c>
      <c r="I2826" s="16" t="n">
        <v>1</v>
      </c>
      <c r="J2826" s="17" t="n">
        <v>27</v>
      </c>
      <c r="K2826" s="17" t="n">
        <v>36.58</v>
      </c>
      <c r="L2826" s="17" t="n">
        <v>25.86</v>
      </c>
      <c r="M2826" s="17" t="n">
        <v>0</v>
      </c>
      <c r="N2826" s="17">
        <f>K2826*0.08+L2826*0.08</f>
        <v/>
      </c>
      <c r="O2826" s="17">
        <f>-(K2826*0.025+L2826*0.025)</f>
        <v/>
      </c>
      <c r="P2826" s="17">
        <f>32</f>
        <v/>
      </c>
      <c r="Q2826" s="17">
        <f>J2826+L2826+N2826+O2826-P2826-M2826</f>
        <v/>
      </c>
    </row>
    <row r="2827">
      <c r="A2827" s="16" t="inlineStr">
        <is>
          <t>5.22-5.28</t>
        </is>
      </c>
      <c r="B2827" s="16" t="inlineStr">
        <is>
          <t>PO-128-12098628790391071</t>
        </is>
      </c>
      <c r="C2827" s="16" t="inlineStr">
        <is>
          <t>Delivered</t>
        </is>
      </c>
      <c r="D2827" s="16" t="inlineStr">
        <is>
          <t>128-12098607818871071</t>
        </is>
      </c>
      <c r="E2827" s="16" t="inlineStr">
        <is>
          <t>Delivered</t>
        </is>
      </c>
      <c r="F2827" s="16" t="inlineStr">
        <is>
          <t>LB02235-rojo</t>
        </is>
      </c>
      <c r="G2827" s="16" t="inlineStr">
        <is>
          <t>Audífonos Inalámbricos para la Cabeza, Recargables y Multifuncionales - Conectan a Varios Dispositivos, soportan Radio FM, Tarjeta TF y AUX - 4 Horas de Reproducción Musical - Ideal para Trabajo Cotidiano, Juegos y Estudio</t>
        </is>
      </c>
      <c r="H2827" s="16" t="inlineStr">
        <is>
          <t>ROJO</t>
        </is>
      </c>
      <c r="I2827" s="16" t="n">
        <v>1</v>
      </c>
      <c r="J2827" s="17" t="n">
        <v>36.8</v>
      </c>
      <c r="K2827" s="17" t="n">
        <v>49.91</v>
      </c>
      <c r="L2827" s="17" t="n">
        <v>25.86</v>
      </c>
      <c r="M2827" s="17" t="n">
        <v>0</v>
      </c>
      <c r="N2827" s="17">
        <f>K2827*0.08+L2827*0.08</f>
        <v/>
      </c>
      <c r="O2827" s="17">
        <f>-(K2827*0.025+L2827*0.025)</f>
        <v/>
      </c>
      <c r="P2827" s="17">
        <f>32</f>
        <v/>
      </c>
      <c r="Q2827" s="17">
        <f>J2827+L2827+N2827+O2827-P2827-M2827</f>
        <v/>
      </c>
    </row>
    <row r="2828">
      <c r="A2828" s="16" t="inlineStr">
        <is>
          <t>5.22-5.28</t>
        </is>
      </c>
      <c r="B2828" s="16" t="inlineStr">
        <is>
          <t>PO-128-12334687183990686</t>
        </is>
      </c>
      <c r="C2828" s="16" t="inlineStr">
        <is>
          <t>Delivered</t>
        </is>
      </c>
      <c r="D2828" s="16" t="inlineStr">
        <is>
          <t>128-12334666212470686</t>
        </is>
      </c>
      <c r="E2828" s="16" t="inlineStr">
        <is>
          <t>Delivered</t>
        </is>
      </c>
      <c r="F2828" s="16" t="inlineStr">
        <is>
          <t>MCM-001N</t>
        </is>
      </c>
      <c r="G2828" s="16" t="inlineStr">
        <is>
          <t>Musicord Altavoz Inalámbrico BT Portátil: ¡Sonido impactante, luces LED multicolores y 4 horas de autonomía! Compatible con TWS, FM, TF y USB – Imprescindible para fiestas y viajes</t>
        </is>
      </c>
      <c r="H2828" s="16" t="inlineStr">
        <is>
          <t>NEGRO</t>
        </is>
      </c>
      <c r="I2828" s="16" t="n">
        <v>1</v>
      </c>
      <c r="J2828" s="17" t="n">
        <v>60.5</v>
      </c>
      <c r="K2828" s="17" t="n">
        <v>49.35</v>
      </c>
      <c r="L2828" s="17" t="n">
        <v>25.86</v>
      </c>
      <c r="M2828" s="17" t="n">
        <v>0</v>
      </c>
      <c r="N2828" s="17">
        <f>K2828*0.08+L2828*0.08</f>
        <v/>
      </c>
      <c r="O2828" s="17">
        <f>-(K2828*0.025+L2828*0.025)</f>
        <v/>
      </c>
      <c r="P2828" s="17">
        <f>32</f>
        <v/>
      </c>
      <c r="Q2828" s="17">
        <f>J2828+L2828+N2828+O2828-P2828-M2828</f>
        <v/>
      </c>
    </row>
    <row r="2829">
      <c r="A2829" s="16" t="inlineStr">
        <is>
          <t>5.22-5.28</t>
        </is>
      </c>
      <c r="B2829" s="16" t="inlineStr">
        <is>
          <t>PO-128-12329873795190653</t>
        </is>
      </c>
      <c r="C2829" s="16" t="inlineStr">
        <is>
          <t>Delivered</t>
        </is>
      </c>
      <c r="D2829" s="16" t="inlineStr">
        <is>
          <t>128-12329831852150653</t>
        </is>
      </c>
      <c r="E2829" s="16" t="inlineStr">
        <is>
          <t>Delivered</t>
        </is>
      </c>
      <c r="F2829" s="16" t="inlineStr">
        <is>
          <t>LB02235-negro</t>
        </is>
      </c>
      <c r="G2829" s="16" t="inlineStr">
        <is>
          <t>Audífonos Inalámbricos para la Cabeza, Recargables y Multifuncionales - Conectan a Varios Dispositivos, soportan Radio FM, Tarjeta TF y AUX - 4 Horas de Reproducción Musical - Ideal para Trabajo Cotidiano, Juegos y Estudio</t>
        </is>
      </c>
      <c r="H2829" s="16" t="inlineStr">
        <is>
          <t>NEGRO</t>
        </is>
      </c>
      <c r="I2829" s="16" t="n">
        <v>1</v>
      </c>
      <c r="J2829" s="17" t="n">
        <v>36.8</v>
      </c>
      <c r="K2829" s="17" t="n">
        <v>39.94</v>
      </c>
      <c r="L2829" s="17" t="n">
        <v>25.86</v>
      </c>
      <c r="M2829" s="17" t="n">
        <v>0</v>
      </c>
      <c r="N2829" s="17">
        <f>K2829*0.08+L2829*0.08</f>
        <v/>
      </c>
      <c r="O2829" s="17">
        <f>-(K2829*0.025+L2829*0.025)</f>
        <v/>
      </c>
      <c r="P2829" s="17">
        <f>32</f>
        <v/>
      </c>
      <c r="Q2829" s="17">
        <f>J2829+L2829+N2829+O2829-P2829-M2829</f>
        <v/>
      </c>
    </row>
    <row r="2830">
      <c r="A2830" s="16" t="inlineStr">
        <is>
          <t>5.22-5.28</t>
        </is>
      </c>
      <c r="B2830" s="16" t="inlineStr">
        <is>
          <t>PO-128-12214765801590507</t>
        </is>
      </c>
      <c r="C2830" s="16" t="inlineStr">
        <is>
          <t>Delivered</t>
        </is>
      </c>
      <c r="D2830" s="16" t="inlineStr">
        <is>
          <t>128-12214750072950507</t>
        </is>
      </c>
      <c r="E2830" s="16" t="inlineStr">
        <is>
          <t>Delivered</t>
        </is>
      </c>
      <c r="F2830" s="16" t="inlineStr">
        <is>
          <t>LB02235-negro</t>
        </is>
      </c>
      <c r="G2830" s="16" t="inlineStr">
        <is>
          <t>Audífonos Inalámbricos para la Cabeza, Recargables y Multifuncionales - Conectan a Varios Dispositivos, soportan Radio FM, Tarjeta TF y AUX - 4 Horas de Reproducción Musical - Ideal para Trabajo Cotidiano, Juegos y Estudio</t>
        </is>
      </c>
      <c r="H2830" s="16" t="inlineStr">
        <is>
          <t>NEGRO</t>
        </is>
      </c>
      <c r="I2830" s="16" t="n">
        <v>1</v>
      </c>
      <c r="J2830" s="17" t="n">
        <v>36.8</v>
      </c>
      <c r="K2830" s="17" t="n">
        <v>49.91</v>
      </c>
      <c r="L2830" s="17" t="n">
        <v>25.86</v>
      </c>
      <c r="M2830" s="17" t="n">
        <v>0</v>
      </c>
      <c r="N2830" s="17">
        <f>K2830*0.08+L2830*0.08</f>
        <v/>
      </c>
      <c r="O2830" s="17">
        <f>-(K2830*0.025+L2830*0.025)</f>
        <v/>
      </c>
      <c r="P2830" s="17">
        <f>32</f>
        <v/>
      </c>
      <c r="Q2830" s="17">
        <f>J2830+L2830+N2830+O2830-P2830-M2830</f>
        <v/>
      </c>
    </row>
    <row r="2831">
      <c r="A2831" s="16" t="inlineStr">
        <is>
          <t>5.22-5.28</t>
        </is>
      </c>
      <c r="B2831" s="16" t="inlineStr">
        <is>
          <t>PO-128-11934384310392112</t>
        </is>
      </c>
      <c r="C2831" s="16" t="inlineStr">
        <is>
          <t>Delivered</t>
        </is>
      </c>
      <c r="D2831" s="16" t="inlineStr">
        <is>
          <t>128-11934426253432112</t>
        </is>
      </c>
      <c r="E2831" s="16" t="inlineStr">
        <is>
          <t>Delivered</t>
        </is>
      </c>
      <c r="F2831" s="16" t="inlineStr">
        <is>
          <t>LB02235-negro</t>
        </is>
      </c>
      <c r="G2831" s="16" t="inlineStr">
        <is>
          <t>Audífonos Inalámbricos para la Cabeza, Recargables y Multifuncionales - Conectan a Varios Dispositivos, soportan Radio FM, Tarjeta TF y AUX - 4 Horas de Reproducción Musical - Ideal para Trabajo Cotidiano, Juegos y Estudio</t>
        </is>
      </c>
      <c r="H2831" s="16" t="inlineStr">
        <is>
          <t>NEGRO</t>
        </is>
      </c>
      <c r="I2831" s="16" t="n">
        <v>1</v>
      </c>
      <c r="J2831" s="17" t="n">
        <v>36.8</v>
      </c>
      <c r="K2831" s="17" t="n">
        <v>49.91</v>
      </c>
      <c r="L2831" s="17" t="n">
        <v>25.86</v>
      </c>
      <c r="M2831" s="17" t="n">
        <v>0</v>
      </c>
      <c r="N2831" s="17">
        <f>K2831*0.08+L2831*0.08</f>
        <v/>
      </c>
      <c r="O2831" s="17">
        <f>-(K2831*0.025+L2831*0.025)</f>
        <v/>
      </c>
      <c r="P2831" s="17">
        <f>32</f>
        <v/>
      </c>
      <c r="Q2831" s="17">
        <f>J2831+L2831+N2831+O2831-P2831-M2831</f>
        <v/>
      </c>
    </row>
    <row r="2832">
      <c r="A2832" s="16" t="inlineStr">
        <is>
          <t>5.22-5.28</t>
        </is>
      </c>
      <c r="B2832" s="16" t="inlineStr">
        <is>
          <t>PO-128-11713642739833364</t>
        </is>
      </c>
      <c r="C2832" s="16" t="inlineStr">
        <is>
          <t>Delivered</t>
        </is>
      </c>
      <c r="D2832" s="16" t="inlineStr">
        <is>
          <t>128-11713655575673364</t>
        </is>
      </c>
      <c r="E2832" s="16" t="inlineStr">
        <is>
          <t>Delivered</t>
        </is>
      </c>
      <c r="F2832" s="16" t="inlineStr">
        <is>
          <t>FA028</t>
        </is>
      </c>
      <c r="G2832" s="16" t="inlineStr">
        <is>
          <t>Extractor de agua para garrafas de agua, compatible con carga USB, extractor de agua automático, práctico, con dos modos de toma de agua: manual y programado, ideal para dormitorios, salones, oficinas, uso al aire libre y otros escenarios.</t>
        </is>
      </c>
      <c r="H2832" s="16" t="inlineStr">
        <is>
          <t>FA028</t>
        </is>
      </c>
      <c r="I2832" s="16" t="n">
        <v>1</v>
      </c>
      <c r="J2832" s="17" t="n">
        <v>27</v>
      </c>
      <c r="K2832" s="17" t="n">
        <v>36.58</v>
      </c>
      <c r="L2832" s="17" t="n">
        <v>9.02</v>
      </c>
      <c r="M2832" s="17" t="n">
        <v>0</v>
      </c>
      <c r="N2832" s="17">
        <f>K2832*0.08+L2832*0.08</f>
        <v/>
      </c>
      <c r="O2832" s="17">
        <f>-(K2832*0.025+L2832*0.025)</f>
        <v/>
      </c>
      <c r="P2832" s="17">
        <f>32</f>
        <v/>
      </c>
      <c r="Q2832" s="17">
        <f>J2832+L2832+N2832+O2832-P2832-M2832</f>
        <v/>
      </c>
    </row>
    <row r="2833">
      <c r="A2833" s="16" t="inlineStr">
        <is>
          <t>5.22-5.28</t>
        </is>
      </c>
      <c r="B2833" s="16" t="inlineStr">
        <is>
          <t>PO-128-11713642739833364</t>
        </is>
      </c>
      <c r="C2833" s="16" t="inlineStr">
        <is>
          <t>Delivered</t>
        </is>
      </c>
      <c r="D2833" s="16" t="inlineStr">
        <is>
          <t>128-11713600796793364</t>
        </is>
      </c>
      <c r="E2833" s="16" t="inlineStr">
        <is>
          <t>Delivered</t>
        </is>
      </c>
      <c r="F2833" s="16" t="inlineStr">
        <is>
          <t>MCM-001N</t>
        </is>
      </c>
      <c r="G2833" s="16" t="inlineStr">
        <is>
          <t>Musicord Altavoz Inalámbrico BT Portátil: ¡Sonido impactante, luces LED multicolores y 4 horas de autonomía! Compatible con TWS, FM, TF y USB – Imprescindible para fiestas y viajes</t>
        </is>
      </c>
      <c r="H2833" s="16" t="inlineStr">
        <is>
          <t>NEGRO</t>
        </is>
      </c>
      <c r="I2833" s="16" t="n">
        <v>1</v>
      </c>
      <c r="J2833" s="17" t="n">
        <v>60.5</v>
      </c>
      <c r="K2833" s="17" t="n">
        <v>68.29000000000001</v>
      </c>
      <c r="L2833" s="17" t="n">
        <v>16.84</v>
      </c>
      <c r="M2833" s="17" t="n">
        <v>0</v>
      </c>
      <c r="N2833" s="17">
        <f>K2833*0.08+L2833*0.08</f>
        <v/>
      </c>
      <c r="O2833" s="17">
        <f>-(K2833*0.025+L2833*0.025)</f>
        <v/>
      </c>
      <c r="P2833" s="17">
        <f>32</f>
        <v/>
      </c>
      <c r="Q2833" s="17">
        <f>J2833+L2833+N2833+O2833-P2833-M2833</f>
        <v/>
      </c>
    </row>
    <row r="2834">
      <c r="A2834" s="16" t="inlineStr">
        <is>
          <t>5.22-5.28</t>
        </is>
      </c>
      <c r="B2834" s="16" t="inlineStr">
        <is>
          <t>PO-128-11758780260473161</t>
        </is>
      </c>
      <c r="C2834" s="16" t="inlineStr">
        <is>
          <t>Delivered</t>
        </is>
      </c>
      <c r="D2834" s="16" t="inlineStr">
        <is>
          <t>128-11758738317433161</t>
        </is>
      </c>
      <c r="E2834" s="16" t="inlineStr">
        <is>
          <t>Delivered</t>
        </is>
      </c>
      <c r="F2834" s="16" t="inlineStr">
        <is>
          <t>LV64W25</t>
        </is>
      </c>
      <c r="G2834" s="16" t="inlineStr">
        <is>
          <t>Ventilador de Techo LED TIANLAI con 5 Aspas, Control Remoto, 3 Colores Luz, 3 Velocidades, Temporizador, Fácil Instalación, E27 para Baño Cocina Dormitorio Salón</t>
        </is>
      </c>
      <c r="H2834" s="16" t="inlineStr">
        <is>
          <t>LV64W25</t>
        </is>
      </c>
      <c r="I2834" s="16" t="n">
        <v>2</v>
      </c>
      <c r="J2834" s="17" t="n">
        <v>198</v>
      </c>
      <c r="K2834" s="17" t="n">
        <v>264.4</v>
      </c>
      <c r="L2834" s="17" t="n">
        <v>0</v>
      </c>
      <c r="M2834" s="17" t="n">
        <v>0</v>
      </c>
      <c r="N2834" s="17">
        <f>K2834*0.08+L2834*0.08</f>
        <v/>
      </c>
      <c r="O2834" s="17">
        <f>-(K2834*0.025+L2834*0.025)</f>
        <v/>
      </c>
      <c r="P2834" s="17">
        <f>32</f>
        <v/>
      </c>
      <c r="Q2834" s="17">
        <f>J2834+L2834+N2834+O2834-P2834-M2834</f>
        <v/>
      </c>
    </row>
    <row r="2835">
      <c r="A2835" s="16" t="inlineStr">
        <is>
          <t>5.22-5.28</t>
        </is>
      </c>
      <c r="B2835" s="16" t="inlineStr">
        <is>
          <t>PO-128-11951848727673032</t>
        </is>
      </c>
      <c r="C2835" s="16" t="inlineStr">
        <is>
          <t>Delivered</t>
        </is>
      </c>
      <c r="D2835" s="16" t="inlineStr">
        <is>
          <t>128-11951901156473032</t>
        </is>
      </c>
      <c r="E2835" s="16" t="inlineStr">
        <is>
          <t>Delivered</t>
        </is>
      </c>
      <c r="F2835" s="16" t="inlineStr">
        <is>
          <t>MCM-001A</t>
        </is>
      </c>
      <c r="G2835" s="16" t="inlineStr">
        <is>
          <t>Musicord Altavoz Inalámbrico BT Portátil: ¡Sonido impactante, luces LED multicolores y 4 horas de autonomía! Compatible con TWS, FM, TF y USB – Imprescindible para fiestas y viajes</t>
        </is>
      </c>
      <c r="H2835" s="16" t="inlineStr">
        <is>
          <t>AZUL</t>
        </is>
      </c>
      <c r="I2835" s="16" t="n">
        <v>1</v>
      </c>
      <c r="J2835" s="17" t="n">
        <v>51.07</v>
      </c>
      <c r="K2835" s="17" t="n">
        <v>59.47</v>
      </c>
      <c r="L2835" s="17" t="n">
        <v>25.86</v>
      </c>
      <c r="M2835" s="17" t="n">
        <v>0</v>
      </c>
      <c r="N2835" s="17">
        <f>K2835*0.08+L2835*0.08</f>
        <v/>
      </c>
      <c r="O2835" s="17">
        <f>-(K2835*0.025+L2835*0.025)</f>
        <v/>
      </c>
      <c r="P2835" s="17">
        <f>32</f>
        <v/>
      </c>
      <c r="Q2835" s="17">
        <f>J2835+L2835+N2835+O2835-P2835-M2835</f>
        <v/>
      </c>
    </row>
    <row r="2836">
      <c r="A2836" s="16" t="inlineStr">
        <is>
          <t>5.22-5.28</t>
        </is>
      </c>
      <c r="B2836" s="16" t="inlineStr">
        <is>
          <t>PO-128-12098187395191072</t>
        </is>
      </c>
      <c r="C2836" s="16" t="inlineStr">
        <is>
          <t>Delivered</t>
        </is>
      </c>
      <c r="D2836" s="16" t="inlineStr">
        <is>
          <t>128-12098145452151072</t>
        </is>
      </c>
      <c r="E2836" s="16" t="inlineStr">
        <is>
          <t>Delivered</t>
        </is>
      </c>
      <c r="F2836" s="16" t="inlineStr">
        <is>
          <t>MB-185N</t>
        </is>
      </c>
      <c r="G2836" s="16" t="inlineStr">
        <is>
          <t>Bocina Radio FM/Reproductor, Compatible con Tarjeta TF, USB, Bluetooth, Aplicable para celular, computadora, Ipad y consola.</t>
        </is>
      </c>
      <c r="H2836" s="16" t="inlineStr">
        <is>
          <t>NEGRO/MB-185</t>
        </is>
      </c>
      <c r="I2836" s="16" t="n">
        <v>1</v>
      </c>
      <c r="J2836" s="17" t="n">
        <v>71.31</v>
      </c>
      <c r="K2836" s="17" t="n">
        <v>84.23999999999999</v>
      </c>
      <c r="L2836" s="17" t="n">
        <v>25.86</v>
      </c>
      <c r="M2836" s="17" t="n">
        <v>0</v>
      </c>
      <c r="N2836" s="17">
        <f>K2836*0.08+L2836*0.08</f>
        <v/>
      </c>
      <c r="O2836" s="17">
        <f>-(K2836*0.025+L2836*0.025)</f>
        <v/>
      </c>
      <c r="P2836" s="17">
        <f>32</f>
        <v/>
      </c>
      <c r="Q2836" s="17">
        <f>J2836+L2836+N2836+O2836-P2836-M2836</f>
        <v/>
      </c>
    </row>
    <row r="2837">
      <c r="A2837" s="16" t="inlineStr">
        <is>
          <t>5.22-5.28</t>
        </is>
      </c>
      <c r="B2837" s="16" t="inlineStr">
        <is>
          <t>PO-128-11887807967352390</t>
        </is>
      </c>
      <c r="C2837" s="16" t="inlineStr">
        <is>
          <t>Delivered</t>
        </is>
      </c>
      <c r="D2837" s="16" t="inlineStr">
        <is>
          <t>128-11887766024312390</t>
        </is>
      </c>
      <c r="E2837" s="16" t="inlineStr">
        <is>
          <t>Delivered</t>
        </is>
      </c>
      <c r="F2837" s="16" t="inlineStr">
        <is>
          <t>S09W18IB</t>
        </is>
      </c>
      <c r="G283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837" s="16" t="inlineStr">
        <is>
          <t>1 pieza</t>
        </is>
      </c>
      <c r="I2837" s="16" t="n">
        <v>2</v>
      </c>
      <c r="J2837" s="17" t="n">
        <v>64</v>
      </c>
      <c r="K2837" s="17" t="n">
        <v>85.28</v>
      </c>
      <c r="L2837" s="17" t="n">
        <v>25.86</v>
      </c>
      <c r="M2837" s="17" t="n">
        <v>0</v>
      </c>
      <c r="N2837" s="17">
        <f>K2837*0.08+L2837*0.08</f>
        <v/>
      </c>
      <c r="O2837" s="17">
        <f>-(K2837*0.025+L2837*0.025)</f>
        <v/>
      </c>
      <c r="P2837" s="17">
        <f>32</f>
        <v/>
      </c>
      <c r="Q2837" s="17">
        <f>J2837+L2837+N2837+O2837-P2837-M2837</f>
        <v/>
      </c>
    </row>
    <row r="2838">
      <c r="A2838" s="16" t="inlineStr">
        <is>
          <t>5.22-5.28</t>
        </is>
      </c>
      <c r="B2838" s="16" t="inlineStr">
        <is>
          <t>PO-128-11852407176313691</t>
        </is>
      </c>
      <c r="C2838" s="16" t="inlineStr">
        <is>
          <t>Delivered</t>
        </is>
      </c>
      <c r="D2838" s="16" t="inlineStr">
        <is>
          <t>128-11852365233273691</t>
        </is>
      </c>
      <c r="E2838" s="16" t="inlineStr">
        <is>
          <t>Delivered</t>
        </is>
      </c>
      <c r="F2838" s="16" t="inlineStr">
        <is>
          <t>KTS-1678A</t>
        </is>
      </c>
      <c r="G2838" s="16" t="inlineStr">
        <is>
          <t>Bocina portátil Inalámbrico, de 3 pulgadas, tamaño de bolsillo, 170 g, con asa, compatible con TF, USB y Micro SD, con radio FM y función TWS (True Wireless Stereo), adecuada para relajarse en casa o viajar al aire libre.</t>
        </is>
      </c>
      <c r="H2838" s="16" t="inlineStr">
        <is>
          <t>KTS-1678A</t>
        </is>
      </c>
      <c r="I2838" s="16" t="n">
        <v>1</v>
      </c>
      <c r="J2838" s="17" t="n">
        <v>40</v>
      </c>
      <c r="K2838" s="17" t="n">
        <v>48.28</v>
      </c>
      <c r="L2838" s="17" t="n">
        <v>25.86</v>
      </c>
      <c r="M2838" s="17" t="n">
        <v>0</v>
      </c>
      <c r="N2838" s="17">
        <f>K2838*0.08+L2838*0.08</f>
        <v/>
      </c>
      <c r="O2838" s="17">
        <f>-(K2838*0.025+L2838*0.025)</f>
        <v/>
      </c>
      <c r="P2838" s="17">
        <f>32</f>
        <v/>
      </c>
      <c r="Q2838" s="17">
        <f>J2838+L2838+N2838+O2838-P2838-M2838</f>
        <v/>
      </c>
    </row>
    <row r="2839">
      <c r="A2839" s="16" t="inlineStr">
        <is>
          <t>5.22-5.28</t>
        </is>
      </c>
      <c r="B2839" s="16" t="inlineStr">
        <is>
          <t>PO-128-11735543329913235</t>
        </is>
      </c>
      <c r="C2839" s="16" t="inlineStr">
        <is>
          <t>Delivered</t>
        </is>
      </c>
      <c r="D2839" s="16" t="inlineStr">
        <is>
          <t>128-11735527601273235</t>
        </is>
      </c>
      <c r="E2839" s="16" t="inlineStr">
        <is>
          <t>Delivered</t>
        </is>
      </c>
      <c r="F2839" s="16" t="inlineStr">
        <is>
          <t>LB02235-negro</t>
        </is>
      </c>
      <c r="G2839" s="16" t="inlineStr">
        <is>
          <t>Audífonos Inalámbricos para la Cabeza, Recargables y Multifuncionales - Conectan a Varios Dispositivos, soportan Radio FM, Tarjeta TF y AUX - 4 Horas de Reproducción Musical - Ideal para Trabajo Cotidiano, Juegos y Estudio</t>
        </is>
      </c>
      <c r="H2839" s="16" t="inlineStr">
        <is>
          <t>NEGRO</t>
        </is>
      </c>
      <c r="I2839" s="16" t="n">
        <v>1</v>
      </c>
      <c r="J2839" s="17" t="n">
        <v>36.8</v>
      </c>
      <c r="K2839" s="17" t="n">
        <v>40.4</v>
      </c>
      <c r="L2839" s="17" t="n">
        <v>12.53</v>
      </c>
      <c r="M2839" s="17" t="n">
        <v>0</v>
      </c>
      <c r="N2839" s="17">
        <f>K2839*0.08+L2839*0.08</f>
        <v/>
      </c>
      <c r="O2839" s="17">
        <f>-(K2839*0.025+L2839*0.025)</f>
        <v/>
      </c>
      <c r="P2839" s="17">
        <f>32</f>
        <v/>
      </c>
      <c r="Q2839" s="17">
        <f>J2839+L2839+N2839+O2839-P2839-M2839</f>
        <v/>
      </c>
    </row>
    <row r="2840">
      <c r="A2840" s="16" t="inlineStr">
        <is>
          <t>5.22-5.28</t>
        </is>
      </c>
      <c r="B2840" s="16" t="inlineStr">
        <is>
          <t>PO-128-11735543329913235</t>
        </is>
      </c>
      <c r="C2840" s="16" t="inlineStr">
        <is>
          <t>Delivered</t>
        </is>
      </c>
      <c r="D2840" s="16" t="inlineStr">
        <is>
          <t>128-11735534154873235</t>
        </is>
      </c>
      <c r="E2840" s="16" t="inlineStr">
        <is>
          <t>Delivered</t>
        </is>
      </c>
      <c r="F2840" s="16" t="inlineStr">
        <is>
          <t>SA323T</t>
        </is>
      </c>
      <c r="G2840" s="16" t="inlineStr">
        <is>
          <t>Linkbits Bocina Portátil Parlantes BT Portátiles con Iluminación de Ambiente | 1 Hora de Duración, FM, TWS, TF/Micro SD | Ideal para Hogar, Fiestas y Viajes</t>
        </is>
      </c>
      <c r="H2840" s="16" t="inlineStr">
        <is>
          <t>SA323T</t>
        </is>
      </c>
      <c r="I2840" s="16" t="n">
        <v>1</v>
      </c>
      <c r="J2840" s="17" t="n">
        <v>44</v>
      </c>
      <c r="K2840" s="17" t="n">
        <v>42.96</v>
      </c>
      <c r="L2840" s="17" t="n">
        <v>13.34</v>
      </c>
      <c r="M2840" s="17" t="n">
        <v>0</v>
      </c>
      <c r="N2840" s="17">
        <f>K2840*0.08+L2840*0.08</f>
        <v/>
      </c>
      <c r="O2840" s="17">
        <f>-(K2840*0.025+L2840*0.025)</f>
        <v/>
      </c>
      <c r="P2840" s="17">
        <f>32</f>
        <v/>
      </c>
      <c r="Q2840" s="17">
        <f>J2840+L2840+N2840+O2840-P2840-M2840</f>
        <v/>
      </c>
    </row>
    <row r="2841">
      <c r="A2841" s="16" t="inlineStr">
        <is>
          <t>5.22-5.28</t>
        </is>
      </c>
      <c r="B2841" s="16" t="inlineStr">
        <is>
          <t>PO-128-12365115871350635</t>
        </is>
      </c>
      <c r="C2841" s="16" t="inlineStr">
        <is>
          <t>Delivered</t>
        </is>
      </c>
      <c r="D2841" s="16" t="inlineStr">
        <is>
          <t>128-12365073928310635</t>
        </is>
      </c>
      <c r="E2841" s="16" t="inlineStr">
        <is>
          <t>Delivered</t>
        </is>
      </c>
      <c r="F2841" s="16" t="inlineStr">
        <is>
          <t>LB02235-blanco</t>
        </is>
      </c>
      <c r="G2841" s="16" t="inlineStr">
        <is>
          <t>Audífonos Inalámbricos para la Cabeza, Recargables y Multifuncionales - Conectan a Varios Dispositivos, soportan Radio FM, Tarjeta TF y AUX - 4 Horas de Reproducción Musical - Ideal para Trabajo Cotidiano, Juegos y Estudio</t>
        </is>
      </c>
      <c r="H2841" s="16" t="inlineStr">
        <is>
          <t>BLANCO</t>
        </is>
      </c>
      <c r="I2841" s="16" t="n">
        <v>1</v>
      </c>
      <c r="J2841" s="17" t="n">
        <v>36.8</v>
      </c>
      <c r="K2841" s="17" t="n">
        <v>49.91</v>
      </c>
      <c r="L2841" s="17" t="n">
        <v>25.86</v>
      </c>
      <c r="M2841" s="17" t="n">
        <v>0</v>
      </c>
      <c r="N2841" s="17">
        <f>K2841*0.08+L2841*0.08</f>
        <v/>
      </c>
      <c r="O2841" s="17">
        <f>-(K2841*0.025+L2841*0.025)</f>
        <v/>
      </c>
      <c r="P2841" s="17">
        <f>32</f>
        <v/>
      </c>
      <c r="Q2841" s="17">
        <f>J2841+L2841+N2841+O2841-P2841-M2841</f>
        <v/>
      </c>
    </row>
    <row r="2842">
      <c r="A2842" s="16" t="inlineStr">
        <is>
          <t>5.22-5.28</t>
        </is>
      </c>
      <c r="B2842" s="16" t="inlineStr">
        <is>
          <t>PO-128-12298677138550967</t>
        </is>
      </c>
      <c r="C2842" s="16" t="inlineStr">
        <is>
          <t>Delivered</t>
        </is>
      </c>
      <c r="D2842" s="16" t="inlineStr">
        <is>
          <t>128-12298635195510967</t>
        </is>
      </c>
      <c r="E2842" s="16" t="inlineStr">
        <is>
          <t>Delivered</t>
        </is>
      </c>
      <c r="F2842" s="16" t="inlineStr">
        <is>
          <t>MCM-001G</t>
        </is>
      </c>
      <c r="G2842" s="16" t="inlineStr">
        <is>
          <t>Musicord Altavoz Inalámbrico BT Portátil: ¡Sonido impactante, luces LED multicolores y 4 horas de autonomía! Compatible con TWS, FM, TF y USB – Imprescindible para fiestas y viajes</t>
        </is>
      </c>
      <c r="H2842" s="16" t="inlineStr">
        <is>
          <t>GRIS</t>
        </is>
      </c>
      <c r="I2842" s="16" t="n">
        <v>1</v>
      </c>
      <c r="J2842" s="17" t="n">
        <v>51</v>
      </c>
      <c r="K2842" s="17" t="n">
        <v>7.07</v>
      </c>
      <c r="L2842" s="17" t="n">
        <v>25.86</v>
      </c>
      <c r="M2842" s="17" t="n">
        <v>0</v>
      </c>
      <c r="N2842" s="17">
        <f>K2842*0.08+L2842*0.08</f>
        <v/>
      </c>
      <c r="O2842" s="17">
        <f>-(K2842*0.025+L2842*0.025)</f>
        <v/>
      </c>
      <c r="P2842" s="17">
        <f>32</f>
        <v/>
      </c>
      <c r="Q2842" s="17">
        <f>J2842+L2842+N2842+O2842-P2842-M2842</f>
        <v/>
      </c>
    </row>
    <row r="2843">
      <c r="A2843" s="16" t="inlineStr">
        <is>
          <t>5.22-5.28</t>
        </is>
      </c>
      <c r="B2843" s="16" t="inlineStr">
        <is>
          <t>PO-128-11922360343672056</t>
        </is>
      </c>
      <c r="C2843" s="16" t="inlineStr">
        <is>
          <t>Delivered</t>
        </is>
      </c>
      <c r="D2843" s="16" t="inlineStr">
        <is>
          <t>128-11922318400632056</t>
        </is>
      </c>
      <c r="E2843" s="16" t="inlineStr">
        <is>
          <t>Delivered</t>
        </is>
      </c>
      <c r="F2843" s="16" t="inlineStr">
        <is>
          <t>LB02235-negro</t>
        </is>
      </c>
      <c r="G2843" s="16" t="inlineStr">
        <is>
          <t>Audífonos Inalámbricos para la Cabeza, Recargables y Multifuncionales - Conectan a Varios Dispositivos, soportan Radio FM, Tarjeta TF y AUX - 4 Horas de Reproducción Musical - Ideal para Trabajo Cotidiano, Juegos y Estudio</t>
        </is>
      </c>
      <c r="H2843" s="16" t="inlineStr">
        <is>
          <t>NEGRO</t>
        </is>
      </c>
      <c r="I2843" s="16" t="n">
        <v>1</v>
      </c>
      <c r="J2843" s="17" t="n">
        <v>36.8</v>
      </c>
      <c r="K2843" s="17" t="n">
        <v>6.81</v>
      </c>
      <c r="L2843" s="17" t="n">
        <v>25.86</v>
      </c>
      <c r="M2843" s="17" t="n">
        <v>0</v>
      </c>
      <c r="N2843" s="17">
        <f>K2843*0.08+L2843*0.08</f>
        <v/>
      </c>
      <c r="O2843" s="17">
        <f>-(K2843*0.025+L2843*0.025)</f>
        <v/>
      </c>
      <c r="P2843" s="17">
        <f>32</f>
        <v/>
      </c>
      <c r="Q2843" s="17">
        <f>J2843+L2843+N2843+O2843-P2843-M2843</f>
        <v/>
      </c>
    </row>
    <row r="2844">
      <c r="A2844" s="16" t="inlineStr">
        <is>
          <t>5.22-5.28</t>
        </is>
      </c>
      <c r="B2844" s="16" t="inlineStr">
        <is>
          <t>PO-128-11885926113912339</t>
        </is>
      </c>
      <c r="C2844" s="16" t="inlineStr">
        <is>
          <t>Delivered</t>
        </is>
      </c>
      <c r="D2844" s="16" t="inlineStr">
        <is>
          <t>128-11885947085432339</t>
        </is>
      </c>
      <c r="E2844" s="16" t="inlineStr">
        <is>
          <t>Delivered</t>
        </is>
      </c>
      <c r="F2844" s="16" t="inlineStr">
        <is>
          <t>LB02235-negro</t>
        </is>
      </c>
      <c r="G2844" s="16" t="inlineStr">
        <is>
          <t>Audífonos Inalámbricos para la Cabeza, Recargables y Multifuncionales - Conectan a Varios Dispositivos, soportan Radio FM, Tarjeta TF y AUX - 4 Horas de Reproducción Musical - Ideal para Trabajo Cotidiano, Juegos y Estudio</t>
        </is>
      </c>
      <c r="H2844" s="16" t="inlineStr">
        <is>
          <t>NEGRO</t>
        </is>
      </c>
      <c r="I2844" s="16" t="n">
        <v>1</v>
      </c>
      <c r="J2844" s="17" t="n">
        <v>36.8</v>
      </c>
      <c r="K2844" s="17" t="n">
        <v>49.91</v>
      </c>
      <c r="L2844" s="17" t="n">
        <v>25.86</v>
      </c>
      <c r="M2844" s="17" t="n">
        <v>0</v>
      </c>
      <c r="N2844" s="17">
        <f>K2844*0.08+L2844*0.08</f>
        <v/>
      </c>
      <c r="O2844" s="17">
        <f>-(K2844*0.025+L2844*0.025)</f>
        <v/>
      </c>
      <c r="P2844" s="17">
        <f>32</f>
        <v/>
      </c>
      <c r="Q2844" s="17">
        <f>J2844+L2844+N2844+O2844-P2844-M2844</f>
        <v/>
      </c>
    </row>
    <row r="2845">
      <c r="A2845" s="16" t="inlineStr">
        <is>
          <t>5.22-5.28</t>
        </is>
      </c>
      <c r="B2845" s="16" t="inlineStr">
        <is>
          <t>PO-128-12085608940151277</t>
        </is>
      </c>
      <c r="C2845" s="16" t="inlineStr">
        <is>
          <t>Delivered</t>
        </is>
      </c>
      <c r="D2845" s="16" t="inlineStr">
        <is>
          <t>128-12085566997111277</t>
        </is>
      </c>
      <c r="E2845" s="16" t="inlineStr">
        <is>
          <t>Delivered</t>
        </is>
      </c>
      <c r="F2845" s="16" t="inlineStr">
        <is>
          <t>VA384T-N</t>
        </is>
      </c>
      <c r="G2845" s="16" t="inlineStr">
        <is>
          <t>Bocina Portátil Bluetooth de 3 Pulgadas con Radio FM, USB TF TWS, Sonido Estéreo 5W, Bocina Recargable para Hogar Exterior Viaje Fiesta Camping</t>
        </is>
      </c>
      <c r="H2845" s="16" t="inlineStr">
        <is>
          <t>NEGRO</t>
        </is>
      </c>
      <c r="I2845" s="16" t="n">
        <v>1</v>
      </c>
      <c r="J2845" s="17" t="n">
        <v>46</v>
      </c>
      <c r="K2845" s="17" t="n">
        <v>56.72</v>
      </c>
      <c r="L2845" s="17" t="n">
        <v>25.86</v>
      </c>
      <c r="M2845" s="17" t="n">
        <v>0</v>
      </c>
      <c r="N2845" s="17">
        <f>K2845*0.08+L2845*0.08</f>
        <v/>
      </c>
      <c r="O2845" s="17">
        <f>-(K2845*0.025+L2845*0.025)</f>
        <v/>
      </c>
      <c r="P2845" s="17">
        <f>32</f>
        <v/>
      </c>
      <c r="Q2845" s="17">
        <f>J2845+L2845+N2845+O2845-P2845-M2845</f>
        <v/>
      </c>
    </row>
    <row r="2846">
      <c r="A2846" s="16" t="inlineStr">
        <is>
          <t>5.22-5.28</t>
        </is>
      </c>
      <c r="B2846" s="16" t="inlineStr">
        <is>
          <t>PO-128-11940709007992970</t>
        </is>
      </c>
      <c r="C2846" s="16" t="inlineStr">
        <is>
          <t>Delivered</t>
        </is>
      </c>
      <c r="D2846" s="16" t="inlineStr">
        <is>
          <t>128-11940813865592970</t>
        </is>
      </c>
      <c r="E2846" s="16" t="inlineStr">
        <is>
          <t>Delivered</t>
        </is>
      </c>
      <c r="F2846" s="16" t="inlineStr">
        <is>
          <t>VA880T</t>
        </is>
      </c>
      <c r="G284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2846" s="16" t="inlineStr">
        <is>
          <t>1 pieza</t>
        </is>
      </c>
      <c r="I2846" s="16" t="n">
        <v>2</v>
      </c>
      <c r="J2846" s="17" t="n">
        <v>260</v>
      </c>
      <c r="K2846" s="17" t="n">
        <v>23.9</v>
      </c>
      <c r="L2846" s="17" t="n">
        <v>0</v>
      </c>
      <c r="M2846" s="17" t="n">
        <v>4.72</v>
      </c>
      <c r="N2846" s="17">
        <f>K2846*0.08+L2846*0.08</f>
        <v/>
      </c>
      <c r="O2846" s="17">
        <f>-(K2846*0.025+L2846*0.025)</f>
        <v/>
      </c>
      <c r="P2846" s="17">
        <f>32</f>
        <v/>
      </c>
      <c r="Q2846" s="17">
        <f>J2846+L2846+N2846+O2846-P2846-M2846</f>
        <v/>
      </c>
    </row>
    <row r="2847">
      <c r="A2847" s="16" t="inlineStr">
        <is>
          <t>5.22-5.28</t>
        </is>
      </c>
      <c r="B2847" s="16" t="inlineStr">
        <is>
          <t>PO-128-11901066220152185</t>
        </is>
      </c>
      <c r="C2847" s="16" t="inlineStr">
        <is>
          <t>Delivered</t>
        </is>
      </c>
      <c r="D2847" s="16" t="inlineStr">
        <is>
          <t>128-11901024277112185</t>
        </is>
      </c>
      <c r="E2847" s="16" t="inlineStr">
        <is>
          <t>Delivered</t>
        </is>
      </c>
      <c r="F2847" s="16" t="inlineStr">
        <is>
          <t>LB02235-negro</t>
        </is>
      </c>
      <c r="G2847" s="16" t="inlineStr">
        <is>
          <t>Audífonos Inalámbricos para la Cabeza, Recargables y Multifuncionales - Conectan a Varios Dispositivos, soportan Radio FM, Tarjeta TF y AUX - 4 Horas de Reproducción Musical - Ideal para Trabajo Cotidiano, Juegos y Estudio</t>
        </is>
      </c>
      <c r="H2847" s="16" t="inlineStr">
        <is>
          <t>NEGRO</t>
        </is>
      </c>
      <c r="I2847" s="16" t="n">
        <v>6</v>
      </c>
      <c r="J2847" s="17" t="n">
        <v>220.8</v>
      </c>
      <c r="K2847" s="17" t="n">
        <v>279.49</v>
      </c>
      <c r="L2847" s="17" t="n">
        <v>0</v>
      </c>
      <c r="M2847" s="17" t="n">
        <v>0</v>
      </c>
      <c r="N2847" s="17">
        <f>K2847*0.08+L2847*0.08</f>
        <v/>
      </c>
      <c r="O2847" s="17">
        <f>-(K2847*0.025+L2847*0.025)</f>
        <v/>
      </c>
      <c r="P2847" s="17">
        <f>32</f>
        <v/>
      </c>
      <c r="Q2847" s="17">
        <f>J2847+L2847+N2847+O2847-P2847-M2847</f>
        <v/>
      </c>
    </row>
    <row r="2848">
      <c r="A2848" s="16" t="inlineStr">
        <is>
          <t>5.22-5.28</t>
        </is>
      </c>
      <c r="B2848" s="16" t="inlineStr">
        <is>
          <t>PO-128-11792683228793855</t>
        </is>
      </c>
      <c r="C2848" s="16" t="inlineStr">
        <is>
          <t>Delivered</t>
        </is>
      </c>
      <c r="D2848" s="16" t="inlineStr">
        <is>
          <t>128-11792641285753855</t>
        </is>
      </c>
      <c r="E2848" s="16" t="inlineStr">
        <is>
          <t>Delivered</t>
        </is>
      </c>
      <c r="F2848" s="16" t="inlineStr">
        <is>
          <t>MB-185N</t>
        </is>
      </c>
      <c r="G2848" s="16" t="inlineStr">
        <is>
          <t>Bocina Radio FM/Reproductor, Compatible con Tarjeta TF, USB, Bluetooth, Aplicable para celular, computadora, Ipad y consola.</t>
        </is>
      </c>
      <c r="H2848" s="16" t="inlineStr">
        <is>
          <t>NEGRO/MB-185</t>
        </is>
      </c>
      <c r="I2848" s="16" t="n">
        <v>1</v>
      </c>
      <c r="J2848" s="17" t="n">
        <v>71.31</v>
      </c>
      <c r="K2848" s="17" t="n">
        <v>41.14</v>
      </c>
      <c r="L2848" s="17" t="n">
        <v>25.86</v>
      </c>
      <c r="M2848" s="17" t="n">
        <v>0</v>
      </c>
      <c r="N2848" s="17">
        <f>K2848*0.08+L2848*0.08</f>
        <v/>
      </c>
      <c r="O2848" s="17">
        <f>-(K2848*0.025+L2848*0.025)</f>
        <v/>
      </c>
      <c r="P2848" s="17">
        <f>32</f>
        <v/>
      </c>
      <c r="Q2848" s="17">
        <f>J2848+L2848+N2848+O2848-P2848-M2848</f>
        <v/>
      </c>
    </row>
    <row r="2849">
      <c r="A2849" s="16" t="inlineStr">
        <is>
          <t>5.22-5.28</t>
        </is>
      </c>
      <c r="B2849" s="16" t="inlineStr">
        <is>
          <t>PO-128-12163162757751708</t>
        </is>
      </c>
      <c r="C2849" s="16" t="inlineStr">
        <is>
          <t>Delivered</t>
        </is>
      </c>
      <c r="D2849" s="16" t="inlineStr">
        <is>
          <t>128-12163299072631708</t>
        </is>
      </c>
      <c r="E2849" s="16" t="inlineStr">
        <is>
          <t>Delivered</t>
        </is>
      </c>
      <c r="F2849" s="16" t="inlineStr">
        <is>
          <t>LB02235-azul</t>
        </is>
      </c>
      <c r="G2849" s="16" t="inlineStr">
        <is>
          <t>Audífonos Inalámbricos para la Cabeza, Recargables y Multifuncionales - Conectan a Varios Dispositivos, soportan Radio FM, Tarjeta TF y AUX - 4 Horas de Reproducción Musical - Ideal para Trabajo Cotidiano, Juegos y Estudio</t>
        </is>
      </c>
      <c r="H2849" s="16" t="inlineStr">
        <is>
          <t>AZUL</t>
        </is>
      </c>
      <c r="I2849" s="16" t="n">
        <v>1</v>
      </c>
      <c r="J2849" s="17" t="n">
        <v>36.8</v>
      </c>
      <c r="K2849" s="17" t="n">
        <v>29.07</v>
      </c>
      <c r="L2849" s="17" t="n">
        <v>25.86</v>
      </c>
      <c r="M2849" s="17" t="n">
        <v>0</v>
      </c>
      <c r="N2849" s="17">
        <f>K2849*0.08+L2849*0.08</f>
        <v/>
      </c>
      <c r="O2849" s="17">
        <f>-(K2849*0.025+L2849*0.025)</f>
        <v/>
      </c>
      <c r="P2849" s="17">
        <f>32</f>
        <v/>
      </c>
      <c r="Q2849" s="17">
        <f>J2849+L2849+N2849+O2849-P2849-M2849</f>
        <v/>
      </c>
    </row>
    <row r="2850">
      <c r="A2850" s="16" t="inlineStr">
        <is>
          <t>5.22-5.28</t>
        </is>
      </c>
      <c r="B2850" s="16" t="inlineStr">
        <is>
          <t>PO-128-11814973799033720</t>
        </is>
      </c>
      <c r="C2850" s="16" t="inlineStr">
        <is>
          <t>Delivered</t>
        </is>
      </c>
      <c r="D2850" s="16" t="inlineStr">
        <is>
          <t>128-11814994770553720</t>
        </is>
      </c>
      <c r="E2850" s="16" t="inlineStr">
        <is>
          <t>Delivered</t>
        </is>
      </c>
      <c r="F2850" s="16" t="inlineStr">
        <is>
          <t>LB02235-rojo</t>
        </is>
      </c>
      <c r="G2850" s="16" t="inlineStr">
        <is>
          <t>Audífonos Inalámbricos para la Cabeza, Recargables y Multifuncionales - Conectan a Varios Dispositivos, soportan Radio FM, Tarjeta TF y AUX - 4 Horas de Reproducción Musical - Ideal para Trabajo Cotidiano, Juegos y Estudio</t>
        </is>
      </c>
      <c r="H2850" s="16" t="inlineStr">
        <is>
          <t>ROJO</t>
        </is>
      </c>
      <c r="I2850" s="16" t="n">
        <v>1</v>
      </c>
      <c r="J2850" s="17" t="n">
        <v>36.8</v>
      </c>
      <c r="K2850" s="17" t="n">
        <v>6.81</v>
      </c>
      <c r="L2850" s="17" t="n">
        <v>25.86</v>
      </c>
      <c r="M2850" s="17" t="n">
        <v>0</v>
      </c>
      <c r="N2850" s="17">
        <f>K2850*0.08+L2850*0.08</f>
        <v/>
      </c>
      <c r="O2850" s="17">
        <f>-(K2850*0.025+L2850*0.025)</f>
        <v/>
      </c>
      <c r="P2850" s="17">
        <f>32</f>
        <v/>
      </c>
      <c r="Q2850" s="17">
        <f>J2850+L2850+N2850+O2850-P2850-M2850</f>
        <v/>
      </c>
    </row>
    <row r="2851">
      <c r="A2851" s="16" t="inlineStr">
        <is>
          <t>5.22-5.28</t>
        </is>
      </c>
      <c r="B2851" s="16" t="inlineStr">
        <is>
          <t>PO-128-12262154102390030</t>
        </is>
      </c>
      <c r="C2851" s="16" t="inlineStr">
        <is>
          <t>Delivered</t>
        </is>
      </c>
      <c r="D2851" s="16" t="inlineStr">
        <is>
          <t>128-12262150170230030</t>
        </is>
      </c>
      <c r="E2851" s="16" t="inlineStr">
        <is>
          <t>Delivered</t>
        </is>
      </c>
      <c r="F2851" s="16" t="inlineStr">
        <is>
          <t>LB02235-blanco</t>
        </is>
      </c>
      <c r="G2851" s="16" t="inlineStr">
        <is>
          <t>Audífonos Inalámbricos para la Cabeza, Recargables y Multifuncionales - Conectan a Varios Dispositivos, soportan Radio FM, Tarjeta TF y AUX - 4 Horas de Reproducción Musical - Ideal para Trabajo Cotidiano, Juegos y Estudio</t>
        </is>
      </c>
      <c r="H2851" s="16" t="inlineStr">
        <is>
          <t>BLANCO</t>
        </is>
      </c>
      <c r="I2851" s="16" t="n">
        <v>1</v>
      </c>
      <c r="J2851" s="17" t="n">
        <v>36.8</v>
      </c>
      <c r="K2851" s="17" t="n">
        <v>49.91</v>
      </c>
      <c r="L2851" s="17" t="n">
        <v>25.86</v>
      </c>
      <c r="M2851" s="17" t="n">
        <v>0</v>
      </c>
      <c r="N2851" s="17">
        <f>K2851*0.08+L2851*0.08</f>
        <v/>
      </c>
      <c r="O2851" s="17">
        <f>-(K2851*0.025+L2851*0.025)</f>
        <v/>
      </c>
      <c r="P2851" s="17">
        <f>32</f>
        <v/>
      </c>
      <c r="Q2851" s="17">
        <f>J2851+L2851+N2851+O2851-P2851-M2851</f>
        <v/>
      </c>
    </row>
    <row r="2852">
      <c r="A2852" s="16" t="inlineStr">
        <is>
          <t>5.22-5.28</t>
        </is>
      </c>
      <c r="B2852" s="16" t="inlineStr">
        <is>
          <t>PO-128-12061051643511359</t>
        </is>
      </c>
      <c r="C2852" s="16" t="inlineStr">
        <is>
          <t>Delivered</t>
        </is>
      </c>
      <c r="D2852" s="16" t="inlineStr">
        <is>
          <t>128-12060999214711359</t>
        </is>
      </c>
      <c r="E2852" s="16" t="inlineStr">
        <is>
          <t>Delivered</t>
        </is>
      </c>
      <c r="F2852" s="16" t="inlineStr">
        <is>
          <t>KTS-1678Y</t>
        </is>
      </c>
      <c r="G2852" s="16" t="inlineStr">
        <is>
          <t>Bocina portátil Inalámbrico, de 3 pulgadas, tamaño de bolsillo, 170 g, con asa, compatible con TF, USB y Micro SD, con radio FM y función TWS (True Wireless Stereo), adecuada para relajarse en casa o viajar al aire libre.</t>
        </is>
      </c>
      <c r="H2852" s="16" t="inlineStr">
        <is>
          <t>KTS-1678Y</t>
        </is>
      </c>
      <c r="I2852" s="16" t="n">
        <v>1</v>
      </c>
      <c r="J2852" s="17" t="n">
        <v>40</v>
      </c>
      <c r="K2852" s="17" t="n">
        <v>46.22</v>
      </c>
      <c r="L2852" s="17" t="n">
        <v>25.86</v>
      </c>
      <c r="M2852" s="17" t="n">
        <v>0</v>
      </c>
      <c r="N2852" s="17">
        <f>K2852*0.08+L2852*0.08</f>
        <v/>
      </c>
      <c r="O2852" s="17">
        <f>-(K2852*0.025+L2852*0.025)</f>
        <v/>
      </c>
      <c r="P2852" s="17">
        <f>32</f>
        <v/>
      </c>
      <c r="Q2852" s="17">
        <f>J2852+L2852+N2852+O2852-P2852-M2852</f>
        <v/>
      </c>
    </row>
    <row r="2853">
      <c r="A2853" s="16" t="inlineStr">
        <is>
          <t>5.22-5.28</t>
        </is>
      </c>
      <c r="B2853" s="16" t="inlineStr">
        <is>
          <t>PO-128-11807003044473961</t>
        </is>
      </c>
      <c r="C2853" s="16" t="inlineStr">
        <is>
          <t>Delivered</t>
        </is>
      </c>
      <c r="D2853" s="16" t="inlineStr">
        <is>
          <t>128-11807107902073961</t>
        </is>
      </c>
      <c r="E2853" s="16" t="inlineStr">
        <is>
          <t>Delivered</t>
        </is>
      </c>
      <c r="F2853" s="16" t="inlineStr">
        <is>
          <t>LB02235-negro</t>
        </is>
      </c>
      <c r="G2853" s="16" t="inlineStr">
        <is>
          <t>Audífonos Inalámbricos para la Cabeza, Recargables y Multifuncionales - Conectan a Varios Dispositivos, soportan Radio FM, Tarjeta TF y AUX - 4 Horas de Reproducción Musical - Ideal para Trabajo Cotidiano, Juegos y Estudio</t>
        </is>
      </c>
      <c r="H2853" s="16" t="inlineStr">
        <is>
          <t>NEGRO</t>
        </is>
      </c>
      <c r="I2853" s="16" t="n">
        <v>1</v>
      </c>
      <c r="J2853" s="17" t="n">
        <v>36.8</v>
      </c>
      <c r="K2853" s="17" t="n">
        <v>6.81</v>
      </c>
      <c r="L2853" s="17" t="n">
        <v>25.86</v>
      </c>
      <c r="M2853" s="17" t="n">
        <v>0</v>
      </c>
      <c r="N2853" s="17">
        <f>K2853*0.08+L2853*0.08</f>
        <v/>
      </c>
      <c r="O2853" s="17">
        <f>-(K2853*0.025+L2853*0.025)</f>
        <v/>
      </c>
      <c r="P2853" s="17">
        <f>32</f>
        <v/>
      </c>
      <c r="Q2853" s="17">
        <f>J2853+L2853+N2853+O2853-P2853-M2853</f>
        <v/>
      </c>
    </row>
    <row r="2854">
      <c r="A2854" s="16" t="inlineStr">
        <is>
          <t>5.22-5.28</t>
        </is>
      </c>
      <c r="B2854" s="16" t="inlineStr">
        <is>
          <t>PO-128-12027482814071431</t>
        </is>
      </c>
      <c r="C2854" s="16" t="inlineStr">
        <is>
          <t>Delivered</t>
        </is>
      </c>
      <c r="D2854" s="16" t="inlineStr">
        <is>
          <t>128-12027524757111431</t>
        </is>
      </c>
      <c r="E2854" s="16" t="inlineStr">
        <is>
          <t>Delivered</t>
        </is>
      </c>
      <c r="F2854" s="16" t="inlineStr">
        <is>
          <t>LB02235-azul</t>
        </is>
      </c>
      <c r="G2854" s="16" t="inlineStr">
        <is>
          <t>Audífonos Inalámbricos para la Cabeza, Recargables y Multifuncionales - Conectan a Varios Dispositivos, soportan Radio FM, Tarjeta TF y AUX - 4 Horas de Reproducción Musical - Ideal para Trabajo Cotidiano, Juegos y Estudio</t>
        </is>
      </c>
      <c r="H2854" s="16" t="inlineStr">
        <is>
          <t>AZUL</t>
        </is>
      </c>
      <c r="I2854" s="16" t="n">
        <v>1</v>
      </c>
      <c r="J2854" s="17" t="n">
        <v>36.8</v>
      </c>
      <c r="K2854" s="17" t="n">
        <v>30.34</v>
      </c>
      <c r="L2854" s="17" t="n">
        <v>25.86</v>
      </c>
      <c r="M2854" s="17" t="n">
        <v>0.49</v>
      </c>
      <c r="N2854" s="17">
        <f>K2854*0.08+L2854*0.08</f>
        <v/>
      </c>
      <c r="O2854" s="17">
        <f>-(K2854*0.025+L2854*0.025)</f>
        <v/>
      </c>
      <c r="P2854" s="17">
        <f>32</f>
        <v/>
      </c>
      <c r="Q2854" s="17">
        <f>J2854+L2854+N2854+O2854-P2854-M2854</f>
        <v/>
      </c>
    </row>
    <row r="2855">
      <c r="A2855" s="16" t="inlineStr">
        <is>
          <t>5.22-5.28</t>
        </is>
      </c>
      <c r="B2855" s="16" t="inlineStr">
        <is>
          <t>PO-128-11920994238072064</t>
        </is>
      </c>
      <c r="C2855" s="16" t="inlineStr">
        <is>
          <t>Delivered</t>
        </is>
      </c>
      <c r="D2855" s="16" t="inlineStr">
        <is>
          <t>128-11921015209592064</t>
        </is>
      </c>
      <c r="E2855" s="16" t="inlineStr">
        <is>
          <t>Delivered</t>
        </is>
      </c>
      <c r="F2855" s="16" t="inlineStr">
        <is>
          <t>LB02235-azul</t>
        </is>
      </c>
      <c r="G2855" s="16" t="inlineStr">
        <is>
          <t>Audífonos Inalámbricos para la Cabeza, Recargables y Multifuncionales - Conectan a Varios Dispositivos, soportan Radio FM, Tarjeta TF y AUX - 4 Horas de Reproducción Musical - Ideal para Trabajo Cotidiano, Juegos y Estudio</t>
        </is>
      </c>
      <c r="H2855" s="16" t="inlineStr">
        <is>
          <t>AZUL</t>
        </is>
      </c>
      <c r="I2855" s="16" t="n">
        <v>1</v>
      </c>
      <c r="J2855" s="17" t="n">
        <v>36.8</v>
      </c>
      <c r="K2855" s="17" t="n">
        <v>49.91</v>
      </c>
      <c r="L2855" s="17" t="n">
        <v>25.86</v>
      </c>
      <c r="M2855" s="17" t="n">
        <v>0</v>
      </c>
      <c r="N2855" s="17">
        <f>K2855*0.08+L2855*0.08</f>
        <v/>
      </c>
      <c r="O2855" s="17">
        <f>-(K2855*0.025+L2855*0.025)</f>
        <v/>
      </c>
      <c r="P2855" s="17">
        <f>32</f>
        <v/>
      </c>
      <c r="Q2855" s="17">
        <f>J2855+L2855+N2855+O2855-P2855-M2855</f>
        <v/>
      </c>
    </row>
    <row r="2856">
      <c r="A2856" s="16" t="inlineStr">
        <is>
          <t>5.22-5.28</t>
        </is>
      </c>
      <c r="B2856" s="16" t="inlineStr">
        <is>
          <t>PO-128-11687466660473456</t>
        </is>
      </c>
      <c r="C2856" s="16" t="inlineStr">
        <is>
          <t>Delivered</t>
        </is>
      </c>
      <c r="D2856" s="16" t="inlineStr">
        <is>
          <t>128-11687487631993456</t>
        </is>
      </c>
      <c r="E2856" s="16" t="inlineStr">
        <is>
          <t>Delivered</t>
        </is>
      </c>
      <c r="F2856" s="16" t="inlineStr">
        <is>
          <t>MB-178-N</t>
        </is>
      </c>
      <c r="G2856" s="16" t="inlineStr">
        <is>
          <t>Bocina de Barra Bluetooth LINK BITS con dos altavoces, sonido de alta calidad y multifuncional (Bluetooth, Radio FM, USB, TF, AUX, TWS), ideal para juegos, reuniones, oficina y cine en casa.</t>
        </is>
      </c>
      <c r="H2856" s="16" t="inlineStr">
        <is>
          <t>NEGRO</t>
        </is>
      </c>
      <c r="I2856" s="16" t="n">
        <v>1</v>
      </c>
      <c r="J2856" s="17" t="n">
        <v>120</v>
      </c>
      <c r="K2856" s="17" t="n">
        <v>136.2</v>
      </c>
      <c r="L2856" s="17" t="n">
        <v>25.86</v>
      </c>
      <c r="M2856" s="17" t="n">
        <v>0</v>
      </c>
      <c r="N2856" s="17">
        <f>K2856*0.08+L2856*0.08</f>
        <v/>
      </c>
      <c r="O2856" s="17">
        <f>-(K2856*0.025+L2856*0.025)</f>
        <v/>
      </c>
      <c r="P2856" s="17">
        <f>32</f>
        <v/>
      </c>
      <c r="Q2856" s="17">
        <f>J2856+L2856+N2856+O2856-P2856-M2856</f>
        <v/>
      </c>
    </row>
    <row r="2857">
      <c r="A2857" s="16" t="inlineStr">
        <is>
          <t>5.22-5.28</t>
        </is>
      </c>
      <c r="B2857" s="16" t="inlineStr">
        <is>
          <t>PO-128-12165800474231759</t>
        </is>
      </c>
      <c r="C2857" s="16" t="inlineStr">
        <is>
          <t>Delivered</t>
        </is>
      </c>
      <c r="D2857" s="16" t="inlineStr">
        <is>
          <t>128-12165758531191759</t>
        </is>
      </c>
      <c r="E2857" s="16" t="inlineStr">
        <is>
          <t>Delivered</t>
        </is>
      </c>
      <c r="F2857" s="16" t="inlineStr">
        <is>
          <t>SA325T</t>
        </is>
      </c>
      <c r="G2857" s="16" t="inlineStr">
        <is>
          <t>Subwoofer Portátil Inalámbrico con Luces RGB, Sonido de Alta Potencia y Batería Duradera, TWS TF USB, Perfecto para Campamento Fiestas y Entretenimiento en Casa</t>
        </is>
      </c>
      <c r="H2857" s="16" t="inlineStr">
        <is>
          <t>NEGRO</t>
        </is>
      </c>
      <c r="I2857" s="16" t="n">
        <v>1</v>
      </c>
      <c r="J2857" s="17" t="n">
        <v>36</v>
      </c>
      <c r="K2857" s="17" t="n">
        <v>45.04</v>
      </c>
      <c r="L2857" s="17" t="n">
        <v>25.86</v>
      </c>
      <c r="M2857" s="17" t="n">
        <v>0</v>
      </c>
      <c r="N2857" s="17">
        <f>K2857*0.08+L2857*0.08</f>
        <v/>
      </c>
      <c r="O2857" s="17">
        <f>-(K2857*0.025+L2857*0.025)</f>
        <v/>
      </c>
      <c r="P2857" s="17">
        <f>32</f>
        <v/>
      </c>
      <c r="Q2857" s="17">
        <f>J2857+L2857+N2857+O2857-P2857-M2857</f>
        <v/>
      </c>
    </row>
    <row r="2858">
      <c r="A2858" s="16" t="inlineStr">
        <is>
          <t>5.22-5.28</t>
        </is>
      </c>
      <c r="B2858" s="16" t="inlineStr">
        <is>
          <t>PO-128-11899642071672193</t>
        </is>
      </c>
      <c r="C2858" s="16" t="inlineStr">
        <is>
          <t>Delivered</t>
        </is>
      </c>
      <c r="D2858" s="16" t="inlineStr">
        <is>
          <t>128-11899621100152193</t>
        </is>
      </c>
      <c r="E2858" s="16" t="inlineStr">
        <is>
          <t>Delivered</t>
        </is>
      </c>
      <c r="F2858" s="16" t="inlineStr">
        <is>
          <t>KTS-1678V</t>
        </is>
      </c>
      <c r="G2858" s="16" t="inlineStr">
        <is>
          <t>Bocina portátil Inalámbrico, de 3 pulgadas, tamaño de bolsillo, 170 g, con asa, compatible con TF, USB y Micro SD, con radio FM y función TWS (True Wireless Stereo), adecuada para relajarse en casa o viajar al aire libre.</t>
        </is>
      </c>
      <c r="H2858" s="16" t="inlineStr">
        <is>
          <t>KTS-1678V</t>
        </is>
      </c>
      <c r="I2858" s="16" t="n">
        <v>1</v>
      </c>
      <c r="J2858" s="17" t="n">
        <v>40</v>
      </c>
      <c r="K2858" s="17" t="n">
        <v>41.04</v>
      </c>
      <c r="L2858" s="17" t="n">
        <v>25.86</v>
      </c>
      <c r="M2858" s="17" t="n">
        <v>0</v>
      </c>
      <c r="N2858" s="17">
        <f>K2858*0.08+L2858*0.08</f>
        <v/>
      </c>
      <c r="O2858" s="17">
        <f>-(K2858*0.025+L2858*0.025)</f>
        <v/>
      </c>
      <c r="P2858" s="17">
        <f>32</f>
        <v/>
      </c>
      <c r="Q2858" s="17">
        <f>J2858+L2858+N2858+O2858-P2858-M2858</f>
        <v/>
      </c>
    </row>
    <row r="2859">
      <c r="A2859" s="16" t="inlineStr">
        <is>
          <t>5.22-5.28</t>
        </is>
      </c>
      <c r="B2859" s="16" t="inlineStr">
        <is>
          <t>PO-128-12013941243512598</t>
        </is>
      </c>
      <c r="C2859" s="16" t="inlineStr">
        <is>
          <t>Delivered</t>
        </is>
      </c>
      <c r="D2859" s="16" t="inlineStr">
        <is>
          <t>128-12013962215032598</t>
        </is>
      </c>
      <c r="E2859" s="16" t="inlineStr">
        <is>
          <t>Delivered</t>
        </is>
      </c>
      <c r="F2859" s="16" t="inlineStr">
        <is>
          <t>LB02235-negro</t>
        </is>
      </c>
      <c r="G2859" s="16" t="inlineStr">
        <is>
          <t>Audífonos Inalámbricos para la Cabeza, Recargables y Multifuncionales - Conectan a Varios Dispositivos, soportan Radio FM, Tarjeta TF y AUX - 4 Horas de Reproducción Musical - Ideal para Trabajo Cotidiano, Juegos y Estudio</t>
        </is>
      </c>
      <c r="H2859" s="16" t="inlineStr">
        <is>
          <t>NEGRO</t>
        </is>
      </c>
      <c r="I2859" s="16" t="n">
        <v>1</v>
      </c>
      <c r="J2859" s="17" t="n">
        <v>36.8</v>
      </c>
      <c r="K2859" s="17" t="n">
        <v>49.91</v>
      </c>
      <c r="L2859" s="17" t="n">
        <v>25.86</v>
      </c>
      <c r="M2859" s="17" t="n">
        <v>0</v>
      </c>
      <c r="N2859" s="17">
        <f>K2859*0.08+L2859*0.08</f>
        <v/>
      </c>
      <c r="O2859" s="17">
        <f>-(K2859*0.025+L2859*0.025)</f>
        <v/>
      </c>
      <c r="P2859" s="17">
        <f>32</f>
        <v/>
      </c>
      <c r="Q2859" s="17">
        <f>J2859+L2859+N2859+O2859-P2859-M2859</f>
        <v/>
      </c>
    </row>
    <row r="2860">
      <c r="A2860" s="16" t="inlineStr">
        <is>
          <t>5.22-5.28</t>
        </is>
      </c>
      <c r="B2860" s="16" t="inlineStr">
        <is>
          <t>PO-128-11737071196793288</t>
        </is>
      </c>
      <c r="C2860" s="16" t="inlineStr">
        <is>
          <t>Delivered</t>
        </is>
      </c>
      <c r="D2860" s="16" t="inlineStr">
        <is>
          <t>128-11737113139833288</t>
        </is>
      </c>
      <c r="E2860" s="16" t="inlineStr">
        <is>
          <t>Delivered</t>
        </is>
      </c>
      <c r="F2860" s="16" t="inlineStr">
        <is>
          <t>MB-185N</t>
        </is>
      </c>
      <c r="G2860" s="16" t="inlineStr">
        <is>
          <t>Bocina Radio FM/Reproductor, Compatible con Tarjeta TF, USB, Bluetooth, Aplicable para celular, computadora, Ipad y consola.</t>
        </is>
      </c>
      <c r="H2860" s="16" t="inlineStr">
        <is>
          <t>NEGRO/MB-185</t>
        </is>
      </c>
      <c r="I2860" s="16" t="n">
        <v>1</v>
      </c>
      <c r="J2860" s="17" t="n">
        <v>71.31</v>
      </c>
      <c r="K2860" s="17" t="n">
        <v>84.23999999999999</v>
      </c>
      <c r="L2860" s="17" t="n">
        <v>25.86</v>
      </c>
      <c r="M2860" s="17" t="n">
        <v>0</v>
      </c>
      <c r="N2860" s="17">
        <f>K2860*0.08+L2860*0.08</f>
        <v/>
      </c>
      <c r="O2860" s="17">
        <f>-(K2860*0.025+L2860*0.025)</f>
        <v/>
      </c>
      <c r="P2860" s="17">
        <f>32</f>
        <v/>
      </c>
      <c r="Q2860" s="17">
        <f>J2860+L2860+N2860+O2860-P2860-M2860</f>
        <v/>
      </c>
    </row>
    <row r="2861">
      <c r="A2861" s="16" t="inlineStr">
        <is>
          <t>5.22-5.28</t>
        </is>
      </c>
      <c r="B2861" s="16" t="inlineStr">
        <is>
          <t>PO-128-11756444017273111</t>
        </is>
      </c>
      <c r="C2861" s="16" t="inlineStr">
        <is>
          <t>Delivered</t>
        </is>
      </c>
      <c r="D2861" s="16" t="inlineStr">
        <is>
          <t>128-11756402074233111</t>
        </is>
      </c>
      <c r="E2861" s="16" t="inlineStr">
        <is>
          <t>Delivered</t>
        </is>
      </c>
      <c r="F2861" s="16" t="inlineStr">
        <is>
          <t>EM04W36</t>
        </is>
      </c>
      <c r="G286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861" s="16" t="inlineStr">
        <is>
          <t>1 pieza</t>
        </is>
      </c>
      <c r="I2861" s="16" t="n">
        <v>1</v>
      </c>
      <c r="J2861" s="17" t="n">
        <v>60</v>
      </c>
      <c r="K2861" s="17" t="n">
        <v>69.29000000000001</v>
      </c>
      <c r="L2861" s="17" t="n">
        <v>25.86</v>
      </c>
      <c r="M2861" s="17" t="n">
        <v>0</v>
      </c>
      <c r="N2861" s="17">
        <f>K2861*0.08+L2861*0.08</f>
        <v/>
      </c>
      <c r="O2861" s="17">
        <f>-(K2861*0.025+L2861*0.025)</f>
        <v/>
      </c>
      <c r="P2861" s="17">
        <f>32</f>
        <v/>
      </c>
      <c r="Q2861" s="17">
        <f>J2861+L2861+N2861+O2861-P2861-M2861</f>
        <v/>
      </c>
    </row>
    <row r="2862">
      <c r="A2862" s="16" t="inlineStr">
        <is>
          <t>5.22-5.28</t>
        </is>
      </c>
      <c r="B2862" s="16" t="inlineStr">
        <is>
          <t>PO-128-12023269806712670</t>
        </is>
      </c>
      <c r="C2862" s="16" t="inlineStr">
        <is>
          <t>Delivered</t>
        </is>
      </c>
      <c r="D2862" s="16" t="inlineStr">
        <is>
          <t>128-12023303885432670</t>
        </is>
      </c>
      <c r="E2862" s="16" t="inlineStr">
        <is>
          <t>Delivered</t>
        </is>
      </c>
      <c r="F2862" s="16" t="inlineStr">
        <is>
          <t>LB02235-negro</t>
        </is>
      </c>
      <c r="G2862" s="16" t="inlineStr">
        <is>
          <t>Audífonos Inalámbricos para la Cabeza, Recargables y Multifuncionales - Conectan a Varios Dispositivos, soportan Radio FM, Tarjeta TF y AUX - 4 Horas de Reproducción Musical - Ideal para Trabajo Cotidiano, Juegos y Estudio</t>
        </is>
      </c>
      <c r="H2862" s="16" t="inlineStr">
        <is>
          <t>NEGRO</t>
        </is>
      </c>
      <c r="I2862" s="16" t="n">
        <v>3</v>
      </c>
      <c r="J2862" s="17" t="n">
        <v>110.4</v>
      </c>
      <c r="K2862" s="17" t="n">
        <v>149.73</v>
      </c>
      <c r="L2862" s="17" t="n">
        <v>25.86</v>
      </c>
      <c r="M2862" s="17" t="n">
        <v>0</v>
      </c>
      <c r="N2862" s="17">
        <f>K2862*0.08+L2862*0.08</f>
        <v/>
      </c>
      <c r="O2862" s="17">
        <f>-(K2862*0.025+L2862*0.025)</f>
        <v/>
      </c>
      <c r="P2862" s="17">
        <f>32</f>
        <v/>
      </c>
      <c r="Q2862" s="17">
        <f>J2862+L2862+N2862+O2862-P2862-M2862</f>
        <v/>
      </c>
    </row>
    <row r="2863">
      <c r="A2863" s="16" t="inlineStr">
        <is>
          <t>5.22-5.28</t>
        </is>
      </c>
      <c r="B2863" s="16" t="inlineStr">
        <is>
          <t>PO-128-11962922071672838</t>
        </is>
      </c>
      <c r="C2863" s="16" t="inlineStr">
        <is>
          <t>Delivered</t>
        </is>
      </c>
      <c r="D2863" s="16" t="inlineStr">
        <is>
          <t>128-11962932557432838</t>
        </is>
      </c>
      <c r="E2863" s="16" t="inlineStr">
        <is>
          <t>Delivered</t>
        </is>
      </c>
      <c r="F2863" s="16" t="inlineStr">
        <is>
          <t>LB02235-negro</t>
        </is>
      </c>
      <c r="G2863" s="16" t="inlineStr">
        <is>
          <t>Audífonos Inalámbricos para la Cabeza, Recargables y Multifuncionales - Conectan a Varios Dispositivos, soportan Radio FM, Tarjeta TF y AUX - 4 Horas de Reproducción Musical - Ideal para Trabajo Cotidiano, Juegos y Estudio</t>
        </is>
      </c>
      <c r="H2863" s="16" t="inlineStr">
        <is>
          <t>NEGRO</t>
        </is>
      </c>
      <c r="I2863" s="16" t="n">
        <v>1</v>
      </c>
      <c r="J2863" s="17" t="n">
        <v>36.8</v>
      </c>
      <c r="K2863" s="17" t="n">
        <v>49.91</v>
      </c>
      <c r="L2863" s="17" t="n">
        <v>25.86</v>
      </c>
      <c r="M2863" s="17" t="n">
        <v>0</v>
      </c>
      <c r="N2863" s="17">
        <f>K2863*0.08+L2863*0.08</f>
        <v/>
      </c>
      <c r="O2863" s="17">
        <f>-(K2863*0.025+L2863*0.025)</f>
        <v/>
      </c>
      <c r="P2863" s="17">
        <f>32</f>
        <v/>
      </c>
      <c r="Q2863" s="17">
        <f>J2863+L2863+N2863+O2863-P2863-M2863</f>
        <v/>
      </c>
    </row>
    <row r="2864">
      <c r="A2864" s="16" t="inlineStr">
        <is>
          <t>5.22-5.28</t>
        </is>
      </c>
      <c r="B2864" s="16" t="inlineStr">
        <is>
          <t>PO-128-12054812344951330</t>
        </is>
      </c>
      <c r="C2864" s="16" t="inlineStr">
        <is>
          <t>Delivered</t>
        </is>
      </c>
      <c r="D2864" s="16" t="inlineStr">
        <is>
          <t>128-12054783509111330</t>
        </is>
      </c>
      <c r="E2864" s="16" t="inlineStr">
        <is>
          <t>Delivered</t>
        </is>
      </c>
      <c r="F2864" s="16" t="inlineStr">
        <is>
          <t>VA384T-G</t>
        </is>
      </c>
      <c r="G2864" s="16" t="inlineStr">
        <is>
          <t>Bocina Portátil Bluetooth de 3 Pulgadas con Radio FM, USB TF TWS, Sonido Estéreo 5W, Bocina Recargable para Hogar Exterior Viaje Fiesta Camping</t>
        </is>
      </c>
      <c r="H2864" s="16" t="inlineStr">
        <is>
          <t>GRIS</t>
        </is>
      </c>
      <c r="I2864" s="16" t="n">
        <v>1</v>
      </c>
      <c r="J2864" s="17" t="n">
        <v>46</v>
      </c>
      <c r="K2864" s="17" t="n">
        <v>56.72</v>
      </c>
      <c r="L2864" s="17" t="n">
        <v>25.86</v>
      </c>
      <c r="M2864" s="17" t="n">
        <v>0</v>
      </c>
      <c r="N2864" s="17">
        <f>K2864*0.08+L2864*0.08</f>
        <v/>
      </c>
      <c r="O2864" s="17">
        <f>-(K2864*0.025+L2864*0.025)</f>
        <v/>
      </c>
      <c r="P2864" s="17">
        <f>32</f>
        <v/>
      </c>
      <c r="Q2864" s="17">
        <f>J2864+L2864+N2864+O2864-P2864-M2864</f>
        <v/>
      </c>
    </row>
    <row r="2865">
      <c r="A2865" s="16" t="inlineStr">
        <is>
          <t>5.22-5.28</t>
        </is>
      </c>
      <c r="B2865" s="16" t="inlineStr">
        <is>
          <t>PO-128-12057928561271312</t>
        </is>
      </c>
      <c r="C2865" s="16" t="inlineStr">
        <is>
          <t>Delivered</t>
        </is>
      </c>
      <c r="D2865" s="16" t="inlineStr">
        <is>
          <t>128-12057886618231312</t>
        </is>
      </c>
      <c r="E2865" s="16" t="inlineStr">
        <is>
          <t>Delivered</t>
        </is>
      </c>
      <c r="F2865" s="16" t="inlineStr">
        <is>
          <t>SA323T</t>
        </is>
      </c>
      <c r="G2865" s="16" t="inlineStr">
        <is>
          <t>Linkbits Bocina Portátil Parlantes BT Portátiles con Iluminación de Ambiente | 1 Hora de Duración, FM, TWS, TF/Micro SD | Ideal para Hogar, Fiestas y Viajes</t>
        </is>
      </c>
      <c r="H2865" s="16" t="inlineStr">
        <is>
          <t>SA323T</t>
        </is>
      </c>
      <c r="I2865" s="16" t="n">
        <v>1</v>
      </c>
      <c r="J2865" s="17" t="n">
        <v>44</v>
      </c>
      <c r="K2865" s="17" t="n">
        <v>53.06</v>
      </c>
      <c r="L2865" s="17" t="n">
        <v>25.86</v>
      </c>
      <c r="M2865" s="17" t="n">
        <v>0</v>
      </c>
      <c r="N2865" s="17">
        <f>K2865*0.08+L2865*0.08</f>
        <v/>
      </c>
      <c r="O2865" s="17">
        <f>-(K2865*0.025+L2865*0.025)</f>
        <v/>
      </c>
      <c r="P2865" s="17">
        <f>32</f>
        <v/>
      </c>
      <c r="Q2865" s="17">
        <f>J2865+L2865+N2865+O2865-P2865-M2865</f>
        <v/>
      </c>
    </row>
    <row r="2866">
      <c r="A2866" s="16" t="inlineStr">
        <is>
          <t>5.22-5.28</t>
        </is>
      </c>
      <c r="B2866" s="16" t="inlineStr">
        <is>
          <t>PO-128-11738309985913283</t>
        </is>
      </c>
      <c r="C2866" s="16" t="inlineStr">
        <is>
          <t>Delivered</t>
        </is>
      </c>
      <c r="D2866" s="16" t="inlineStr">
        <is>
          <t>128-11738268042873283</t>
        </is>
      </c>
      <c r="E2866" s="16" t="inlineStr">
        <is>
          <t>Delivered</t>
        </is>
      </c>
      <c r="F2866" s="16" t="inlineStr">
        <is>
          <t>SA325T</t>
        </is>
      </c>
      <c r="G2866" s="16" t="inlineStr">
        <is>
          <t>Subwoofer Portátil Inalámbrico con Luces RGB, Sonido de Alta Potencia y Batería Duradera, TWS TF USB, Perfecto para Campamento Fiestas y Entretenimiento en Casa</t>
        </is>
      </c>
      <c r="H2866" s="16" t="inlineStr">
        <is>
          <t>NEGRO</t>
        </is>
      </c>
      <c r="I2866" s="16" t="n">
        <v>20</v>
      </c>
      <c r="J2866" s="17" t="n">
        <v>720</v>
      </c>
      <c r="K2866" s="17" t="n">
        <v>823.2</v>
      </c>
      <c r="L2866" s="17" t="n">
        <v>0</v>
      </c>
      <c r="M2866" s="17" t="n">
        <v>0</v>
      </c>
      <c r="N2866" s="17">
        <f>K2866*0.08+L2866*0.08</f>
        <v/>
      </c>
      <c r="O2866" s="17">
        <f>-(K2866*0.025+L2866*0.025)</f>
        <v/>
      </c>
      <c r="P2866" s="17">
        <f>32</f>
        <v/>
      </c>
      <c r="Q2866" s="17">
        <f>J2866+L2866+N2866+O2866-P2866-M2866</f>
        <v/>
      </c>
    </row>
    <row r="2867">
      <c r="A2867" s="16" t="inlineStr">
        <is>
          <t>5.22-5.28</t>
        </is>
      </c>
      <c r="B2867" s="16" t="inlineStr">
        <is>
          <t>PO-128-12251233628790161</t>
        </is>
      </c>
      <c r="C2867" s="16" t="inlineStr">
        <is>
          <t>Delivered</t>
        </is>
      </c>
      <c r="D2867" s="16" t="inlineStr">
        <is>
          <t>128-12251385672310161</t>
        </is>
      </c>
      <c r="E2867" s="16" t="inlineStr">
        <is>
          <t>Delivered</t>
        </is>
      </c>
      <c r="F2867" s="16" t="inlineStr">
        <is>
          <t>MB-185N</t>
        </is>
      </c>
      <c r="G2867" s="16" t="inlineStr">
        <is>
          <t>Bocina Radio FM/Reproductor, Compatible con Tarjeta TF, USB, Bluetooth, Aplicable para celular, computadora, Ipad y consola.</t>
        </is>
      </c>
      <c r="H2867" s="16" t="inlineStr">
        <is>
          <t>NEGRO/MB-185</t>
        </is>
      </c>
      <c r="I2867" s="16" t="n">
        <v>1</v>
      </c>
      <c r="J2867" s="17" t="n">
        <v>71.31</v>
      </c>
      <c r="K2867" s="17" t="n">
        <v>84.23999999999999</v>
      </c>
      <c r="L2867" s="17" t="n">
        <v>25.86</v>
      </c>
      <c r="M2867" s="17" t="n">
        <v>0</v>
      </c>
      <c r="N2867" s="17">
        <f>K2867*0.08+L2867*0.08</f>
        <v/>
      </c>
      <c r="O2867" s="17">
        <f>-(K2867*0.025+L2867*0.025)</f>
        <v/>
      </c>
      <c r="P2867" s="17">
        <f>32</f>
        <v/>
      </c>
      <c r="Q2867" s="17">
        <f>J2867+L2867+N2867+O2867-P2867-M2867</f>
        <v/>
      </c>
    </row>
    <row r="2868">
      <c r="A2868" s="16" t="inlineStr">
        <is>
          <t>5.22-5.28</t>
        </is>
      </c>
      <c r="B2868" s="16" t="inlineStr">
        <is>
          <t>PO-128-12180379239031542</t>
        </is>
      </c>
      <c r="C2868" s="16" t="inlineStr">
        <is>
          <t>Delivered</t>
        </is>
      </c>
      <c r="D2868" s="16" t="inlineStr">
        <is>
          <t>128-12180400210551542</t>
        </is>
      </c>
      <c r="E2868" s="16" t="inlineStr">
        <is>
          <t>Delivered</t>
        </is>
      </c>
      <c r="F2868" s="16" t="inlineStr">
        <is>
          <t>LB02235-blanco</t>
        </is>
      </c>
      <c r="G2868" s="16" t="inlineStr">
        <is>
          <t>Audífonos Inalámbricos para la Cabeza, Recargables y Multifuncionales - Conectan a Varios Dispositivos, soportan Radio FM, Tarjeta TF y AUX - 4 Horas de Reproducción Musical - Ideal para Trabajo Cotidiano, Juegos y Estudio</t>
        </is>
      </c>
      <c r="H2868" s="16" t="inlineStr">
        <is>
          <t>BLANCO</t>
        </is>
      </c>
      <c r="I2868" s="16" t="n">
        <v>5</v>
      </c>
      <c r="J2868" s="17" t="n">
        <v>184</v>
      </c>
      <c r="K2868" s="17" t="n">
        <v>206.45</v>
      </c>
      <c r="L2868" s="17" t="n">
        <v>25.85</v>
      </c>
      <c r="M2868" s="17" t="n">
        <v>0</v>
      </c>
      <c r="N2868" s="17">
        <f>K2868*0.08+L2868*0.08</f>
        <v/>
      </c>
      <c r="O2868" s="17">
        <f>-(K2868*0.025+L2868*0.025)</f>
        <v/>
      </c>
      <c r="P2868" s="17">
        <f>32</f>
        <v/>
      </c>
      <c r="Q2868" s="17">
        <f>J2868+L2868+N2868+O2868-P2868-M2868</f>
        <v/>
      </c>
    </row>
    <row r="2869">
      <c r="A2869" s="16" t="inlineStr">
        <is>
          <t>5.22-5.28</t>
        </is>
      </c>
      <c r="B2869" s="16" t="inlineStr">
        <is>
          <t>PO-128-11966625536632816</t>
        </is>
      </c>
      <c r="C2869" s="16" t="inlineStr">
        <is>
          <t>Delivered</t>
        </is>
      </c>
      <c r="D2869" s="16" t="inlineStr">
        <is>
          <t>128-11966646508152816</t>
        </is>
      </c>
      <c r="E2869" s="16" t="inlineStr">
        <is>
          <t>Delivered</t>
        </is>
      </c>
      <c r="F2869" s="16" t="inlineStr">
        <is>
          <t>SA325T</t>
        </is>
      </c>
      <c r="G2869" s="16" t="inlineStr">
        <is>
          <t>Subwoofer Portátil Inalámbrico con Luces RGB, Sonido de Alta Potencia y Batería Duradera, TWS TF USB, Perfecto para Campamento Fiestas y Entretenimiento en Casa</t>
        </is>
      </c>
      <c r="H2869" s="16" t="inlineStr">
        <is>
          <t>NEGRO</t>
        </is>
      </c>
      <c r="I2869" s="16" t="n">
        <v>1</v>
      </c>
      <c r="J2869" s="17" t="n">
        <v>36</v>
      </c>
      <c r="K2869" s="17" t="n">
        <v>1.94</v>
      </c>
      <c r="L2869" s="17" t="n">
        <v>25.86</v>
      </c>
      <c r="M2869" s="17" t="n">
        <v>0</v>
      </c>
      <c r="N2869" s="17">
        <f>K2869*0.08+L2869*0.08</f>
        <v/>
      </c>
      <c r="O2869" s="17">
        <f>-(K2869*0.025+L2869*0.025)</f>
        <v/>
      </c>
      <c r="P2869" s="17">
        <f>32</f>
        <v/>
      </c>
      <c r="Q2869" s="17">
        <f>J2869+L2869+N2869+O2869-P2869-M2869</f>
        <v/>
      </c>
    </row>
    <row r="2870">
      <c r="A2870" s="16" t="inlineStr">
        <is>
          <t>5.22-5.28</t>
        </is>
      </c>
      <c r="B2870" s="16" t="inlineStr">
        <is>
          <t>PO-128-12005350974072587</t>
        </is>
      </c>
      <c r="C2870" s="16" t="inlineStr">
        <is>
          <t>Delivered</t>
        </is>
      </c>
      <c r="D2870" s="16" t="inlineStr">
        <is>
          <t>128-12005309031032587</t>
        </is>
      </c>
      <c r="E2870" s="16" t="inlineStr">
        <is>
          <t>Delivered</t>
        </is>
      </c>
      <c r="F2870" s="16" t="inlineStr">
        <is>
          <t>LB02235-negro</t>
        </is>
      </c>
      <c r="G2870" s="16" t="inlineStr">
        <is>
          <t>Audífonos Inalámbricos para la Cabeza, Recargables y Multifuncionales - Conectan a Varios Dispositivos, soportan Radio FM, Tarjeta TF y AUX - 4 Horas de Reproducción Musical - Ideal para Trabajo Cotidiano, Juegos y Estudio</t>
        </is>
      </c>
      <c r="H2870" s="16" t="inlineStr">
        <is>
          <t>NEGRO</t>
        </is>
      </c>
      <c r="I2870" s="16" t="n">
        <v>1</v>
      </c>
      <c r="J2870" s="17" t="n">
        <v>36.8</v>
      </c>
      <c r="K2870" s="17" t="n">
        <v>49.91</v>
      </c>
      <c r="L2870" s="17" t="n">
        <v>25.86</v>
      </c>
      <c r="M2870" s="17" t="n">
        <v>0</v>
      </c>
      <c r="N2870" s="17">
        <f>K2870*0.08+L2870*0.08</f>
        <v/>
      </c>
      <c r="O2870" s="17">
        <f>-(K2870*0.025+L2870*0.025)</f>
        <v/>
      </c>
      <c r="P2870" s="17">
        <f>32</f>
        <v/>
      </c>
      <c r="Q2870" s="17">
        <f>J2870+L2870+N2870+O2870-P2870-M2870</f>
        <v/>
      </c>
    </row>
    <row r="2871">
      <c r="A2871" s="16" t="inlineStr">
        <is>
          <t>5.22-5.28</t>
        </is>
      </c>
      <c r="B2871" s="16" t="inlineStr">
        <is>
          <t>PO-128-12135387505271810</t>
        </is>
      </c>
      <c r="C2871" s="16" t="inlineStr">
        <is>
          <t>Delivered</t>
        </is>
      </c>
      <c r="D2871" s="16" t="inlineStr">
        <is>
          <t>128-12135455662711810</t>
        </is>
      </c>
      <c r="E2871" s="16" t="inlineStr">
        <is>
          <t>Delivered</t>
        </is>
      </c>
      <c r="F2871" s="16" t="inlineStr">
        <is>
          <t>LB02235-negro</t>
        </is>
      </c>
      <c r="G2871" s="16" t="inlineStr">
        <is>
          <t>Audífonos Inalámbricos para la Cabeza, Recargables y Multifuncionales - Conectan a Varios Dispositivos, soportan Radio FM, Tarjeta TF y AUX - 4 Horas de Reproducción Musical - Ideal para Trabajo Cotidiano, Juegos y Estudio</t>
        </is>
      </c>
      <c r="H2871" s="16" t="inlineStr">
        <is>
          <t>NEGRO</t>
        </is>
      </c>
      <c r="I2871" s="16" t="n">
        <v>1</v>
      </c>
      <c r="J2871" s="17" t="n">
        <v>36.8</v>
      </c>
      <c r="K2871" s="17" t="n">
        <v>39.94</v>
      </c>
      <c r="L2871" s="17" t="n">
        <v>25.86</v>
      </c>
      <c r="M2871" s="17" t="n">
        <v>0</v>
      </c>
      <c r="N2871" s="17">
        <f>K2871*0.08+L2871*0.08</f>
        <v/>
      </c>
      <c r="O2871" s="17">
        <f>-(K2871*0.025+L2871*0.025)</f>
        <v/>
      </c>
      <c r="P2871" s="17">
        <f>32</f>
        <v/>
      </c>
      <c r="Q2871" s="17">
        <f>J2871+L2871+N2871+O2871-P2871-M2871</f>
        <v/>
      </c>
    </row>
    <row r="2872">
      <c r="A2872" s="16" t="inlineStr">
        <is>
          <t>5.22-5.28</t>
        </is>
      </c>
      <c r="B2872" s="16" t="inlineStr">
        <is>
          <t>PO-128-12263548181110022</t>
        </is>
      </c>
      <c r="C2872" s="16" t="inlineStr">
        <is>
          <t>Delivered</t>
        </is>
      </c>
      <c r="D2872" s="16" t="inlineStr">
        <is>
          <t>128-12263527209590022</t>
        </is>
      </c>
      <c r="E2872" s="16" t="inlineStr">
        <is>
          <t>Delivered</t>
        </is>
      </c>
      <c r="F2872" s="16" t="inlineStr">
        <is>
          <t>LB02235-negro</t>
        </is>
      </c>
      <c r="G2872" s="16" t="inlineStr">
        <is>
          <t>Audífonos Inalámbricos para la Cabeza, Recargables y Multifuncionales - Conectan a Varios Dispositivos, soportan Radio FM, Tarjeta TF y AUX - 4 Horas de Reproducción Musical - Ideal para Trabajo Cotidiano, Juegos y Estudio</t>
        </is>
      </c>
      <c r="H2872" s="16" t="inlineStr">
        <is>
          <t>NEGRO</t>
        </is>
      </c>
      <c r="I2872" s="16" t="n">
        <v>1</v>
      </c>
      <c r="J2872" s="17" t="n">
        <v>36.8</v>
      </c>
      <c r="K2872" s="17" t="n">
        <v>39.94</v>
      </c>
      <c r="L2872" s="17" t="n">
        <v>25.86</v>
      </c>
      <c r="M2872" s="17" t="n">
        <v>0</v>
      </c>
      <c r="N2872" s="17">
        <f>K2872*0.08+L2872*0.08</f>
        <v/>
      </c>
      <c r="O2872" s="17">
        <f>-(K2872*0.025+L2872*0.025)</f>
        <v/>
      </c>
      <c r="P2872" s="17">
        <f>32</f>
        <v/>
      </c>
      <c r="Q2872" s="17">
        <f>J2872+L2872+N2872+O2872-P2872-M2872</f>
        <v/>
      </c>
    </row>
    <row r="2873">
      <c r="A2873" s="16" t="inlineStr">
        <is>
          <t>5.22-5.28</t>
        </is>
      </c>
      <c r="B2873" s="16" t="inlineStr">
        <is>
          <t>PO-128-12323155871350885</t>
        </is>
      </c>
      <c r="C2873" s="16" t="inlineStr">
        <is>
          <t>Delivered</t>
        </is>
      </c>
      <c r="D2873" s="16" t="inlineStr">
        <is>
          <t>128-12323176842870885</t>
        </is>
      </c>
      <c r="E2873" s="16" t="inlineStr">
        <is>
          <t>Delivered</t>
        </is>
      </c>
      <c r="F2873" s="16" t="inlineStr">
        <is>
          <t>KTS-1678R</t>
        </is>
      </c>
      <c r="G2873" s="16" t="inlineStr">
        <is>
          <t>Bocina portátil Inalámbrico, de 3 pulgadas, tamaño de bolsillo, 170 g, con asa, compatible con TF, USB y Micro SD, con radio FM y función TWS (True Wireless Stereo), adecuada para relajarse en casa o viajar al aire libre.</t>
        </is>
      </c>
      <c r="H2873" s="16" t="inlineStr">
        <is>
          <t>KTS-1678R</t>
        </is>
      </c>
      <c r="I2873" s="16" t="n">
        <v>1</v>
      </c>
      <c r="J2873" s="17" t="n">
        <v>40</v>
      </c>
      <c r="K2873" s="17" t="n">
        <v>48.28</v>
      </c>
      <c r="L2873" s="17" t="n">
        <v>25.86</v>
      </c>
      <c r="M2873" s="17" t="n">
        <v>0</v>
      </c>
      <c r="N2873" s="17">
        <f>K2873*0.08+L2873*0.08</f>
        <v/>
      </c>
      <c r="O2873" s="17">
        <f>-(K2873*0.025+L2873*0.025)</f>
        <v/>
      </c>
      <c r="P2873" s="17">
        <f>32</f>
        <v/>
      </c>
      <c r="Q2873" s="17">
        <f>J2873+L2873+N2873+O2873-P2873-M2873</f>
        <v/>
      </c>
    </row>
    <row r="2874">
      <c r="A2874" s="16" t="inlineStr">
        <is>
          <t>5.22-5.28</t>
        </is>
      </c>
      <c r="B2874" s="16" t="inlineStr">
        <is>
          <t>PO-128-12069196145271180</t>
        </is>
      </c>
      <c r="C2874" s="16" t="inlineStr">
        <is>
          <t>Delivered</t>
        </is>
      </c>
      <c r="D2874" s="16" t="inlineStr">
        <is>
          <t>128-12069276099191180</t>
        </is>
      </c>
      <c r="E2874" s="16" t="inlineStr">
        <is>
          <t>Delivered</t>
        </is>
      </c>
      <c r="F2874" s="16" t="inlineStr">
        <is>
          <t>VA384T-N</t>
        </is>
      </c>
      <c r="G2874" s="16" t="inlineStr">
        <is>
          <t>Bocina Portátil Bluetooth de 3 Pulgadas con Radio FM, USB TF TWS, Sonido Estéreo 5W, Bocina Recargable para Hogar Exterior Viaje Fiesta Camping</t>
        </is>
      </c>
      <c r="H2874" s="16" t="inlineStr">
        <is>
          <t>NEGRO</t>
        </is>
      </c>
      <c r="I2874" s="16" t="n">
        <v>1</v>
      </c>
      <c r="J2874" s="17" t="n">
        <v>46</v>
      </c>
      <c r="K2874" s="17" t="n">
        <v>56.72</v>
      </c>
      <c r="L2874" s="17" t="n">
        <v>0</v>
      </c>
      <c r="M2874" s="17" t="n">
        <v>0</v>
      </c>
      <c r="N2874" s="17">
        <f>K2874*0.08+L2874*0.08</f>
        <v/>
      </c>
      <c r="O2874" s="17">
        <f>-(K2874*0.025+L2874*0.025)</f>
        <v/>
      </c>
      <c r="P2874" s="17">
        <f>32</f>
        <v/>
      </c>
      <c r="Q2874" s="17">
        <f>J2874+L2874+N2874+O2874-P2874-M2874</f>
        <v/>
      </c>
    </row>
    <row r="2875">
      <c r="A2875" s="16" t="inlineStr">
        <is>
          <t>5.22-5.28</t>
        </is>
      </c>
      <c r="B2875" s="16" t="inlineStr">
        <is>
          <t>PO-128-12069196145271180</t>
        </is>
      </c>
      <c r="C2875" s="16" t="inlineStr">
        <is>
          <t>Delivered</t>
        </is>
      </c>
      <c r="D2875" s="16" t="inlineStr">
        <is>
          <t>128-12069339013751180</t>
        </is>
      </c>
      <c r="E2875" s="16" t="inlineStr">
        <is>
          <t>Delivered</t>
        </is>
      </c>
      <c r="F2875" s="16" t="inlineStr">
        <is>
          <t>MB-185R</t>
        </is>
      </c>
      <c r="G2875" s="16" t="inlineStr">
        <is>
          <t>Bocina Radio FM/Reproductor, Compatible con Tarjeta TF, USB, Bluetooth, Aplicable para celular, computadora, Ipad y consola.</t>
        </is>
      </c>
      <c r="H2875" s="16" t="inlineStr">
        <is>
          <t>ROJO/MB-185</t>
        </is>
      </c>
      <c r="I2875" s="16" t="n">
        <v>1</v>
      </c>
      <c r="J2875" s="17" t="n">
        <v>71.31</v>
      </c>
      <c r="K2875" s="17" t="n">
        <v>84.23999999999999</v>
      </c>
      <c r="L2875" s="17" t="n">
        <v>0</v>
      </c>
      <c r="M2875" s="17" t="n">
        <v>0</v>
      </c>
      <c r="N2875" s="17">
        <f>K2875*0.08+L2875*0.08</f>
        <v/>
      </c>
      <c r="O2875" s="17">
        <f>-(K2875*0.025+L2875*0.025)</f>
        <v/>
      </c>
      <c r="P2875" s="17">
        <f>32</f>
        <v/>
      </c>
      <c r="Q2875" s="17">
        <f>J2875+L2875+N2875+O2875-P2875-M2875</f>
        <v/>
      </c>
    </row>
    <row r="2876">
      <c r="A2876" s="16" t="inlineStr">
        <is>
          <t>5.22-5.28</t>
        </is>
      </c>
      <c r="B2876" s="16" t="inlineStr">
        <is>
          <t>PO-128-12069196145271180</t>
        </is>
      </c>
      <c r="C2876" s="16" t="inlineStr">
        <is>
          <t>Delivered</t>
        </is>
      </c>
      <c r="D2876" s="16" t="inlineStr">
        <is>
          <t>128-12069318042231180</t>
        </is>
      </c>
      <c r="E2876" s="16" t="inlineStr">
        <is>
          <t>Delivered</t>
        </is>
      </c>
      <c r="F2876" s="16" t="inlineStr">
        <is>
          <t>VA384T-A</t>
        </is>
      </c>
      <c r="G2876" s="16" t="inlineStr">
        <is>
          <t>Bocina Portátil Bluetooth de 3 Pulgadas con Radio FM, USB TF TWS, Sonido Estéreo 5W, Bocina Recargable para Hogar Exterior Viaje Fiesta Camping</t>
        </is>
      </c>
      <c r="H2876" s="16" t="inlineStr">
        <is>
          <t>AZUL</t>
        </is>
      </c>
      <c r="I2876" s="16" t="n">
        <v>1</v>
      </c>
      <c r="J2876" s="17" t="n">
        <v>46</v>
      </c>
      <c r="K2876" s="17" t="n">
        <v>56.72</v>
      </c>
      <c r="L2876" s="17" t="n">
        <v>0</v>
      </c>
      <c r="M2876" s="17" t="n">
        <v>0</v>
      </c>
      <c r="N2876" s="17">
        <f>K2876*0.08+L2876*0.08</f>
        <v/>
      </c>
      <c r="O2876" s="17">
        <f>-(K2876*0.025+L2876*0.025)</f>
        <v/>
      </c>
      <c r="P2876" s="17">
        <f>32</f>
        <v/>
      </c>
      <c r="Q2876" s="17">
        <f>J2876+L2876+N2876+O2876-P2876-M2876</f>
        <v/>
      </c>
    </row>
    <row r="2877">
      <c r="A2877" s="16" t="inlineStr">
        <is>
          <t>5.22-5.28</t>
        </is>
      </c>
      <c r="B2877" s="16" t="inlineStr">
        <is>
          <t>PO-128-12069196145271180</t>
        </is>
      </c>
      <c r="C2877" s="16" t="inlineStr">
        <is>
          <t>Delivered</t>
        </is>
      </c>
      <c r="D2877" s="16" t="inlineStr">
        <is>
          <t>128-12069359985271180</t>
        </is>
      </c>
      <c r="E2877" s="16" t="inlineStr">
        <is>
          <t>Delivered</t>
        </is>
      </c>
      <c r="F2877" s="16" t="inlineStr">
        <is>
          <t>SA325T</t>
        </is>
      </c>
      <c r="G2877" s="16" t="inlineStr">
        <is>
          <t>Subwoofer Portátil Inalámbrico con Luces RGB, Sonido de Alta Potencia y Batería Duradera, TWS TF USB, Perfecto para Campamento Fiestas y Entretenimiento en Casa</t>
        </is>
      </c>
      <c r="H2877" s="16" t="inlineStr">
        <is>
          <t>NEGRO</t>
        </is>
      </c>
      <c r="I2877" s="16" t="n">
        <v>2</v>
      </c>
      <c r="J2877" s="17" t="n">
        <v>72</v>
      </c>
      <c r="K2877" s="17" t="n">
        <v>90.08</v>
      </c>
      <c r="L2877" s="17" t="n">
        <v>0</v>
      </c>
      <c r="M2877" s="17" t="n">
        <v>0</v>
      </c>
      <c r="N2877" s="17">
        <f>K2877*0.08+L2877*0.08</f>
        <v/>
      </c>
      <c r="O2877" s="17">
        <f>-(K2877*0.025+L2877*0.025)</f>
        <v/>
      </c>
      <c r="P2877" s="17">
        <f>32</f>
        <v/>
      </c>
      <c r="Q2877" s="17">
        <f>J2877+L2877+N2877+O2877-P2877-M2877</f>
        <v/>
      </c>
    </row>
    <row r="2878">
      <c r="A2878" s="16" t="inlineStr">
        <is>
          <t>5.22-5.28</t>
        </is>
      </c>
      <c r="B2878" s="16" t="inlineStr">
        <is>
          <t>PO-128-11706492457593342</t>
        </is>
      </c>
      <c r="C2878" s="16" t="inlineStr">
        <is>
          <t>Delivered</t>
        </is>
      </c>
      <c r="D2878" s="16" t="inlineStr">
        <is>
          <t>128-11706511463033342</t>
        </is>
      </c>
      <c r="E2878" s="16" t="inlineStr">
        <is>
          <t>Delivered</t>
        </is>
      </c>
      <c r="F2878" s="16" t="inlineStr">
        <is>
          <t>SA323T</t>
        </is>
      </c>
      <c r="G2878" s="16" t="inlineStr">
        <is>
          <t>Linkbits Bocina Portátil Parlantes BT Portátiles con Iluminación de Ambiente | 1 Hora de Duración, FM, TWS, TF/Micro SD | Ideal para Hogar, Fiestas y Viajes</t>
        </is>
      </c>
      <c r="H2878" s="16" t="inlineStr">
        <is>
          <t>SA323T</t>
        </is>
      </c>
      <c r="I2878" s="16" t="n">
        <v>1</v>
      </c>
      <c r="J2878" s="17" t="n">
        <v>44</v>
      </c>
      <c r="K2878" s="17" t="n">
        <v>53.06</v>
      </c>
      <c r="L2878" s="17" t="n">
        <v>25.86</v>
      </c>
      <c r="M2878" s="17" t="n">
        <v>0</v>
      </c>
      <c r="N2878" s="17">
        <f>K2878*0.08+L2878*0.08</f>
        <v/>
      </c>
      <c r="O2878" s="17">
        <f>-(K2878*0.025+L2878*0.025)</f>
        <v/>
      </c>
      <c r="P2878" s="17">
        <f>32</f>
        <v/>
      </c>
      <c r="Q2878" s="17">
        <f>J2878+L2878+N2878+O2878-P2878-M2878</f>
        <v/>
      </c>
    </row>
    <row r="2879">
      <c r="A2879" s="16" t="inlineStr">
        <is>
          <t>5.22-5.28</t>
        </is>
      </c>
      <c r="B2879" s="16" t="inlineStr">
        <is>
          <t>PO-128-11768157799033169</t>
        </is>
      </c>
      <c r="C2879" s="16" t="inlineStr">
        <is>
          <t>Delivered</t>
        </is>
      </c>
      <c r="D2879" s="16" t="inlineStr">
        <is>
          <t>128-11768163041913169</t>
        </is>
      </c>
      <c r="E2879" s="16" t="inlineStr">
        <is>
          <t>Delivered</t>
        </is>
      </c>
      <c r="F2879" s="16" t="inlineStr">
        <is>
          <t>FA028</t>
        </is>
      </c>
      <c r="G2879" s="16" t="inlineStr">
        <is>
          <t>Extractor de agua para garrafas de agua, compatible con carga USB, extractor de agua automático, práctico, con dos modos de toma de agua: manual y programado, ideal para dormitorios, salones, oficinas, uso al aire libre y otros escenarios.</t>
        </is>
      </c>
      <c r="H2879" s="16" t="inlineStr">
        <is>
          <t>FA028</t>
        </is>
      </c>
      <c r="I2879" s="16" t="n">
        <v>1</v>
      </c>
      <c r="J2879" s="17" t="n">
        <v>27</v>
      </c>
      <c r="K2879" s="17" t="n">
        <v>36.58</v>
      </c>
      <c r="L2879" s="17" t="n">
        <v>25.86</v>
      </c>
      <c r="M2879" s="17" t="n">
        <v>0</v>
      </c>
      <c r="N2879" s="17">
        <f>K2879*0.08+L2879*0.08</f>
        <v/>
      </c>
      <c r="O2879" s="17">
        <f>-(K2879*0.025+L2879*0.025)</f>
        <v/>
      </c>
      <c r="P2879" s="17">
        <f>32</f>
        <v/>
      </c>
      <c r="Q2879" s="17">
        <f>J2879+L2879+N2879+O2879-P2879-M2879</f>
        <v/>
      </c>
    </row>
    <row r="2880">
      <c r="A2880" s="16" t="inlineStr">
        <is>
          <t>5.22-5.28</t>
        </is>
      </c>
      <c r="B2880" s="16" t="inlineStr">
        <is>
          <t>PO-128-12223275889270262</t>
        </is>
      </c>
      <c r="C2880" s="16" t="inlineStr">
        <is>
          <t>Delivered</t>
        </is>
      </c>
      <c r="D2880" s="16" t="inlineStr">
        <is>
          <t>128-12223233946230262</t>
        </is>
      </c>
      <c r="E2880" s="16" t="inlineStr">
        <is>
          <t>Delivered</t>
        </is>
      </c>
      <c r="F2880" s="16" t="inlineStr">
        <is>
          <t>FA028</t>
        </is>
      </c>
      <c r="G2880" s="16" t="inlineStr">
        <is>
          <t>Extractor de agua para garrafas de agua, compatible con carga USB, extractor de agua automático, práctico, con dos modos de toma de agua: manual y programado, ideal para dormitorios, salones, oficinas, uso al aire libre y otros escenarios.</t>
        </is>
      </c>
      <c r="H2880" s="16" t="inlineStr">
        <is>
          <t>FA028</t>
        </is>
      </c>
      <c r="I2880" s="16" t="n">
        <v>1</v>
      </c>
      <c r="J2880" s="17" t="n">
        <v>27</v>
      </c>
      <c r="K2880" s="17" t="n">
        <v>36.58</v>
      </c>
      <c r="L2880" s="17" t="n">
        <v>25.86</v>
      </c>
      <c r="M2880" s="17" t="n">
        <v>0</v>
      </c>
      <c r="N2880" s="17">
        <f>K2880*0.08+L2880*0.08</f>
        <v/>
      </c>
      <c r="O2880" s="17">
        <f>-(K2880*0.025+L2880*0.025)</f>
        <v/>
      </c>
      <c r="P2880" s="17">
        <f>32</f>
        <v/>
      </c>
      <c r="Q2880" s="17">
        <f>J2880+L2880+N2880+O2880-P2880-M2880</f>
        <v/>
      </c>
    </row>
    <row r="2881">
      <c r="A2881" s="16" t="inlineStr">
        <is>
          <t>5.22-5.28</t>
        </is>
      </c>
      <c r="B2881" s="16" t="inlineStr">
        <is>
          <t>PO-128-11885298279032343</t>
        </is>
      </c>
      <c r="C2881" s="16" t="inlineStr">
        <is>
          <t>Delivered</t>
        </is>
      </c>
      <c r="D2881" s="16" t="inlineStr">
        <is>
          <t>128-11885256335992343</t>
        </is>
      </c>
      <c r="E2881" s="16" t="inlineStr">
        <is>
          <t>Delivered</t>
        </is>
      </c>
      <c r="F2881" s="16" t="inlineStr">
        <is>
          <t>KTS-1678R</t>
        </is>
      </c>
      <c r="G2881" s="16" t="inlineStr">
        <is>
          <t>Bocina portátil Inalámbrico, de 3 pulgadas, tamaño de bolsillo, 170 g, con asa, compatible con TF, USB y Micro SD, con radio FM y función TWS (True Wireless Stereo), adecuada para relajarse en casa o viajar al aire libre.</t>
        </is>
      </c>
      <c r="H2881" s="16" t="inlineStr">
        <is>
          <t>KTS-1678R</t>
        </is>
      </c>
      <c r="I2881" s="16" t="n">
        <v>1</v>
      </c>
      <c r="J2881" s="17" t="n">
        <v>40</v>
      </c>
      <c r="K2881" s="17" t="n">
        <v>48.28</v>
      </c>
      <c r="L2881" s="17" t="n">
        <v>25.86</v>
      </c>
      <c r="M2881" s="17" t="n">
        <v>0</v>
      </c>
      <c r="N2881" s="17">
        <f>K2881*0.08+L2881*0.08</f>
        <v/>
      </c>
      <c r="O2881" s="17">
        <f>-(K2881*0.025+L2881*0.025)</f>
        <v/>
      </c>
      <c r="P2881" s="17">
        <f>32</f>
        <v/>
      </c>
      <c r="Q2881" s="17">
        <f>J2881+L2881+N2881+O2881-P2881-M2881</f>
        <v/>
      </c>
    </row>
    <row r="2882">
      <c r="A2882" s="16" t="inlineStr">
        <is>
          <t>5.22-5.28</t>
        </is>
      </c>
      <c r="B2882" s="16" t="inlineStr">
        <is>
          <t>PO-128-11742851471993318</t>
        </is>
      </c>
      <c r="C2882" s="16" t="inlineStr">
        <is>
          <t>Delivered</t>
        </is>
      </c>
      <c r="D2882" s="16" t="inlineStr">
        <is>
          <t>128-11742809528953318</t>
        </is>
      </c>
      <c r="E2882" s="16" t="inlineStr">
        <is>
          <t>Delivered</t>
        </is>
      </c>
      <c r="F2882" s="16" t="inlineStr">
        <is>
          <t>LB02235-negro</t>
        </is>
      </c>
      <c r="G2882" s="16" t="inlineStr">
        <is>
          <t>Audífonos Inalámbricos para la Cabeza, Recargables y Multifuncionales - Conectan a Varios Dispositivos, soportan Radio FM, Tarjeta TF y AUX - 4 Horas de Reproducción Musical - Ideal para Trabajo Cotidiano, Juegos y Estudio</t>
        </is>
      </c>
      <c r="H2882" s="16" t="inlineStr">
        <is>
          <t>NEGRO</t>
        </is>
      </c>
      <c r="I2882" s="16" t="n">
        <v>1</v>
      </c>
      <c r="J2882" s="17" t="n">
        <v>36.8</v>
      </c>
      <c r="K2882" s="17" t="n">
        <v>49.91</v>
      </c>
      <c r="L2882" s="17" t="n">
        <v>25.86</v>
      </c>
      <c r="M2882" s="17" t="n">
        <v>0</v>
      </c>
      <c r="N2882" s="17">
        <f>K2882*0.08+L2882*0.08</f>
        <v/>
      </c>
      <c r="O2882" s="17">
        <f>-(K2882*0.025+L2882*0.025)</f>
        <v/>
      </c>
      <c r="P2882" s="17">
        <f>32</f>
        <v/>
      </c>
      <c r="Q2882" s="17">
        <f>J2882+L2882+N2882+O2882-P2882-M2882</f>
        <v/>
      </c>
    </row>
    <row r="2883">
      <c r="A2883" s="16" t="inlineStr">
        <is>
          <t>5.22-5.28</t>
        </is>
      </c>
      <c r="B2883" s="16" t="inlineStr">
        <is>
          <t>PO-128-12256231352950194</t>
        </is>
      </c>
      <c r="C2883" s="16" t="inlineStr">
        <is>
          <t>Delivered</t>
        </is>
      </c>
      <c r="D2883" s="16" t="inlineStr">
        <is>
          <t>128-12256254945910194</t>
        </is>
      </c>
      <c r="E2883" s="16" t="inlineStr">
        <is>
          <t>Delivered</t>
        </is>
      </c>
      <c r="F2883" s="16" t="inlineStr">
        <is>
          <t>LB02235-negro</t>
        </is>
      </c>
      <c r="G2883" s="16" t="inlineStr">
        <is>
          <t>Audífonos Inalámbricos para la Cabeza, Recargables y Multifuncionales - Conectan a Varios Dispositivos, soportan Radio FM, Tarjeta TF y AUX - 4 Horas de Reproducción Musical - Ideal para Trabajo Cotidiano, Juegos y Estudio</t>
        </is>
      </c>
      <c r="H2883" s="16" t="inlineStr">
        <is>
          <t>NEGRO</t>
        </is>
      </c>
      <c r="I2883" s="16" t="n">
        <v>1</v>
      </c>
      <c r="J2883" s="17" t="n">
        <v>36.8</v>
      </c>
      <c r="K2883" s="17" t="n">
        <v>43.86</v>
      </c>
      <c r="L2883" s="17" t="n">
        <v>25.86</v>
      </c>
      <c r="M2883" s="17" t="n">
        <v>0</v>
      </c>
      <c r="N2883" s="17">
        <f>K2883*0.08+L2883*0.08</f>
        <v/>
      </c>
      <c r="O2883" s="17">
        <f>-(K2883*0.025+L2883*0.025)</f>
        <v/>
      </c>
      <c r="P2883" s="17">
        <f>32</f>
        <v/>
      </c>
      <c r="Q2883" s="17">
        <f>J2883+L2883+N2883+O2883-P2883-M2883</f>
        <v/>
      </c>
    </row>
    <row r="2884">
      <c r="A2884" s="16" t="inlineStr">
        <is>
          <t>5.22-5.28</t>
        </is>
      </c>
      <c r="B2884" s="16" t="inlineStr">
        <is>
          <t>PO-128-11786020373114084</t>
        </is>
      </c>
      <c r="C2884" s="16" t="inlineStr">
        <is>
          <t>Delivered</t>
        </is>
      </c>
      <c r="D2884" s="16" t="inlineStr">
        <is>
          <t>128-11786125230714084</t>
        </is>
      </c>
      <c r="E2884" s="16" t="inlineStr">
        <is>
          <t>Delivered</t>
        </is>
      </c>
      <c r="F2884" s="16" t="inlineStr">
        <is>
          <t>SA8056T</t>
        </is>
      </c>
      <c r="G2884"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884" s="16" t="inlineStr">
        <is>
          <t>SA8056T</t>
        </is>
      </c>
      <c r="I2884" s="16" t="n">
        <v>1</v>
      </c>
      <c r="J2884" s="17" t="n">
        <v>121</v>
      </c>
      <c r="K2884" s="17" t="n">
        <v>141.38</v>
      </c>
      <c r="L2884" s="17" t="n">
        <v>25.86</v>
      </c>
      <c r="M2884" s="17" t="n">
        <v>0</v>
      </c>
      <c r="N2884" s="17">
        <f>K2884*0.08+L2884*0.08</f>
        <v/>
      </c>
      <c r="O2884" s="17">
        <f>-(K2884*0.025+L2884*0.025)</f>
        <v/>
      </c>
      <c r="P2884" s="17">
        <f>32</f>
        <v/>
      </c>
      <c r="Q2884" s="17">
        <f>J2884+L2884+N2884+O2884-P2884-M2884</f>
        <v/>
      </c>
    </row>
    <row r="2885">
      <c r="A2885" s="16" t="inlineStr">
        <is>
          <t>5.22-5.28</t>
        </is>
      </c>
      <c r="B2885" s="16" t="inlineStr">
        <is>
          <t>PO-128-12196949263991637</t>
        </is>
      </c>
      <c r="C2885" s="16" t="inlineStr">
        <is>
          <t>Delivered</t>
        </is>
      </c>
      <c r="D2885" s="16" t="inlineStr">
        <is>
          <t>128-12196928292471637</t>
        </is>
      </c>
      <c r="E2885" s="16" t="inlineStr">
        <is>
          <t>Delivered</t>
        </is>
      </c>
      <c r="F2885" s="16" t="inlineStr">
        <is>
          <t>LB02235-azul</t>
        </is>
      </c>
      <c r="G2885" s="16" t="inlineStr">
        <is>
          <t>Audífonos Inalámbricos para la Cabeza, Recargables y Multifuncionales - Conectan a Varios Dispositivos, soportan Radio FM, Tarjeta TF y AUX - 4 Horas de Reproducción Musical - Ideal para Trabajo Cotidiano, Juegos y Estudio</t>
        </is>
      </c>
      <c r="H2885" s="16" t="inlineStr">
        <is>
          <t>AZUL</t>
        </is>
      </c>
      <c r="I2885" s="16" t="n">
        <v>1</v>
      </c>
      <c r="J2885" s="17" t="n">
        <v>36.8</v>
      </c>
      <c r="K2885" s="17" t="n">
        <v>49.91</v>
      </c>
      <c r="L2885" s="17" t="n">
        <v>25.86</v>
      </c>
      <c r="M2885" s="17" t="n">
        <v>0</v>
      </c>
      <c r="N2885" s="17">
        <f>K2885*0.08+L2885*0.08</f>
        <v/>
      </c>
      <c r="O2885" s="17">
        <f>-(K2885*0.025+L2885*0.025)</f>
        <v/>
      </c>
      <c r="P2885" s="17">
        <f>32</f>
        <v/>
      </c>
      <c r="Q2885" s="17">
        <f>J2885+L2885+N2885+O2885-P2885-M2885</f>
        <v/>
      </c>
    </row>
    <row r="2886">
      <c r="A2886" s="16" t="inlineStr">
        <is>
          <t>5.22-5.28</t>
        </is>
      </c>
      <c r="B2886" s="16" t="inlineStr">
        <is>
          <t>PO-128-11771700030073978</t>
        </is>
      </c>
      <c r="C2886" s="16" t="inlineStr">
        <is>
          <t>Delivered</t>
        </is>
      </c>
      <c r="D2886" s="16" t="inlineStr">
        <is>
          <t>128-11771726244473978</t>
        </is>
      </c>
      <c r="E2886" s="16" t="inlineStr">
        <is>
          <t>Delivered</t>
        </is>
      </c>
      <c r="F2886" s="16" t="inlineStr">
        <is>
          <t>MB-185A</t>
        </is>
      </c>
      <c r="G2886" s="16" t="inlineStr">
        <is>
          <t>Bocina Radio FM/Reproductor, Compatible con Tarjeta TF, USB, Bluetooth, Aplicable para celular, computadora, Ipad y consola.</t>
        </is>
      </c>
      <c r="H2886" s="16" t="inlineStr">
        <is>
          <t>AZUL/MB-185</t>
        </is>
      </c>
      <c r="I2886" s="16" t="n">
        <v>1</v>
      </c>
      <c r="J2886" s="17" t="n">
        <v>71.31</v>
      </c>
      <c r="K2886" s="17" t="n">
        <v>84.23999999999999</v>
      </c>
      <c r="L2886" s="17" t="n">
        <v>25.86</v>
      </c>
      <c r="M2886" s="17" t="n">
        <v>0</v>
      </c>
      <c r="N2886" s="17">
        <f>K2886*0.08+L2886*0.08</f>
        <v/>
      </c>
      <c r="O2886" s="17">
        <f>-(K2886*0.025+L2886*0.025)</f>
        <v/>
      </c>
      <c r="P2886" s="17">
        <f>32</f>
        <v/>
      </c>
      <c r="Q2886" s="17">
        <f>J2886+L2886+N2886+O2886-P2886-M2886</f>
        <v/>
      </c>
    </row>
    <row r="2887">
      <c r="A2887" s="16" t="inlineStr">
        <is>
          <t>5.22-5.28</t>
        </is>
      </c>
      <c r="B2887" s="16" t="inlineStr">
        <is>
          <t>PO-128-12314486671990806</t>
        </is>
      </c>
      <c r="C2887" s="16" t="inlineStr">
        <is>
          <t>Delivered</t>
        </is>
      </c>
      <c r="D2887" s="16" t="inlineStr">
        <is>
          <t>128-12314502400630806</t>
        </is>
      </c>
      <c r="E2887" s="16" t="inlineStr">
        <is>
          <t>Delivered</t>
        </is>
      </c>
      <c r="F2887" s="16" t="inlineStr">
        <is>
          <t>LB02235-blanco</t>
        </is>
      </c>
      <c r="G2887" s="16" t="inlineStr">
        <is>
          <t>Audífonos Inalámbricos para la Cabeza, Recargables y Multifuncionales - Conectan a Varios Dispositivos, soportan Radio FM, Tarjeta TF y AUX - 4 Horas de Reproducción Musical - Ideal para Trabajo Cotidiano, Juegos y Estudio</t>
        </is>
      </c>
      <c r="H2887" s="16" t="inlineStr">
        <is>
          <t>BLANCO</t>
        </is>
      </c>
      <c r="I2887" s="16" t="n">
        <v>1</v>
      </c>
      <c r="J2887" s="17" t="n">
        <v>36.8</v>
      </c>
      <c r="K2887" s="17" t="n">
        <v>49.91</v>
      </c>
      <c r="L2887" s="17" t="n">
        <v>25.86</v>
      </c>
      <c r="M2887" s="17" t="n">
        <v>0</v>
      </c>
      <c r="N2887" s="17">
        <f>K2887*0.08+L2887*0.08</f>
        <v/>
      </c>
      <c r="O2887" s="17">
        <f>-(K2887*0.025+L2887*0.025)</f>
        <v/>
      </c>
      <c r="P2887" s="17">
        <f>32</f>
        <v/>
      </c>
      <c r="Q2887" s="17">
        <f>J2887+L2887+N2887+O2887-P2887-M2887</f>
        <v/>
      </c>
    </row>
    <row r="2888">
      <c r="A2888" s="16" t="inlineStr">
        <is>
          <t>5.22-5.28</t>
        </is>
      </c>
      <c r="B2888" s="16" t="inlineStr">
        <is>
          <t>PO-128-11844803625593670</t>
        </is>
      </c>
      <c r="C2888" s="16" t="inlineStr">
        <is>
          <t>Delivered</t>
        </is>
      </c>
      <c r="D2888" s="16" t="inlineStr">
        <is>
          <t>128-11844871783033670</t>
        </is>
      </c>
      <c r="E2888" s="16" t="inlineStr">
        <is>
          <t>Delivered</t>
        </is>
      </c>
      <c r="F2888" s="16" t="inlineStr">
        <is>
          <t>LB02235-rojo</t>
        </is>
      </c>
      <c r="G2888" s="16" t="inlineStr">
        <is>
          <t>Audífonos Inalámbricos para la Cabeza, Recargables y Multifuncionales - Conectan a Varios Dispositivos, soportan Radio FM, Tarjeta TF y AUX - 4 Horas de Reproducción Musical - Ideal para Trabajo Cotidiano, Juegos y Estudio</t>
        </is>
      </c>
      <c r="H2888" s="16" t="inlineStr">
        <is>
          <t>ROJO</t>
        </is>
      </c>
      <c r="I2888" s="16" t="n">
        <v>1</v>
      </c>
      <c r="J2888" s="17" t="n">
        <v>36.8</v>
      </c>
      <c r="K2888" s="17" t="n">
        <v>49.91</v>
      </c>
      <c r="L2888" s="17" t="n">
        <v>25.86</v>
      </c>
      <c r="M2888" s="17" t="n">
        <v>0</v>
      </c>
      <c r="N2888" s="17">
        <f>K2888*0.08+L2888*0.08</f>
        <v/>
      </c>
      <c r="O2888" s="17">
        <f>-(K2888*0.025+L2888*0.025)</f>
        <v/>
      </c>
      <c r="P2888" s="17">
        <f>32</f>
        <v/>
      </c>
      <c r="Q2888" s="17">
        <f>J2888+L2888+N2888+O2888-P2888-M2888</f>
        <v/>
      </c>
    </row>
    <row r="2889">
      <c r="A2889" s="16" t="inlineStr">
        <is>
          <t>5.22-5.28</t>
        </is>
      </c>
      <c r="B2889" s="16" t="inlineStr">
        <is>
          <t>PO-128-11948374016632991</t>
        </is>
      </c>
      <c r="C2889" s="16" t="inlineStr">
        <is>
          <t>Delivered</t>
        </is>
      </c>
      <c r="D2889" s="16" t="inlineStr">
        <is>
          <t>128-11948332073592991</t>
        </is>
      </c>
      <c r="E2889" s="16" t="inlineStr">
        <is>
          <t>Delivered</t>
        </is>
      </c>
      <c r="F2889" s="16" t="inlineStr">
        <is>
          <t>FA028</t>
        </is>
      </c>
      <c r="G2889" s="16" t="inlineStr">
        <is>
          <t>Extractor de agua para garrafas de agua, compatible con carga USB, extractor de agua automático, práctico, con dos modos de toma de agua: manual y programado, ideal para dormitorios, salones, oficinas, uso al aire libre y otros escenarios.</t>
        </is>
      </c>
      <c r="H2889" s="16" t="inlineStr">
        <is>
          <t>FA028</t>
        </is>
      </c>
      <c r="I2889" s="16" t="n">
        <v>1</v>
      </c>
      <c r="J2889" s="17" t="n">
        <v>27</v>
      </c>
      <c r="K2889" s="17" t="n">
        <v>36.58</v>
      </c>
      <c r="L2889" s="17" t="n">
        <v>25.86</v>
      </c>
      <c r="M2889" s="17" t="n">
        <v>0</v>
      </c>
      <c r="N2889" s="17">
        <f>K2889*0.08+L2889*0.08</f>
        <v/>
      </c>
      <c r="O2889" s="17">
        <f>-(K2889*0.025+L2889*0.025)</f>
        <v/>
      </c>
      <c r="P2889" s="17">
        <f>32</f>
        <v/>
      </c>
      <c r="Q2889" s="17">
        <f>J2889+L2889+N2889+O2889-P2889-M2889</f>
        <v/>
      </c>
    </row>
    <row r="2890">
      <c r="A2890" s="16" t="inlineStr">
        <is>
          <t>5.22-5.28</t>
        </is>
      </c>
      <c r="B2890" s="16" t="inlineStr">
        <is>
          <t>PO-128-12329885205110653</t>
        </is>
      </c>
      <c r="C2890" s="16" t="inlineStr">
        <is>
          <t>Delivered</t>
        </is>
      </c>
      <c r="D2890" s="16" t="inlineStr">
        <is>
          <t>128-12329843262070653</t>
        </is>
      </c>
      <c r="E2890" s="16" t="inlineStr">
        <is>
          <t>Delivered</t>
        </is>
      </c>
      <c r="F2890" s="16" t="inlineStr">
        <is>
          <t>LV64W25</t>
        </is>
      </c>
      <c r="G2890" s="16" t="inlineStr">
        <is>
          <t>Ventilador de Techo LED TIANLAI con 5 Aspas, Control Remoto, 3 Colores Luz, 3 Velocidades, Temporizador, Fácil Instalación, E27 para Baño Cocina Dormitorio Salón</t>
        </is>
      </c>
      <c r="H2890" s="16" t="inlineStr">
        <is>
          <t>LV64W25</t>
        </is>
      </c>
      <c r="I2890" s="16" t="n">
        <v>1</v>
      </c>
      <c r="J2890" s="17" t="n">
        <v>99</v>
      </c>
      <c r="K2890" s="17" t="n">
        <v>89.09999999999999</v>
      </c>
      <c r="L2890" s="17" t="n">
        <v>25.86</v>
      </c>
      <c r="M2890" s="17" t="n">
        <v>0</v>
      </c>
      <c r="N2890" s="17">
        <f>K2890*0.08+L2890*0.08</f>
        <v/>
      </c>
      <c r="O2890" s="17">
        <f>-(K2890*0.025+L2890*0.025)</f>
        <v/>
      </c>
      <c r="P2890" s="17">
        <f>32</f>
        <v/>
      </c>
      <c r="Q2890" s="17">
        <f>J2890+L2890+N2890+O2890-P2890-M2890</f>
        <v/>
      </c>
    </row>
    <row r="2891">
      <c r="A2891" s="16" t="inlineStr">
        <is>
          <t>5.22-5.28</t>
        </is>
      </c>
      <c r="B2891" s="16" t="inlineStr">
        <is>
          <t>PO-128-12280398797430114</t>
        </is>
      </c>
      <c r="C2891" s="16" t="inlineStr">
        <is>
          <t>Delivered</t>
        </is>
      </c>
      <c r="D2891" s="16" t="inlineStr">
        <is>
          <t>128-12280377825910114</t>
        </is>
      </c>
      <c r="E2891" s="16" t="inlineStr">
        <is>
          <t>Delivered</t>
        </is>
      </c>
      <c r="F2891" s="16" t="inlineStr">
        <is>
          <t>MCM-003-V</t>
        </is>
      </c>
      <c r="G2891"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2891" s="16" t="inlineStr">
        <is>
          <t>verde</t>
        </is>
      </c>
      <c r="I2891" s="16" t="n">
        <v>2</v>
      </c>
      <c r="J2891" s="17" t="n">
        <v>82</v>
      </c>
      <c r="K2891" s="17" t="n">
        <v>96.34</v>
      </c>
      <c r="L2891" s="17" t="n">
        <v>0</v>
      </c>
      <c r="M2891" s="17" t="n">
        <v>0</v>
      </c>
      <c r="N2891" s="17">
        <f>K2891*0.08+L2891*0.08</f>
        <v/>
      </c>
      <c r="O2891" s="17">
        <f>-(K2891*0.025+L2891*0.025)</f>
        <v/>
      </c>
      <c r="P2891" s="17">
        <f>32</f>
        <v/>
      </c>
      <c r="Q2891" s="17">
        <f>J2891+L2891+N2891+O2891-P2891-M2891</f>
        <v/>
      </c>
    </row>
    <row r="2892">
      <c r="A2892" s="16" t="inlineStr">
        <is>
          <t>5.22-5.28</t>
        </is>
      </c>
      <c r="B2892" s="16" t="inlineStr">
        <is>
          <t>PO-128-12280398797430114</t>
        </is>
      </c>
      <c r="C2892" s="16" t="inlineStr">
        <is>
          <t>Delivered</t>
        </is>
      </c>
      <c r="D2892" s="16" t="inlineStr">
        <is>
          <t>128-12280356854390114</t>
        </is>
      </c>
      <c r="E2892" s="16" t="inlineStr">
        <is>
          <t>Delivered</t>
        </is>
      </c>
      <c r="F2892" s="16" t="inlineStr">
        <is>
          <t>LB02235-rojo</t>
        </is>
      </c>
      <c r="G2892" s="16" t="inlineStr">
        <is>
          <t>Audífonos Inalámbricos para la Cabeza, Recargables y Multifuncionales - Conectan a Varios Dispositivos, soportan Radio FM, Tarjeta TF y AUX - 4 Horas de Reproducción Musical - Ideal para Trabajo Cotidiano, Juegos y Estudio</t>
        </is>
      </c>
      <c r="H2892" s="16" t="inlineStr">
        <is>
          <t>ROJO</t>
        </is>
      </c>
      <c r="I2892" s="16" t="n">
        <v>2</v>
      </c>
      <c r="J2892" s="17" t="n">
        <v>73.59999999999999</v>
      </c>
      <c r="K2892" s="17" t="n">
        <v>99.81999999999999</v>
      </c>
      <c r="L2892" s="17" t="n">
        <v>0</v>
      </c>
      <c r="M2892" s="17" t="n">
        <v>0</v>
      </c>
      <c r="N2892" s="17">
        <f>K2892*0.08+L2892*0.08</f>
        <v/>
      </c>
      <c r="O2892" s="17">
        <f>-(K2892*0.025+L2892*0.025)</f>
        <v/>
      </c>
      <c r="P2892" s="17">
        <f>32</f>
        <v/>
      </c>
      <c r="Q2892" s="17">
        <f>J2892+L2892+N2892+O2892-P2892-M2892</f>
        <v/>
      </c>
    </row>
    <row r="2893">
      <c r="A2893" s="16" t="inlineStr">
        <is>
          <t>5.22-5.28</t>
        </is>
      </c>
      <c r="B2893" s="16" t="inlineStr">
        <is>
          <t>PO-128-12280398797430114</t>
        </is>
      </c>
      <c r="C2893" s="16" t="inlineStr">
        <is>
          <t>Delivered</t>
        </is>
      </c>
      <c r="D2893" s="16" t="inlineStr">
        <is>
          <t>128-12280293939830114</t>
        </is>
      </c>
      <c r="E2893" s="16" t="inlineStr">
        <is>
          <t>Delivered</t>
        </is>
      </c>
      <c r="F2893" s="16" t="inlineStr">
        <is>
          <t>MCM-001A</t>
        </is>
      </c>
      <c r="G2893" s="16" t="inlineStr">
        <is>
          <t>Musicord Altavoz Inalámbrico BT Portátil: ¡Sonido impactante, luces LED multicolores y 4 horas de autonomía! Compatible con TWS, FM, TF y USB – Imprescindible para fiestas y viajes</t>
        </is>
      </c>
      <c r="H2893" s="16" t="inlineStr">
        <is>
          <t>AZUL</t>
        </is>
      </c>
      <c r="I2893" s="16" t="n">
        <v>2</v>
      </c>
      <c r="J2893" s="17" t="n">
        <v>102.14</v>
      </c>
      <c r="K2893" s="17" t="n">
        <v>118.94</v>
      </c>
      <c r="L2893" s="17" t="n">
        <v>0</v>
      </c>
      <c r="M2893" s="17" t="n">
        <v>0</v>
      </c>
      <c r="N2893" s="17">
        <f>K2893*0.08+L2893*0.08</f>
        <v/>
      </c>
      <c r="O2893" s="17">
        <f>-(K2893*0.025+L2893*0.025)</f>
        <v/>
      </c>
      <c r="P2893" s="17">
        <f>32</f>
        <v/>
      </c>
      <c r="Q2893" s="17">
        <f>J2893+L2893+N2893+O2893-P2893-M2893</f>
        <v/>
      </c>
    </row>
    <row r="2894">
      <c r="A2894" s="16" t="inlineStr">
        <is>
          <t>5.22-5.28</t>
        </is>
      </c>
      <c r="B2894" s="16" t="inlineStr">
        <is>
          <t>PO-128-12280398797430114</t>
        </is>
      </c>
      <c r="C2894" s="16" t="inlineStr">
        <is>
          <t>Delivered</t>
        </is>
      </c>
      <c r="D2894" s="16" t="inlineStr">
        <is>
          <t>128-12280314911350114</t>
        </is>
      </c>
      <c r="E2894" s="16" t="inlineStr">
        <is>
          <t>Delivered</t>
        </is>
      </c>
      <c r="F2894" s="16" t="inlineStr">
        <is>
          <t>S39W48-5PZS</t>
        </is>
      </c>
      <c r="G289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894" s="16" t="inlineStr">
        <is>
          <t>5 piezas</t>
        </is>
      </c>
      <c r="I2894" s="16" t="n">
        <v>1</v>
      </c>
      <c r="J2894" s="17" t="n">
        <v>150</v>
      </c>
      <c r="K2894" s="17" t="n">
        <v>209.87</v>
      </c>
      <c r="L2894" s="17" t="n">
        <v>0</v>
      </c>
      <c r="M2894" s="17" t="n">
        <v>0</v>
      </c>
      <c r="N2894" s="17">
        <f>K2894*0.08+L2894*0.08</f>
        <v/>
      </c>
      <c r="O2894" s="17">
        <f>-(K2894*0.025+L2894*0.025)</f>
        <v/>
      </c>
      <c r="P2894" s="17">
        <f>32</f>
        <v/>
      </c>
      <c r="Q2894" s="17">
        <f>J2894+L2894+N2894+O2894-P2894-M2894</f>
        <v/>
      </c>
    </row>
    <row r="2895">
      <c r="A2895" s="16" t="inlineStr">
        <is>
          <t>5.22-5.28</t>
        </is>
      </c>
      <c r="B2895" s="16" t="inlineStr">
        <is>
          <t>PO-128-11875718185592334</t>
        </is>
      </c>
      <c r="C2895" s="16" t="inlineStr">
        <is>
          <t>Delivered</t>
        </is>
      </c>
      <c r="D2895" s="16" t="inlineStr">
        <is>
          <t>128-11875676242552334</t>
        </is>
      </c>
      <c r="E2895" s="16" t="inlineStr">
        <is>
          <t>Delivered</t>
        </is>
      </c>
      <c r="F2895" s="16" t="inlineStr">
        <is>
          <t>LV34W04</t>
        </is>
      </c>
      <c r="G289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895" s="16" t="inlineStr">
        <is>
          <t>LV34W04</t>
        </is>
      </c>
      <c r="I2895" s="16" t="n">
        <v>1</v>
      </c>
      <c r="J2895" s="17" t="n">
        <v>220</v>
      </c>
      <c r="K2895" s="17" t="n">
        <v>278.82</v>
      </c>
      <c r="L2895" s="17" t="n">
        <v>0</v>
      </c>
      <c r="M2895" s="17" t="n">
        <v>0</v>
      </c>
      <c r="N2895" s="17">
        <f>K2895*0.08+L2895*0.08</f>
        <v/>
      </c>
      <c r="O2895" s="17">
        <f>-(K2895*0.025+L2895*0.025)</f>
        <v/>
      </c>
      <c r="P2895" s="17">
        <f>32</f>
        <v/>
      </c>
      <c r="Q2895" s="17">
        <f>J2895+L2895+N2895+O2895-P2895-M2895</f>
        <v/>
      </c>
    </row>
    <row r="2896">
      <c r="A2896" s="16" t="inlineStr">
        <is>
          <t>5.22-5.28</t>
        </is>
      </c>
      <c r="B2896" s="16" t="inlineStr">
        <is>
          <t>PO-128-12048533320311304</t>
        </is>
      </c>
      <c r="C2896" s="16" t="inlineStr">
        <is>
          <t>Delivered</t>
        </is>
      </c>
      <c r="D2896" s="16" t="inlineStr">
        <is>
          <t>128-12048491377271304</t>
        </is>
      </c>
      <c r="E2896" s="16" t="inlineStr">
        <is>
          <t>Delivered</t>
        </is>
      </c>
      <c r="F2896" s="16" t="inlineStr">
        <is>
          <t>MCM-001G</t>
        </is>
      </c>
      <c r="G2896" s="16" t="inlineStr">
        <is>
          <t>Musicord Altavoz Inalámbrico BT Portátil: ¡Sonido impactante, luces LED multicolores y 4 horas de autonomía! Compatible con TWS, FM, TF y USB – Imprescindible para fiestas y viajes</t>
        </is>
      </c>
      <c r="H2896" s="16" t="inlineStr">
        <is>
          <t>GRIS</t>
        </is>
      </c>
      <c r="I2896" s="16" t="n">
        <v>1</v>
      </c>
      <c r="J2896" s="17" t="n">
        <v>51</v>
      </c>
      <c r="K2896" s="17" t="n">
        <v>58.79</v>
      </c>
      <c r="L2896" s="17" t="n">
        <v>25.86</v>
      </c>
      <c r="M2896" s="17" t="n">
        <v>0</v>
      </c>
      <c r="N2896" s="17">
        <f>K2896*0.08+L2896*0.08</f>
        <v/>
      </c>
      <c r="O2896" s="17">
        <f>-(K2896*0.025+L2896*0.025)</f>
        <v/>
      </c>
      <c r="P2896" s="17">
        <f>32</f>
        <v/>
      </c>
      <c r="Q2896" s="17">
        <f>J2896+L2896+N2896+O2896-P2896-M2896</f>
        <v/>
      </c>
    </row>
    <row r="2897">
      <c r="A2897" s="16" t="inlineStr">
        <is>
          <t>5.22-5.28</t>
        </is>
      </c>
      <c r="B2897" s="16" t="inlineStr">
        <is>
          <t>PO-128-11908761518712267</t>
        </is>
      </c>
      <c r="C2897" s="16" t="inlineStr">
        <is>
          <t>Delivered</t>
        </is>
      </c>
      <c r="D2897" s="16" t="inlineStr">
        <is>
          <t>128-11908719575672267</t>
        </is>
      </c>
      <c r="E2897" s="16" t="inlineStr">
        <is>
          <t>Delivered</t>
        </is>
      </c>
      <c r="F2897" s="16" t="inlineStr">
        <is>
          <t>SA325T</t>
        </is>
      </c>
      <c r="G2897" s="16" t="inlineStr">
        <is>
          <t>Subwoofer Portátil Inalámbrico con Luces RGB, Sonido de Alta Potencia y Batería Duradera, TWS TF USB, Perfecto para Campamento Fiestas y Entretenimiento en Casa</t>
        </is>
      </c>
      <c r="H2897" s="16" t="inlineStr">
        <is>
          <t>NEGRO</t>
        </is>
      </c>
      <c r="I2897" s="16" t="n">
        <v>1</v>
      </c>
      <c r="J2897" s="17" t="n">
        <v>36</v>
      </c>
      <c r="K2897" s="17" t="n">
        <v>45.04</v>
      </c>
      <c r="L2897" s="17" t="n">
        <v>25.86</v>
      </c>
      <c r="M2897" s="17" t="n">
        <v>0</v>
      </c>
      <c r="N2897" s="17">
        <f>K2897*0.08+L2897*0.08</f>
        <v/>
      </c>
      <c r="O2897" s="17">
        <f>-(K2897*0.025+L2897*0.025)</f>
        <v/>
      </c>
      <c r="P2897" s="17">
        <f>32</f>
        <v/>
      </c>
      <c r="Q2897" s="17">
        <f>J2897+L2897+N2897+O2897-P2897-M2897</f>
        <v/>
      </c>
    </row>
    <row r="2898">
      <c r="A2898" s="16" t="inlineStr">
        <is>
          <t>5.22-5.28</t>
        </is>
      </c>
      <c r="B2898" s="16" t="inlineStr">
        <is>
          <t>PO-128-12013162988152602</t>
        </is>
      </c>
      <c r="C2898" s="16" t="inlineStr">
        <is>
          <t>Delivered</t>
        </is>
      </c>
      <c r="D2898" s="16" t="inlineStr">
        <is>
          <t>128-12013178716792602</t>
        </is>
      </c>
      <c r="E2898" s="16" t="inlineStr">
        <is>
          <t>Delivered</t>
        </is>
      </c>
      <c r="F2898" s="16" t="inlineStr">
        <is>
          <t>LB02235-blanco</t>
        </is>
      </c>
      <c r="G2898" s="16" t="inlineStr">
        <is>
          <t>Audífonos Inalámbricos para la Cabeza, Recargables y Multifuncionales - Conectan a Varios Dispositivos, soportan Radio FM, Tarjeta TF y AUX - 4 Horas de Reproducción Musical - Ideal para Trabajo Cotidiano, Juegos y Estudio</t>
        </is>
      </c>
      <c r="H2898" s="16" t="inlineStr">
        <is>
          <t>BLANCO</t>
        </is>
      </c>
      <c r="I2898" s="16" t="n">
        <v>1</v>
      </c>
      <c r="J2898" s="17" t="n">
        <v>36.8</v>
      </c>
      <c r="K2898" s="17" t="n">
        <v>49.91</v>
      </c>
      <c r="L2898" s="17" t="n">
        <v>25.86</v>
      </c>
      <c r="M2898" s="17" t="n">
        <v>0</v>
      </c>
      <c r="N2898" s="17">
        <f>K2898*0.08+L2898*0.08</f>
        <v/>
      </c>
      <c r="O2898" s="17">
        <f>-(K2898*0.025+L2898*0.025)</f>
        <v/>
      </c>
      <c r="P2898" s="17">
        <f>32</f>
        <v/>
      </c>
      <c r="Q2898" s="17">
        <f>J2898+L2898+N2898+O2898-P2898-M2898</f>
        <v/>
      </c>
    </row>
    <row r="2899">
      <c r="A2899" s="16" t="inlineStr">
        <is>
          <t>5.22-5.28</t>
        </is>
      </c>
      <c r="B2899" s="16" t="inlineStr">
        <is>
          <t>PO-128-11746840412793102</t>
        </is>
      </c>
      <c r="C2899" s="16" t="inlineStr">
        <is>
          <t>Delivered</t>
        </is>
      </c>
      <c r="D2899" s="16" t="inlineStr">
        <is>
          <t>128-11746861384313102</t>
        </is>
      </c>
      <c r="E2899" s="16" t="inlineStr">
        <is>
          <t>Delivered</t>
        </is>
      </c>
      <c r="F2899" s="16" t="inlineStr">
        <is>
          <t>MB-185R</t>
        </is>
      </c>
      <c r="G2899" s="16" t="inlineStr">
        <is>
          <t>Bocina Radio FM/Reproductor, Compatible con Tarjeta TF, USB, Bluetooth, Aplicable para celular, computadora, Ipad y consola.</t>
        </is>
      </c>
      <c r="H2899" s="16" t="inlineStr">
        <is>
          <t>ROJO/MB-185</t>
        </is>
      </c>
      <c r="I2899" s="16" t="n">
        <v>1</v>
      </c>
      <c r="J2899" s="17" t="n">
        <v>71.31</v>
      </c>
      <c r="K2899" s="17" t="n">
        <v>84.23999999999999</v>
      </c>
      <c r="L2899" s="17" t="n">
        <v>25.86</v>
      </c>
      <c r="M2899" s="17" t="n">
        <v>0</v>
      </c>
      <c r="N2899" s="17">
        <f>K2899*0.08+L2899*0.08</f>
        <v/>
      </c>
      <c r="O2899" s="17">
        <f>-(K2899*0.025+L2899*0.025)</f>
        <v/>
      </c>
      <c r="P2899" s="17">
        <f>32</f>
        <v/>
      </c>
      <c r="Q2899" s="17">
        <f>J2899+L2899+N2899+O2899-P2899-M2899</f>
        <v/>
      </c>
    </row>
    <row r="2900">
      <c r="A2900" s="16" t="inlineStr">
        <is>
          <t>5.22-5.28</t>
        </is>
      </c>
      <c r="B2900" s="16" t="inlineStr">
        <is>
          <t>PO-128-00867994998392475</t>
        </is>
      </c>
      <c r="C2900" s="16" t="inlineStr">
        <is>
          <t>Delivered</t>
        </is>
      </c>
      <c r="D2900" s="16" t="inlineStr">
        <is>
          <t>128-00867911112312475</t>
        </is>
      </c>
      <c r="E2900" s="16" t="inlineStr">
        <is>
          <t>Delivered</t>
        </is>
      </c>
      <c r="F2900" s="16" t="inlineStr">
        <is>
          <t>FA028</t>
        </is>
      </c>
      <c r="G2900" s="16" t="inlineStr">
        <is>
          <t>Extractor de agua para garrafas de agua, compatible con carga USB, extractor de agua automático, práctico, con dos modos de toma de agua: manual y programado, ideal para dormitorios, salones, oficinas, uso al aire libre y otros escenarios.</t>
        </is>
      </c>
      <c r="H2900" s="16" t="inlineStr">
        <is>
          <t>FA028</t>
        </is>
      </c>
      <c r="I2900" s="16" t="n">
        <v>1</v>
      </c>
      <c r="J2900" s="17" t="n">
        <v>27</v>
      </c>
      <c r="K2900" s="17" t="n">
        <v>36.58</v>
      </c>
      <c r="L2900" s="17" t="n">
        <v>25.86</v>
      </c>
      <c r="M2900" s="17" t="n">
        <v>0</v>
      </c>
      <c r="N2900" s="17">
        <f>K2900*0.08+L2900*0.08</f>
        <v/>
      </c>
      <c r="O2900" s="17">
        <f>-(K2900*0.025+L2900*0.025)</f>
        <v/>
      </c>
      <c r="P2900" s="17">
        <f>32</f>
        <v/>
      </c>
      <c r="Q2900" s="17">
        <f>J2900+L2900+N2900+O2900-P2900-M2900</f>
        <v/>
      </c>
    </row>
    <row r="2901">
      <c r="A2901" s="16" t="inlineStr">
        <is>
          <t>5.22-5.28</t>
        </is>
      </c>
      <c r="B2901" s="16" t="inlineStr">
        <is>
          <t>PO-128-01313441137270778</t>
        </is>
      </c>
      <c r="C2901" s="16" t="inlineStr">
        <is>
          <t>Delivered</t>
        </is>
      </c>
      <c r="D2901" s="16" t="inlineStr">
        <is>
          <t>128-01313462108790778</t>
        </is>
      </c>
      <c r="E2901" s="16" t="inlineStr">
        <is>
          <t>Delivered</t>
        </is>
      </c>
      <c r="F2901" s="16" t="inlineStr">
        <is>
          <t>LB02235-blanco</t>
        </is>
      </c>
      <c r="G2901" s="16" t="inlineStr">
        <is>
          <t>Audífonos Inalámbricos para la Cabeza, Recargables y Multifuncionales - Conectan a Varios Dispositivos, soportan Radio FM, Tarjeta TF y AUX - 4 Horas de Reproducción Musical - Ideal para Trabajo Cotidiano, Juegos y Estudio</t>
        </is>
      </c>
      <c r="H2901" s="16" t="inlineStr">
        <is>
          <t>BLANCO</t>
        </is>
      </c>
      <c r="I2901" s="16" t="n">
        <v>6</v>
      </c>
      <c r="J2901" s="17" t="n">
        <v>220.8</v>
      </c>
      <c r="K2901" s="17" t="n">
        <v>299.46</v>
      </c>
      <c r="L2901" s="17" t="n">
        <v>0</v>
      </c>
      <c r="M2901" s="17" t="n">
        <v>0</v>
      </c>
      <c r="N2901" s="17">
        <f>K2901*0.08+L2901*0.08</f>
        <v/>
      </c>
      <c r="O2901" s="17">
        <f>-(K2901*0.025+L2901*0.025)</f>
        <v/>
      </c>
      <c r="P2901" s="17">
        <f>32</f>
        <v/>
      </c>
      <c r="Q2901" s="17">
        <f>J2901+L2901+N2901+O2901-P2901-M2901</f>
        <v/>
      </c>
    </row>
    <row r="2902">
      <c r="A2902" s="16" t="inlineStr">
        <is>
          <t>5.22-5.28</t>
        </is>
      </c>
      <c r="B2902" s="16" t="inlineStr">
        <is>
          <t>PO-128-01235047163510351</t>
        </is>
      </c>
      <c r="C2902" s="16" t="inlineStr">
        <is>
          <t>Delivered</t>
        </is>
      </c>
      <c r="D2902" s="16" t="inlineStr">
        <is>
          <t>128-01235026191990351</t>
        </is>
      </c>
      <c r="E2902" s="16" t="inlineStr">
        <is>
          <t>Delivered</t>
        </is>
      </c>
      <c r="F2902" s="16" t="inlineStr">
        <is>
          <t>MB-178-N</t>
        </is>
      </c>
      <c r="G2902" s="16" t="inlineStr">
        <is>
          <t>Bocina de Barra Bluetooth LINK BITS con dos altavoces, sonido de alta calidad y multifuncional (Bluetooth, Radio FM, USB, TF, AUX, TWS), ideal para juegos, reuniones, oficina y cine en casa.</t>
        </is>
      </c>
      <c r="H2902" s="16" t="inlineStr">
        <is>
          <t>NEGRO</t>
        </is>
      </c>
      <c r="I2902" s="16" t="n">
        <v>1</v>
      </c>
      <c r="J2902" s="17" t="n">
        <v>120</v>
      </c>
      <c r="K2902" s="17" t="n">
        <v>139.34</v>
      </c>
      <c r="L2902" s="17" t="n">
        <v>25.86</v>
      </c>
      <c r="M2902" s="17" t="n">
        <v>0</v>
      </c>
      <c r="N2902" s="17">
        <f>K2902*0.08+L2902*0.08</f>
        <v/>
      </c>
      <c r="O2902" s="17">
        <f>-(K2902*0.025+L2902*0.025)</f>
        <v/>
      </c>
      <c r="P2902" s="17">
        <f>32</f>
        <v/>
      </c>
      <c r="Q2902" s="17">
        <f>J2902+L2902+N2902+O2902-P2902-M2902</f>
        <v/>
      </c>
    </row>
    <row r="2903">
      <c r="A2903" s="16" t="inlineStr">
        <is>
          <t>5.22-5.28</t>
        </is>
      </c>
      <c r="B2903" s="16" t="inlineStr">
        <is>
          <t>PO-128-01172994663031745</t>
        </is>
      </c>
      <c r="C2903" s="16" t="inlineStr">
        <is>
          <t>Delivered</t>
        </is>
      </c>
      <c r="D2903" s="16" t="inlineStr">
        <is>
          <t>128-01173047091831745</t>
        </is>
      </c>
      <c r="E2903" s="16" t="inlineStr">
        <is>
          <t>Delivered</t>
        </is>
      </c>
      <c r="F2903" s="16" t="inlineStr">
        <is>
          <t>FA028</t>
        </is>
      </c>
      <c r="G2903" s="16" t="inlineStr">
        <is>
          <t>Extractor de agua para garrafas de agua, compatible con carga USB, extractor de agua automático, práctico, con dos modos de toma de agua: manual y programado, ideal para dormitorios, salones, oficinas, uso al aire libre y otros escenarios.</t>
        </is>
      </c>
      <c r="H2903" s="16" t="inlineStr">
        <is>
          <t>FA028</t>
        </is>
      </c>
      <c r="I2903" s="16" t="n">
        <v>1</v>
      </c>
      <c r="J2903" s="17" t="n">
        <v>27</v>
      </c>
      <c r="K2903" s="17" t="n">
        <v>29.26</v>
      </c>
      <c r="L2903" s="17" t="n">
        <v>25.86</v>
      </c>
      <c r="M2903" s="17" t="n">
        <v>0</v>
      </c>
      <c r="N2903" s="17">
        <f>K2903*0.08+L2903*0.08</f>
        <v/>
      </c>
      <c r="O2903" s="17">
        <f>-(K2903*0.025+L2903*0.025)</f>
        <v/>
      </c>
      <c r="P2903" s="17">
        <f>32</f>
        <v/>
      </c>
      <c r="Q2903" s="17">
        <f>J2903+L2903+N2903+O2903-P2903-M2903</f>
        <v/>
      </c>
    </row>
    <row r="2904">
      <c r="A2904" s="16" t="inlineStr">
        <is>
          <t>5.22-5.28</t>
        </is>
      </c>
      <c r="B2904" s="16" t="inlineStr">
        <is>
          <t>PO-128-01305227745911021</t>
        </is>
      </c>
      <c r="C2904" s="16" t="inlineStr">
        <is>
          <t>Delivered</t>
        </is>
      </c>
      <c r="D2904" s="16" t="inlineStr">
        <is>
          <t>128-01305192356471021</t>
        </is>
      </c>
      <c r="E2904" s="16" t="inlineStr">
        <is>
          <t>Delivered</t>
        </is>
      </c>
      <c r="F2904" s="16" t="inlineStr">
        <is>
          <t>MCM-001G</t>
        </is>
      </c>
      <c r="G2904" s="16" t="inlineStr">
        <is>
          <t>Musicord Altavoz Inalámbrico BT Portátil: ¡Sonido impactante, luces LED multicolores y 4 horas de autonomía! Compatible con TWS, FM, TF y USB – Imprescindible para fiestas y viajes</t>
        </is>
      </c>
      <c r="H2904" s="16" t="inlineStr">
        <is>
          <t>GRIS</t>
        </is>
      </c>
      <c r="I2904" s="16" t="n">
        <v>1</v>
      </c>
      <c r="J2904" s="17" t="n">
        <v>51</v>
      </c>
      <c r="K2904" s="17" t="n">
        <v>58.79</v>
      </c>
      <c r="L2904" s="17" t="n">
        <v>25.86</v>
      </c>
      <c r="M2904" s="17" t="n">
        <v>0</v>
      </c>
      <c r="N2904" s="17">
        <f>K2904*0.08+L2904*0.08</f>
        <v/>
      </c>
      <c r="O2904" s="17">
        <f>-(K2904*0.025+L2904*0.025)</f>
        <v/>
      </c>
      <c r="P2904" s="17">
        <f>32</f>
        <v/>
      </c>
      <c r="Q2904" s="17">
        <f>J2904+L2904+N2904+O2904-P2904-M2904</f>
        <v/>
      </c>
    </row>
    <row r="2905">
      <c r="A2905" s="16" t="inlineStr">
        <is>
          <t>5.22-5.28</t>
        </is>
      </c>
      <c r="B2905" s="16" t="inlineStr">
        <is>
          <t>PO-128-00992313324152692</t>
        </is>
      </c>
      <c r="C2905" s="16" t="inlineStr">
        <is>
          <t>Delivered</t>
        </is>
      </c>
      <c r="D2905" s="16" t="inlineStr">
        <is>
          <t>128-00992305459832692</t>
        </is>
      </c>
      <c r="E2905" s="16" t="inlineStr">
        <is>
          <t>Delivered</t>
        </is>
      </c>
      <c r="F2905" s="16" t="inlineStr">
        <is>
          <t>LB02235-negro</t>
        </is>
      </c>
      <c r="G2905" s="16" t="inlineStr">
        <is>
          <t>Audífonos Inalámbricos para la Cabeza, Recargables y Multifuncionales - Conectan a Varios Dispositivos, soportan Radio FM, Tarjeta TF y AUX - 4 Horas de Reproducción Musical - Ideal para Trabajo Cotidiano, Juegos y Estudio</t>
        </is>
      </c>
      <c r="H2905" s="16" t="inlineStr">
        <is>
          <t>NEGRO</t>
        </is>
      </c>
      <c r="I2905" s="16" t="n">
        <v>6</v>
      </c>
      <c r="J2905" s="17" t="n">
        <v>220.8</v>
      </c>
      <c r="K2905" s="17" t="n">
        <v>245.28</v>
      </c>
      <c r="L2905" s="17" t="n">
        <v>0</v>
      </c>
      <c r="M2905" s="17" t="n">
        <v>0</v>
      </c>
      <c r="N2905" s="17">
        <f>K2905*0.08+L2905*0.08</f>
        <v/>
      </c>
      <c r="O2905" s="17">
        <f>-(K2905*0.025+L2905*0.025)</f>
        <v/>
      </c>
      <c r="P2905" s="17">
        <f>32</f>
        <v/>
      </c>
      <c r="Q2905" s="17">
        <f>J2905+L2905+N2905+O2905-P2905-M2905</f>
        <v/>
      </c>
    </row>
    <row r="2906">
      <c r="A2906" s="16" t="inlineStr">
        <is>
          <t>5.22-5.28</t>
        </is>
      </c>
      <c r="B2906" s="16" t="inlineStr">
        <is>
          <t>PO-128-01066039854711356</t>
        </is>
      </c>
      <c r="C2906" s="16" t="inlineStr">
        <is>
          <t>Delivered</t>
        </is>
      </c>
      <c r="D2906" s="16" t="inlineStr">
        <is>
          <t>128-01066176169591356</t>
        </is>
      </c>
      <c r="E2906" s="16" t="inlineStr">
        <is>
          <t>Delivered</t>
        </is>
      </c>
      <c r="F2906" s="16" t="inlineStr">
        <is>
          <t>KTS-1678V</t>
        </is>
      </c>
      <c r="G2906" s="16" t="inlineStr">
        <is>
          <t>Bocina portátil Inalámbrico, de 3 pulgadas, tamaño de bolsillo, 170 g, con asa, compatible con TF, USB y Micro SD, con radio FM y función TWS (True Wireless Stereo), adecuada para relajarse en casa o viajar al aire libre.</t>
        </is>
      </c>
      <c r="H2906" s="16" t="inlineStr">
        <is>
          <t>KTS-1678V</t>
        </is>
      </c>
      <c r="I2906" s="16" t="n">
        <v>1</v>
      </c>
      <c r="J2906" s="17" t="n">
        <v>40</v>
      </c>
      <c r="K2906" s="17" t="n">
        <v>48.28</v>
      </c>
      <c r="L2906" s="17" t="n">
        <v>25.86</v>
      </c>
      <c r="M2906" s="17" t="n">
        <v>0</v>
      </c>
      <c r="N2906" s="17">
        <f>K2906*0.08+L2906*0.08</f>
        <v/>
      </c>
      <c r="O2906" s="17">
        <f>-(K2906*0.025+L2906*0.025)</f>
        <v/>
      </c>
      <c r="P2906" s="17">
        <f>32</f>
        <v/>
      </c>
      <c r="Q2906" s="17">
        <f>J2906+L2906+N2906+O2906-P2906-M2906</f>
        <v/>
      </c>
    </row>
    <row r="2907">
      <c r="A2907" s="16" t="inlineStr">
        <is>
          <t>5.22-5.28</t>
        </is>
      </c>
      <c r="B2907" s="16" t="inlineStr">
        <is>
          <t>PO-128-01167277363831715</t>
        </is>
      </c>
      <c r="C2907" s="16" t="inlineStr">
        <is>
          <t>Delivered</t>
        </is>
      </c>
      <c r="D2907" s="16" t="inlineStr">
        <is>
          <t>128-01167315374711715</t>
        </is>
      </c>
      <c r="E2907" s="16" t="inlineStr">
        <is>
          <t>Delivered</t>
        </is>
      </c>
      <c r="F2907" s="16" t="inlineStr">
        <is>
          <t>SA8058T</t>
        </is>
      </c>
      <c r="G2907"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2907" s="16" t="inlineStr">
        <is>
          <t>SA8058T</t>
        </is>
      </c>
      <c r="I2907" s="16" t="n">
        <v>1</v>
      </c>
      <c r="J2907" s="17" t="n">
        <v>200</v>
      </c>
      <c r="K2907" s="17" t="n">
        <v>222.66</v>
      </c>
      <c r="L2907" s="17" t="n">
        <v>25.86</v>
      </c>
      <c r="M2907" s="17" t="n">
        <v>0</v>
      </c>
      <c r="N2907" s="17">
        <f>K2907*0.08+L2907*0.08</f>
        <v/>
      </c>
      <c r="O2907" s="17">
        <f>-(K2907*0.025+L2907*0.025)</f>
        <v/>
      </c>
      <c r="P2907" s="17">
        <f>32</f>
        <v/>
      </c>
      <c r="Q2907" s="17">
        <f>J2907+L2907+N2907+O2907-P2907-M2907</f>
        <v/>
      </c>
    </row>
    <row r="2908">
      <c r="A2908" s="16" t="inlineStr">
        <is>
          <t>5.22-5.28</t>
        </is>
      </c>
      <c r="B2908" s="16" t="inlineStr">
        <is>
          <t>PO-128-00830360095353787</t>
        </is>
      </c>
      <c r="C2908" s="16" t="inlineStr">
        <is>
          <t>Delivered</t>
        </is>
      </c>
      <c r="D2908" s="16" t="inlineStr">
        <is>
          <t>128-00830328638073787</t>
        </is>
      </c>
      <c r="E2908" s="16" t="inlineStr">
        <is>
          <t>Delivered</t>
        </is>
      </c>
      <c r="F2908" s="16" t="inlineStr">
        <is>
          <t>LB02235-rojo</t>
        </is>
      </c>
      <c r="G2908" s="16" t="inlineStr">
        <is>
          <t>Audífonos Inalámbricos para la Cabeza, Recargables y Multifuncionales - Conectan a Varios Dispositivos, soportan Radio FM, Tarjeta TF y AUX - 4 Horas de Reproducción Musical - Ideal para Trabajo Cotidiano, Juegos y Estudio</t>
        </is>
      </c>
      <c r="H2908" s="16" t="inlineStr">
        <is>
          <t>ROJO</t>
        </is>
      </c>
      <c r="I2908" s="16" t="n">
        <v>1</v>
      </c>
      <c r="J2908" s="17" t="n">
        <v>36.8</v>
      </c>
      <c r="K2908" s="17" t="n">
        <v>44.93</v>
      </c>
      <c r="L2908" s="17" t="n">
        <v>25.86</v>
      </c>
      <c r="M2908" s="17" t="n">
        <v>0</v>
      </c>
      <c r="N2908" s="17">
        <f>K2908*0.08+L2908*0.08</f>
        <v/>
      </c>
      <c r="O2908" s="17">
        <f>-(K2908*0.025+L2908*0.025)</f>
        <v/>
      </c>
      <c r="P2908" s="17">
        <f>32</f>
        <v/>
      </c>
      <c r="Q2908" s="17">
        <f>J2908+L2908+N2908+O2908-P2908-M2908</f>
        <v/>
      </c>
    </row>
    <row r="2909">
      <c r="A2909" s="16" t="inlineStr">
        <is>
          <t>5.22-5.28</t>
        </is>
      </c>
      <c r="B2909" s="16" t="inlineStr">
        <is>
          <t>PO-128-01318388618870812</t>
        </is>
      </c>
      <c r="C2909" s="16" t="inlineStr">
        <is>
          <t>Delivered</t>
        </is>
      </c>
      <c r="D2909" s="16" t="inlineStr">
        <is>
          <t>128-01318493476470812</t>
        </is>
      </c>
      <c r="E2909" s="16" t="inlineStr">
        <is>
          <t>Delivered</t>
        </is>
      </c>
      <c r="F2909" s="16" t="inlineStr">
        <is>
          <t>KTS-1678Y</t>
        </is>
      </c>
      <c r="G2909" s="16" t="inlineStr">
        <is>
          <t>Bocina portátil Inalámbrico, de 3 pulgadas, tamaño de bolsillo, 170 g, con asa, compatible con TF, USB y Micro SD, con radio FM y función TWS (True Wireless Stereo), adecuada para relajarse en casa o viajar al aire libre.</t>
        </is>
      </c>
      <c r="H2909" s="16" t="inlineStr">
        <is>
          <t>KTS-1678Y</t>
        </is>
      </c>
      <c r="I2909" s="16" t="n">
        <v>1</v>
      </c>
      <c r="J2909" s="17" t="n">
        <v>40</v>
      </c>
      <c r="K2909" s="17" t="n">
        <v>46.22</v>
      </c>
      <c r="L2909" s="17" t="n">
        <v>25.86</v>
      </c>
      <c r="M2909" s="17" t="n">
        <v>0</v>
      </c>
      <c r="N2909" s="17">
        <f>K2909*0.08+L2909*0.08</f>
        <v/>
      </c>
      <c r="O2909" s="17">
        <f>-(K2909*0.025+L2909*0.025)</f>
        <v/>
      </c>
      <c r="P2909" s="17">
        <f>32</f>
        <v/>
      </c>
      <c r="Q2909" s="17">
        <f>J2909+L2909+N2909+O2909-P2909-M2909</f>
        <v/>
      </c>
    </row>
    <row r="2910">
      <c r="A2910" s="16" t="inlineStr">
        <is>
          <t>5.22-5.28</t>
        </is>
      </c>
      <c r="B2910" s="16" t="inlineStr">
        <is>
          <t>PO-128-01138494285431823</t>
        </is>
      </c>
      <c r="C2910" s="16" t="inlineStr">
        <is>
          <t>Delivered</t>
        </is>
      </c>
      <c r="D2910" s="16" t="inlineStr">
        <is>
          <t>128-01138452342391823</t>
        </is>
      </c>
      <c r="E2910" s="16" t="inlineStr">
        <is>
          <t>Delivered</t>
        </is>
      </c>
      <c r="F2910" s="16" t="inlineStr">
        <is>
          <t>SA323T</t>
        </is>
      </c>
      <c r="G2910" s="16" t="inlineStr">
        <is>
          <t>Linkbits Bocina Portátil Parlantes BT Portátiles con Iluminación de Ambiente | 1 Hora de Duración, FM, TWS, TF/Micro SD | Ideal para Hogar, Fiestas y Viajes</t>
        </is>
      </c>
      <c r="H2910" s="16" t="inlineStr">
        <is>
          <t>SA323T</t>
        </is>
      </c>
      <c r="I2910" s="16" t="n">
        <v>1</v>
      </c>
      <c r="J2910" s="17" t="n">
        <v>44</v>
      </c>
      <c r="K2910" s="17" t="n">
        <v>42.45</v>
      </c>
      <c r="L2910" s="17" t="n">
        <v>25.86</v>
      </c>
      <c r="M2910" s="17" t="n">
        <v>0</v>
      </c>
      <c r="N2910" s="17">
        <f>K2910*0.08+L2910*0.08</f>
        <v/>
      </c>
      <c r="O2910" s="17">
        <f>-(K2910*0.025+L2910*0.025)</f>
        <v/>
      </c>
      <c r="P2910" s="17">
        <f>32</f>
        <v/>
      </c>
      <c r="Q2910" s="17">
        <f>J2910+L2910+N2910+O2910-P2910-M2910</f>
        <v/>
      </c>
    </row>
    <row r="2911">
      <c r="A2911" s="16" t="inlineStr">
        <is>
          <t>5.22-5.28</t>
        </is>
      </c>
      <c r="B2911" s="16" t="inlineStr">
        <is>
          <t>PO-128-01064802453111364</t>
        </is>
      </c>
      <c r="C2911" s="16" t="inlineStr">
        <is>
          <t>Delivered</t>
        </is>
      </c>
      <c r="D2911" s="16" t="inlineStr">
        <is>
          <t>128-01064823424631364</t>
        </is>
      </c>
      <c r="E2911" s="16" t="inlineStr">
        <is>
          <t>Delivered</t>
        </is>
      </c>
      <c r="F2911" s="16" t="inlineStr">
        <is>
          <t>S39W48</t>
        </is>
      </c>
      <c r="G2911"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911" s="16" t="inlineStr">
        <is>
          <t>1 pieza</t>
        </is>
      </c>
      <c r="I2911" s="16" t="n">
        <v>1</v>
      </c>
      <c r="J2911" s="17" t="n">
        <v>30</v>
      </c>
      <c r="K2911" s="17" t="n">
        <v>42.58</v>
      </c>
      <c r="L2911" s="17" t="n">
        <v>25.86</v>
      </c>
      <c r="M2911" s="17" t="n">
        <v>0</v>
      </c>
      <c r="N2911" s="17">
        <f>K2911*0.08+L2911*0.08</f>
        <v/>
      </c>
      <c r="O2911" s="17">
        <f>-(K2911*0.025+L2911*0.025)</f>
        <v/>
      </c>
      <c r="P2911" s="17">
        <f>32</f>
        <v/>
      </c>
      <c r="Q2911" s="17">
        <f>J2911+L2911+N2911+O2911-P2911-M2911</f>
        <v/>
      </c>
    </row>
    <row r="2912">
      <c r="A2912" s="16" t="inlineStr">
        <is>
          <t>5.22-5.28</t>
        </is>
      </c>
      <c r="B2912" s="16" t="inlineStr">
        <is>
          <t>PO-128-01361112914550558</t>
        </is>
      </c>
      <c r="C2912" s="16" t="inlineStr">
        <is>
          <t>Delivered</t>
        </is>
      </c>
      <c r="D2912" s="16" t="inlineStr">
        <is>
          <t>128-01361123400310558</t>
        </is>
      </c>
      <c r="E2912" s="16" t="inlineStr">
        <is>
          <t>Delivered</t>
        </is>
      </c>
      <c r="F2912" s="16" t="inlineStr">
        <is>
          <t>LV64W25</t>
        </is>
      </c>
      <c r="G2912" s="16" t="inlineStr">
        <is>
          <t>Ventilador de Techo LED TIANLAI con 5 Aspas, Control Remoto, 3 Colores Luz, 3 Velocidades, Temporizador, Fácil Instalación, E27 para Baño Cocina Dormitorio Salón</t>
        </is>
      </c>
      <c r="H2912" s="16" t="inlineStr">
        <is>
          <t>LV64W25</t>
        </is>
      </c>
      <c r="I2912" s="16" t="n">
        <v>3</v>
      </c>
      <c r="J2912" s="17" t="n">
        <v>297</v>
      </c>
      <c r="K2912" s="17" t="n">
        <v>396.6</v>
      </c>
      <c r="L2912" s="17" t="n">
        <v>0</v>
      </c>
      <c r="M2912" s="17" t="n">
        <v>0</v>
      </c>
      <c r="N2912" s="17">
        <f>K2912*0.08+L2912*0.08</f>
        <v/>
      </c>
      <c r="O2912" s="17">
        <f>-(K2912*0.025+L2912*0.025)</f>
        <v/>
      </c>
      <c r="P2912" s="17">
        <f>32</f>
        <v/>
      </c>
      <c r="Q2912" s="17">
        <f>J2912+L2912+N2912+O2912-P2912-M2912</f>
        <v/>
      </c>
    </row>
    <row r="2913">
      <c r="A2913" s="16" t="inlineStr">
        <is>
          <t>5.22-5.28</t>
        </is>
      </c>
      <c r="B2913" s="16" t="inlineStr">
        <is>
          <t>PO-128-01048761001591525</t>
        </is>
      </c>
      <c r="C2913" s="16" t="inlineStr">
        <is>
          <t>Delivered</t>
        </is>
      </c>
      <c r="D2913" s="16" t="inlineStr">
        <is>
          <t>128-01048792458871525</t>
        </is>
      </c>
      <c r="E2913" s="16" t="inlineStr">
        <is>
          <t>Delivered</t>
        </is>
      </c>
      <c r="F2913" s="16" t="inlineStr">
        <is>
          <t>LB02235-rojo</t>
        </is>
      </c>
      <c r="G2913" s="16" t="inlineStr">
        <is>
          <t>Audífonos Inalámbricos para la Cabeza, Recargables y Multifuncionales - Conectan a Varios Dispositivos, soportan Radio FM, Tarjeta TF y AUX - 4 Horas de Reproducción Musical - Ideal para Trabajo Cotidiano, Juegos y Estudio</t>
        </is>
      </c>
      <c r="H2913" s="16" t="inlineStr">
        <is>
          <t>ROJO</t>
        </is>
      </c>
      <c r="I2913" s="16" t="n">
        <v>1</v>
      </c>
      <c r="J2913" s="17" t="n">
        <v>36.8</v>
      </c>
      <c r="K2913" s="17" t="n">
        <v>47.82</v>
      </c>
      <c r="L2913" s="17" t="n">
        <v>25.86</v>
      </c>
      <c r="M2913" s="17" t="n">
        <v>0</v>
      </c>
      <c r="N2913" s="17">
        <f>K2913*0.08+L2913*0.08</f>
        <v/>
      </c>
      <c r="O2913" s="17">
        <f>-(K2913*0.025+L2913*0.025)</f>
        <v/>
      </c>
      <c r="P2913" s="17">
        <f>32</f>
        <v/>
      </c>
      <c r="Q2913" s="17">
        <f>J2913+L2913+N2913+O2913-P2913-M2913</f>
        <v/>
      </c>
    </row>
    <row r="2914">
      <c r="A2914" s="16" t="inlineStr">
        <is>
          <t>5.22-5.28</t>
        </is>
      </c>
      <c r="B2914" s="16" t="inlineStr">
        <is>
          <t>PO-128-00710244670073351</t>
        </is>
      </c>
      <c r="C2914" s="16" t="inlineStr">
        <is>
          <t>Delivered</t>
        </is>
      </c>
      <c r="D2914" s="16" t="inlineStr">
        <is>
          <t>128-00710265641593351</t>
        </is>
      </c>
      <c r="E2914" s="16" t="inlineStr">
        <is>
          <t>Delivered</t>
        </is>
      </c>
      <c r="F2914" s="16" t="inlineStr">
        <is>
          <t>MCM-001G</t>
        </is>
      </c>
      <c r="G2914" s="16" t="inlineStr">
        <is>
          <t>Musicord Altavoz Inalámbrico BT Portátil: ¡Sonido impactante, luces LED multicolores y 4 horas de autonomía! Compatible con TWS, FM, TF y USB – Imprescindible para fiestas y viajes</t>
        </is>
      </c>
      <c r="H2914" s="16" t="inlineStr">
        <is>
          <t>GRIS</t>
        </is>
      </c>
      <c r="I2914" s="16" t="n">
        <v>1</v>
      </c>
      <c r="J2914" s="17" t="n">
        <v>51</v>
      </c>
      <c r="K2914" s="17" t="n">
        <v>58.79</v>
      </c>
      <c r="L2914" s="17" t="n">
        <v>12.85</v>
      </c>
      <c r="M2914" s="17" t="n">
        <v>0</v>
      </c>
      <c r="N2914" s="17">
        <f>K2914*0.08+L2914*0.08</f>
        <v/>
      </c>
      <c r="O2914" s="17">
        <f>-(K2914*0.025+L2914*0.025)</f>
        <v/>
      </c>
      <c r="P2914" s="17">
        <f>32</f>
        <v/>
      </c>
      <c r="Q2914" s="17">
        <f>J2914+L2914+N2914+O2914-P2914-M2914</f>
        <v/>
      </c>
    </row>
    <row r="2915">
      <c r="A2915" s="16" t="inlineStr">
        <is>
          <t>5.22-5.28</t>
        </is>
      </c>
      <c r="B2915" s="16" t="inlineStr">
        <is>
          <t>PO-128-00710244670073351</t>
        </is>
      </c>
      <c r="C2915" s="16" t="inlineStr">
        <is>
          <t>Delivered</t>
        </is>
      </c>
      <c r="D2915" s="16" t="inlineStr">
        <is>
          <t>128-00710282680953351</t>
        </is>
      </c>
      <c r="E2915" s="16" t="inlineStr">
        <is>
          <t>Delivered</t>
        </is>
      </c>
      <c r="F2915" s="16" t="inlineStr">
        <is>
          <t>MCM-001A</t>
        </is>
      </c>
      <c r="G2915" s="16" t="inlineStr">
        <is>
          <t>Musicord Altavoz Inalámbrico BT Portátil: ¡Sonido impactante, luces LED multicolores y 4 horas de autonomía! Compatible con TWS, FM, TF y USB – Imprescindible para fiestas y viajes</t>
        </is>
      </c>
      <c r="H2915" s="16" t="inlineStr">
        <is>
          <t>AZUL</t>
        </is>
      </c>
      <c r="I2915" s="16" t="n">
        <v>1</v>
      </c>
      <c r="J2915" s="17" t="n">
        <v>51.07</v>
      </c>
      <c r="K2915" s="17" t="n">
        <v>59.47</v>
      </c>
      <c r="L2915" s="17" t="n">
        <v>13.01</v>
      </c>
      <c r="M2915" s="17" t="n">
        <v>0</v>
      </c>
      <c r="N2915" s="17">
        <f>K2915*0.08+L2915*0.08</f>
        <v/>
      </c>
      <c r="O2915" s="17">
        <f>-(K2915*0.025+L2915*0.025)</f>
        <v/>
      </c>
      <c r="P2915" s="17">
        <f>32</f>
        <v/>
      </c>
      <c r="Q2915" s="17">
        <f>J2915+L2915+N2915+O2915-P2915-M2915</f>
        <v/>
      </c>
    </row>
    <row r="2916">
      <c r="A2916" s="16" t="inlineStr">
        <is>
          <t>5.22-5.28</t>
        </is>
      </c>
      <c r="B2916" s="16" t="inlineStr">
        <is>
          <t>PO-128-01063032474231374</t>
        </is>
      </c>
      <c r="C2916" s="16" t="inlineStr">
        <is>
          <t>Delivered</t>
        </is>
      </c>
      <c r="D2916" s="16" t="inlineStr">
        <is>
          <t>128-01063027231351374</t>
        </is>
      </c>
      <c r="E2916" s="16" t="inlineStr">
        <is>
          <t>Delivered</t>
        </is>
      </c>
      <c r="F2916" s="16" t="inlineStr">
        <is>
          <t>S39W48-5PZS</t>
        </is>
      </c>
      <c r="G2916"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2916" s="16" t="inlineStr">
        <is>
          <t>5 piezas</t>
        </is>
      </c>
      <c r="I2916" s="16" t="n">
        <v>3</v>
      </c>
      <c r="J2916" s="17" t="n">
        <v>450</v>
      </c>
      <c r="K2916" s="17" t="n">
        <v>514.2</v>
      </c>
      <c r="L2916" s="17" t="n">
        <v>0</v>
      </c>
      <c r="M2916" s="17" t="n">
        <v>0</v>
      </c>
      <c r="N2916" s="17">
        <f>K2916*0.08+L2916*0.08</f>
        <v/>
      </c>
      <c r="O2916" s="17">
        <f>-(K2916*0.025+L2916*0.025)</f>
        <v/>
      </c>
      <c r="P2916" s="17">
        <f>32</f>
        <v/>
      </c>
      <c r="Q2916" s="17">
        <f>J2916+L2916+N2916+O2916-P2916-M2916</f>
        <v/>
      </c>
    </row>
    <row r="2917">
      <c r="A2917" s="16" t="inlineStr">
        <is>
          <t>5.22-5.28</t>
        </is>
      </c>
      <c r="B2917" s="16" t="inlineStr">
        <is>
          <t>PO-128-00837864341113612</t>
        </is>
      </c>
      <c r="C2917" s="16" t="inlineStr">
        <is>
          <t>Delivered</t>
        </is>
      </c>
      <c r="D2917" s="16" t="inlineStr">
        <is>
          <t>128-00837869583993612</t>
        </is>
      </c>
      <c r="E2917" s="16" t="inlineStr">
        <is>
          <t>Delivered</t>
        </is>
      </c>
      <c r="F2917" s="16" t="inlineStr">
        <is>
          <t>SA323T</t>
        </is>
      </c>
      <c r="G2917" s="16" t="inlineStr">
        <is>
          <t>Linkbits Bocina Portátil Parlantes BT Portátiles con Iluminación de Ambiente | 1 Hora de Duración, FM, TWS, TF/Micro SD | Ideal para Hogar, Fiestas y Viajes</t>
        </is>
      </c>
      <c r="H2917" s="16" t="inlineStr">
        <is>
          <t>SA323T</t>
        </is>
      </c>
      <c r="I2917" s="16" t="n">
        <v>5</v>
      </c>
      <c r="J2917" s="17" t="n">
        <v>220</v>
      </c>
      <c r="K2917" s="17" t="n">
        <v>250</v>
      </c>
      <c r="L2917" s="17" t="n">
        <v>0</v>
      </c>
      <c r="M2917" s="17" t="n">
        <v>0</v>
      </c>
      <c r="N2917" s="17">
        <f>K2917*0.08+L2917*0.08</f>
        <v/>
      </c>
      <c r="O2917" s="17">
        <f>-(K2917*0.025+L2917*0.025)</f>
        <v/>
      </c>
      <c r="P2917" s="17">
        <f>32</f>
        <v/>
      </c>
      <c r="Q2917" s="17">
        <f>J2917+L2917+N2917+O2917-P2917-M2917</f>
        <v/>
      </c>
    </row>
    <row r="2918">
      <c r="A2918" s="16" t="inlineStr">
        <is>
          <t>5.22-5.28</t>
        </is>
      </c>
      <c r="B2918" s="16" t="inlineStr">
        <is>
          <t>PO-128-01367863358070583</t>
        </is>
      </c>
      <c r="C2918" s="16" t="inlineStr">
        <is>
          <t>Delivered</t>
        </is>
      </c>
      <c r="D2918" s="16" t="inlineStr">
        <is>
          <t>128-01367879086710583</t>
        </is>
      </c>
      <c r="E2918" s="16" t="inlineStr">
        <is>
          <t>Delivered</t>
        </is>
      </c>
      <c r="F2918" s="16" t="inlineStr">
        <is>
          <t>LB02235-negro</t>
        </is>
      </c>
      <c r="G2918" s="16" t="inlineStr">
        <is>
          <t>Audífonos Inalámbricos para la Cabeza, Recargables y Multifuncionales - Conectan a Varios Dispositivos, soportan Radio FM, Tarjeta TF y AUX - 4 Horas de Reproducción Musical - Ideal para Trabajo Cotidiano, Juegos y Estudio</t>
        </is>
      </c>
      <c r="H2918" s="16" t="inlineStr">
        <is>
          <t>NEGRO</t>
        </is>
      </c>
      <c r="I2918" s="16" t="n">
        <v>1</v>
      </c>
      <c r="J2918" s="17" t="n">
        <v>36.8</v>
      </c>
      <c r="K2918" s="17" t="n">
        <v>49.91</v>
      </c>
      <c r="L2918" s="17" t="n">
        <v>12.93</v>
      </c>
      <c r="M2918" s="17" t="n">
        <v>0</v>
      </c>
      <c r="N2918" s="17">
        <f>K2918*0.08+L2918*0.08</f>
        <v/>
      </c>
      <c r="O2918" s="17">
        <f>-(K2918*0.025+L2918*0.025)</f>
        <v/>
      </c>
      <c r="P2918" s="17">
        <f>32</f>
        <v/>
      </c>
      <c r="Q2918" s="17">
        <f>J2918+L2918+N2918+O2918-P2918-M2918</f>
        <v/>
      </c>
    </row>
    <row r="2919">
      <c r="A2919" s="16" t="inlineStr">
        <is>
          <t>5.22-5.28</t>
        </is>
      </c>
      <c r="B2919" s="16" t="inlineStr">
        <is>
          <t>PO-128-01367863358070583</t>
        </is>
      </c>
      <c r="C2919" s="16" t="inlineStr">
        <is>
          <t>Delivered</t>
        </is>
      </c>
      <c r="D2919" s="16" t="inlineStr">
        <is>
          <t>128-01367873843830583</t>
        </is>
      </c>
      <c r="E2919" s="16" t="inlineStr">
        <is>
          <t>Delivered</t>
        </is>
      </c>
      <c r="F2919" s="16" t="inlineStr">
        <is>
          <t>LB02235-blanco</t>
        </is>
      </c>
      <c r="G2919" s="16" t="inlineStr">
        <is>
          <t>Audífonos Inalámbricos para la Cabeza, Recargables y Multifuncionales - Conectan a Varios Dispositivos, soportan Radio FM, Tarjeta TF y AUX - 4 Horas de Reproducción Musical - Ideal para Trabajo Cotidiano, Juegos y Estudio</t>
        </is>
      </c>
      <c r="H2919" s="16" t="inlineStr">
        <is>
          <t>BLANCO</t>
        </is>
      </c>
      <c r="I2919" s="16" t="n">
        <v>1</v>
      </c>
      <c r="J2919" s="17" t="n">
        <v>36.8</v>
      </c>
      <c r="K2919" s="17" t="n">
        <v>49.91</v>
      </c>
      <c r="L2919" s="17" t="n">
        <v>12.93</v>
      </c>
      <c r="M2919" s="17" t="n">
        <v>0</v>
      </c>
      <c r="N2919" s="17">
        <f>K2919*0.08+L2919*0.08</f>
        <v/>
      </c>
      <c r="O2919" s="17">
        <f>-(K2919*0.025+L2919*0.025)</f>
        <v/>
      </c>
      <c r="P2919" s="17">
        <f>32</f>
        <v/>
      </c>
      <c r="Q2919" s="17">
        <f>J2919+L2919+N2919+O2919-P2919-M2919</f>
        <v/>
      </c>
    </row>
    <row r="2920">
      <c r="A2920" s="16" t="inlineStr">
        <is>
          <t>5.22-5.28</t>
        </is>
      </c>
      <c r="B2920" s="16" t="inlineStr">
        <is>
          <t>PO-128-01008575217272789</t>
        </is>
      </c>
      <c r="C2920" s="16" t="inlineStr">
        <is>
          <t>Delivered</t>
        </is>
      </c>
      <c r="D2920" s="16" t="inlineStr">
        <is>
          <t>128-01008644685432789</t>
        </is>
      </c>
      <c r="E2920" s="16" t="inlineStr">
        <is>
          <t>Delivered</t>
        </is>
      </c>
      <c r="F2920" s="16" t="inlineStr">
        <is>
          <t>MCM-001A</t>
        </is>
      </c>
      <c r="G2920" s="16" t="inlineStr">
        <is>
          <t>Musicord Altavoz Inalámbrico BT Portátil: ¡Sonido impactante, luces LED multicolores y 4 horas de autonomía! Compatible con TWS, FM, TF y USB – Imprescindible para fiestas y viajes</t>
        </is>
      </c>
      <c r="H2920" s="16" t="inlineStr">
        <is>
          <t>AZUL</t>
        </is>
      </c>
      <c r="I2920" s="16" t="n">
        <v>1</v>
      </c>
      <c r="J2920" s="17" t="n">
        <v>51.07</v>
      </c>
      <c r="K2920" s="17" t="n">
        <v>59.47</v>
      </c>
      <c r="L2920" s="17" t="n">
        <v>25.86</v>
      </c>
      <c r="M2920" s="17" t="n">
        <v>0</v>
      </c>
      <c r="N2920" s="17">
        <f>K2920*0.08+L2920*0.08</f>
        <v/>
      </c>
      <c r="O2920" s="17">
        <f>-(K2920*0.025+L2920*0.025)</f>
        <v/>
      </c>
      <c r="P2920" s="17">
        <f>32</f>
        <v/>
      </c>
      <c r="Q2920" s="17">
        <f>J2920+L2920+N2920+O2920-P2920-M2920</f>
        <v/>
      </c>
    </row>
    <row r="2921">
      <c r="A2921" s="16" t="inlineStr">
        <is>
          <t>5.22-5.28</t>
        </is>
      </c>
      <c r="B2921" s="16" t="inlineStr">
        <is>
          <t>PO-128-00826580260473744</t>
        </is>
      </c>
      <c r="C2921" s="16" t="inlineStr">
        <is>
          <t>Delivered</t>
        </is>
      </c>
      <c r="D2921" s="16" t="inlineStr">
        <is>
          <t>128-00826504238713744</t>
        </is>
      </c>
      <c r="E2921" s="16" t="inlineStr">
        <is>
          <t>Delivered</t>
        </is>
      </c>
      <c r="F2921" s="16" t="inlineStr">
        <is>
          <t>SA325T</t>
        </is>
      </c>
      <c r="G2921" s="16" t="inlineStr">
        <is>
          <t>Subwoofer Portátil Inalámbrico con Luces RGB, Sonido de Alta Potencia y Batería Duradera, TWS TF USB, Perfecto para Campamento Fiestas y Entretenimiento en Casa</t>
        </is>
      </c>
      <c r="H2921" s="16" t="inlineStr">
        <is>
          <t>NEGRO</t>
        </is>
      </c>
      <c r="I2921" s="16" t="n">
        <v>3</v>
      </c>
      <c r="J2921" s="17" t="n">
        <v>108</v>
      </c>
      <c r="K2921" s="17" t="n">
        <v>135.12</v>
      </c>
      <c r="L2921" s="17" t="n">
        <v>25.86</v>
      </c>
      <c r="M2921" s="17" t="n">
        <v>0</v>
      </c>
      <c r="N2921" s="17">
        <f>K2921*0.08+L2921*0.08</f>
        <v/>
      </c>
      <c r="O2921" s="17">
        <f>-(K2921*0.025+L2921*0.025)</f>
        <v/>
      </c>
      <c r="P2921" s="17">
        <f>32</f>
        <v/>
      </c>
      <c r="Q2921" s="17">
        <f>J2921+L2921+N2921+O2921-P2921-M2921</f>
        <v/>
      </c>
    </row>
    <row r="2922">
      <c r="A2922" s="16" t="inlineStr">
        <is>
          <t>5.22-5.28</t>
        </is>
      </c>
      <c r="B2922" s="16" t="inlineStr">
        <is>
          <t>PO-128-01329363953270877</t>
        </is>
      </c>
      <c r="C2922" s="16" t="inlineStr">
        <is>
          <t>Delivered</t>
        </is>
      </c>
      <c r="D2922" s="16" t="inlineStr">
        <is>
          <t>128-01329384924790877</t>
        </is>
      </c>
      <c r="E2922" s="16" t="inlineStr">
        <is>
          <t>Delivered</t>
        </is>
      </c>
      <c r="F2922" s="16" t="inlineStr">
        <is>
          <t>LB02235-blanco</t>
        </is>
      </c>
      <c r="G2922" s="16" t="inlineStr">
        <is>
          <t>Audífonos Inalámbricos para la Cabeza, Recargables y Multifuncionales - Conectan a Varios Dispositivos, soportan Radio FM, Tarjeta TF y AUX - 4 Horas de Reproducción Musical - Ideal para Trabajo Cotidiano, Juegos y Estudio</t>
        </is>
      </c>
      <c r="H2922" s="16" t="inlineStr">
        <is>
          <t>BLANCO</t>
        </is>
      </c>
      <c r="I2922" s="16" t="n">
        <v>1</v>
      </c>
      <c r="J2922" s="17" t="n">
        <v>36.8</v>
      </c>
      <c r="K2922" s="17" t="n">
        <v>49.91</v>
      </c>
      <c r="L2922" s="17" t="n">
        <v>25.86</v>
      </c>
      <c r="M2922" s="17" t="n">
        <v>0</v>
      </c>
      <c r="N2922" s="17">
        <f>K2922*0.08+L2922*0.08</f>
        <v/>
      </c>
      <c r="O2922" s="17">
        <f>-(K2922*0.025+L2922*0.025)</f>
        <v/>
      </c>
      <c r="P2922" s="17">
        <f>32</f>
        <v/>
      </c>
      <c r="Q2922" s="17">
        <f>J2922+L2922+N2922+O2922-P2922-M2922</f>
        <v/>
      </c>
    </row>
    <row r="2923">
      <c r="A2923" s="16" t="inlineStr">
        <is>
          <t>5.22-5.28</t>
        </is>
      </c>
      <c r="B2923" s="16" t="inlineStr">
        <is>
          <t>PO-128-01225907431030276</t>
        </is>
      </c>
      <c r="C2923" s="16" t="inlineStr">
        <is>
          <t>Delivered</t>
        </is>
      </c>
      <c r="D2923" s="16" t="inlineStr">
        <is>
          <t>128-01225908741750276</t>
        </is>
      </c>
      <c r="E2923" s="16" t="inlineStr">
        <is>
          <t>Delivered</t>
        </is>
      </c>
      <c r="F2923" s="16" t="inlineStr">
        <is>
          <t>MCM-001N</t>
        </is>
      </c>
      <c r="G2923" s="16" t="inlineStr">
        <is>
          <t>Musicord Altavoz Inalámbrico BT Portátil: ¡Sonido impactante, luces LED multicolores y 4 horas de autonomía! Compatible con TWS, FM, TF y USB – Imprescindible para fiestas y viajes</t>
        </is>
      </c>
      <c r="H2923" s="16" t="inlineStr">
        <is>
          <t>NEGRO</t>
        </is>
      </c>
      <c r="I2923" s="16" t="n">
        <v>2</v>
      </c>
      <c r="J2923" s="17" t="n">
        <v>121</v>
      </c>
      <c r="K2923" s="17" t="n">
        <v>136.58</v>
      </c>
      <c r="L2923" s="17" t="n">
        <v>25.86</v>
      </c>
      <c r="M2923" s="17" t="n">
        <v>0</v>
      </c>
      <c r="N2923" s="17">
        <f>K2923*0.08+L2923*0.08</f>
        <v/>
      </c>
      <c r="O2923" s="17">
        <f>-(K2923*0.025+L2923*0.025)</f>
        <v/>
      </c>
      <c r="P2923" s="17">
        <f>32</f>
        <v/>
      </c>
      <c r="Q2923" s="17">
        <f>J2923+L2923+N2923+O2923-P2923-M2923</f>
        <v/>
      </c>
    </row>
    <row r="2924">
      <c r="A2924" s="16" t="inlineStr">
        <is>
          <t>5.22-5.28</t>
        </is>
      </c>
      <c r="B2924" s="16" t="inlineStr">
        <is>
          <t>PO-128-01289903457910918</t>
        </is>
      </c>
      <c r="C2924" s="16" t="inlineStr">
        <is>
          <t>Delivered</t>
        </is>
      </c>
      <c r="D2924" s="16" t="inlineStr">
        <is>
          <t>128-01289861514870918</t>
        </is>
      </c>
      <c r="E2924" s="16" t="inlineStr">
        <is>
          <t>Delivered</t>
        </is>
      </c>
      <c r="F2924" s="16" t="inlineStr">
        <is>
          <t>FA028</t>
        </is>
      </c>
      <c r="G2924" s="16" t="inlineStr">
        <is>
          <t>Extractor de agua para garrafas de agua, compatible con carga USB, extractor de agua automático, práctico, con dos modos de toma de agua: manual y programado, ideal para dormitorios, salones, oficinas, uso al aire libre y otros escenarios.</t>
        </is>
      </c>
      <c r="H2924" s="16" t="inlineStr">
        <is>
          <t>FA028</t>
        </is>
      </c>
      <c r="I2924" s="16" t="n">
        <v>1</v>
      </c>
      <c r="J2924" s="17" t="n">
        <v>27</v>
      </c>
      <c r="K2924" s="17" t="n">
        <v>36.58</v>
      </c>
      <c r="L2924" s="17" t="n">
        <v>25.86</v>
      </c>
      <c r="M2924" s="17" t="n">
        <v>0</v>
      </c>
      <c r="N2924" s="17">
        <f>K2924*0.08+L2924*0.08</f>
        <v/>
      </c>
      <c r="O2924" s="17">
        <f>-(K2924*0.025+L2924*0.025)</f>
        <v/>
      </c>
      <c r="P2924" s="17">
        <f>32</f>
        <v/>
      </c>
      <c r="Q2924" s="17">
        <f>J2924+L2924+N2924+O2924-P2924-M2924</f>
        <v/>
      </c>
    </row>
    <row r="2925">
      <c r="A2925" s="16" t="inlineStr">
        <is>
          <t>5.22-5.28</t>
        </is>
      </c>
      <c r="B2925" s="16" t="inlineStr">
        <is>
          <t>PO-128-01057246602871283</t>
        </is>
      </c>
      <c r="C2925" s="16" t="inlineStr">
        <is>
          <t>Delivered</t>
        </is>
      </c>
      <c r="D2925" s="16" t="inlineStr">
        <is>
          <t>128-01057267574391283</t>
        </is>
      </c>
      <c r="E2925" s="16" t="inlineStr">
        <is>
          <t>Delivered</t>
        </is>
      </c>
      <c r="F2925" s="16" t="inlineStr">
        <is>
          <t>KTS-1943-N</t>
        </is>
      </c>
      <c r="G2925" s="16" t="inlineStr">
        <is>
          <t>Altavoz Mini Karaoke Portátil BT con Micrófono Inalámbrico, Función TWS, Radio FM, USB/TF, Batería de Larga Duración, Perfecto para Casa, Exterior y Regalos Especiales</t>
        </is>
      </c>
      <c r="H2925" s="16" t="inlineStr">
        <is>
          <t>NEGRO</t>
        </is>
      </c>
      <c r="I2925" s="16" t="n">
        <v>1</v>
      </c>
      <c r="J2925" s="17" t="n">
        <v>64</v>
      </c>
      <c r="K2925" s="17" t="n">
        <v>79.59999999999999</v>
      </c>
      <c r="L2925" s="17" t="n">
        <v>25.86</v>
      </c>
      <c r="M2925" s="17" t="n">
        <v>0</v>
      </c>
      <c r="N2925" s="17">
        <f>K2925*0.08+L2925*0.08</f>
        <v/>
      </c>
      <c r="O2925" s="17">
        <f>-(K2925*0.025+L2925*0.025)</f>
        <v/>
      </c>
      <c r="P2925" s="17">
        <f>32</f>
        <v/>
      </c>
      <c r="Q2925" s="17">
        <f>J2925+L2925+N2925+O2925-P2925-M2925</f>
        <v/>
      </c>
    </row>
    <row r="2926">
      <c r="A2926" s="16" t="inlineStr">
        <is>
          <t>5.22-5.28</t>
        </is>
      </c>
      <c r="B2926" s="16" t="inlineStr">
        <is>
          <t>PO-128-00762434663033166</t>
        </is>
      </c>
      <c r="C2926" s="16" t="inlineStr">
        <is>
          <t>Delivered</t>
        </is>
      </c>
      <c r="D2926" s="16" t="inlineStr">
        <is>
          <t>128-00762476606073166</t>
        </is>
      </c>
      <c r="E2926" s="16" t="inlineStr">
        <is>
          <t>Delivered</t>
        </is>
      </c>
      <c r="F2926" s="16" t="inlineStr">
        <is>
          <t>S09W18IB</t>
        </is>
      </c>
      <c r="G292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926" s="16" t="inlineStr">
        <is>
          <t>1 pieza</t>
        </is>
      </c>
      <c r="I2926" s="16" t="n">
        <v>1</v>
      </c>
      <c r="J2926" s="17" t="n">
        <v>32</v>
      </c>
      <c r="K2926" s="17" t="n">
        <v>42.64</v>
      </c>
      <c r="L2926" s="17" t="n">
        <v>25.86</v>
      </c>
      <c r="M2926" s="17" t="n">
        <v>0</v>
      </c>
      <c r="N2926" s="17">
        <f>K2926*0.08+L2926*0.08</f>
        <v/>
      </c>
      <c r="O2926" s="17">
        <f>-(K2926*0.025+L2926*0.025)</f>
        <v/>
      </c>
      <c r="P2926" s="17">
        <f>32</f>
        <v/>
      </c>
      <c r="Q2926" s="17">
        <f>J2926+L2926+N2926+O2926-P2926-M2926</f>
        <v/>
      </c>
    </row>
    <row r="2927">
      <c r="A2927" s="16" t="inlineStr">
        <is>
          <t>5.22-5.28</t>
        </is>
      </c>
      <c r="B2927" s="16" t="inlineStr">
        <is>
          <t>PO-128-01326082181750894</t>
        </is>
      </c>
      <c r="C2927" s="16" t="inlineStr">
        <is>
          <t>Delivered</t>
        </is>
      </c>
      <c r="D2927" s="16" t="inlineStr">
        <is>
          <t>128-01326218496630894</t>
        </is>
      </c>
      <c r="E2927" s="16" t="inlineStr">
        <is>
          <t>Delivered</t>
        </is>
      </c>
      <c r="F2927" s="16" t="inlineStr">
        <is>
          <t>LB02235-rojo</t>
        </is>
      </c>
      <c r="G2927" s="16" t="inlineStr">
        <is>
          <t>Audífonos Inalámbricos para la Cabeza, Recargables y Multifuncionales - Conectan a Varios Dispositivos, soportan Radio FM, Tarjeta TF y AUX - 4 Horas de Reproducción Musical - Ideal para Trabajo Cotidiano, Juegos y Estudio</t>
        </is>
      </c>
      <c r="H2927" s="16" t="inlineStr">
        <is>
          <t>ROJO</t>
        </is>
      </c>
      <c r="I2927" s="16" t="n">
        <v>1</v>
      </c>
      <c r="J2927" s="17" t="n">
        <v>36.8</v>
      </c>
      <c r="K2927" s="17" t="n">
        <v>49.91</v>
      </c>
      <c r="L2927" s="17" t="n">
        <v>25.86</v>
      </c>
      <c r="M2927" s="17" t="n">
        <v>0</v>
      </c>
      <c r="N2927" s="17">
        <f>K2927*0.08+L2927*0.08</f>
        <v/>
      </c>
      <c r="O2927" s="17">
        <f>-(K2927*0.025+L2927*0.025)</f>
        <v/>
      </c>
      <c r="P2927" s="17">
        <f>32</f>
        <v/>
      </c>
      <c r="Q2927" s="17">
        <f>J2927+L2927+N2927+O2927-P2927-M2927</f>
        <v/>
      </c>
    </row>
    <row r="2928">
      <c r="A2928" s="16" t="inlineStr">
        <is>
          <t>5.22-5.28</t>
        </is>
      </c>
      <c r="B2928" s="16" t="inlineStr">
        <is>
          <t>PO-128-00745726019193266</t>
        </is>
      </c>
      <c r="C2928" s="16" t="inlineStr">
        <is>
          <t>Delivered</t>
        </is>
      </c>
      <c r="D2928" s="16" t="inlineStr">
        <is>
          <t>128-00745736504953266</t>
        </is>
      </c>
      <c r="E2928" s="16" t="inlineStr">
        <is>
          <t>Delivered</t>
        </is>
      </c>
      <c r="F2928" s="16" t="inlineStr">
        <is>
          <t>LV34W04</t>
        </is>
      </c>
      <c r="G292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2928" s="16" t="inlineStr">
        <is>
          <t>LV34W04</t>
        </is>
      </c>
      <c r="I2928" s="16" t="n">
        <v>1</v>
      </c>
      <c r="J2928" s="17" t="n">
        <v>220</v>
      </c>
      <c r="K2928" s="17" t="n">
        <v>278.82</v>
      </c>
      <c r="L2928" s="17" t="n">
        <v>0</v>
      </c>
      <c r="M2928" s="17" t="n">
        <v>0</v>
      </c>
      <c r="N2928" s="17">
        <f>K2928*0.08+L2928*0.08</f>
        <v/>
      </c>
      <c r="O2928" s="17">
        <f>-(K2928*0.025+L2928*0.025)</f>
        <v/>
      </c>
      <c r="P2928" s="17">
        <f>32</f>
        <v/>
      </c>
      <c r="Q2928" s="17">
        <f>J2928+L2928+N2928+O2928-P2928-M2928</f>
        <v/>
      </c>
    </row>
    <row r="2929">
      <c r="A2929" s="16" t="inlineStr">
        <is>
          <t>5.22-5.28</t>
        </is>
      </c>
      <c r="B2929" s="16" t="inlineStr">
        <is>
          <t>PO-128-01258597868150211</t>
        </is>
      </c>
      <c r="C2929" s="16" t="inlineStr">
        <is>
          <t>Delivered</t>
        </is>
      </c>
      <c r="D2929" s="16" t="inlineStr">
        <is>
          <t>128-01258608353910211</t>
        </is>
      </c>
      <c r="E2929" s="16" t="inlineStr">
        <is>
          <t>Delivered</t>
        </is>
      </c>
      <c r="F2929" s="16" t="inlineStr">
        <is>
          <t>LB02235-blanco</t>
        </is>
      </c>
      <c r="G2929" s="16" t="inlineStr">
        <is>
          <t>Audífonos Inalámbricos para la Cabeza, Recargables y Multifuncionales - Conectan a Varios Dispositivos, soportan Radio FM, Tarjeta TF y AUX - 4 Horas de Reproducción Musical - Ideal para Trabajo Cotidiano, Juegos y Estudio</t>
        </is>
      </c>
      <c r="H2929" s="16" t="inlineStr">
        <is>
          <t>BLANCO</t>
        </is>
      </c>
      <c r="I2929" s="16" t="n">
        <v>1</v>
      </c>
      <c r="J2929" s="17" t="n">
        <v>36.8</v>
      </c>
      <c r="K2929" s="17" t="n">
        <v>49.91</v>
      </c>
      <c r="L2929" s="17" t="n">
        <v>25.86</v>
      </c>
      <c r="M2929" s="17" t="n">
        <v>0</v>
      </c>
      <c r="N2929" s="17">
        <f>K2929*0.08+L2929*0.08</f>
        <v/>
      </c>
      <c r="O2929" s="17">
        <f>-(K2929*0.025+L2929*0.025)</f>
        <v/>
      </c>
      <c r="P2929" s="17">
        <f>32</f>
        <v/>
      </c>
      <c r="Q2929" s="17">
        <f>J2929+L2929+N2929+O2929-P2929-M2929</f>
        <v/>
      </c>
    </row>
    <row r="2930">
      <c r="A2930" s="16" t="inlineStr">
        <is>
          <t>5.22-5.28</t>
        </is>
      </c>
      <c r="B2930" s="16" t="inlineStr">
        <is>
          <t>PO-128-01341380542070677</t>
        </is>
      </c>
      <c r="C2930" s="16" t="inlineStr">
        <is>
          <t>Delivered</t>
        </is>
      </c>
      <c r="D2930" s="16" t="inlineStr">
        <is>
          <t>128-01341421993590677</t>
        </is>
      </c>
      <c r="E2930" s="16" t="inlineStr">
        <is>
          <t>Delivered</t>
        </is>
      </c>
      <c r="F2930" s="16" t="inlineStr">
        <is>
          <t>LB02235-azul</t>
        </is>
      </c>
      <c r="G2930" s="16" t="inlineStr">
        <is>
          <t>Audífonos Inalámbricos para la Cabeza, Recargables y Multifuncionales - Conectan a Varios Dispositivos, soportan Radio FM, Tarjeta TF y AUX - 4 Horas de Reproducción Musical - Ideal para Trabajo Cotidiano, Juegos y Estudio</t>
        </is>
      </c>
      <c r="H2930" s="16" t="inlineStr">
        <is>
          <t>AZUL</t>
        </is>
      </c>
      <c r="I2930" s="16" t="n">
        <v>1</v>
      </c>
      <c r="J2930" s="17" t="n">
        <v>36.8</v>
      </c>
      <c r="K2930" s="17" t="n">
        <v>49.91</v>
      </c>
      <c r="L2930" s="17" t="n">
        <v>25.86</v>
      </c>
      <c r="M2930" s="17" t="n">
        <v>0</v>
      </c>
      <c r="N2930" s="17">
        <f>K2930*0.08+L2930*0.08</f>
        <v/>
      </c>
      <c r="O2930" s="17">
        <f>-(K2930*0.025+L2930*0.025)</f>
        <v/>
      </c>
      <c r="P2930" s="17">
        <f>32</f>
        <v/>
      </c>
      <c r="Q2930" s="17">
        <f>J2930+L2930+N2930+O2930-P2930-M2930</f>
        <v/>
      </c>
    </row>
    <row r="2931">
      <c r="A2931" s="16" t="inlineStr">
        <is>
          <t>5.22-5.28</t>
        </is>
      </c>
      <c r="B2931" s="16" t="inlineStr">
        <is>
          <t>PO-128-01329303158390877</t>
        </is>
      </c>
      <c r="C2931" s="16" t="inlineStr">
        <is>
          <t>Delivered</t>
        </is>
      </c>
      <c r="D2931" s="16" t="inlineStr">
        <is>
          <t>128-01329341169270877</t>
        </is>
      </c>
      <c r="E2931" s="16" t="inlineStr">
        <is>
          <t>Delivered</t>
        </is>
      </c>
      <c r="F2931" s="16" t="inlineStr">
        <is>
          <t>MCM-001R</t>
        </is>
      </c>
      <c r="G2931" s="16" t="inlineStr">
        <is>
          <t>Musicord Altavoz Inalámbrico BT Portátil: ¡Sonido impactante, luces LED multicolores y 4 horas de autonomía! Compatible con TWS, FM, TF y USB – Imprescindible para fiestas y viajes</t>
        </is>
      </c>
      <c r="H2931" s="16" t="inlineStr">
        <is>
          <t>ROJO</t>
        </is>
      </c>
      <c r="I2931" s="16" t="n">
        <v>1</v>
      </c>
      <c r="J2931" s="17" t="n">
        <v>66</v>
      </c>
      <c r="K2931" s="17" t="n">
        <v>73.79000000000001</v>
      </c>
      <c r="L2931" s="17" t="n">
        <v>0</v>
      </c>
      <c r="M2931" s="17" t="n">
        <v>0</v>
      </c>
      <c r="N2931" s="17">
        <f>K2931*0.08+L2931*0.08</f>
        <v/>
      </c>
      <c r="O2931" s="17">
        <f>-(K2931*0.025+L2931*0.025)</f>
        <v/>
      </c>
      <c r="P2931" s="17">
        <f>32</f>
        <v/>
      </c>
      <c r="Q2931" s="17">
        <f>J2931+L2931+N2931+O2931-P2931-M2931</f>
        <v/>
      </c>
    </row>
    <row r="2932">
      <c r="A2932" s="16" t="inlineStr">
        <is>
          <t>5.22-5.28</t>
        </is>
      </c>
      <c r="B2932" s="16" t="inlineStr">
        <is>
          <t>PO-128-01329303158390877</t>
        </is>
      </c>
      <c r="C2932" s="16" t="inlineStr">
        <is>
          <t>Delivered</t>
        </is>
      </c>
      <c r="D2932" s="16" t="inlineStr">
        <is>
          <t>128-01329362140790877</t>
        </is>
      </c>
      <c r="E2932" s="16" t="inlineStr">
        <is>
          <t>Delivered</t>
        </is>
      </c>
      <c r="F2932" s="16" t="inlineStr">
        <is>
          <t>MCM-001N</t>
        </is>
      </c>
      <c r="G2932" s="16" t="inlineStr">
        <is>
          <t>Musicord Altavoz Inalámbrico BT Portátil: ¡Sonido impactante, luces LED multicolores y 4 horas de autonomía! Compatible con TWS, FM, TF y USB – Imprescindible para fiestas y viajes</t>
        </is>
      </c>
      <c r="H2932" s="16" t="inlineStr">
        <is>
          <t>NEGRO</t>
        </is>
      </c>
      <c r="I2932" s="16" t="n">
        <v>1</v>
      </c>
      <c r="J2932" s="17" t="n">
        <v>60.5</v>
      </c>
      <c r="K2932" s="17" t="n">
        <v>68.29000000000001</v>
      </c>
      <c r="L2932" s="17" t="n">
        <v>0</v>
      </c>
      <c r="M2932" s="17" t="n">
        <v>0</v>
      </c>
      <c r="N2932" s="17">
        <f>K2932*0.08+L2932*0.08</f>
        <v/>
      </c>
      <c r="O2932" s="17">
        <f>-(K2932*0.025+L2932*0.025)</f>
        <v/>
      </c>
      <c r="P2932" s="17">
        <f>32</f>
        <v/>
      </c>
      <c r="Q2932" s="17">
        <f>J2932+L2932+N2932+O2932-P2932-M2932</f>
        <v/>
      </c>
    </row>
    <row r="2933">
      <c r="A2933" s="16" t="inlineStr">
        <is>
          <t>5.22-5.28</t>
        </is>
      </c>
      <c r="B2933" s="16" t="inlineStr">
        <is>
          <t>PO-128-01329303158390877</t>
        </is>
      </c>
      <c r="C2933" s="16" t="inlineStr">
        <is>
          <t>Delivered</t>
        </is>
      </c>
      <c r="D2933" s="16" t="inlineStr">
        <is>
          <t>128-01329320197750877</t>
        </is>
      </c>
      <c r="E2933" s="16" t="inlineStr">
        <is>
          <t>Delivered</t>
        </is>
      </c>
      <c r="F2933" s="16" t="inlineStr">
        <is>
          <t>MCM-001A</t>
        </is>
      </c>
      <c r="G2933" s="16" t="inlineStr">
        <is>
          <t>Musicord Altavoz Inalámbrico BT Portátil: ¡Sonido impactante, luces LED multicolores y 4 horas de autonomía! Compatible con TWS, FM, TF y USB – Imprescindible para fiestas y viajes</t>
        </is>
      </c>
      <c r="H2933" s="16" t="inlineStr">
        <is>
          <t>AZUL</t>
        </is>
      </c>
      <c r="I2933" s="16" t="n">
        <v>1</v>
      </c>
      <c r="J2933" s="17" t="n">
        <v>51.07</v>
      </c>
      <c r="K2933" s="17" t="n">
        <v>59.47</v>
      </c>
      <c r="L2933" s="17" t="n">
        <v>0</v>
      </c>
      <c r="M2933" s="17" t="n">
        <v>0</v>
      </c>
      <c r="N2933" s="17">
        <f>K2933*0.08+L2933*0.08</f>
        <v/>
      </c>
      <c r="O2933" s="17">
        <f>-(K2933*0.025+L2933*0.025)</f>
        <v/>
      </c>
      <c r="P2933" s="17">
        <f>32</f>
        <v/>
      </c>
      <c r="Q2933" s="17">
        <f>J2933+L2933+N2933+O2933-P2933-M2933</f>
        <v/>
      </c>
    </row>
    <row r="2934">
      <c r="A2934" s="16" t="inlineStr">
        <is>
          <t>5.22-5.28</t>
        </is>
      </c>
      <c r="B2934" s="16" t="inlineStr">
        <is>
          <t>PO-128-01329303158390877</t>
        </is>
      </c>
      <c r="C2934" s="16" t="inlineStr">
        <is>
          <t>Delivered</t>
        </is>
      </c>
      <c r="D2934" s="16" t="inlineStr">
        <is>
          <t>128-01329330683510877</t>
        </is>
      </c>
      <c r="E2934" s="16" t="inlineStr">
        <is>
          <t>Delivered</t>
        </is>
      </c>
      <c r="F2934" s="16" t="inlineStr">
        <is>
          <t>MCM-001G</t>
        </is>
      </c>
      <c r="G2934" s="16" t="inlineStr">
        <is>
          <t>Musicord Altavoz Inalámbrico BT Portátil: ¡Sonido impactante, luces LED multicolores y 4 horas de autonomía! Compatible con TWS, FM, TF y USB – Imprescindible para fiestas y viajes</t>
        </is>
      </c>
      <c r="H2934" s="16" t="inlineStr">
        <is>
          <t>GRIS</t>
        </is>
      </c>
      <c r="I2934" s="16" t="n">
        <v>1</v>
      </c>
      <c r="J2934" s="17" t="n">
        <v>51</v>
      </c>
      <c r="K2934" s="17" t="n">
        <v>58.79</v>
      </c>
      <c r="L2934" s="17" t="n">
        <v>0</v>
      </c>
      <c r="M2934" s="17" t="n">
        <v>0</v>
      </c>
      <c r="N2934" s="17">
        <f>K2934*0.08+L2934*0.08</f>
        <v/>
      </c>
      <c r="O2934" s="17">
        <f>-(K2934*0.025+L2934*0.025)</f>
        <v/>
      </c>
      <c r="P2934" s="17">
        <f>32</f>
        <v/>
      </c>
      <c r="Q2934" s="17">
        <f>J2934+L2934+N2934+O2934-P2934-M2934</f>
        <v/>
      </c>
    </row>
    <row r="2935">
      <c r="A2935" s="16" t="inlineStr">
        <is>
          <t>5.22-5.28</t>
        </is>
      </c>
      <c r="B2935" s="16" t="inlineStr">
        <is>
          <t>PO-128-01271329864310007</t>
        </is>
      </c>
      <c r="C2935" s="16" t="inlineStr">
        <is>
          <t>Delivered</t>
        </is>
      </c>
      <c r="D2935" s="16" t="inlineStr">
        <is>
          <t>128-01271350835830007</t>
        </is>
      </c>
      <c r="E2935" s="16" t="inlineStr">
        <is>
          <t>Delivered</t>
        </is>
      </c>
      <c r="F2935" s="16" t="inlineStr">
        <is>
          <t>MCM-001G</t>
        </is>
      </c>
      <c r="G2935" s="16" t="inlineStr">
        <is>
          <t>Musicord Altavoz Inalámbrico BT Portátil: ¡Sonido impactante, luces LED multicolores y 4 horas de autonomía! Compatible con TWS, FM, TF y USB – Imprescindible para fiestas y viajes</t>
        </is>
      </c>
      <c r="H2935" s="16" t="inlineStr">
        <is>
          <t>GRIS</t>
        </is>
      </c>
      <c r="I2935" s="16" t="n">
        <v>1</v>
      </c>
      <c r="J2935" s="17" t="n">
        <v>51</v>
      </c>
      <c r="K2935" s="17" t="n">
        <v>58.79</v>
      </c>
      <c r="L2935" s="17" t="n">
        <v>25.86</v>
      </c>
      <c r="M2935" s="17" t="n">
        <v>0</v>
      </c>
      <c r="N2935" s="17">
        <f>K2935*0.08+L2935*0.08</f>
        <v/>
      </c>
      <c r="O2935" s="17">
        <f>-(K2935*0.025+L2935*0.025)</f>
        <v/>
      </c>
      <c r="P2935" s="17">
        <f>32</f>
        <v/>
      </c>
      <c r="Q2935" s="17">
        <f>J2935+L2935+N2935+O2935-P2935-M2935</f>
        <v/>
      </c>
    </row>
    <row r="2936">
      <c r="A2936" s="16" t="inlineStr">
        <is>
          <t>5.22-5.28</t>
        </is>
      </c>
      <c r="B2936" s="16" t="inlineStr">
        <is>
          <t>PO-128-01019460833912594</t>
        </is>
      </c>
      <c r="C2936" s="16" t="inlineStr">
        <is>
          <t>Delivered</t>
        </is>
      </c>
      <c r="D2936" s="16" t="inlineStr">
        <is>
          <t>128-01019502776952594</t>
        </is>
      </c>
      <c r="E2936" s="16" t="inlineStr">
        <is>
          <t>Delivered</t>
        </is>
      </c>
      <c r="F2936" s="16" t="inlineStr">
        <is>
          <t>SA325T</t>
        </is>
      </c>
      <c r="G2936" s="16" t="inlineStr">
        <is>
          <t>Subwoofer Portátil Inalámbrico con Luces RGB, Sonido de Alta Potencia y Batería Duradera, TWS TF USB, Perfecto para Campamento Fiestas y Entretenimiento en Casa</t>
        </is>
      </c>
      <c r="H2936" s="16" t="inlineStr">
        <is>
          <t>NEGRO</t>
        </is>
      </c>
      <c r="I2936" s="16" t="n">
        <v>1</v>
      </c>
      <c r="J2936" s="17" t="n">
        <v>36</v>
      </c>
      <c r="K2936" s="17" t="n">
        <v>1.94</v>
      </c>
      <c r="L2936" s="17" t="n">
        <v>25.86</v>
      </c>
      <c r="M2936" s="17" t="n">
        <v>0</v>
      </c>
      <c r="N2936" s="17">
        <f>K2936*0.08+L2936*0.08</f>
        <v/>
      </c>
      <c r="O2936" s="17">
        <f>-(K2936*0.025+L2936*0.025)</f>
        <v/>
      </c>
      <c r="P2936" s="17">
        <f>32</f>
        <v/>
      </c>
      <c r="Q2936" s="17">
        <f>J2936+L2936+N2936+O2936-P2936-M2936</f>
        <v/>
      </c>
    </row>
    <row r="2937">
      <c r="A2937" s="16" t="inlineStr">
        <is>
          <t>5.22-5.28</t>
        </is>
      </c>
      <c r="B2937" s="16" t="inlineStr">
        <is>
          <t>PO-128-00763148370553162</t>
        </is>
      </c>
      <c r="C2937" s="16" t="inlineStr">
        <is>
          <t>Delivered</t>
        </is>
      </c>
      <c r="D2937" s="16" t="inlineStr">
        <is>
          <t>128-00763169342073162</t>
        </is>
      </c>
      <c r="E2937" s="16" t="inlineStr">
        <is>
          <t>Delivered</t>
        </is>
      </c>
      <c r="F2937" s="16" t="inlineStr">
        <is>
          <t>SA325T</t>
        </is>
      </c>
      <c r="G2937" s="16" t="inlineStr">
        <is>
          <t>Subwoofer Portátil Inalámbrico con Luces RGB, Sonido de Alta Potencia y Batería Duradera, TWS TF USB, Perfecto para Campamento Fiestas y Entretenimiento en Casa</t>
        </is>
      </c>
      <c r="H2937" s="16" t="inlineStr">
        <is>
          <t>NEGRO</t>
        </is>
      </c>
      <c r="I2937" s="16" t="n">
        <v>1</v>
      </c>
      <c r="J2937" s="17" t="n">
        <v>36</v>
      </c>
      <c r="K2937" s="17" t="n">
        <v>45.04</v>
      </c>
      <c r="L2937" s="17" t="n">
        <v>25.86</v>
      </c>
      <c r="M2937" s="17" t="n">
        <v>0</v>
      </c>
      <c r="N2937" s="17">
        <f>K2937*0.08+L2937*0.08</f>
        <v/>
      </c>
      <c r="O2937" s="17">
        <f>-(K2937*0.025+L2937*0.025)</f>
        <v/>
      </c>
      <c r="P2937" s="17">
        <f>32</f>
        <v/>
      </c>
      <c r="Q2937" s="17">
        <f>J2937+L2937+N2937+O2937-P2937-M2937</f>
        <v/>
      </c>
    </row>
    <row r="2938">
      <c r="A2938" s="16" t="inlineStr">
        <is>
          <t>5.22-5.28</t>
        </is>
      </c>
      <c r="B2938" s="16" t="inlineStr">
        <is>
          <t>PO-128-01067501256311348</t>
        </is>
      </c>
      <c r="C2938" s="16" t="inlineStr">
        <is>
          <t>Delivered</t>
        </is>
      </c>
      <c r="D2938" s="16" t="inlineStr">
        <is>
          <t>128-01067459313271348</t>
        </is>
      </c>
      <c r="E2938" s="16" t="inlineStr">
        <is>
          <t>Delivered</t>
        </is>
      </c>
      <c r="F2938" s="16" t="inlineStr">
        <is>
          <t>KTS-1678Y</t>
        </is>
      </c>
      <c r="G2938" s="16" t="inlineStr">
        <is>
          <t>Bocina portátil Inalámbrico, de 3 pulgadas, tamaño de bolsillo, 170 g, con asa, compatible con TF, USB y Micro SD, con radio FM y función TWS (True Wireless Stereo), adecuada para relajarse en casa o viajar al aire libre.</t>
        </is>
      </c>
      <c r="H2938" s="16" t="inlineStr">
        <is>
          <t>KTS-1678Y</t>
        </is>
      </c>
      <c r="I2938" s="16" t="n">
        <v>1</v>
      </c>
      <c r="J2938" s="17" t="n">
        <v>40</v>
      </c>
      <c r="K2938" s="17" t="n">
        <v>43.91</v>
      </c>
      <c r="L2938" s="17" t="n">
        <v>25.86</v>
      </c>
      <c r="M2938" s="17" t="n">
        <v>0</v>
      </c>
      <c r="N2938" s="17">
        <f>K2938*0.08+L2938*0.08</f>
        <v/>
      </c>
      <c r="O2938" s="17">
        <f>-(K2938*0.025+L2938*0.025)</f>
        <v/>
      </c>
      <c r="P2938" s="17">
        <f>32</f>
        <v/>
      </c>
      <c r="Q2938" s="17">
        <f>J2938+L2938+N2938+O2938-P2938-M2938</f>
        <v/>
      </c>
    </row>
    <row r="2939">
      <c r="A2939" s="16" t="inlineStr">
        <is>
          <t>5.22-5.28</t>
        </is>
      </c>
      <c r="B2939" s="16" t="inlineStr">
        <is>
          <t>PO-128-00816380641913740</t>
        </is>
      </c>
      <c r="C2939" s="16" t="inlineStr">
        <is>
          <t>Delivered</t>
        </is>
      </c>
      <c r="D2939" s="16" t="inlineStr">
        <is>
          <t>128-00816418652793740</t>
        </is>
      </c>
      <c r="E2939" s="16" t="inlineStr">
        <is>
          <t>Delivered</t>
        </is>
      </c>
      <c r="F2939" s="16" t="inlineStr">
        <is>
          <t>FA028</t>
        </is>
      </c>
      <c r="G2939" s="16" t="inlineStr">
        <is>
          <t>Extractor de agua para garrafas de agua, compatible con carga USB, extractor de agua automático, práctico, con dos modos de toma de agua: manual y programado, ideal para dormitorios, salones, oficinas, uso al aire libre y otros escenarios.</t>
        </is>
      </c>
      <c r="H2939" s="16" t="inlineStr">
        <is>
          <t>FA028</t>
        </is>
      </c>
      <c r="I2939" s="16" t="n">
        <v>2</v>
      </c>
      <c r="J2939" s="17" t="n">
        <v>54</v>
      </c>
      <c r="K2939" s="17" t="n">
        <v>73.16</v>
      </c>
      <c r="L2939" s="17" t="n">
        <v>25.86</v>
      </c>
      <c r="M2939" s="17" t="n">
        <v>0</v>
      </c>
      <c r="N2939" s="17">
        <f>K2939*0.08+L2939*0.08</f>
        <v/>
      </c>
      <c r="O2939" s="17">
        <f>-(K2939*0.025+L2939*0.025)</f>
        <v/>
      </c>
      <c r="P2939" s="17">
        <f>32</f>
        <v/>
      </c>
      <c r="Q2939" s="17">
        <f>J2939+L2939+N2939+O2939-P2939-M2939</f>
        <v/>
      </c>
    </row>
    <row r="2940">
      <c r="A2940" s="16" t="inlineStr">
        <is>
          <t>5.22-5.28</t>
        </is>
      </c>
      <c r="B2940" s="16" t="inlineStr">
        <is>
          <t>PO-128-00757327713913132</t>
        </is>
      </c>
      <c r="C2940" s="16" t="inlineStr">
        <is>
          <t>Delivered</t>
        </is>
      </c>
      <c r="D2940" s="16" t="inlineStr">
        <is>
          <t>128-00757403735673132</t>
        </is>
      </c>
      <c r="E2940" s="16" t="inlineStr">
        <is>
          <t>Delivered</t>
        </is>
      </c>
      <c r="F2940" s="16" t="inlineStr">
        <is>
          <t>LB02235-negro</t>
        </is>
      </c>
      <c r="G2940" s="16" t="inlineStr">
        <is>
          <t>Audífonos Inalámbricos para la Cabeza, Recargables y Multifuncionales - Conectan a Varios Dispositivos, soportan Radio FM, Tarjeta TF y AUX - 4 Horas de Reproducción Musical - Ideal para Trabajo Cotidiano, Juegos y Estudio</t>
        </is>
      </c>
      <c r="H2940" s="16" t="inlineStr">
        <is>
          <t>NEGRO</t>
        </is>
      </c>
      <c r="I2940" s="16" t="n">
        <v>1</v>
      </c>
      <c r="J2940" s="17" t="n">
        <v>36.8</v>
      </c>
      <c r="K2940" s="17" t="n">
        <v>49.91</v>
      </c>
      <c r="L2940" s="17" t="n">
        <v>25.86</v>
      </c>
      <c r="M2940" s="17" t="n">
        <v>0</v>
      </c>
      <c r="N2940" s="17">
        <f>K2940*0.08+L2940*0.08</f>
        <v/>
      </c>
      <c r="O2940" s="17">
        <f>-(K2940*0.025+L2940*0.025)</f>
        <v/>
      </c>
      <c r="P2940" s="17">
        <f>32</f>
        <v/>
      </c>
      <c r="Q2940" s="17">
        <f>J2940+L2940+N2940+O2940-P2940-M2940</f>
        <v/>
      </c>
    </row>
    <row r="2941">
      <c r="A2941" s="16" t="inlineStr">
        <is>
          <t>5.22-5.28</t>
        </is>
      </c>
      <c r="B2941" s="16" t="inlineStr">
        <is>
          <t>PO-128-01047048243831534</t>
        </is>
      </c>
      <c r="C2941" s="16" t="inlineStr">
        <is>
          <t>Delivered</t>
        </is>
      </c>
      <c r="D2941" s="16" t="inlineStr">
        <is>
          <t>128-01047006300791534</t>
        </is>
      </c>
      <c r="E2941" s="16" t="inlineStr">
        <is>
          <t>Delivered</t>
        </is>
      </c>
      <c r="F2941" s="16" t="inlineStr">
        <is>
          <t>FA028</t>
        </is>
      </c>
      <c r="G2941" s="16" t="inlineStr">
        <is>
          <t>Extractor de agua para garrafas de agua, compatible con carga USB, extractor de agua automático, práctico, con dos modos de toma de agua: manual y programado, ideal para dormitorios, salones, oficinas, uso al aire libre y otros escenarios.</t>
        </is>
      </c>
      <c r="H2941" s="16" t="inlineStr">
        <is>
          <t>FA028</t>
        </is>
      </c>
      <c r="I2941" s="16" t="n">
        <v>1</v>
      </c>
      <c r="J2941" s="17" t="n">
        <v>27</v>
      </c>
      <c r="K2941" s="17" t="n">
        <v>29.27</v>
      </c>
      <c r="L2941" s="17" t="n">
        <v>25.86</v>
      </c>
      <c r="M2941" s="17" t="n">
        <v>0</v>
      </c>
      <c r="N2941" s="17">
        <f>K2941*0.08+L2941*0.08</f>
        <v/>
      </c>
      <c r="O2941" s="17">
        <f>-(K2941*0.025+L2941*0.025)</f>
        <v/>
      </c>
      <c r="P2941" s="17">
        <f>32</f>
        <v/>
      </c>
      <c r="Q2941" s="17">
        <f>J2941+L2941+N2941+O2941-P2941-M2941</f>
        <v/>
      </c>
    </row>
    <row r="2942">
      <c r="A2942" s="16" t="inlineStr">
        <is>
          <t>5.22-5.28</t>
        </is>
      </c>
      <c r="B2942" s="16" t="inlineStr">
        <is>
          <t>PO-128-00786743224954047</t>
        </is>
      </c>
      <c r="C2942" s="16" t="inlineStr">
        <is>
          <t>Delivered</t>
        </is>
      </c>
      <c r="D2942" s="16" t="inlineStr">
        <is>
          <t>128-00786696039034047</t>
        </is>
      </c>
      <c r="E2942" s="16" t="inlineStr">
        <is>
          <t>Delivered</t>
        </is>
      </c>
      <c r="F2942" s="16" t="inlineStr">
        <is>
          <t>KTS-1678Y</t>
        </is>
      </c>
      <c r="G2942" s="16" t="inlineStr">
        <is>
          <t>Bocina portátil Inalámbrico, de 3 pulgadas, tamaño de bolsillo, 170 g, con asa, compatible con TF, USB y Micro SD, con radio FM y función TWS (True Wireless Stereo), adecuada para relajarse en casa o viajar al aire libre.</t>
        </is>
      </c>
      <c r="H2942" s="16" t="inlineStr">
        <is>
          <t>KTS-1678Y</t>
        </is>
      </c>
      <c r="I2942" s="16" t="n">
        <v>1</v>
      </c>
      <c r="J2942" s="17" t="n">
        <v>40</v>
      </c>
      <c r="K2942" s="17" t="n">
        <v>46.22</v>
      </c>
      <c r="L2942" s="17" t="n">
        <v>25.86</v>
      </c>
      <c r="M2942" s="17" t="n">
        <v>0</v>
      </c>
      <c r="N2942" s="17">
        <f>K2942*0.08+L2942*0.08</f>
        <v/>
      </c>
      <c r="O2942" s="17">
        <f>-(K2942*0.025+L2942*0.025)</f>
        <v/>
      </c>
      <c r="P2942" s="17">
        <f>32</f>
        <v/>
      </c>
      <c r="Q2942" s="17">
        <f>J2942+L2942+N2942+O2942-P2942-M2942</f>
        <v/>
      </c>
    </row>
    <row r="2943">
      <c r="A2943" s="16" t="inlineStr">
        <is>
          <t>5.22-5.28</t>
        </is>
      </c>
      <c r="B2943" s="16" t="inlineStr">
        <is>
          <t>PO-128-00983086725752941</t>
        </is>
      </c>
      <c r="C2943" s="16" t="inlineStr">
        <is>
          <t>Delivered</t>
        </is>
      </c>
      <c r="D2943" s="16" t="inlineStr">
        <is>
          <t>128-00983107697272941</t>
        </is>
      </c>
      <c r="E2943" s="16" t="inlineStr">
        <is>
          <t>Delivered</t>
        </is>
      </c>
      <c r="F2943" s="16" t="inlineStr">
        <is>
          <t>SA325T</t>
        </is>
      </c>
      <c r="G2943" s="16" t="inlineStr">
        <is>
          <t>Subwoofer Portátil Inalámbrico con Luces RGB, Sonido de Alta Potencia y Batería Duradera, TWS TF USB, Perfecto para Campamento Fiestas y Entretenimiento en Casa</t>
        </is>
      </c>
      <c r="H2943" s="16" t="inlineStr">
        <is>
          <t>NEGRO</t>
        </is>
      </c>
      <c r="I2943" s="16" t="n">
        <v>1</v>
      </c>
      <c r="J2943" s="17" t="n">
        <v>36</v>
      </c>
      <c r="K2943" s="17" t="n">
        <v>45.04</v>
      </c>
      <c r="L2943" s="17" t="n">
        <v>25.86</v>
      </c>
      <c r="M2943" s="17" t="n">
        <v>0</v>
      </c>
      <c r="N2943" s="17">
        <f>K2943*0.08+L2943*0.08</f>
        <v/>
      </c>
      <c r="O2943" s="17">
        <f>-(K2943*0.025+L2943*0.025)</f>
        <v/>
      </c>
      <c r="P2943" s="17">
        <f>32</f>
        <v/>
      </c>
      <c r="Q2943" s="17">
        <f>J2943+L2943+N2943+O2943-P2943-M2943</f>
        <v/>
      </c>
    </row>
    <row r="2944">
      <c r="A2944" s="16" t="inlineStr">
        <is>
          <t>5.22-5.28</t>
        </is>
      </c>
      <c r="B2944" s="16" t="inlineStr">
        <is>
          <t>PO-128-01182385096311561</t>
        </is>
      </c>
      <c r="C2944" s="16" t="inlineStr">
        <is>
          <t>Delivered</t>
        </is>
      </c>
      <c r="D2944" s="16" t="inlineStr">
        <is>
          <t>128-01182332667511561</t>
        </is>
      </c>
      <c r="E2944" s="16" t="inlineStr">
        <is>
          <t>Delivered</t>
        </is>
      </c>
      <c r="F2944" s="16" t="inlineStr">
        <is>
          <t>MCM-001G</t>
        </is>
      </c>
      <c r="G2944" s="16" t="inlineStr">
        <is>
          <t>Musicord Altavoz Inalámbrico BT Portátil: ¡Sonido impactante, luces LED multicolores y 4 horas de autonomía! Compatible con TWS, FM, TF y USB – Imprescindible para fiestas y viajes</t>
        </is>
      </c>
      <c r="H2944" s="16" t="inlineStr">
        <is>
          <t>GRIS</t>
        </is>
      </c>
      <c r="I2944" s="16" t="n">
        <v>1</v>
      </c>
      <c r="J2944" s="17" t="n">
        <v>51</v>
      </c>
      <c r="K2944" s="17" t="n">
        <v>58.79</v>
      </c>
      <c r="L2944" s="17" t="n">
        <v>25.86</v>
      </c>
      <c r="M2944" s="17" t="n">
        <v>0</v>
      </c>
      <c r="N2944" s="17">
        <f>K2944*0.08+L2944*0.08</f>
        <v/>
      </c>
      <c r="O2944" s="17">
        <f>-(K2944*0.025+L2944*0.025)</f>
        <v/>
      </c>
      <c r="P2944" s="17">
        <f>32</f>
        <v/>
      </c>
      <c r="Q2944" s="17">
        <f>J2944+L2944+N2944+O2944-P2944-M2944</f>
        <v/>
      </c>
    </row>
    <row r="2945">
      <c r="A2945" s="16" t="inlineStr">
        <is>
          <t>5.22-5.28</t>
        </is>
      </c>
      <c r="B2945" s="16" t="inlineStr">
        <is>
          <t>PO-128-01298906732150928</t>
        </is>
      </c>
      <c r="C2945" s="16" t="inlineStr">
        <is>
          <t>Delivered</t>
        </is>
      </c>
      <c r="D2945" s="16" t="inlineStr">
        <is>
          <t>128-01299043047030928</t>
        </is>
      </c>
      <c r="E2945" s="16" t="inlineStr">
        <is>
          <t>Delivered</t>
        </is>
      </c>
      <c r="F2945" s="16" t="inlineStr">
        <is>
          <t>MB-185A</t>
        </is>
      </c>
      <c r="G2945" s="16" t="inlineStr">
        <is>
          <t>Bocina Radio FM/Reproductor, Compatible con Tarjeta TF, USB, Bluetooth, Aplicable para celular, computadora, Ipad y consola.</t>
        </is>
      </c>
      <c r="H2945" s="16" t="inlineStr">
        <is>
          <t>AZUL/MB-185</t>
        </is>
      </c>
      <c r="I2945" s="16" t="n">
        <v>1</v>
      </c>
      <c r="J2945" s="17" t="n">
        <v>71.31</v>
      </c>
      <c r="K2945" s="17" t="n">
        <v>84.23999999999999</v>
      </c>
      <c r="L2945" s="17" t="n">
        <v>25.86</v>
      </c>
      <c r="M2945" s="17" t="n">
        <v>0</v>
      </c>
      <c r="N2945" s="17">
        <f>K2945*0.08+L2945*0.08</f>
        <v/>
      </c>
      <c r="O2945" s="17">
        <f>-(K2945*0.025+L2945*0.025)</f>
        <v/>
      </c>
      <c r="P2945" s="17">
        <f>32</f>
        <v/>
      </c>
      <c r="Q2945" s="17">
        <f>J2945+L2945+N2945+O2945-P2945-M2945</f>
        <v/>
      </c>
    </row>
    <row r="2946">
      <c r="A2946" s="16" t="inlineStr">
        <is>
          <t>5.22-5.28</t>
        </is>
      </c>
      <c r="B2946" s="16" t="inlineStr">
        <is>
          <t>PO-128-01145492583031845</t>
        </is>
      </c>
      <c r="C2946" s="16" t="inlineStr">
        <is>
          <t>Delivered</t>
        </is>
      </c>
      <c r="D2946" s="16" t="inlineStr">
        <is>
          <t>128-01145513554551845</t>
        </is>
      </c>
      <c r="E2946" s="16" t="inlineStr">
        <is>
          <t>Delivered</t>
        </is>
      </c>
      <c r="F2946" s="16" t="inlineStr">
        <is>
          <t>FA028</t>
        </is>
      </c>
      <c r="G2946" s="16" t="inlineStr">
        <is>
          <t>Extractor de agua para garrafas de agua, compatible con carga USB, extractor de agua automático, práctico, con dos modos de toma de agua: manual y programado, ideal para dormitorios, salones, oficinas, uso al aire libre y otros escenarios.</t>
        </is>
      </c>
      <c r="H2946" s="16" t="inlineStr">
        <is>
          <t>FA028</t>
        </is>
      </c>
      <c r="I2946" s="16" t="n">
        <v>1</v>
      </c>
      <c r="J2946" s="17" t="n">
        <v>27</v>
      </c>
      <c r="K2946" s="17" t="n">
        <v>36.58</v>
      </c>
      <c r="L2946" s="17" t="n">
        <v>25.86</v>
      </c>
      <c r="M2946" s="17" t="n">
        <v>0</v>
      </c>
      <c r="N2946" s="17">
        <f>K2946*0.08+L2946*0.08</f>
        <v/>
      </c>
      <c r="O2946" s="17">
        <f>-(K2946*0.025+L2946*0.025)</f>
        <v/>
      </c>
      <c r="P2946" s="17">
        <f>32</f>
        <v/>
      </c>
      <c r="Q2946" s="17">
        <f>J2946+L2946+N2946+O2946-P2946-M2946</f>
        <v/>
      </c>
    </row>
    <row r="2947">
      <c r="A2947" s="16" t="inlineStr">
        <is>
          <t>5.22-5.28</t>
        </is>
      </c>
      <c r="B2947" s="16" t="inlineStr">
        <is>
          <t>PO-128-01047891492471531</t>
        </is>
      </c>
      <c r="C2947" s="16" t="inlineStr">
        <is>
          <t>Delivered</t>
        </is>
      </c>
      <c r="D2947" s="16" t="inlineStr">
        <is>
          <t>128-01047870520951531</t>
        </is>
      </c>
      <c r="E2947" s="16" t="inlineStr">
        <is>
          <t>Delivered</t>
        </is>
      </c>
      <c r="F2947" s="16" t="inlineStr">
        <is>
          <t>LB02235-rojo</t>
        </is>
      </c>
      <c r="G2947" s="16" t="inlineStr">
        <is>
          <t>Audífonos Inalámbricos para la Cabeza, Recargables y Multifuncionales - Conectan a Varios Dispositivos, soportan Radio FM, Tarjeta TF y AUX - 4 Horas de Reproducción Musical - Ideal para Trabajo Cotidiano, Juegos y Estudio</t>
        </is>
      </c>
      <c r="H2947" s="16" t="inlineStr">
        <is>
          <t>ROJO</t>
        </is>
      </c>
      <c r="I2947" s="16" t="n">
        <v>1</v>
      </c>
      <c r="J2947" s="17" t="n">
        <v>36.8</v>
      </c>
      <c r="K2947" s="17" t="n">
        <v>49.91</v>
      </c>
      <c r="L2947" s="17" t="n">
        <v>25.86</v>
      </c>
      <c r="M2947" s="17" t="n">
        <v>0</v>
      </c>
      <c r="N2947" s="17">
        <f>K2947*0.08+L2947*0.08</f>
        <v/>
      </c>
      <c r="O2947" s="17">
        <f>-(K2947*0.025+L2947*0.025)</f>
        <v/>
      </c>
      <c r="P2947" s="17">
        <f>32</f>
        <v/>
      </c>
      <c r="Q2947" s="17">
        <f>J2947+L2947+N2947+O2947-P2947-M2947</f>
        <v/>
      </c>
    </row>
    <row r="2948">
      <c r="A2948" s="16" t="inlineStr">
        <is>
          <t>5.22-5.28</t>
        </is>
      </c>
      <c r="B2948" s="16" t="inlineStr">
        <is>
          <t>PO-128-00883829607032314</t>
        </is>
      </c>
      <c r="C2948" s="16" t="inlineStr">
        <is>
          <t>Delivered</t>
        </is>
      </c>
      <c r="D2948" s="16" t="inlineStr">
        <is>
          <t>128-00883855821432314</t>
        </is>
      </c>
      <c r="E2948" s="16" t="inlineStr">
        <is>
          <t>Delivered</t>
        </is>
      </c>
      <c r="F2948" s="16" t="inlineStr">
        <is>
          <t>MB-185R</t>
        </is>
      </c>
      <c r="G2948" s="16" t="inlineStr">
        <is>
          <t>Bocina Radio FM/Reproductor, Compatible con Tarjeta TF, USB, Bluetooth, Aplicable para celular, computadora, Ipad y consola.</t>
        </is>
      </c>
      <c r="H2948" s="16" t="inlineStr">
        <is>
          <t>ROJO/MB-185</t>
        </is>
      </c>
      <c r="I2948" s="16" t="n">
        <v>1</v>
      </c>
      <c r="J2948" s="17" t="n">
        <v>71.31</v>
      </c>
      <c r="K2948" s="17" t="n">
        <v>84.23999999999999</v>
      </c>
      <c r="L2948" s="17" t="n">
        <v>25.86</v>
      </c>
      <c r="M2948" s="17" t="n">
        <v>0</v>
      </c>
      <c r="N2948" s="17">
        <f>K2948*0.08+L2948*0.08</f>
        <v/>
      </c>
      <c r="O2948" s="17">
        <f>-(K2948*0.025+L2948*0.025)</f>
        <v/>
      </c>
      <c r="P2948" s="17">
        <f>32</f>
        <v/>
      </c>
      <c r="Q2948" s="17">
        <f>J2948+L2948+N2948+O2948-P2948-M2948</f>
        <v/>
      </c>
    </row>
    <row r="2949">
      <c r="A2949" s="16" t="inlineStr">
        <is>
          <t>5.22-5.28</t>
        </is>
      </c>
      <c r="B2949" s="16" t="inlineStr">
        <is>
          <t>PO-128-01174050417271739</t>
        </is>
      </c>
      <c r="C2949" s="16" t="inlineStr">
        <is>
          <t>Delivered</t>
        </is>
      </c>
      <c r="D2949" s="16" t="inlineStr">
        <is>
          <t>128-01174008474231739</t>
        </is>
      </c>
      <c r="E2949" s="16" t="inlineStr">
        <is>
          <t>Delivered</t>
        </is>
      </c>
      <c r="F2949" s="16" t="inlineStr">
        <is>
          <t>LB02235-negro</t>
        </is>
      </c>
      <c r="G2949" s="16" t="inlineStr">
        <is>
          <t>Audífonos Inalámbricos para la Cabeza, Recargables y Multifuncionales - Conectan a Varios Dispositivos, soportan Radio FM, Tarjeta TF y AUX - 4 Horas de Reproducción Musical - Ideal para Trabajo Cotidiano, Juegos y Estudio</t>
        </is>
      </c>
      <c r="H2949" s="16" t="inlineStr">
        <is>
          <t>NEGRO</t>
        </is>
      </c>
      <c r="I2949" s="16" t="n">
        <v>1</v>
      </c>
      <c r="J2949" s="17" t="n">
        <v>36.8</v>
      </c>
      <c r="K2949" s="17" t="n">
        <v>6.81</v>
      </c>
      <c r="L2949" s="17" t="n">
        <v>25.86</v>
      </c>
      <c r="M2949" s="17" t="n">
        <v>0</v>
      </c>
      <c r="N2949" s="17">
        <f>K2949*0.08+L2949*0.08</f>
        <v/>
      </c>
      <c r="O2949" s="17">
        <f>-(K2949*0.025+L2949*0.025)</f>
        <v/>
      </c>
      <c r="P2949" s="17">
        <f>32</f>
        <v/>
      </c>
      <c r="Q2949" s="17">
        <f>J2949+L2949+N2949+O2949-P2949-M2949</f>
        <v/>
      </c>
    </row>
    <row r="2950">
      <c r="A2950" s="16" t="inlineStr">
        <is>
          <t>5.22-5.28</t>
        </is>
      </c>
      <c r="B2950" s="16" t="inlineStr">
        <is>
          <t>PO-128-00954675840632980</t>
        </is>
      </c>
      <c r="C2950" s="16" t="inlineStr">
        <is>
          <t>Delivered</t>
        </is>
      </c>
      <c r="D2950" s="16" t="inlineStr">
        <is>
          <t>128-00954639140472980</t>
        </is>
      </c>
      <c r="E2950" s="16" t="inlineStr">
        <is>
          <t>Delivered</t>
        </is>
      </c>
      <c r="F2950" s="16" t="inlineStr">
        <is>
          <t>MCM-001G</t>
        </is>
      </c>
      <c r="G2950" s="16" t="inlineStr">
        <is>
          <t>Musicord Altavoz Inalámbrico BT Portátil: ¡Sonido impactante, luces LED multicolores y 4 horas de autonomía! Compatible con TWS, FM, TF y USB – Imprescindible para fiestas y viajes</t>
        </is>
      </c>
      <c r="H2950" s="16" t="inlineStr">
        <is>
          <t>GRIS</t>
        </is>
      </c>
      <c r="I2950" s="16" t="n">
        <v>1</v>
      </c>
      <c r="J2950" s="17" t="n">
        <v>51</v>
      </c>
      <c r="K2950" s="17" t="n">
        <v>49.97</v>
      </c>
      <c r="L2950" s="17" t="n">
        <v>25.86</v>
      </c>
      <c r="M2950" s="17" t="n">
        <v>0</v>
      </c>
      <c r="N2950" s="17">
        <f>K2950*0.08+L2950*0.08</f>
        <v/>
      </c>
      <c r="O2950" s="17">
        <f>-(K2950*0.025+L2950*0.025)</f>
        <v/>
      </c>
      <c r="P2950" s="17">
        <f>32</f>
        <v/>
      </c>
      <c r="Q2950" s="17">
        <f>J2950+L2950+N2950+O2950-P2950-M2950</f>
        <v/>
      </c>
    </row>
    <row r="2951">
      <c r="A2951" s="16" t="inlineStr">
        <is>
          <t>5.22-5.28</t>
        </is>
      </c>
      <c r="B2951" s="16" t="inlineStr">
        <is>
          <t>PO-128-00786602081914046</t>
        </is>
      </c>
      <c r="C2951" s="16" t="inlineStr">
        <is>
          <t>Delivered</t>
        </is>
      </c>
      <c r="D2951" s="16" t="inlineStr">
        <is>
          <t>128-00786682035834046</t>
        </is>
      </c>
      <c r="E2951" s="16" t="inlineStr">
        <is>
          <t>Delivered</t>
        </is>
      </c>
      <c r="F2951" s="16" t="inlineStr">
        <is>
          <t>SA325T</t>
        </is>
      </c>
      <c r="G2951" s="16" t="inlineStr">
        <is>
          <t>Subwoofer Portátil Inalámbrico con Luces RGB, Sonido de Alta Potencia y Batería Duradera, TWS TF USB, Perfecto para Campamento Fiestas y Entretenimiento en Casa</t>
        </is>
      </c>
      <c r="H2951" s="16" t="inlineStr">
        <is>
          <t>NEGRO</t>
        </is>
      </c>
      <c r="I2951" s="16" t="n">
        <v>1</v>
      </c>
      <c r="J2951" s="17" t="n">
        <v>36</v>
      </c>
      <c r="K2951" s="17" t="n">
        <v>45.04</v>
      </c>
      <c r="L2951" s="17" t="n">
        <v>25.86</v>
      </c>
      <c r="M2951" s="17" t="n">
        <v>0</v>
      </c>
      <c r="N2951" s="17">
        <f>K2951*0.08+L2951*0.08</f>
        <v/>
      </c>
      <c r="O2951" s="17">
        <f>-(K2951*0.025+L2951*0.025)</f>
        <v/>
      </c>
      <c r="P2951" s="17">
        <f>32</f>
        <v/>
      </c>
      <c r="Q2951" s="17">
        <f>J2951+L2951+N2951+O2951-P2951-M2951</f>
        <v/>
      </c>
    </row>
    <row r="2952">
      <c r="A2952" s="16" t="inlineStr">
        <is>
          <t>5.22-5.28</t>
        </is>
      </c>
      <c r="B2952" s="16" t="inlineStr">
        <is>
          <t>PO-128-01245666084470158</t>
        </is>
      </c>
      <c r="C2952" s="16" t="inlineStr">
        <is>
          <t>Delivered</t>
        </is>
      </c>
      <c r="D2952" s="16" t="inlineStr">
        <is>
          <t>128-01245687055990158</t>
        </is>
      </c>
      <c r="E2952" s="16" t="inlineStr">
        <is>
          <t>Delivered</t>
        </is>
      </c>
      <c r="F2952" s="16" t="inlineStr">
        <is>
          <t>LB02235-rojo</t>
        </is>
      </c>
      <c r="G2952" s="16" t="inlineStr">
        <is>
          <t>Audífonos Inalámbricos para la Cabeza, Recargables y Multifuncionales - Conectan a Varios Dispositivos, soportan Radio FM, Tarjeta TF y AUX - 4 Horas de Reproducción Musical - Ideal para Trabajo Cotidiano, Juegos y Estudio</t>
        </is>
      </c>
      <c r="H2952" s="16" t="inlineStr">
        <is>
          <t>ROJO</t>
        </is>
      </c>
      <c r="I2952" s="16" t="n">
        <v>1</v>
      </c>
      <c r="J2952" s="17" t="n">
        <v>36.8</v>
      </c>
      <c r="K2952" s="17" t="n">
        <v>49.91</v>
      </c>
      <c r="L2952" s="17" t="n">
        <v>25.86</v>
      </c>
      <c r="M2952" s="17" t="n">
        <v>0</v>
      </c>
      <c r="N2952" s="17">
        <f>K2952*0.08+L2952*0.08</f>
        <v/>
      </c>
      <c r="O2952" s="17">
        <f>-(K2952*0.025+L2952*0.025)</f>
        <v/>
      </c>
      <c r="P2952" s="17">
        <f>32</f>
        <v/>
      </c>
      <c r="Q2952" s="17">
        <f>J2952+L2952+N2952+O2952-P2952-M2952</f>
        <v/>
      </c>
    </row>
    <row r="2953">
      <c r="A2953" s="16" t="inlineStr">
        <is>
          <t>5.22-5.28</t>
        </is>
      </c>
      <c r="B2953" s="16" t="inlineStr">
        <is>
          <t>PO-128-01277429253750032</t>
        </is>
      </c>
      <c r="C2953" s="16" t="inlineStr">
        <is>
          <t>Delivered</t>
        </is>
      </c>
      <c r="D2953" s="16" t="inlineStr">
        <is>
          <t>128-01277425321590032</t>
        </is>
      </c>
      <c r="E2953" s="16" t="inlineStr">
        <is>
          <t>Delivered</t>
        </is>
      </c>
      <c r="F2953" s="16" t="inlineStr">
        <is>
          <t>FA028</t>
        </is>
      </c>
      <c r="G2953" s="16" t="inlineStr">
        <is>
          <t>Extractor de agua para garrafas de agua, compatible con carga USB, extractor de agua automático, práctico, con dos modos de toma de agua: manual y programado, ideal para dormitorios, salones, oficinas, uso al aire libre y otros escenarios.</t>
        </is>
      </c>
      <c r="H2953" s="16" t="inlineStr">
        <is>
          <t>FA028</t>
        </is>
      </c>
      <c r="I2953" s="16" t="n">
        <v>1</v>
      </c>
      <c r="J2953" s="17" t="n">
        <v>27</v>
      </c>
      <c r="K2953" s="17" t="n">
        <v>36.58</v>
      </c>
      <c r="L2953" s="17" t="n">
        <v>25.86</v>
      </c>
      <c r="M2953" s="17" t="n">
        <v>0</v>
      </c>
      <c r="N2953" s="17">
        <f>K2953*0.08+L2953*0.08</f>
        <v/>
      </c>
      <c r="O2953" s="17">
        <f>-(K2953*0.025+L2953*0.025)</f>
        <v/>
      </c>
      <c r="P2953" s="17">
        <f>32</f>
        <v/>
      </c>
      <c r="Q2953" s="17">
        <f>J2953+L2953+N2953+O2953-P2953-M2953</f>
        <v/>
      </c>
    </row>
    <row r="2954">
      <c r="A2954" s="16" t="inlineStr">
        <is>
          <t>5.22-5.28</t>
        </is>
      </c>
      <c r="B2954" s="16" t="inlineStr">
        <is>
          <t>PO-128-00989083981432713</t>
        </is>
      </c>
      <c r="C2954" s="16" t="inlineStr">
        <is>
          <t>Delivered</t>
        </is>
      </c>
      <c r="D2954" s="16" t="inlineStr">
        <is>
          <t>128-00989125924472713</t>
        </is>
      </c>
      <c r="E2954" s="16" t="inlineStr">
        <is>
          <t>Delivered</t>
        </is>
      </c>
      <c r="F2954" s="16" t="inlineStr">
        <is>
          <t>MCM-001N</t>
        </is>
      </c>
      <c r="G2954" s="16" t="inlineStr">
        <is>
          <t>Musicord Altavoz Inalámbrico BT Portátil: ¡Sonido impactante, luces LED multicolores y 4 horas de autonomía! Compatible con TWS, FM, TF y USB – Imprescindible para fiestas y viajes</t>
        </is>
      </c>
      <c r="H2954" s="16" t="inlineStr">
        <is>
          <t>NEGRO</t>
        </is>
      </c>
      <c r="I2954" s="16" t="n">
        <v>1</v>
      </c>
      <c r="J2954" s="17" t="n">
        <v>60.5</v>
      </c>
      <c r="K2954" s="17" t="n">
        <v>33.81</v>
      </c>
      <c r="L2954" s="17" t="n">
        <v>25.86</v>
      </c>
      <c r="M2954" s="17" t="n">
        <v>0</v>
      </c>
      <c r="N2954" s="17">
        <f>K2954*0.08+L2954*0.08</f>
        <v/>
      </c>
      <c r="O2954" s="17">
        <f>-(K2954*0.025+L2954*0.025)</f>
        <v/>
      </c>
      <c r="P2954" s="17">
        <f>32</f>
        <v/>
      </c>
      <c r="Q2954" s="17">
        <f>J2954+L2954+N2954+O2954-P2954-M2954</f>
        <v/>
      </c>
    </row>
    <row r="2955">
      <c r="A2955" s="16" t="inlineStr">
        <is>
          <t>5.22-5.28</t>
        </is>
      </c>
      <c r="B2955" s="16" t="inlineStr">
        <is>
          <t>PO-128-00705019105913572</t>
        </is>
      </c>
      <c r="C2955" s="16" t="inlineStr">
        <is>
          <t>Delivered</t>
        </is>
      </c>
      <c r="D2955" s="16" t="inlineStr">
        <is>
          <t>128-00705123963513572</t>
        </is>
      </c>
      <c r="E2955" s="16" t="inlineStr">
        <is>
          <t>Delivered</t>
        </is>
      </c>
      <c r="F2955" s="16" t="inlineStr">
        <is>
          <t>MCM-001G</t>
        </is>
      </c>
      <c r="G2955" s="16" t="inlineStr">
        <is>
          <t>Musicord Altavoz Inalámbrico BT Portátil: ¡Sonido impactante, luces LED multicolores y 4 horas de autonomía! Compatible con TWS, FM, TF y USB – Imprescindible para fiestas y viajes</t>
        </is>
      </c>
      <c r="H2955" s="16" t="inlineStr">
        <is>
          <t>GRIS</t>
        </is>
      </c>
      <c r="I2955" s="16" t="n">
        <v>1</v>
      </c>
      <c r="J2955" s="17" t="n">
        <v>51</v>
      </c>
      <c r="K2955" s="17" t="n">
        <v>58.79</v>
      </c>
      <c r="L2955" s="17" t="n">
        <v>25.86</v>
      </c>
      <c r="M2955" s="17" t="n">
        <v>0</v>
      </c>
      <c r="N2955" s="17">
        <f>K2955*0.08+L2955*0.08</f>
        <v/>
      </c>
      <c r="O2955" s="17">
        <f>-(K2955*0.025+L2955*0.025)</f>
        <v/>
      </c>
      <c r="P2955" s="17">
        <f>32</f>
        <v/>
      </c>
      <c r="Q2955" s="17">
        <f>J2955+L2955+N2955+O2955-P2955-M2955</f>
        <v/>
      </c>
    </row>
    <row r="2956">
      <c r="A2956" s="16" t="inlineStr">
        <is>
          <t>5.22-5.28</t>
        </is>
      </c>
      <c r="B2956" s="16" t="inlineStr">
        <is>
          <t>PO-128-01065823975031358</t>
        </is>
      </c>
      <c r="C2956" s="16" t="inlineStr">
        <is>
          <t>Delivered</t>
        </is>
      </c>
      <c r="D2956" s="16" t="inlineStr">
        <is>
          <t>128-01065782031991358</t>
        </is>
      </c>
      <c r="E2956" s="16" t="inlineStr">
        <is>
          <t>Delivered</t>
        </is>
      </c>
      <c r="F2956" s="16" t="inlineStr">
        <is>
          <t>SA8056T</t>
        </is>
      </c>
      <c r="G295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2956" s="16" t="inlineStr">
        <is>
          <t>SA8056T</t>
        </is>
      </c>
      <c r="I2956" s="16" t="n">
        <v>1</v>
      </c>
      <c r="J2956" s="17" t="n">
        <v>121</v>
      </c>
      <c r="K2956" s="17" t="n">
        <v>55.17</v>
      </c>
      <c r="L2956" s="17" t="n">
        <v>25.86</v>
      </c>
      <c r="M2956" s="17" t="n">
        <v>0</v>
      </c>
      <c r="N2956" s="17">
        <f>K2956*0.08+L2956*0.08</f>
        <v/>
      </c>
      <c r="O2956" s="17">
        <f>-(K2956*0.025+L2956*0.025)</f>
        <v/>
      </c>
      <c r="P2956" s="17">
        <f>32</f>
        <v/>
      </c>
      <c r="Q2956" s="17">
        <f>J2956+L2956+N2956+O2956-P2956-M2956</f>
        <v/>
      </c>
    </row>
    <row r="2957">
      <c r="A2957" s="16" t="inlineStr">
        <is>
          <t>5.22-5.28</t>
        </is>
      </c>
      <c r="B2957" s="16" t="inlineStr">
        <is>
          <t>PO-128-01050481976951515</t>
        </is>
      </c>
      <c r="C2957" s="16" t="inlineStr">
        <is>
          <t>Delivered</t>
        </is>
      </c>
      <c r="D2957" s="16" t="inlineStr">
        <is>
          <t>128-01050513434231515</t>
        </is>
      </c>
      <c r="E2957" s="16" t="inlineStr">
        <is>
          <t>Delivered</t>
        </is>
      </c>
      <c r="F2957" s="16" t="inlineStr">
        <is>
          <t>MCM-001R</t>
        </is>
      </c>
      <c r="G2957" s="16" t="inlineStr">
        <is>
          <t>Musicord Altavoz Inalámbrico BT Portátil: ¡Sonido impactante, luces LED multicolores y 4 horas de autonomía! Compatible con TWS, FM, TF y USB – Imprescindible para fiestas y viajes</t>
        </is>
      </c>
      <c r="H2957" s="16" t="inlineStr">
        <is>
          <t>ROJO</t>
        </is>
      </c>
      <c r="I2957" s="16" t="n">
        <v>1</v>
      </c>
      <c r="J2957" s="17" t="n">
        <v>66</v>
      </c>
      <c r="K2957" s="17" t="n">
        <v>73.79000000000001</v>
      </c>
      <c r="L2957" s="17" t="n">
        <v>25.86</v>
      </c>
      <c r="M2957" s="17" t="n">
        <v>0</v>
      </c>
      <c r="N2957" s="17">
        <f>K2957*0.08+L2957*0.08</f>
        <v/>
      </c>
      <c r="O2957" s="17">
        <f>-(K2957*0.025+L2957*0.025)</f>
        <v/>
      </c>
      <c r="P2957" s="17">
        <f>32</f>
        <v/>
      </c>
      <c r="Q2957" s="17">
        <f>J2957+L2957+N2957+O2957-P2957-M2957</f>
        <v/>
      </c>
    </row>
    <row r="2958">
      <c r="A2958" s="16" t="inlineStr">
        <is>
          <t>5.22-5.28</t>
        </is>
      </c>
      <c r="B2958" s="16" t="inlineStr">
        <is>
          <t>PO-128-01262659492470248</t>
        </is>
      </c>
      <c r="C2958" s="16" t="inlineStr">
        <is>
          <t>Delivered</t>
        </is>
      </c>
      <c r="D2958" s="16" t="inlineStr">
        <is>
          <t>128-01262811535990248</t>
        </is>
      </c>
      <c r="E2958" s="16" t="inlineStr">
        <is>
          <t>Delivered</t>
        </is>
      </c>
      <c r="F2958" s="16" t="inlineStr">
        <is>
          <t>LB02235-rojo</t>
        </is>
      </c>
      <c r="G2958" s="16" t="inlineStr">
        <is>
          <t>Audífonos Inalámbricos para la Cabeza, Recargables y Multifuncionales - Conectan a Varios Dispositivos, soportan Radio FM, Tarjeta TF y AUX - 4 Horas de Reproducción Musical - Ideal para Trabajo Cotidiano, Juegos y Estudio</t>
        </is>
      </c>
      <c r="H2958" s="16" t="inlineStr">
        <is>
          <t>ROJO</t>
        </is>
      </c>
      <c r="I2958" s="16" t="n">
        <v>1</v>
      </c>
      <c r="J2958" s="17" t="n">
        <v>36.8</v>
      </c>
      <c r="K2958" s="17" t="n">
        <v>49.91</v>
      </c>
      <c r="L2958" s="17" t="n">
        <v>25.86</v>
      </c>
      <c r="M2958" s="17" t="n">
        <v>0</v>
      </c>
      <c r="N2958" s="17">
        <f>K2958*0.08+L2958*0.08</f>
        <v/>
      </c>
      <c r="O2958" s="17">
        <f>-(K2958*0.025+L2958*0.025)</f>
        <v/>
      </c>
      <c r="P2958" s="17">
        <f>32</f>
        <v/>
      </c>
      <c r="Q2958" s="17">
        <f>J2958+L2958+N2958+O2958-P2958-M2958</f>
        <v/>
      </c>
    </row>
    <row r="2959">
      <c r="A2959" s="16" t="inlineStr">
        <is>
          <t>5.22-5.28</t>
        </is>
      </c>
      <c r="B2959" s="16" t="inlineStr">
        <is>
          <t>PO-128-01308232110711003</t>
        </is>
      </c>
      <c r="C2959" s="16" t="inlineStr">
        <is>
          <t>Delivered</t>
        </is>
      </c>
      <c r="D2959" s="16" t="inlineStr">
        <is>
          <t>128-01308253082231003</t>
        </is>
      </c>
      <c r="E2959" s="16" t="inlineStr">
        <is>
          <t>Delivered</t>
        </is>
      </c>
      <c r="F2959" s="16" t="inlineStr">
        <is>
          <t>LB02235-azul</t>
        </is>
      </c>
      <c r="G2959" s="16" t="inlineStr">
        <is>
          <t>Audífonos Inalámbricos para la Cabeza, Recargables y Multifuncionales - Conectan a Varios Dispositivos, soportan Radio FM, Tarjeta TF y AUX - 4 Horas de Reproducción Musical - Ideal para Trabajo Cotidiano, Juegos y Estudio</t>
        </is>
      </c>
      <c r="H2959" s="16" t="inlineStr">
        <is>
          <t>AZUL</t>
        </is>
      </c>
      <c r="I2959" s="16" t="n">
        <v>1</v>
      </c>
      <c r="J2959" s="17" t="n">
        <v>36.8</v>
      </c>
      <c r="K2959" s="17" t="n">
        <v>49.91</v>
      </c>
      <c r="L2959" s="17" t="n">
        <v>25.86</v>
      </c>
      <c r="M2959" s="17" t="n">
        <v>0</v>
      </c>
      <c r="N2959" s="17">
        <f>K2959*0.08+L2959*0.08</f>
        <v/>
      </c>
      <c r="O2959" s="17">
        <f>-(K2959*0.025+L2959*0.025)</f>
        <v/>
      </c>
      <c r="P2959" s="17">
        <f>32</f>
        <v/>
      </c>
      <c r="Q2959" s="17">
        <f>J2959+L2959+N2959+O2959-P2959-M2959</f>
        <v/>
      </c>
    </row>
    <row r="2960">
      <c r="A2960" s="16" t="inlineStr">
        <is>
          <t>5.22-5.28</t>
        </is>
      </c>
      <c r="B2960" s="16" t="inlineStr">
        <is>
          <t>PO-128-01343685775990726</t>
        </is>
      </c>
      <c r="C2960" s="16" t="inlineStr">
        <is>
          <t>Delivered</t>
        </is>
      </c>
      <c r="D2960" s="16" t="inlineStr">
        <is>
          <t>128-01343664804470726</t>
        </is>
      </c>
      <c r="E2960" s="16" t="inlineStr">
        <is>
          <t>Delivered</t>
        </is>
      </c>
      <c r="F2960" s="16" t="inlineStr">
        <is>
          <t>KTS-1678Y</t>
        </is>
      </c>
      <c r="G2960" s="16" t="inlineStr">
        <is>
          <t>Bocina portátil Inalámbrico, de 3 pulgadas, tamaño de bolsillo, 170 g, con asa, compatible con TF, USB y Micro SD, con radio FM y función TWS (True Wireless Stereo), adecuada para relajarse en casa o viajar al aire libre.</t>
        </is>
      </c>
      <c r="H2960" s="16" t="inlineStr">
        <is>
          <t>KTS-1678Y</t>
        </is>
      </c>
      <c r="I2960" s="16" t="n">
        <v>1</v>
      </c>
      <c r="J2960" s="17" t="n">
        <v>40</v>
      </c>
      <c r="K2960" s="17" t="n">
        <v>46.22</v>
      </c>
      <c r="L2960" s="17" t="n">
        <v>25.86</v>
      </c>
      <c r="M2960" s="17" t="n">
        <v>0</v>
      </c>
      <c r="N2960" s="17">
        <f>K2960*0.08+L2960*0.08</f>
        <v/>
      </c>
      <c r="O2960" s="17">
        <f>-(K2960*0.025+L2960*0.025)</f>
        <v/>
      </c>
      <c r="P2960" s="17">
        <f>32</f>
        <v/>
      </c>
      <c r="Q2960" s="17">
        <f>J2960+L2960+N2960+O2960-P2960-M2960</f>
        <v/>
      </c>
    </row>
    <row r="2961">
      <c r="A2961" s="16" t="inlineStr">
        <is>
          <t>5.22-5.28</t>
        </is>
      </c>
      <c r="B2961" s="16" t="inlineStr">
        <is>
          <t>PO-128-00853800679033711</t>
        </is>
      </c>
      <c r="C2961" s="16" t="inlineStr">
        <is>
          <t>Delivered</t>
        </is>
      </c>
      <c r="D2961" s="16" t="inlineStr">
        <is>
          <t>128-00853816407673711</t>
        </is>
      </c>
      <c r="E2961" s="16" t="inlineStr">
        <is>
          <t>Delivered</t>
        </is>
      </c>
      <c r="F2961" s="16" t="inlineStr">
        <is>
          <t>S09W18IB-8PZS</t>
        </is>
      </c>
      <c r="G296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961" s="16" t="inlineStr">
        <is>
          <t>8 piezas</t>
        </is>
      </c>
      <c r="I2961" s="16" t="n">
        <v>1</v>
      </c>
      <c r="J2961" s="17" t="n">
        <v>260</v>
      </c>
      <c r="K2961" s="17" t="n">
        <v>268.73</v>
      </c>
      <c r="L2961" s="17" t="n">
        <v>0</v>
      </c>
      <c r="M2961" s="17" t="n">
        <v>0</v>
      </c>
      <c r="N2961" s="17">
        <f>K2961*0.08+L2961*0.08</f>
        <v/>
      </c>
      <c r="O2961" s="17">
        <f>-(K2961*0.025+L2961*0.025)</f>
        <v/>
      </c>
      <c r="P2961" s="17">
        <f>32</f>
        <v/>
      </c>
      <c r="Q2961" s="17">
        <f>J2961+L2961+N2961+O2961-P2961-M2961</f>
        <v/>
      </c>
    </row>
    <row r="2962">
      <c r="A2962" s="16" t="inlineStr">
        <is>
          <t>5.22-5.28</t>
        </is>
      </c>
      <c r="B2962" s="16" t="inlineStr">
        <is>
          <t>PO-128-00724683172473393</t>
        </is>
      </c>
      <c r="C2962" s="16" t="inlineStr">
        <is>
          <t>Delivered</t>
        </is>
      </c>
      <c r="D2962" s="16" t="inlineStr">
        <is>
          <t>128-00724725115513393</t>
        </is>
      </c>
      <c r="E2962" s="16" t="inlineStr">
        <is>
          <t>Delivered</t>
        </is>
      </c>
      <c r="F2962" s="16" t="inlineStr">
        <is>
          <t>LB02235-rojo</t>
        </is>
      </c>
      <c r="G2962" s="16" t="inlineStr">
        <is>
          <t>Audífonos Inalámbricos para la Cabeza, Recargables y Multifuncionales - Conectan a Varios Dispositivos, soportan Radio FM, Tarjeta TF y AUX - 4 Horas de Reproducción Musical - Ideal para Trabajo Cotidiano, Juegos y Estudio</t>
        </is>
      </c>
      <c r="H2962" s="16" t="inlineStr">
        <is>
          <t>ROJO</t>
        </is>
      </c>
      <c r="I2962" s="16" t="n">
        <v>1</v>
      </c>
      <c r="J2962" s="17" t="n">
        <v>36.8</v>
      </c>
      <c r="K2962" s="17" t="n">
        <v>49.91</v>
      </c>
      <c r="L2962" s="17" t="n">
        <v>25.86</v>
      </c>
      <c r="M2962" s="17" t="n">
        <v>0</v>
      </c>
      <c r="N2962" s="17">
        <f>K2962*0.08+L2962*0.08</f>
        <v/>
      </c>
      <c r="O2962" s="17">
        <f>-(K2962*0.025+L2962*0.025)</f>
        <v/>
      </c>
      <c r="P2962" s="17">
        <f>32</f>
        <v/>
      </c>
      <c r="Q2962" s="17">
        <f>J2962+L2962+N2962+O2962-P2962-M2962</f>
        <v/>
      </c>
    </row>
    <row r="2963">
      <c r="A2963" s="16" t="inlineStr">
        <is>
          <t>5.22-5.28</t>
        </is>
      </c>
      <c r="B2963" s="16" t="inlineStr">
        <is>
          <t>PO-128-00781594133114012</t>
        </is>
      </c>
      <c r="C2963" s="16" t="inlineStr">
        <is>
          <t>Delivered</t>
        </is>
      </c>
      <c r="D2963" s="16" t="inlineStr">
        <is>
          <t>128-00781615104634012</t>
        </is>
      </c>
      <c r="E2963" s="16" t="inlineStr">
        <is>
          <t>Delivered</t>
        </is>
      </c>
      <c r="F2963" s="16" t="inlineStr">
        <is>
          <t>SA325T</t>
        </is>
      </c>
      <c r="G2963" s="16" t="inlineStr">
        <is>
          <t>Subwoofer Portátil Inalámbrico con Luces RGB, Sonido de Alta Potencia y Batería Duradera, TWS TF USB, Perfecto para Campamento Fiestas y Entretenimiento en Casa</t>
        </is>
      </c>
      <c r="H2963" s="16" t="inlineStr">
        <is>
          <t>NEGRO</t>
        </is>
      </c>
      <c r="I2963" s="16" t="n">
        <v>1</v>
      </c>
      <c r="J2963" s="17" t="n">
        <v>36</v>
      </c>
      <c r="K2963" s="17" t="n">
        <v>1.94</v>
      </c>
      <c r="L2963" s="17" t="n">
        <v>25.86</v>
      </c>
      <c r="M2963" s="17" t="n">
        <v>0</v>
      </c>
      <c r="N2963" s="17">
        <f>K2963*0.08+L2963*0.08</f>
        <v/>
      </c>
      <c r="O2963" s="17">
        <f>-(K2963*0.025+L2963*0.025)</f>
        <v/>
      </c>
      <c r="P2963" s="17">
        <f>32</f>
        <v/>
      </c>
      <c r="Q2963" s="17">
        <f>J2963+L2963+N2963+O2963-P2963-M2963</f>
        <v/>
      </c>
    </row>
    <row r="2964">
      <c r="A2964" s="16" t="inlineStr">
        <is>
          <t>5.22-5.28</t>
        </is>
      </c>
      <c r="B2964" s="16" t="inlineStr">
        <is>
          <t>PO-128-01258980178550206</t>
        </is>
      </c>
      <c r="C2964" s="16" t="inlineStr">
        <is>
          <t>Delivered</t>
        </is>
      </c>
      <c r="D2964" s="16" t="inlineStr">
        <is>
          <t>128-01259032607350206</t>
        </is>
      </c>
      <c r="E2964" s="16" t="inlineStr">
        <is>
          <t>Delivered</t>
        </is>
      </c>
      <c r="F2964" s="16" t="inlineStr">
        <is>
          <t>MCM-001N</t>
        </is>
      </c>
      <c r="G2964" s="16" t="inlineStr">
        <is>
          <t>Musicord Altavoz Inalámbrico BT Portátil: ¡Sonido impactante, luces LED multicolores y 4 horas de autonomía! Compatible con TWS, FM, TF y USB – Imprescindible para fiestas y viajes</t>
        </is>
      </c>
      <c r="H2964" s="16" t="inlineStr">
        <is>
          <t>NEGRO</t>
        </is>
      </c>
      <c r="I2964" s="16" t="n">
        <v>1</v>
      </c>
      <c r="J2964" s="17" t="n">
        <v>60.5</v>
      </c>
      <c r="K2964" s="17" t="n">
        <v>68.29000000000001</v>
      </c>
      <c r="L2964" s="17" t="n">
        <v>25.86</v>
      </c>
      <c r="M2964" s="17" t="n">
        <v>0</v>
      </c>
      <c r="N2964" s="17">
        <f>K2964*0.08+L2964*0.08</f>
        <v/>
      </c>
      <c r="O2964" s="17">
        <f>-(K2964*0.025+L2964*0.025)</f>
        <v/>
      </c>
      <c r="P2964" s="17">
        <f>32</f>
        <v/>
      </c>
      <c r="Q2964" s="17">
        <f>J2964+L2964+N2964+O2964-P2964-M2964</f>
        <v/>
      </c>
    </row>
    <row r="2965">
      <c r="A2965" s="16" t="inlineStr">
        <is>
          <t>5.22-5.28</t>
        </is>
      </c>
      <c r="B2965" s="16" t="inlineStr">
        <is>
          <t>PO-128-00709544704633355</t>
        </is>
      </c>
      <c r="C2965" s="16" t="inlineStr">
        <is>
          <t>Delivered</t>
        </is>
      </c>
      <c r="D2965" s="16" t="inlineStr">
        <is>
          <t>128-00709649562233355</t>
        </is>
      </c>
      <c r="E2965" s="16" t="inlineStr">
        <is>
          <t>Delivered</t>
        </is>
      </c>
      <c r="F2965" s="16" t="inlineStr">
        <is>
          <t>SA325T</t>
        </is>
      </c>
      <c r="G2965" s="16" t="inlineStr">
        <is>
          <t>Subwoofer Portátil Inalámbrico con Luces RGB, Sonido de Alta Potencia y Batería Duradera, TWS TF USB, Perfecto para Campamento Fiestas y Entretenimiento en Casa</t>
        </is>
      </c>
      <c r="H2965" s="16" t="inlineStr">
        <is>
          <t>NEGRO</t>
        </is>
      </c>
      <c r="I2965" s="16" t="n">
        <v>1</v>
      </c>
      <c r="J2965" s="17" t="n">
        <v>36</v>
      </c>
      <c r="K2965" s="17" t="n">
        <v>1.94</v>
      </c>
      <c r="L2965" s="17" t="n">
        <v>25.86</v>
      </c>
      <c r="M2965" s="17" t="n">
        <v>0</v>
      </c>
      <c r="N2965" s="17">
        <f>K2965*0.08+L2965*0.08</f>
        <v/>
      </c>
      <c r="O2965" s="17">
        <f>-(K2965*0.025+L2965*0.025)</f>
        <v/>
      </c>
      <c r="P2965" s="17">
        <f>32</f>
        <v/>
      </c>
      <c r="Q2965" s="17">
        <f>J2965+L2965+N2965+O2965-P2965-M2965</f>
        <v/>
      </c>
    </row>
    <row r="2966">
      <c r="A2966" s="16" t="inlineStr">
        <is>
          <t>5.22-5.28</t>
        </is>
      </c>
      <c r="B2966" s="16" t="inlineStr">
        <is>
          <t>PO-128-01236965366390338</t>
        </is>
      </c>
      <c r="C2966" s="16" t="inlineStr">
        <is>
          <t>Delivered</t>
        </is>
      </c>
      <c r="D2966" s="16" t="inlineStr">
        <is>
          <t>128-01236923423350338</t>
        </is>
      </c>
      <c r="E2966" s="16" t="inlineStr">
        <is>
          <t>Delivered</t>
        </is>
      </c>
      <c r="F2966" s="16" t="inlineStr">
        <is>
          <t>KTS-1678V</t>
        </is>
      </c>
      <c r="G2966" s="16" t="inlineStr">
        <is>
          <t>Bocina portátil Inalámbrico, de 3 pulgadas, tamaño de bolsillo, 170 g, con asa, compatible con TF, USB y Micro SD, con radio FM y función TWS (True Wireless Stereo), adecuada para relajarse en casa o viajar al aire libre.</t>
        </is>
      </c>
      <c r="H2966" s="16" t="inlineStr">
        <is>
          <t>KTS-1678V</t>
        </is>
      </c>
      <c r="I2966" s="16" t="n">
        <v>1</v>
      </c>
      <c r="J2966" s="17" t="n">
        <v>40</v>
      </c>
      <c r="K2966" s="17" t="n">
        <v>48.28</v>
      </c>
      <c r="L2966" s="17" t="n">
        <v>25.86</v>
      </c>
      <c r="M2966" s="17" t="n">
        <v>0</v>
      </c>
      <c r="N2966" s="17">
        <f>K2966*0.08+L2966*0.08</f>
        <v/>
      </c>
      <c r="O2966" s="17">
        <f>-(K2966*0.025+L2966*0.025)</f>
        <v/>
      </c>
      <c r="P2966" s="17">
        <f>32</f>
        <v/>
      </c>
      <c r="Q2966" s="17">
        <f>J2966+L2966+N2966+O2966-P2966-M2966</f>
        <v/>
      </c>
    </row>
    <row r="2967">
      <c r="A2967" s="16" t="inlineStr">
        <is>
          <t>5.22-5.28</t>
        </is>
      </c>
      <c r="B2967" s="16" t="inlineStr">
        <is>
          <t>PO-128-01008015626872790</t>
        </is>
      </c>
      <c r="C2967" s="16" t="inlineStr">
        <is>
          <t>Delivered</t>
        </is>
      </c>
      <c r="D2967" s="16" t="inlineStr">
        <is>
          <t>128-01007989412472790</t>
        </is>
      </c>
      <c r="E2967" s="16" t="inlineStr">
        <is>
          <t>Delivered</t>
        </is>
      </c>
      <c r="F2967" s="16" t="inlineStr">
        <is>
          <t>LB02235-blanco</t>
        </is>
      </c>
      <c r="G2967" s="16" t="inlineStr">
        <is>
          <t>Audífonos Inalámbricos para la Cabeza, Recargables y Multifuncionales - Conectan a Varios Dispositivos, soportan Radio FM, Tarjeta TF y AUX - 4 Horas de Reproducción Musical - Ideal para Trabajo Cotidiano, Juegos y Estudio</t>
        </is>
      </c>
      <c r="H2967" s="16" t="inlineStr">
        <is>
          <t>BLANCO</t>
        </is>
      </c>
      <c r="I2967" s="16" t="n">
        <v>1</v>
      </c>
      <c r="J2967" s="17" t="n">
        <v>36.8</v>
      </c>
      <c r="K2967" s="17" t="n">
        <v>49.91</v>
      </c>
      <c r="L2967" s="17" t="n">
        <v>25.86</v>
      </c>
      <c r="M2967" s="17" t="n">
        <v>0</v>
      </c>
      <c r="N2967" s="17">
        <f>K2967*0.08+L2967*0.08</f>
        <v/>
      </c>
      <c r="O2967" s="17">
        <f>-(K2967*0.025+L2967*0.025)</f>
        <v/>
      </c>
      <c r="P2967" s="17">
        <f>32</f>
        <v/>
      </c>
      <c r="Q2967" s="17">
        <f>J2967+L2967+N2967+O2967-P2967-M2967</f>
        <v/>
      </c>
    </row>
    <row r="2968">
      <c r="A2968" s="16" t="inlineStr">
        <is>
          <t>5.22-5.28</t>
        </is>
      </c>
      <c r="B2968" s="16" t="inlineStr">
        <is>
          <t>PO-128-00954969621112978</t>
        </is>
      </c>
      <c r="C2968" s="16" t="inlineStr">
        <is>
          <t>Delivered</t>
        </is>
      </c>
      <c r="D2968" s="16" t="inlineStr">
        <is>
          <t>128-00955105935992978</t>
        </is>
      </c>
      <c r="E2968" s="16" t="inlineStr">
        <is>
          <t>Delivered</t>
        </is>
      </c>
      <c r="F2968" s="16" t="inlineStr">
        <is>
          <t>S09W18IB</t>
        </is>
      </c>
      <c r="G296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968" s="16" t="inlineStr">
        <is>
          <t>1 pieza</t>
        </is>
      </c>
      <c r="I2968" s="16" t="n">
        <v>2</v>
      </c>
      <c r="J2968" s="17" t="n">
        <v>64</v>
      </c>
      <c r="K2968" s="17" t="n">
        <v>2.52</v>
      </c>
      <c r="L2968" s="17" t="n">
        <v>25.86</v>
      </c>
      <c r="M2968" s="17" t="n">
        <v>0</v>
      </c>
      <c r="N2968" s="17">
        <f>K2968*0.08+L2968*0.08</f>
        <v/>
      </c>
      <c r="O2968" s="17">
        <f>-(K2968*0.025+L2968*0.025)</f>
        <v/>
      </c>
      <c r="P2968" s="17">
        <f>32</f>
        <v/>
      </c>
      <c r="Q2968" s="17">
        <f>J2968+L2968+N2968+O2968-P2968-M2968</f>
        <v/>
      </c>
    </row>
    <row r="2969">
      <c r="A2969" s="16" t="inlineStr">
        <is>
          <t>5.22-5.28</t>
        </is>
      </c>
      <c r="B2969" s="16" t="inlineStr">
        <is>
          <t>PO-128-01110178780791095</t>
        </is>
      </c>
      <c r="C2969" s="16" t="inlineStr">
        <is>
          <t>Delivered</t>
        </is>
      </c>
      <c r="D2969" s="16" t="inlineStr">
        <is>
          <t>128-01110157809271095</t>
        </is>
      </c>
      <c r="E2969" s="16" t="inlineStr">
        <is>
          <t>Delivered</t>
        </is>
      </c>
      <c r="F2969" s="16" t="inlineStr">
        <is>
          <t>EM04W36-2PZS</t>
        </is>
      </c>
      <c r="G2969"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2969" s="16" t="inlineStr">
        <is>
          <t>2 piezas</t>
        </is>
      </c>
      <c r="I2969" s="16" t="n">
        <v>1</v>
      </c>
      <c r="J2969" s="17" t="n">
        <v>120</v>
      </c>
      <c r="K2969" s="17" t="n">
        <v>157.46</v>
      </c>
      <c r="L2969" s="17" t="n">
        <v>25.86</v>
      </c>
      <c r="M2969" s="17" t="n">
        <v>0</v>
      </c>
      <c r="N2969" s="17">
        <f>K2969*0.08+L2969*0.08</f>
        <v/>
      </c>
      <c r="O2969" s="17">
        <f>-(K2969*0.025+L2969*0.025)</f>
        <v/>
      </c>
      <c r="P2969" s="17">
        <f>32</f>
        <v/>
      </c>
      <c r="Q2969" s="17">
        <f>J2969+L2969+N2969+O2969-P2969-M2969</f>
        <v/>
      </c>
    </row>
    <row r="2970">
      <c r="A2970" s="16" t="inlineStr">
        <is>
          <t>5.22-5.28</t>
        </is>
      </c>
      <c r="B2970" s="16" t="inlineStr">
        <is>
          <t>PO-128-00884941722232308</t>
        </is>
      </c>
      <c r="C2970" s="16" t="inlineStr">
        <is>
          <t>Delivered</t>
        </is>
      </c>
      <c r="D2970" s="16" t="inlineStr">
        <is>
          <t>128-00884946965112308</t>
        </is>
      </c>
      <c r="E2970" s="16" t="inlineStr">
        <is>
          <t>Delivered</t>
        </is>
      </c>
      <c r="F2970" s="16" t="inlineStr">
        <is>
          <t>S09W18IB</t>
        </is>
      </c>
      <c r="G297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2970" s="16" t="inlineStr">
        <is>
          <t>1 pieza</t>
        </is>
      </c>
      <c r="I2970" s="16" t="n">
        <v>3</v>
      </c>
      <c r="J2970" s="17" t="n">
        <v>96</v>
      </c>
      <c r="K2970" s="17" t="n">
        <v>127.92</v>
      </c>
      <c r="L2970" s="17" t="n">
        <v>25.86</v>
      </c>
      <c r="M2970" s="17" t="n">
        <v>0</v>
      </c>
      <c r="N2970" s="17">
        <f>K2970*0.08+L2970*0.08</f>
        <v/>
      </c>
      <c r="O2970" s="17">
        <f>-(K2970*0.025+L2970*0.025)</f>
        <v/>
      </c>
      <c r="P2970" s="17">
        <f>32</f>
        <v/>
      </c>
      <c r="Q2970" s="17">
        <f>J2970+L2970+N2970+O2970-P2970-M2970</f>
        <v/>
      </c>
    </row>
    <row r="2971">
      <c r="A2971" s="16" t="inlineStr">
        <is>
          <t>5.22-5.28</t>
        </is>
      </c>
      <c r="B2971" s="16" t="inlineStr">
        <is>
          <t>PO-128-00755154872953083</t>
        </is>
      </c>
      <c r="C2971" s="16" t="inlineStr">
        <is>
          <t>Delivered</t>
        </is>
      </c>
      <c r="D2971" s="16" t="inlineStr">
        <is>
          <t>128-00755207301753083</t>
        </is>
      </c>
      <c r="E2971" s="16" t="inlineStr">
        <is>
          <t>Delivered</t>
        </is>
      </c>
      <c r="F2971" s="16" t="inlineStr">
        <is>
          <t>MCM-001G</t>
        </is>
      </c>
      <c r="G2971" s="16" t="inlineStr">
        <is>
          <t>Musicord Altavoz Inalámbrico BT Portátil: ¡Sonido impactante, luces LED multicolores y 4 horas de autonomía! Compatible con TWS, FM, TF y USB – Imprescindible para fiestas y viajes</t>
        </is>
      </c>
      <c r="H2971" s="16" t="inlineStr">
        <is>
          <t>GRIS</t>
        </is>
      </c>
      <c r="I2971" s="16" t="n">
        <v>1</v>
      </c>
      <c r="J2971" s="17" t="n">
        <v>51</v>
      </c>
      <c r="K2971" s="17" t="n">
        <v>58.79</v>
      </c>
      <c r="L2971" s="17" t="n">
        <v>25.86</v>
      </c>
      <c r="M2971" s="17" t="n">
        <v>0</v>
      </c>
      <c r="N2971" s="17">
        <f>K2971*0.08+L2971*0.08</f>
        <v/>
      </c>
      <c r="O2971" s="17">
        <f>-(K2971*0.025+L2971*0.025)</f>
        <v/>
      </c>
      <c r="P2971" s="17">
        <f>32</f>
        <v/>
      </c>
      <c r="Q2971" s="17">
        <f>J2971+L2971+N2971+O2971-P2971-M2971</f>
        <v/>
      </c>
    </row>
    <row r="2972">
      <c r="A2972" s="16" t="inlineStr">
        <is>
          <t>5.22-5.28</t>
        </is>
      </c>
      <c r="B2972" s="16" t="inlineStr">
        <is>
          <t>PO-128-01039941248631448</t>
        </is>
      </c>
      <c r="C2972" s="16" t="inlineStr">
        <is>
          <t>Delivered</t>
        </is>
      </c>
      <c r="D2972" s="16" t="inlineStr">
        <is>
          <t>128-01040009406071448</t>
        </is>
      </c>
      <c r="E2972" s="16" t="inlineStr">
        <is>
          <t>Delivered</t>
        </is>
      </c>
      <c r="F2972" s="16" t="inlineStr">
        <is>
          <t>LB02235-negro</t>
        </is>
      </c>
      <c r="G2972" s="16" t="inlineStr">
        <is>
          <t>Audífonos Inalámbricos para la Cabeza, Recargables y Multifuncionales - Conectan a Varios Dispositivos, soportan Radio FM, Tarjeta TF y AUX - 4 Horas de Reproducción Musical - Ideal para Trabajo Cotidiano, Juegos y Estudio</t>
        </is>
      </c>
      <c r="H2972" s="16" t="inlineStr">
        <is>
          <t>NEGRO</t>
        </is>
      </c>
      <c r="I2972" s="16" t="n">
        <v>1</v>
      </c>
      <c r="J2972" s="17" t="n">
        <v>36.8</v>
      </c>
      <c r="K2972" s="17" t="n">
        <v>49.91</v>
      </c>
      <c r="L2972" s="17" t="n">
        <v>25.86</v>
      </c>
      <c r="M2972" s="17" t="n">
        <v>0</v>
      </c>
      <c r="N2972" s="17">
        <f>K2972*0.08+L2972*0.08</f>
        <v/>
      </c>
      <c r="O2972" s="17">
        <f>-(K2972*0.025+L2972*0.025)</f>
        <v/>
      </c>
      <c r="P2972" s="17">
        <f>32</f>
        <v/>
      </c>
      <c r="Q2972" s="17">
        <f>J2972+L2972+N2972+O2972-P2972-M2972</f>
        <v/>
      </c>
    </row>
    <row r="2973">
      <c r="A2973" s="16" t="inlineStr">
        <is>
          <t>5.22-5.28</t>
        </is>
      </c>
      <c r="B2973" s="16" t="inlineStr">
        <is>
          <t>PO-128-00906399401592180</t>
        </is>
      </c>
      <c r="C2973" s="16" t="inlineStr">
        <is>
          <t>Delivered</t>
        </is>
      </c>
      <c r="D2973" s="16" t="inlineStr">
        <is>
          <t>128-00906425615992180</t>
        </is>
      </c>
      <c r="E2973" s="16" t="inlineStr">
        <is>
          <t>Delivered</t>
        </is>
      </c>
      <c r="F2973" s="16" t="inlineStr">
        <is>
          <t>MB-185N</t>
        </is>
      </c>
      <c r="G2973" s="16" t="inlineStr">
        <is>
          <t>Bocina Radio FM/Reproductor, Compatible con Tarjeta TF, USB, Bluetooth, Aplicable para celular, computadora, Ipad y consola.</t>
        </is>
      </c>
      <c r="H2973" s="16" t="inlineStr">
        <is>
          <t>NEGRO/MB-185</t>
        </is>
      </c>
      <c r="I2973" s="16" t="n">
        <v>1</v>
      </c>
      <c r="J2973" s="17" t="n">
        <v>71.31</v>
      </c>
      <c r="K2973" s="17" t="n">
        <v>84.23999999999999</v>
      </c>
      <c r="L2973" s="17" t="n">
        <v>25.86</v>
      </c>
      <c r="M2973" s="17" t="n">
        <v>0</v>
      </c>
      <c r="N2973" s="17">
        <f>K2973*0.08+L2973*0.08</f>
        <v/>
      </c>
      <c r="O2973" s="17">
        <f>-(K2973*0.025+L2973*0.025)</f>
        <v/>
      </c>
      <c r="P2973" s="17">
        <f>32</f>
        <v/>
      </c>
      <c r="Q2973" s="17">
        <f>J2973+L2973+N2973+O2973-P2973-M2973</f>
        <v/>
      </c>
    </row>
    <row r="2974">
      <c r="A2974" s="16" t="inlineStr">
        <is>
          <t>5.22-5.28</t>
        </is>
      </c>
      <c r="B2974" s="16" t="inlineStr">
        <is>
          <t>PO-128-00999979745912774</t>
        </is>
      </c>
      <c r="C2974" s="16" t="inlineStr">
        <is>
          <t>Delivered</t>
        </is>
      </c>
      <c r="D2974" s="16" t="inlineStr">
        <is>
          <t>128-01000032174712774</t>
        </is>
      </c>
      <c r="E2974" s="16" t="inlineStr">
        <is>
          <t>Delivered</t>
        </is>
      </c>
      <c r="F2974" s="16" t="inlineStr">
        <is>
          <t>FA028</t>
        </is>
      </c>
      <c r="G2974" s="16" t="inlineStr">
        <is>
          <t>Extractor de agua para garrafas de agua, compatible con carga USB, extractor de agua automático, práctico, con dos modos de toma de agua: manual y programado, ideal para dormitorios, salones, oficinas, uso al aire libre y otros escenarios.</t>
        </is>
      </c>
      <c r="H2974" s="16" t="inlineStr">
        <is>
          <t>FA028</t>
        </is>
      </c>
      <c r="I2974" s="16" t="n">
        <v>1</v>
      </c>
      <c r="J2974" s="17" t="n">
        <v>28</v>
      </c>
      <c r="K2974" s="17" t="n">
        <v>37.58</v>
      </c>
      <c r="L2974" s="17" t="n">
        <v>25.86</v>
      </c>
      <c r="M2974" s="17" t="n">
        <v>0</v>
      </c>
      <c r="N2974" s="17">
        <f>K2974*0.08+L2974*0.08</f>
        <v/>
      </c>
      <c r="O2974" s="17">
        <f>-(K2974*0.025+L2974*0.025)</f>
        <v/>
      </c>
      <c r="P2974" s="17">
        <f>32</f>
        <v/>
      </c>
      <c r="Q2974" s="17">
        <f>J2974+L2974+N2974+O2974-P2974-M2974</f>
        <v/>
      </c>
    </row>
    <row r="2975">
      <c r="A2975" s="16" t="inlineStr">
        <is>
          <t>5.22-5.28</t>
        </is>
      </c>
      <c r="B2975" s="16" t="inlineStr">
        <is>
          <t>PO-128-01104152837751067</t>
        </is>
      </c>
      <c r="C2975" s="16" t="inlineStr">
        <is>
          <t>Delivered</t>
        </is>
      </c>
      <c r="D2975" s="16" t="inlineStr">
        <is>
          <t>128-01104194780791067</t>
        </is>
      </c>
      <c r="E2975" s="16" t="inlineStr">
        <is>
          <t>Delivered</t>
        </is>
      </c>
      <c r="F2975" s="16" t="inlineStr">
        <is>
          <t>LB02235-rojo</t>
        </is>
      </c>
      <c r="G2975" s="16" t="inlineStr">
        <is>
          <t>Audífonos Inalámbricos para la Cabeza, Recargables y Multifuncionales - Conectan a Varios Dispositivos, soportan Radio FM, Tarjeta TF y AUX - 4 Horas de Reproducción Musical - Ideal para Trabajo Cotidiano, Juegos y Estudio</t>
        </is>
      </c>
      <c r="H2975" s="16" t="inlineStr">
        <is>
          <t>ROJO</t>
        </is>
      </c>
      <c r="I2975" s="16" t="n">
        <v>1</v>
      </c>
      <c r="J2975" s="17" t="n">
        <v>36.8</v>
      </c>
      <c r="K2975" s="17" t="n">
        <v>49.91</v>
      </c>
      <c r="L2975" s="17" t="n">
        <v>25.86</v>
      </c>
      <c r="M2975" s="17" t="n">
        <v>0</v>
      </c>
      <c r="N2975" s="17">
        <f>K2975*0.08+L2975*0.08</f>
        <v/>
      </c>
      <c r="O2975" s="17">
        <f>-(K2975*0.025+L2975*0.025)</f>
        <v/>
      </c>
      <c r="P2975" s="17">
        <f>32</f>
        <v/>
      </c>
      <c r="Q2975" s="17">
        <f>J2975+L2975+N2975+O2975-P2975-M2975</f>
        <v/>
      </c>
    </row>
    <row r="2976">
      <c r="A2976" s="16" t="inlineStr">
        <is>
          <t>5.22-5.28</t>
        </is>
      </c>
      <c r="B2976" s="16" t="inlineStr">
        <is>
          <t>PO-128-01123474432631974</t>
        </is>
      </c>
      <c r="C2976" s="16" t="inlineStr">
        <is>
          <t>Delivered</t>
        </is>
      </c>
      <c r="D2976" s="16" t="inlineStr">
        <is>
          <t>128-01123516375671974</t>
        </is>
      </c>
      <c r="E2976" s="16" t="inlineStr">
        <is>
          <t>Delivered</t>
        </is>
      </c>
      <c r="F2976" s="16" t="inlineStr">
        <is>
          <t>LB02235-negro</t>
        </is>
      </c>
      <c r="G2976" s="16" t="inlineStr">
        <is>
          <t>Audífonos Inalámbricos para la Cabeza, Recargables y Multifuncionales - Conectan a Varios Dispositivos, soportan Radio FM, Tarjeta TF y AUX - 4 Horas de Reproducción Musical - Ideal para Trabajo Cotidiano, Juegos y Estudio</t>
        </is>
      </c>
      <c r="H2976" s="16" t="inlineStr">
        <is>
          <t>NEGRO</t>
        </is>
      </c>
      <c r="I2976" s="16" t="n">
        <v>1</v>
      </c>
      <c r="J2976" s="17" t="n">
        <v>36.8</v>
      </c>
      <c r="K2976" s="17" t="n">
        <v>0.74</v>
      </c>
      <c r="L2976" s="17" t="n">
        <v>14.85</v>
      </c>
      <c r="M2976" s="17" t="n">
        <v>0</v>
      </c>
      <c r="N2976" s="17">
        <f>K2976*0.08+L2976*0.08</f>
        <v/>
      </c>
      <c r="O2976" s="17">
        <f>-(K2976*0.025+L2976*0.025)</f>
        <v/>
      </c>
      <c r="P2976" s="17">
        <f>32</f>
        <v/>
      </c>
      <c r="Q2976" s="17">
        <f>J2976+L2976+N2976+O2976-P2976-M2976</f>
        <v/>
      </c>
    </row>
    <row r="2977">
      <c r="A2977" s="16" t="inlineStr">
        <is>
          <t>5.22-5.28</t>
        </is>
      </c>
      <c r="B2977" s="16" t="inlineStr">
        <is>
          <t>PO-128-01123474432631974</t>
        </is>
      </c>
      <c r="C2977" s="16" t="inlineStr">
        <is>
          <t>Delivered</t>
        </is>
      </c>
      <c r="D2977" s="16" t="inlineStr">
        <is>
          <t>128-01123537347191974</t>
        </is>
      </c>
      <c r="E2977" s="16" t="inlineStr">
        <is>
          <t>Delivered</t>
        </is>
      </c>
      <c r="F2977" s="16" t="inlineStr">
        <is>
          <t>FA028</t>
        </is>
      </c>
      <c r="G2977" s="16" t="inlineStr">
        <is>
          <t>Extractor de agua para garrafas de agua, compatible con carga USB, extractor de agua automático, práctico, con dos modos de toma de agua: manual y programado, ideal para dormitorios, salones, oficinas, uso al aire libre y otros escenarios.</t>
        </is>
      </c>
      <c r="H2977" s="16" t="inlineStr">
        <is>
          <t>FA028</t>
        </is>
      </c>
      <c r="I2977" s="16" t="n">
        <v>1</v>
      </c>
      <c r="J2977" s="17" t="n">
        <v>28</v>
      </c>
      <c r="K2977" s="17" t="n">
        <v>0.55</v>
      </c>
      <c r="L2977" s="17" t="n">
        <v>11.01</v>
      </c>
      <c r="M2977" s="17" t="n">
        <v>0</v>
      </c>
      <c r="N2977" s="17">
        <f>K2977*0.08+L2977*0.08</f>
        <v/>
      </c>
      <c r="O2977" s="17">
        <f>-(K2977*0.025+L2977*0.025)</f>
        <v/>
      </c>
      <c r="P2977" s="17">
        <f>32</f>
        <v/>
      </c>
      <c r="Q2977" s="17">
        <f>J2977+L2977+N2977+O2977-P2977-M2977</f>
        <v/>
      </c>
    </row>
    <row r="2978">
      <c r="A2978" s="16" t="inlineStr">
        <is>
          <t>5.22-5.28</t>
        </is>
      </c>
      <c r="B2978" s="16" t="inlineStr">
        <is>
          <t>PO-128-01249177534070139</t>
        </is>
      </c>
      <c r="C2978" s="16" t="inlineStr">
        <is>
          <t>Delivered</t>
        </is>
      </c>
      <c r="D2978" s="16" t="inlineStr">
        <is>
          <t>128-01249114619510139</t>
        </is>
      </c>
      <c r="E2978" s="16" t="inlineStr">
        <is>
          <t>Delivered</t>
        </is>
      </c>
      <c r="F2978" s="16" t="inlineStr">
        <is>
          <t>LB02235-negro</t>
        </is>
      </c>
      <c r="G2978" s="16" t="inlineStr">
        <is>
          <t>Audífonos Inalámbricos para la Cabeza, Recargables y Multifuncionales - Conectan a Varios Dispositivos, soportan Radio FM, Tarjeta TF y AUX - 4 Horas de Reproducción Musical - Ideal para Trabajo Cotidiano, Juegos y Estudio</t>
        </is>
      </c>
      <c r="H2978" s="16" t="inlineStr">
        <is>
          <t>NEGRO</t>
        </is>
      </c>
      <c r="I2978" s="16" t="n">
        <v>1</v>
      </c>
      <c r="J2978" s="17" t="n">
        <v>36.8</v>
      </c>
      <c r="K2978" s="17" t="n">
        <v>6.81</v>
      </c>
      <c r="L2978" s="17" t="n">
        <v>12.93</v>
      </c>
      <c r="M2978" s="17" t="n">
        <v>0</v>
      </c>
      <c r="N2978" s="17">
        <f>K2978*0.08+L2978*0.08</f>
        <v/>
      </c>
      <c r="O2978" s="17">
        <f>-(K2978*0.025+L2978*0.025)</f>
        <v/>
      </c>
      <c r="P2978" s="17">
        <f>32</f>
        <v/>
      </c>
      <c r="Q2978" s="17">
        <f>J2978+L2978+N2978+O2978-P2978-M2978</f>
        <v/>
      </c>
    </row>
    <row r="2979">
      <c r="A2979" s="16" t="inlineStr">
        <is>
          <t>5.22-5.28</t>
        </is>
      </c>
      <c r="B2979" s="16" t="inlineStr">
        <is>
          <t>PO-128-01249177534070139</t>
        </is>
      </c>
      <c r="C2979" s="16" t="inlineStr">
        <is>
          <t>Delivered</t>
        </is>
      </c>
      <c r="D2979" s="16" t="inlineStr">
        <is>
          <t>128-01249198505590139</t>
        </is>
      </c>
      <c r="E2979" s="16" t="inlineStr">
        <is>
          <t>Delivered</t>
        </is>
      </c>
      <c r="F2979" s="16" t="inlineStr">
        <is>
          <t>LB02235-rojo</t>
        </is>
      </c>
      <c r="G2979" s="16" t="inlineStr">
        <is>
          <t>Audífonos Inalámbricos para la Cabeza, Recargables y Multifuncionales - Conectan a Varios Dispositivos, soportan Radio FM, Tarjeta TF y AUX - 4 Horas de Reproducción Musical - Ideal para Trabajo Cotidiano, Juegos y Estudio</t>
        </is>
      </c>
      <c r="H2979" s="16" t="inlineStr">
        <is>
          <t>ROJO</t>
        </is>
      </c>
      <c r="I2979" s="16" t="n">
        <v>1</v>
      </c>
      <c r="J2979" s="17" t="n">
        <v>36.8</v>
      </c>
      <c r="K2979" s="17" t="n">
        <v>6.81</v>
      </c>
      <c r="L2979" s="17" t="n">
        <v>12.93</v>
      </c>
      <c r="M2979" s="17" t="n">
        <v>0</v>
      </c>
      <c r="N2979" s="17">
        <f>K2979*0.08+L2979*0.08</f>
        <v/>
      </c>
      <c r="O2979" s="17">
        <f>-(K2979*0.025+L2979*0.025)</f>
        <v/>
      </c>
      <c r="P2979" s="17">
        <f>32</f>
        <v/>
      </c>
      <c r="Q2979" s="17">
        <f>J2979+L2979+N2979+O2979-P2979-M2979</f>
        <v/>
      </c>
    </row>
    <row r="2980">
      <c r="A2980" s="16" t="inlineStr">
        <is>
          <t>5.22-5.28</t>
        </is>
      </c>
      <c r="B2980" s="16" t="inlineStr">
        <is>
          <t>PO-128-00903050793592200</t>
        </is>
      </c>
      <c r="C2980" s="16" t="inlineStr">
        <is>
          <t>Delivered</t>
        </is>
      </c>
      <c r="D2980" s="16" t="inlineStr">
        <is>
          <t>128-00903004918392200</t>
        </is>
      </c>
      <c r="E2980" s="16" t="inlineStr">
        <is>
          <t>Delivered</t>
        </is>
      </c>
      <c r="F2980" s="16" t="inlineStr">
        <is>
          <t>LB02235-blanco</t>
        </is>
      </c>
      <c r="G2980" s="16" t="inlineStr">
        <is>
          <t>Audífonos Inalámbricos para la Cabeza, Recargables y Multifuncionales - Conectan a Varios Dispositivos, soportan Radio FM, Tarjeta TF y AUX - 4 Horas de Reproducción Musical - Ideal para Trabajo Cotidiano, Juegos y Estudio</t>
        </is>
      </c>
      <c r="H2980" s="16" t="inlineStr">
        <is>
          <t>BLANCO</t>
        </is>
      </c>
      <c r="I2980" s="16" t="n">
        <v>2</v>
      </c>
      <c r="J2980" s="17" t="n">
        <v>73.59999999999999</v>
      </c>
      <c r="K2980" s="17" t="n">
        <v>99.81999999999999</v>
      </c>
      <c r="L2980" s="17" t="n">
        <v>10.34</v>
      </c>
      <c r="M2980" s="17" t="n">
        <v>0</v>
      </c>
      <c r="N2980" s="17">
        <f>K2980*0.08+L2980*0.08</f>
        <v/>
      </c>
      <c r="O2980" s="17">
        <f>-(K2980*0.025+L2980*0.025)</f>
        <v/>
      </c>
      <c r="P2980" s="17">
        <f>32</f>
        <v/>
      </c>
      <c r="Q2980" s="17">
        <f>J2980+L2980+N2980+O2980-P2980-M2980</f>
        <v/>
      </c>
    </row>
    <row r="2981">
      <c r="A2981" s="16" t="inlineStr">
        <is>
          <t>5.22-5.28</t>
        </is>
      </c>
      <c r="B2981" s="16" t="inlineStr">
        <is>
          <t>PO-128-00903050793592200</t>
        </is>
      </c>
      <c r="C2981" s="16" t="inlineStr">
        <is>
          <t>Delivered</t>
        </is>
      </c>
      <c r="D2981" s="16" t="inlineStr">
        <is>
          <t>128-00902999675512200</t>
        </is>
      </c>
      <c r="E2981" s="16" t="inlineStr">
        <is>
          <t>Delivered</t>
        </is>
      </c>
      <c r="F2981" s="16" t="inlineStr">
        <is>
          <t>LB02235-azul</t>
        </is>
      </c>
      <c r="G2981" s="16" t="inlineStr">
        <is>
          <t>Audífonos Inalámbricos para la Cabeza, Recargables y Multifuncionales - Conectan a Varios Dispositivos, soportan Radio FM, Tarjeta TF y AUX - 4 Horas de Reproducción Musical - Ideal para Trabajo Cotidiano, Juegos y Estudio</t>
        </is>
      </c>
      <c r="H2981" s="16" t="inlineStr">
        <is>
          <t>AZUL</t>
        </is>
      </c>
      <c r="I2981" s="16" t="n">
        <v>1</v>
      </c>
      <c r="J2981" s="17" t="n">
        <v>36.8</v>
      </c>
      <c r="K2981" s="17" t="n">
        <v>49.91</v>
      </c>
      <c r="L2981" s="17" t="n">
        <v>5.17</v>
      </c>
      <c r="M2981" s="17" t="n">
        <v>0.8</v>
      </c>
      <c r="N2981" s="17">
        <f>K2981*0.08+L2981*0.08</f>
        <v/>
      </c>
      <c r="O2981" s="17">
        <f>-(K2981*0.025+L2981*0.025)</f>
        <v/>
      </c>
      <c r="P2981" s="17">
        <f>32</f>
        <v/>
      </c>
      <c r="Q2981" s="17">
        <f>J2981+L2981+N2981+O2981-P2981-M2981</f>
        <v/>
      </c>
    </row>
    <row r="2982">
      <c r="A2982" s="16" t="inlineStr">
        <is>
          <t>5.22-5.28</t>
        </is>
      </c>
      <c r="B2982" s="16" t="inlineStr">
        <is>
          <t>PO-128-00903050793592200</t>
        </is>
      </c>
      <c r="C2982" s="16" t="inlineStr">
        <is>
          <t>Delivered</t>
        </is>
      </c>
      <c r="D2982" s="16" t="inlineStr">
        <is>
          <t>128-00903003607672200</t>
        </is>
      </c>
      <c r="E2982" s="16" t="inlineStr">
        <is>
          <t>Delivered</t>
        </is>
      </c>
      <c r="F2982" s="16" t="inlineStr">
        <is>
          <t>LB02235-rojo</t>
        </is>
      </c>
      <c r="G2982" s="16" t="inlineStr">
        <is>
          <t>Audífonos Inalámbricos para la Cabeza, Recargables y Multifuncionales - Conectan a Varios Dispositivos, soportan Radio FM, Tarjeta TF y AUX - 4 Horas de Reproducción Musical - Ideal para Trabajo Cotidiano, Juegos y Estudio</t>
        </is>
      </c>
      <c r="H2982" s="16" t="inlineStr">
        <is>
          <t>ROJO</t>
        </is>
      </c>
      <c r="I2982" s="16" t="n">
        <v>2</v>
      </c>
      <c r="J2982" s="17" t="n">
        <v>73.59999999999999</v>
      </c>
      <c r="K2982" s="17" t="n">
        <v>99.81999999999999</v>
      </c>
      <c r="L2982" s="17" t="n">
        <v>10.34</v>
      </c>
      <c r="M2982" s="17" t="n">
        <v>0</v>
      </c>
      <c r="N2982" s="17">
        <f>K2982*0.08+L2982*0.08</f>
        <v/>
      </c>
      <c r="O2982" s="17">
        <f>-(K2982*0.025+L2982*0.025)</f>
        <v/>
      </c>
      <c r="P2982" s="17">
        <f>32</f>
        <v/>
      </c>
      <c r="Q2982" s="17">
        <f>J2982+L2982+N2982+O2982-P2982-M2982</f>
        <v/>
      </c>
    </row>
    <row r="2983">
      <c r="A2983" s="16" t="inlineStr">
        <is>
          <t>5.22-5.28</t>
        </is>
      </c>
      <c r="B2983" s="16" t="inlineStr">
        <is>
          <t>PO-128-01301621955190976</t>
        </is>
      </c>
      <c r="C2983" s="16" t="inlineStr">
        <is>
          <t>Delivered</t>
        </is>
      </c>
      <c r="D2983" s="16" t="inlineStr">
        <is>
          <t>128-01301656033910976</t>
        </is>
      </c>
      <c r="E2983" s="16" t="inlineStr">
        <is>
          <t>Delivered</t>
        </is>
      </c>
      <c r="F2983" s="16" t="inlineStr">
        <is>
          <t>LB02235-blanco</t>
        </is>
      </c>
      <c r="G2983" s="16" t="inlineStr">
        <is>
          <t>Audífonos Inalámbricos para la Cabeza, Recargables y Multifuncionales - Conectan a Varios Dispositivos, soportan Radio FM, Tarjeta TF y AUX - 4 Horas de Reproducción Musical - Ideal para Trabajo Cotidiano, Juegos y Estudio</t>
        </is>
      </c>
      <c r="H2983" s="16" t="inlineStr">
        <is>
          <t>BLANCO</t>
        </is>
      </c>
      <c r="I2983" s="16" t="n">
        <v>1</v>
      </c>
      <c r="J2983" s="17" t="n">
        <v>36.8</v>
      </c>
      <c r="K2983" s="17" t="n">
        <v>49.91</v>
      </c>
      <c r="L2983" s="17" t="n">
        <v>25.86</v>
      </c>
      <c r="M2983" s="17" t="n">
        <v>0</v>
      </c>
      <c r="N2983" s="17">
        <f>K2983*0.08+L2983*0.08</f>
        <v/>
      </c>
      <c r="O2983" s="17">
        <f>-(K2983*0.025+L2983*0.025)</f>
        <v/>
      </c>
      <c r="P2983" s="17">
        <f>32</f>
        <v/>
      </c>
      <c r="Q2983" s="17">
        <f>J2983+L2983+N2983+O2983-P2983-M2983</f>
        <v/>
      </c>
    </row>
    <row r="2984">
      <c r="A2984" s="16" t="inlineStr">
        <is>
          <t>5.22-5.28</t>
        </is>
      </c>
      <c r="B2984" s="16" t="inlineStr">
        <is>
          <t>PO-128-00775211177593986</t>
        </is>
      </c>
      <c r="C2984" s="16" t="inlineStr">
        <is>
          <t>Delivered</t>
        </is>
      </c>
      <c r="D2984" s="16" t="inlineStr">
        <is>
          <t>128-00775221663353986</t>
        </is>
      </c>
      <c r="E2984" s="16" t="inlineStr">
        <is>
          <t>Delivered</t>
        </is>
      </c>
      <c r="F2984" s="16" t="inlineStr">
        <is>
          <t>LB02235-rojo</t>
        </is>
      </c>
      <c r="G2984" s="16" t="inlineStr">
        <is>
          <t>Audífonos Inalámbricos para la Cabeza, Recargables y Multifuncionales - Conectan a Varios Dispositivos, soportan Radio FM, Tarjeta TF y AUX - 4 Horas de Reproducción Musical - Ideal para Trabajo Cotidiano, Juegos y Estudio</t>
        </is>
      </c>
      <c r="H2984" s="16" t="inlineStr">
        <is>
          <t>ROJO</t>
        </is>
      </c>
      <c r="I2984" s="16" t="n">
        <v>1</v>
      </c>
      <c r="J2984" s="17" t="n">
        <v>36.8</v>
      </c>
      <c r="K2984" s="17" t="n">
        <v>49.91</v>
      </c>
      <c r="L2984" s="17" t="n">
        <v>25.86</v>
      </c>
      <c r="M2984" s="17" t="n">
        <v>0</v>
      </c>
      <c r="N2984" s="17">
        <f>K2984*0.08+L2984*0.08</f>
        <v/>
      </c>
      <c r="O2984" s="17">
        <f>-(K2984*0.025+L2984*0.025)</f>
        <v/>
      </c>
      <c r="P2984" s="17">
        <f>32</f>
        <v/>
      </c>
      <c r="Q2984" s="17">
        <f>J2984+L2984+N2984+O2984-P2984-M2984</f>
        <v/>
      </c>
    </row>
    <row r="2985">
      <c r="A2985" s="16" t="inlineStr">
        <is>
          <t>5.22-5.28</t>
        </is>
      </c>
      <c r="B2985" s="16" t="inlineStr">
        <is>
          <t>PO-128-01362865224310549</t>
        </is>
      </c>
      <c r="C2985" s="16" t="inlineStr">
        <is>
          <t>Delivered</t>
        </is>
      </c>
      <c r="D2985" s="16" t="inlineStr">
        <is>
          <t>128-01362891438710549</t>
        </is>
      </c>
      <c r="E2985" s="16" t="inlineStr">
        <is>
          <t>Delivered</t>
        </is>
      </c>
      <c r="F2985" s="16" t="inlineStr">
        <is>
          <t>VB347T</t>
        </is>
      </c>
      <c r="G298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985" s="16" t="inlineStr">
        <is>
          <t>1 pieza</t>
        </is>
      </c>
      <c r="I2985" s="16" t="n">
        <v>1</v>
      </c>
      <c r="J2985" s="17" t="n">
        <v>79.90000000000001</v>
      </c>
      <c r="K2985" s="17" t="n">
        <v>94.5</v>
      </c>
      <c r="L2985" s="17" t="n">
        <v>25.86</v>
      </c>
      <c r="M2985" s="17" t="n">
        <v>0</v>
      </c>
      <c r="N2985" s="17">
        <f>K2985*0.08+L2985*0.08</f>
        <v/>
      </c>
      <c r="O2985" s="17">
        <f>-(K2985*0.025+L2985*0.025)</f>
        <v/>
      </c>
      <c r="P2985" s="17">
        <f>32</f>
        <v/>
      </c>
      <c r="Q2985" s="17">
        <f>J2985+L2985+N2985+O2985-P2985-M2985</f>
        <v/>
      </c>
    </row>
    <row r="2986">
      <c r="A2986" s="16" t="inlineStr">
        <is>
          <t>5.22-5.28</t>
        </is>
      </c>
      <c r="B2986" s="16" t="inlineStr">
        <is>
          <t>PO-128-00961665859193069</t>
        </is>
      </c>
      <c r="C2986" s="16" t="inlineStr">
        <is>
          <t>Delivered</t>
        </is>
      </c>
      <c r="D2986" s="16" t="inlineStr">
        <is>
          <t>128-00961644887673069</t>
        </is>
      </c>
      <c r="E2986" s="16" t="inlineStr">
        <is>
          <t>Delivered</t>
        </is>
      </c>
      <c r="F2986" s="16" t="inlineStr">
        <is>
          <t>KTS-1678R</t>
        </is>
      </c>
      <c r="G2986" s="16" t="inlineStr">
        <is>
          <t>Bocina portátil Inalámbrico, de 3 pulgadas, tamaño de bolsillo, 170 g, con asa, compatible con TF, USB y Micro SD, con radio FM y función TWS (True Wireless Stereo), adecuada para relajarse en casa o viajar al aire libre.</t>
        </is>
      </c>
      <c r="H2986" s="16" t="inlineStr">
        <is>
          <t>KTS-1678R</t>
        </is>
      </c>
      <c r="I2986" s="16" t="n">
        <v>1</v>
      </c>
      <c r="J2986" s="17" t="n">
        <v>42.5</v>
      </c>
      <c r="K2986" s="17" t="n">
        <v>42.95</v>
      </c>
      <c r="L2986" s="17" t="n">
        <v>6.53</v>
      </c>
      <c r="M2986" s="17" t="n">
        <v>0</v>
      </c>
      <c r="N2986" s="17">
        <f>K2986*0.08+L2986*0.08</f>
        <v/>
      </c>
      <c r="O2986" s="17">
        <f>-(K2986*0.025+L2986*0.025)</f>
        <v/>
      </c>
      <c r="P2986" s="17">
        <f>32</f>
        <v/>
      </c>
      <c r="Q2986" s="17">
        <f>J2986+L2986+N2986+O2986-P2986-M2986</f>
        <v/>
      </c>
    </row>
    <row r="2987">
      <c r="A2987" s="16" t="inlineStr">
        <is>
          <t>5.22-5.28</t>
        </is>
      </c>
      <c r="B2987" s="16" t="inlineStr">
        <is>
          <t>PO-128-00961665859193069</t>
        </is>
      </c>
      <c r="C2987" s="16" t="inlineStr">
        <is>
          <t>Delivered</t>
        </is>
      </c>
      <c r="D2987" s="16" t="inlineStr">
        <is>
          <t>128-00961655373433069</t>
        </is>
      </c>
      <c r="E2987" s="16" t="inlineStr">
        <is>
          <t>Delivered</t>
        </is>
      </c>
      <c r="F2987" s="16" t="inlineStr">
        <is>
          <t>KTS-1678A</t>
        </is>
      </c>
      <c r="G2987" s="16" t="inlineStr">
        <is>
          <t>Bocina portátil Inalámbrico, de 3 pulgadas, tamaño de bolsillo, 170 g, con asa, compatible con TF, USB y Micro SD, con radio FM y función TWS (True Wireless Stereo), adecuada para relajarse en casa o viajar al aire libre.</t>
        </is>
      </c>
      <c r="H2987" s="16" t="inlineStr">
        <is>
          <t>KTS-1678A</t>
        </is>
      </c>
      <c r="I2987" s="16" t="n">
        <v>1</v>
      </c>
      <c r="J2987" s="17" t="n">
        <v>42.5</v>
      </c>
      <c r="K2987" s="17" t="n">
        <v>42.95</v>
      </c>
      <c r="L2987" s="17" t="n">
        <v>6.53</v>
      </c>
      <c r="M2987" s="17" t="n">
        <v>0</v>
      </c>
      <c r="N2987" s="17">
        <f>K2987*0.08+L2987*0.08</f>
        <v/>
      </c>
      <c r="O2987" s="17">
        <f>-(K2987*0.025+L2987*0.025)</f>
        <v/>
      </c>
      <c r="P2987" s="17">
        <f>32</f>
        <v/>
      </c>
      <c r="Q2987" s="17">
        <f>J2987+L2987+N2987+O2987-P2987-M2987</f>
        <v/>
      </c>
    </row>
    <row r="2988">
      <c r="A2988" s="16" t="inlineStr">
        <is>
          <t>5.22-5.28</t>
        </is>
      </c>
      <c r="B2988" s="16" t="inlineStr">
        <is>
          <t>PO-128-00961665859193069</t>
        </is>
      </c>
      <c r="C2988" s="16" t="inlineStr">
        <is>
          <t>Delivered</t>
        </is>
      </c>
      <c r="D2988" s="16" t="inlineStr">
        <is>
          <t>128-00961623916153069</t>
        </is>
      </c>
      <c r="E2988" s="16" t="inlineStr">
        <is>
          <t>Delivered</t>
        </is>
      </c>
      <c r="F2988" s="16" t="inlineStr">
        <is>
          <t>KTS-1678V</t>
        </is>
      </c>
      <c r="G2988" s="16" t="inlineStr">
        <is>
          <t>Bocina portátil Inalámbrico, de 3 pulgadas, tamaño de bolsillo, 170 g, con asa, compatible con TF, USB y Micro SD, con radio FM y función TWS (True Wireless Stereo), adecuada para relajarse en casa o viajar al aire libre.</t>
        </is>
      </c>
      <c r="H2988" s="16" t="inlineStr">
        <is>
          <t>KTS-1678V</t>
        </is>
      </c>
      <c r="I2988" s="16" t="n">
        <v>1</v>
      </c>
      <c r="J2988" s="17" t="n">
        <v>42.5</v>
      </c>
      <c r="K2988" s="17" t="n">
        <v>42.95</v>
      </c>
      <c r="L2988" s="17" t="n">
        <v>6.55</v>
      </c>
      <c r="M2988" s="17" t="n">
        <v>0</v>
      </c>
      <c r="N2988" s="17">
        <f>K2988*0.08+L2988*0.08</f>
        <v/>
      </c>
      <c r="O2988" s="17">
        <f>-(K2988*0.025+L2988*0.025)</f>
        <v/>
      </c>
      <c r="P2988" s="17">
        <f>32</f>
        <v/>
      </c>
      <c r="Q2988" s="17">
        <f>J2988+L2988+N2988+O2988-P2988-M2988</f>
        <v/>
      </c>
    </row>
    <row r="2989">
      <c r="A2989" s="16" t="inlineStr">
        <is>
          <t>5.22-5.28</t>
        </is>
      </c>
      <c r="B2989" s="16" t="inlineStr">
        <is>
          <t>PO-128-00961665859193069</t>
        </is>
      </c>
      <c r="C2989" s="16" t="inlineStr">
        <is>
          <t>Delivered</t>
        </is>
      </c>
      <c r="D2989" s="16" t="inlineStr">
        <is>
          <t>128-00961634401913069</t>
        </is>
      </c>
      <c r="E2989" s="16" t="inlineStr">
        <is>
          <t>Delivered</t>
        </is>
      </c>
      <c r="F2989" s="16" t="inlineStr">
        <is>
          <t>KTS-1678Y</t>
        </is>
      </c>
      <c r="G2989" s="16" t="inlineStr">
        <is>
          <t>Bocina portátil Inalámbrico, de 3 pulgadas, tamaño de bolsillo, 170 g, con asa, compatible con TF, USB y Micro SD, con radio FM y función TWS (True Wireless Stereo), adecuada para relajarse en casa o viajar al aire libre.</t>
        </is>
      </c>
      <c r="H2989" s="16" t="inlineStr">
        <is>
          <t>KTS-1678Y</t>
        </is>
      </c>
      <c r="I2989" s="16" t="n">
        <v>1</v>
      </c>
      <c r="J2989" s="17" t="n">
        <v>42.5</v>
      </c>
      <c r="K2989" s="17" t="n">
        <v>41.2</v>
      </c>
      <c r="L2989" s="17" t="n">
        <v>6.26</v>
      </c>
      <c r="M2989" s="17" t="n">
        <v>0</v>
      </c>
      <c r="N2989" s="17">
        <f>K2989*0.08+L2989*0.08</f>
        <v/>
      </c>
      <c r="O2989" s="17">
        <f>-(K2989*0.025+L2989*0.025)</f>
        <v/>
      </c>
      <c r="P2989" s="17">
        <f>32</f>
        <v/>
      </c>
      <c r="Q2989" s="17">
        <f>J2989+L2989+N2989+O2989-P2989-M2989</f>
        <v/>
      </c>
    </row>
    <row r="2990">
      <c r="A2990" s="16" t="inlineStr">
        <is>
          <t>5.22-5.28</t>
        </is>
      </c>
      <c r="B2990" s="16" t="inlineStr">
        <is>
          <t>PO-128-01142635080311796</t>
        </is>
      </c>
      <c r="C2990" s="16" t="inlineStr">
        <is>
          <t>Delivered</t>
        </is>
      </c>
      <c r="D2990" s="16" t="inlineStr">
        <is>
          <t>128-01142656051831796</t>
        </is>
      </c>
      <c r="E2990" s="16" t="inlineStr">
        <is>
          <t>Delivered</t>
        </is>
      </c>
      <c r="F2990" s="16" t="inlineStr">
        <is>
          <t>MB-185N</t>
        </is>
      </c>
      <c r="G2990" s="16" t="inlineStr">
        <is>
          <t>Bocina Radio FM/Reproductor, Compatible con Tarjeta TF, USB, Bluetooth, Aplicable para celular, computadora, Ipad y consola.</t>
        </is>
      </c>
      <c r="H2990" s="16" t="inlineStr">
        <is>
          <t>NEGRO/MB-185</t>
        </is>
      </c>
      <c r="I2990" s="16" t="n">
        <v>1</v>
      </c>
      <c r="J2990" s="17" t="n">
        <v>75.5</v>
      </c>
      <c r="K2990" s="17" t="n">
        <v>88.44</v>
      </c>
      <c r="L2990" s="17" t="n">
        <v>25.86</v>
      </c>
      <c r="M2990" s="17" t="n">
        <v>0</v>
      </c>
      <c r="N2990" s="17">
        <f>K2990*0.08+L2990*0.08</f>
        <v/>
      </c>
      <c r="O2990" s="17">
        <f>-(K2990*0.025+L2990*0.025)</f>
        <v/>
      </c>
      <c r="P2990" s="17">
        <f>32</f>
        <v/>
      </c>
      <c r="Q2990" s="17">
        <f>J2990+L2990+N2990+O2990-P2990-M2990</f>
        <v/>
      </c>
    </row>
    <row r="2991">
      <c r="A2991" s="16" t="inlineStr">
        <is>
          <t>5.22-5.28</t>
        </is>
      </c>
      <c r="B2991" s="16" t="inlineStr">
        <is>
          <t>PO-128-00929394852472109</t>
        </is>
      </c>
      <c r="C2991" s="16" t="inlineStr">
        <is>
          <t>Delivered</t>
        </is>
      </c>
      <c r="D2991" s="16" t="inlineStr">
        <is>
          <t>128-00929415823992109</t>
        </is>
      </c>
      <c r="E2991" s="16" t="inlineStr">
        <is>
          <t>Delivered</t>
        </is>
      </c>
      <c r="F2991" s="16" t="inlineStr">
        <is>
          <t>MCM-001A</t>
        </is>
      </c>
      <c r="G2991" s="16" t="inlineStr">
        <is>
          <t>Musicord Altavoz Inalámbrico BT Portátil: ¡Sonido impactante, luces LED multicolores y 4 horas de autonomía! Compatible con TWS, FM, TF y USB – Imprescindible para fiestas y viajes</t>
        </is>
      </c>
      <c r="H2991" s="16" t="inlineStr">
        <is>
          <t>AZUL</t>
        </is>
      </c>
      <c r="I2991" s="16" t="n">
        <v>1</v>
      </c>
      <c r="J2991" s="17" t="n">
        <v>51.07</v>
      </c>
      <c r="K2991" s="17" t="n">
        <v>59.47</v>
      </c>
      <c r="L2991" s="17" t="n">
        <v>25.86</v>
      </c>
      <c r="M2991" s="17" t="n">
        <v>0</v>
      </c>
      <c r="N2991" s="17">
        <f>K2991*0.08+L2991*0.08</f>
        <v/>
      </c>
      <c r="O2991" s="17">
        <f>-(K2991*0.025+L2991*0.025)</f>
        <v/>
      </c>
      <c r="P2991" s="17">
        <f>32</f>
        <v/>
      </c>
      <c r="Q2991" s="17">
        <f>J2991+L2991+N2991+O2991-P2991-M2991</f>
        <v/>
      </c>
    </row>
    <row r="2992">
      <c r="A2992" s="16" t="inlineStr">
        <is>
          <t>5.22-5.28</t>
        </is>
      </c>
      <c r="B2992" s="16" t="inlineStr">
        <is>
          <t>PO-128-01161042581111686</t>
        </is>
      </c>
      <c r="C2992" s="16" t="inlineStr">
        <is>
          <t>Delivered</t>
        </is>
      </c>
      <c r="D2992" s="16" t="inlineStr">
        <is>
          <t>128-01161053066871686</t>
        </is>
      </c>
      <c r="E2992" s="16" t="inlineStr">
        <is>
          <t>Delivered</t>
        </is>
      </c>
      <c r="F2992" s="16" t="inlineStr">
        <is>
          <t>VB347T</t>
        </is>
      </c>
      <c r="G299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2992" s="16" t="inlineStr">
        <is>
          <t>1 pieza</t>
        </is>
      </c>
      <c r="I2992" s="16" t="n">
        <v>1</v>
      </c>
      <c r="J2992" s="17" t="n">
        <v>79.90000000000001</v>
      </c>
      <c r="K2992" s="17" t="n">
        <v>94.5</v>
      </c>
      <c r="L2992" s="17" t="n">
        <v>25.86</v>
      </c>
      <c r="M2992" s="17" t="n">
        <v>0</v>
      </c>
      <c r="N2992" s="17">
        <f>K2992*0.08+L2992*0.08</f>
        <v/>
      </c>
      <c r="O2992" s="17">
        <f>-(K2992*0.025+L2992*0.025)</f>
        <v/>
      </c>
      <c r="P2992" s="17">
        <f>32</f>
        <v/>
      </c>
      <c r="Q2992" s="17">
        <f>J2992+L2992+N2992+O2992-P2992-M2992</f>
        <v/>
      </c>
    </row>
    <row r="2993">
      <c r="A2993" s="16" t="inlineStr">
        <is>
          <t>5.22-5.28</t>
        </is>
      </c>
      <c r="B2993" s="16" t="inlineStr">
        <is>
          <t>PO-128-01353583084150541</t>
        </is>
      </c>
      <c r="C2993" s="16" t="inlineStr">
        <is>
          <t>Delivered</t>
        </is>
      </c>
      <c r="D2993" s="16" t="inlineStr">
        <is>
          <t>128-01353562112630541</t>
        </is>
      </c>
      <c r="E2993" s="16" t="inlineStr">
        <is>
          <t>Delivered</t>
        </is>
      </c>
      <c r="F2993" s="16" t="inlineStr">
        <is>
          <t>LB02235-negro</t>
        </is>
      </c>
      <c r="G2993" s="16" t="inlineStr">
        <is>
          <t>Audífonos Inalámbricos para la Cabeza, Recargables y Multifuncionales - Conectan a Varios Dispositivos, soportan Radio FM, Tarjeta TF y AUX - 4 Horas de Reproducción Musical - Ideal para Trabajo Cotidiano, Juegos y Estudio</t>
        </is>
      </c>
      <c r="H2993" s="16" t="inlineStr">
        <is>
          <t>NEGRO</t>
        </is>
      </c>
      <c r="I2993" s="16" t="n">
        <v>2</v>
      </c>
      <c r="J2993" s="17" t="n">
        <v>73.59999999999999</v>
      </c>
      <c r="K2993" s="17" t="n">
        <v>62.91</v>
      </c>
      <c r="L2993" s="17" t="n">
        <v>12.94</v>
      </c>
      <c r="M2993" s="17" t="n">
        <v>0</v>
      </c>
      <c r="N2993" s="17">
        <f>K2993*0.08+L2993*0.08</f>
        <v/>
      </c>
      <c r="O2993" s="17">
        <f>-(K2993*0.025+L2993*0.025)</f>
        <v/>
      </c>
      <c r="P2993" s="17">
        <f>32</f>
        <v/>
      </c>
      <c r="Q2993" s="17">
        <f>J2993+L2993+N2993+O2993-P2993-M2993</f>
        <v/>
      </c>
    </row>
    <row r="2994">
      <c r="A2994" s="16" t="inlineStr">
        <is>
          <t>5.22-5.28</t>
        </is>
      </c>
      <c r="B2994" s="16" t="inlineStr">
        <is>
          <t>PO-128-01353583084150541</t>
        </is>
      </c>
      <c r="C2994" s="16" t="inlineStr">
        <is>
          <t>Delivered</t>
        </is>
      </c>
      <c r="D2994" s="16" t="inlineStr">
        <is>
          <t>128-01353520169590541</t>
        </is>
      </c>
      <c r="E2994" s="16" t="inlineStr">
        <is>
          <t>Delivered</t>
        </is>
      </c>
      <c r="F2994" s="16" t="inlineStr">
        <is>
          <t>LB02235-rojo</t>
        </is>
      </c>
      <c r="G2994" s="16" t="inlineStr">
        <is>
          <t>Audífonos Inalámbricos para la Cabeza, Recargables y Multifuncionales - Conectan a Varios Dispositivos, soportan Radio FM, Tarjeta TF y AUX - 4 Horas de Reproducción Musical - Ideal para Trabajo Cotidiano, Juegos y Estudio</t>
        </is>
      </c>
      <c r="H2994" s="16" t="inlineStr">
        <is>
          <t>ROJO</t>
        </is>
      </c>
      <c r="I2994" s="16" t="n">
        <v>1</v>
      </c>
      <c r="J2994" s="17" t="n">
        <v>36.8</v>
      </c>
      <c r="K2994" s="17" t="n">
        <v>31.44</v>
      </c>
      <c r="L2994" s="17" t="n">
        <v>6.46</v>
      </c>
      <c r="M2994" s="17" t="n">
        <v>0</v>
      </c>
      <c r="N2994" s="17">
        <f>K2994*0.08+L2994*0.08</f>
        <v/>
      </c>
      <c r="O2994" s="17">
        <f>-(K2994*0.025+L2994*0.025)</f>
        <v/>
      </c>
      <c r="P2994" s="17">
        <f>32</f>
        <v/>
      </c>
      <c r="Q2994" s="17">
        <f>J2994+L2994+N2994+O2994-P2994-M2994</f>
        <v/>
      </c>
    </row>
    <row r="2995">
      <c r="A2995" s="16" t="inlineStr">
        <is>
          <t>5.22-5.28</t>
        </is>
      </c>
      <c r="B2995" s="16" t="inlineStr">
        <is>
          <t>PO-128-01353583084150541</t>
        </is>
      </c>
      <c r="C2995" s="16" t="inlineStr">
        <is>
          <t>Delivered</t>
        </is>
      </c>
      <c r="D2995" s="16" t="inlineStr">
        <is>
          <t>128-01353541141110541</t>
        </is>
      </c>
      <c r="E2995" s="16" t="inlineStr">
        <is>
          <t>Delivered</t>
        </is>
      </c>
      <c r="F2995" s="16" t="inlineStr">
        <is>
          <t>LB02235-azul</t>
        </is>
      </c>
      <c r="G2995" s="16" t="inlineStr">
        <is>
          <t>Audífonos Inalámbricos para la Cabeza, Recargables y Multifuncionales - Conectan a Varios Dispositivos, soportan Radio FM, Tarjeta TF y AUX - 4 Horas de Reproducción Musical - Ideal para Trabajo Cotidiano, Juegos y Estudio</t>
        </is>
      </c>
      <c r="H2995" s="16" t="inlineStr">
        <is>
          <t>AZUL</t>
        </is>
      </c>
      <c r="I2995" s="16" t="n">
        <v>1</v>
      </c>
      <c r="J2995" s="17" t="n">
        <v>36.8</v>
      </c>
      <c r="K2995" s="17" t="n">
        <v>31.45</v>
      </c>
      <c r="L2995" s="17" t="n">
        <v>6.47</v>
      </c>
      <c r="M2995" s="17" t="n">
        <v>0</v>
      </c>
      <c r="N2995" s="17">
        <f>K2995*0.08+L2995*0.08</f>
        <v/>
      </c>
      <c r="O2995" s="17">
        <f>-(K2995*0.025+L2995*0.025)</f>
        <v/>
      </c>
      <c r="P2995" s="17">
        <f>32</f>
        <v/>
      </c>
      <c r="Q2995" s="17">
        <f>J2995+L2995+N2995+O2995-P2995-M2995</f>
        <v/>
      </c>
    </row>
    <row r="2996">
      <c r="A2996" s="16" t="inlineStr">
        <is>
          <t>5.22-5.28</t>
        </is>
      </c>
      <c r="B2996" s="16" t="inlineStr">
        <is>
          <t>PO-128-01098486528631037</t>
        </is>
      </c>
      <c r="C2996" s="16" t="inlineStr">
        <is>
          <t>Delivered</t>
        </is>
      </c>
      <c r="D2996" s="16" t="inlineStr">
        <is>
          <t>128-01098434099831037</t>
        </is>
      </c>
      <c r="E2996" s="16" t="inlineStr">
        <is>
          <t>Delivered</t>
        </is>
      </c>
      <c r="F2996" s="16" t="inlineStr">
        <is>
          <t>LB02235-rojo</t>
        </is>
      </c>
      <c r="G2996" s="16" t="inlineStr">
        <is>
          <t>Audífonos Inalámbricos para la Cabeza, Recargables y Multifuncionales - Conectan a Varios Dispositivos, soportan Radio FM, Tarjeta TF y AUX - 4 Horas de Reproducción Musical - Ideal para Trabajo Cotidiano, Juegos y Estudio</t>
        </is>
      </c>
      <c r="H2996" s="16" t="inlineStr">
        <is>
          <t>ROJO</t>
        </is>
      </c>
      <c r="I2996" s="16" t="n">
        <v>1</v>
      </c>
      <c r="J2996" s="17" t="n">
        <v>36.8</v>
      </c>
      <c r="K2996" s="17" t="n">
        <v>49.91</v>
      </c>
      <c r="L2996" s="17" t="n">
        <v>25.86</v>
      </c>
      <c r="M2996" s="17" t="n">
        <v>0</v>
      </c>
      <c r="N2996" s="17">
        <f>K2996*0.08+L2996*0.08</f>
        <v/>
      </c>
      <c r="O2996" s="17">
        <f>-(K2996*0.025+L2996*0.025)</f>
        <v/>
      </c>
      <c r="P2996" s="17">
        <f>32</f>
        <v/>
      </c>
      <c r="Q2996" s="17">
        <f>J2996+L2996+N2996+O2996-P2996-M2996</f>
        <v/>
      </c>
    </row>
    <row r="2997">
      <c r="A2997" s="16" t="inlineStr">
        <is>
          <t>5.22-5.28</t>
        </is>
      </c>
      <c r="B2997" s="16" t="inlineStr">
        <is>
          <t>PO-128-00697619425913488</t>
        </is>
      </c>
      <c r="C2997" s="16" t="inlineStr">
        <is>
          <t>Delivered</t>
        </is>
      </c>
      <c r="D2997" s="16" t="inlineStr">
        <is>
          <t>128-00697615493753488</t>
        </is>
      </c>
      <c r="E2997" s="16" t="inlineStr">
        <is>
          <t>Delivered</t>
        </is>
      </c>
      <c r="F2997" s="16" t="inlineStr">
        <is>
          <t>MB-185A</t>
        </is>
      </c>
      <c r="G2997" s="16" t="inlineStr">
        <is>
          <t>Bocina Radio FM/Reproductor, Compatible con Tarjeta TF, USB, Bluetooth, Aplicable para celular, computadora, Ipad y consola.</t>
        </is>
      </c>
      <c r="H2997" s="16" t="inlineStr">
        <is>
          <t>AZUL/MB-185</t>
        </is>
      </c>
      <c r="I2997" s="16" t="n">
        <v>1</v>
      </c>
      <c r="J2997" s="17" t="n">
        <v>75.5</v>
      </c>
      <c r="K2997" s="17" t="n">
        <v>88.44</v>
      </c>
      <c r="L2997" s="17" t="n">
        <v>25.86</v>
      </c>
      <c r="M2997" s="17" t="n">
        <v>0</v>
      </c>
      <c r="N2997" s="17">
        <f>K2997*0.08+L2997*0.08</f>
        <v/>
      </c>
      <c r="O2997" s="17">
        <f>-(K2997*0.025+L2997*0.025)</f>
        <v/>
      </c>
      <c r="P2997" s="17">
        <f>32</f>
        <v/>
      </c>
      <c r="Q2997" s="17">
        <f>J2997+L2997+N2997+O2997-P2997-M2997</f>
        <v/>
      </c>
    </row>
    <row r="2998">
      <c r="A2998" s="16" t="inlineStr">
        <is>
          <t>5.22-5.28</t>
        </is>
      </c>
      <c r="B2998" s="16" t="inlineStr">
        <is>
          <t>PO-128-01056607734391287</t>
        </is>
      </c>
      <c r="C2998" s="16" t="inlineStr">
        <is>
          <t>Delivered</t>
        </is>
      </c>
      <c r="D2998" s="16" t="inlineStr">
        <is>
          <t>128-01056618220151287</t>
        </is>
      </c>
      <c r="E2998" s="16" t="inlineStr">
        <is>
          <t>Delivered</t>
        </is>
      </c>
      <c r="F2998" s="16" t="inlineStr">
        <is>
          <t>LB02235-negro</t>
        </is>
      </c>
      <c r="G2998" s="16" t="inlineStr">
        <is>
          <t>Audífonos Inalámbricos para la Cabeza, Recargables y Multifuncionales - Conectan a Varios Dispositivos, soportan Radio FM, Tarjeta TF y AUX - 4 Horas de Reproducción Musical - Ideal para Trabajo Cotidiano, Juegos y Estudio</t>
        </is>
      </c>
      <c r="H2998" s="16" t="inlineStr">
        <is>
          <t>NEGRO</t>
        </is>
      </c>
      <c r="I2998" s="16" t="n">
        <v>1</v>
      </c>
      <c r="J2998" s="17" t="n">
        <v>36.8</v>
      </c>
      <c r="K2998" s="17" t="n">
        <v>49.91</v>
      </c>
      <c r="L2998" s="17" t="n">
        <v>0</v>
      </c>
      <c r="M2998" s="17" t="n">
        <v>49.91</v>
      </c>
      <c r="N2998" s="17">
        <f>K2998*0.08+L2998*0.08</f>
        <v/>
      </c>
      <c r="O2998" s="17">
        <f>-(K2998*0.025+L2998*0.025)</f>
        <v/>
      </c>
      <c r="P2998" s="17">
        <f>32</f>
        <v/>
      </c>
      <c r="Q2998" s="17">
        <f>J2998+L2998+N2998+O2998-P2998-M2998</f>
        <v/>
      </c>
    </row>
    <row r="2999">
      <c r="A2999" s="16" t="inlineStr">
        <is>
          <t>5.22-5.28</t>
        </is>
      </c>
      <c r="B2999" s="16" t="inlineStr">
        <is>
          <t>PO-128-01244138235510361</t>
        </is>
      </c>
      <c r="C2999" s="16" t="inlineStr">
        <is>
          <t>Delivered</t>
        </is>
      </c>
      <c r="D2999" s="16" t="inlineStr">
        <is>
          <t>128-01244159207030361</t>
        </is>
      </c>
      <c r="E2999" s="16" t="inlineStr">
        <is>
          <t>Delivered</t>
        </is>
      </c>
      <c r="F2999" s="16" t="inlineStr">
        <is>
          <t>SA323T</t>
        </is>
      </c>
      <c r="G2999" s="16" t="inlineStr">
        <is>
          <t>Linkbits Bocina Portátil Parlantes BT Portátiles con Iluminación de Ambiente | 1 Hora de Duración, FM, TWS, TF/Micro SD | Ideal para Hogar, Fiestas y Viajes</t>
        </is>
      </c>
      <c r="H2999" s="16" t="inlineStr">
        <is>
          <t>SA323T</t>
        </is>
      </c>
      <c r="I2999" s="16" t="n">
        <v>1</v>
      </c>
      <c r="J2999" s="17" t="n">
        <v>46</v>
      </c>
      <c r="K2999" s="17" t="n">
        <v>55.06</v>
      </c>
      <c r="L2999" s="17" t="n">
        <v>25.86</v>
      </c>
      <c r="M2999" s="17" t="n">
        <v>0</v>
      </c>
      <c r="N2999" s="17">
        <f>K2999*0.08+L2999*0.08</f>
        <v/>
      </c>
      <c r="O2999" s="17">
        <f>-(K2999*0.025+L2999*0.025)</f>
        <v/>
      </c>
      <c r="P2999" s="17">
        <f>32</f>
        <v/>
      </c>
      <c r="Q2999" s="17">
        <f>J2999+L2999+N2999+O2999-P2999-M2999</f>
        <v/>
      </c>
    </row>
    <row r="3000">
      <c r="A3000" s="16" t="inlineStr">
        <is>
          <t>5.22-5.28</t>
        </is>
      </c>
      <c r="B3000" s="16" t="inlineStr">
        <is>
          <t>PO-128-00718875868793362</t>
        </is>
      </c>
      <c r="C3000" s="16" t="inlineStr">
        <is>
          <t>Delivered</t>
        </is>
      </c>
      <c r="D3000" s="16" t="inlineStr">
        <is>
          <t>128-00718833925753362</t>
        </is>
      </c>
      <c r="E3000" s="16" t="inlineStr">
        <is>
          <t>Delivered</t>
        </is>
      </c>
      <c r="F3000" s="16" t="inlineStr">
        <is>
          <t>LV34W04</t>
        </is>
      </c>
      <c r="G3000"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000" s="16" t="inlineStr">
        <is>
          <t>LV34W04</t>
        </is>
      </c>
      <c r="I3000" s="16" t="n">
        <v>1</v>
      </c>
      <c r="J3000" s="17" t="n">
        <v>279</v>
      </c>
      <c r="K3000" s="17" t="n">
        <v>287.15</v>
      </c>
      <c r="L3000" s="17" t="n">
        <v>0</v>
      </c>
      <c r="M3000" s="17" t="n">
        <v>0</v>
      </c>
      <c r="N3000" s="17">
        <f>K3000*0.08+L3000*0.08</f>
        <v/>
      </c>
      <c r="O3000" s="17">
        <f>-(K3000*0.025+L3000*0.025)</f>
        <v/>
      </c>
      <c r="P3000" s="17">
        <f>32</f>
        <v/>
      </c>
      <c r="Q3000" s="17">
        <f>J3000+L3000+N3000+O3000-P3000-M3000</f>
        <v/>
      </c>
    </row>
    <row r="3001">
      <c r="A3001" s="16" t="inlineStr">
        <is>
          <t>5.22-5.28</t>
        </is>
      </c>
      <c r="B3001" s="16" t="inlineStr">
        <is>
          <t>PO-128-01089709906551217</t>
        </is>
      </c>
      <c r="C3001" s="16" t="inlineStr">
        <is>
          <t>Delivered</t>
        </is>
      </c>
      <c r="D3001" s="16" t="inlineStr">
        <is>
          <t>128-01089688935031217</t>
        </is>
      </c>
      <c r="E3001" s="16" t="inlineStr">
        <is>
          <t>Delivered</t>
        </is>
      </c>
      <c r="F3001" s="16" t="inlineStr">
        <is>
          <t>LB02235-blanco</t>
        </is>
      </c>
      <c r="G3001" s="16" t="inlineStr">
        <is>
          <t>Audífonos Inalámbricos para la Cabeza, Recargables y Multifuncionales - Conectan a Varios Dispositivos, soportan Radio FM, Tarjeta TF y AUX - 4 Horas de Reproducción Musical - Ideal para Trabajo Cotidiano, Juegos y Estudio</t>
        </is>
      </c>
      <c r="H3001" s="16" t="inlineStr">
        <is>
          <t>BLANCO</t>
        </is>
      </c>
      <c r="I3001" s="16" t="n">
        <v>1</v>
      </c>
      <c r="J3001" s="17" t="n">
        <v>36.8</v>
      </c>
      <c r="K3001" s="17" t="n">
        <v>49.91</v>
      </c>
      <c r="L3001" s="17" t="n">
        <v>25.86</v>
      </c>
      <c r="M3001" s="17" t="n">
        <v>0</v>
      </c>
      <c r="N3001" s="17">
        <f>K3001*0.08+L3001*0.08</f>
        <v/>
      </c>
      <c r="O3001" s="17">
        <f>-(K3001*0.025+L3001*0.025)</f>
        <v/>
      </c>
      <c r="P3001" s="17">
        <f>32</f>
        <v/>
      </c>
      <c r="Q3001" s="17">
        <f>J3001+L3001+N3001+O3001-P3001-M3001</f>
        <v/>
      </c>
    </row>
    <row r="3002">
      <c r="A3002" s="16" t="inlineStr">
        <is>
          <t>5.22-5.28</t>
        </is>
      </c>
      <c r="B3002" s="16" t="inlineStr">
        <is>
          <t>PO-128-00899594865272412</t>
        </is>
      </c>
      <c r="C3002" s="16" t="inlineStr">
        <is>
          <t>Delivered</t>
        </is>
      </c>
      <c r="D3002" s="16" t="inlineStr">
        <is>
          <t>128-00899677768312412</t>
        </is>
      </c>
      <c r="E3002" s="16" t="inlineStr">
        <is>
          <t>Delivered</t>
        </is>
      </c>
      <c r="F3002" s="16" t="inlineStr">
        <is>
          <t>LB02235-rojo</t>
        </is>
      </c>
      <c r="G3002" s="16" t="inlineStr">
        <is>
          <t>Audífonos Inalámbricos para la Cabeza, Recargables y Multifuncionales - Conectan a Varios Dispositivos, soportan Radio FM, Tarjeta TF y AUX - 4 Horas de Reproducción Musical - Ideal para Trabajo Cotidiano, Juegos y Estudio</t>
        </is>
      </c>
      <c r="H3002" s="16" t="inlineStr">
        <is>
          <t>ROJO</t>
        </is>
      </c>
      <c r="I3002" s="16" t="n">
        <v>1</v>
      </c>
      <c r="J3002" s="17" t="n">
        <v>36.8</v>
      </c>
      <c r="K3002" s="17" t="n">
        <v>49.91</v>
      </c>
      <c r="L3002" s="17" t="n">
        <v>25.86</v>
      </c>
      <c r="M3002" s="17" t="n">
        <v>0</v>
      </c>
      <c r="N3002" s="17">
        <f>K3002*0.08+L3002*0.08</f>
        <v/>
      </c>
      <c r="O3002" s="17">
        <f>-(K3002*0.025+L3002*0.025)</f>
        <v/>
      </c>
      <c r="P3002" s="17">
        <f>32</f>
        <v/>
      </c>
      <c r="Q3002" s="17">
        <f>J3002+L3002+N3002+O3002-P3002-M3002</f>
        <v/>
      </c>
    </row>
    <row r="3003">
      <c r="A3003" s="16" t="inlineStr">
        <is>
          <t>5.22-5.28</t>
        </is>
      </c>
      <c r="B3003" s="16" t="inlineStr">
        <is>
          <t>PO-128-01125759560311960</t>
        </is>
      </c>
      <c r="C3003" s="16" t="inlineStr">
        <is>
          <t>Delivered</t>
        </is>
      </c>
      <c r="D3003" s="16" t="inlineStr">
        <is>
          <t>128-01125827717751960</t>
        </is>
      </c>
      <c r="E3003" s="16" t="inlineStr">
        <is>
          <t>Delivered</t>
        </is>
      </c>
      <c r="F3003" s="16" t="inlineStr">
        <is>
          <t>MCM-001A</t>
        </is>
      </c>
      <c r="G3003" s="16" t="inlineStr">
        <is>
          <t>Musicord Altavoz Inalámbrico BT Portátil: ¡Sonido impactante, luces LED multicolores y 4 horas de autonomía! Compatible con TWS, FM, TF y USB – Imprescindible para fiestas y viajes</t>
        </is>
      </c>
      <c r="H3003" s="16" t="inlineStr">
        <is>
          <t>AZUL</t>
        </is>
      </c>
      <c r="I3003" s="16" t="n">
        <v>1</v>
      </c>
      <c r="J3003" s="17" t="n">
        <v>51.07</v>
      </c>
      <c r="K3003" s="17" t="n">
        <v>59.47</v>
      </c>
      <c r="L3003" s="17" t="n">
        <v>25.86</v>
      </c>
      <c r="M3003" s="17" t="n">
        <v>0</v>
      </c>
      <c r="N3003" s="17">
        <f>K3003*0.08+L3003*0.08</f>
        <v/>
      </c>
      <c r="O3003" s="17">
        <f>-(K3003*0.025+L3003*0.025)</f>
        <v/>
      </c>
      <c r="P3003" s="17">
        <f>32</f>
        <v/>
      </c>
      <c r="Q3003" s="17">
        <f>J3003+L3003+N3003+O3003-P3003-M3003</f>
        <v/>
      </c>
    </row>
    <row r="3004">
      <c r="A3004" s="16" t="inlineStr">
        <is>
          <t>5.22-5.28</t>
        </is>
      </c>
      <c r="B3004" s="16" t="inlineStr">
        <is>
          <t>PO-128-01180928236151760</t>
        </is>
      </c>
      <c r="C3004" s="16" t="inlineStr">
        <is>
          <t>Delivered</t>
        </is>
      </c>
      <c r="D3004" s="16" t="inlineStr">
        <is>
          <t>128-01180886293111760</t>
        </is>
      </c>
      <c r="E3004" s="16" t="inlineStr">
        <is>
          <t>Delivered</t>
        </is>
      </c>
      <c r="F3004" s="16" t="inlineStr">
        <is>
          <t>LB02235-negro</t>
        </is>
      </c>
      <c r="G3004" s="16" t="inlineStr">
        <is>
          <t>Audífonos Inalámbricos para la Cabeza, Recargables y Multifuncionales - Conectan a Varios Dispositivos, soportan Radio FM, Tarjeta TF y AUX - 4 Horas de Reproducción Musical - Ideal para Trabajo Cotidiano, Juegos y Estudio</t>
        </is>
      </c>
      <c r="H3004" s="16" t="inlineStr">
        <is>
          <t>NEGRO</t>
        </is>
      </c>
      <c r="I3004" s="16" t="n">
        <v>1</v>
      </c>
      <c r="J3004" s="17" t="n">
        <v>36.8</v>
      </c>
      <c r="K3004" s="17" t="n">
        <v>49.91</v>
      </c>
      <c r="L3004" s="17" t="n">
        <v>0</v>
      </c>
      <c r="M3004" s="17" t="n">
        <v>49.91</v>
      </c>
      <c r="N3004" s="17">
        <f>K3004*0.08+L3004*0.08</f>
        <v/>
      </c>
      <c r="O3004" s="17">
        <f>-(K3004*0.025+L3004*0.025)</f>
        <v/>
      </c>
      <c r="P3004" s="17">
        <f>32</f>
        <v/>
      </c>
      <c r="Q3004" s="17">
        <f>J3004+L3004+N3004+O3004-P3004-M3004</f>
        <v/>
      </c>
    </row>
    <row r="3005">
      <c r="A3005" s="16" t="inlineStr">
        <is>
          <t>5.22-5.28</t>
        </is>
      </c>
      <c r="B3005" s="16" t="inlineStr">
        <is>
          <t>PO-128-00883972982392314</t>
        </is>
      </c>
      <c r="C3005" s="16" t="inlineStr">
        <is>
          <t>Delivered</t>
        </is>
      </c>
      <c r="D3005" s="16" t="inlineStr">
        <is>
          <t>128-00883952010872314</t>
        </is>
      </c>
      <c r="E3005" s="16" t="inlineStr">
        <is>
          <t>Delivered</t>
        </is>
      </c>
      <c r="F3005" s="16" t="inlineStr">
        <is>
          <t>MB-185N</t>
        </is>
      </c>
      <c r="G3005" s="16" t="inlineStr">
        <is>
          <t>Bocina Radio FM/Reproductor, Compatible con Tarjeta TF, USB, Bluetooth, Aplicable para celular, computadora, Ipad y consola.</t>
        </is>
      </c>
      <c r="H3005" s="16" t="inlineStr">
        <is>
          <t>NEGRO/MB-185</t>
        </is>
      </c>
      <c r="I3005" s="16" t="n">
        <v>1</v>
      </c>
      <c r="J3005" s="17" t="n">
        <v>75.5</v>
      </c>
      <c r="K3005" s="17" t="n">
        <v>88.44</v>
      </c>
      <c r="L3005" s="17" t="n">
        <v>25.86</v>
      </c>
      <c r="M3005" s="17" t="n">
        <v>0</v>
      </c>
      <c r="N3005" s="17">
        <f>K3005*0.08+L3005*0.08</f>
        <v/>
      </c>
      <c r="O3005" s="17">
        <f>-(K3005*0.025+L3005*0.025)</f>
        <v/>
      </c>
      <c r="P3005" s="17">
        <f>32</f>
        <v/>
      </c>
      <c r="Q3005" s="17">
        <f>J3005+L3005+N3005+O3005-P3005-M3005</f>
        <v/>
      </c>
    </row>
    <row r="3006">
      <c r="A3006" s="16" t="inlineStr">
        <is>
          <t>5.22-5.28</t>
        </is>
      </c>
      <c r="B3006" s="16" t="inlineStr">
        <is>
          <t>PO-128-01229839258230316</t>
        </is>
      </c>
      <c r="C3006" s="16" t="inlineStr">
        <is>
          <t>Delivered</t>
        </is>
      </c>
      <c r="D3006" s="16" t="inlineStr">
        <is>
          <t>128-01229844501110316</t>
        </is>
      </c>
      <c r="E3006" s="16" t="inlineStr">
        <is>
          <t>Delivered</t>
        </is>
      </c>
      <c r="F3006" s="16" t="inlineStr">
        <is>
          <t>LB02235-blanco</t>
        </is>
      </c>
      <c r="G3006" s="16" t="inlineStr">
        <is>
          <t>Audífonos Inalámbricos para la Cabeza, Recargables y Multifuncionales - Conectan a Varios Dispositivos, soportan Radio FM, Tarjeta TF y AUX - 4 Horas de Reproducción Musical - Ideal para Trabajo Cotidiano, Juegos y Estudio</t>
        </is>
      </c>
      <c r="H3006" s="16" t="inlineStr">
        <is>
          <t>BLANCO</t>
        </is>
      </c>
      <c r="I3006" s="16" t="n">
        <v>1</v>
      </c>
      <c r="J3006" s="17" t="n">
        <v>36.8</v>
      </c>
      <c r="K3006" s="17" t="n">
        <v>39.93</v>
      </c>
      <c r="L3006" s="17" t="n">
        <v>25.86</v>
      </c>
      <c r="M3006" s="17" t="n">
        <v>0</v>
      </c>
      <c r="N3006" s="17">
        <f>K3006*0.08+L3006*0.08</f>
        <v/>
      </c>
      <c r="O3006" s="17">
        <f>-(K3006*0.025+L3006*0.025)</f>
        <v/>
      </c>
      <c r="P3006" s="17">
        <f>32</f>
        <v/>
      </c>
      <c r="Q3006" s="17">
        <f>J3006+L3006+N3006+O3006-P3006-M3006</f>
        <v/>
      </c>
    </row>
    <row r="3007">
      <c r="A3007" s="16" t="inlineStr">
        <is>
          <t>5.22-5.28</t>
        </is>
      </c>
      <c r="B3007" s="16" t="inlineStr">
        <is>
          <t>PO-128-01143376133751793</t>
        </is>
      </c>
      <c r="C3007" s="16" t="inlineStr">
        <is>
          <t>Delivered</t>
        </is>
      </c>
      <c r="D3007" s="16" t="inlineStr">
        <is>
          <t>128-01143444291191793</t>
        </is>
      </c>
      <c r="E3007" s="16" t="inlineStr">
        <is>
          <t>Delivered</t>
        </is>
      </c>
      <c r="F3007" s="16" t="inlineStr">
        <is>
          <t>MB-178-B</t>
        </is>
      </c>
      <c r="G3007" s="16" t="inlineStr">
        <is>
          <t>Bocina de Barra Bluetooth LINK BITS con dos altavoces, sonido de alta calidad y multifuncional (Bluetooth, Radio FM, USB, TF, AUX, TWS), ideal para juegos, reuniones, oficina y cine en casa.</t>
        </is>
      </c>
      <c r="H3007" s="16" t="inlineStr">
        <is>
          <t>BLANCO</t>
        </is>
      </c>
      <c r="I3007" s="16" t="n">
        <v>1</v>
      </c>
      <c r="J3007" s="17" t="n">
        <v>124</v>
      </c>
      <c r="K3007" s="17" t="n">
        <v>105.19</v>
      </c>
      <c r="L3007" s="17" t="n">
        <v>25.86</v>
      </c>
      <c r="M3007" s="17" t="n">
        <v>0</v>
      </c>
      <c r="N3007" s="17">
        <f>K3007*0.08+L3007*0.08</f>
        <v/>
      </c>
      <c r="O3007" s="17">
        <f>-(K3007*0.025+L3007*0.025)</f>
        <v/>
      </c>
      <c r="P3007" s="17">
        <f>32</f>
        <v/>
      </c>
      <c r="Q3007" s="17">
        <f>J3007+L3007+N3007+O3007-P3007-M3007</f>
        <v/>
      </c>
    </row>
    <row r="3008">
      <c r="A3008" s="16" t="inlineStr">
        <is>
          <t>5.22-5.28</t>
        </is>
      </c>
      <c r="B3008" s="16" t="inlineStr">
        <is>
          <t>PO-128-00741704315513290</t>
        </is>
      </c>
      <c r="C3008" s="16" t="inlineStr">
        <is>
          <t>Delivered</t>
        </is>
      </c>
      <c r="D3008" s="16" t="inlineStr">
        <is>
          <t>128-00741683343993290</t>
        </is>
      </c>
      <c r="E3008" s="16" t="inlineStr">
        <is>
          <t>Delivered</t>
        </is>
      </c>
      <c r="F3008" s="16" t="inlineStr">
        <is>
          <t>LB02235-negro</t>
        </is>
      </c>
      <c r="G3008" s="16" t="inlineStr">
        <is>
          <t>Audífonos Inalámbricos para la Cabeza, Recargables y Multifuncionales - Conectan a Varios Dispositivos, soportan Radio FM, Tarjeta TF y AUX - 4 Horas de Reproducción Musical - Ideal para Trabajo Cotidiano, Juegos y Estudio</t>
        </is>
      </c>
      <c r="H3008" s="16" t="inlineStr">
        <is>
          <t>NEGRO</t>
        </is>
      </c>
      <c r="I3008" s="16" t="n">
        <v>1</v>
      </c>
      <c r="J3008" s="17" t="n">
        <v>36.8</v>
      </c>
      <c r="K3008" s="17" t="n">
        <v>49.91</v>
      </c>
      <c r="L3008" s="17" t="n">
        <v>25.86</v>
      </c>
      <c r="M3008" s="17" t="n">
        <v>0</v>
      </c>
      <c r="N3008" s="17">
        <f>K3008*0.08+L3008*0.08</f>
        <v/>
      </c>
      <c r="O3008" s="17">
        <f>-(K3008*0.025+L3008*0.025)</f>
        <v/>
      </c>
      <c r="P3008" s="17">
        <f>32</f>
        <v/>
      </c>
      <c r="Q3008" s="17">
        <f>J3008+L3008+N3008+O3008-P3008-M3008</f>
        <v/>
      </c>
    </row>
    <row r="3009">
      <c r="A3009" s="16" t="inlineStr">
        <is>
          <t>5.22-5.28</t>
        </is>
      </c>
      <c r="B3009" s="16" t="inlineStr">
        <is>
          <t>PO-128-00959795569273014</t>
        </is>
      </c>
      <c r="C3009" s="16" t="inlineStr">
        <is>
          <t>Delivered</t>
        </is>
      </c>
      <c r="D3009" s="16" t="inlineStr">
        <is>
          <t>128-00959806055033014</t>
        </is>
      </c>
      <c r="E3009" s="16" t="inlineStr">
        <is>
          <t>Delivered</t>
        </is>
      </c>
      <c r="F3009" s="16" t="inlineStr">
        <is>
          <t>VB347T</t>
        </is>
      </c>
      <c r="G300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09" s="16" t="inlineStr">
        <is>
          <t>1 pieza</t>
        </is>
      </c>
      <c r="I3009" s="16" t="n">
        <v>1</v>
      </c>
      <c r="J3009" s="17" t="n">
        <v>79.90000000000001</v>
      </c>
      <c r="K3009" s="17" t="n">
        <v>85.05</v>
      </c>
      <c r="L3009" s="17" t="n">
        <v>25.86</v>
      </c>
      <c r="M3009" s="17" t="n">
        <v>0</v>
      </c>
      <c r="N3009" s="17">
        <f>K3009*0.08+L3009*0.08</f>
        <v/>
      </c>
      <c r="O3009" s="17">
        <f>-(K3009*0.025+L3009*0.025)</f>
        <v/>
      </c>
      <c r="P3009" s="17">
        <f>32</f>
        <v/>
      </c>
      <c r="Q3009" s="17">
        <f>J3009+L3009+N3009+O3009-P3009-M3009</f>
        <v/>
      </c>
    </row>
    <row r="3010">
      <c r="A3010" s="16" t="inlineStr">
        <is>
          <t>5.22-5.28</t>
        </is>
      </c>
      <c r="B3010" s="16" t="inlineStr">
        <is>
          <t>PO-128-01265148667510234</t>
        </is>
      </c>
      <c r="C3010" s="16" t="inlineStr">
        <is>
          <t>Delivered</t>
        </is>
      </c>
      <c r="D3010" s="16" t="inlineStr">
        <is>
          <t>128-01265159153270234</t>
        </is>
      </c>
      <c r="E3010" s="16" t="inlineStr">
        <is>
          <t>Delivered</t>
        </is>
      </c>
      <c r="F3010" s="16" t="inlineStr">
        <is>
          <t>MB-183N</t>
        </is>
      </c>
      <c r="G3010" s="16" t="inlineStr">
        <is>
          <t>Linkbits Altavoz Bluetooth Portátil con Stereo Inalámbrico TWS Impermeable y a Prueba de Polvo IP65 Altavoz de Graves de Rango Completo de 52mm con Doble Unidad Ligero de 215g para Camping Senderismo y Fiestas al Aire Libre</t>
        </is>
      </c>
      <c r="H3010" s="16" t="inlineStr">
        <is>
          <t>NEGRO/MB-183</t>
        </is>
      </c>
      <c r="I3010" s="16" t="n">
        <v>1</v>
      </c>
      <c r="J3010" s="17" t="n">
        <v>90</v>
      </c>
      <c r="K3010" s="17" t="n">
        <v>107.38</v>
      </c>
      <c r="L3010" s="17" t="n">
        <v>25.86</v>
      </c>
      <c r="M3010" s="17" t="n">
        <v>0</v>
      </c>
      <c r="N3010" s="17">
        <f>K3010*0.08+L3010*0.08</f>
        <v/>
      </c>
      <c r="O3010" s="17">
        <f>-(K3010*0.025+L3010*0.025)</f>
        <v/>
      </c>
      <c r="P3010" s="17">
        <f>32</f>
        <v/>
      </c>
      <c r="Q3010" s="17">
        <f>J3010+L3010+N3010+O3010-P3010-M3010</f>
        <v/>
      </c>
    </row>
    <row r="3011">
      <c r="A3011" s="16" t="inlineStr">
        <is>
          <t>5.22-5.28</t>
        </is>
      </c>
      <c r="B3011" s="16" t="inlineStr">
        <is>
          <t>PO-128-01318070159990814</t>
        </is>
      </c>
      <c r="C3011" s="16" t="inlineStr">
        <is>
          <t>Delivered</t>
        </is>
      </c>
      <c r="D3011" s="16" t="inlineStr">
        <is>
          <t>128-01318112103030814</t>
        </is>
      </c>
      <c r="E3011" s="16" t="inlineStr">
        <is>
          <t>Delivered</t>
        </is>
      </c>
      <c r="F3011" s="16" t="inlineStr">
        <is>
          <t>SA323T</t>
        </is>
      </c>
      <c r="G3011" s="16" t="inlineStr">
        <is>
          <t>Linkbits Bocina Portátil Parlantes BT Portátiles con Iluminación de Ambiente | 1 Hora de Duración, FM, TWS, TF/Micro SD | Ideal para Hogar, Fiestas y Viajes</t>
        </is>
      </c>
      <c r="H3011" s="16" t="inlineStr">
        <is>
          <t>SA323T</t>
        </is>
      </c>
      <c r="I3011" s="16" t="n">
        <v>1</v>
      </c>
      <c r="J3011" s="17" t="n">
        <v>46</v>
      </c>
      <c r="K3011" s="17" t="n">
        <v>55.06</v>
      </c>
      <c r="L3011" s="17" t="n">
        <v>25.86</v>
      </c>
      <c r="M3011" s="17" t="n">
        <v>0</v>
      </c>
      <c r="N3011" s="17">
        <f>K3011*0.08+L3011*0.08</f>
        <v/>
      </c>
      <c r="O3011" s="17">
        <f>-(K3011*0.025+L3011*0.025)</f>
        <v/>
      </c>
      <c r="P3011" s="17">
        <f>32</f>
        <v/>
      </c>
      <c r="Q3011" s="17">
        <f>J3011+L3011+N3011+O3011-P3011-M3011</f>
        <v/>
      </c>
    </row>
    <row r="3012">
      <c r="A3012" s="16" t="inlineStr">
        <is>
          <t>5.22-5.28</t>
        </is>
      </c>
      <c r="B3012" s="16" t="inlineStr">
        <is>
          <t>PO-128-01093500887671259</t>
        </is>
      </c>
      <c r="C3012" s="16" t="inlineStr">
        <is>
          <t>Delivered</t>
        </is>
      </c>
      <c r="D3012" s="16" t="inlineStr">
        <is>
          <t>128-01093458944631259</t>
        </is>
      </c>
      <c r="E3012" s="16" t="inlineStr">
        <is>
          <t>Delivered</t>
        </is>
      </c>
      <c r="F3012" s="16" t="inlineStr">
        <is>
          <t>LB02235-azul</t>
        </is>
      </c>
      <c r="G3012" s="16" t="inlineStr">
        <is>
          <t>Audífonos Inalámbricos para la Cabeza, Recargables y Multifuncionales - Conectan a Varios Dispositivos, soportan Radio FM, Tarjeta TF y AUX - 4 Horas de Reproducción Musical - Ideal para Trabajo Cotidiano, Juegos y Estudio</t>
        </is>
      </c>
      <c r="H3012" s="16" t="inlineStr">
        <is>
          <t>AZUL</t>
        </is>
      </c>
      <c r="I3012" s="16" t="n">
        <v>1</v>
      </c>
      <c r="J3012" s="17" t="n">
        <v>36.8</v>
      </c>
      <c r="K3012" s="17" t="n">
        <v>49.91</v>
      </c>
      <c r="L3012" s="17" t="n">
        <v>25.86</v>
      </c>
      <c r="M3012" s="17" t="n">
        <v>0</v>
      </c>
      <c r="N3012" s="17">
        <f>K3012*0.08+L3012*0.08</f>
        <v/>
      </c>
      <c r="O3012" s="17">
        <f>-(K3012*0.025+L3012*0.025)</f>
        <v/>
      </c>
      <c r="P3012" s="17">
        <f>32</f>
        <v/>
      </c>
      <c r="Q3012" s="17">
        <f>J3012+L3012+N3012+O3012-P3012-M3012</f>
        <v/>
      </c>
    </row>
    <row r="3013">
      <c r="A3013" s="16" t="inlineStr">
        <is>
          <t>5.22-5.28</t>
        </is>
      </c>
      <c r="B3013" s="16" t="inlineStr">
        <is>
          <t>PO-128-01262461650550250</t>
        </is>
      </c>
      <c r="C3013" s="16" t="inlineStr">
        <is>
          <t>Delivered</t>
        </is>
      </c>
      <c r="D3013" s="16" t="inlineStr">
        <is>
          <t>128-01262419707510250</t>
        </is>
      </c>
      <c r="E3013" s="16" t="inlineStr">
        <is>
          <t>Delivered</t>
        </is>
      </c>
      <c r="F3013" s="16" t="inlineStr">
        <is>
          <t>LB02235-rojo</t>
        </is>
      </c>
      <c r="G3013" s="16" t="inlineStr">
        <is>
          <t>Audífonos Inalámbricos para la Cabeza, Recargables y Multifuncionales - Conectan a Varios Dispositivos, soportan Radio FM, Tarjeta TF y AUX - 4 Horas de Reproducción Musical - Ideal para Trabajo Cotidiano, Juegos y Estudio</t>
        </is>
      </c>
      <c r="H3013" s="16" t="inlineStr">
        <is>
          <t>ROJO</t>
        </is>
      </c>
      <c r="I3013" s="16" t="n">
        <v>1</v>
      </c>
      <c r="J3013" s="17" t="n">
        <v>36.8</v>
      </c>
      <c r="K3013" s="17" t="n">
        <v>49.91</v>
      </c>
      <c r="L3013" s="17" t="n">
        <v>25.86</v>
      </c>
      <c r="M3013" s="17" t="n">
        <v>0</v>
      </c>
      <c r="N3013" s="17">
        <f>K3013*0.08+L3013*0.08</f>
        <v/>
      </c>
      <c r="O3013" s="17">
        <f>-(K3013*0.025+L3013*0.025)</f>
        <v/>
      </c>
      <c r="P3013" s="17">
        <f>32</f>
        <v/>
      </c>
      <c r="Q3013" s="17">
        <f>J3013+L3013+N3013+O3013-P3013-M3013</f>
        <v/>
      </c>
    </row>
    <row r="3014">
      <c r="A3014" s="16" t="inlineStr">
        <is>
          <t>5.22-5.28</t>
        </is>
      </c>
      <c r="B3014" s="16" t="inlineStr">
        <is>
          <t>PO-128-01041792256631503</t>
        </is>
      </c>
      <c r="C3014" s="16" t="inlineStr">
        <is>
          <t>Delivered</t>
        </is>
      </c>
      <c r="D3014" s="16" t="inlineStr">
        <is>
          <t>128-01041822730871503</t>
        </is>
      </c>
      <c r="E3014" s="16" t="inlineStr">
        <is>
          <t>Delivered</t>
        </is>
      </c>
      <c r="F3014" s="16" t="inlineStr">
        <is>
          <t>S09W18IB</t>
        </is>
      </c>
      <c r="G301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014" s="16" t="inlineStr">
        <is>
          <t>1 pieza</t>
        </is>
      </c>
      <c r="I3014" s="16" t="n">
        <v>1</v>
      </c>
      <c r="J3014" s="17" t="n">
        <v>26</v>
      </c>
      <c r="K3014" s="17" t="n">
        <v>36.64</v>
      </c>
      <c r="L3014" s="17" t="n">
        <v>25.86</v>
      </c>
      <c r="M3014" s="17" t="n">
        <v>0</v>
      </c>
      <c r="N3014" s="17">
        <f>K3014*0.08+L3014*0.08</f>
        <v/>
      </c>
      <c r="O3014" s="17">
        <f>-(K3014*0.025+L3014*0.025)</f>
        <v/>
      </c>
      <c r="P3014" s="17">
        <f>32</f>
        <v/>
      </c>
      <c r="Q3014" s="17">
        <f>J3014+L3014+N3014+O3014-P3014-M3014</f>
        <v/>
      </c>
    </row>
    <row r="3015">
      <c r="A3015" s="16" t="inlineStr">
        <is>
          <t>5.22-5.28</t>
        </is>
      </c>
      <c r="B3015" s="16" t="inlineStr">
        <is>
          <t>PO-128-00765423519353148</t>
        </is>
      </c>
      <c r="C3015" s="16" t="inlineStr">
        <is>
          <t>Delivered</t>
        </is>
      </c>
      <c r="D3015" s="16" t="inlineStr">
        <is>
          <t>128-00765415655033148</t>
        </is>
      </c>
      <c r="E3015" s="16" t="inlineStr">
        <is>
          <t>Delivered</t>
        </is>
      </c>
      <c r="F3015" s="16" t="inlineStr">
        <is>
          <t>FA028</t>
        </is>
      </c>
      <c r="G3015" s="16" t="inlineStr">
        <is>
          <t>Extractor de agua para garrafas de agua, compatible con carga USB, extractor de agua automático, práctico, con dos modos de toma de agua: manual y programado, ideal para dormitorios, salones, oficinas, uso al aire libre y otros escenarios.</t>
        </is>
      </c>
      <c r="H3015" s="16" t="inlineStr">
        <is>
          <t>FA028</t>
        </is>
      </c>
      <c r="I3015" s="16" t="n">
        <v>1</v>
      </c>
      <c r="J3015" s="17" t="n">
        <v>28</v>
      </c>
      <c r="K3015" s="17" t="n">
        <v>37.58</v>
      </c>
      <c r="L3015" s="17" t="n">
        <v>25.86</v>
      </c>
      <c r="M3015" s="17" t="n">
        <v>0</v>
      </c>
      <c r="N3015" s="17">
        <f>K3015*0.08+L3015*0.08</f>
        <v/>
      </c>
      <c r="O3015" s="17">
        <f>-(K3015*0.025+L3015*0.025)</f>
        <v/>
      </c>
      <c r="P3015" s="17">
        <f>32</f>
        <v/>
      </c>
      <c r="Q3015" s="17">
        <f>J3015+L3015+N3015+O3015-P3015-M3015</f>
        <v/>
      </c>
    </row>
    <row r="3016">
      <c r="A3016" s="16" t="inlineStr">
        <is>
          <t>5.22-5.28</t>
        </is>
      </c>
      <c r="B3016" s="16" t="inlineStr">
        <is>
          <t>PO-128-00835111783033823</t>
        </is>
      </c>
      <c r="C3016" s="16" t="inlineStr">
        <is>
          <t>Delivered</t>
        </is>
      </c>
      <c r="D3016" s="16" t="inlineStr">
        <is>
          <t>128-00835132754553823</t>
        </is>
      </c>
      <c r="E3016" s="16" t="inlineStr">
        <is>
          <t>Delivered</t>
        </is>
      </c>
      <c r="F3016" s="16" t="inlineStr">
        <is>
          <t>MCM-001G</t>
        </is>
      </c>
      <c r="G3016" s="16" t="inlineStr">
        <is>
          <t>Musicord Altavoz Inalámbrico BT Portátil: ¡Sonido impactante, luces LED multicolores y 4 horas de autonomía! Compatible con TWS, FM, TF y USB – Imprescindible para fiestas y viajes</t>
        </is>
      </c>
      <c r="H3016" s="16" t="inlineStr">
        <is>
          <t>GRIS</t>
        </is>
      </c>
      <c r="I3016" s="16" t="n">
        <v>1</v>
      </c>
      <c r="J3016" s="17" t="n">
        <v>51.07</v>
      </c>
      <c r="K3016" s="17" t="n">
        <v>58.86</v>
      </c>
      <c r="L3016" s="17" t="n">
        <v>25.86</v>
      </c>
      <c r="M3016" s="17" t="n">
        <v>0</v>
      </c>
      <c r="N3016" s="17">
        <f>K3016*0.08+L3016*0.08</f>
        <v/>
      </c>
      <c r="O3016" s="17">
        <f>-(K3016*0.025+L3016*0.025)</f>
        <v/>
      </c>
      <c r="P3016" s="17">
        <f>32</f>
        <v/>
      </c>
      <c r="Q3016" s="17">
        <f>J3016+L3016+N3016+O3016-P3016-M3016</f>
        <v/>
      </c>
    </row>
    <row r="3017">
      <c r="A3017" s="16" t="inlineStr">
        <is>
          <t>5.22-5.28</t>
        </is>
      </c>
      <c r="B3017" s="16" t="inlineStr">
        <is>
          <t>PO-128-01088187520631224</t>
        </is>
      </c>
      <c r="C3017" s="16" t="inlineStr">
        <is>
          <t>Delivered</t>
        </is>
      </c>
      <c r="D3017" s="16" t="inlineStr">
        <is>
          <t>128-01088239949431224</t>
        </is>
      </c>
      <c r="E3017" s="16" t="inlineStr">
        <is>
          <t>Delivered</t>
        </is>
      </c>
      <c r="F3017" s="16" t="inlineStr">
        <is>
          <t>MCM-001G</t>
        </is>
      </c>
      <c r="G3017" s="16" t="inlineStr">
        <is>
          <t>Musicord Altavoz Inalámbrico BT Portátil: ¡Sonido impactante, luces LED multicolores y 4 horas de autonomía! Compatible con TWS, FM, TF y USB – Imprescindible para fiestas y viajes</t>
        </is>
      </c>
      <c r="H3017" s="16" t="inlineStr">
        <is>
          <t>GRIS</t>
        </is>
      </c>
      <c r="I3017" s="16" t="n">
        <v>1</v>
      </c>
      <c r="J3017" s="17" t="n">
        <v>51.07</v>
      </c>
      <c r="K3017" s="17" t="n">
        <v>58.86</v>
      </c>
      <c r="L3017" s="17" t="n">
        <v>25.86</v>
      </c>
      <c r="M3017" s="17" t="n">
        <v>0</v>
      </c>
      <c r="N3017" s="17">
        <f>K3017*0.08+L3017*0.08</f>
        <v/>
      </c>
      <c r="O3017" s="17">
        <f>-(K3017*0.025+L3017*0.025)</f>
        <v/>
      </c>
      <c r="P3017" s="17">
        <f>32</f>
        <v/>
      </c>
      <c r="Q3017" s="17">
        <f>J3017+L3017+N3017+O3017-P3017-M3017</f>
        <v/>
      </c>
    </row>
    <row r="3018">
      <c r="A3018" s="16" t="inlineStr">
        <is>
          <t>5.22-5.28</t>
        </is>
      </c>
      <c r="B3018" s="16" t="inlineStr">
        <is>
          <t>PO-128-00926096917112065</t>
        </is>
      </c>
      <c r="C3018" s="16" t="inlineStr">
        <is>
          <t>Delivered</t>
        </is>
      </c>
      <c r="D3018" s="16" t="inlineStr">
        <is>
          <t>128-00926075945592065</t>
        </is>
      </c>
      <c r="E3018" s="16" t="inlineStr">
        <is>
          <t>Delivered</t>
        </is>
      </c>
      <c r="F3018" s="16" t="inlineStr">
        <is>
          <t>S09W18IB</t>
        </is>
      </c>
      <c r="G301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018" s="16" t="inlineStr">
        <is>
          <t>1 pieza</t>
        </is>
      </c>
      <c r="I3018" s="16" t="n">
        <v>1</v>
      </c>
      <c r="J3018" s="17" t="n">
        <v>26</v>
      </c>
      <c r="K3018" s="17" t="n">
        <v>36.64</v>
      </c>
      <c r="L3018" s="17" t="n">
        <v>25.86</v>
      </c>
      <c r="M3018" s="17" t="n">
        <v>0</v>
      </c>
      <c r="N3018" s="17">
        <f>K3018*0.08+L3018*0.08</f>
        <v/>
      </c>
      <c r="O3018" s="17">
        <f>-(K3018*0.025+L3018*0.025)</f>
        <v/>
      </c>
      <c r="P3018" s="17">
        <f>32</f>
        <v/>
      </c>
      <c r="Q3018" s="17">
        <f>J3018+L3018+N3018+O3018-P3018-M3018</f>
        <v/>
      </c>
    </row>
    <row r="3019">
      <c r="A3019" s="16" t="inlineStr">
        <is>
          <t>5.22-5.28</t>
        </is>
      </c>
      <c r="B3019" s="16" t="inlineStr">
        <is>
          <t>PO-128-01177903985271778</t>
        </is>
      </c>
      <c r="C3019" s="16" t="inlineStr">
        <is>
          <t>Delivered</t>
        </is>
      </c>
      <c r="D3019" s="16" t="inlineStr">
        <is>
          <t>128-01177862042231778</t>
        </is>
      </c>
      <c r="E3019" s="16" t="inlineStr">
        <is>
          <t>Delivered</t>
        </is>
      </c>
      <c r="F3019" s="16" t="inlineStr">
        <is>
          <t>LB02235-azul</t>
        </is>
      </c>
      <c r="G3019" s="16" t="inlineStr">
        <is>
          <t>Audífonos Inalámbricos para la Cabeza, Recargables y Multifuncionales - Conectan a Varios Dispositivos, soportan Radio FM, Tarjeta TF y AUX - 4 Horas de Reproducción Musical - Ideal para Trabajo Cotidiano, Juegos y Estudio</t>
        </is>
      </c>
      <c r="H3019" s="16" t="inlineStr">
        <is>
          <t>AZUL</t>
        </is>
      </c>
      <c r="I3019" s="16" t="n">
        <v>1</v>
      </c>
      <c r="J3019" s="17" t="n">
        <v>36.8</v>
      </c>
      <c r="K3019" s="17" t="n">
        <v>49.91</v>
      </c>
      <c r="L3019" s="17" t="n">
        <v>25.86</v>
      </c>
      <c r="M3019" s="17" t="n">
        <v>0</v>
      </c>
      <c r="N3019" s="17">
        <f>K3019*0.08+L3019*0.08</f>
        <v/>
      </c>
      <c r="O3019" s="17">
        <f>-(K3019*0.025+L3019*0.025)</f>
        <v/>
      </c>
      <c r="P3019" s="17">
        <f>32</f>
        <v/>
      </c>
      <c r="Q3019" s="17">
        <f>J3019+L3019+N3019+O3019-P3019-M3019</f>
        <v/>
      </c>
    </row>
    <row r="3020">
      <c r="A3020" s="16" t="inlineStr">
        <is>
          <t>5.22-5.28</t>
        </is>
      </c>
      <c r="B3020" s="16" t="inlineStr">
        <is>
          <t>PO-128-01219809434230504</t>
        </is>
      </c>
      <c r="C3020" s="16" t="inlineStr">
        <is>
          <t>Delivered</t>
        </is>
      </c>
      <c r="D3020" s="16" t="inlineStr">
        <is>
          <t>128-01219830405750504</t>
        </is>
      </c>
      <c r="E3020" s="16" t="inlineStr">
        <is>
          <t>Delivered</t>
        </is>
      </c>
      <c r="F3020" s="16" t="inlineStr">
        <is>
          <t>LB02235-rojo</t>
        </is>
      </c>
      <c r="G3020" s="16" t="inlineStr">
        <is>
          <t>Audífonos Inalámbricos para la Cabeza, Recargables y Multifuncionales - Conectan a Varios Dispositivos, soportan Radio FM, Tarjeta TF y AUX - 4 Horas de Reproducción Musical - Ideal para Trabajo Cotidiano, Juegos y Estudio</t>
        </is>
      </c>
      <c r="H3020" s="16" t="inlineStr">
        <is>
          <t>ROJO</t>
        </is>
      </c>
      <c r="I3020" s="16" t="n">
        <v>1</v>
      </c>
      <c r="J3020" s="17" t="n">
        <v>36.8</v>
      </c>
      <c r="K3020" s="17" t="n">
        <v>49.91</v>
      </c>
      <c r="L3020" s="17" t="n">
        <v>25.86</v>
      </c>
      <c r="M3020" s="17" t="n">
        <v>0</v>
      </c>
      <c r="N3020" s="17">
        <f>K3020*0.08+L3020*0.08</f>
        <v/>
      </c>
      <c r="O3020" s="17">
        <f>-(K3020*0.025+L3020*0.025)</f>
        <v/>
      </c>
      <c r="P3020" s="17">
        <f>32</f>
        <v/>
      </c>
      <c r="Q3020" s="17">
        <f>J3020+L3020+N3020+O3020-P3020-M3020</f>
        <v/>
      </c>
    </row>
    <row r="3021">
      <c r="A3021" s="16" t="inlineStr">
        <is>
          <t>5.22-5.28</t>
        </is>
      </c>
      <c r="B3021" s="16" t="inlineStr">
        <is>
          <t>PO-128-00918780263032298</t>
        </is>
      </c>
      <c r="C3021" s="16" t="inlineStr">
        <is>
          <t>Delivered</t>
        </is>
      </c>
      <c r="D3021" s="16" t="inlineStr">
        <is>
          <t>128-00918754048632298</t>
        </is>
      </c>
      <c r="E3021" s="16" t="inlineStr">
        <is>
          <t>Delivered</t>
        </is>
      </c>
      <c r="F3021" s="16" t="inlineStr">
        <is>
          <t>KTS-1943-N</t>
        </is>
      </c>
      <c r="G3021" s="16" t="inlineStr">
        <is>
          <t>Altavoz Mini Karaoke Portátil BT con Micrófono Inalámbrico, Función TWS, Radio FM, USB/TF, Batería de Larga Duración, Perfecto para Casa, Exterior y Regalos Especiales</t>
        </is>
      </c>
      <c r="H3021" s="16" t="inlineStr">
        <is>
          <t>NEGRO</t>
        </is>
      </c>
      <c r="I3021" s="16" t="n">
        <v>1</v>
      </c>
      <c r="J3021" s="17" t="n">
        <v>67.5</v>
      </c>
      <c r="K3021" s="17" t="n">
        <v>83.09999999999999</v>
      </c>
      <c r="L3021" s="17" t="n">
        <v>25.86</v>
      </c>
      <c r="M3021" s="17" t="n">
        <v>0</v>
      </c>
      <c r="N3021" s="17">
        <f>K3021*0.08+L3021*0.08</f>
        <v/>
      </c>
      <c r="O3021" s="17">
        <f>-(K3021*0.025+L3021*0.025)</f>
        <v/>
      </c>
      <c r="P3021" s="17">
        <f>32</f>
        <v/>
      </c>
      <c r="Q3021" s="17">
        <f>J3021+L3021+N3021+O3021-P3021-M3021</f>
        <v/>
      </c>
    </row>
    <row r="3022">
      <c r="A3022" s="16" t="inlineStr">
        <is>
          <t>5.22-5.28</t>
        </is>
      </c>
      <c r="B3022" s="16" t="inlineStr">
        <is>
          <t>PO-128-00720256205433419</t>
        </is>
      </c>
      <c r="C3022" s="16" t="inlineStr">
        <is>
          <t>Delivered</t>
        </is>
      </c>
      <c r="D3022" s="16" t="inlineStr">
        <is>
          <t>128-00720303391353419</t>
        </is>
      </c>
      <c r="E3022" s="16" t="inlineStr">
        <is>
          <t>Delivered</t>
        </is>
      </c>
      <c r="F3022" s="16" t="inlineStr">
        <is>
          <t>MCM-001A</t>
        </is>
      </c>
      <c r="G3022" s="16" t="inlineStr">
        <is>
          <t>Musicord Altavoz Inalámbrico BT Portátil: ¡Sonido impactante, luces LED multicolores y 4 horas de autonomía! Compatible con TWS, FM, TF y USB – Imprescindible para fiestas y viajes</t>
        </is>
      </c>
      <c r="H3022" s="16" t="inlineStr">
        <is>
          <t>AZUL</t>
        </is>
      </c>
      <c r="I3022" s="16" t="n">
        <v>1</v>
      </c>
      <c r="J3022" s="17" t="n">
        <v>51.07</v>
      </c>
      <c r="K3022" s="17" t="n">
        <v>59.47</v>
      </c>
      <c r="L3022" s="17" t="n">
        <v>25.86</v>
      </c>
      <c r="M3022" s="17" t="n">
        <v>0</v>
      </c>
      <c r="N3022" s="17">
        <f>K3022*0.08+L3022*0.08</f>
        <v/>
      </c>
      <c r="O3022" s="17">
        <f>-(K3022*0.025+L3022*0.025)</f>
        <v/>
      </c>
      <c r="P3022" s="17">
        <f>32</f>
        <v/>
      </c>
      <c r="Q3022" s="17">
        <f>J3022+L3022+N3022+O3022-P3022-M3022</f>
        <v/>
      </c>
    </row>
    <row r="3023">
      <c r="A3023" s="16" t="inlineStr">
        <is>
          <t>5.22-5.28</t>
        </is>
      </c>
      <c r="B3023" s="16" t="inlineStr">
        <is>
          <t>PO-128-20248514714232796</t>
        </is>
      </c>
      <c r="C3023" s="16" t="inlineStr">
        <is>
          <t>Delivered</t>
        </is>
      </c>
      <c r="D3023" s="16" t="inlineStr">
        <is>
          <t>128-20248540928632796</t>
        </is>
      </c>
      <c r="E3023" s="16" t="inlineStr">
        <is>
          <t>Delivered</t>
        </is>
      </c>
      <c r="F3023" s="16" t="inlineStr">
        <is>
          <t>MCM-001R</t>
        </is>
      </c>
      <c r="G3023" s="16" t="inlineStr">
        <is>
          <t>Musicord Altavoz Inalámbrico BT Portátil: ¡Sonido impactante, luces LED multicolores y 4 horas de autonomía! Compatible con TWS, FM, TF y USB – Imprescindible para fiestas y viajes</t>
        </is>
      </c>
      <c r="H3023" s="16" t="inlineStr">
        <is>
          <t>ROJO</t>
        </is>
      </c>
      <c r="I3023" s="16" t="n">
        <v>1</v>
      </c>
      <c r="J3023" s="17" t="n">
        <v>66.5</v>
      </c>
      <c r="K3023" s="17" t="n">
        <v>74.29000000000001</v>
      </c>
      <c r="L3023" s="17" t="n">
        <v>25.86</v>
      </c>
      <c r="M3023" s="17" t="n">
        <v>0</v>
      </c>
      <c r="N3023" s="17">
        <f>K3023*0.08+L3023*0.08</f>
        <v/>
      </c>
      <c r="O3023" s="17">
        <f>-(K3023*0.025+L3023*0.025)</f>
        <v/>
      </c>
      <c r="P3023" s="17">
        <f>32</f>
        <v/>
      </c>
      <c r="Q3023" s="17">
        <f>J3023+L3023+N3023+O3023-P3023-M3023</f>
        <v/>
      </c>
    </row>
    <row r="3024">
      <c r="A3024" s="16" t="inlineStr">
        <is>
          <t>5.22-5.28</t>
        </is>
      </c>
      <c r="B3024" s="16" t="inlineStr">
        <is>
          <t>PO-128-20322650645111202</t>
        </is>
      </c>
      <c r="C3024" s="16" t="inlineStr">
        <is>
          <t>Delivered</t>
        </is>
      </c>
      <c r="D3024" s="16" t="inlineStr">
        <is>
          <t>128-20322608702071202</t>
        </is>
      </c>
      <c r="E3024" s="16" t="inlineStr">
        <is>
          <t>Delivered</t>
        </is>
      </c>
      <c r="F3024" s="16" t="inlineStr">
        <is>
          <t>LB02235-rojo</t>
        </is>
      </c>
      <c r="G3024" s="16" t="inlineStr">
        <is>
          <t>Audífonos Inalámbricos para la Cabeza, Recargables y Multifuncionales - Conectan a Varios Dispositivos, soportan Radio FM, Tarjeta TF y AUX - 4 Horas de Reproducción Musical - Ideal para Trabajo Cotidiano, Juegos y Estudio</t>
        </is>
      </c>
      <c r="H3024" s="16" t="inlineStr">
        <is>
          <t>ROJO</t>
        </is>
      </c>
      <c r="I3024" s="16" t="n">
        <v>1</v>
      </c>
      <c r="J3024" s="17" t="n">
        <v>36.8</v>
      </c>
      <c r="K3024" s="17" t="n">
        <v>49.91</v>
      </c>
      <c r="L3024" s="17" t="n">
        <v>25.86</v>
      </c>
      <c r="M3024" s="17" t="n">
        <v>0</v>
      </c>
      <c r="N3024" s="17">
        <f>K3024*0.08+L3024*0.08</f>
        <v/>
      </c>
      <c r="O3024" s="17">
        <f>-(K3024*0.025+L3024*0.025)</f>
        <v/>
      </c>
      <c r="P3024" s="17">
        <f>32</f>
        <v/>
      </c>
      <c r="Q3024" s="17">
        <f>J3024+L3024+N3024+O3024-P3024-M3024</f>
        <v/>
      </c>
    </row>
    <row r="3025">
      <c r="A3025" s="16" t="inlineStr">
        <is>
          <t>5.22-5.28</t>
        </is>
      </c>
      <c r="B3025" s="16" t="inlineStr">
        <is>
          <t>PO-128-20472936387190306</t>
        </is>
      </c>
      <c r="C3025" s="16" t="inlineStr">
        <is>
          <t>Delivered</t>
        </is>
      </c>
      <c r="D3025" s="16" t="inlineStr">
        <is>
          <t>128-20473041244790306</t>
        </is>
      </c>
      <c r="E3025" s="16" t="inlineStr">
        <is>
          <t>Delivered</t>
        </is>
      </c>
      <c r="F3025" s="16" t="inlineStr">
        <is>
          <t>FA028</t>
        </is>
      </c>
      <c r="G3025" s="16" t="inlineStr">
        <is>
          <t>Extractor de agua para garrafas de agua, compatible con carga USB, extractor de agua automático, práctico, con dos modos de toma de agua: manual y programado, ideal para dormitorios, salones, oficinas, uso al aire libre y otros escenarios.</t>
        </is>
      </c>
      <c r="H3025" s="16" t="inlineStr">
        <is>
          <t>FA028</t>
        </is>
      </c>
      <c r="I3025" s="16" t="n">
        <v>10</v>
      </c>
      <c r="J3025" s="17" t="n">
        <v>280</v>
      </c>
      <c r="K3025" s="17" t="n">
        <v>362.65</v>
      </c>
      <c r="L3025" s="17" t="n">
        <v>0</v>
      </c>
      <c r="M3025" s="17" t="n">
        <v>0</v>
      </c>
      <c r="N3025" s="17">
        <f>K3025*0.08+L3025*0.08</f>
        <v/>
      </c>
      <c r="O3025" s="17">
        <f>-(K3025*0.025+L3025*0.025)</f>
        <v/>
      </c>
      <c r="P3025" s="17">
        <f>32</f>
        <v/>
      </c>
      <c r="Q3025" s="17">
        <f>J3025+L3025+N3025+O3025-P3025-M3025</f>
        <v/>
      </c>
    </row>
    <row r="3026">
      <c r="A3026" s="16" t="inlineStr">
        <is>
          <t>5.22-5.28</t>
        </is>
      </c>
      <c r="B3026" s="16" t="inlineStr">
        <is>
          <t>PO-128-19978361764473254</t>
        </is>
      </c>
      <c r="C3026" s="16" t="inlineStr">
        <is>
          <t>Delivered</t>
        </is>
      </c>
      <c r="D3026" s="16" t="inlineStr">
        <is>
          <t>128-19978350295673254</t>
        </is>
      </c>
      <c r="E3026" s="16" t="inlineStr">
        <is>
          <t>Delivered</t>
        </is>
      </c>
      <c r="F3026" s="16" t="inlineStr">
        <is>
          <t>LB02235-negro</t>
        </is>
      </c>
      <c r="G3026" s="16" t="inlineStr">
        <is>
          <t>Audífonos Inalámbricos para la Cabeza, Recargables y Multifuncionales - Conectan a Varios Dispositivos, soportan Radio FM, Tarjeta TF y AUX - 4 Horas de Reproducción Musical - Ideal para Trabajo Cotidiano, Juegos y Estudio</t>
        </is>
      </c>
      <c r="H3026" s="16" t="inlineStr">
        <is>
          <t>NEGRO</t>
        </is>
      </c>
      <c r="I3026" s="16" t="n">
        <v>1</v>
      </c>
      <c r="J3026" s="17" t="n">
        <v>36.8</v>
      </c>
      <c r="K3026" s="17" t="n">
        <v>49.91</v>
      </c>
      <c r="L3026" s="17" t="n">
        <v>25.86</v>
      </c>
      <c r="M3026" s="17" t="n">
        <v>0</v>
      </c>
      <c r="N3026" s="17">
        <f>K3026*0.08+L3026*0.08</f>
        <v/>
      </c>
      <c r="O3026" s="17">
        <f>-(K3026*0.025+L3026*0.025)</f>
        <v/>
      </c>
      <c r="P3026" s="17">
        <f>32</f>
        <v/>
      </c>
      <c r="Q3026" s="17">
        <f>J3026+L3026+N3026+O3026-P3026-M3026</f>
        <v/>
      </c>
    </row>
    <row r="3027">
      <c r="A3027" s="16" t="inlineStr">
        <is>
          <t>5.22-5.28</t>
        </is>
      </c>
      <c r="B3027" s="16" t="inlineStr">
        <is>
          <t>PO-128-20325501947511187</t>
        </is>
      </c>
      <c r="C3027" s="16" t="inlineStr">
        <is>
          <t>Delivered</t>
        </is>
      </c>
      <c r="D3027" s="16" t="inlineStr">
        <is>
          <t>128-20325543890551187</t>
        </is>
      </c>
      <c r="E3027" s="16" t="inlineStr">
        <is>
          <t>Delivered</t>
        </is>
      </c>
      <c r="F3027" s="16" t="inlineStr">
        <is>
          <t>MB-178-N</t>
        </is>
      </c>
      <c r="G3027" s="16" t="inlineStr">
        <is>
          <t>Bocina de Barra Bluetooth LINK BITS con dos altavoces, sonido de alta calidad y multifuncional (Bluetooth, Radio FM, USB, TF, AUX, TWS), ideal para juegos, reuniones, oficina y cine en casa.</t>
        </is>
      </c>
      <c r="H3027" s="16" t="inlineStr">
        <is>
          <t>NEGRO</t>
        </is>
      </c>
      <c r="I3027" s="16" t="n">
        <v>2</v>
      </c>
      <c r="J3027" s="17" t="n">
        <v>250</v>
      </c>
      <c r="K3027" s="17" t="n">
        <v>288.68</v>
      </c>
      <c r="L3027" s="17" t="n">
        <v>0</v>
      </c>
      <c r="M3027" s="17" t="n">
        <v>0</v>
      </c>
      <c r="N3027" s="17">
        <f>K3027*0.08+L3027*0.08</f>
        <v/>
      </c>
      <c r="O3027" s="17">
        <f>-(K3027*0.025+L3027*0.025)</f>
        <v/>
      </c>
      <c r="P3027" s="17">
        <f>32</f>
        <v/>
      </c>
      <c r="Q3027" s="17">
        <f>J3027+L3027+N3027+O3027-P3027-M3027</f>
        <v/>
      </c>
    </row>
    <row r="3028">
      <c r="A3028" s="16" t="inlineStr">
        <is>
          <t>5.22-5.28</t>
        </is>
      </c>
      <c r="B3028" s="16" t="inlineStr">
        <is>
          <t>PO-128-19946834432633570</t>
        </is>
      </c>
      <c r="C3028" s="16" t="inlineStr">
        <is>
          <t>Delivered</t>
        </is>
      </c>
      <c r="D3028" s="16" t="inlineStr">
        <is>
          <t>128-19946855404153570</t>
        </is>
      </c>
      <c r="E3028" s="16" t="inlineStr">
        <is>
          <t>Delivered</t>
        </is>
      </c>
      <c r="F3028" s="16" t="inlineStr">
        <is>
          <t>LB02235-blanco</t>
        </is>
      </c>
      <c r="G3028" s="16" t="inlineStr">
        <is>
          <t>Audífonos Inalámbricos para la Cabeza, Recargables y Multifuncionales - Conectan a Varios Dispositivos, soportan Radio FM, Tarjeta TF y AUX - 4 Horas de Reproducción Musical - Ideal para Trabajo Cotidiano, Juegos y Estudio</t>
        </is>
      </c>
      <c r="H3028" s="16" t="inlineStr">
        <is>
          <t>BLANCO</t>
        </is>
      </c>
      <c r="I3028" s="16" t="n">
        <v>1</v>
      </c>
      <c r="J3028" s="17" t="n">
        <v>36.8</v>
      </c>
      <c r="K3028" s="17" t="n">
        <v>49.91</v>
      </c>
      <c r="L3028" s="17" t="n">
        <v>25.86</v>
      </c>
      <c r="M3028" s="17" t="n">
        <v>0</v>
      </c>
      <c r="N3028" s="17">
        <f>K3028*0.08+L3028*0.08</f>
        <v/>
      </c>
      <c r="O3028" s="17">
        <f>-(K3028*0.025+L3028*0.025)</f>
        <v/>
      </c>
      <c r="P3028" s="17">
        <f>32</f>
        <v/>
      </c>
      <c r="Q3028" s="17">
        <f>J3028+L3028+N3028+O3028-P3028-M3028</f>
        <v/>
      </c>
    </row>
    <row r="3029">
      <c r="A3029" s="16" t="inlineStr">
        <is>
          <t>5.22-5.28</t>
        </is>
      </c>
      <c r="B3029" s="16" t="inlineStr">
        <is>
          <t>PO-128-20561958200950800</t>
        </is>
      </c>
      <c r="C3029" s="16" t="inlineStr">
        <is>
          <t>Delivered</t>
        </is>
      </c>
      <c r="D3029" s="16" t="inlineStr">
        <is>
          <t>128-20561916257910800</t>
        </is>
      </c>
      <c r="E3029" s="16" t="inlineStr">
        <is>
          <t>Delivered</t>
        </is>
      </c>
      <c r="F3029" s="16" t="inlineStr">
        <is>
          <t>LB02235-negro</t>
        </is>
      </c>
      <c r="G3029" s="16" t="inlineStr">
        <is>
          <t>Audífonos Inalámbricos para la Cabeza, Recargables y Multifuncionales - Conectan a Varios Dispositivos, soportan Radio FM, Tarjeta TF y AUX - 4 Horas de Reproducción Musical - Ideal para Trabajo Cotidiano, Juegos y Estudio</t>
        </is>
      </c>
      <c r="H3029" s="16" t="inlineStr">
        <is>
          <t>NEGRO</t>
        </is>
      </c>
      <c r="I3029" s="16" t="n">
        <v>1</v>
      </c>
      <c r="J3029" s="17" t="n">
        <v>36.8</v>
      </c>
      <c r="K3029" s="17" t="n">
        <v>6.81</v>
      </c>
      <c r="L3029" s="17" t="n">
        <v>25.86</v>
      </c>
      <c r="M3029" s="17" t="n">
        <v>0</v>
      </c>
      <c r="N3029" s="17">
        <f>K3029*0.08+L3029*0.08</f>
        <v/>
      </c>
      <c r="O3029" s="17">
        <f>-(K3029*0.025+L3029*0.025)</f>
        <v/>
      </c>
      <c r="P3029" s="17">
        <f>32</f>
        <v/>
      </c>
      <c r="Q3029" s="17">
        <f>J3029+L3029+N3029+O3029-P3029-M3029</f>
        <v/>
      </c>
    </row>
    <row r="3030">
      <c r="A3030" s="16" t="inlineStr">
        <is>
          <t>5.22-5.28</t>
        </is>
      </c>
      <c r="B3030" s="16" t="inlineStr">
        <is>
          <t>PO-128-20107531387512484</t>
        </is>
      </c>
      <c r="C3030" s="16" t="inlineStr">
        <is>
          <t>Delivered</t>
        </is>
      </c>
      <c r="D3030" s="16" t="inlineStr">
        <is>
          <t>128-20107636245112484</t>
        </is>
      </c>
      <c r="E3030" s="16" t="inlineStr">
        <is>
          <t>Delivered</t>
        </is>
      </c>
      <c r="F3030" s="16" t="inlineStr">
        <is>
          <t>S09W18IB</t>
        </is>
      </c>
      <c r="G303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030" s="16" t="inlineStr">
        <is>
          <t>1 pieza</t>
        </is>
      </c>
      <c r="I3030" s="16" t="n">
        <v>4</v>
      </c>
      <c r="J3030" s="17" t="n">
        <v>104</v>
      </c>
      <c r="K3030" s="17" t="n">
        <v>128.23</v>
      </c>
      <c r="L3030" s="17" t="n">
        <v>25.88</v>
      </c>
      <c r="M3030" s="17" t="n">
        <v>0</v>
      </c>
      <c r="N3030" s="17">
        <f>K3030*0.08+L3030*0.08</f>
        <v/>
      </c>
      <c r="O3030" s="17">
        <f>-(K3030*0.025+L3030*0.025)</f>
        <v/>
      </c>
      <c r="P3030" s="17">
        <f>32</f>
        <v/>
      </c>
      <c r="Q3030" s="17">
        <f>J3030+L3030+N3030+O3030-P3030-M3030</f>
        <v/>
      </c>
    </row>
    <row r="3031">
      <c r="A3031" s="16" t="inlineStr">
        <is>
          <t>5.22-5.28</t>
        </is>
      </c>
      <c r="B3031" s="16" t="inlineStr">
        <is>
          <t>PO-128-20527979797110106</t>
        </is>
      </c>
      <c r="C3031" s="16" t="inlineStr">
        <is>
          <t>Delivered</t>
        </is>
      </c>
      <c r="D3031" s="16" t="inlineStr">
        <is>
          <t>128-20528021740150106</t>
        </is>
      </c>
      <c r="E3031" s="16" t="inlineStr">
        <is>
          <t>Delivered</t>
        </is>
      </c>
      <c r="F3031" s="16" t="inlineStr">
        <is>
          <t>SA8056T</t>
        </is>
      </c>
      <c r="G303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031" s="16" t="inlineStr">
        <is>
          <t>SA8056T</t>
        </is>
      </c>
      <c r="I3031" s="16" t="n">
        <v>1</v>
      </c>
      <c r="J3031" s="17" t="n">
        <v>141</v>
      </c>
      <c r="K3031" s="17" t="n">
        <v>129.1</v>
      </c>
      <c r="L3031" s="17" t="n">
        <v>25.86</v>
      </c>
      <c r="M3031" s="17" t="n">
        <v>0</v>
      </c>
      <c r="N3031" s="17">
        <f>K3031*0.08+L3031*0.08</f>
        <v/>
      </c>
      <c r="O3031" s="17">
        <f>-(K3031*0.025+L3031*0.025)</f>
        <v/>
      </c>
      <c r="P3031" s="17">
        <f>32</f>
        <v/>
      </c>
      <c r="Q3031" s="17">
        <f>J3031+L3031+N3031+O3031-P3031-M3031</f>
        <v/>
      </c>
    </row>
    <row r="3032">
      <c r="A3032" s="16" t="inlineStr">
        <is>
          <t>5.22-5.28</t>
        </is>
      </c>
      <c r="B3032" s="16" t="inlineStr">
        <is>
          <t>PO-128-20567107599990835</t>
        </is>
      </c>
      <c r="C3032" s="16" t="inlineStr">
        <is>
          <t>Delivered</t>
        </is>
      </c>
      <c r="D3032" s="16" t="inlineStr">
        <is>
          <t>128-20567187553910835</t>
        </is>
      </c>
      <c r="E3032" s="16" t="inlineStr">
        <is>
          <t>Delivered</t>
        </is>
      </c>
      <c r="F3032" s="16" t="inlineStr">
        <is>
          <t>MCM-001A</t>
        </is>
      </c>
      <c r="G3032" s="16" t="inlineStr">
        <is>
          <t>Musicord Altavoz Inalámbrico BT Portátil: ¡Sonido impactante, luces LED multicolores y 4 horas de autonomía! Compatible con TWS, FM, TF y USB – Imprescindible para fiestas y viajes</t>
        </is>
      </c>
      <c r="H3032" s="16" t="inlineStr">
        <is>
          <t>AZUL</t>
        </is>
      </c>
      <c r="I3032" s="16" t="n">
        <v>1</v>
      </c>
      <c r="J3032" s="17" t="n">
        <v>51.07</v>
      </c>
      <c r="K3032" s="17" t="n">
        <v>59.47</v>
      </c>
      <c r="L3032" s="17" t="n">
        <v>25.86</v>
      </c>
      <c r="M3032" s="17" t="n">
        <v>0</v>
      </c>
      <c r="N3032" s="17">
        <f>K3032*0.08+L3032*0.08</f>
        <v/>
      </c>
      <c r="O3032" s="17">
        <f>-(K3032*0.025+L3032*0.025)</f>
        <v/>
      </c>
      <c r="P3032" s="17">
        <f>32</f>
        <v/>
      </c>
      <c r="Q3032" s="17">
        <f>J3032+L3032+N3032+O3032-P3032-M3032</f>
        <v/>
      </c>
    </row>
    <row r="3033">
      <c r="A3033" s="16" t="inlineStr">
        <is>
          <t>5.22-5.28</t>
        </is>
      </c>
      <c r="B3033" s="16" t="inlineStr">
        <is>
          <t>PO-128-19928873636473487</t>
        </is>
      </c>
      <c r="C3033" s="16" t="inlineStr">
        <is>
          <t>Delivered</t>
        </is>
      </c>
      <c r="D3033" s="16" t="inlineStr">
        <is>
          <t>128-19928844800633487</t>
        </is>
      </c>
      <c r="E3033" s="16" t="inlineStr">
        <is>
          <t>Delivered</t>
        </is>
      </c>
      <c r="F3033" s="16" t="inlineStr">
        <is>
          <t>SA325T</t>
        </is>
      </c>
      <c r="G3033" s="16" t="inlineStr">
        <is>
          <t>Subwoofer Portátil Inalámbrico con Luces RGB, Sonido de Alta Potencia y Batería Duradera, TWS TF USB, Perfecto para Campamento Fiestas y Entretenimiento en Casa</t>
        </is>
      </c>
      <c r="H3033" s="16" t="inlineStr">
        <is>
          <t>NEGRO</t>
        </is>
      </c>
      <c r="I3033" s="16" t="n">
        <v>1</v>
      </c>
      <c r="J3033" s="17" t="n">
        <v>38</v>
      </c>
      <c r="K3033" s="17" t="n">
        <v>47.04</v>
      </c>
      <c r="L3033" s="17" t="n">
        <v>25.86</v>
      </c>
      <c r="M3033" s="17" t="n">
        <v>0</v>
      </c>
      <c r="N3033" s="17">
        <f>K3033*0.08+L3033*0.08</f>
        <v/>
      </c>
      <c r="O3033" s="17">
        <f>-(K3033*0.025+L3033*0.025)</f>
        <v/>
      </c>
      <c r="P3033" s="17">
        <f>32</f>
        <v/>
      </c>
      <c r="Q3033" s="17">
        <f>J3033+L3033+N3033+O3033-P3033-M3033</f>
        <v/>
      </c>
    </row>
    <row r="3034">
      <c r="A3034" s="16" t="inlineStr">
        <is>
          <t>5.22-5.28</t>
        </is>
      </c>
      <c r="B3034" s="16" t="inlineStr">
        <is>
          <t>PO-128-19962889124473410</t>
        </is>
      </c>
      <c r="C3034" s="16" t="inlineStr">
        <is>
          <t>Delivered</t>
        </is>
      </c>
      <c r="D3034" s="16" t="inlineStr">
        <is>
          <t>128-19962941553273410</t>
        </is>
      </c>
      <c r="E3034" s="16" t="inlineStr">
        <is>
          <t>Delivered</t>
        </is>
      </c>
      <c r="F3034" s="16" t="inlineStr">
        <is>
          <t>MCM-001G</t>
        </is>
      </c>
      <c r="G3034" s="16" t="inlineStr">
        <is>
          <t>Musicord Altavoz Inalámbrico BT Portátil: ¡Sonido impactante, luces LED multicolores y 4 horas de autonomía! Compatible con TWS, FM, TF y USB – Imprescindible para fiestas y viajes</t>
        </is>
      </c>
      <c r="H3034" s="16" t="inlineStr">
        <is>
          <t>GRIS</t>
        </is>
      </c>
      <c r="I3034" s="16" t="n">
        <v>1</v>
      </c>
      <c r="J3034" s="17" t="n">
        <v>51.07</v>
      </c>
      <c r="K3034" s="17" t="n">
        <v>58.86</v>
      </c>
      <c r="L3034" s="17" t="n">
        <v>25.86</v>
      </c>
      <c r="M3034" s="17" t="n">
        <v>0</v>
      </c>
      <c r="N3034" s="17">
        <f>K3034*0.08+L3034*0.08</f>
        <v/>
      </c>
      <c r="O3034" s="17">
        <f>-(K3034*0.025+L3034*0.025)</f>
        <v/>
      </c>
      <c r="P3034" s="17">
        <f>32</f>
        <v/>
      </c>
      <c r="Q3034" s="17">
        <f>J3034+L3034+N3034+O3034-P3034-M3034</f>
        <v/>
      </c>
    </row>
    <row r="3035">
      <c r="A3035" s="16" t="inlineStr">
        <is>
          <t>5.22-5.28</t>
        </is>
      </c>
      <c r="B3035" s="16" t="inlineStr">
        <is>
          <t>PO-128-20599656709750513</t>
        </is>
      </c>
      <c r="C3035" s="16" t="inlineStr">
        <is>
          <t>Delivered</t>
        </is>
      </c>
      <c r="D3035" s="16" t="inlineStr">
        <is>
          <t>128-20599732731510513</t>
        </is>
      </c>
      <c r="E3035" s="16" t="inlineStr">
        <is>
          <t>Delivered</t>
        </is>
      </c>
      <c r="F3035" s="16" t="inlineStr">
        <is>
          <t>VA384T-A</t>
        </is>
      </c>
      <c r="G3035" s="16" t="inlineStr">
        <is>
          <t>Bocina Portátil Bluetooth de 3 Pulgadas con Radio FM, USB TF TWS, Sonido Estéreo 5W, Bocina Recargable para Hogar Exterior Viaje Fiesta Camping</t>
        </is>
      </c>
      <c r="H3035" s="16" t="inlineStr">
        <is>
          <t>AZUL</t>
        </is>
      </c>
      <c r="I3035" s="16" t="n">
        <v>1</v>
      </c>
      <c r="J3035" s="17" t="n">
        <v>47.99</v>
      </c>
      <c r="K3035" s="17" t="n">
        <v>5.25</v>
      </c>
      <c r="L3035" s="17" t="n">
        <v>25.86</v>
      </c>
      <c r="M3035" s="17" t="n">
        <v>0</v>
      </c>
      <c r="N3035" s="17">
        <f>K3035*0.08+L3035*0.08</f>
        <v/>
      </c>
      <c r="O3035" s="17">
        <f>-(K3035*0.025+L3035*0.025)</f>
        <v/>
      </c>
      <c r="P3035" s="17">
        <f>32</f>
        <v/>
      </c>
      <c r="Q3035" s="17">
        <f>J3035+L3035+N3035+O3035-P3035-M3035</f>
        <v/>
      </c>
    </row>
    <row r="3036">
      <c r="A3036" s="16" t="inlineStr">
        <is>
          <t>5.22-5.28</t>
        </is>
      </c>
      <c r="B3036" s="16" t="inlineStr">
        <is>
          <t>PO-128-20131401221752342</t>
        </is>
      </c>
      <c r="C3036" s="16" t="inlineStr">
        <is>
          <t>Delivered</t>
        </is>
      </c>
      <c r="D3036" s="16" t="inlineStr">
        <is>
          <t>128-20131463644792342</t>
        </is>
      </c>
      <c r="E3036" s="16" t="inlineStr">
        <is>
          <t>Delivered</t>
        </is>
      </c>
      <c r="F3036" s="16" t="inlineStr">
        <is>
          <t>VB347T</t>
        </is>
      </c>
      <c r="G303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36" s="16" t="inlineStr">
        <is>
          <t>1 pieza</t>
        </is>
      </c>
      <c r="I3036" s="16" t="n">
        <v>1</v>
      </c>
      <c r="J3036" s="17" t="n">
        <v>79.90000000000001</v>
      </c>
      <c r="K3036" s="17" t="n">
        <v>94.5</v>
      </c>
      <c r="L3036" s="17" t="n">
        <v>25.86</v>
      </c>
      <c r="M3036" s="17" t="n">
        <v>0</v>
      </c>
      <c r="N3036" s="17">
        <f>K3036*0.08+L3036*0.08</f>
        <v/>
      </c>
      <c r="O3036" s="17">
        <f>-(K3036*0.025+L3036*0.025)</f>
        <v/>
      </c>
      <c r="P3036" s="17">
        <f>32</f>
        <v/>
      </c>
      <c r="Q3036" s="17">
        <f>J3036+L3036+N3036+O3036-P3036-M3036</f>
        <v/>
      </c>
    </row>
    <row r="3037">
      <c r="A3037" s="16" t="inlineStr">
        <is>
          <t>5.22-5.28</t>
        </is>
      </c>
      <c r="B3037" s="16" t="inlineStr">
        <is>
          <t>PO-128-20571542620790873</t>
        </is>
      </c>
      <c r="C3037" s="16" t="inlineStr">
        <is>
          <t>Delivered</t>
        </is>
      </c>
      <c r="D3037" s="16" t="inlineStr">
        <is>
          <t>128-20571543931510873</t>
        </is>
      </c>
      <c r="E3037" s="16" t="inlineStr">
        <is>
          <t>Delivered</t>
        </is>
      </c>
      <c r="F3037" s="16" t="inlineStr">
        <is>
          <t>MB-176</t>
        </is>
      </c>
      <c r="G3037" s="16" t="inlineStr">
        <is>
          <t>Linkbits Altavoz Bluetooth Portátil - Luces LED RGB 360°, Bajos Potentes de 24W, Estéreo TWS y Asa para Exterior/Fiestas</t>
        </is>
      </c>
      <c r="H3037" s="16" t="inlineStr">
        <is>
          <t>MB-176</t>
        </is>
      </c>
      <c r="I3037" s="16" t="n">
        <v>1</v>
      </c>
      <c r="J3037" s="17" t="n">
        <v>170</v>
      </c>
      <c r="K3037" s="17" t="n">
        <v>200.15</v>
      </c>
      <c r="L3037" s="17" t="n">
        <v>0</v>
      </c>
      <c r="M3037" s="17" t="n">
        <v>0</v>
      </c>
      <c r="N3037" s="17">
        <f>K3037*0.08+L3037*0.08</f>
        <v/>
      </c>
      <c r="O3037" s="17">
        <f>-(K3037*0.025+L3037*0.025)</f>
        <v/>
      </c>
      <c r="P3037" s="17">
        <f>32</f>
        <v/>
      </c>
      <c r="Q3037" s="17">
        <f>J3037+L3037+N3037+O3037-P3037-M3037</f>
        <v/>
      </c>
    </row>
    <row r="3038">
      <c r="A3038" s="16" t="inlineStr">
        <is>
          <t>5.22-5.28</t>
        </is>
      </c>
      <c r="B3038" s="16" t="inlineStr">
        <is>
          <t>PO-128-20571542620790873</t>
        </is>
      </c>
      <c r="C3038" s="16" t="inlineStr">
        <is>
          <t>Delivered</t>
        </is>
      </c>
      <c r="D3038" s="16" t="inlineStr">
        <is>
          <t>128-20571541310070873</t>
        </is>
      </c>
      <c r="E3038" s="16" t="inlineStr">
        <is>
          <t>Delivered</t>
        </is>
      </c>
      <c r="F3038" s="16" t="inlineStr">
        <is>
          <t>MCM-001G</t>
        </is>
      </c>
      <c r="G3038" s="16" t="inlineStr">
        <is>
          <t>Musicord Altavoz Inalámbrico BT Portátil: ¡Sonido impactante, luces LED multicolores y 4 horas de autonomía! Compatible con TWS, FM, TF y USB – Imprescindible para fiestas y viajes</t>
        </is>
      </c>
      <c r="H3038" s="16" t="inlineStr">
        <is>
          <t>GRIS</t>
        </is>
      </c>
      <c r="I3038" s="16" t="n">
        <v>1</v>
      </c>
      <c r="J3038" s="17" t="n">
        <v>51.07</v>
      </c>
      <c r="K3038" s="17" t="n">
        <v>58.86</v>
      </c>
      <c r="L3038" s="17" t="n">
        <v>0</v>
      </c>
      <c r="M3038" s="17" t="n">
        <v>0</v>
      </c>
      <c r="N3038" s="17">
        <f>K3038*0.08+L3038*0.08</f>
        <v/>
      </c>
      <c r="O3038" s="17">
        <f>-(K3038*0.025+L3038*0.025)</f>
        <v/>
      </c>
      <c r="P3038" s="17">
        <f>32</f>
        <v/>
      </c>
      <c r="Q3038" s="17">
        <f>J3038+L3038+N3038+O3038-P3038-M3038</f>
        <v/>
      </c>
    </row>
    <row r="3039">
      <c r="A3039" s="16" t="inlineStr">
        <is>
          <t>5.22-5.28</t>
        </is>
      </c>
      <c r="B3039" s="16" t="inlineStr">
        <is>
          <t>PO-128-20571542620790873</t>
        </is>
      </c>
      <c r="C3039" s="16" t="inlineStr">
        <is>
          <t>Delivered</t>
        </is>
      </c>
      <c r="D3039" s="16" t="inlineStr">
        <is>
          <t>128-20571538688630873</t>
        </is>
      </c>
      <c r="E3039" s="16" t="inlineStr">
        <is>
          <t>Delivered</t>
        </is>
      </c>
      <c r="F3039" s="16" t="inlineStr">
        <is>
          <t>VB347T</t>
        </is>
      </c>
      <c r="G303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39" s="16" t="inlineStr">
        <is>
          <t>1 pieza</t>
        </is>
      </c>
      <c r="I3039" s="16" t="n">
        <v>1</v>
      </c>
      <c r="J3039" s="17" t="n">
        <v>79.90000000000001</v>
      </c>
      <c r="K3039" s="17" t="n">
        <v>94.5</v>
      </c>
      <c r="L3039" s="17" t="n">
        <v>0</v>
      </c>
      <c r="M3039" s="17" t="n">
        <v>0</v>
      </c>
      <c r="N3039" s="17">
        <f>K3039*0.08+L3039*0.08</f>
        <v/>
      </c>
      <c r="O3039" s="17">
        <f>-(K3039*0.025+L3039*0.025)</f>
        <v/>
      </c>
      <c r="P3039" s="17">
        <f>32</f>
        <v/>
      </c>
      <c r="Q3039" s="17">
        <f>J3039+L3039+N3039+O3039-P3039-M3039</f>
        <v/>
      </c>
    </row>
    <row r="3040">
      <c r="A3040" s="16" t="inlineStr">
        <is>
          <t>5.22-5.28</t>
        </is>
      </c>
      <c r="B3040" s="16" t="inlineStr">
        <is>
          <t>PO-128-20571542620790873</t>
        </is>
      </c>
      <c r="C3040" s="16" t="inlineStr">
        <is>
          <t>Delivered</t>
        </is>
      </c>
      <c r="D3040" s="16" t="inlineStr">
        <is>
          <t>128-20571549174390873</t>
        </is>
      </c>
      <c r="E3040" s="16" t="inlineStr">
        <is>
          <t>Delivered</t>
        </is>
      </c>
      <c r="F3040" s="16" t="inlineStr">
        <is>
          <t>KTS-1943-Y</t>
        </is>
      </c>
      <c r="G3040" s="16" t="inlineStr">
        <is>
          <t>Altavoz Mini Karaoke Portátil BT con Micrófono Inalámbrico, Función TWS, Radio FM, USB/TF, Batería de Larga Duración, Perfecto para Casa, Exterior y Regalos Especiales</t>
        </is>
      </c>
      <c r="H3040" s="16" t="inlineStr">
        <is>
          <t>AMARILLO</t>
        </is>
      </c>
      <c r="I3040" s="16" t="n">
        <v>1</v>
      </c>
      <c r="J3040" s="17" t="n">
        <v>67.5</v>
      </c>
      <c r="K3040" s="17" t="n">
        <v>83.09999999999999</v>
      </c>
      <c r="L3040" s="17" t="n">
        <v>0</v>
      </c>
      <c r="M3040" s="17" t="n">
        <v>0</v>
      </c>
      <c r="N3040" s="17">
        <f>K3040*0.08+L3040*0.08</f>
        <v/>
      </c>
      <c r="O3040" s="17">
        <f>-(K3040*0.025+L3040*0.025)</f>
        <v/>
      </c>
      <c r="P3040" s="17">
        <f>32</f>
        <v/>
      </c>
      <c r="Q3040" s="17">
        <f>J3040+L3040+N3040+O3040-P3040-M3040</f>
        <v/>
      </c>
    </row>
    <row r="3041">
      <c r="A3041" s="16" t="inlineStr">
        <is>
          <t>5.22-5.28</t>
        </is>
      </c>
      <c r="B3041" s="16" t="inlineStr">
        <is>
          <t>PO-128-20571542620790873</t>
        </is>
      </c>
      <c r="C3041" s="16" t="inlineStr">
        <is>
          <t>Delivered</t>
        </is>
      </c>
      <c r="D3041" s="16" t="inlineStr">
        <is>
          <t>128-20571546552950873</t>
        </is>
      </c>
      <c r="E3041" s="16" t="inlineStr">
        <is>
          <t>Delivered</t>
        </is>
      </c>
      <c r="F3041" s="16" t="inlineStr">
        <is>
          <t>KTS-1943-N</t>
        </is>
      </c>
      <c r="G3041" s="16" t="inlineStr">
        <is>
          <t>Altavoz Mini Karaoke Portátil BT con Micrófono Inalámbrico, Función TWS, Radio FM, USB/TF, Batería de Larga Duración, Perfecto para Casa, Exterior y Regalos Especiales</t>
        </is>
      </c>
      <c r="H3041" s="16" t="inlineStr">
        <is>
          <t>NEGRO</t>
        </is>
      </c>
      <c r="I3041" s="16" t="n">
        <v>1</v>
      </c>
      <c r="J3041" s="17" t="n">
        <v>67.5</v>
      </c>
      <c r="K3041" s="17" t="n">
        <v>83.09999999999999</v>
      </c>
      <c r="L3041" s="17" t="n">
        <v>0</v>
      </c>
      <c r="M3041" s="17" t="n">
        <v>0</v>
      </c>
      <c r="N3041" s="17">
        <f>K3041*0.08+L3041*0.08</f>
        <v/>
      </c>
      <c r="O3041" s="17">
        <f>-(K3041*0.025+L3041*0.025)</f>
        <v/>
      </c>
      <c r="P3041" s="17">
        <f>32</f>
        <v/>
      </c>
      <c r="Q3041" s="17">
        <f>J3041+L3041+N3041+O3041-P3041-M3041</f>
        <v/>
      </c>
    </row>
    <row r="3042">
      <c r="A3042" s="16" t="inlineStr">
        <is>
          <t>5.22-5.28</t>
        </is>
      </c>
      <c r="B3042" s="16" t="inlineStr">
        <is>
          <t>PO-128-19983427466873288</t>
        </is>
      </c>
      <c r="C3042" s="16" t="inlineStr">
        <is>
          <t>Delivered</t>
        </is>
      </c>
      <c r="D3042" s="16" t="inlineStr">
        <is>
          <t>128-19983507420793288</t>
        </is>
      </c>
      <c r="E3042" s="16" t="inlineStr">
        <is>
          <t>Delivered</t>
        </is>
      </c>
      <c r="F3042" s="16" t="inlineStr">
        <is>
          <t>SA325T</t>
        </is>
      </c>
      <c r="G3042" s="16" t="inlineStr">
        <is>
          <t>Subwoofer Portátil Inalámbrico con Luces RGB, Sonido de Alta Potencia y Batería Duradera, TWS TF USB, Perfecto para Campamento Fiestas y Entretenimiento en Casa</t>
        </is>
      </c>
      <c r="H3042" s="16" t="inlineStr">
        <is>
          <t>NEGRO</t>
        </is>
      </c>
      <c r="I3042" s="16" t="n">
        <v>6</v>
      </c>
      <c r="J3042" s="17" t="n">
        <v>228</v>
      </c>
      <c r="K3042" s="17" t="n">
        <v>282.24</v>
      </c>
      <c r="L3042" s="17" t="n">
        <v>0</v>
      </c>
      <c r="M3042" s="17" t="n">
        <v>12</v>
      </c>
      <c r="N3042" s="17">
        <f>K3042*0.08+L3042*0.08</f>
        <v/>
      </c>
      <c r="O3042" s="17">
        <f>-(K3042*0.025+L3042*0.025)</f>
        <v/>
      </c>
      <c r="P3042" s="17">
        <f>32</f>
        <v/>
      </c>
      <c r="Q3042" s="17">
        <f>J3042+L3042+N3042+O3042-P3042-M3042</f>
        <v/>
      </c>
    </row>
    <row r="3043">
      <c r="A3043" s="16" t="inlineStr">
        <is>
          <t>5.22-5.28</t>
        </is>
      </c>
      <c r="B3043" s="16" t="inlineStr">
        <is>
          <t>PO-128-20547026872951019</t>
        </is>
      </c>
      <c r="C3043" s="16" t="inlineStr">
        <is>
          <t>Delivered</t>
        </is>
      </c>
      <c r="D3043" s="16" t="inlineStr">
        <is>
          <t>128-20547037358711019</t>
        </is>
      </c>
      <c r="E3043" s="16" t="inlineStr">
        <is>
          <t>Delivered</t>
        </is>
      </c>
      <c r="F3043" s="16" t="inlineStr">
        <is>
          <t>VB347T</t>
        </is>
      </c>
      <c r="G304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43" s="16" t="inlineStr">
        <is>
          <t>1 pieza</t>
        </is>
      </c>
      <c r="I3043" s="16" t="n">
        <v>1</v>
      </c>
      <c r="J3043" s="17" t="n">
        <v>79.90000000000001</v>
      </c>
      <c r="K3043" s="17" t="n">
        <v>68.04000000000001</v>
      </c>
      <c r="L3043" s="17" t="n">
        <v>25.86</v>
      </c>
      <c r="M3043" s="17" t="n">
        <v>0</v>
      </c>
      <c r="N3043" s="17">
        <f>K3043*0.08+L3043*0.08</f>
        <v/>
      </c>
      <c r="O3043" s="17">
        <f>-(K3043*0.025+L3043*0.025)</f>
        <v/>
      </c>
      <c r="P3043" s="17">
        <f>32</f>
        <v/>
      </c>
      <c r="Q3043" s="17">
        <f>J3043+L3043+N3043+O3043-P3043-M3043</f>
        <v/>
      </c>
    </row>
    <row r="3044">
      <c r="A3044" s="16" t="inlineStr">
        <is>
          <t>5.22-5.28</t>
        </is>
      </c>
      <c r="B3044" s="16" t="inlineStr">
        <is>
          <t>PO-128-20014805261433999</t>
        </is>
      </c>
      <c r="C3044" s="16" t="inlineStr">
        <is>
          <t>Delivered</t>
        </is>
      </c>
      <c r="D3044" s="16" t="inlineStr">
        <is>
          <t>128-20014873418873999</t>
        </is>
      </c>
      <c r="E3044" s="16" t="inlineStr">
        <is>
          <t>Delivered</t>
        </is>
      </c>
      <c r="F3044" s="16" t="inlineStr">
        <is>
          <t>MCM-001N</t>
        </is>
      </c>
      <c r="G3044" s="16" t="inlineStr">
        <is>
          <t>Musicord Altavoz Inalámbrico BT Portátil: ¡Sonido impactante, luces LED multicolores y 4 horas de autonomía! Compatible con TWS, FM, TF y USB – Imprescindible para fiestas y viajes</t>
        </is>
      </c>
      <c r="H3044" s="16" t="inlineStr">
        <is>
          <t>NEGRO</t>
        </is>
      </c>
      <c r="I3044" s="16" t="n">
        <v>1</v>
      </c>
      <c r="J3044" s="17" t="n">
        <v>61</v>
      </c>
      <c r="K3044" s="17" t="n">
        <v>68.79000000000001</v>
      </c>
      <c r="L3044" s="17" t="n">
        <v>25.86</v>
      </c>
      <c r="M3044" s="17" t="n">
        <v>0</v>
      </c>
      <c r="N3044" s="17">
        <f>K3044*0.08+L3044*0.08</f>
        <v/>
      </c>
      <c r="O3044" s="17">
        <f>-(K3044*0.025+L3044*0.025)</f>
        <v/>
      </c>
      <c r="P3044" s="17">
        <f>32</f>
        <v/>
      </c>
      <c r="Q3044" s="17">
        <f>J3044+L3044+N3044+O3044-P3044-M3044</f>
        <v/>
      </c>
    </row>
    <row r="3045">
      <c r="A3045" s="16" t="inlineStr">
        <is>
          <t>5.22-5.28</t>
        </is>
      </c>
      <c r="B3045" s="16" t="inlineStr">
        <is>
          <t>PO-128-20416330424951732</t>
        </is>
      </c>
      <c r="C3045" s="16" t="inlineStr">
        <is>
          <t>Delivered</t>
        </is>
      </c>
      <c r="D3045" s="16" t="inlineStr">
        <is>
          <t>128-20416356639351732</t>
        </is>
      </c>
      <c r="E3045" s="16" t="inlineStr">
        <is>
          <t>Delivered</t>
        </is>
      </c>
      <c r="F3045" s="16" t="inlineStr">
        <is>
          <t>MCM-001G</t>
        </is>
      </c>
      <c r="G3045" s="16" t="inlineStr">
        <is>
          <t>Musicord Altavoz Inalámbrico BT Portátil: ¡Sonido impactante, luces LED multicolores y 4 horas de autonomía! Compatible con TWS, FM, TF y USB – Imprescindible para fiestas y viajes</t>
        </is>
      </c>
      <c r="H3045" s="16" t="inlineStr">
        <is>
          <t>GRIS</t>
        </is>
      </c>
      <c r="I3045" s="16" t="n">
        <v>1</v>
      </c>
      <c r="J3045" s="17" t="n">
        <v>51.07</v>
      </c>
      <c r="K3045" s="17" t="n">
        <v>47.57</v>
      </c>
      <c r="L3045" s="17" t="n">
        <v>25.86</v>
      </c>
      <c r="M3045" s="17" t="n">
        <v>0</v>
      </c>
      <c r="N3045" s="17">
        <f>K3045*0.08+L3045*0.08</f>
        <v/>
      </c>
      <c r="O3045" s="17">
        <f>-(K3045*0.025+L3045*0.025)</f>
        <v/>
      </c>
      <c r="P3045" s="17">
        <f>32</f>
        <v/>
      </c>
      <c r="Q3045" s="17">
        <f>J3045+L3045+N3045+O3045-P3045-M3045</f>
        <v/>
      </c>
    </row>
    <row r="3046">
      <c r="A3046" s="16" t="inlineStr">
        <is>
          <t>5.22-5.28</t>
        </is>
      </c>
      <c r="B3046" s="16" t="inlineStr">
        <is>
          <t>PO-128-20295051704951305</t>
        </is>
      </c>
      <c r="C3046" s="16" t="inlineStr">
        <is>
          <t>Delivered</t>
        </is>
      </c>
      <c r="D3046" s="16" t="inlineStr">
        <is>
          <t>128-20294946847351305</t>
        </is>
      </c>
      <c r="E3046" s="16" t="inlineStr">
        <is>
          <t>Delivered</t>
        </is>
      </c>
      <c r="F3046" s="16" t="inlineStr">
        <is>
          <t>MB-185R</t>
        </is>
      </c>
      <c r="G3046" s="16" t="inlineStr">
        <is>
          <t>Bocina Radio FM/Reproductor, Compatible con Tarjeta TF, USB, Bluetooth, Aplicable para celular, computadora, Ipad y consola.</t>
        </is>
      </c>
      <c r="H3046" s="16" t="inlineStr">
        <is>
          <t>ROJO/MB-185</t>
        </is>
      </c>
      <c r="I3046" s="16" t="n">
        <v>3</v>
      </c>
      <c r="J3046" s="17" t="n">
        <v>222</v>
      </c>
      <c r="K3046" s="17" t="n">
        <v>260.82</v>
      </c>
      <c r="L3046" s="17" t="n">
        <v>0</v>
      </c>
      <c r="M3046" s="17" t="n">
        <v>0</v>
      </c>
      <c r="N3046" s="17">
        <f>K3046*0.08+L3046*0.08</f>
        <v/>
      </c>
      <c r="O3046" s="17">
        <f>-(K3046*0.025+L3046*0.025)</f>
        <v/>
      </c>
      <c r="P3046" s="17">
        <f>32</f>
        <v/>
      </c>
      <c r="Q3046" s="17">
        <f>J3046+L3046+N3046+O3046-P3046-M3046</f>
        <v/>
      </c>
    </row>
    <row r="3047">
      <c r="A3047" s="16" t="inlineStr">
        <is>
          <t>5.22-5.28</t>
        </is>
      </c>
      <c r="B3047" s="16" t="inlineStr">
        <is>
          <t>PO-128-20295051704951305</t>
        </is>
      </c>
      <c r="C3047" s="16" t="inlineStr">
        <is>
          <t>Delivered</t>
        </is>
      </c>
      <c r="D3047" s="16" t="inlineStr">
        <is>
          <t>128-20294967818871305</t>
        </is>
      </c>
      <c r="E3047" s="16" t="inlineStr">
        <is>
          <t>Delivered</t>
        </is>
      </c>
      <c r="F3047" s="16" t="inlineStr">
        <is>
          <t>MB-185A</t>
        </is>
      </c>
      <c r="G3047" s="16" t="inlineStr">
        <is>
          <t>Bocina Radio FM/Reproductor, Compatible con Tarjeta TF, USB, Bluetooth, Aplicable para celular, computadora, Ipad y consola.</t>
        </is>
      </c>
      <c r="H3047" s="16" t="inlineStr">
        <is>
          <t>AZUL/MB-185</t>
        </is>
      </c>
      <c r="I3047" s="16" t="n">
        <v>3</v>
      </c>
      <c r="J3047" s="17" t="n">
        <v>226.5</v>
      </c>
      <c r="K3047" s="17" t="n">
        <v>265.32</v>
      </c>
      <c r="L3047" s="17" t="n">
        <v>0</v>
      </c>
      <c r="M3047" s="17" t="n">
        <v>0</v>
      </c>
      <c r="N3047" s="17">
        <f>K3047*0.08+L3047*0.08</f>
        <v/>
      </c>
      <c r="O3047" s="17">
        <f>-(K3047*0.025+L3047*0.025)</f>
        <v/>
      </c>
      <c r="P3047" s="17">
        <f>32</f>
        <v/>
      </c>
      <c r="Q3047" s="17">
        <f>J3047+L3047+N3047+O3047-P3047-M3047</f>
        <v/>
      </c>
    </row>
    <row r="3048">
      <c r="A3048" s="16" t="inlineStr">
        <is>
          <t>5.22-5.28</t>
        </is>
      </c>
      <c r="B3048" s="16" t="inlineStr">
        <is>
          <t>PO-128-20295051704951305</t>
        </is>
      </c>
      <c r="C3048" s="16" t="inlineStr">
        <is>
          <t>Delivered</t>
        </is>
      </c>
      <c r="D3048" s="16" t="inlineStr">
        <is>
          <t>128-20295009761911305</t>
        </is>
      </c>
      <c r="E3048" s="16" t="inlineStr">
        <is>
          <t>Delivered</t>
        </is>
      </c>
      <c r="F3048" s="16" t="inlineStr">
        <is>
          <t>MCM-001G</t>
        </is>
      </c>
      <c r="G3048" s="16" t="inlineStr">
        <is>
          <t>Musicord Altavoz Inalámbrico BT Portátil: ¡Sonido impactante, luces LED multicolores y 4 horas de autonomía! Compatible con TWS, FM, TF y USB – Imprescindible para fiestas y viajes</t>
        </is>
      </c>
      <c r="H3048" s="16" t="inlineStr">
        <is>
          <t>GRIS</t>
        </is>
      </c>
      <c r="I3048" s="16" t="n">
        <v>6</v>
      </c>
      <c r="J3048" s="17" t="n">
        <v>306.42</v>
      </c>
      <c r="K3048" s="17" t="n">
        <v>353.16</v>
      </c>
      <c r="L3048" s="17" t="n">
        <v>0</v>
      </c>
      <c r="M3048" s="17" t="n">
        <v>0</v>
      </c>
      <c r="N3048" s="17">
        <f>K3048*0.08+L3048*0.08</f>
        <v/>
      </c>
      <c r="O3048" s="17">
        <f>-(K3048*0.025+L3048*0.025)</f>
        <v/>
      </c>
      <c r="P3048" s="17">
        <f>32</f>
        <v/>
      </c>
      <c r="Q3048" s="17">
        <f>J3048+L3048+N3048+O3048-P3048-M3048</f>
        <v/>
      </c>
    </row>
    <row r="3049">
      <c r="A3049" s="16" t="inlineStr">
        <is>
          <t>5.22-5.28</t>
        </is>
      </c>
      <c r="B3049" s="16" t="inlineStr">
        <is>
          <t>PO-128-20295051704951305</t>
        </is>
      </c>
      <c r="C3049" s="16" t="inlineStr">
        <is>
          <t>Delivered</t>
        </is>
      </c>
      <c r="D3049" s="16" t="inlineStr">
        <is>
          <t>128-20294988790391305</t>
        </is>
      </c>
      <c r="E3049" s="16" t="inlineStr">
        <is>
          <t>Delivered</t>
        </is>
      </c>
      <c r="F3049" s="16" t="inlineStr">
        <is>
          <t>MB-185N</t>
        </is>
      </c>
      <c r="G3049" s="16" t="inlineStr">
        <is>
          <t>Bocina Radio FM/Reproductor, Compatible con Tarjeta TF, USB, Bluetooth, Aplicable para celular, computadora, Ipad y consola.</t>
        </is>
      </c>
      <c r="H3049" s="16" t="inlineStr">
        <is>
          <t>NEGRO/MB-185</t>
        </is>
      </c>
      <c r="I3049" s="16" t="n">
        <v>3</v>
      </c>
      <c r="J3049" s="17" t="n">
        <v>226.5</v>
      </c>
      <c r="K3049" s="17" t="n">
        <v>265.32</v>
      </c>
      <c r="L3049" s="17" t="n">
        <v>0</v>
      </c>
      <c r="M3049" s="17" t="n">
        <v>0</v>
      </c>
      <c r="N3049" s="17">
        <f>K3049*0.08+L3049*0.08</f>
        <v/>
      </c>
      <c r="O3049" s="17">
        <f>-(K3049*0.025+L3049*0.025)</f>
        <v/>
      </c>
      <c r="P3049" s="17">
        <f>32</f>
        <v/>
      </c>
      <c r="Q3049" s="17">
        <f>J3049+L3049+N3049+O3049-P3049-M3049</f>
        <v/>
      </c>
    </row>
    <row r="3050">
      <c r="A3050" s="16" t="inlineStr">
        <is>
          <t>5.22-5.28</t>
        </is>
      </c>
      <c r="B3050" s="16" t="inlineStr">
        <is>
          <t>PO-128-20295051704951305</t>
        </is>
      </c>
      <c r="C3050" s="16" t="inlineStr">
        <is>
          <t>Delivered</t>
        </is>
      </c>
      <c r="D3050" s="16" t="inlineStr">
        <is>
          <t>128-20295030733431305</t>
        </is>
      </c>
      <c r="E3050" s="16" t="inlineStr">
        <is>
          <t>Delivered</t>
        </is>
      </c>
      <c r="F3050" s="16" t="inlineStr">
        <is>
          <t>MCM-001A</t>
        </is>
      </c>
      <c r="G3050" s="16" t="inlineStr">
        <is>
          <t>Musicord Altavoz Inalámbrico BT Portátil: ¡Sonido impactante, luces LED multicolores y 4 horas de autonomía! Compatible con TWS, FM, TF y USB – Imprescindible para fiestas y viajes</t>
        </is>
      </c>
      <c r="H3050" s="16" t="inlineStr">
        <is>
          <t>AZUL</t>
        </is>
      </c>
      <c r="I3050" s="16" t="n">
        <v>6</v>
      </c>
      <c r="J3050" s="17" t="n">
        <v>306.42</v>
      </c>
      <c r="K3050" s="17" t="n">
        <v>356.82</v>
      </c>
      <c r="L3050" s="17" t="n">
        <v>0</v>
      </c>
      <c r="M3050" s="17" t="n">
        <v>0</v>
      </c>
      <c r="N3050" s="17">
        <f>K3050*0.08+L3050*0.08</f>
        <v/>
      </c>
      <c r="O3050" s="17">
        <f>-(K3050*0.025+L3050*0.025)</f>
        <v/>
      </c>
      <c r="P3050" s="17">
        <f>32</f>
        <v/>
      </c>
      <c r="Q3050" s="17">
        <f>J3050+L3050+N3050+O3050-P3050-M3050</f>
        <v/>
      </c>
    </row>
    <row r="3051">
      <c r="A3051" s="16" t="inlineStr">
        <is>
          <t>5.22-5.28</t>
        </is>
      </c>
      <c r="B3051" s="16" t="inlineStr">
        <is>
          <t>PO-128-20557038500470831</t>
        </is>
      </c>
      <c r="C3051" s="16" t="inlineStr">
        <is>
          <t>Delivered</t>
        </is>
      </c>
      <c r="D3051" s="16" t="inlineStr">
        <is>
          <t>128-20556996557430831</t>
        </is>
      </c>
      <c r="E3051" s="16" t="inlineStr">
        <is>
          <t>Delivered</t>
        </is>
      </c>
      <c r="F3051" s="16" t="inlineStr">
        <is>
          <t>MB-185R</t>
        </is>
      </c>
      <c r="G3051" s="16" t="inlineStr">
        <is>
          <t>Bocina Radio FM/Reproductor, Compatible con Tarjeta TF, USB, Bluetooth, Aplicable para celular, computadora, Ipad y consola.</t>
        </is>
      </c>
      <c r="H3051" s="16" t="inlineStr">
        <is>
          <t>ROJO/MB-185</t>
        </is>
      </c>
      <c r="I3051" s="16" t="n">
        <v>1</v>
      </c>
      <c r="J3051" s="17" t="n">
        <v>74</v>
      </c>
      <c r="K3051" s="17" t="n">
        <v>73.97</v>
      </c>
      <c r="L3051" s="17" t="n">
        <v>25.86</v>
      </c>
      <c r="M3051" s="17" t="n">
        <v>0</v>
      </c>
      <c r="N3051" s="17">
        <f>K3051*0.08+L3051*0.08</f>
        <v/>
      </c>
      <c r="O3051" s="17">
        <f>-(K3051*0.025+L3051*0.025)</f>
        <v/>
      </c>
      <c r="P3051" s="17">
        <f>32</f>
        <v/>
      </c>
      <c r="Q3051" s="17">
        <f>J3051+L3051+N3051+O3051-P3051-M3051</f>
        <v/>
      </c>
    </row>
    <row r="3052">
      <c r="A3052" s="16" t="inlineStr">
        <is>
          <t>5.22-5.28</t>
        </is>
      </c>
      <c r="B3052" s="16" t="inlineStr">
        <is>
          <t>PO-128-20567480658550833</t>
        </is>
      </c>
      <c r="C3052" s="16" t="inlineStr">
        <is>
          <t>Delivered</t>
        </is>
      </c>
      <c r="D3052" s="16" t="inlineStr">
        <is>
          <t>128-20567501630070833</t>
        </is>
      </c>
      <c r="E3052" s="16" t="inlineStr">
        <is>
          <t>Delivered</t>
        </is>
      </c>
      <c r="F3052" s="16" t="inlineStr">
        <is>
          <t>SA323T</t>
        </is>
      </c>
      <c r="G3052" s="16" t="inlineStr">
        <is>
          <t>Linkbits Bocina Portátil Parlantes BT Portátiles con Iluminación de Ambiente | 1 Hora de Duración, FM, TWS, TF/Micro SD | Ideal para Hogar, Fiestas y Viajes</t>
        </is>
      </c>
      <c r="H3052" s="16" t="inlineStr">
        <is>
          <t>SA323T</t>
        </is>
      </c>
      <c r="I3052" s="16" t="n">
        <v>1</v>
      </c>
      <c r="J3052" s="17" t="n">
        <v>46</v>
      </c>
      <c r="K3052" s="17" t="n">
        <v>55.06</v>
      </c>
      <c r="L3052" s="17" t="n">
        <v>25.86</v>
      </c>
      <c r="M3052" s="17" t="n">
        <v>0</v>
      </c>
      <c r="N3052" s="17">
        <f>K3052*0.08+L3052*0.08</f>
        <v/>
      </c>
      <c r="O3052" s="17">
        <f>-(K3052*0.025+L3052*0.025)</f>
        <v/>
      </c>
      <c r="P3052" s="17">
        <f>32</f>
        <v/>
      </c>
      <c r="Q3052" s="17">
        <f>J3052+L3052+N3052+O3052-P3052-M3052</f>
        <v/>
      </c>
    </row>
    <row r="3053">
      <c r="A3053" s="16" t="inlineStr">
        <is>
          <t>5.22-5.28</t>
        </is>
      </c>
      <c r="B3053" s="16" t="inlineStr">
        <is>
          <t>PO-128-20533229548150909</t>
        </is>
      </c>
      <c r="C3053" s="16" t="inlineStr">
        <is>
          <t>Delivered</t>
        </is>
      </c>
      <c r="D3053" s="16" t="inlineStr">
        <is>
          <t>128-20533274112630909</t>
        </is>
      </c>
      <c r="E3053" s="16" t="inlineStr">
        <is>
          <t>Delivered</t>
        </is>
      </c>
      <c r="F3053" s="16" t="inlineStr">
        <is>
          <t>LB02235-rojo</t>
        </is>
      </c>
      <c r="G3053" s="16" t="inlineStr">
        <is>
          <t>Audífonos Inalámbricos para la Cabeza, Recargables y Multifuncionales - Conectan a Varios Dispositivos, soportan Radio FM, Tarjeta TF y AUX - 4 Horas de Reproducción Musical - Ideal para Trabajo Cotidiano, Juegos y Estudio</t>
        </is>
      </c>
      <c r="H3053" s="16" t="inlineStr">
        <is>
          <t>ROJO</t>
        </is>
      </c>
      <c r="I3053" s="16" t="n">
        <v>1</v>
      </c>
      <c r="J3053" s="17" t="n">
        <v>36.8</v>
      </c>
      <c r="K3053" s="17" t="n">
        <v>49.91</v>
      </c>
      <c r="L3053" s="17" t="n">
        <v>25.86</v>
      </c>
      <c r="M3053" s="17" t="n">
        <v>0</v>
      </c>
      <c r="N3053" s="17">
        <f>K3053*0.08+L3053*0.08</f>
        <v/>
      </c>
      <c r="O3053" s="17">
        <f>-(K3053*0.025+L3053*0.025)</f>
        <v/>
      </c>
      <c r="P3053" s="17">
        <f>32</f>
        <v/>
      </c>
      <c r="Q3053" s="17">
        <f>J3053+L3053+N3053+O3053-P3053-M3053</f>
        <v/>
      </c>
    </row>
    <row r="3054">
      <c r="A3054" s="16" t="inlineStr">
        <is>
          <t>5.22-5.28</t>
        </is>
      </c>
      <c r="B3054" s="16" t="inlineStr">
        <is>
          <t>PO-128-20220453361272901</t>
        </is>
      </c>
      <c r="C3054" s="16" t="inlineStr">
        <is>
          <t>Delivered</t>
        </is>
      </c>
      <c r="D3054" s="16" t="inlineStr">
        <is>
          <t>128-20220469089912901</t>
        </is>
      </c>
      <c r="E3054" s="16" t="inlineStr">
        <is>
          <t>Delivered</t>
        </is>
      </c>
      <c r="F3054" s="16" t="inlineStr">
        <is>
          <t>LB02235-blanco</t>
        </is>
      </c>
      <c r="G3054" s="16" t="inlineStr">
        <is>
          <t>Audífonos Inalámbricos para la Cabeza, Recargables y Multifuncionales - Conectan a Varios Dispositivos, soportan Radio FM, Tarjeta TF y AUX - 4 Horas de Reproducción Musical - Ideal para Trabajo Cotidiano, Juegos y Estudio</t>
        </is>
      </c>
      <c r="H3054" s="16" t="inlineStr">
        <is>
          <t>BLANCO</t>
        </is>
      </c>
      <c r="I3054" s="16" t="n">
        <v>1</v>
      </c>
      <c r="J3054" s="17" t="n">
        <v>36.8</v>
      </c>
      <c r="K3054" s="17" t="n">
        <v>49.91</v>
      </c>
      <c r="L3054" s="17" t="n">
        <v>25.86</v>
      </c>
      <c r="M3054" s="17" t="n">
        <v>0</v>
      </c>
      <c r="N3054" s="17">
        <f>K3054*0.08+L3054*0.08</f>
        <v/>
      </c>
      <c r="O3054" s="17">
        <f>-(K3054*0.025+L3054*0.025)</f>
        <v/>
      </c>
      <c r="P3054" s="17">
        <f>32</f>
        <v/>
      </c>
      <c r="Q3054" s="17">
        <f>J3054+L3054+N3054+O3054-P3054-M3054</f>
        <v/>
      </c>
    </row>
    <row r="3055">
      <c r="A3055" s="16" t="inlineStr">
        <is>
          <t>5.22-5.28</t>
        </is>
      </c>
      <c r="B3055" s="16" t="inlineStr">
        <is>
          <t>PO-128-20276459264631415</t>
        </is>
      </c>
      <c r="C3055" s="16" t="inlineStr">
        <is>
          <t>Delivered</t>
        </is>
      </c>
      <c r="D3055" s="16" t="inlineStr">
        <is>
          <t>128-20276595579511415</t>
        </is>
      </c>
      <c r="E3055" s="16" t="inlineStr">
        <is>
          <t>Delivered</t>
        </is>
      </c>
      <c r="F3055" s="16" t="inlineStr">
        <is>
          <t>KTS-1678Y</t>
        </is>
      </c>
      <c r="G3055" s="16" t="inlineStr">
        <is>
          <t>Bocina portátil Inalámbrico, de 3 pulgadas, tamaño de bolsillo, 170 g, con asa, compatible con TF, USB y Micro SD, con radio FM y función TWS (True Wireless Stereo), adecuada para relajarse en casa o viajar al aire libre.</t>
        </is>
      </c>
      <c r="H3055" s="16" t="inlineStr">
        <is>
          <t>KTS-1678Y</t>
        </is>
      </c>
      <c r="I3055" s="16" t="n">
        <v>1</v>
      </c>
      <c r="J3055" s="17" t="n">
        <v>42.5</v>
      </c>
      <c r="K3055" s="17" t="n">
        <v>48.72</v>
      </c>
      <c r="L3055" s="17" t="n">
        <v>25.86</v>
      </c>
      <c r="M3055" s="17" t="n">
        <v>0</v>
      </c>
      <c r="N3055" s="17">
        <f>K3055*0.08+L3055*0.08</f>
        <v/>
      </c>
      <c r="O3055" s="17">
        <f>-(K3055*0.025+L3055*0.025)</f>
        <v/>
      </c>
      <c r="P3055" s="17">
        <f>32</f>
        <v/>
      </c>
      <c r="Q3055" s="17">
        <f>J3055+L3055+N3055+O3055-P3055-M3055</f>
        <v/>
      </c>
    </row>
    <row r="3056">
      <c r="A3056" s="16" t="inlineStr">
        <is>
          <t>5.22-5.28</t>
        </is>
      </c>
      <c r="B3056" s="16" t="inlineStr">
        <is>
          <t>PO-128-19964113444473405</t>
        </is>
      </c>
      <c r="C3056" s="16" t="inlineStr">
        <is>
          <t>Delivered</t>
        </is>
      </c>
      <c r="D3056" s="16" t="inlineStr">
        <is>
          <t>128-19964062326393405</t>
        </is>
      </c>
      <c r="E3056" s="16" t="inlineStr">
        <is>
          <t>Delivered</t>
        </is>
      </c>
      <c r="F3056" s="16" t="inlineStr">
        <is>
          <t>VB347T</t>
        </is>
      </c>
      <c r="G305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56" s="16" t="inlineStr">
        <is>
          <t>1 pieza</t>
        </is>
      </c>
      <c r="I3056" s="16" t="n">
        <v>1</v>
      </c>
      <c r="J3056" s="17" t="n">
        <v>79.90000000000001</v>
      </c>
      <c r="K3056" s="17" t="n">
        <v>94.5</v>
      </c>
      <c r="L3056" s="17" t="n">
        <v>0</v>
      </c>
      <c r="M3056" s="17" t="n">
        <v>94.5</v>
      </c>
      <c r="N3056" s="17">
        <f>K3056*0.08+L3056*0.08</f>
        <v/>
      </c>
      <c r="O3056" s="17">
        <f>-(K3056*0.025+L3056*0.025)</f>
        <v/>
      </c>
      <c r="P3056" s="17">
        <f>32</f>
        <v/>
      </c>
      <c r="Q3056" s="17">
        <f>J3056+L3056+N3056+O3056-P3056-M3056</f>
        <v/>
      </c>
    </row>
    <row r="3057">
      <c r="A3057" s="16" t="inlineStr">
        <is>
          <t>5.22-5.28</t>
        </is>
      </c>
      <c r="B3057" s="16" t="inlineStr">
        <is>
          <t>PO-128-20098908173433688</t>
        </is>
      </c>
      <c r="C3057" s="16" t="inlineStr">
        <is>
          <t>Delivered</t>
        </is>
      </c>
      <c r="D3057" s="16" t="inlineStr">
        <is>
          <t>128-20098866230393688</t>
        </is>
      </c>
      <c r="E3057" s="16" t="inlineStr">
        <is>
          <t>Delivered</t>
        </is>
      </c>
      <c r="F3057" s="16" t="inlineStr">
        <is>
          <t>FA028</t>
        </is>
      </c>
      <c r="G3057" s="16" t="inlineStr">
        <is>
          <t>Extractor de agua para garrafas de agua, compatible con carga USB, extractor de agua automático, práctico, con dos modos de toma de agua: manual y programado, ideal para dormitorios, salones, oficinas, uso al aire libre y otros escenarios.</t>
        </is>
      </c>
      <c r="H3057" s="16" t="inlineStr">
        <is>
          <t>FA028</t>
        </is>
      </c>
      <c r="I3057" s="16" t="n">
        <v>1</v>
      </c>
      <c r="J3057" s="17" t="n">
        <v>28</v>
      </c>
      <c r="K3057" s="17" t="n">
        <v>37.58</v>
      </c>
      <c r="L3057" s="17" t="n">
        <v>25.86</v>
      </c>
      <c r="M3057" s="17" t="n">
        <v>0</v>
      </c>
      <c r="N3057" s="17">
        <f>K3057*0.08+L3057*0.08</f>
        <v/>
      </c>
      <c r="O3057" s="17">
        <f>-(K3057*0.025+L3057*0.025)</f>
        <v/>
      </c>
      <c r="P3057" s="17">
        <f>32</f>
        <v/>
      </c>
      <c r="Q3057" s="17">
        <f>J3057+L3057+N3057+O3057-P3057-M3057</f>
        <v/>
      </c>
    </row>
    <row r="3058">
      <c r="A3058" s="16" t="inlineStr">
        <is>
          <t>5.22-5.28</t>
        </is>
      </c>
      <c r="B3058" s="16" t="inlineStr">
        <is>
          <t>PO-128-20376094065272036</t>
        </is>
      </c>
      <c r="C3058" s="16" t="inlineStr">
        <is>
          <t>Delivered</t>
        </is>
      </c>
      <c r="D3058" s="16" t="inlineStr">
        <is>
          <t>128-20376052122232036</t>
        </is>
      </c>
      <c r="E3058" s="16" t="inlineStr">
        <is>
          <t>Delivered</t>
        </is>
      </c>
      <c r="F3058" s="16" t="inlineStr">
        <is>
          <t>KTS-1678V</t>
        </is>
      </c>
      <c r="G3058" s="16" t="inlineStr">
        <is>
          <t>Bocina portátil Inalámbrico, de 3 pulgadas, tamaño de bolsillo, 170 g, con asa, compatible con TF, USB y Micro SD, con radio FM y función TWS (True Wireless Stereo), adecuada para relajarse en casa o viajar al aire libre.</t>
        </is>
      </c>
      <c r="H3058" s="16" t="inlineStr">
        <is>
          <t>KTS-1678V</t>
        </is>
      </c>
      <c r="I3058" s="16" t="n">
        <v>2</v>
      </c>
      <c r="J3058" s="17" t="n">
        <v>85</v>
      </c>
      <c r="K3058" s="17" t="n">
        <v>18.8</v>
      </c>
      <c r="L3058" s="17" t="n">
        <v>25.86</v>
      </c>
      <c r="M3058" s="17" t="n">
        <v>0</v>
      </c>
      <c r="N3058" s="17">
        <f>K3058*0.08+L3058*0.08</f>
        <v/>
      </c>
      <c r="O3058" s="17">
        <f>-(K3058*0.025+L3058*0.025)</f>
        <v/>
      </c>
      <c r="P3058" s="17">
        <f>32</f>
        <v/>
      </c>
      <c r="Q3058" s="17">
        <f>J3058+L3058+N3058+O3058-P3058-M3058</f>
        <v/>
      </c>
    </row>
    <row r="3059">
      <c r="A3059" s="16" t="inlineStr">
        <is>
          <t>5.22-5.28</t>
        </is>
      </c>
      <c r="B3059" s="16" t="inlineStr">
        <is>
          <t>PO-128-20213547177592876</t>
        </is>
      </c>
      <c r="C3059" s="16" t="inlineStr">
        <is>
          <t>Delivered</t>
        </is>
      </c>
      <c r="D3059" s="16" t="inlineStr">
        <is>
          <t>128-20213545211512876</t>
        </is>
      </c>
      <c r="E3059" s="16" t="inlineStr">
        <is>
          <t>Delivered</t>
        </is>
      </c>
      <c r="F3059" s="16" t="inlineStr">
        <is>
          <t>LB02235-rojo</t>
        </is>
      </c>
      <c r="G3059" s="16" t="inlineStr">
        <is>
          <t>Audífonos Inalámbricos para la Cabeza, Recargables y Multifuncionales - Conectan a Varios Dispositivos, soportan Radio FM, Tarjeta TF y AUX - 4 Horas de Reproducción Musical - Ideal para Trabajo Cotidiano, Juegos y Estudio</t>
        </is>
      </c>
      <c r="H3059" s="16" t="inlineStr">
        <is>
          <t>ROJO</t>
        </is>
      </c>
      <c r="I3059" s="16" t="n">
        <v>1</v>
      </c>
      <c r="J3059" s="17" t="n">
        <v>36.8</v>
      </c>
      <c r="K3059" s="17" t="n">
        <v>49.91</v>
      </c>
      <c r="L3059" s="17" t="n">
        <v>25.86</v>
      </c>
      <c r="M3059" s="17" t="n">
        <v>0</v>
      </c>
      <c r="N3059" s="17">
        <f>K3059*0.08+L3059*0.08</f>
        <v/>
      </c>
      <c r="O3059" s="17">
        <f>-(K3059*0.025+L3059*0.025)</f>
        <v/>
      </c>
      <c r="P3059" s="17">
        <f>32</f>
        <v/>
      </c>
      <c r="Q3059" s="17">
        <f>J3059+L3059+N3059+O3059-P3059-M3059</f>
        <v/>
      </c>
    </row>
    <row r="3060">
      <c r="A3060" s="16" t="inlineStr">
        <is>
          <t>5.22-5.28</t>
        </is>
      </c>
      <c r="B3060" s="16" t="inlineStr">
        <is>
          <t>PO-128-19951309271673353</t>
        </is>
      </c>
      <c r="C3060" s="16" t="inlineStr">
        <is>
          <t>Delivered</t>
        </is>
      </c>
      <c r="D3060" s="16" t="inlineStr">
        <is>
          <t>128-19951317791353353</t>
        </is>
      </c>
      <c r="E3060" s="16" t="inlineStr">
        <is>
          <t>Delivered</t>
        </is>
      </c>
      <c r="F3060" s="16" t="inlineStr">
        <is>
          <t>FA028</t>
        </is>
      </c>
      <c r="G3060" s="16" t="inlineStr">
        <is>
          <t>Extractor de agua para garrafas de agua, compatible con carga USB, extractor de agua automático, práctico, con dos modos de toma de agua: manual y programado, ideal para dormitorios, salones, oficinas, uso al aire libre y otros escenarios.</t>
        </is>
      </c>
      <c r="H3060" s="16" t="inlineStr">
        <is>
          <t>FA028</t>
        </is>
      </c>
      <c r="I3060" s="16" t="n">
        <v>1</v>
      </c>
      <c r="J3060" s="17" t="n">
        <v>28</v>
      </c>
      <c r="K3060" s="17" t="n">
        <v>37.58</v>
      </c>
      <c r="L3060" s="17" t="n">
        <v>25.86</v>
      </c>
      <c r="M3060" s="17" t="n">
        <v>0</v>
      </c>
      <c r="N3060" s="17">
        <f>K3060*0.08+L3060*0.08</f>
        <v/>
      </c>
      <c r="O3060" s="17">
        <f>-(K3060*0.025+L3060*0.025)</f>
        <v/>
      </c>
      <c r="P3060" s="17">
        <f>32</f>
        <v/>
      </c>
      <c r="Q3060" s="17">
        <f>J3060+L3060+N3060+O3060-P3060-M3060</f>
        <v/>
      </c>
    </row>
    <row r="3061">
      <c r="A3061" s="16" t="inlineStr">
        <is>
          <t>5.22-5.28</t>
        </is>
      </c>
      <c r="B3061" s="16" t="inlineStr">
        <is>
          <t>PO-128-20488439593590150</t>
        </is>
      </c>
      <c r="C3061" s="16" t="inlineStr">
        <is>
          <t>Delivered</t>
        </is>
      </c>
      <c r="D3061" s="16" t="inlineStr">
        <is>
          <t>128-20488492022390150</t>
        </is>
      </c>
      <c r="E3061" s="16" t="inlineStr">
        <is>
          <t>Delivered</t>
        </is>
      </c>
      <c r="F3061" s="16" t="inlineStr">
        <is>
          <t>VA384T-N</t>
        </is>
      </c>
      <c r="G3061" s="16" t="inlineStr">
        <is>
          <t>Bocina Portátil Bluetooth de 3 Pulgadas con Radio FM, USB TF TWS, Sonido Estéreo 5W, Bocina Recargable para Hogar Exterior Viaje Fiesta Camping</t>
        </is>
      </c>
      <c r="H3061" s="16" t="inlineStr">
        <is>
          <t>NEGRO</t>
        </is>
      </c>
      <c r="I3061" s="16" t="n">
        <v>1</v>
      </c>
      <c r="J3061" s="17" t="n">
        <v>50</v>
      </c>
      <c r="K3061" s="17" t="n">
        <v>60.72</v>
      </c>
      <c r="L3061" s="17" t="n">
        <v>14.2</v>
      </c>
      <c r="M3061" s="17" t="n">
        <v>0</v>
      </c>
      <c r="N3061" s="17">
        <f>K3061*0.08+L3061*0.08</f>
        <v/>
      </c>
      <c r="O3061" s="17">
        <f>-(K3061*0.025+L3061*0.025)</f>
        <v/>
      </c>
      <c r="P3061" s="17">
        <f>32</f>
        <v/>
      </c>
      <c r="Q3061" s="17">
        <f>J3061+L3061+N3061+O3061-P3061-M3061</f>
        <v/>
      </c>
    </row>
    <row r="3062">
      <c r="A3062" s="16" t="inlineStr">
        <is>
          <t>5.22-5.28</t>
        </is>
      </c>
      <c r="B3062" s="16" t="inlineStr">
        <is>
          <t>PO-128-20488439593590150</t>
        </is>
      </c>
      <c r="C3062" s="16" t="inlineStr">
        <is>
          <t>Delivered</t>
        </is>
      </c>
      <c r="D3062" s="16" t="inlineStr">
        <is>
          <t>128-20488471050870150</t>
        </is>
      </c>
      <c r="E3062" s="16" t="inlineStr">
        <is>
          <t>Delivered</t>
        </is>
      </c>
      <c r="F3062" s="16" t="inlineStr">
        <is>
          <t>LB02235-rojo</t>
        </is>
      </c>
      <c r="G3062" s="16" t="inlineStr">
        <is>
          <t>Audífonos Inalámbricos para la Cabeza, Recargables y Multifuncionales - Conectan a Varios Dispositivos, soportan Radio FM, Tarjeta TF y AUX - 4 Horas de Reproducción Musical - Ideal para Trabajo Cotidiano, Juegos y Estudio</t>
        </is>
      </c>
      <c r="H3062" s="16" t="inlineStr">
        <is>
          <t>ROJO</t>
        </is>
      </c>
      <c r="I3062" s="16" t="n">
        <v>1</v>
      </c>
      <c r="J3062" s="17" t="n">
        <v>36.8</v>
      </c>
      <c r="K3062" s="17" t="n">
        <v>49.91</v>
      </c>
      <c r="L3062" s="17" t="n">
        <v>11.66</v>
      </c>
      <c r="M3062" s="17" t="n">
        <v>0</v>
      </c>
      <c r="N3062" s="17">
        <f>K3062*0.08+L3062*0.08</f>
        <v/>
      </c>
      <c r="O3062" s="17">
        <f>-(K3062*0.025+L3062*0.025)</f>
        <v/>
      </c>
      <c r="P3062" s="17">
        <f>32</f>
        <v/>
      </c>
      <c r="Q3062" s="17">
        <f>J3062+L3062+N3062+O3062-P3062-M3062</f>
        <v/>
      </c>
    </row>
    <row r="3063">
      <c r="A3063" s="16" t="inlineStr">
        <is>
          <t>5.22-5.28</t>
        </is>
      </c>
      <c r="B3063" s="16" t="inlineStr">
        <is>
          <t>PO-128-20253627443832575</t>
        </is>
      </c>
      <c r="C3063" s="16" t="inlineStr">
        <is>
          <t>Delivered</t>
        </is>
      </c>
      <c r="D3063" s="16" t="inlineStr">
        <is>
          <t>128-20253661522552575</t>
        </is>
      </c>
      <c r="E3063" s="16" t="inlineStr">
        <is>
          <t>Delivered</t>
        </is>
      </c>
      <c r="F3063" s="16" t="inlineStr">
        <is>
          <t>LB02235-negro</t>
        </is>
      </c>
      <c r="G3063" s="16" t="inlineStr">
        <is>
          <t>Audífonos Inalámbricos para la Cabeza, Recargables y Multifuncionales - Conectan a Varios Dispositivos, soportan Radio FM, Tarjeta TF y AUX - 4 Horas de Reproducción Musical - Ideal para Trabajo Cotidiano, Juegos y Estudio</t>
        </is>
      </c>
      <c r="H3063" s="16" t="inlineStr">
        <is>
          <t>NEGRO</t>
        </is>
      </c>
      <c r="I3063" s="16" t="n">
        <v>1</v>
      </c>
      <c r="J3063" s="17" t="n">
        <v>36.8</v>
      </c>
      <c r="K3063" s="17" t="n">
        <v>49.91</v>
      </c>
      <c r="L3063" s="17" t="n">
        <v>25.86</v>
      </c>
      <c r="M3063" s="17" t="n">
        <v>0</v>
      </c>
      <c r="N3063" s="17">
        <f>K3063*0.08+L3063*0.08</f>
        <v/>
      </c>
      <c r="O3063" s="17">
        <f>-(K3063*0.025+L3063*0.025)</f>
        <v/>
      </c>
      <c r="P3063" s="17">
        <f>32</f>
        <v/>
      </c>
      <c r="Q3063" s="17">
        <f>J3063+L3063+N3063+O3063-P3063-M3063</f>
        <v/>
      </c>
    </row>
    <row r="3064">
      <c r="A3064" s="16" t="inlineStr">
        <is>
          <t>5.22-5.28</t>
        </is>
      </c>
      <c r="B3064" s="16" t="inlineStr">
        <is>
          <t>PO-128-20447244421750397</t>
        </is>
      </c>
      <c r="C3064" s="16" t="inlineStr">
        <is>
          <t>Delivered</t>
        </is>
      </c>
      <c r="D3064" s="16" t="inlineStr">
        <is>
          <t>128-20447254907510397</t>
        </is>
      </c>
      <c r="E3064" s="16" t="inlineStr">
        <is>
          <t>Delivered</t>
        </is>
      </c>
      <c r="F3064" s="16" t="inlineStr">
        <is>
          <t>LB02235-negro</t>
        </is>
      </c>
      <c r="G3064" s="16" t="inlineStr">
        <is>
          <t>Audífonos Inalámbricos para la Cabeza, Recargables y Multifuncionales - Conectan a Varios Dispositivos, soportan Radio FM, Tarjeta TF y AUX - 4 Horas de Reproducción Musical - Ideal para Trabajo Cotidiano, Juegos y Estudio</t>
        </is>
      </c>
      <c r="H3064" s="16" t="inlineStr">
        <is>
          <t>NEGRO</t>
        </is>
      </c>
      <c r="I3064" s="16" t="n">
        <v>1</v>
      </c>
      <c r="J3064" s="17" t="n">
        <v>36.8</v>
      </c>
      <c r="K3064" s="17" t="n">
        <v>49.91</v>
      </c>
      <c r="L3064" s="17" t="n">
        <v>25.86</v>
      </c>
      <c r="M3064" s="17" t="n">
        <v>0</v>
      </c>
      <c r="N3064" s="17">
        <f>K3064*0.08+L3064*0.08</f>
        <v/>
      </c>
      <c r="O3064" s="17">
        <f>-(K3064*0.025+L3064*0.025)</f>
        <v/>
      </c>
      <c r="P3064" s="17">
        <f>32</f>
        <v/>
      </c>
      <c r="Q3064" s="17">
        <f>J3064+L3064+N3064+O3064-P3064-M3064</f>
        <v/>
      </c>
    </row>
    <row r="3065">
      <c r="A3065" s="16" t="inlineStr">
        <is>
          <t>5.22-5.28</t>
        </is>
      </c>
      <c r="B3065" s="16" t="inlineStr">
        <is>
          <t>PO-128-20415544981111736</t>
        </is>
      </c>
      <c r="C3065" s="16" t="inlineStr">
        <is>
          <t>Delivered</t>
        </is>
      </c>
      <c r="D3065" s="16" t="inlineStr">
        <is>
          <t>128-20415682591351736</t>
        </is>
      </c>
      <c r="E3065" s="16" t="inlineStr">
        <is>
          <t>Delivered</t>
        </is>
      </c>
      <c r="F3065" s="16" t="inlineStr">
        <is>
          <t>VB347T</t>
        </is>
      </c>
      <c r="G306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65" s="16" t="inlineStr">
        <is>
          <t>1 pieza</t>
        </is>
      </c>
      <c r="I3065" s="16" t="n">
        <v>1</v>
      </c>
      <c r="J3065" s="17" t="n">
        <v>79.90000000000001</v>
      </c>
      <c r="K3065" s="17" t="n">
        <v>94.5</v>
      </c>
      <c r="L3065" s="17" t="n">
        <v>13.36</v>
      </c>
      <c r="M3065" s="17" t="n">
        <v>0</v>
      </c>
      <c r="N3065" s="17">
        <f>K3065*0.08+L3065*0.08</f>
        <v/>
      </c>
      <c r="O3065" s="17">
        <f>-(K3065*0.025+L3065*0.025)</f>
        <v/>
      </c>
      <c r="P3065" s="17">
        <f>32</f>
        <v/>
      </c>
      <c r="Q3065" s="17">
        <f>J3065+L3065+N3065+O3065-P3065-M3065</f>
        <v/>
      </c>
    </row>
    <row r="3066">
      <c r="A3066" s="16" t="inlineStr">
        <is>
          <t>5.22-5.28</t>
        </is>
      </c>
      <c r="B3066" s="16" t="inlineStr">
        <is>
          <t>PO-128-20415544981111736</t>
        </is>
      </c>
      <c r="C3066" s="16" t="inlineStr">
        <is>
          <t>Delivered</t>
        </is>
      </c>
      <c r="D3066" s="16" t="inlineStr">
        <is>
          <t>128-20415649838711736</t>
        </is>
      </c>
      <c r="E3066" s="16" t="inlineStr">
        <is>
          <t>Delivered</t>
        </is>
      </c>
      <c r="F3066" s="16" t="inlineStr">
        <is>
          <t>MB-185A</t>
        </is>
      </c>
      <c r="G3066" s="16" t="inlineStr">
        <is>
          <t>Bocina Radio FM/Reproductor, Compatible con Tarjeta TF, USB, Bluetooth, Aplicable para celular, computadora, Ipad y consola.</t>
        </is>
      </c>
      <c r="H3066" s="16" t="inlineStr">
        <is>
          <t>AZUL/MB-185</t>
        </is>
      </c>
      <c r="I3066" s="16" t="n">
        <v>1</v>
      </c>
      <c r="J3066" s="17" t="n">
        <v>75.5</v>
      </c>
      <c r="K3066" s="17" t="n">
        <v>88.44</v>
      </c>
      <c r="L3066" s="17" t="n">
        <v>12.5</v>
      </c>
      <c r="M3066" s="17" t="n">
        <v>0</v>
      </c>
      <c r="N3066" s="17">
        <f>K3066*0.08+L3066*0.08</f>
        <v/>
      </c>
      <c r="O3066" s="17">
        <f>-(K3066*0.025+L3066*0.025)</f>
        <v/>
      </c>
      <c r="P3066" s="17">
        <f>32</f>
        <v/>
      </c>
      <c r="Q3066" s="17">
        <f>J3066+L3066+N3066+O3066-P3066-M3066</f>
        <v/>
      </c>
    </row>
    <row r="3067">
      <c r="A3067" s="16" t="inlineStr">
        <is>
          <t>5.22-5.28</t>
        </is>
      </c>
      <c r="B3067" s="16" t="inlineStr">
        <is>
          <t>PO-128-20605623276150605</t>
        </is>
      </c>
      <c r="C3067" s="16" t="inlineStr">
        <is>
          <t>Delivered</t>
        </is>
      </c>
      <c r="D3067" s="16" t="inlineStr">
        <is>
          <t>128-20605759591030605</t>
        </is>
      </c>
      <c r="E3067" s="16" t="inlineStr">
        <is>
          <t>Delivered</t>
        </is>
      </c>
      <c r="F3067" s="16" t="inlineStr">
        <is>
          <t>MCM-001A</t>
        </is>
      </c>
      <c r="G3067" s="16" t="inlineStr">
        <is>
          <t>Musicord Altavoz Inalámbrico BT Portátil: ¡Sonido impactante, luces LED multicolores y 4 horas de autonomía! Compatible con TWS, FM, TF y USB – Imprescindible para fiestas y viajes</t>
        </is>
      </c>
      <c r="H3067" s="16" t="inlineStr">
        <is>
          <t>AZUL</t>
        </is>
      </c>
      <c r="I3067" s="16" t="n">
        <v>1</v>
      </c>
      <c r="J3067" s="17" t="n">
        <v>51.07</v>
      </c>
      <c r="K3067" s="17" t="n">
        <v>59.47</v>
      </c>
      <c r="L3067" s="17" t="n">
        <v>25.86</v>
      </c>
      <c r="M3067" s="17" t="n">
        <v>0</v>
      </c>
      <c r="N3067" s="17">
        <f>K3067*0.08+L3067*0.08</f>
        <v/>
      </c>
      <c r="O3067" s="17">
        <f>-(K3067*0.025+L3067*0.025)</f>
        <v/>
      </c>
      <c r="P3067" s="17">
        <f>32</f>
        <v/>
      </c>
      <c r="Q3067" s="17">
        <f>J3067+L3067+N3067+O3067-P3067-M3067</f>
        <v/>
      </c>
    </row>
    <row r="3068">
      <c r="A3068" s="16" t="inlineStr">
        <is>
          <t>5.22-5.28</t>
        </is>
      </c>
      <c r="B3068" s="16" t="inlineStr">
        <is>
          <t>PO-128-20292737055351508</t>
        </is>
      </c>
      <c r="C3068" s="16" t="inlineStr">
        <is>
          <t>Delivered</t>
        </is>
      </c>
      <c r="D3068" s="16" t="inlineStr">
        <is>
          <t>128-20292841912951508</t>
        </is>
      </c>
      <c r="E3068" s="16" t="inlineStr">
        <is>
          <t>Delivered</t>
        </is>
      </c>
      <c r="F3068" s="16" t="inlineStr">
        <is>
          <t>MB-185A</t>
        </is>
      </c>
      <c r="G3068" s="16" t="inlineStr">
        <is>
          <t>Bocina Radio FM/Reproductor, Compatible con Tarjeta TF, USB, Bluetooth, Aplicable para celular, computadora, Ipad y consola.</t>
        </is>
      </c>
      <c r="H3068" s="16" t="inlineStr">
        <is>
          <t>AZUL/MB-185</t>
        </is>
      </c>
      <c r="I3068" s="16" t="n">
        <v>1</v>
      </c>
      <c r="J3068" s="17" t="n">
        <v>75.5</v>
      </c>
      <c r="K3068" s="17" t="n">
        <v>5.68</v>
      </c>
      <c r="L3068" s="17" t="n">
        <v>25.86</v>
      </c>
      <c r="M3068" s="17" t="n">
        <v>0</v>
      </c>
      <c r="N3068" s="17">
        <f>K3068*0.08+L3068*0.08</f>
        <v/>
      </c>
      <c r="O3068" s="17">
        <f>-(K3068*0.025+L3068*0.025)</f>
        <v/>
      </c>
      <c r="P3068" s="17">
        <f>32</f>
        <v/>
      </c>
      <c r="Q3068" s="17">
        <f>J3068+L3068+N3068+O3068-P3068-M3068</f>
        <v/>
      </c>
    </row>
    <row r="3069">
      <c r="A3069" s="16" t="inlineStr">
        <is>
          <t>5.22-5.28</t>
        </is>
      </c>
      <c r="B3069" s="16" t="inlineStr">
        <is>
          <t>PO-128-19966940708473450</t>
        </is>
      </c>
      <c r="C3069" s="16" t="inlineStr">
        <is>
          <t>Delivered</t>
        </is>
      </c>
      <c r="D3069" s="16" t="inlineStr">
        <is>
          <t>128-19966961679993450</t>
        </is>
      </c>
      <c r="E3069" s="16" t="inlineStr">
        <is>
          <t>Delivered</t>
        </is>
      </c>
      <c r="F3069" s="16" t="inlineStr">
        <is>
          <t>FA028</t>
        </is>
      </c>
      <c r="G3069" s="16" t="inlineStr">
        <is>
          <t>Extractor de agua para garrafas de agua, compatible con carga USB, extractor de agua automático, práctico, con dos modos de toma de agua: manual y programado, ideal para dormitorios, salones, oficinas, uso al aire libre y otros escenarios.</t>
        </is>
      </c>
      <c r="H3069" s="16" t="inlineStr">
        <is>
          <t>FA028</t>
        </is>
      </c>
      <c r="I3069" s="16" t="n">
        <v>1</v>
      </c>
      <c r="J3069" s="17" t="n">
        <v>28</v>
      </c>
      <c r="K3069" s="17" t="n">
        <v>34.25</v>
      </c>
      <c r="L3069" s="17" t="n">
        <v>25.86</v>
      </c>
      <c r="M3069" s="17" t="n">
        <v>0</v>
      </c>
      <c r="N3069" s="17">
        <f>K3069*0.08+L3069*0.08</f>
        <v/>
      </c>
      <c r="O3069" s="17">
        <f>-(K3069*0.025+L3069*0.025)</f>
        <v/>
      </c>
      <c r="P3069" s="17">
        <f>32</f>
        <v/>
      </c>
      <c r="Q3069" s="17">
        <f>J3069+L3069+N3069+O3069-P3069-M3069</f>
        <v/>
      </c>
    </row>
    <row r="3070">
      <c r="A3070" s="16" t="inlineStr">
        <is>
          <t>5.22-5.28</t>
        </is>
      </c>
      <c r="B3070" s="16" t="inlineStr">
        <is>
          <t>PO-128-20096163251833704</t>
        </is>
      </c>
      <c r="C3070" s="16" t="inlineStr">
        <is>
          <t>Delivered</t>
        </is>
      </c>
      <c r="D3070" s="16" t="inlineStr">
        <is>
          <t>128-20096205194873704</t>
        </is>
      </c>
      <c r="E3070" s="16" t="inlineStr">
        <is>
          <t>Delivered</t>
        </is>
      </c>
      <c r="F3070" s="16" t="inlineStr">
        <is>
          <t>FA028</t>
        </is>
      </c>
      <c r="G3070" s="16" t="inlineStr">
        <is>
          <t>Extractor de agua para garrafas de agua, compatible con carga USB, extractor de agua automático, práctico, con dos modos de toma de agua: manual y programado, ideal para dormitorios, salones, oficinas, uso al aire libre y otros escenarios.</t>
        </is>
      </c>
      <c r="H3070" s="16" t="inlineStr">
        <is>
          <t>FA028</t>
        </is>
      </c>
      <c r="I3070" s="16" t="n">
        <v>2</v>
      </c>
      <c r="J3070" s="17" t="n">
        <v>56</v>
      </c>
      <c r="K3070" s="17" t="n">
        <v>75.16</v>
      </c>
      <c r="L3070" s="17" t="n">
        <v>25.86</v>
      </c>
      <c r="M3070" s="17" t="n">
        <v>0</v>
      </c>
      <c r="N3070" s="17">
        <f>K3070*0.08+L3070*0.08</f>
        <v/>
      </c>
      <c r="O3070" s="17">
        <f>-(K3070*0.025+L3070*0.025)</f>
        <v/>
      </c>
      <c r="P3070" s="17">
        <f>32</f>
        <v/>
      </c>
      <c r="Q3070" s="17">
        <f>J3070+L3070+N3070+O3070-P3070-M3070</f>
        <v/>
      </c>
    </row>
    <row r="3071">
      <c r="A3071" s="16" t="inlineStr">
        <is>
          <t>5.22-5.28</t>
        </is>
      </c>
      <c r="B3071" s="16" t="inlineStr">
        <is>
          <t>PO-128-20475577319030293</t>
        </is>
      </c>
      <c r="C3071" s="16" t="inlineStr">
        <is>
          <t>Delivered</t>
        </is>
      </c>
      <c r="D3071" s="16" t="inlineStr">
        <is>
          <t>128-20475566833270293</t>
        </is>
      </c>
      <c r="E3071" s="16" t="inlineStr">
        <is>
          <t>Delivered</t>
        </is>
      </c>
      <c r="F3071" s="16" t="inlineStr">
        <is>
          <t>MB-185R</t>
        </is>
      </c>
      <c r="G3071" s="16" t="inlineStr">
        <is>
          <t>Bocina Radio FM/Reproductor, Compatible con Tarjeta TF, USB, Bluetooth, Aplicable para celular, computadora, Ipad y consola.</t>
        </is>
      </c>
      <c r="H3071" s="16" t="inlineStr">
        <is>
          <t>ROJO/MB-185</t>
        </is>
      </c>
      <c r="I3071" s="16" t="n">
        <v>1</v>
      </c>
      <c r="J3071" s="17" t="n">
        <v>74</v>
      </c>
      <c r="K3071" s="17" t="n">
        <v>86.94</v>
      </c>
      <c r="L3071" s="17" t="n">
        <v>25.86</v>
      </c>
      <c r="M3071" s="17" t="n">
        <v>2.7</v>
      </c>
      <c r="N3071" s="17">
        <f>K3071*0.08+L3071*0.08</f>
        <v/>
      </c>
      <c r="O3071" s="17">
        <f>-(K3071*0.025+L3071*0.025)</f>
        <v/>
      </c>
      <c r="P3071" s="17">
        <f>32</f>
        <v/>
      </c>
      <c r="Q3071" s="17">
        <f>J3071+L3071+N3071+O3071-P3071-M3071</f>
        <v/>
      </c>
    </row>
    <row r="3072">
      <c r="A3072" s="16" t="inlineStr">
        <is>
          <t>5.22-5.28</t>
        </is>
      </c>
      <c r="B3072" s="16" t="inlineStr">
        <is>
          <t>PO-128-20533481518710907</t>
        </is>
      </c>
      <c r="C3072" s="16" t="inlineStr">
        <is>
          <t>Delivered</t>
        </is>
      </c>
      <c r="D3072" s="16" t="inlineStr">
        <is>
          <t>128-20533617833590907</t>
        </is>
      </c>
      <c r="E3072" s="16" t="inlineStr">
        <is>
          <t>Delivered</t>
        </is>
      </c>
      <c r="F3072" s="16" t="inlineStr">
        <is>
          <t>S09W18IB</t>
        </is>
      </c>
      <c r="G307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072" s="16" t="inlineStr">
        <is>
          <t>1 pieza</t>
        </is>
      </c>
      <c r="I3072" s="16" t="n">
        <v>6</v>
      </c>
      <c r="J3072" s="17" t="n">
        <v>156</v>
      </c>
      <c r="K3072" s="17" t="n">
        <v>175.86</v>
      </c>
      <c r="L3072" s="17" t="n">
        <v>25.86</v>
      </c>
      <c r="M3072" s="17" t="n">
        <v>0</v>
      </c>
      <c r="N3072" s="17">
        <f>K3072*0.08+L3072*0.08</f>
        <v/>
      </c>
      <c r="O3072" s="17">
        <f>-(K3072*0.025+L3072*0.025)</f>
        <v/>
      </c>
      <c r="P3072" s="17">
        <f>32</f>
        <v/>
      </c>
      <c r="Q3072" s="17">
        <f>J3072+L3072+N3072+O3072-P3072-M3072</f>
        <v/>
      </c>
    </row>
    <row r="3073">
      <c r="A3073" s="16" t="inlineStr">
        <is>
          <t>5.22-5.28</t>
        </is>
      </c>
      <c r="B3073" s="16" t="inlineStr">
        <is>
          <t>PO-128-20376228199032037</t>
        </is>
      </c>
      <c r="C3073" s="16" t="inlineStr">
        <is>
          <t>Delivered</t>
        </is>
      </c>
      <c r="D3073" s="16" t="inlineStr">
        <is>
          <t>128-20376186255992037</t>
        </is>
      </c>
      <c r="E3073" s="16" t="inlineStr">
        <is>
          <t>Delivered</t>
        </is>
      </c>
      <c r="F3073" s="16" t="inlineStr">
        <is>
          <t>LB02235-blanco</t>
        </is>
      </c>
      <c r="G3073" s="16" t="inlineStr">
        <is>
          <t>Audífonos Inalámbricos para la Cabeza, Recargables y Multifuncionales - Conectan a Varios Dispositivos, soportan Radio FM, Tarjeta TF y AUX - 4 Horas de Reproducción Musical - Ideal para Trabajo Cotidiano, Juegos y Estudio</t>
        </is>
      </c>
      <c r="H3073" s="16" t="inlineStr">
        <is>
          <t>BLANCO</t>
        </is>
      </c>
      <c r="I3073" s="16" t="n">
        <v>1</v>
      </c>
      <c r="J3073" s="17" t="n">
        <v>36.8</v>
      </c>
      <c r="K3073" s="17" t="n">
        <v>49.91</v>
      </c>
      <c r="L3073" s="17" t="n">
        <v>25.86</v>
      </c>
      <c r="M3073" s="17" t="n">
        <v>0</v>
      </c>
      <c r="N3073" s="17">
        <f>K3073*0.08+L3073*0.08</f>
        <v/>
      </c>
      <c r="O3073" s="17">
        <f>-(K3073*0.025+L3073*0.025)</f>
        <v/>
      </c>
      <c r="P3073" s="17">
        <f>32</f>
        <v/>
      </c>
      <c r="Q3073" s="17">
        <f>J3073+L3073+N3073+O3073-P3073-M3073</f>
        <v/>
      </c>
    </row>
    <row r="3074">
      <c r="A3074" s="16" t="inlineStr">
        <is>
          <t>5.22-5.28</t>
        </is>
      </c>
      <c r="B3074" s="16" t="inlineStr">
        <is>
          <t>PO-128-19994826696313092</t>
        </is>
      </c>
      <c r="C3074" s="16" t="inlineStr">
        <is>
          <t>Delivered</t>
        </is>
      </c>
      <c r="D3074" s="16" t="inlineStr">
        <is>
          <t>128-19994868639353092</t>
        </is>
      </c>
      <c r="E3074" s="16" t="inlineStr">
        <is>
          <t>Delivered</t>
        </is>
      </c>
      <c r="F3074" s="16" t="inlineStr">
        <is>
          <t>LB02235-negro</t>
        </is>
      </c>
      <c r="G3074" s="16" t="inlineStr">
        <is>
          <t>Audífonos Inalámbricos para la Cabeza, Recargables y Multifuncionales - Conectan a Varios Dispositivos, soportan Radio FM, Tarjeta TF y AUX - 4 Horas de Reproducción Musical - Ideal para Trabajo Cotidiano, Juegos y Estudio</t>
        </is>
      </c>
      <c r="H3074" s="16" t="inlineStr">
        <is>
          <t>NEGRO</t>
        </is>
      </c>
      <c r="I3074" s="16" t="n">
        <v>1</v>
      </c>
      <c r="J3074" s="17" t="n">
        <v>36.8</v>
      </c>
      <c r="K3074" s="17" t="n">
        <v>49.91</v>
      </c>
      <c r="L3074" s="17" t="n">
        <v>25.86</v>
      </c>
      <c r="M3074" s="17" t="n">
        <v>0</v>
      </c>
      <c r="N3074" s="17">
        <f>K3074*0.08+L3074*0.08</f>
        <v/>
      </c>
      <c r="O3074" s="17">
        <f>-(K3074*0.025+L3074*0.025)</f>
        <v/>
      </c>
      <c r="P3074" s="17">
        <f>32</f>
        <v/>
      </c>
      <c r="Q3074" s="17">
        <f>J3074+L3074+N3074+O3074-P3074-M3074</f>
        <v/>
      </c>
    </row>
    <row r="3075">
      <c r="A3075" s="16" t="inlineStr">
        <is>
          <t>5.22-5.28</t>
        </is>
      </c>
      <c r="B3075" s="16" t="inlineStr">
        <is>
          <t>PO-128-20161362867832293</t>
        </is>
      </c>
      <c r="C3075" s="16" t="inlineStr">
        <is>
          <t>Delivered</t>
        </is>
      </c>
      <c r="D3075" s="16" t="inlineStr">
        <is>
          <t>128-20161365489272293</t>
        </is>
      </c>
      <c r="E3075" s="16" t="inlineStr">
        <is>
          <t>Delivered</t>
        </is>
      </c>
      <c r="F3075" s="16" t="inlineStr">
        <is>
          <t>LB02235-negro</t>
        </is>
      </c>
      <c r="G3075" s="16" t="inlineStr">
        <is>
          <t>Audífonos Inalámbricos para la Cabeza, Recargables y Multifuncionales - Conectan a Varios Dispositivos, soportan Radio FM, Tarjeta TF y AUX - 4 Horas de Reproducción Musical - Ideal para Trabajo Cotidiano, Juegos y Estudio</t>
        </is>
      </c>
      <c r="H3075" s="16" t="inlineStr">
        <is>
          <t>NEGRO</t>
        </is>
      </c>
      <c r="I3075" s="16" t="n">
        <v>1</v>
      </c>
      <c r="J3075" s="17" t="n">
        <v>36.8</v>
      </c>
      <c r="K3075" s="17" t="n">
        <v>31.35</v>
      </c>
      <c r="L3075" s="17" t="n">
        <v>12.93</v>
      </c>
      <c r="M3075" s="17" t="n">
        <v>0</v>
      </c>
      <c r="N3075" s="17">
        <f>K3075*0.08+L3075*0.08</f>
        <v/>
      </c>
      <c r="O3075" s="17">
        <f>-(K3075*0.025+L3075*0.025)</f>
        <v/>
      </c>
      <c r="P3075" s="17">
        <f>32</f>
        <v/>
      </c>
      <c r="Q3075" s="17">
        <f>J3075+L3075+N3075+O3075-P3075-M3075</f>
        <v/>
      </c>
    </row>
    <row r="3076">
      <c r="A3076" s="16" t="inlineStr">
        <is>
          <t>5.22-5.28</t>
        </is>
      </c>
      <c r="B3076" s="16" t="inlineStr">
        <is>
          <t>PO-128-20161362867832293</t>
        </is>
      </c>
      <c r="C3076" s="16" t="inlineStr">
        <is>
          <t>Delivered</t>
        </is>
      </c>
      <c r="D3076" s="16" t="inlineStr">
        <is>
          <t>128-20161373353592293</t>
        </is>
      </c>
      <c r="E3076" s="16" t="inlineStr">
        <is>
          <t>Delivered</t>
        </is>
      </c>
      <c r="F3076" s="16" t="inlineStr">
        <is>
          <t>LB02235-rojo</t>
        </is>
      </c>
      <c r="G3076" s="16" t="inlineStr">
        <is>
          <t>Audífonos Inalámbricos para la Cabeza, Recargables y Multifuncionales - Conectan a Varios Dispositivos, soportan Radio FM, Tarjeta TF y AUX - 4 Horas de Reproducción Musical - Ideal para Trabajo Cotidiano, Juegos y Estudio</t>
        </is>
      </c>
      <c r="H3076" s="16" t="inlineStr">
        <is>
          <t>ROJO</t>
        </is>
      </c>
      <c r="I3076" s="16" t="n">
        <v>1</v>
      </c>
      <c r="J3076" s="17" t="n">
        <v>36.8</v>
      </c>
      <c r="K3076" s="17" t="n">
        <v>31.35</v>
      </c>
      <c r="L3076" s="17" t="n">
        <v>12.93</v>
      </c>
      <c r="M3076" s="17" t="n">
        <v>0</v>
      </c>
      <c r="N3076" s="17">
        <f>K3076*0.08+L3076*0.08</f>
        <v/>
      </c>
      <c r="O3076" s="17">
        <f>-(K3076*0.025+L3076*0.025)</f>
        <v/>
      </c>
      <c r="P3076" s="17">
        <f>32</f>
        <v/>
      </c>
      <c r="Q3076" s="17">
        <f>J3076+L3076+N3076+O3076-P3076-M3076</f>
        <v/>
      </c>
    </row>
    <row r="3077">
      <c r="A3077" s="16" t="inlineStr">
        <is>
          <t>5.22-5.28</t>
        </is>
      </c>
      <c r="B3077" s="16" t="inlineStr">
        <is>
          <t>PO-128-20269194511992675</t>
        </is>
      </c>
      <c r="C3077" s="16" t="inlineStr">
        <is>
          <t>Delivered</t>
        </is>
      </c>
      <c r="D3077" s="16" t="inlineStr">
        <is>
          <t>128-20269204997752675</t>
        </is>
      </c>
      <c r="E3077" s="16" t="inlineStr">
        <is>
          <t>Delivered</t>
        </is>
      </c>
      <c r="F3077" s="16" t="inlineStr">
        <is>
          <t>MB-185A</t>
        </is>
      </c>
      <c r="G3077" s="16" t="inlineStr">
        <is>
          <t>Bocina Radio FM/Reproductor, Compatible con Tarjeta TF, USB, Bluetooth, Aplicable para celular, computadora, Ipad y consola.</t>
        </is>
      </c>
      <c r="H3077" s="16" t="inlineStr">
        <is>
          <t>AZUL/MB-185</t>
        </is>
      </c>
      <c r="I3077" s="16" t="n">
        <v>1</v>
      </c>
      <c r="J3077" s="17" t="n">
        <v>75.5</v>
      </c>
      <c r="K3077" s="17" t="n">
        <v>88.44</v>
      </c>
      <c r="L3077" s="17" t="n">
        <v>25.86</v>
      </c>
      <c r="M3077" s="17" t="n">
        <v>0</v>
      </c>
      <c r="N3077" s="17">
        <f>K3077*0.08+L3077*0.08</f>
        <v/>
      </c>
      <c r="O3077" s="17">
        <f>-(K3077*0.025+L3077*0.025)</f>
        <v/>
      </c>
      <c r="P3077" s="17">
        <f>32</f>
        <v/>
      </c>
      <c r="Q3077" s="17">
        <f>J3077+L3077+N3077+O3077-P3077-M3077</f>
        <v/>
      </c>
    </row>
    <row r="3078">
      <c r="A3078" s="16" t="inlineStr">
        <is>
          <t>5.22-5.28</t>
        </is>
      </c>
      <c r="B3078" s="16" t="inlineStr">
        <is>
          <t>PO-128-20415911265911734</t>
        </is>
      </c>
      <c r="C3078" s="16" t="inlineStr">
        <is>
          <t>Delivered</t>
        </is>
      </c>
      <c r="D3078" s="16" t="inlineStr">
        <is>
          <t>128-20415900780151734</t>
        </is>
      </c>
      <c r="E3078" s="16" t="inlineStr">
        <is>
          <t>Delivered</t>
        </is>
      </c>
      <c r="F3078" s="16" t="inlineStr">
        <is>
          <t>SA325T</t>
        </is>
      </c>
      <c r="G3078" s="16" t="inlineStr">
        <is>
          <t>Subwoofer Portátil Inalámbrico con Luces RGB, Sonido de Alta Potencia y Batería Duradera, TWS TF USB, Perfecto para Campamento Fiestas y Entretenimiento en Casa</t>
        </is>
      </c>
      <c r="H3078" s="16" t="inlineStr">
        <is>
          <t>NEGRO</t>
        </is>
      </c>
      <c r="I3078" s="16" t="n">
        <v>1</v>
      </c>
      <c r="J3078" s="17" t="n">
        <v>38</v>
      </c>
      <c r="K3078" s="17" t="n">
        <v>43.31</v>
      </c>
      <c r="L3078" s="17" t="n">
        <v>25.86</v>
      </c>
      <c r="M3078" s="17" t="n">
        <v>0</v>
      </c>
      <c r="N3078" s="17">
        <f>K3078*0.08+L3078*0.08</f>
        <v/>
      </c>
      <c r="O3078" s="17">
        <f>-(K3078*0.025+L3078*0.025)</f>
        <v/>
      </c>
      <c r="P3078" s="17">
        <f>32</f>
        <v/>
      </c>
      <c r="Q3078" s="17">
        <f>J3078+L3078+N3078+O3078-P3078-M3078</f>
        <v/>
      </c>
    </row>
    <row r="3079">
      <c r="A3079" s="16" t="inlineStr">
        <is>
          <t>5.22-5.28</t>
        </is>
      </c>
      <c r="B3079" s="16" t="inlineStr">
        <is>
          <t>PO-128-20588398986870706</t>
        </is>
      </c>
      <c r="C3079" s="16" t="inlineStr">
        <is>
          <t>Delivered</t>
        </is>
      </c>
      <c r="D3079" s="16" t="inlineStr">
        <is>
          <t>128-20588378015350706</t>
        </is>
      </c>
      <c r="E3079" s="16" t="inlineStr">
        <is>
          <t>Delivered</t>
        </is>
      </c>
      <c r="F3079" s="16" t="inlineStr">
        <is>
          <t>VB347T</t>
        </is>
      </c>
      <c r="G307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079" s="16" t="inlineStr">
        <is>
          <t>1 pieza</t>
        </is>
      </c>
      <c r="I3079" s="16" t="n">
        <v>1</v>
      </c>
      <c r="J3079" s="17" t="n">
        <v>79.90000000000001</v>
      </c>
      <c r="K3079" s="17" t="n">
        <v>94.5</v>
      </c>
      <c r="L3079" s="17" t="n">
        <v>25.86</v>
      </c>
      <c r="M3079" s="17" t="n">
        <v>0</v>
      </c>
      <c r="N3079" s="17">
        <f>K3079*0.08+L3079*0.08</f>
        <v/>
      </c>
      <c r="O3079" s="17">
        <f>-(K3079*0.025+L3079*0.025)</f>
        <v/>
      </c>
      <c r="P3079" s="17">
        <f>32</f>
        <v/>
      </c>
      <c r="Q3079" s="17">
        <f>J3079+L3079+N3079+O3079-P3079-M3079</f>
        <v/>
      </c>
    </row>
    <row r="3080">
      <c r="A3080" s="16" t="inlineStr">
        <is>
          <t>5.22-5.28</t>
        </is>
      </c>
      <c r="B3080" s="16" t="inlineStr">
        <is>
          <t>PO-128-20357547838071122</t>
        </is>
      </c>
      <c r="C3080" s="16" t="inlineStr">
        <is>
          <t>Delivered</t>
        </is>
      </c>
      <c r="D3080" s="16" t="inlineStr">
        <is>
          <t>128-20357589781111122</t>
        </is>
      </c>
      <c r="E3080" s="16" t="inlineStr">
        <is>
          <t>Delivered</t>
        </is>
      </c>
      <c r="F3080" s="16" t="inlineStr">
        <is>
          <t>LB02235-rojo</t>
        </is>
      </c>
      <c r="G3080" s="16" t="inlineStr">
        <is>
          <t>Audífonos Inalámbricos para la Cabeza, Recargables y Multifuncionales - Conectan a Varios Dispositivos, soportan Radio FM, Tarjeta TF y AUX - 4 Horas de Reproducción Musical - Ideal para Trabajo Cotidiano, Juegos y Estudio</t>
        </is>
      </c>
      <c r="H3080" s="16" t="inlineStr">
        <is>
          <t>ROJO</t>
        </is>
      </c>
      <c r="I3080" s="16" t="n">
        <v>1</v>
      </c>
      <c r="J3080" s="17" t="n">
        <v>36.8</v>
      </c>
      <c r="K3080" s="17" t="n">
        <v>49.91</v>
      </c>
      <c r="L3080" s="17" t="n">
        <v>25.86</v>
      </c>
      <c r="M3080" s="17" t="n">
        <v>0</v>
      </c>
      <c r="N3080" s="17">
        <f>K3080*0.08+L3080*0.08</f>
        <v/>
      </c>
      <c r="O3080" s="17">
        <f>-(K3080*0.025+L3080*0.025)</f>
        <v/>
      </c>
      <c r="P3080" s="17">
        <f>32</f>
        <v/>
      </c>
      <c r="Q3080" s="17">
        <f>J3080+L3080+N3080+O3080-P3080-M3080</f>
        <v/>
      </c>
    </row>
    <row r="3081">
      <c r="A3081" s="16" t="inlineStr">
        <is>
          <t>5.22-5.28</t>
        </is>
      </c>
      <c r="B3081" s="16" t="inlineStr">
        <is>
          <t>PO-128-20333385672311266</t>
        </is>
      </c>
      <c r="C3081" s="16" t="inlineStr">
        <is>
          <t>Delivered</t>
        </is>
      </c>
      <c r="D3081" s="16" t="inlineStr">
        <is>
          <t>128-20333364700791266</t>
        </is>
      </c>
      <c r="E3081" s="16" t="inlineStr">
        <is>
          <t>Delivered</t>
        </is>
      </c>
      <c r="F3081" s="16" t="inlineStr">
        <is>
          <t>LB02235-rojo</t>
        </is>
      </c>
      <c r="G3081" s="16" t="inlineStr">
        <is>
          <t>Audífonos Inalámbricos para la Cabeza, Recargables y Multifuncionales - Conectan a Varios Dispositivos, soportan Radio FM, Tarjeta TF y AUX - 4 Horas de Reproducción Musical - Ideal para Trabajo Cotidiano, Juegos y Estudio</t>
        </is>
      </c>
      <c r="H3081" s="16" t="inlineStr">
        <is>
          <t>ROJO</t>
        </is>
      </c>
      <c r="I3081" s="16" t="n">
        <v>1</v>
      </c>
      <c r="J3081" s="17" t="n">
        <v>36.8</v>
      </c>
      <c r="K3081" s="17" t="n">
        <v>39.94</v>
      </c>
      <c r="L3081" s="17" t="n">
        <v>25.86</v>
      </c>
      <c r="M3081" s="17" t="n">
        <v>0</v>
      </c>
      <c r="N3081" s="17">
        <f>K3081*0.08+L3081*0.08</f>
        <v/>
      </c>
      <c r="O3081" s="17">
        <f>-(K3081*0.025+L3081*0.025)</f>
        <v/>
      </c>
      <c r="P3081" s="17">
        <f>32</f>
        <v/>
      </c>
      <c r="Q3081" s="17">
        <f>J3081+L3081+N3081+O3081-P3081-M3081</f>
        <v/>
      </c>
    </row>
    <row r="3082">
      <c r="A3082" s="16" t="inlineStr">
        <is>
          <t>5.22-5.28</t>
        </is>
      </c>
      <c r="B3082" s="16" t="inlineStr">
        <is>
          <t>PO-128-19974507914873215</t>
        </is>
      </c>
      <c r="C3082" s="16" t="inlineStr">
        <is>
          <t>Delivered</t>
        </is>
      </c>
      <c r="D3082" s="16" t="inlineStr">
        <is>
          <t>128-19974549857913215</t>
        </is>
      </c>
      <c r="E3082" s="16" t="inlineStr">
        <is>
          <t>Delivered</t>
        </is>
      </c>
      <c r="F3082" s="16" t="inlineStr">
        <is>
          <t>SA325T</t>
        </is>
      </c>
      <c r="G3082" s="16" t="inlineStr">
        <is>
          <t>Subwoofer Portátil Inalámbrico con Luces RGB, Sonido de Alta Potencia y Batería Duradera, TWS TF USB, Perfecto para Campamento Fiestas y Entretenimiento en Casa</t>
        </is>
      </c>
      <c r="H3082" s="16" t="inlineStr">
        <is>
          <t>NEGRO</t>
        </is>
      </c>
      <c r="I3082" s="16" t="n">
        <v>1</v>
      </c>
      <c r="J3082" s="17" t="n">
        <v>38</v>
      </c>
      <c r="K3082" s="17" t="n">
        <v>47.04</v>
      </c>
      <c r="L3082" s="17" t="n">
        <v>25.86</v>
      </c>
      <c r="M3082" s="17" t="n">
        <v>0</v>
      </c>
      <c r="N3082" s="17">
        <f>K3082*0.08+L3082*0.08</f>
        <v/>
      </c>
      <c r="O3082" s="17">
        <f>-(K3082*0.025+L3082*0.025)</f>
        <v/>
      </c>
      <c r="P3082" s="17">
        <f>32</f>
        <v/>
      </c>
      <c r="Q3082" s="17">
        <f>J3082+L3082+N3082+O3082-P3082-M3082</f>
        <v/>
      </c>
    </row>
    <row r="3083">
      <c r="A3083" s="16" t="inlineStr">
        <is>
          <t>5.22-5.28</t>
        </is>
      </c>
      <c r="B3083" s="16" t="inlineStr">
        <is>
          <t>PO-128-20062589921913712</t>
        </is>
      </c>
      <c r="C3083" s="16" t="inlineStr">
        <is>
          <t>Delivered</t>
        </is>
      </c>
      <c r="D3083" s="16" t="inlineStr">
        <is>
          <t>128-20062558464633712</t>
        </is>
      </c>
      <c r="E3083" s="16" t="inlineStr">
        <is>
          <t>Delivered</t>
        </is>
      </c>
      <c r="F3083" s="16" t="inlineStr">
        <is>
          <t>MCM-001G</t>
        </is>
      </c>
      <c r="G3083" s="16" t="inlineStr">
        <is>
          <t>Musicord Altavoz Inalámbrico BT Portátil: ¡Sonido impactante, luces LED multicolores y 4 horas de autonomía! Compatible con TWS, FM, TF y USB – Imprescindible para fiestas y viajes</t>
        </is>
      </c>
      <c r="H3083" s="16" t="inlineStr">
        <is>
          <t>GRIS</t>
        </is>
      </c>
      <c r="I3083" s="16" t="n">
        <v>1</v>
      </c>
      <c r="J3083" s="17" t="n">
        <v>51.07</v>
      </c>
      <c r="K3083" s="17" t="n">
        <v>58.86</v>
      </c>
      <c r="L3083" s="17" t="n">
        <v>25.86</v>
      </c>
      <c r="M3083" s="17" t="n">
        <v>0</v>
      </c>
      <c r="N3083" s="17">
        <f>K3083*0.08+L3083*0.08</f>
        <v/>
      </c>
      <c r="O3083" s="17">
        <f>-(K3083*0.025+L3083*0.025)</f>
        <v/>
      </c>
      <c r="P3083" s="17">
        <f>32</f>
        <v/>
      </c>
      <c r="Q3083" s="17">
        <f>J3083+L3083+N3083+O3083-P3083-M3083</f>
        <v/>
      </c>
    </row>
    <row r="3084">
      <c r="A3084" s="16" t="inlineStr">
        <is>
          <t>5.22-5.28</t>
        </is>
      </c>
      <c r="B3084" s="16" t="inlineStr">
        <is>
          <t>PO-128-20597240077430527</t>
        </is>
      </c>
      <c r="C3084" s="16" t="inlineStr">
        <is>
          <t>Delivered</t>
        </is>
      </c>
      <c r="D3084" s="16" t="inlineStr">
        <is>
          <t>128-20597376392310527</t>
        </is>
      </c>
      <c r="E3084" s="16" t="inlineStr">
        <is>
          <t>Delivered</t>
        </is>
      </c>
      <c r="F3084" s="16" t="inlineStr">
        <is>
          <t>MB-185N</t>
        </is>
      </c>
      <c r="G3084" s="16" t="inlineStr">
        <is>
          <t>Bocina Radio FM/Reproductor, Compatible con Tarjeta TF, USB, Bluetooth, Aplicable para celular, computadora, Ipad y consola.</t>
        </is>
      </c>
      <c r="H3084" s="16" t="inlineStr">
        <is>
          <t>NEGRO/MB-185</t>
        </is>
      </c>
      <c r="I3084" s="16" t="n">
        <v>1</v>
      </c>
      <c r="J3084" s="17" t="n">
        <v>75.5</v>
      </c>
      <c r="K3084" s="17" t="n">
        <v>70.76000000000001</v>
      </c>
      <c r="L3084" s="17" t="n">
        <v>25.86</v>
      </c>
      <c r="M3084" s="17" t="n">
        <v>0</v>
      </c>
      <c r="N3084" s="17">
        <f>K3084*0.08+L3084*0.08</f>
        <v/>
      </c>
      <c r="O3084" s="17">
        <f>-(K3084*0.025+L3084*0.025)</f>
        <v/>
      </c>
      <c r="P3084" s="17">
        <f>32</f>
        <v/>
      </c>
      <c r="Q3084" s="17">
        <f>J3084+L3084+N3084+O3084-P3084-M3084</f>
        <v/>
      </c>
    </row>
    <row r="3085">
      <c r="A3085" s="16" t="inlineStr">
        <is>
          <t>5.22-5.28</t>
        </is>
      </c>
      <c r="B3085" s="16" t="inlineStr">
        <is>
          <t>PO-128-20574568894070663</t>
        </is>
      </c>
      <c r="C3085" s="16" t="inlineStr">
        <is>
          <t>Delivered</t>
        </is>
      </c>
      <c r="D3085" s="16" t="inlineStr">
        <is>
          <t>128-20574485007990663</t>
        </is>
      </c>
      <c r="E3085" s="16" t="inlineStr">
        <is>
          <t>Delivered</t>
        </is>
      </c>
      <c r="F3085" s="16" t="inlineStr">
        <is>
          <t>MCM-001G</t>
        </is>
      </c>
      <c r="G3085" s="16" t="inlineStr">
        <is>
          <t>Musicord Altavoz Inalámbrico BT Portátil: ¡Sonido impactante, luces LED multicolores y 4 horas de autonomía! Compatible con TWS, FM, TF y USB – Imprescindible para fiestas y viajes</t>
        </is>
      </c>
      <c r="H3085" s="16" t="inlineStr">
        <is>
          <t>GRIS</t>
        </is>
      </c>
      <c r="I3085" s="16" t="n">
        <v>1</v>
      </c>
      <c r="J3085" s="17" t="n">
        <v>51.07</v>
      </c>
      <c r="K3085" s="17" t="n">
        <v>58.86</v>
      </c>
      <c r="L3085" s="17" t="n">
        <v>0</v>
      </c>
      <c r="M3085" s="17" t="n">
        <v>0</v>
      </c>
      <c r="N3085" s="17">
        <f>K3085*0.08+L3085*0.08</f>
        <v/>
      </c>
      <c r="O3085" s="17">
        <f>-(K3085*0.025+L3085*0.025)</f>
        <v/>
      </c>
      <c r="P3085" s="17">
        <f>32</f>
        <v/>
      </c>
      <c r="Q3085" s="17">
        <f>J3085+L3085+N3085+O3085-P3085-M3085</f>
        <v/>
      </c>
    </row>
    <row r="3086">
      <c r="A3086" s="16" t="inlineStr">
        <is>
          <t>5.22-5.28</t>
        </is>
      </c>
      <c r="B3086" s="16" t="inlineStr">
        <is>
          <t>PO-128-20574568894070663</t>
        </is>
      </c>
      <c r="C3086" s="16" t="inlineStr">
        <is>
          <t>Delivered</t>
        </is>
      </c>
      <c r="D3086" s="16" t="inlineStr">
        <is>
          <t>128-20574464036470663</t>
        </is>
      </c>
      <c r="E3086" s="16" t="inlineStr">
        <is>
          <t>Delivered</t>
        </is>
      </c>
      <c r="F3086" s="16" t="inlineStr">
        <is>
          <t>MCM-001A</t>
        </is>
      </c>
      <c r="G3086" s="16" t="inlineStr">
        <is>
          <t>Musicord Altavoz Inalámbrico BT Portátil: ¡Sonido impactante, luces LED multicolores y 4 horas de autonomía! Compatible con TWS, FM, TF y USB – Imprescindible para fiestas y viajes</t>
        </is>
      </c>
      <c r="H3086" s="16" t="inlineStr">
        <is>
          <t>AZUL</t>
        </is>
      </c>
      <c r="I3086" s="16" t="n">
        <v>1</v>
      </c>
      <c r="J3086" s="17" t="n">
        <v>51.07</v>
      </c>
      <c r="K3086" s="17" t="n">
        <v>59.47</v>
      </c>
      <c r="L3086" s="17" t="n">
        <v>0</v>
      </c>
      <c r="M3086" s="17" t="n">
        <v>0</v>
      </c>
      <c r="N3086" s="17">
        <f>K3086*0.08+L3086*0.08</f>
        <v/>
      </c>
      <c r="O3086" s="17">
        <f>-(K3086*0.025+L3086*0.025)</f>
        <v/>
      </c>
      <c r="P3086" s="17">
        <f>32</f>
        <v/>
      </c>
      <c r="Q3086" s="17">
        <f>J3086+L3086+N3086+O3086-P3086-M3086</f>
        <v/>
      </c>
    </row>
    <row r="3087">
      <c r="A3087" s="16" t="inlineStr">
        <is>
          <t>5.22-5.28</t>
        </is>
      </c>
      <c r="B3087" s="16" t="inlineStr">
        <is>
          <t>PO-128-20574568894070663</t>
        </is>
      </c>
      <c r="C3087" s="16" t="inlineStr">
        <is>
          <t>Delivered</t>
        </is>
      </c>
      <c r="D3087" s="16" t="inlineStr">
        <is>
          <t>128-20574547922550663</t>
        </is>
      </c>
      <c r="E3087" s="16" t="inlineStr">
        <is>
          <t>Delivered</t>
        </is>
      </c>
      <c r="F3087" s="16" t="inlineStr">
        <is>
          <t>MCM-001N</t>
        </is>
      </c>
      <c r="G3087" s="16" t="inlineStr">
        <is>
          <t>Musicord Altavoz Inalámbrico BT Portátil: ¡Sonido impactante, luces LED multicolores y 4 horas de autonomía! Compatible con TWS, FM, TF y USB – Imprescindible para fiestas y viajes</t>
        </is>
      </c>
      <c r="H3087" s="16" t="inlineStr">
        <is>
          <t>NEGRO</t>
        </is>
      </c>
      <c r="I3087" s="16" t="n">
        <v>1</v>
      </c>
      <c r="J3087" s="17" t="n">
        <v>61</v>
      </c>
      <c r="K3087" s="17" t="n">
        <v>68.79000000000001</v>
      </c>
      <c r="L3087" s="17" t="n">
        <v>0</v>
      </c>
      <c r="M3087" s="17" t="n">
        <v>0</v>
      </c>
      <c r="N3087" s="17">
        <f>K3087*0.08+L3087*0.08</f>
        <v/>
      </c>
      <c r="O3087" s="17">
        <f>-(K3087*0.025+L3087*0.025)</f>
        <v/>
      </c>
      <c r="P3087" s="17">
        <f>32</f>
        <v/>
      </c>
      <c r="Q3087" s="17">
        <f>J3087+L3087+N3087+O3087-P3087-M3087</f>
        <v/>
      </c>
    </row>
    <row r="3088">
      <c r="A3088" s="16" t="inlineStr">
        <is>
          <t>5.22-5.28</t>
        </is>
      </c>
      <c r="B3088" s="16" t="inlineStr">
        <is>
          <t>PO-128-20574568894070663</t>
        </is>
      </c>
      <c r="C3088" s="16" t="inlineStr">
        <is>
          <t>Delivered</t>
        </is>
      </c>
      <c r="D3088" s="16" t="inlineStr">
        <is>
          <t>128-20574526951030663</t>
        </is>
      </c>
      <c r="E3088" s="16" t="inlineStr">
        <is>
          <t>Delivered</t>
        </is>
      </c>
      <c r="F3088" s="16" t="inlineStr">
        <is>
          <t>MCM-001R</t>
        </is>
      </c>
      <c r="G3088" s="16" t="inlineStr">
        <is>
          <t>Musicord Altavoz Inalámbrico BT Portátil: ¡Sonido impactante, luces LED multicolores y 4 horas de autonomía! Compatible con TWS, FM, TF y USB – Imprescindible para fiestas y viajes</t>
        </is>
      </c>
      <c r="H3088" s="16" t="inlineStr">
        <is>
          <t>ROJO</t>
        </is>
      </c>
      <c r="I3088" s="16" t="n">
        <v>1</v>
      </c>
      <c r="J3088" s="17" t="n">
        <v>66.5</v>
      </c>
      <c r="K3088" s="17" t="n">
        <v>74.29000000000001</v>
      </c>
      <c r="L3088" s="17" t="n">
        <v>0</v>
      </c>
      <c r="M3088" s="17" t="n">
        <v>0</v>
      </c>
      <c r="N3088" s="17">
        <f>K3088*0.08+L3088*0.08</f>
        <v/>
      </c>
      <c r="O3088" s="17">
        <f>-(K3088*0.025+L3088*0.025)</f>
        <v/>
      </c>
      <c r="P3088" s="17">
        <f>32</f>
        <v/>
      </c>
      <c r="Q3088" s="17">
        <f>J3088+L3088+N3088+O3088-P3088-M3088</f>
        <v/>
      </c>
    </row>
    <row r="3089">
      <c r="A3089" s="16" t="inlineStr">
        <is>
          <t>5.22-5.28</t>
        </is>
      </c>
      <c r="B3089" s="16" t="inlineStr">
        <is>
          <t>PO-128-20439460846711658</t>
        </is>
      </c>
      <c r="C3089" s="16" t="inlineStr">
        <is>
          <t>Delivered</t>
        </is>
      </c>
      <c r="D3089" s="16" t="inlineStr">
        <is>
          <t>128-20439481818231658</t>
        </is>
      </c>
      <c r="E3089" s="16" t="inlineStr">
        <is>
          <t>Delivered</t>
        </is>
      </c>
      <c r="F3089" s="16" t="inlineStr">
        <is>
          <t>MB-185A</t>
        </is>
      </c>
      <c r="G3089" s="16" t="inlineStr">
        <is>
          <t>Bocina Radio FM/Reproductor, Compatible con Tarjeta TF, USB, Bluetooth, Aplicable para celular, computadora, Ipad y consola.</t>
        </is>
      </c>
      <c r="H3089" s="16" t="inlineStr">
        <is>
          <t>AZUL/MB-185</t>
        </is>
      </c>
      <c r="I3089" s="16" t="n">
        <v>1</v>
      </c>
      <c r="J3089" s="17" t="n">
        <v>75.5</v>
      </c>
      <c r="K3089" s="17" t="n">
        <v>88.44</v>
      </c>
      <c r="L3089" s="17" t="n">
        <v>25.86</v>
      </c>
      <c r="M3089" s="17" t="n">
        <v>0</v>
      </c>
      <c r="N3089" s="17">
        <f>K3089*0.08+L3089*0.08</f>
        <v/>
      </c>
      <c r="O3089" s="17">
        <f>-(K3089*0.025+L3089*0.025)</f>
        <v/>
      </c>
      <c r="P3089" s="17">
        <f>32</f>
        <v/>
      </c>
      <c r="Q3089" s="17">
        <f>J3089+L3089+N3089+O3089-P3089-M3089</f>
        <v/>
      </c>
    </row>
    <row r="3090">
      <c r="A3090" s="16" t="inlineStr">
        <is>
          <t>5.22-5.28</t>
        </is>
      </c>
      <c r="B3090" s="16" t="inlineStr">
        <is>
          <t>PO-128-20336794916471054</t>
        </is>
      </c>
      <c r="C3090" s="16" t="inlineStr">
        <is>
          <t>Delivered</t>
        </is>
      </c>
      <c r="D3090" s="16" t="inlineStr">
        <is>
          <t>128-20336805402231054</t>
        </is>
      </c>
      <c r="E3090" s="16" t="inlineStr">
        <is>
          <t>Delivered</t>
        </is>
      </c>
      <c r="F3090" s="16" t="inlineStr">
        <is>
          <t>FA028</t>
        </is>
      </c>
      <c r="G3090" s="16" t="inlineStr">
        <is>
          <t>Extractor de agua para garrafas de agua, compatible con carga USB, extractor de agua automático, práctico, con dos modos de toma de agua: manual y programado, ideal para dormitorios, salones, oficinas, uso al aire libre y otros escenarios.</t>
        </is>
      </c>
      <c r="H3090" s="16" t="inlineStr">
        <is>
          <t>FA028</t>
        </is>
      </c>
      <c r="I3090" s="16" t="n">
        <v>1</v>
      </c>
      <c r="J3090" s="17" t="n">
        <v>28</v>
      </c>
      <c r="K3090" s="17" t="n">
        <v>37.58</v>
      </c>
      <c r="L3090" s="17" t="n">
        <v>25.86</v>
      </c>
      <c r="M3090" s="17" t="n">
        <v>0</v>
      </c>
      <c r="N3090" s="17">
        <f>K3090*0.08+L3090*0.08</f>
        <v/>
      </c>
      <c r="O3090" s="17">
        <f>-(K3090*0.025+L3090*0.025)</f>
        <v/>
      </c>
      <c r="P3090" s="17">
        <f>32</f>
        <v/>
      </c>
      <c r="Q3090" s="17">
        <f>J3090+L3090+N3090+O3090-P3090-M3090</f>
        <v/>
      </c>
    </row>
    <row r="3091">
      <c r="A3091" s="16" t="inlineStr">
        <is>
          <t>5.22-5.28</t>
        </is>
      </c>
      <c r="B3091" s="16" t="inlineStr">
        <is>
          <t>PO-128-20468051016310273</t>
        </is>
      </c>
      <c r="C3091" s="16" t="inlineStr">
        <is>
          <t>Delivered</t>
        </is>
      </c>
      <c r="D3091" s="16" t="inlineStr">
        <is>
          <t>128-20468187331190273</t>
        </is>
      </c>
      <c r="E3091" s="16" t="inlineStr">
        <is>
          <t>Delivered</t>
        </is>
      </c>
      <c r="F3091" s="16" t="inlineStr">
        <is>
          <t>SA8056T</t>
        </is>
      </c>
      <c r="G309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091" s="16" t="inlineStr">
        <is>
          <t>SA8056T</t>
        </is>
      </c>
      <c r="I3091" s="16" t="n">
        <v>1</v>
      </c>
      <c r="J3091" s="17" t="n">
        <v>141</v>
      </c>
      <c r="K3091" s="17" t="n">
        <v>161.38</v>
      </c>
      <c r="L3091" s="17" t="n">
        <v>25.86</v>
      </c>
      <c r="M3091" s="17" t="n">
        <v>20</v>
      </c>
      <c r="N3091" s="17">
        <f>K3091*0.08+L3091*0.08</f>
        <v/>
      </c>
      <c r="O3091" s="17">
        <f>-(K3091*0.025+L3091*0.025)</f>
        <v/>
      </c>
      <c r="P3091" s="17">
        <f>32</f>
        <v/>
      </c>
      <c r="Q3091" s="17">
        <f>J3091+L3091+N3091+O3091-P3091-M3091</f>
        <v/>
      </c>
    </row>
    <row r="3092">
      <c r="A3092" s="16" t="inlineStr">
        <is>
          <t>5.22-5.28</t>
        </is>
      </c>
      <c r="B3092" s="16" t="inlineStr">
        <is>
          <t>PO-128-20085830556793638</t>
        </is>
      </c>
      <c r="C3092" s="16" t="inlineStr">
        <is>
          <t>Delivered</t>
        </is>
      </c>
      <c r="D3092" s="16" t="inlineStr">
        <is>
          <t>128-20085849562233638</t>
        </is>
      </c>
      <c r="E3092" s="16" t="inlineStr">
        <is>
          <t>Delivered</t>
        </is>
      </c>
      <c r="F3092" s="16" t="inlineStr">
        <is>
          <t>LB02235-blanco</t>
        </is>
      </c>
      <c r="G3092" s="16" t="inlineStr">
        <is>
          <t>Audífonos Inalámbricos para la Cabeza, Recargables y Multifuncionales - Conectan a Varios Dispositivos, soportan Radio FM, Tarjeta TF y AUX - 4 Horas de Reproducción Musical - Ideal para Trabajo Cotidiano, Juegos y Estudio</t>
        </is>
      </c>
      <c r="H3092" s="16" t="inlineStr">
        <is>
          <t>BLANCO</t>
        </is>
      </c>
      <c r="I3092" s="16" t="n">
        <v>1</v>
      </c>
      <c r="J3092" s="17" t="n">
        <v>36.8</v>
      </c>
      <c r="K3092" s="17" t="n">
        <v>49.91</v>
      </c>
      <c r="L3092" s="17" t="n">
        <v>6.47</v>
      </c>
      <c r="M3092" s="17" t="n">
        <v>0</v>
      </c>
      <c r="N3092" s="17">
        <f>K3092*0.08+L3092*0.08</f>
        <v/>
      </c>
      <c r="O3092" s="17">
        <f>-(K3092*0.025+L3092*0.025)</f>
        <v/>
      </c>
      <c r="P3092" s="17">
        <f>32</f>
        <v/>
      </c>
      <c r="Q3092" s="17">
        <f>J3092+L3092+N3092+O3092-P3092-M3092</f>
        <v/>
      </c>
    </row>
    <row r="3093">
      <c r="A3093" s="16" t="inlineStr">
        <is>
          <t>5.22-5.28</t>
        </is>
      </c>
      <c r="B3093" s="16" t="inlineStr">
        <is>
          <t>PO-128-20085830556793638</t>
        </is>
      </c>
      <c r="C3093" s="16" t="inlineStr">
        <is>
          <t>Delivered</t>
        </is>
      </c>
      <c r="D3093" s="16" t="inlineStr">
        <is>
          <t>128-20085828590713638</t>
        </is>
      </c>
      <c r="E3093" s="16" t="inlineStr">
        <is>
          <t>Delivered</t>
        </is>
      </c>
      <c r="F3093" s="16" t="inlineStr">
        <is>
          <t>LB02235-rojo</t>
        </is>
      </c>
      <c r="G3093" s="16" t="inlineStr">
        <is>
          <t>Audífonos Inalámbricos para la Cabeza, Recargables y Multifuncionales - Conectan a Varios Dispositivos, soportan Radio FM, Tarjeta TF y AUX - 4 Horas de Reproducción Musical - Ideal para Trabajo Cotidiano, Juegos y Estudio</t>
        </is>
      </c>
      <c r="H3093" s="16" t="inlineStr">
        <is>
          <t>ROJO</t>
        </is>
      </c>
      <c r="I3093" s="16" t="n">
        <v>1</v>
      </c>
      <c r="J3093" s="17" t="n">
        <v>36.8</v>
      </c>
      <c r="K3093" s="17" t="n">
        <v>49.91</v>
      </c>
      <c r="L3093" s="17" t="n">
        <v>6.47</v>
      </c>
      <c r="M3093" s="17" t="n">
        <v>0</v>
      </c>
      <c r="N3093" s="17">
        <f>K3093*0.08+L3093*0.08</f>
        <v/>
      </c>
      <c r="O3093" s="17">
        <f>-(K3093*0.025+L3093*0.025)</f>
        <v/>
      </c>
      <c r="P3093" s="17">
        <f>32</f>
        <v/>
      </c>
      <c r="Q3093" s="17">
        <f>J3093+L3093+N3093+O3093-P3093-M3093</f>
        <v/>
      </c>
    </row>
    <row r="3094">
      <c r="A3094" s="16" t="inlineStr">
        <is>
          <t>5.22-5.28</t>
        </is>
      </c>
      <c r="B3094" s="16" t="inlineStr">
        <is>
          <t>PO-128-20085830556793638</t>
        </is>
      </c>
      <c r="C3094" s="16" t="inlineStr">
        <is>
          <t>Delivered</t>
        </is>
      </c>
      <c r="D3094" s="16" t="inlineStr">
        <is>
          <t>128-20085809585273638</t>
        </is>
      </c>
      <c r="E3094" s="16" t="inlineStr">
        <is>
          <t>Delivered</t>
        </is>
      </c>
      <c r="F3094" s="16" t="inlineStr">
        <is>
          <t>LB02235-negro</t>
        </is>
      </c>
      <c r="G3094" s="16" t="inlineStr">
        <is>
          <t>Audífonos Inalámbricos para la Cabeza, Recargables y Multifuncionales - Conectan a Varios Dispositivos, soportan Radio FM, Tarjeta TF y AUX - 4 Horas de Reproducción Musical - Ideal para Trabajo Cotidiano, Juegos y Estudio</t>
        </is>
      </c>
      <c r="H3094" s="16" t="inlineStr">
        <is>
          <t>NEGRO</t>
        </is>
      </c>
      <c r="I3094" s="16" t="n">
        <v>1</v>
      </c>
      <c r="J3094" s="17" t="n">
        <v>36.8</v>
      </c>
      <c r="K3094" s="17" t="n">
        <v>49.91</v>
      </c>
      <c r="L3094" s="17" t="n">
        <v>6.47</v>
      </c>
      <c r="M3094" s="17" t="n">
        <v>0</v>
      </c>
      <c r="N3094" s="17">
        <f>K3094*0.08+L3094*0.08</f>
        <v/>
      </c>
      <c r="O3094" s="17">
        <f>-(K3094*0.025+L3094*0.025)</f>
        <v/>
      </c>
      <c r="P3094" s="17">
        <f>32</f>
        <v/>
      </c>
      <c r="Q3094" s="17">
        <f>J3094+L3094+N3094+O3094-P3094-M3094</f>
        <v/>
      </c>
    </row>
    <row r="3095">
      <c r="A3095" s="16" t="inlineStr">
        <is>
          <t>5.22-5.28</t>
        </is>
      </c>
      <c r="B3095" s="16" t="inlineStr">
        <is>
          <t>PO-128-20085830556793638</t>
        </is>
      </c>
      <c r="C3095" s="16" t="inlineStr">
        <is>
          <t>Delivered</t>
        </is>
      </c>
      <c r="D3095" s="16" t="inlineStr">
        <is>
          <t>128-20085807619193638</t>
        </is>
      </c>
      <c r="E3095" s="16" t="inlineStr">
        <is>
          <t>Delivered</t>
        </is>
      </c>
      <c r="F3095" s="16" t="inlineStr">
        <is>
          <t>LB02235-azul</t>
        </is>
      </c>
      <c r="G3095" s="16" t="inlineStr">
        <is>
          <t>Audífonos Inalámbricos para la Cabeza, Recargables y Multifuncionales - Conectan a Varios Dispositivos, soportan Radio FM, Tarjeta TF y AUX - 4 Horas de Reproducción Musical - Ideal para Trabajo Cotidiano, Juegos y Estudio</t>
        </is>
      </c>
      <c r="H3095" s="16" t="inlineStr">
        <is>
          <t>AZUL</t>
        </is>
      </c>
      <c r="I3095" s="16" t="n">
        <v>1</v>
      </c>
      <c r="J3095" s="17" t="n">
        <v>36.8</v>
      </c>
      <c r="K3095" s="17" t="n">
        <v>49.91</v>
      </c>
      <c r="L3095" s="17" t="n">
        <v>6.47</v>
      </c>
      <c r="M3095" s="17" t="n">
        <v>0</v>
      </c>
      <c r="N3095" s="17">
        <f>K3095*0.08+L3095*0.08</f>
        <v/>
      </c>
      <c r="O3095" s="17">
        <f>-(K3095*0.025+L3095*0.025)</f>
        <v/>
      </c>
      <c r="P3095" s="17">
        <f>32</f>
        <v/>
      </c>
      <c r="Q3095" s="17">
        <f>J3095+L3095+N3095+O3095-P3095-M3095</f>
        <v/>
      </c>
    </row>
    <row r="3096">
      <c r="A3096" s="16" t="inlineStr">
        <is>
          <t>5.22-5.28</t>
        </is>
      </c>
      <c r="B3096" s="16" t="inlineStr">
        <is>
          <t>PO-128-20119481042552543</t>
        </is>
      </c>
      <c r="C3096" s="16" t="inlineStr">
        <is>
          <t>Delivered</t>
        </is>
      </c>
      <c r="D3096" s="16" t="inlineStr">
        <is>
          <t>128-20119522985592543</t>
        </is>
      </c>
      <c r="E3096" s="16" t="inlineStr">
        <is>
          <t>Delivered</t>
        </is>
      </c>
      <c r="F3096" s="16" t="inlineStr">
        <is>
          <t>S58W60</t>
        </is>
      </c>
      <c r="G3096"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3096" s="16" t="inlineStr">
        <is>
          <t>1 pieza</t>
        </is>
      </c>
      <c r="I3096" s="16" t="n">
        <v>2</v>
      </c>
      <c r="J3096" s="17" t="n">
        <v>118</v>
      </c>
      <c r="K3096" s="17" t="n">
        <v>122.45</v>
      </c>
      <c r="L3096" s="17" t="n">
        <v>25.86</v>
      </c>
      <c r="M3096" s="17" t="n">
        <v>0</v>
      </c>
      <c r="N3096" s="17">
        <f>K3096*0.08+L3096*0.08</f>
        <v/>
      </c>
      <c r="O3096" s="17">
        <f>-(K3096*0.025+L3096*0.025)</f>
        <v/>
      </c>
      <c r="P3096" s="17">
        <f>32</f>
        <v/>
      </c>
      <c r="Q3096" s="17">
        <f>J3096+L3096+N3096+O3096-P3096-M3096</f>
        <v/>
      </c>
    </row>
    <row r="3097">
      <c r="A3097" s="16" t="inlineStr">
        <is>
          <t>5.22-5.28</t>
        </is>
      </c>
      <c r="B3097" s="16" t="inlineStr">
        <is>
          <t>PO-128-19988175790713324</t>
        </is>
      </c>
      <c r="C3097" s="16" t="inlineStr">
        <is>
          <t>Delivered</t>
        </is>
      </c>
      <c r="D3097" s="16" t="inlineStr">
        <is>
          <t>128-19988133847673324</t>
        </is>
      </c>
      <c r="E3097" s="16" t="inlineStr">
        <is>
          <t>Delivered</t>
        </is>
      </c>
      <c r="F3097" s="16" t="inlineStr">
        <is>
          <t>LV34W04</t>
        </is>
      </c>
      <c r="G309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097" s="16" t="inlineStr">
        <is>
          <t>LV34W04</t>
        </is>
      </c>
      <c r="I3097" s="16" t="n">
        <v>2</v>
      </c>
      <c r="J3097" s="17" t="n">
        <v>558</v>
      </c>
      <c r="K3097" s="17" t="n">
        <v>675.64</v>
      </c>
      <c r="L3097" s="17" t="n">
        <v>0</v>
      </c>
      <c r="M3097" s="17" t="n">
        <v>0</v>
      </c>
      <c r="N3097" s="17">
        <f>K3097*0.08+L3097*0.08</f>
        <v/>
      </c>
      <c r="O3097" s="17">
        <f>-(K3097*0.025+L3097*0.025)</f>
        <v/>
      </c>
      <c r="P3097" s="17">
        <f>32</f>
        <v/>
      </c>
      <c r="Q3097" s="17">
        <f>J3097+L3097+N3097+O3097-P3097-M3097</f>
        <v/>
      </c>
    </row>
    <row r="3098">
      <c r="A3098" s="16" t="inlineStr">
        <is>
          <t>5.22-5.28</t>
        </is>
      </c>
      <c r="B3098" s="16" t="inlineStr">
        <is>
          <t>PO-128-19956368922233387</t>
        </is>
      </c>
      <c r="C3098" s="16" t="inlineStr">
        <is>
          <t>Delivered</t>
        </is>
      </c>
      <c r="D3098" s="16" t="inlineStr">
        <is>
          <t>128-19956389893753387</t>
        </is>
      </c>
      <c r="E3098" s="16" t="inlineStr">
        <is>
          <t>Delivered</t>
        </is>
      </c>
      <c r="F3098" s="16" t="inlineStr">
        <is>
          <t>FA028</t>
        </is>
      </c>
      <c r="G3098" s="16" t="inlineStr">
        <is>
          <t>Extractor de agua para garrafas de agua, compatible con carga USB, extractor de agua automático, práctico, con dos modos de toma de agua: manual y programado, ideal para dormitorios, salones, oficinas, uso al aire libre y otros escenarios.</t>
        </is>
      </c>
      <c r="H3098" s="16" t="inlineStr">
        <is>
          <t>FA028</t>
        </is>
      </c>
      <c r="I3098" s="16" t="n">
        <v>1</v>
      </c>
      <c r="J3098" s="17" t="n">
        <v>28</v>
      </c>
      <c r="K3098" s="17" t="n">
        <v>37.58</v>
      </c>
      <c r="L3098" s="17" t="n">
        <v>25.86</v>
      </c>
      <c r="M3098" s="17" t="n">
        <v>0</v>
      </c>
      <c r="N3098" s="17">
        <f>K3098*0.08+L3098*0.08</f>
        <v/>
      </c>
      <c r="O3098" s="17">
        <f>-(K3098*0.025+L3098*0.025)</f>
        <v/>
      </c>
      <c r="P3098" s="17">
        <f>32</f>
        <v/>
      </c>
      <c r="Q3098" s="17">
        <f>J3098+L3098+N3098+O3098-P3098-M3098</f>
        <v/>
      </c>
    </row>
    <row r="3099">
      <c r="A3099" s="16" t="inlineStr">
        <is>
          <t>5.22-5.28</t>
        </is>
      </c>
      <c r="B3099" s="16" t="inlineStr">
        <is>
          <t>PO-128-20041542129273902</t>
        </is>
      </c>
      <c r="C3099" s="16" t="inlineStr">
        <is>
          <t>Delivered</t>
        </is>
      </c>
      <c r="D3099" s="16" t="inlineStr">
        <is>
          <t>128-20041500186233902</t>
        </is>
      </c>
      <c r="E3099" s="16" t="inlineStr">
        <is>
          <t>Delivered</t>
        </is>
      </c>
      <c r="F3099" s="16" t="inlineStr">
        <is>
          <t>MB-185A</t>
        </is>
      </c>
      <c r="G3099" s="16" t="inlineStr">
        <is>
          <t>Bocina Radio FM/Reproductor, Compatible con Tarjeta TF, USB, Bluetooth, Aplicable para celular, computadora, Ipad y consola.</t>
        </is>
      </c>
      <c r="H3099" s="16" t="inlineStr">
        <is>
          <t>AZUL/MB-185</t>
        </is>
      </c>
      <c r="I3099" s="16" t="n">
        <v>1</v>
      </c>
      <c r="J3099" s="17" t="n">
        <v>75.5</v>
      </c>
      <c r="K3099" s="17" t="n">
        <v>45.34</v>
      </c>
      <c r="L3099" s="17" t="n">
        <v>25.86</v>
      </c>
      <c r="M3099" s="17" t="n">
        <v>0</v>
      </c>
      <c r="N3099" s="17">
        <f>K3099*0.08+L3099*0.08</f>
        <v/>
      </c>
      <c r="O3099" s="17">
        <f>-(K3099*0.025+L3099*0.025)</f>
        <v/>
      </c>
      <c r="P3099" s="17">
        <f>32</f>
        <v/>
      </c>
      <c r="Q3099" s="17">
        <f>J3099+L3099+N3099+O3099-P3099-M3099</f>
        <v/>
      </c>
    </row>
    <row r="3100">
      <c r="A3100" s="16" t="inlineStr">
        <is>
          <t>5.22-5.28</t>
        </is>
      </c>
      <c r="B3100" s="16" t="inlineStr">
        <is>
          <t>PO-128-20402994099831685</t>
        </is>
      </c>
      <c r="C3100" s="16" t="inlineStr">
        <is>
          <t>Delivered</t>
        </is>
      </c>
      <c r="D3100" s="16" t="inlineStr">
        <is>
          <t>128-20403036042871685</t>
        </is>
      </c>
      <c r="E3100" s="16" t="inlineStr">
        <is>
          <t>Delivered</t>
        </is>
      </c>
      <c r="F3100" s="16" t="inlineStr">
        <is>
          <t>KTS-1678A</t>
        </is>
      </c>
      <c r="G3100" s="16" t="inlineStr">
        <is>
          <t>Bocina portátil Inalámbrico, de 3 pulgadas, tamaño de bolsillo, 170 g, con asa, compatible con TF, USB y Micro SD, con radio FM y función TWS (True Wireless Stereo), adecuada para relajarse en casa o viajar al aire libre.</t>
        </is>
      </c>
      <c r="H3100" s="16" t="inlineStr">
        <is>
          <t>KTS-1678A</t>
        </is>
      </c>
      <c r="I3100" s="16" t="n">
        <v>3</v>
      </c>
      <c r="J3100" s="17" t="n">
        <v>127.5</v>
      </c>
      <c r="K3100" s="17" t="n">
        <v>152.34</v>
      </c>
      <c r="L3100" s="17" t="n">
        <v>25.86</v>
      </c>
      <c r="M3100" s="17" t="n">
        <v>0</v>
      </c>
      <c r="N3100" s="17">
        <f>K3100*0.08+L3100*0.08</f>
        <v/>
      </c>
      <c r="O3100" s="17">
        <f>-(K3100*0.025+L3100*0.025)</f>
        <v/>
      </c>
      <c r="P3100" s="17">
        <f>32</f>
        <v/>
      </c>
      <c r="Q3100" s="17">
        <f>J3100+L3100+N3100+O3100-P3100-M3100</f>
        <v/>
      </c>
    </row>
    <row r="3101">
      <c r="A3101" s="16" t="inlineStr">
        <is>
          <t>5.22-5.28</t>
        </is>
      </c>
      <c r="B3101" s="16" t="inlineStr">
        <is>
          <t>PO-128-20096687539833703</t>
        </is>
      </c>
      <c r="C3101" s="16" t="inlineStr">
        <is>
          <t>Delivered</t>
        </is>
      </c>
      <c r="D3101" s="16" t="inlineStr">
        <is>
          <t>128-20096739968633703</t>
        </is>
      </c>
      <c r="E3101" s="16" t="inlineStr">
        <is>
          <t>Delivered</t>
        </is>
      </c>
      <c r="F3101" s="16" t="inlineStr">
        <is>
          <t>VA384T-A</t>
        </is>
      </c>
      <c r="G3101" s="16" t="inlineStr">
        <is>
          <t>Bocina Portátil Bluetooth de 3 Pulgadas con Radio FM, USB TF TWS, Sonido Estéreo 5W, Bocina Recargable para Hogar Exterior Viaje Fiesta Camping</t>
        </is>
      </c>
      <c r="H3101" s="16" t="inlineStr">
        <is>
          <t>AZUL</t>
        </is>
      </c>
      <c r="I3101" s="16" t="n">
        <v>1</v>
      </c>
      <c r="J3101" s="17" t="n">
        <v>47.99</v>
      </c>
      <c r="K3101" s="17" t="n">
        <v>58.7</v>
      </c>
      <c r="L3101" s="17" t="n">
        <v>25.86</v>
      </c>
      <c r="M3101" s="17" t="n">
        <v>0</v>
      </c>
      <c r="N3101" s="17">
        <f>K3101*0.08+L3101*0.08</f>
        <v/>
      </c>
      <c r="O3101" s="17">
        <f>-(K3101*0.025+L3101*0.025)</f>
        <v/>
      </c>
      <c r="P3101" s="17">
        <f>32</f>
        <v/>
      </c>
      <c r="Q3101" s="17">
        <f>J3101+L3101+N3101+O3101-P3101-M3101</f>
        <v/>
      </c>
    </row>
    <row r="3102">
      <c r="A3102" s="16" t="inlineStr">
        <is>
          <t>5.22-5.28</t>
        </is>
      </c>
      <c r="B3102" s="16" t="inlineStr">
        <is>
          <t>PO-128-20352467215991088</t>
        </is>
      </c>
      <c r="C3102" s="16" t="inlineStr">
        <is>
          <t>Delivered</t>
        </is>
      </c>
      <c r="D3102" s="16" t="inlineStr">
        <is>
          <t>128-20352488187511088</t>
        </is>
      </c>
      <c r="E3102" s="16" t="inlineStr">
        <is>
          <t>Delivered</t>
        </is>
      </c>
      <c r="F3102" s="16" t="inlineStr">
        <is>
          <t>LB02235-negro</t>
        </is>
      </c>
      <c r="G3102" s="16" t="inlineStr">
        <is>
          <t>Audífonos Inalámbricos para la Cabeza, Recargables y Multifuncionales - Conectan a Varios Dispositivos, soportan Radio FM, Tarjeta TF y AUX - 4 Horas de Reproducción Musical - Ideal para Trabajo Cotidiano, Juegos y Estudio</t>
        </is>
      </c>
      <c r="H3102" s="16" t="inlineStr">
        <is>
          <t>NEGRO</t>
        </is>
      </c>
      <c r="I3102" s="16" t="n">
        <v>1</v>
      </c>
      <c r="J3102" s="17" t="n">
        <v>36.8</v>
      </c>
      <c r="K3102" s="17" t="n">
        <v>49.91</v>
      </c>
      <c r="L3102" s="17" t="n">
        <v>25.86</v>
      </c>
      <c r="M3102" s="17" t="n">
        <v>0</v>
      </c>
      <c r="N3102" s="17">
        <f>K3102*0.08+L3102*0.08</f>
        <v/>
      </c>
      <c r="O3102" s="17">
        <f>-(K3102*0.025+L3102*0.025)</f>
        <v/>
      </c>
      <c r="P3102" s="17">
        <f>32</f>
        <v/>
      </c>
      <c r="Q3102" s="17">
        <f>J3102+L3102+N3102+O3102-P3102-M3102</f>
        <v/>
      </c>
    </row>
    <row r="3103">
      <c r="A3103" s="16" t="inlineStr">
        <is>
          <t>5.22-5.28</t>
        </is>
      </c>
      <c r="B3103" s="16" t="inlineStr">
        <is>
          <t>PO-128-20550727701110997</t>
        </is>
      </c>
      <c r="C3103" s="16" t="inlineStr">
        <is>
          <t>Delivered</t>
        </is>
      </c>
      <c r="D3103" s="16" t="inlineStr">
        <is>
          <t>128-20550685758070997</t>
        </is>
      </c>
      <c r="E3103" s="16" t="inlineStr">
        <is>
          <t>Delivered</t>
        </is>
      </c>
      <c r="F3103" s="16" t="inlineStr">
        <is>
          <t>SA323T</t>
        </is>
      </c>
      <c r="G3103" s="16" t="inlineStr">
        <is>
          <t>Linkbits Bocina Portátil Parlantes BT Portátiles con Iluminación de Ambiente | 1 Hora de Duración, FM, TWS, TF/Micro SD | Ideal para Hogar, Fiestas y Viajes</t>
        </is>
      </c>
      <c r="H3103" s="16" t="inlineStr">
        <is>
          <t>SA323T</t>
        </is>
      </c>
      <c r="I3103" s="16" t="n">
        <v>1</v>
      </c>
      <c r="J3103" s="17" t="n">
        <v>46</v>
      </c>
      <c r="K3103" s="17" t="n">
        <v>55.06</v>
      </c>
      <c r="L3103" s="17" t="n">
        <v>25.86</v>
      </c>
      <c r="M3103" s="17" t="n">
        <v>0</v>
      </c>
      <c r="N3103" s="17">
        <f>K3103*0.08+L3103*0.08</f>
        <v/>
      </c>
      <c r="O3103" s="17">
        <f>-(K3103*0.025+L3103*0.025)</f>
        <v/>
      </c>
      <c r="P3103" s="17">
        <f>32</f>
        <v/>
      </c>
      <c r="Q3103" s="17">
        <f>J3103+L3103+N3103+O3103-P3103-M3103</f>
        <v/>
      </c>
    </row>
    <row r="3104">
      <c r="A3104" s="16" t="inlineStr">
        <is>
          <t>5.22-5.28</t>
        </is>
      </c>
      <c r="B3104" s="16" t="inlineStr">
        <is>
          <t>PO-128-19980679885433240</t>
        </is>
      </c>
      <c r="C3104" s="16" t="inlineStr">
        <is>
          <t>Delivered</t>
        </is>
      </c>
      <c r="D3104" s="16" t="inlineStr">
        <is>
          <t>128-19980667433593240</t>
        </is>
      </c>
      <c r="E3104" s="16" t="inlineStr">
        <is>
          <t>Delivered</t>
        </is>
      </c>
      <c r="F3104" s="16" t="inlineStr">
        <is>
          <t>VB347T</t>
        </is>
      </c>
      <c r="G310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04" s="16" t="inlineStr">
        <is>
          <t>1 pieza</t>
        </is>
      </c>
      <c r="I3104" s="16" t="n">
        <v>1</v>
      </c>
      <c r="J3104" s="17" t="n">
        <v>79.90000000000001</v>
      </c>
      <c r="K3104" s="17" t="n">
        <v>94.5</v>
      </c>
      <c r="L3104" s="17" t="n">
        <v>25.86</v>
      </c>
      <c r="M3104" s="17" t="n">
        <v>0</v>
      </c>
      <c r="N3104" s="17">
        <f>K3104*0.08+L3104*0.08</f>
        <v/>
      </c>
      <c r="O3104" s="17">
        <f>-(K3104*0.025+L3104*0.025)</f>
        <v/>
      </c>
      <c r="P3104" s="17">
        <f>32</f>
        <v/>
      </c>
      <c r="Q3104" s="17">
        <f>J3104+L3104+N3104+O3104-P3104-M3104</f>
        <v/>
      </c>
    </row>
    <row r="3105">
      <c r="A3105" s="16" t="inlineStr">
        <is>
          <t>5.22-5.28</t>
        </is>
      </c>
      <c r="B3105" s="16" t="inlineStr">
        <is>
          <t>PO-128-20223560525432883</t>
        </is>
      </c>
      <c r="C3105" s="16" t="inlineStr">
        <is>
          <t>Delivered</t>
        </is>
      </c>
      <c r="D3105" s="16" t="inlineStr">
        <is>
          <t>128-20223518582392883</t>
        </is>
      </c>
      <c r="E3105" s="16" t="inlineStr">
        <is>
          <t>Delivered</t>
        </is>
      </c>
      <c r="F3105" s="16" t="inlineStr">
        <is>
          <t>MCM-001R</t>
        </is>
      </c>
      <c r="G3105" s="16" t="inlineStr">
        <is>
          <t>Musicord Altavoz Inalámbrico BT Portátil: ¡Sonido impactante, luces LED multicolores y 4 horas de autonomía! Compatible con TWS, FM, TF y USB – Imprescindible para fiestas y viajes</t>
        </is>
      </c>
      <c r="H3105" s="16" t="inlineStr">
        <is>
          <t>ROJO</t>
        </is>
      </c>
      <c r="I3105" s="16" t="n">
        <v>1</v>
      </c>
      <c r="J3105" s="17" t="n">
        <v>66.5</v>
      </c>
      <c r="K3105" s="17" t="n">
        <v>74.29000000000001</v>
      </c>
      <c r="L3105" s="17" t="n">
        <v>25.86</v>
      </c>
      <c r="M3105" s="17" t="n">
        <v>0</v>
      </c>
      <c r="N3105" s="17">
        <f>K3105*0.08+L3105*0.08</f>
        <v/>
      </c>
      <c r="O3105" s="17">
        <f>-(K3105*0.025+L3105*0.025)</f>
        <v/>
      </c>
      <c r="P3105" s="17">
        <f>32</f>
        <v/>
      </c>
      <c r="Q3105" s="17">
        <f>J3105+L3105+N3105+O3105-P3105-M3105</f>
        <v/>
      </c>
    </row>
    <row r="3106">
      <c r="A3106" s="16" t="inlineStr">
        <is>
          <t>5.22-5.28</t>
        </is>
      </c>
      <c r="B3106" s="16" t="inlineStr">
        <is>
          <t>PO-128-20574712899190660</t>
        </is>
      </c>
      <c r="C3106" s="16" t="inlineStr">
        <is>
          <t>Delivered</t>
        </is>
      </c>
      <c r="D3106" s="16" t="inlineStr">
        <is>
          <t>128-20574670956150660</t>
        </is>
      </c>
      <c r="E3106" s="16" t="inlineStr">
        <is>
          <t>Delivered</t>
        </is>
      </c>
      <c r="F3106" s="16" t="inlineStr">
        <is>
          <t>MCM-001R</t>
        </is>
      </c>
      <c r="G3106" s="16" t="inlineStr">
        <is>
          <t>Musicord Altavoz Inalámbrico BT Portátil: ¡Sonido impactante, luces LED multicolores y 4 horas de autonomía! Compatible con TWS, FM, TF y USB – Imprescindible para fiestas y viajes</t>
        </is>
      </c>
      <c r="H3106" s="16" t="inlineStr">
        <is>
          <t>ROJO</t>
        </is>
      </c>
      <c r="I3106" s="16" t="n">
        <v>1</v>
      </c>
      <c r="J3106" s="17" t="n">
        <v>66.5</v>
      </c>
      <c r="K3106" s="17" t="n">
        <v>74.29000000000001</v>
      </c>
      <c r="L3106" s="17" t="n">
        <v>25.86</v>
      </c>
      <c r="M3106" s="17" t="n">
        <v>0</v>
      </c>
      <c r="N3106" s="17">
        <f>K3106*0.08+L3106*0.08</f>
        <v/>
      </c>
      <c r="O3106" s="17">
        <f>-(K3106*0.025+L3106*0.025)</f>
        <v/>
      </c>
      <c r="P3106" s="17">
        <f>32</f>
        <v/>
      </c>
      <c r="Q3106" s="17">
        <f>J3106+L3106+N3106+O3106-P3106-M3106</f>
        <v/>
      </c>
    </row>
    <row r="3107">
      <c r="A3107" s="16" t="inlineStr">
        <is>
          <t>5.22-5.28</t>
        </is>
      </c>
      <c r="B3107" s="16" t="inlineStr">
        <is>
          <t>PO-128-20197726935673037</t>
        </is>
      </c>
      <c r="C3107" s="16" t="inlineStr">
        <is>
          <t>Delivered</t>
        </is>
      </c>
      <c r="D3107" s="16" t="inlineStr">
        <is>
          <t>128-20197684992633037</t>
        </is>
      </c>
      <c r="E3107" s="16" t="inlineStr">
        <is>
          <t>Delivered</t>
        </is>
      </c>
      <c r="F3107" s="16" t="inlineStr">
        <is>
          <t>LB02235-negro</t>
        </is>
      </c>
      <c r="G3107" s="16" t="inlineStr">
        <is>
          <t>Audífonos Inalámbricos para la Cabeza, Recargables y Multifuncionales - Conectan a Varios Dispositivos, soportan Radio FM, Tarjeta TF y AUX - 4 Horas de Reproducción Musical - Ideal para Trabajo Cotidiano, Juegos y Estudio</t>
        </is>
      </c>
      <c r="H3107" s="16" t="inlineStr">
        <is>
          <t>NEGRO</t>
        </is>
      </c>
      <c r="I3107" s="16" t="n">
        <v>1</v>
      </c>
      <c r="J3107" s="17" t="n">
        <v>36.8</v>
      </c>
      <c r="K3107" s="17" t="n">
        <v>6.81</v>
      </c>
      <c r="L3107" s="17" t="n">
        <v>25.86</v>
      </c>
      <c r="M3107" s="17" t="n">
        <v>0</v>
      </c>
      <c r="N3107" s="17">
        <f>K3107*0.08+L3107*0.08</f>
        <v/>
      </c>
      <c r="O3107" s="17">
        <f>-(K3107*0.025+L3107*0.025)</f>
        <v/>
      </c>
      <c r="P3107" s="17">
        <f>32</f>
        <v/>
      </c>
      <c r="Q3107" s="17">
        <f>J3107+L3107+N3107+O3107-P3107-M3107</f>
        <v/>
      </c>
    </row>
    <row r="3108">
      <c r="A3108" s="16" t="inlineStr">
        <is>
          <t>5.22-5.28</t>
        </is>
      </c>
      <c r="B3108" s="16" t="inlineStr">
        <is>
          <t>PO-128-20134210335352391</t>
        </is>
      </c>
      <c r="C3108" s="16" t="inlineStr">
        <is>
          <t>Delivered</t>
        </is>
      </c>
      <c r="D3108" s="16" t="inlineStr">
        <is>
          <t>128-20134315192952391</t>
        </is>
      </c>
      <c r="E3108" s="16" t="inlineStr">
        <is>
          <t>Delivered</t>
        </is>
      </c>
      <c r="F3108" s="16" t="inlineStr">
        <is>
          <t>LB02235-negro</t>
        </is>
      </c>
      <c r="G3108" s="16" t="inlineStr">
        <is>
          <t>Audífonos Inalámbricos para la Cabeza, Recargables y Multifuncionales - Conectan a Varios Dispositivos, soportan Radio FM, Tarjeta TF y AUX - 4 Horas de Reproducción Musical - Ideal para Trabajo Cotidiano, Juegos y Estudio</t>
        </is>
      </c>
      <c r="H3108" s="16" t="inlineStr">
        <is>
          <t>NEGRO</t>
        </is>
      </c>
      <c r="I3108" s="16" t="n">
        <v>1</v>
      </c>
      <c r="J3108" s="17" t="n">
        <v>36.8</v>
      </c>
      <c r="K3108" s="17" t="n">
        <v>49.91</v>
      </c>
      <c r="L3108" s="17" t="n">
        <v>25.86</v>
      </c>
      <c r="M3108" s="17" t="n">
        <v>0</v>
      </c>
      <c r="N3108" s="17">
        <f>K3108*0.08+L3108*0.08</f>
        <v/>
      </c>
      <c r="O3108" s="17">
        <f>-(K3108*0.025+L3108*0.025)</f>
        <v/>
      </c>
      <c r="P3108" s="17">
        <f>32</f>
        <v/>
      </c>
      <c r="Q3108" s="17">
        <f>J3108+L3108+N3108+O3108-P3108-M3108</f>
        <v/>
      </c>
    </row>
    <row r="3109">
      <c r="A3109" s="16" t="inlineStr">
        <is>
          <t>5.22-5.28</t>
        </is>
      </c>
      <c r="B3109" s="16" t="inlineStr">
        <is>
          <t>PO-128-20584521795190731</t>
        </is>
      </c>
      <c r="C3109" s="16" t="inlineStr">
        <is>
          <t>Delivered</t>
        </is>
      </c>
      <c r="D3109" s="16" t="inlineStr">
        <is>
          <t>128-20584485095030731</t>
        </is>
      </c>
      <c r="E3109" s="16" t="inlineStr">
        <is>
          <t>Delivered</t>
        </is>
      </c>
      <c r="F3109" s="16" t="inlineStr">
        <is>
          <t>KTS-1678Y</t>
        </is>
      </c>
      <c r="G3109" s="16" t="inlineStr">
        <is>
          <t>Bocina portátil Inalámbrico, de 3 pulgadas, tamaño de bolsillo, 170 g, con asa, compatible con TF, USB y Micro SD, con radio FM y función TWS (True Wireless Stereo), adecuada para relajarse en casa o viajar al aire libre.</t>
        </is>
      </c>
      <c r="H3109" s="16" t="inlineStr">
        <is>
          <t>KTS-1678Y</t>
        </is>
      </c>
      <c r="I3109" s="16" t="n">
        <v>1</v>
      </c>
      <c r="J3109" s="17" t="n">
        <v>42.5</v>
      </c>
      <c r="K3109" s="17" t="n">
        <v>48.72</v>
      </c>
      <c r="L3109" s="17" t="n">
        <v>25.86</v>
      </c>
      <c r="M3109" s="17" t="n">
        <v>0</v>
      </c>
      <c r="N3109" s="17">
        <f>K3109*0.08+L3109*0.08</f>
        <v/>
      </c>
      <c r="O3109" s="17">
        <f>-(K3109*0.025+L3109*0.025)</f>
        <v/>
      </c>
      <c r="P3109" s="17">
        <f>32</f>
        <v/>
      </c>
      <c r="Q3109" s="17">
        <f>J3109+L3109+N3109+O3109-P3109-M3109</f>
        <v/>
      </c>
    </row>
    <row r="3110">
      <c r="A3110" s="16" t="inlineStr">
        <is>
          <t>5.22-5.28</t>
        </is>
      </c>
      <c r="B3110" s="16" t="inlineStr">
        <is>
          <t>PO-128-20599186878070514</t>
        </is>
      </c>
      <c r="C3110" s="16" t="inlineStr">
        <is>
          <t>Delivered</t>
        </is>
      </c>
      <c r="D3110" s="16" t="inlineStr">
        <is>
          <t>128-20599134449270514</t>
        </is>
      </c>
      <c r="E3110" s="16" t="inlineStr">
        <is>
          <t>Delivered</t>
        </is>
      </c>
      <c r="F3110" s="16" t="inlineStr">
        <is>
          <t>LB02235-rojo</t>
        </is>
      </c>
      <c r="G3110" s="16" t="inlineStr">
        <is>
          <t>Audífonos Inalámbricos para la Cabeza, Recargables y Multifuncionales - Conectan a Varios Dispositivos, soportan Radio FM, Tarjeta TF y AUX - 4 Horas de Reproducción Musical - Ideal para Trabajo Cotidiano, Juegos y Estudio</t>
        </is>
      </c>
      <c r="H3110" s="16" t="inlineStr">
        <is>
          <t>ROJO</t>
        </is>
      </c>
      <c r="I3110" s="16" t="n">
        <v>1</v>
      </c>
      <c r="J3110" s="17" t="n">
        <v>36.8</v>
      </c>
      <c r="K3110" s="17" t="n">
        <v>49.91</v>
      </c>
      <c r="L3110" s="17" t="n">
        <v>25.86</v>
      </c>
      <c r="M3110" s="17" t="n">
        <v>0</v>
      </c>
      <c r="N3110" s="17">
        <f>K3110*0.08+L3110*0.08</f>
        <v/>
      </c>
      <c r="O3110" s="17">
        <f>-(K3110*0.025+L3110*0.025)</f>
        <v/>
      </c>
      <c r="P3110" s="17">
        <f>32</f>
        <v/>
      </c>
      <c r="Q3110" s="17">
        <f>J3110+L3110+N3110+O3110-P3110-M3110</f>
        <v/>
      </c>
    </row>
    <row r="3111">
      <c r="A3111" s="16" t="inlineStr">
        <is>
          <t>5.22-5.28</t>
        </is>
      </c>
      <c r="B3111" s="16" t="inlineStr">
        <is>
          <t>PO-128-20123276047992326</t>
        </is>
      </c>
      <c r="C3111" s="16" t="inlineStr">
        <is>
          <t>Delivered</t>
        </is>
      </c>
      <c r="D3111" s="16" t="inlineStr">
        <is>
          <t>128-20123328476792326</t>
        </is>
      </c>
      <c r="E3111" s="16" t="inlineStr">
        <is>
          <t>Delivered</t>
        </is>
      </c>
      <c r="F3111" s="16" t="inlineStr">
        <is>
          <t>MB-185R</t>
        </is>
      </c>
      <c r="G3111" s="16" t="inlineStr">
        <is>
          <t>Bocina Radio FM/Reproductor, Compatible con Tarjeta TF, USB, Bluetooth, Aplicable para celular, computadora, Ipad y consola.</t>
        </is>
      </c>
      <c r="H3111" s="16" t="inlineStr">
        <is>
          <t>ROJO/MB-185</t>
        </is>
      </c>
      <c r="I3111" s="16" t="n">
        <v>1</v>
      </c>
      <c r="J3111" s="17" t="n">
        <v>74</v>
      </c>
      <c r="K3111" s="17" t="n">
        <v>86.94</v>
      </c>
      <c r="L3111" s="17" t="n">
        <v>25.86</v>
      </c>
      <c r="M3111" s="17" t="n">
        <v>0</v>
      </c>
      <c r="N3111" s="17">
        <f>K3111*0.08+L3111*0.08</f>
        <v/>
      </c>
      <c r="O3111" s="17">
        <f>-(K3111*0.025+L3111*0.025)</f>
        <v/>
      </c>
      <c r="P3111" s="17">
        <f>32</f>
        <v/>
      </c>
      <c r="Q3111" s="17">
        <f>J3111+L3111+N3111+O3111-P3111-M3111</f>
        <v/>
      </c>
    </row>
    <row r="3112">
      <c r="A3112" s="16" t="inlineStr">
        <is>
          <t>5.22-5.28</t>
        </is>
      </c>
      <c r="B3112" s="16" t="inlineStr">
        <is>
          <t>PO-128-20075424282233828</t>
        </is>
      </c>
      <c r="C3112" s="16" t="inlineStr">
        <is>
          <t>Delivered</t>
        </is>
      </c>
      <c r="D3112" s="16" t="inlineStr">
        <is>
          <t>128-20075440010873828</t>
        </is>
      </c>
      <c r="E3112" s="16" t="inlineStr">
        <is>
          <t>Delivered</t>
        </is>
      </c>
      <c r="F3112" s="16" t="inlineStr">
        <is>
          <t>LB02235-negro</t>
        </is>
      </c>
      <c r="G3112" s="16" t="inlineStr">
        <is>
          <t>Audífonos Inalámbricos para la Cabeza, Recargables y Multifuncionales - Conectan a Varios Dispositivos, soportan Radio FM, Tarjeta TF y AUX - 4 Horas de Reproducción Musical - Ideal para Trabajo Cotidiano, Juegos y Estudio</t>
        </is>
      </c>
      <c r="H3112" s="16" t="inlineStr">
        <is>
          <t>NEGRO</t>
        </is>
      </c>
      <c r="I3112" s="16" t="n">
        <v>1</v>
      </c>
      <c r="J3112" s="17" t="n">
        <v>36.8</v>
      </c>
      <c r="K3112" s="17" t="n">
        <v>42.43</v>
      </c>
      <c r="L3112" s="17" t="n">
        <v>25.86</v>
      </c>
      <c r="M3112" s="17" t="n">
        <v>0</v>
      </c>
      <c r="N3112" s="17">
        <f>K3112*0.08+L3112*0.08</f>
        <v/>
      </c>
      <c r="O3112" s="17">
        <f>-(K3112*0.025+L3112*0.025)</f>
        <v/>
      </c>
      <c r="P3112" s="17">
        <f>32</f>
        <v/>
      </c>
      <c r="Q3112" s="17">
        <f>J3112+L3112+N3112+O3112-P3112-M3112</f>
        <v/>
      </c>
    </row>
    <row r="3113">
      <c r="A3113" s="16" t="inlineStr">
        <is>
          <t>5.22-5.28</t>
        </is>
      </c>
      <c r="B3113" s="16" t="inlineStr">
        <is>
          <t>PO-128-20378529531512023</t>
        </is>
      </c>
      <c r="C3113" s="16" t="inlineStr">
        <is>
          <t>Delivered</t>
        </is>
      </c>
      <c r="D3113" s="16" t="inlineStr">
        <is>
          <t>128-20378612926072023</t>
        </is>
      </c>
      <c r="E3113" s="16" t="inlineStr">
        <is>
          <t>Delivered</t>
        </is>
      </c>
      <c r="F3113" s="16" t="inlineStr">
        <is>
          <t>KTS-1678A</t>
        </is>
      </c>
      <c r="G3113" s="16" t="inlineStr">
        <is>
          <t>Bocina portátil Inalámbrico, de 3 pulgadas, tamaño de bolsillo, 170 g, con asa, compatible con TF, USB y Micro SD, con radio FM y función TWS (True Wireless Stereo), adecuada para relajarse en casa o viajar al aire libre.</t>
        </is>
      </c>
      <c r="H3113" s="16" t="inlineStr">
        <is>
          <t>KTS-1678A</t>
        </is>
      </c>
      <c r="I3113" s="16" t="n">
        <v>1</v>
      </c>
      <c r="J3113" s="17" t="n">
        <v>42.5</v>
      </c>
      <c r="K3113" s="17" t="n">
        <v>50.78</v>
      </c>
      <c r="L3113" s="17" t="n">
        <v>25.86</v>
      </c>
      <c r="M3113" s="17" t="n">
        <v>0</v>
      </c>
      <c r="N3113" s="17">
        <f>K3113*0.08+L3113*0.08</f>
        <v/>
      </c>
      <c r="O3113" s="17">
        <f>-(K3113*0.025+L3113*0.025)</f>
        <v/>
      </c>
      <c r="P3113" s="17">
        <f>32</f>
        <v/>
      </c>
      <c r="Q3113" s="17">
        <f>J3113+L3113+N3113+O3113-P3113-M3113</f>
        <v/>
      </c>
    </row>
    <row r="3114">
      <c r="A3114" s="16" t="inlineStr">
        <is>
          <t>5.22-5.28</t>
        </is>
      </c>
      <c r="B3114" s="16" t="inlineStr">
        <is>
          <t>PO-128-19961939733113416</t>
        </is>
      </c>
      <c r="C3114" s="16" t="inlineStr">
        <is>
          <t>Delivered</t>
        </is>
      </c>
      <c r="D3114" s="16" t="inlineStr">
        <is>
          <t>128-19961981676153416</t>
        </is>
      </c>
      <c r="E3114" s="16" t="inlineStr">
        <is>
          <t>Delivered</t>
        </is>
      </c>
      <c r="F3114" s="16" t="inlineStr">
        <is>
          <t>VA384T-A</t>
        </is>
      </c>
      <c r="G3114" s="16" t="inlineStr">
        <is>
          <t>Bocina Portátil Bluetooth de 3 Pulgadas con Radio FM, USB TF TWS, Sonido Estéreo 5W, Bocina Recargable para Hogar Exterior Viaje Fiesta Camping</t>
        </is>
      </c>
      <c r="H3114" s="16" t="inlineStr">
        <is>
          <t>AZUL</t>
        </is>
      </c>
      <c r="I3114" s="16" t="n">
        <v>1</v>
      </c>
      <c r="J3114" s="17" t="n">
        <v>47.99</v>
      </c>
      <c r="K3114" s="17" t="n">
        <v>15.6</v>
      </c>
      <c r="L3114" s="17" t="n">
        <v>25.86</v>
      </c>
      <c r="M3114" s="17" t="n">
        <v>0</v>
      </c>
      <c r="N3114" s="17">
        <f>K3114*0.08+L3114*0.08</f>
        <v/>
      </c>
      <c r="O3114" s="17">
        <f>-(K3114*0.025+L3114*0.025)</f>
        <v/>
      </c>
      <c r="P3114" s="17">
        <f>32</f>
        <v/>
      </c>
      <c r="Q3114" s="17">
        <f>J3114+L3114+N3114+O3114-P3114-M3114</f>
        <v/>
      </c>
    </row>
    <row r="3115">
      <c r="A3115" s="16" t="inlineStr">
        <is>
          <t>5.22-5.28</t>
        </is>
      </c>
      <c r="B3115" s="16" t="inlineStr">
        <is>
          <t>PO-128-09322377129591171</t>
        </is>
      </c>
      <c r="C3115" s="16" t="inlineStr">
        <is>
          <t>Delivered</t>
        </is>
      </c>
      <c r="D3115" s="16" t="inlineStr">
        <is>
          <t>128-09322341740151171</t>
        </is>
      </c>
      <c r="E3115" s="16" t="inlineStr">
        <is>
          <t>Delivered</t>
        </is>
      </c>
      <c r="F3115" s="16" t="inlineStr">
        <is>
          <t>MCM-003-V</t>
        </is>
      </c>
      <c r="G311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3115" s="16" t="inlineStr">
        <is>
          <t>verde</t>
        </is>
      </c>
      <c r="I3115" s="16" t="n">
        <v>1</v>
      </c>
      <c r="J3115" s="17" t="n">
        <v>43</v>
      </c>
      <c r="K3115" s="17" t="n">
        <v>42.64</v>
      </c>
      <c r="L3115" s="17" t="n">
        <v>12.84</v>
      </c>
      <c r="M3115" s="17" t="n">
        <v>0</v>
      </c>
      <c r="N3115" s="17">
        <f>K3115*0.08+L3115*0.08</f>
        <v/>
      </c>
      <c r="O3115" s="17">
        <f>-(K3115*0.025+L3115*0.025)</f>
        <v/>
      </c>
      <c r="P3115" s="17">
        <f>32</f>
        <v/>
      </c>
      <c r="Q3115" s="17">
        <f>J3115+L3115+N3115+O3115-P3115-M3115</f>
        <v/>
      </c>
    </row>
    <row r="3116">
      <c r="A3116" s="16" t="inlineStr">
        <is>
          <t>5.22-5.28</t>
        </is>
      </c>
      <c r="B3116" s="16" t="inlineStr">
        <is>
          <t>PO-128-09322377129591171</t>
        </is>
      </c>
      <c r="C3116" s="16" t="inlineStr">
        <is>
          <t>Delivered</t>
        </is>
      </c>
      <c r="D3116" s="16" t="inlineStr">
        <is>
          <t>128-09322324700791171</t>
        </is>
      </c>
      <c r="E3116" s="16" t="inlineStr">
        <is>
          <t>Delivered</t>
        </is>
      </c>
      <c r="F3116" s="16" t="inlineStr">
        <is>
          <t>KTS-1678R</t>
        </is>
      </c>
      <c r="G3116" s="16" t="inlineStr">
        <is>
          <t>Bocina portátil Inalámbrico, de 3 pulgadas, tamaño de bolsillo, 170 g, con asa, compatible con TF, USB y Micro SD, con radio FM y función TWS (True Wireless Stereo), adecuada para relajarse en casa o viajar al aire libre.</t>
        </is>
      </c>
      <c r="H3116" s="16" t="inlineStr">
        <is>
          <t>KTS-1678R</t>
        </is>
      </c>
      <c r="I3116" s="16" t="n">
        <v>1</v>
      </c>
      <c r="J3116" s="17" t="n">
        <v>42.5</v>
      </c>
      <c r="K3116" s="17" t="n">
        <v>43.17</v>
      </c>
      <c r="L3116" s="17" t="n">
        <v>13.02</v>
      </c>
      <c r="M3116" s="17" t="n">
        <v>0</v>
      </c>
      <c r="N3116" s="17">
        <f>K3116*0.08+L3116*0.08</f>
        <v/>
      </c>
      <c r="O3116" s="17">
        <f>-(K3116*0.025+L3116*0.025)</f>
        <v/>
      </c>
      <c r="P3116" s="17">
        <f>32</f>
        <v/>
      </c>
      <c r="Q3116" s="17">
        <f>J3116+L3116+N3116+O3116-P3116-M3116</f>
        <v/>
      </c>
    </row>
    <row r="3117">
      <c r="A3117" s="16" t="inlineStr">
        <is>
          <t>5.22-5.28</t>
        </is>
      </c>
      <c r="B3117" s="16" t="inlineStr">
        <is>
          <t>PO-128-09002446592633076</t>
        </is>
      </c>
      <c r="C3117" s="16" t="inlineStr">
        <is>
          <t>Delivered</t>
        </is>
      </c>
      <c r="D3117" s="16" t="inlineStr">
        <is>
          <t>128-09002404649593076</t>
        </is>
      </c>
      <c r="E3117" s="16" t="inlineStr">
        <is>
          <t>Delivered</t>
        </is>
      </c>
      <c r="F3117" s="16" t="inlineStr">
        <is>
          <t>LB02235-rojo</t>
        </is>
      </c>
      <c r="G3117" s="16" t="inlineStr">
        <is>
          <t>Audífonos Inalámbricos para la Cabeza, Recargables y Multifuncionales - Conectan a Varios Dispositivos, soportan Radio FM, Tarjeta TF y AUX - 4 Horas de Reproducción Musical - Ideal para Trabajo Cotidiano, Juegos y Estudio</t>
        </is>
      </c>
      <c r="H3117" s="16" t="inlineStr">
        <is>
          <t>ROJO</t>
        </is>
      </c>
      <c r="I3117" s="16" t="n">
        <v>1</v>
      </c>
      <c r="J3117" s="17" t="n">
        <v>36.8</v>
      </c>
      <c r="K3117" s="17" t="n">
        <v>49.91</v>
      </c>
      <c r="L3117" s="17" t="n">
        <v>25.86</v>
      </c>
      <c r="M3117" s="17" t="n">
        <v>0</v>
      </c>
      <c r="N3117" s="17">
        <f>K3117*0.08+L3117*0.08</f>
        <v/>
      </c>
      <c r="O3117" s="17">
        <f>-(K3117*0.025+L3117*0.025)</f>
        <v/>
      </c>
      <c r="P3117" s="17">
        <f>32</f>
        <v/>
      </c>
      <c r="Q3117" s="17">
        <f>J3117+L3117+N3117+O3117-P3117-M3117</f>
        <v/>
      </c>
    </row>
    <row r="3118">
      <c r="A3118" s="16" t="inlineStr">
        <is>
          <t>5.22-5.28</t>
        </is>
      </c>
      <c r="B3118" s="16" t="inlineStr">
        <is>
          <t>PO-128-09424166902391778</t>
        </is>
      </c>
      <c r="C3118" s="16" t="inlineStr">
        <is>
          <t>Delivered</t>
        </is>
      </c>
      <c r="D3118" s="16" t="inlineStr">
        <is>
          <t>128-09424124959351778</t>
        </is>
      </c>
      <c r="E3118" s="16" t="inlineStr">
        <is>
          <t>Delivered</t>
        </is>
      </c>
      <c r="F3118" s="16" t="inlineStr">
        <is>
          <t>LB02235-rojo</t>
        </is>
      </c>
      <c r="G3118" s="16" t="inlineStr">
        <is>
          <t>Audífonos Inalámbricos para la Cabeza, Recargables y Multifuncionales - Conectan a Varios Dispositivos, soportan Radio FM, Tarjeta TF y AUX - 4 Horas de Reproducción Musical - Ideal para Trabajo Cotidiano, Juegos y Estudio</t>
        </is>
      </c>
      <c r="H3118" s="16" t="inlineStr">
        <is>
          <t>ROJO</t>
        </is>
      </c>
      <c r="I3118" s="16" t="n">
        <v>1</v>
      </c>
      <c r="J3118" s="17" t="n">
        <v>36.8</v>
      </c>
      <c r="K3118" s="17" t="n">
        <v>49.91</v>
      </c>
      <c r="L3118" s="17" t="n">
        <v>25.86</v>
      </c>
      <c r="M3118" s="17" t="n">
        <v>0</v>
      </c>
      <c r="N3118" s="17">
        <f>K3118*0.08+L3118*0.08</f>
        <v/>
      </c>
      <c r="O3118" s="17">
        <f>-(K3118*0.025+L3118*0.025)</f>
        <v/>
      </c>
      <c r="P3118" s="17">
        <f>32</f>
        <v/>
      </c>
      <c r="Q3118" s="17">
        <f>J3118+L3118+N3118+O3118-P3118-M3118</f>
        <v/>
      </c>
    </row>
    <row r="3119">
      <c r="A3119" s="16" t="inlineStr">
        <is>
          <t>5.22-5.28</t>
        </is>
      </c>
      <c r="B3119" s="16" t="inlineStr">
        <is>
          <t>PO-128-09556213105270993</t>
        </is>
      </c>
      <c r="C3119" s="16" t="inlineStr">
        <is>
          <t>Delivered</t>
        </is>
      </c>
      <c r="D3119" s="16" t="inlineStr">
        <is>
          <t>128-09556255048310993</t>
        </is>
      </c>
      <c r="E3119" s="16" t="inlineStr">
        <is>
          <t>Delivered</t>
        </is>
      </c>
      <c r="F3119" s="16" t="inlineStr">
        <is>
          <t>S39W48-5PZS</t>
        </is>
      </c>
      <c r="G311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119" s="16" t="inlineStr">
        <is>
          <t>5 piezas</t>
        </is>
      </c>
      <c r="I3119" s="16" t="n">
        <v>1</v>
      </c>
      <c r="J3119" s="17" t="n">
        <v>150</v>
      </c>
      <c r="K3119" s="17" t="n">
        <v>209.87</v>
      </c>
      <c r="L3119" s="17" t="n">
        <v>0</v>
      </c>
      <c r="M3119" s="17" t="n">
        <v>0</v>
      </c>
      <c r="N3119" s="17">
        <f>K3119*0.08+L3119*0.08</f>
        <v/>
      </c>
      <c r="O3119" s="17">
        <f>-(K3119*0.025+L3119*0.025)</f>
        <v/>
      </c>
      <c r="P3119" s="17">
        <f>32</f>
        <v/>
      </c>
      <c r="Q3119" s="17">
        <f>J3119+L3119+N3119+O3119-P3119-M3119</f>
        <v/>
      </c>
    </row>
    <row r="3120">
      <c r="A3120" s="16" t="inlineStr">
        <is>
          <t>5.22-5.28</t>
        </is>
      </c>
      <c r="B3120" s="16" t="inlineStr">
        <is>
          <t>PO-128-09556213105270993</t>
        </is>
      </c>
      <c r="C3120" s="16" t="inlineStr">
        <is>
          <t>Delivered</t>
        </is>
      </c>
      <c r="D3120" s="16" t="inlineStr">
        <is>
          <t>128-09556276019830993</t>
        </is>
      </c>
      <c r="E3120" s="16" t="inlineStr">
        <is>
          <t>Delivered</t>
        </is>
      </c>
      <c r="F3120" s="16" t="inlineStr">
        <is>
          <t>S39W48</t>
        </is>
      </c>
      <c r="G3120"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120" s="16" t="inlineStr">
        <is>
          <t>1 pieza</t>
        </is>
      </c>
      <c r="I3120" s="16" t="n">
        <v>2</v>
      </c>
      <c r="J3120" s="17" t="n">
        <v>60</v>
      </c>
      <c r="K3120" s="17" t="n">
        <v>85.16</v>
      </c>
      <c r="L3120" s="17" t="n">
        <v>0</v>
      </c>
      <c r="M3120" s="17" t="n">
        <v>0</v>
      </c>
      <c r="N3120" s="17">
        <f>K3120*0.08+L3120*0.08</f>
        <v/>
      </c>
      <c r="O3120" s="17">
        <f>-(K3120*0.025+L3120*0.025)</f>
        <v/>
      </c>
      <c r="P3120" s="17">
        <f>32</f>
        <v/>
      </c>
      <c r="Q3120" s="17">
        <f>J3120+L3120+N3120+O3120-P3120-M3120</f>
        <v/>
      </c>
    </row>
    <row r="3121">
      <c r="A3121" s="16" t="inlineStr">
        <is>
          <t>5.22-5.28</t>
        </is>
      </c>
      <c r="B3121" s="16" t="inlineStr">
        <is>
          <t>PO-128-15028204879990121</t>
        </is>
      </c>
      <c r="C3121" s="16" t="inlineStr">
        <is>
          <t>Delivered</t>
        </is>
      </c>
      <c r="D3121" s="16" t="inlineStr">
        <is>
          <t>128-15028257308790121</t>
        </is>
      </c>
      <c r="E3121" s="16" t="inlineStr">
        <is>
          <t>Delivered</t>
        </is>
      </c>
      <c r="F3121" s="16" t="inlineStr">
        <is>
          <t>LB02235-negro</t>
        </is>
      </c>
      <c r="G3121" s="16" t="inlineStr">
        <is>
          <t>Audífonos Inalámbricos para la Cabeza, Recargables y Multifuncionales - Conectan a Varios Dispositivos, soportan Radio FM, Tarjeta TF y AUX - 4 Horas de Reproducción Musical - Ideal para Trabajo Cotidiano, Juegos y Estudio</t>
        </is>
      </c>
      <c r="H3121" s="16" t="inlineStr">
        <is>
          <t>NEGRO</t>
        </is>
      </c>
      <c r="I3121" s="16" t="n">
        <v>1</v>
      </c>
      <c r="J3121" s="17" t="n">
        <v>36.8</v>
      </c>
      <c r="K3121" s="17" t="n">
        <v>49.91</v>
      </c>
      <c r="L3121" s="17" t="n">
        <v>25.86</v>
      </c>
      <c r="M3121" s="17" t="n">
        <v>0</v>
      </c>
      <c r="N3121" s="17">
        <f>K3121*0.08+L3121*0.08</f>
        <v/>
      </c>
      <c r="O3121" s="17">
        <f>-(K3121*0.025+L3121*0.025)</f>
        <v/>
      </c>
      <c r="P3121" s="17">
        <f>32</f>
        <v/>
      </c>
      <c r="Q3121" s="17">
        <f>J3121+L3121+N3121+O3121-P3121-M3121</f>
        <v/>
      </c>
    </row>
    <row r="3122">
      <c r="A3122" s="16" t="inlineStr">
        <is>
          <t>5.22-5.28</t>
        </is>
      </c>
      <c r="B3122" s="16" t="inlineStr">
        <is>
          <t>PO-128-14854735327351091</t>
        </is>
      </c>
      <c r="C3122" s="16" t="inlineStr">
        <is>
          <t>Delivered</t>
        </is>
      </c>
      <c r="D3122" s="16" t="inlineStr">
        <is>
          <t>128-14854871642231091</t>
        </is>
      </c>
      <c r="E3122" s="16" t="inlineStr">
        <is>
          <t>Delivered</t>
        </is>
      </c>
      <c r="F3122" s="16" t="inlineStr">
        <is>
          <t>LB02235-negro</t>
        </is>
      </c>
      <c r="G3122" s="16" t="inlineStr">
        <is>
          <t>Audífonos Inalámbricos para la Cabeza, Recargables y Multifuncionales - Conectan a Varios Dispositivos, soportan Radio FM, Tarjeta TF y AUX - 4 Horas de Reproducción Musical - Ideal para Trabajo Cotidiano, Juegos y Estudio</t>
        </is>
      </c>
      <c r="H3122" s="16" t="inlineStr">
        <is>
          <t>NEGRO</t>
        </is>
      </c>
      <c r="I3122" s="16" t="n">
        <v>1</v>
      </c>
      <c r="J3122" s="17" t="n">
        <v>36.8</v>
      </c>
      <c r="K3122" s="17" t="n">
        <v>49.91</v>
      </c>
      <c r="L3122" s="17" t="n">
        <v>25.86</v>
      </c>
      <c r="M3122" s="17" t="n">
        <v>0</v>
      </c>
      <c r="N3122" s="17">
        <f>K3122*0.08+L3122*0.08</f>
        <v/>
      </c>
      <c r="O3122" s="17">
        <f>-(K3122*0.025+L3122*0.025)</f>
        <v/>
      </c>
      <c r="P3122" s="17">
        <f>32</f>
        <v/>
      </c>
      <c r="Q3122" s="17">
        <f>J3122+L3122+N3122+O3122-P3122-M3122</f>
        <v/>
      </c>
    </row>
    <row r="3123">
      <c r="A3123" s="16" t="inlineStr">
        <is>
          <t>5.22-5.28</t>
        </is>
      </c>
      <c r="B3123" s="16" t="inlineStr">
        <is>
          <t>PO-128-14668740298872070</t>
        </is>
      </c>
      <c r="C3123" s="16" t="inlineStr">
        <is>
          <t>Delivered</t>
        </is>
      </c>
      <c r="D3123" s="16" t="inlineStr">
        <is>
          <t>128-14668780275832070</t>
        </is>
      </c>
      <c r="E3123" s="16" t="inlineStr">
        <is>
          <t>Delivered</t>
        </is>
      </c>
      <c r="F3123" s="16" t="inlineStr">
        <is>
          <t>FA028</t>
        </is>
      </c>
      <c r="G3123" s="16" t="inlineStr">
        <is>
          <t>Extractor de agua para garrafas de agua, compatible con carga USB, extractor de agua automático, práctico, con dos modos de toma de agua: manual y programado, ideal para dormitorios, salones, oficinas, uso al aire libre y otros escenarios.</t>
        </is>
      </c>
      <c r="H3123" s="16" t="inlineStr">
        <is>
          <t>FA028</t>
        </is>
      </c>
      <c r="I3123" s="16" t="n">
        <v>1</v>
      </c>
      <c r="J3123" s="17" t="n">
        <v>28</v>
      </c>
      <c r="K3123" s="17" t="n">
        <v>37.58</v>
      </c>
      <c r="L3123" s="17" t="n">
        <v>25.86</v>
      </c>
      <c r="M3123" s="17" t="n">
        <v>0</v>
      </c>
      <c r="N3123" s="17">
        <f>K3123*0.08+L3123*0.08</f>
        <v/>
      </c>
      <c r="O3123" s="17">
        <f>-(K3123*0.025+L3123*0.025)</f>
        <v/>
      </c>
      <c r="P3123" s="17">
        <f>32</f>
        <v/>
      </c>
      <c r="Q3123" s="17">
        <f>J3123+L3123+N3123+O3123-P3123-M3123</f>
        <v/>
      </c>
    </row>
    <row r="3124">
      <c r="A3124" s="16" t="inlineStr">
        <is>
          <t>5.22-5.28</t>
        </is>
      </c>
      <c r="B3124" s="16" t="inlineStr">
        <is>
          <t>PO-128-14744737464952771</t>
        </is>
      </c>
      <c r="C3124" s="16" t="inlineStr">
        <is>
          <t>Delivered</t>
        </is>
      </c>
      <c r="D3124" s="16" t="inlineStr">
        <is>
          <t>128-14744779407992771</t>
        </is>
      </c>
      <c r="E3124" s="16" t="inlineStr">
        <is>
          <t>Delivered</t>
        </is>
      </c>
      <c r="F3124" s="16" t="inlineStr">
        <is>
          <t>KTS-1943-R</t>
        </is>
      </c>
      <c r="G3124" s="16" t="inlineStr">
        <is>
          <t>Altavoz Mini Karaoke Portátil BT con Micrófono Inalámbrico, Función TWS, Radio FM, USB/TF, Batería de Larga Duración, Perfecto para Casa, Exterior y Regalos Especiales</t>
        </is>
      </c>
      <c r="H3124" s="16" t="inlineStr">
        <is>
          <t>ROJO</t>
        </is>
      </c>
      <c r="I3124" s="16" t="n">
        <v>1</v>
      </c>
      <c r="J3124" s="17" t="n">
        <v>75</v>
      </c>
      <c r="K3124" s="17" t="n">
        <v>90.59999999999999</v>
      </c>
      <c r="L3124" s="17" t="n">
        <v>25.86</v>
      </c>
      <c r="M3124" s="17" t="n">
        <v>0</v>
      </c>
      <c r="N3124" s="17">
        <f>K3124*0.08+L3124*0.08</f>
        <v/>
      </c>
      <c r="O3124" s="17">
        <f>-(K3124*0.025+L3124*0.025)</f>
        <v/>
      </c>
      <c r="P3124" s="17">
        <f>32</f>
        <v/>
      </c>
      <c r="Q3124" s="17">
        <f>J3124+L3124+N3124+O3124-P3124-M3124</f>
        <v/>
      </c>
    </row>
    <row r="3125">
      <c r="A3125" s="16" t="inlineStr">
        <is>
          <t>5.22-5.28</t>
        </is>
      </c>
      <c r="B3125" s="16" t="inlineStr">
        <is>
          <t>PO-128-04857459021433206</t>
        </is>
      </c>
      <c r="C3125" s="16" t="inlineStr">
        <is>
          <t>Partially delivered</t>
        </is>
      </c>
      <c r="D3125" s="16" t="inlineStr">
        <is>
          <t>128-04857479992953206</t>
        </is>
      </c>
      <c r="E3125" s="16" t="inlineStr">
        <is>
          <t>Delivered</t>
        </is>
      </c>
      <c r="F3125" s="16" t="inlineStr">
        <is>
          <t>MB-178-N</t>
        </is>
      </c>
      <c r="G3125" s="16" t="inlineStr">
        <is>
          <t>Bocina de Barra Bluetooth LINK BITS con dos altavoces, sonido de alta calidad y multifuncional (Bluetooth, Radio FM, USB, TF, AUX, TWS), ideal para juegos, reuniones, oficina y cine en casa.</t>
        </is>
      </c>
      <c r="H3125" s="16" t="inlineStr">
        <is>
          <t>NEGRO</t>
        </is>
      </c>
      <c r="I3125" s="16" t="n">
        <v>1</v>
      </c>
      <c r="J3125" s="17" t="n">
        <v>125</v>
      </c>
      <c r="K3125" s="17" t="n">
        <v>144.34</v>
      </c>
      <c r="L3125" s="17" t="n">
        <v>0</v>
      </c>
      <c r="M3125" s="17" t="n">
        <v>0</v>
      </c>
      <c r="N3125" s="17">
        <f>K3125*0.08+L3125*0.08</f>
        <v/>
      </c>
      <c r="O3125" s="17">
        <f>-(K3125*0.025+L3125*0.025)</f>
        <v/>
      </c>
      <c r="P3125" s="17">
        <f>32</f>
        <v/>
      </c>
      <c r="Q3125" s="17">
        <f>J3125+L3125+N3125+O3125-P3125-M3125</f>
        <v/>
      </c>
    </row>
    <row r="3126">
      <c r="A3126" s="16" t="inlineStr">
        <is>
          <t>5.22-5.28</t>
        </is>
      </c>
      <c r="B3126" s="16" t="inlineStr">
        <is>
          <t>PO-128-04857459021433206</t>
        </is>
      </c>
      <c r="C3126" s="16" t="inlineStr">
        <is>
          <t>Partially delivered</t>
        </is>
      </c>
      <c r="D3126" s="16" t="inlineStr">
        <is>
          <t>128-04857438049913206</t>
        </is>
      </c>
      <c r="E3126" s="16" t="inlineStr">
        <is>
          <t>Shipped</t>
        </is>
      </c>
      <c r="F3126" s="16" t="inlineStr">
        <is>
          <t>MCM-001A</t>
        </is>
      </c>
      <c r="G3126" s="16" t="inlineStr">
        <is>
          <t>Musicord Altavoz Inalámbrico BT Portátil: ¡Sonido impactante, luces LED multicolores y 4 horas de autonomía! Compatible con TWS, FM, TF y USB – Imprescindible para fiestas y viajes</t>
        </is>
      </c>
      <c r="H3126" s="16" t="inlineStr">
        <is>
          <t>AZUL</t>
        </is>
      </c>
      <c r="I3126" s="16" t="n">
        <v>1</v>
      </c>
      <c r="J3126" s="17" t="n">
        <v>51.07</v>
      </c>
      <c r="K3126" s="17" t="n">
        <v>59.47</v>
      </c>
      <c r="L3126" s="17" t="n">
        <v>0</v>
      </c>
      <c r="M3126" s="17" t="n">
        <v>0</v>
      </c>
      <c r="N3126" s="17">
        <f>K3126*0.08+L3126*0.08</f>
        <v/>
      </c>
      <c r="O3126" s="17">
        <f>-(K3126*0.025+L3126*0.025)</f>
        <v/>
      </c>
      <c r="P3126" s="17">
        <f>32</f>
        <v/>
      </c>
      <c r="Q3126" s="17">
        <f>J3126+L3126+N3126+O3126-P3126-M3126</f>
        <v/>
      </c>
    </row>
    <row r="3127">
      <c r="A3127" s="16" t="inlineStr">
        <is>
          <t>5.22-5.28</t>
        </is>
      </c>
      <c r="B3127" s="16" t="inlineStr">
        <is>
          <t>PO-128-04857459021433206</t>
        </is>
      </c>
      <c r="C3127" s="16" t="inlineStr">
        <is>
          <t>Partially delivered</t>
        </is>
      </c>
      <c r="D3127" s="16" t="inlineStr">
        <is>
          <t>128-04857396106873206</t>
        </is>
      </c>
      <c r="E3127" s="16" t="inlineStr">
        <is>
          <t>Delivered</t>
        </is>
      </c>
      <c r="F3127" s="16" t="inlineStr">
        <is>
          <t>S39W48</t>
        </is>
      </c>
      <c r="G312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127" s="16" t="inlineStr">
        <is>
          <t>1 pieza</t>
        </is>
      </c>
      <c r="I3127" s="16" t="n">
        <v>2</v>
      </c>
      <c r="J3127" s="17" t="n">
        <v>60</v>
      </c>
      <c r="K3127" s="17" t="n">
        <v>85.16</v>
      </c>
      <c r="L3127" s="17" t="n">
        <v>0</v>
      </c>
      <c r="M3127" s="17" t="n">
        <v>0</v>
      </c>
      <c r="N3127" s="17">
        <f>K3127*0.08+L3127*0.08</f>
        <v/>
      </c>
      <c r="O3127" s="17">
        <f>-(K3127*0.025+L3127*0.025)</f>
        <v/>
      </c>
      <c r="P3127" s="17">
        <f>32</f>
        <v/>
      </c>
      <c r="Q3127" s="17">
        <f>J3127+L3127+N3127+O3127-P3127-M3127</f>
        <v/>
      </c>
    </row>
    <row r="3128">
      <c r="A3128" s="16" t="inlineStr">
        <is>
          <t>5.22-5.28</t>
        </is>
      </c>
      <c r="B3128" s="16" t="inlineStr">
        <is>
          <t>PO-128-17690821870711659</t>
        </is>
      </c>
      <c r="C3128" s="16" t="inlineStr">
        <is>
          <t>Partially delivered</t>
        </is>
      </c>
      <c r="D3128" s="16" t="inlineStr">
        <is>
          <t>128-17690807452791659</t>
        </is>
      </c>
      <c r="E3128" s="16" t="inlineStr">
        <is>
          <t>Delivered</t>
        </is>
      </c>
      <c r="F3128" s="16" t="inlineStr">
        <is>
          <t>MB-185A</t>
        </is>
      </c>
      <c r="G3128" s="16" t="inlineStr">
        <is>
          <t>Bocina Radio FM/Reproductor, Compatible con Tarjeta TF, USB, Bluetooth, Aplicable para celular, computadora, Ipad y consola.</t>
        </is>
      </c>
      <c r="H3128" s="16" t="inlineStr">
        <is>
          <t>AZUL/MB-185</t>
        </is>
      </c>
      <c r="I3128" s="16" t="n">
        <v>1</v>
      </c>
      <c r="J3128" s="17" t="n">
        <v>73</v>
      </c>
      <c r="K3128" s="17" t="n">
        <v>85.94</v>
      </c>
      <c r="L3128" s="17" t="n">
        <v>0</v>
      </c>
      <c r="M3128" s="17" t="n">
        <v>0</v>
      </c>
      <c r="N3128" s="17">
        <f>K3128*0.08+L3128*0.08</f>
        <v/>
      </c>
      <c r="O3128" s="17">
        <f>-(K3128*0.025+L3128*0.025)</f>
        <v/>
      </c>
      <c r="P3128" s="17">
        <f>32</f>
        <v/>
      </c>
      <c r="Q3128" s="17">
        <f>J3128+L3128+N3128+O3128-P3128-M3128</f>
        <v/>
      </c>
    </row>
    <row r="3129">
      <c r="A3129" s="16" t="inlineStr">
        <is>
          <t>5.22-5.28</t>
        </is>
      </c>
      <c r="B3129" s="16" t="inlineStr">
        <is>
          <t>PO-128-17690821870711659</t>
        </is>
      </c>
      <c r="C3129" s="16" t="inlineStr">
        <is>
          <t>Partially delivered</t>
        </is>
      </c>
      <c r="D3129" s="16" t="inlineStr">
        <is>
          <t>128-17690796967031659</t>
        </is>
      </c>
      <c r="E3129" s="16" t="inlineStr">
        <is>
          <t>Delivered</t>
        </is>
      </c>
      <c r="F3129" s="16" t="inlineStr">
        <is>
          <t>MB-178-B</t>
        </is>
      </c>
      <c r="G3129" s="16" t="inlineStr">
        <is>
          <t>Bocina de Barra Bluetooth LINK BITS con dos altavoces, sonido de alta calidad y multifuncional (Bluetooth, Radio FM, USB, TF, AUX, TWS), ideal para juegos, reuniones, oficina y cine en casa.</t>
        </is>
      </c>
      <c r="H3129" s="16" t="inlineStr">
        <is>
          <t>BLANCO</t>
        </is>
      </c>
      <c r="I3129" s="16" t="n">
        <v>1</v>
      </c>
      <c r="J3129" s="17" t="n">
        <v>125</v>
      </c>
      <c r="K3129" s="17" t="n">
        <v>151.27</v>
      </c>
      <c r="L3129" s="17" t="n">
        <v>0</v>
      </c>
      <c r="M3129" s="17" t="n">
        <v>0</v>
      </c>
      <c r="N3129" s="17">
        <f>K3129*0.08+L3129*0.08</f>
        <v/>
      </c>
      <c r="O3129" s="17">
        <f>-(K3129*0.025+L3129*0.025)</f>
        <v/>
      </c>
      <c r="P3129" s="17">
        <f>32</f>
        <v/>
      </c>
      <c r="Q3129" s="17">
        <f>J3129+L3129+N3129+O3129-P3129-M3129</f>
        <v/>
      </c>
    </row>
    <row r="3130">
      <c r="A3130" s="16" t="inlineStr">
        <is>
          <t>5.22-5.28</t>
        </is>
      </c>
      <c r="B3130" s="16" t="inlineStr">
        <is>
          <t>PO-128-17690821870711659</t>
        </is>
      </c>
      <c r="C3130" s="16" t="inlineStr">
        <is>
          <t>Partially delivered</t>
        </is>
      </c>
      <c r="D3130" s="16" t="inlineStr">
        <is>
          <t>128-17690786481271659</t>
        </is>
      </c>
      <c r="E3130" s="16" t="inlineStr">
        <is>
          <t>Shipped</t>
        </is>
      </c>
      <c r="F3130" s="16" t="inlineStr">
        <is>
          <t>MCM-001G</t>
        </is>
      </c>
      <c r="G3130" s="16" t="inlineStr">
        <is>
          <t>Musicord Altavoz Inalámbrico BT Portátil: ¡Sonido impactante, luces LED multicolores y 4 horas de autonomía! Compatible con TWS, FM, TF y USB – Imprescindible para fiestas y viajes</t>
        </is>
      </c>
      <c r="H3130" s="16" t="inlineStr">
        <is>
          <t>GRIS</t>
        </is>
      </c>
      <c r="I3130" s="16" t="n">
        <v>1</v>
      </c>
      <c r="J3130" s="17" t="n">
        <v>51.07</v>
      </c>
      <c r="K3130" s="17" t="n">
        <v>58.86</v>
      </c>
      <c r="L3130" s="17" t="n">
        <v>0</v>
      </c>
      <c r="M3130" s="17" t="n">
        <v>0</v>
      </c>
      <c r="N3130" s="17">
        <f>K3130*0.08+L3130*0.08</f>
        <v/>
      </c>
      <c r="O3130" s="17">
        <f>-(K3130*0.025+L3130*0.025)</f>
        <v/>
      </c>
      <c r="P3130" s="17">
        <f>32</f>
        <v/>
      </c>
      <c r="Q3130" s="17">
        <f>J3130+L3130+N3130+O3130-P3130-M3130</f>
        <v/>
      </c>
    </row>
    <row r="3131">
      <c r="A3131" s="16" t="inlineStr">
        <is>
          <t>5.29-6.4</t>
        </is>
      </c>
      <c r="B3131" s="16" t="inlineStr">
        <is>
          <t>PO-128-13799985280630720</t>
        </is>
      </c>
      <c r="C3131" s="16" t="inlineStr">
        <is>
          <t>Shipped</t>
        </is>
      </c>
      <c r="D3131" s="16" t="inlineStr">
        <is>
          <t>128-13799953823350720</t>
        </is>
      </c>
      <c r="E3131" s="16" t="inlineStr">
        <is>
          <t>Shipped</t>
        </is>
      </c>
      <c r="F3131" s="16" t="inlineStr">
        <is>
          <t>MB-185A</t>
        </is>
      </c>
      <c r="G3131" s="16" t="inlineStr">
        <is>
          <t>Bocina Radio FM/Reproductor, Compatible con Tarjeta TF, USB, Bluetooth, Aplicable para celular, computadora, Ipad y consola.</t>
        </is>
      </c>
      <c r="H3131" s="16" t="inlineStr">
        <is>
          <t>AZUL/MB-185</t>
        </is>
      </c>
      <c r="I3131" s="16" t="n">
        <v>1</v>
      </c>
      <c r="J3131" s="17" t="n">
        <v>73</v>
      </c>
      <c r="K3131" s="17" t="n">
        <v>60.94</v>
      </c>
      <c r="L3131" s="17" t="n">
        <v>25.86</v>
      </c>
      <c r="M3131" s="17" t="n">
        <v>0</v>
      </c>
      <c r="N3131" s="17">
        <f>K3131*0.08+L3131*0.08</f>
        <v/>
      </c>
      <c r="O3131" s="17">
        <f>-(K3131*0.025+L3131*0.025)</f>
        <v/>
      </c>
      <c r="P3131" s="17">
        <f>32</f>
        <v/>
      </c>
      <c r="Q3131" s="17">
        <f>J3131+L3131+N3131+O3131-P3131-M3131</f>
        <v/>
      </c>
    </row>
    <row r="3132">
      <c r="A3132" s="16" t="inlineStr">
        <is>
          <t>5.29-6.4</t>
        </is>
      </c>
      <c r="B3132" s="16" t="inlineStr">
        <is>
          <t>PO-128-13943758157431849</t>
        </is>
      </c>
      <c r="C3132" s="16" t="inlineStr">
        <is>
          <t>Shipped</t>
        </is>
      </c>
      <c r="D3132" s="16" t="inlineStr">
        <is>
          <t>128-13943750293111849</t>
        </is>
      </c>
      <c r="E3132" s="16" t="inlineStr">
        <is>
          <t>Shipped</t>
        </is>
      </c>
      <c r="F3132" s="16" t="inlineStr">
        <is>
          <t>LB02235-rojo</t>
        </is>
      </c>
      <c r="G3132" s="16" t="inlineStr">
        <is>
          <t>Audífonos Inalámbricos para la Cabeza, Recargables y Multifuncionales - Conectan a Varios Dispositivos, soportan Radio FM, Tarjeta TF y AUX - 4 Horas de Reproducción Musical - Ideal para Trabajo Cotidiano, Juegos y Estudio</t>
        </is>
      </c>
      <c r="H3132" s="16" t="inlineStr">
        <is>
          <t>ROJO</t>
        </is>
      </c>
      <c r="I3132" s="16" t="n">
        <v>1</v>
      </c>
      <c r="J3132" s="17" t="n">
        <v>36.8</v>
      </c>
      <c r="K3132" s="17" t="n">
        <v>49.91</v>
      </c>
      <c r="L3132" s="17" t="n">
        <v>25.86</v>
      </c>
      <c r="M3132" s="17" t="n">
        <v>0</v>
      </c>
      <c r="N3132" s="17">
        <f>K3132*0.08+L3132*0.08</f>
        <v/>
      </c>
      <c r="O3132" s="17">
        <f>-(K3132*0.025+L3132*0.025)</f>
        <v/>
      </c>
      <c r="P3132" s="17">
        <f>32</f>
        <v/>
      </c>
      <c r="Q3132" s="17">
        <f>J3132+L3132+N3132+O3132-P3132-M3132</f>
        <v/>
      </c>
    </row>
    <row r="3133">
      <c r="A3133" s="16" t="inlineStr">
        <is>
          <t>5.29-6.4</t>
        </is>
      </c>
      <c r="B3133" s="16" t="inlineStr">
        <is>
          <t>PO-128-14200767857272365</t>
        </is>
      </c>
      <c r="C3133" s="16" t="inlineStr">
        <is>
          <t>Shipped</t>
        </is>
      </c>
      <c r="D3133" s="16" t="inlineStr">
        <is>
          <t>128-14200752128632365</t>
        </is>
      </c>
      <c r="E3133" s="16" t="inlineStr">
        <is>
          <t>Shipped</t>
        </is>
      </c>
      <c r="F3133" s="16" t="inlineStr">
        <is>
          <t>VA384T-G</t>
        </is>
      </c>
      <c r="G3133" s="16" t="inlineStr">
        <is>
          <t>Bocina Portátil Bluetooth de 3 Pulgadas con Radio FM, USB TF TWS, Sonido Estéreo 5W, Bocina Recargable para Hogar Exterior Viaje Fiesta Camping</t>
        </is>
      </c>
      <c r="H3133" s="16" t="inlineStr">
        <is>
          <t>GRIS</t>
        </is>
      </c>
      <c r="I3133" s="16" t="n">
        <v>1</v>
      </c>
      <c r="J3133" s="17" t="n">
        <v>49</v>
      </c>
      <c r="K3133" s="17" t="n">
        <v>59.72</v>
      </c>
      <c r="L3133" s="17" t="n">
        <v>25.86</v>
      </c>
      <c r="M3133" s="17" t="n">
        <v>0</v>
      </c>
      <c r="N3133" s="17">
        <f>K3133*0.08+L3133*0.08</f>
        <v/>
      </c>
      <c r="O3133" s="17">
        <f>-(K3133*0.025+L3133*0.025)</f>
        <v/>
      </c>
      <c r="P3133" s="17">
        <f>32</f>
        <v/>
      </c>
      <c r="Q3133" s="17">
        <f>J3133+L3133+N3133+O3133-P3133-M3133</f>
        <v/>
      </c>
    </row>
    <row r="3134">
      <c r="A3134" s="16" t="inlineStr">
        <is>
          <t>5.29-6.4</t>
        </is>
      </c>
      <c r="B3134" s="16" t="inlineStr">
        <is>
          <t>PO-128-13974305101431731</t>
        </is>
      </c>
      <c r="C3134" s="16" t="inlineStr">
        <is>
          <t>Shipped</t>
        </is>
      </c>
      <c r="D3134" s="16" t="inlineStr">
        <is>
          <t>128-13974347044471731</t>
        </is>
      </c>
      <c r="E3134" s="16" t="inlineStr">
        <is>
          <t>Shipped</t>
        </is>
      </c>
      <c r="F3134" s="16" t="inlineStr">
        <is>
          <t>LB02235-negro</t>
        </is>
      </c>
      <c r="G3134" s="16" t="inlineStr">
        <is>
          <t>Audífonos Inalámbricos para la Cabeza, Recargables y Multifuncionales - Conectan a Varios Dispositivos, soportan Radio FM, Tarjeta TF y AUX - 4 Horas de Reproducción Musical - Ideal para Trabajo Cotidiano, Juegos y Estudio</t>
        </is>
      </c>
      <c r="H3134" s="16" t="inlineStr">
        <is>
          <t>NEGRO</t>
        </is>
      </c>
      <c r="I3134" s="16" t="n">
        <v>1</v>
      </c>
      <c r="J3134" s="17" t="n">
        <v>36.8</v>
      </c>
      <c r="K3134" s="17" t="n">
        <v>6.81</v>
      </c>
      <c r="L3134" s="17" t="n">
        <v>25.86</v>
      </c>
      <c r="M3134" s="17" t="n">
        <v>0</v>
      </c>
      <c r="N3134" s="17">
        <f>K3134*0.08+L3134*0.08</f>
        <v/>
      </c>
      <c r="O3134" s="17">
        <f>-(K3134*0.025+L3134*0.025)</f>
        <v/>
      </c>
      <c r="P3134" s="17">
        <f>32</f>
        <v/>
      </c>
      <c r="Q3134" s="17">
        <f>J3134+L3134+N3134+O3134-P3134-M3134</f>
        <v/>
      </c>
    </row>
    <row r="3135">
      <c r="A3135" s="16" t="inlineStr">
        <is>
          <t>5.29-6.4</t>
        </is>
      </c>
      <c r="B3135" s="16" t="inlineStr">
        <is>
          <t>PO-128-14203145964152351</t>
        </is>
      </c>
      <c r="C3135" s="16" t="inlineStr">
        <is>
          <t>Shipped</t>
        </is>
      </c>
      <c r="D3135" s="16" t="inlineStr">
        <is>
          <t>128-14203104021112351</t>
        </is>
      </c>
      <c r="E3135" s="16" t="inlineStr">
        <is>
          <t>Shipped</t>
        </is>
      </c>
      <c r="F3135" s="16" t="inlineStr">
        <is>
          <t>LB02235-azul</t>
        </is>
      </c>
      <c r="G3135" s="16" t="inlineStr">
        <is>
          <t>Audífonos Inalámbricos para la Cabeza, Recargables y Multifuncionales - Conectan a Varios Dispositivos, soportan Radio FM, Tarjeta TF y AUX - 4 Horas de Reproducción Musical - Ideal para Trabajo Cotidiano, Juegos y Estudio</t>
        </is>
      </c>
      <c r="H3135" s="16" t="inlineStr">
        <is>
          <t>AZUL</t>
        </is>
      </c>
      <c r="I3135" s="16" t="n">
        <v>1</v>
      </c>
      <c r="J3135" s="17" t="n">
        <v>29</v>
      </c>
      <c r="K3135" s="17" t="n">
        <v>42.11</v>
      </c>
      <c r="L3135" s="17" t="n">
        <v>25.86</v>
      </c>
      <c r="M3135" s="17" t="n">
        <v>0</v>
      </c>
      <c r="N3135" s="17">
        <f>K3135*0.08+L3135*0.08</f>
        <v/>
      </c>
      <c r="O3135" s="17">
        <f>-(K3135*0.025+L3135*0.025)</f>
        <v/>
      </c>
      <c r="P3135" s="17">
        <f>32</f>
        <v/>
      </c>
      <c r="Q3135" s="17">
        <f>J3135+L3135+N3135+O3135-P3135-M3135</f>
        <v/>
      </c>
    </row>
    <row r="3136">
      <c r="A3136" s="16" t="inlineStr">
        <is>
          <t>5.29-6.4</t>
        </is>
      </c>
      <c r="B3136" s="16" t="inlineStr">
        <is>
          <t>PO-128-14349403423353463</t>
        </is>
      </c>
      <c r="C3136" s="16" t="inlineStr">
        <is>
          <t>Shipped</t>
        </is>
      </c>
      <c r="D3136" s="16" t="inlineStr">
        <is>
          <t>128-14349392937593463</t>
        </is>
      </c>
      <c r="E3136" s="16" t="inlineStr">
        <is>
          <t>Shipped</t>
        </is>
      </c>
      <c r="F3136" s="16" t="inlineStr">
        <is>
          <t>MCM-001R</t>
        </is>
      </c>
      <c r="G3136" s="16" t="inlineStr">
        <is>
          <t>Musicord Altavoz Inalámbrico BT Portátil: ¡Sonido impactante, luces LED multicolores y 4 horas de autonomía! Compatible con TWS, FM, TF y USB – Imprescindible para fiestas y viajes</t>
        </is>
      </c>
      <c r="H3136" s="16" t="inlineStr">
        <is>
          <t>ROJO</t>
        </is>
      </c>
      <c r="I3136" s="16" t="n">
        <v>1</v>
      </c>
      <c r="J3136" s="17" t="n">
        <v>59</v>
      </c>
      <c r="K3136" s="17" t="n">
        <v>35.14</v>
      </c>
      <c r="L3136" s="17" t="n">
        <v>25.86</v>
      </c>
      <c r="M3136" s="17" t="n">
        <v>0</v>
      </c>
      <c r="N3136" s="17">
        <f>K3136*0.08+L3136*0.08</f>
        <v/>
      </c>
      <c r="O3136" s="17">
        <f>-(K3136*0.025+L3136*0.025)</f>
        <v/>
      </c>
      <c r="P3136" s="17">
        <f>32</f>
        <v/>
      </c>
      <c r="Q3136" s="17">
        <f>J3136+L3136+N3136+O3136-P3136-M3136</f>
        <v/>
      </c>
    </row>
    <row r="3137">
      <c r="A3137" s="16" t="inlineStr">
        <is>
          <t>5.29-6.4</t>
        </is>
      </c>
      <c r="B3137" s="16" t="inlineStr">
        <is>
          <t>PO-128-14041365750391395</t>
        </is>
      </c>
      <c r="C3137" s="16" t="inlineStr">
        <is>
          <t>Shipped</t>
        </is>
      </c>
      <c r="D3137" s="16" t="inlineStr">
        <is>
          <t>128-14041391964791395</t>
        </is>
      </c>
      <c r="E3137" s="16" t="inlineStr">
        <is>
          <t>Shipped</t>
        </is>
      </c>
      <c r="F3137" s="16" t="inlineStr">
        <is>
          <t>LB02235-azul</t>
        </is>
      </c>
      <c r="G3137" s="16" t="inlineStr">
        <is>
          <t>Audífonos Inalámbricos para la Cabeza, Recargables y Multifuncionales - Conectan a Varios Dispositivos, soportan Radio FM, Tarjeta TF y AUX - 4 Horas de Reproducción Musical - Ideal para Trabajo Cotidiano, Juegos y Estudio</t>
        </is>
      </c>
      <c r="H3137" s="16" t="inlineStr">
        <is>
          <t>AZUL</t>
        </is>
      </c>
      <c r="I3137" s="16" t="n">
        <v>1</v>
      </c>
      <c r="J3137" s="17" t="n">
        <v>29</v>
      </c>
      <c r="K3137" s="17" t="n">
        <v>42.11</v>
      </c>
      <c r="L3137" s="17" t="n">
        <v>25.86</v>
      </c>
      <c r="M3137" s="17" t="n">
        <v>0</v>
      </c>
      <c r="N3137" s="17">
        <f>K3137*0.08+L3137*0.08</f>
        <v/>
      </c>
      <c r="O3137" s="17">
        <f>-(K3137*0.025+L3137*0.025)</f>
        <v/>
      </c>
      <c r="P3137" s="17">
        <f>32</f>
        <v/>
      </c>
      <c r="Q3137" s="17">
        <f>J3137+L3137+N3137+O3137-P3137-M3137</f>
        <v/>
      </c>
    </row>
    <row r="3138">
      <c r="A3138" s="16" t="inlineStr">
        <is>
          <t>5.29-6.4</t>
        </is>
      </c>
      <c r="B3138" s="16" t="inlineStr">
        <is>
          <t>PO-128-13860499477110297</t>
        </is>
      </c>
      <c r="C3138" s="16" t="inlineStr">
        <is>
          <t>Shipped</t>
        </is>
      </c>
      <c r="D3138" s="16" t="inlineStr">
        <is>
          <t>128-13860663317110297</t>
        </is>
      </c>
      <c r="E3138" s="16" t="inlineStr">
        <is>
          <t>Shipped</t>
        </is>
      </c>
      <c r="F3138" s="16" t="inlineStr">
        <is>
          <t>MB-185R</t>
        </is>
      </c>
      <c r="G3138" s="16" t="inlineStr">
        <is>
          <t>Bocina Radio FM/Reproductor, Compatible con Tarjeta TF, USB, Bluetooth, Aplicable para celular, computadora, Ipad y consola.</t>
        </is>
      </c>
      <c r="H3138" s="16" t="inlineStr">
        <is>
          <t>ROJO/MB-185</t>
        </is>
      </c>
      <c r="I3138" s="16" t="n">
        <v>1</v>
      </c>
      <c r="J3138" s="17" t="n">
        <v>75.59999999999999</v>
      </c>
      <c r="K3138" s="17" t="n">
        <v>88.53</v>
      </c>
      <c r="L3138" s="17" t="n">
        <v>25.86</v>
      </c>
      <c r="M3138" s="17" t="n">
        <v>0</v>
      </c>
      <c r="N3138" s="17">
        <f>K3138*0.08+L3138*0.08</f>
        <v/>
      </c>
      <c r="O3138" s="17">
        <f>-(K3138*0.025+L3138*0.025)</f>
        <v/>
      </c>
      <c r="P3138" s="17">
        <f>32</f>
        <v/>
      </c>
      <c r="Q3138" s="17">
        <f>J3138+L3138+N3138+O3138-P3138-M3138</f>
        <v/>
      </c>
    </row>
    <row r="3139">
      <c r="A3139" s="16" t="inlineStr">
        <is>
          <t>5.29-6.4</t>
        </is>
      </c>
      <c r="B3139" s="16" t="inlineStr">
        <is>
          <t>PO-128-13931016213111989</t>
        </is>
      </c>
      <c r="C3139" s="16" t="inlineStr">
        <is>
          <t>Shipped</t>
        </is>
      </c>
      <c r="D3139" s="16" t="inlineStr">
        <is>
          <t>128-13931026698871989</t>
        </is>
      </c>
      <c r="E3139" s="16" t="inlineStr">
        <is>
          <t>Shipped</t>
        </is>
      </c>
      <c r="F3139" s="16" t="inlineStr">
        <is>
          <t>LB02235-blanco</t>
        </is>
      </c>
      <c r="G3139" s="16" t="inlineStr">
        <is>
          <t>Audífonos Inalámbricos para la Cabeza, Recargables y Multifuncionales - Conectan a Varios Dispositivos, soportan Radio FM, Tarjeta TF y AUX - 4 Horas de Reproducción Musical - Ideal para Trabajo Cotidiano, Juegos y Estudio</t>
        </is>
      </c>
      <c r="H3139" s="16" t="inlineStr">
        <is>
          <t>BLANCO</t>
        </is>
      </c>
      <c r="I3139" s="16" t="n">
        <v>1</v>
      </c>
      <c r="J3139" s="17" t="n">
        <v>36.8</v>
      </c>
      <c r="K3139" s="17" t="n">
        <v>49.91</v>
      </c>
      <c r="L3139" s="17" t="n">
        <v>25.86</v>
      </c>
      <c r="M3139" s="17" t="n">
        <v>0</v>
      </c>
      <c r="N3139" s="17">
        <f>K3139*0.08+L3139*0.08</f>
        <v/>
      </c>
      <c r="O3139" s="17">
        <f>-(K3139*0.025+L3139*0.025)</f>
        <v/>
      </c>
      <c r="P3139" s="17">
        <f>32</f>
        <v/>
      </c>
      <c r="Q3139" s="17">
        <f>J3139+L3139+N3139+O3139-P3139-M3139</f>
        <v/>
      </c>
    </row>
    <row r="3140">
      <c r="A3140" s="16" t="inlineStr">
        <is>
          <t>5.29-6.4</t>
        </is>
      </c>
      <c r="B3140" s="16" t="inlineStr">
        <is>
          <t>PO-128-14198627308152312</t>
        </is>
      </c>
      <c r="C3140" s="16" t="inlineStr">
        <is>
          <t>Shipped</t>
        </is>
      </c>
      <c r="D3140" s="16" t="inlineStr">
        <is>
          <t>128-14198669251192312</t>
        </is>
      </c>
      <c r="E3140" s="16" t="inlineStr">
        <is>
          <t>Shipped</t>
        </is>
      </c>
      <c r="F3140" s="16" t="inlineStr">
        <is>
          <t>VA384T-R</t>
        </is>
      </c>
      <c r="G3140" s="16" t="inlineStr">
        <is>
          <t>Bocina Portátil Bluetooth de 3 Pulgadas con Radio FM, USB TF TWS, Sonido Estéreo 5W, Bocina Recargable para Hogar Exterior Viaje Fiesta Camping</t>
        </is>
      </c>
      <c r="H3140" s="16" t="inlineStr">
        <is>
          <t>ROJO</t>
        </is>
      </c>
      <c r="I3140" s="16" t="n">
        <v>1</v>
      </c>
      <c r="J3140" s="17" t="n">
        <v>50</v>
      </c>
      <c r="K3140" s="17" t="n">
        <v>5.48</v>
      </c>
      <c r="L3140" s="17" t="n">
        <v>25.86</v>
      </c>
      <c r="M3140" s="17" t="n">
        <v>0</v>
      </c>
      <c r="N3140" s="17">
        <f>K3140*0.08+L3140*0.08</f>
        <v/>
      </c>
      <c r="O3140" s="17">
        <f>-(K3140*0.025+L3140*0.025)</f>
        <v/>
      </c>
      <c r="P3140" s="17">
        <f>32</f>
        <v/>
      </c>
      <c r="Q3140" s="17">
        <f>J3140+L3140+N3140+O3140-P3140-M3140</f>
        <v/>
      </c>
    </row>
    <row r="3141">
      <c r="A3141" s="16" t="inlineStr">
        <is>
          <t>5.29-6.4</t>
        </is>
      </c>
      <c r="B3141" s="16" t="inlineStr">
        <is>
          <t>PO-128-14035997287031363</t>
        </is>
      </c>
      <c r="C3141" s="16" t="inlineStr">
        <is>
          <t>Shipped</t>
        </is>
      </c>
      <c r="D3141" s="16" t="inlineStr">
        <is>
          <t>128-14036133601911363</t>
        </is>
      </c>
      <c r="E3141" s="16" t="inlineStr">
        <is>
          <t>Shipped</t>
        </is>
      </c>
      <c r="F3141" s="16" t="inlineStr">
        <is>
          <t>VA880T</t>
        </is>
      </c>
      <c r="G314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41" s="16" t="inlineStr">
        <is>
          <t>1 pieza</t>
        </is>
      </c>
      <c r="I3141" s="16" t="n">
        <v>1</v>
      </c>
      <c r="J3141" s="17" t="n">
        <v>114.98</v>
      </c>
      <c r="K3141" s="17" t="n">
        <v>126.16</v>
      </c>
      <c r="L3141" s="17" t="n">
        <v>25.86</v>
      </c>
      <c r="M3141" s="17" t="n">
        <v>0</v>
      </c>
      <c r="N3141" s="17">
        <f>K3141*0.08+L3141*0.08</f>
        <v/>
      </c>
      <c r="O3141" s="17">
        <f>-(K3141*0.025+L3141*0.025)</f>
        <v/>
      </c>
      <c r="P3141" s="17">
        <f>32</f>
        <v/>
      </c>
      <c r="Q3141" s="17">
        <f>J3141+L3141+N3141+O3141-P3141-M3141</f>
        <v/>
      </c>
    </row>
    <row r="3142">
      <c r="A3142" s="16" t="inlineStr">
        <is>
          <t>5.29-6.4</t>
        </is>
      </c>
      <c r="B3142" s="16" t="inlineStr">
        <is>
          <t>PO-128-14421410304633160</t>
        </is>
      </c>
      <c r="C3142" s="16" t="inlineStr">
        <is>
          <t>Shipped</t>
        </is>
      </c>
      <c r="D3142" s="16" t="inlineStr">
        <is>
          <t>128-14421452247673160</t>
        </is>
      </c>
      <c r="E3142" s="16" t="inlineStr">
        <is>
          <t>Shipped</t>
        </is>
      </c>
      <c r="F3142" s="16" t="inlineStr">
        <is>
          <t>MB-185A</t>
        </is>
      </c>
      <c r="G3142" s="16" t="inlineStr">
        <is>
          <t>Bocina Radio FM/Reproductor, Compatible con Tarjeta TF, USB, Bluetooth, Aplicable para celular, computadora, Ipad y consola.</t>
        </is>
      </c>
      <c r="H3142" s="16" t="inlineStr">
        <is>
          <t>AZUL/MB-185</t>
        </is>
      </c>
      <c r="I3142" s="16" t="n">
        <v>1</v>
      </c>
      <c r="J3142" s="17" t="n">
        <v>73</v>
      </c>
      <c r="K3142" s="17" t="n">
        <v>85.94</v>
      </c>
      <c r="L3142" s="17" t="n">
        <v>25.86</v>
      </c>
      <c r="M3142" s="17" t="n">
        <v>0</v>
      </c>
      <c r="N3142" s="17">
        <f>K3142*0.08+L3142*0.08</f>
        <v/>
      </c>
      <c r="O3142" s="17">
        <f>-(K3142*0.025+L3142*0.025)</f>
        <v/>
      </c>
      <c r="P3142" s="17">
        <f>32</f>
        <v/>
      </c>
      <c r="Q3142" s="17">
        <f>J3142+L3142+N3142+O3142-P3142-M3142</f>
        <v/>
      </c>
    </row>
    <row r="3143">
      <c r="A3143" s="16" t="inlineStr">
        <is>
          <t>5.29-6.4</t>
        </is>
      </c>
      <c r="B3143" s="16" t="inlineStr">
        <is>
          <t>PO-128-13779235927670844</t>
        </is>
      </c>
      <c r="C3143" s="16" t="inlineStr">
        <is>
          <t>Shipped</t>
        </is>
      </c>
      <c r="D3143" s="16" t="inlineStr">
        <is>
          <t>128-13779180877430844</t>
        </is>
      </c>
      <c r="E3143" s="16" t="inlineStr">
        <is>
          <t>Shipped</t>
        </is>
      </c>
      <c r="F3143" s="16" t="inlineStr">
        <is>
          <t>LB02235-negro</t>
        </is>
      </c>
      <c r="G3143" s="16" t="inlineStr">
        <is>
          <t>Audífonos Inalámbricos para la Cabeza, Recargables y Multifuncionales - Conectan a Varios Dispositivos, soportan Radio FM, Tarjeta TF y AUX - 4 Horas de Reproducción Musical - Ideal para Trabajo Cotidiano, Juegos y Estudio</t>
        </is>
      </c>
      <c r="H3143" s="16" t="inlineStr">
        <is>
          <t>NEGRO</t>
        </is>
      </c>
      <c r="I3143" s="16" t="n">
        <v>1</v>
      </c>
      <c r="J3143" s="17" t="n">
        <v>36.8</v>
      </c>
      <c r="K3143" s="17" t="n">
        <v>49.91</v>
      </c>
      <c r="L3143" s="17" t="n">
        <v>25.86</v>
      </c>
      <c r="M3143" s="17" t="n">
        <v>0</v>
      </c>
      <c r="N3143" s="17">
        <f>K3143*0.08+L3143*0.08</f>
        <v/>
      </c>
      <c r="O3143" s="17">
        <f>-(K3143*0.025+L3143*0.025)</f>
        <v/>
      </c>
      <c r="P3143" s="17">
        <f>32</f>
        <v/>
      </c>
      <c r="Q3143" s="17">
        <f>J3143+L3143+N3143+O3143-P3143-M3143</f>
        <v/>
      </c>
    </row>
    <row r="3144">
      <c r="A3144" s="16" t="inlineStr">
        <is>
          <t>5.29-6.4</t>
        </is>
      </c>
      <c r="B3144" s="16" t="inlineStr">
        <is>
          <t>PO-128-14373795758713380</t>
        </is>
      </c>
      <c r="C3144" s="16" t="inlineStr">
        <is>
          <t>Shipped</t>
        </is>
      </c>
      <c r="D3144" s="16" t="inlineStr">
        <is>
          <t>128-14373837701753380</t>
        </is>
      </c>
      <c r="E3144" s="16" t="inlineStr">
        <is>
          <t>Shipped</t>
        </is>
      </c>
      <c r="F3144" s="16" t="inlineStr">
        <is>
          <t>MCM-001N</t>
        </is>
      </c>
      <c r="G3144" s="16" t="inlineStr">
        <is>
          <t>Musicord Altavoz Inalámbrico BT Portátil: ¡Sonido impactante, luces LED multicolores y 4 horas de autonomía! Compatible con TWS, FM, TF y USB – Imprescindible para fiestas y viajes</t>
        </is>
      </c>
      <c r="H3144" s="16" t="inlineStr">
        <is>
          <t>NEGRO</t>
        </is>
      </c>
      <c r="I3144" s="16" t="n">
        <v>1</v>
      </c>
      <c r="J3144" s="17" t="n">
        <v>51.07</v>
      </c>
      <c r="K3144" s="17" t="n">
        <v>62.34</v>
      </c>
      <c r="L3144" s="17" t="n">
        <v>25.86</v>
      </c>
      <c r="M3144" s="17" t="n">
        <v>0</v>
      </c>
      <c r="N3144" s="17">
        <f>K3144*0.08+L3144*0.08</f>
        <v/>
      </c>
      <c r="O3144" s="17">
        <f>-(K3144*0.025+L3144*0.025)</f>
        <v/>
      </c>
      <c r="P3144" s="17">
        <f>32</f>
        <v/>
      </c>
      <c r="Q3144" s="17">
        <f>J3144+L3144+N3144+O3144-P3144-M3144</f>
        <v/>
      </c>
    </row>
    <row r="3145">
      <c r="A3145" s="16" t="inlineStr">
        <is>
          <t>5.29-6.4</t>
        </is>
      </c>
      <c r="B3145" s="16" t="inlineStr">
        <is>
          <t>PO-128-14183542917752466</t>
        </is>
      </c>
      <c r="C3145" s="16" t="inlineStr">
        <is>
          <t>Shipped</t>
        </is>
      </c>
      <c r="D3145" s="16" t="inlineStr">
        <is>
          <t>128-14183541934712466</t>
        </is>
      </c>
      <c r="E3145" s="16" t="inlineStr">
        <is>
          <t>Shipped</t>
        </is>
      </c>
      <c r="F3145" s="16" t="inlineStr">
        <is>
          <t>LB02235-azul</t>
        </is>
      </c>
      <c r="G3145" s="16" t="inlineStr">
        <is>
          <t>Audífonos Inalámbricos para la Cabeza, Recargables y Multifuncionales - Conectan a Varios Dispositivos, soportan Radio FM, Tarjeta TF y AUX - 4 Horas de Reproducción Musical - Ideal para Trabajo Cotidiano, Juegos y Estudio</t>
        </is>
      </c>
      <c r="H3145" s="16" t="inlineStr">
        <is>
          <t>AZUL</t>
        </is>
      </c>
      <c r="I3145" s="16" t="n">
        <v>1</v>
      </c>
      <c r="J3145" s="17" t="n">
        <v>29</v>
      </c>
      <c r="K3145" s="17" t="n">
        <v>42.11</v>
      </c>
      <c r="L3145" s="17" t="n">
        <v>11.83</v>
      </c>
      <c r="M3145" s="17" t="n">
        <v>0</v>
      </c>
      <c r="N3145" s="17">
        <f>K3145*0.08+L3145*0.08</f>
        <v/>
      </c>
      <c r="O3145" s="17">
        <f>-(K3145*0.025+L3145*0.025)</f>
        <v/>
      </c>
      <c r="P3145" s="17">
        <f>32</f>
        <v/>
      </c>
      <c r="Q3145" s="17">
        <f>J3145+L3145+N3145+O3145-P3145-M3145</f>
        <v/>
      </c>
    </row>
    <row r="3146">
      <c r="A3146" s="16" t="inlineStr">
        <is>
          <t>5.29-6.4</t>
        </is>
      </c>
      <c r="B3146" s="16" t="inlineStr">
        <is>
          <t>PO-128-14183542917752466</t>
        </is>
      </c>
      <c r="C3146" s="16" t="inlineStr">
        <is>
          <t>Shipped</t>
        </is>
      </c>
      <c r="D3146" s="16" t="inlineStr">
        <is>
          <t>128-14183625820792466</t>
        </is>
      </c>
      <c r="E3146" s="16" t="inlineStr">
        <is>
          <t>Shipped</t>
        </is>
      </c>
      <c r="F3146" s="16" t="inlineStr">
        <is>
          <t>LB02235-rojo</t>
        </is>
      </c>
      <c r="G3146" s="16" t="inlineStr">
        <is>
          <t>Audífonos Inalámbricos para la Cabeza, Recargables y Multifuncionales - Conectan a Varios Dispositivos, soportan Radio FM, Tarjeta TF y AUX - 4 Horas de Reproducción Musical - Ideal para Trabajo Cotidiano, Juegos y Estudio</t>
        </is>
      </c>
      <c r="H3146" s="16" t="inlineStr">
        <is>
          <t>ROJO</t>
        </is>
      </c>
      <c r="I3146" s="16" t="n">
        <v>1</v>
      </c>
      <c r="J3146" s="17" t="n">
        <v>36.8</v>
      </c>
      <c r="K3146" s="17" t="n">
        <v>49.91</v>
      </c>
      <c r="L3146" s="17" t="n">
        <v>14.03</v>
      </c>
      <c r="M3146" s="17" t="n">
        <v>0</v>
      </c>
      <c r="N3146" s="17">
        <f>K3146*0.08+L3146*0.08</f>
        <v/>
      </c>
      <c r="O3146" s="17">
        <f>-(K3146*0.025+L3146*0.025)</f>
        <v/>
      </c>
      <c r="P3146" s="17">
        <f>32</f>
        <v/>
      </c>
      <c r="Q3146" s="17">
        <f>J3146+L3146+N3146+O3146-P3146-M3146</f>
        <v/>
      </c>
    </row>
    <row r="3147">
      <c r="A3147" s="16" t="inlineStr">
        <is>
          <t>5.29-6.4</t>
        </is>
      </c>
      <c r="B3147" s="16" t="inlineStr">
        <is>
          <t>PO-128-14193573130872534</t>
        </is>
      </c>
      <c r="C3147" s="16" t="inlineStr">
        <is>
          <t>Shipped</t>
        </is>
      </c>
      <c r="D3147" s="16" t="inlineStr">
        <is>
          <t>128-14193578373752534</t>
        </is>
      </c>
      <c r="E3147" s="16" t="inlineStr">
        <is>
          <t>Shipped</t>
        </is>
      </c>
      <c r="F3147" s="16" t="inlineStr">
        <is>
          <t>LB02235-negro</t>
        </is>
      </c>
      <c r="G3147" s="16" t="inlineStr">
        <is>
          <t>Audífonos Inalámbricos para la Cabeza, Recargables y Multifuncionales - Conectan a Varios Dispositivos, soportan Radio FM, Tarjeta TF y AUX - 4 Horas de Reproducción Musical - Ideal para Trabajo Cotidiano, Juegos y Estudio</t>
        </is>
      </c>
      <c r="H3147" s="16" t="inlineStr">
        <is>
          <t>NEGRO</t>
        </is>
      </c>
      <c r="I3147" s="16" t="n">
        <v>1</v>
      </c>
      <c r="J3147" s="17" t="n">
        <v>36.8</v>
      </c>
      <c r="K3147" s="17" t="n">
        <v>49.91</v>
      </c>
      <c r="L3147" s="17" t="n">
        <v>25.86</v>
      </c>
      <c r="M3147" s="17" t="n">
        <v>0</v>
      </c>
      <c r="N3147" s="17">
        <f>K3147*0.08+L3147*0.08</f>
        <v/>
      </c>
      <c r="O3147" s="17">
        <f>-(K3147*0.025+L3147*0.025)</f>
        <v/>
      </c>
      <c r="P3147" s="17">
        <f>32</f>
        <v/>
      </c>
      <c r="Q3147" s="17">
        <f>J3147+L3147+N3147+O3147-P3147-M3147</f>
        <v/>
      </c>
    </row>
    <row r="3148">
      <c r="A3148" s="16" t="inlineStr">
        <is>
          <t>5.29-6.4</t>
        </is>
      </c>
      <c r="B3148" s="16" t="inlineStr">
        <is>
          <t>PO-128-14086934026871122</t>
        </is>
      </c>
      <c r="C3148" s="16" t="inlineStr">
        <is>
          <t>Shipped</t>
        </is>
      </c>
      <c r="D3148" s="16" t="inlineStr">
        <is>
          <t>128-14086907812471122</t>
        </is>
      </c>
      <c r="E3148" s="16" t="inlineStr">
        <is>
          <t>Shipped</t>
        </is>
      </c>
      <c r="F3148" s="16" t="inlineStr">
        <is>
          <t>SA325T</t>
        </is>
      </c>
      <c r="G3148" s="16" t="inlineStr">
        <is>
          <t>Subwoofer Portátil Inalámbrico con Luces RGB, Sonido de Alta Potencia y Batería Duradera, TWS TF USB, Perfecto para Campamento Fiestas y Entretenimiento en Casa</t>
        </is>
      </c>
      <c r="H3148" s="16" t="inlineStr">
        <is>
          <t>NEGRO</t>
        </is>
      </c>
      <c r="I3148" s="16" t="n">
        <v>2</v>
      </c>
      <c r="J3148" s="17" t="n">
        <v>76</v>
      </c>
      <c r="K3148" s="17" t="n">
        <v>79.97</v>
      </c>
      <c r="L3148" s="17" t="n">
        <v>25.86</v>
      </c>
      <c r="M3148" s="17" t="n">
        <v>0</v>
      </c>
      <c r="N3148" s="17">
        <f>K3148*0.08+L3148*0.08</f>
        <v/>
      </c>
      <c r="O3148" s="17">
        <f>-(K3148*0.025+L3148*0.025)</f>
        <v/>
      </c>
      <c r="P3148" s="17">
        <f>32</f>
        <v/>
      </c>
      <c r="Q3148" s="17">
        <f>J3148+L3148+N3148+O3148-P3148-M3148</f>
        <v/>
      </c>
    </row>
    <row r="3149">
      <c r="A3149" s="16" t="inlineStr">
        <is>
          <t>5.29-6.4</t>
        </is>
      </c>
      <c r="B3149" s="16" t="inlineStr">
        <is>
          <t>PO-128-13809385682550536</t>
        </is>
      </c>
      <c r="C3149" s="16" t="inlineStr">
        <is>
          <t>Shipped</t>
        </is>
      </c>
      <c r="D3149" s="16" t="inlineStr">
        <is>
          <t>128-13809427625590536</t>
        </is>
      </c>
      <c r="E3149" s="16" t="inlineStr">
        <is>
          <t>Shipped</t>
        </is>
      </c>
      <c r="F3149" s="16" t="inlineStr">
        <is>
          <t>LB02235-negro</t>
        </is>
      </c>
      <c r="G3149" s="16" t="inlineStr">
        <is>
          <t>Audífonos Inalámbricos para la Cabeza, Recargables y Multifuncionales - Conectan a Varios Dispositivos, soportan Radio FM, Tarjeta TF y AUX - 4 Horas de Reproducción Musical - Ideal para Trabajo Cotidiano, Juegos y Estudio</t>
        </is>
      </c>
      <c r="H3149" s="16" t="inlineStr">
        <is>
          <t>NEGRO</t>
        </is>
      </c>
      <c r="I3149" s="16" t="n">
        <v>1</v>
      </c>
      <c r="J3149" s="17" t="n">
        <v>36.8</v>
      </c>
      <c r="K3149" s="17" t="n">
        <v>6.81</v>
      </c>
      <c r="L3149" s="17" t="n">
        <v>25.86</v>
      </c>
      <c r="M3149" s="17" t="n">
        <v>0</v>
      </c>
      <c r="N3149" s="17">
        <f>K3149*0.08+L3149*0.08</f>
        <v/>
      </c>
      <c r="O3149" s="17">
        <f>-(K3149*0.025+L3149*0.025)</f>
        <v/>
      </c>
      <c r="P3149" s="17">
        <f>32</f>
        <v/>
      </c>
      <c r="Q3149" s="17">
        <f>J3149+L3149+N3149+O3149-P3149-M3149</f>
        <v/>
      </c>
    </row>
    <row r="3150">
      <c r="A3150" s="16" t="inlineStr">
        <is>
          <t>5.29-6.4</t>
        </is>
      </c>
      <c r="B3150" s="16" t="inlineStr">
        <is>
          <t>PO-128-13893939251830224</t>
        </is>
      </c>
      <c r="C3150" s="16" t="inlineStr">
        <is>
          <t>Shipped</t>
        </is>
      </c>
      <c r="D3150" s="16" t="inlineStr">
        <is>
          <t>128-13893981194870224</t>
        </is>
      </c>
      <c r="E3150" s="16" t="inlineStr">
        <is>
          <t>Shipped</t>
        </is>
      </c>
      <c r="F3150" s="16" t="inlineStr">
        <is>
          <t>MB-185N</t>
        </is>
      </c>
      <c r="G3150" s="16" t="inlineStr">
        <is>
          <t>Bocina Radio FM/Reproductor, Compatible con Tarjeta TF, USB, Bluetooth, Aplicable para celular, computadora, Ipad y consola.</t>
        </is>
      </c>
      <c r="H3150" s="16" t="inlineStr">
        <is>
          <t>NEGRO/MB-185</t>
        </is>
      </c>
      <c r="I3150" s="16" t="n">
        <v>1</v>
      </c>
      <c r="J3150" s="17" t="n">
        <v>75.5</v>
      </c>
      <c r="K3150" s="17" t="n">
        <v>88.44</v>
      </c>
      <c r="L3150" s="17" t="n">
        <v>25.86</v>
      </c>
      <c r="M3150" s="17" t="n">
        <v>0</v>
      </c>
      <c r="N3150" s="17">
        <f>K3150*0.08+L3150*0.08</f>
        <v/>
      </c>
      <c r="O3150" s="17">
        <f>-(K3150*0.025+L3150*0.025)</f>
        <v/>
      </c>
      <c r="P3150" s="17">
        <f>32</f>
        <v/>
      </c>
      <c r="Q3150" s="17">
        <f>J3150+L3150+N3150+O3150-P3150-M3150</f>
        <v/>
      </c>
    </row>
    <row r="3151">
      <c r="A3151" s="16" t="inlineStr">
        <is>
          <t>5.29-6.4</t>
        </is>
      </c>
      <c r="B3151" s="16" t="inlineStr">
        <is>
          <t>PO-128-13986538312311592</t>
        </is>
      </c>
      <c r="C3151" s="16" t="inlineStr">
        <is>
          <t>Shipped</t>
        </is>
      </c>
      <c r="D3151" s="16" t="inlineStr">
        <is>
          <t>128-13986576323191592</t>
        </is>
      </c>
      <c r="E3151" s="16" t="inlineStr">
        <is>
          <t>Shipped</t>
        </is>
      </c>
      <c r="F3151" s="16" t="inlineStr">
        <is>
          <t>LB02235-rojo</t>
        </is>
      </c>
      <c r="G3151" s="16" t="inlineStr">
        <is>
          <t>Audífonos Inalámbricos para la Cabeza, Recargables y Multifuncionales - Conectan a Varios Dispositivos, soportan Radio FM, Tarjeta TF y AUX - 4 Horas de Reproducción Musical - Ideal para Trabajo Cotidiano, Juegos y Estudio</t>
        </is>
      </c>
      <c r="H3151" s="16" t="inlineStr">
        <is>
          <t>ROJO</t>
        </is>
      </c>
      <c r="I3151" s="16" t="n">
        <v>1</v>
      </c>
      <c r="J3151" s="17" t="n">
        <v>36.8</v>
      </c>
      <c r="K3151" s="17" t="n">
        <v>49.91</v>
      </c>
      <c r="L3151" s="17" t="n">
        <v>25.86</v>
      </c>
      <c r="M3151" s="17" t="n">
        <v>0</v>
      </c>
      <c r="N3151" s="17">
        <f>K3151*0.08+L3151*0.08</f>
        <v/>
      </c>
      <c r="O3151" s="17">
        <f>-(K3151*0.025+L3151*0.025)</f>
        <v/>
      </c>
      <c r="P3151" s="17">
        <f>32</f>
        <v/>
      </c>
      <c r="Q3151" s="17">
        <f>J3151+L3151+N3151+O3151-P3151-M3151</f>
        <v/>
      </c>
    </row>
    <row r="3152">
      <c r="A3152" s="16" t="inlineStr">
        <is>
          <t>5.29-6.4</t>
        </is>
      </c>
      <c r="B3152" s="16" t="inlineStr">
        <is>
          <t>PO-128-13940824412791803</t>
        </is>
      </c>
      <c r="C3152" s="16" t="inlineStr">
        <is>
          <t>Shipped</t>
        </is>
      </c>
      <c r="D3152" s="16" t="inlineStr">
        <is>
          <t>128-13940782469751803</t>
        </is>
      </c>
      <c r="E3152" s="16" t="inlineStr">
        <is>
          <t>Shipped</t>
        </is>
      </c>
      <c r="F3152" s="16" t="inlineStr">
        <is>
          <t>LB02235-azul</t>
        </is>
      </c>
      <c r="G3152" s="16" t="inlineStr">
        <is>
          <t>Audífonos Inalámbricos para la Cabeza, Recargables y Multifuncionales - Conectan a Varios Dispositivos, soportan Radio FM, Tarjeta TF y AUX - 4 Horas de Reproducción Musical - Ideal para Trabajo Cotidiano, Juegos y Estudio</t>
        </is>
      </c>
      <c r="H3152" s="16" t="inlineStr">
        <is>
          <t>AZUL</t>
        </is>
      </c>
      <c r="I3152" s="16" t="n">
        <v>1</v>
      </c>
      <c r="J3152" s="17" t="n">
        <v>29</v>
      </c>
      <c r="K3152" s="17" t="n">
        <v>42.11</v>
      </c>
      <c r="L3152" s="17" t="n">
        <v>25.86</v>
      </c>
      <c r="M3152" s="17" t="n">
        <v>0</v>
      </c>
      <c r="N3152" s="17">
        <f>K3152*0.08+L3152*0.08</f>
        <v/>
      </c>
      <c r="O3152" s="17">
        <f>-(K3152*0.025+L3152*0.025)</f>
        <v/>
      </c>
      <c r="P3152" s="17">
        <f>32</f>
        <v/>
      </c>
      <c r="Q3152" s="17">
        <f>J3152+L3152+N3152+O3152-P3152-M3152</f>
        <v/>
      </c>
    </row>
    <row r="3153">
      <c r="A3153" s="16" t="inlineStr">
        <is>
          <t>5.29-6.4</t>
        </is>
      </c>
      <c r="B3153" s="16" t="inlineStr">
        <is>
          <t>PO-128-14241412444792059</t>
        </is>
      </c>
      <c r="C3153" s="16" t="inlineStr">
        <is>
          <t>Shipped</t>
        </is>
      </c>
      <c r="D3153" s="16" t="inlineStr">
        <is>
          <t>128-14241370501752059</t>
        </is>
      </c>
      <c r="E3153" s="16" t="inlineStr">
        <is>
          <t>Shipped</t>
        </is>
      </c>
      <c r="F3153" s="16" t="inlineStr">
        <is>
          <t>VA384T-N</t>
        </is>
      </c>
      <c r="G3153" s="16" t="inlineStr">
        <is>
          <t>Bocina Portátil Bluetooth de 3 Pulgadas con Radio FM, USB TF TWS, Sonido Estéreo 5W, Bocina Recargable para Hogar Exterior Viaje Fiesta Camping</t>
        </is>
      </c>
      <c r="H3153" s="16" t="inlineStr">
        <is>
          <t>NEGRO</t>
        </is>
      </c>
      <c r="I3153" s="16" t="n">
        <v>1</v>
      </c>
      <c r="J3153" s="17" t="n">
        <v>50</v>
      </c>
      <c r="K3153" s="17" t="n">
        <v>51.61</v>
      </c>
      <c r="L3153" s="17" t="n">
        <v>25.86</v>
      </c>
      <c r="M3153" s="17" t="n">
        <v>0</v>
      </c>
      <c r="N3153" s="17">
        <f>K3153*0.08+L3153*0.08</f>
        <v/>
      </c>
      <c r="O3153" s="17">
        <f>-(K3153*0.025+L3153*0.025)</f>
        <v/>
      </c>
      <c r="P3153" s="17">
        <f>32</f>
        <v/>
      </c>
      <c r="Q3153" s="17">
        <f>J3153+L3153+N3153+O3153-P3153-M3153</f>
        <v/>
      </c>
    </row>
    <row r="3154">
      <c r="A3154" s="16" t="inlineStr">
        <is>
          <t>5.29-6.4</t>
        </is>
      </c>
      <c r="B3154" s="16" t="inlineStr">
        <is>
          <t>PO-128-14342959247993692</t>
        </is>
      </c>
      <c r="C3154" s="16" t="inlineStr">
        <is>
          <t>Shipped</t>
        </is>
      </c>
      <c r="D3154" s="16" t="inlineStr">
        <is>
          <t>128-14342896333433692</t>
        </is>
      </c>
      <c r="E3154" s="16" t="inlineStr">
        <is>
          <t>Shipped</t>
        </is>
      </c>
      <c r="F3154" s="16" t="inlineStr">
        <is>
          <t>LB02235-azul</t>
        </is>
      </c>
      <c r="G3154" s="16" t="inlineStr">
        <is>
          <t>Audífonos Inalámbricos para la Cabeza, Recargables y Multifuncionales - Conectan a Varios Dispositivos, soportan Radio FM, Tarjeta TF y AUX - 4 Horas de Reproducción Musical - Ideal para Trabajo Cotidiano, Juegos y Estudio</t>
        </is>
      </c>
      <c r="H3154" s="16" t="inlineStr">
        <is>
          <t>AZUL</t>
        </is>
      </c>
      <c r="I3154" s="16" t="n">
        <v>1</v>
      </c>
      <c r="J3154" s="17" t="n">
        <v>29</v>
      </c>
      <c r="K3154" s="17" t="n">
        <v>42.11</v>
      </c>
      <c r="L3154" s="17" t="n">
        <v>25.86</v>
      </c>
      <c r="M3154" s="17" t="n">
        <v>0</v>
      </c>
      <c r="N3154" s="17">
        <f>K3154*0.08+L3154*0.08</f>
        <v/>
      </c>
      <c r="O3154" s="17">
        <f>-(K3154*0.025+L3154*0.025)</f>
        <v/>
      </c>
      <c r="P3154" s="17">
        <f>32</f>
        <v/>
      </c>
      <c r="Q3154" s="17">
        <f>J3154+L3154+N3154+O3154-P3154-M3154</f>
        <v/>
      </c>
    </row>
    <row r="3155">
      <c r="A3155" s="16" t="inlineStr">
        <is>
          <t>5.29-6.4</t>
        </is>
      </c>
      <c r="B3155" s="16" t="inlineStr">
        <is>
          <t>PO-128-14287168983673896</t>
        </is>
      </c>
      <c r="C3155" s="16" t="inlineStr">
        <is>
          <t>Shipped</t>
        </is>
      </c>
      <c r="D3155" s="16" t="inlineStr">
        <is>
          <t>128-14287273841273896</t>
        </is>
      </c>
      <c r="E3155" s="16" t="inlineStr">
        <is>
          <t>Shipped</t>
        </is>
      </c>
      <c r="F3155" s="16" t="inlineStr">
        <is>
          <t>VA880T</t>
        </is>
      </c>
      <c r="G315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55" s="16" t="inlineStr">
        <is>
          <t>1 pieza</t>
        </is>
      </c>
      <c r="I3155" s="16" t="n">
        <v>1</v>
      </c>
      <c r="J3155" s="17" t="n">
        <v>114.98</v>
      </c>
      <c r="K3155" s="17" t="n">
        <v>126.16</v>
      </c>
      <c r="L3155" s="17" t="n">
        <v>25.86</v>
      </c>
      <c r="M3155" s="17" t="n">
        <v>0</v>
      </c>
      <c r="N3155" s="17">
        <f>K3155*0.08+L3155*0.08</f>
        <v/>
      </c>
      <c r="O3155" s="17">
        <f>-(K3155*0.025+L3155*0.025)</f>
        <v/>
      </c>
      <c r="P3155" s="17">
        <f>32</f>
        <v/>
      </c>
      <c r="Q3155" s="17">
        <f>J3155+L3155+N3155+O3155-P3155-M3155</f>
        <v/>
      </c>
    </row>
    <row r="3156">
      <c r="A3156" s="16" t="inlineStr">
        <is>
          <t>5.29-6.4</t>
        </is>
      </c>
      <c r="B3156" s="16" t="inlineStr">
        <is>
          <t>PO-128-13982693970551553</t>
        </is>
      </c>
      <c r="C3156" s="16" t="inlineStr">
        <is>
          <t>Shipped</t>
        </is>
      </c>
      <c r="D3156" s="16" t="inlineStr">
        <is>
          <t>128-13982662513271553</t>
        </is>
      </c>
      <c r="E3156" s="16" t="inlineStr">
        <is>
          <t>Shipped</t>
        </is>
      </c>
      <c r="F3156" s="16" t="inlineStr">
        <is>
          <t>VB347T</t>
        </is>
      </c>
      <c r="G315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56" s="16" t="inlineStr">
        <is>
          <t>1 pieza</t>
        </is>
      </c>
      <c r="I3156" s="16" t="n">
        <v>1</v>
      </c>
      <c r="J3156" s="17" t="n">
        <v>79.90000000000001</v>
      </c>
      <c r="K3156" s="17" t="n">
        <v>94.5</v>
      </c>
      <c r="L3156" s="17" t="n">
        <v>25.86</v>
      </c>
      <c r="M3156" s="17" t="n">
        <v>0</v>
      </c>
      <c r="N3156" s="17">
        <f>K3156*0.08+L3156*0.08</f>
        <v/>
      </c>
      <c r="O3156" s="17">
        <f>-(K3156*0.025+L3156*0.025)</f>
        <v/>
      </c>
      <c r="P3156" s="17">
        <f>32</f>
        <v/>
      </c>
      <c r="Q3156" s="17">
        <f>J3156+L3156+N3156+O3156-P3156-M3156</f>
        <v/>
      </c>
    </row>
    <row r="3157">
      <c r="A3157" s="16" t="inlineStr">
        <is>
          <t>5.29-6.4</t>
        </is>
      </c>
      <c r="B3157" s="16" t="inlineStr">
        <is>
          <t>PO-128-14235616097912284</t>
        </is>
      </c>
      <c r="C3157" s="16" t="inlineStr">
        <is>
          <t>Shipped</t>
        </is>
      </c>
      <c r="D3157" s="16" t="inlineStr">
        <is>
          <t>128-14235595126392284</t>
        </is>
      </c>
      <c r="E3157" s="16" t="inlineStr">
        <is>
          <t>Shipped</t>
        </is>
      </c>
      <c r="F3157" s="16" t="inlineStr">
        <is>
          <t>HD005</t>
        </is>
      </c>
      <c r="G3157" s="16" t="inlineStr">
        <is>
          <t>Link bits HD005 Antena UHF para Exteriores, Antena de TV Digital HD con 10 Metros de Cable, Recepción 470-862MHz, 9-7dB de Ganancia, Antena para Canales Abiertos y HD, Resistente al Agua y Viento, Fácil Instalación</t>
        </is>
      </c>
      <c r="H3157" s="16" t="inlineStr">
        <is>
          <t>1</t>
        </is>
      </c>
      <c r="I3157" s="16" t="n">
        <v>1</v>
      </c>
      <c r="J3157" s="17" t="n">
        <v>75</v>
      </c>
      <c r="K3157" s="17" t="n">
        <v>92.66</v>
      </c>
      <c r="L3157" s="17" t="n">
        <v>25.86</v>
      </c>
      <c r="M3157" s="17" t="n">
        <v>0</v>
      </c>
      <c r="N3157" s="17">
        <f>K3157*0.08+L3157*0.08</f>
        <v/>
      </c>
      <c r="O3157" s="17">
        <f>-(K3157*0.025+L3157*0.025)</f>
        <v/>
      </c>
      <c r="P3157" s="17">
        <f>32</f>
        <v/>
      </c>
      <c r="Q3157" s="17">
        <f>J3157+L3157+N3157+O3157-P3157-M3157</f>
        <v/>
      </c>
    </row>
    <row r="3158">
      <c r="A3158" s="16" t="inlineStr">
        <is>
          <t>5.29-6.4</t>
        </is>
      </c>
      <c r="B3158" s="16" t="inlineStr">
        <is>
          <t>PO-128-13851382543990286</t>
        </is>
      </c>
      <c r="C3158" s="16" t="inlineStr">
        <is>
          <t>Shipped</t>
        </is>
      </c>
      <c r="D3158" s="16" t="inlineStr">
        <is>
          <t>128-13851408758390286</t>
        </is>
      </c>
      <c r="E3158" s="16" t="inlineStr">
        <is>
          <t>Shipped</t>
        </is>
      </c>
      <c r="F3158" s="16" t="inlineStr">
        <is>
          <t>LB02235-azul</t>
        </is>
      </c>
      <c r="G3158" s="16" t="inlineStr">
        <is>
          <t>Audífonos Inalámbricos para la Cabeza, Recargables y Multifuncionales - Conectan a Varios Dispositivos, soportan Radio FM, Tarjeta TF y AUX - 4 Horas de Reproducción Musical - Ideal para Trabajo Cotidiano, Juegos y Estudio</t>
        </is>
      </c>
      <c r="H3158" s="16" t="inlineStr">
        <is>
          <t>AZUL</t>
        </is>
      </c>
      <c r="I3158" s="16" t="n">
        <v>1</v>
      </c>
      <c r="J3158" s="17" t="n">
        <v>29</v>
      </c>
      <c r="K3158" s="17" t="n">
        <v>18.95</v>
      </c>
      <c r="L3158" s="17" t="n">
        <v>25.86</v>
      </c>
      <c r="M3158" s="17" t="n">
        <v>0</v>
      </c>
      <c r="N3158" s="17">
        <f>K3158*0.08+L3158*0.08</f>
        <v/>
      </c>
      <c r="O3158" s="17">
        <f>-(K3158*0.025+L3158*0.025)</f>
        <v/>
      </c>
      <c r="P3158" s="17">
        <f>32</f>
        <v/>
      </c>
      <c r="Q3158" s="17">
        <f>J3158+L3158+N3158+O3158-P3158-M3158</f>
        <v/>
      </c>
    </row>
    <row r="3159">
      <c r="A3159" s="16" t="inlineStr">
        <is>
          <t>5.29-6.4</t>
        </is>
      </c>
      <c r="B3159" s="16" t="inlineStr">
        <is>
          <t>PO-128-14192281815672542</t>
        </is>
      </c>
      <c r="C3159" s="16" t="inlineStr">
        <is>
          <t>Shipped</t>
        </is>
      </c>
      <c r="D3159" s="16" t="inlineStr">
        <is>
          <t>128-14192334244472542</t>
        </is>
      </c>
      <c r="E3159" s="16" t="inlineStr">
        <is>
          <t>Shipped</t>
        </is>
      </c>
      <c r="F3159" s="16" t="inlineStr">
        <is>
          <t>LB02235-azul</t>
        </is>
      </c>
      <c r="G3159" s="16" t="inlineStr">
        <is>
          <t>Audífonos Inalámbricos para la Cabeza, Recargables y Multifuncionales - Conectan a Varios Dispositivos, soportan Radio FM, Tarjeta TF y AUX - 4 Horas de Reproducción Musical - Ideal para Trabajo Cotidiano, Juegos y Estudio</t>
        </is>
      </c>
      <c r="H3159" s="16" t="inlineStr">
        <is>
          <t>AZUL</t>
        </is>
      </c>
      <c r="I3159" s="16" t="n">
        <v>5</v>
      </c>
      <c r="J3159" s="17" t="n">
        <v>145</v>
      </c>
      <c r="K3159" s="17" t="n">
        <v>210.55</v>
      </c>
      <c r="L3159" s="17" t="n">
        <v>25.85</v>
      </c>
      <c r="M3159" s="17" t="n">
        <v>0</v>
      </c>
      <c r="N3159" s="17">
        <f>K3159*0.08+L3159*0.08</f>
        <v/>
      </c>
      <c r="O3159" s="17">
        <f>-(K3159*0.025+L3159*0.025)</f>
        <v/>
      </c>
      <c r="P3159" s="17">
        <f>32</f>
        <v/>
      </c>
      <c r="Q3159" s="17">
        <f>J3159+L3159+N3159+O3159-P3159-M3159</f>
        <v/>
      </c>
    </row>
    <row r="3160">
      <c r="A3160" s="16" t="inlineStr">
        <is>
          <t>5.29-6.4</t>
        </is>
      </c>
      <c r="B3160" s="16" t="inlineStr">
        <is>
          <t>PO-128-13964559575671725</t>
        </is>
      </c>
      <c r="C3160" s="16" t="inlineStr">
        <is>
          <t>Shipped</t>
        </is>
      </c>
      <c r="D3160" s="16" t="inlineStr">
        <is>
          <t>128-13964534671991725</t>
        </is>
      </c>
      <c r="E3160" s="16" t="inlineStr">
        <is>
          <t>Shipped</t>
        </is>
      </c>
      <c r="F3160" s="16" t="inlineStr">
        <is>
          <t>LB02235-rojo</t>
        </is>
      </c>
      <c r="G3160" s="16" t="inlineStr">
        <is>
          <t>Audífonos Inalámbricos para la Cabeza, Recargables y Multifuncionales - Conectan a Varios Dispositivos, soportan Radio FM, Tarjeta TF y AUX - 4 Horas de Reproducción Musical - Ideal para Trabajo Cotidiano, Juegos y Estudio</t>
        </is>
      </c>
      <c r="H3160" s="16" t="inlineStr">
        <is>
          <t>ROJO</t>
        </is>
      </c>
      <c r="I3160" s="16" t="n">
        <v>1</v>
      </c>
      <c r="J3160" s="17" t="n">
        <v>36.8</v>
      </c>
      <c r="K3160" s="17" t="n">
        <v>29.95</v>
      </c>
      <c r="L3160" s="17" t="n">
        <v>25.86</v>
      </c>
      <c r="M3160" s="17" t="n">
        <v>0</v>
      </c>
      <c r="N3160" s="17">
        <f>K3160*0.08+L3160*0.08</f>
        <v/>
      </c>
      <c r="O3160" s="17">
        <f>-(K3160*0.025+L3160*0.025)</f>
        <v/>
      </c>
      <c r="P3160" s="17">
        <f>32</f>
        <v/>
      </c>
      <c r="Q3160" s="17">
        <f>J3160+L3160+N3160+O3160-P3160-M3160</f>
        <v/>
      </c>
    </row>
    <row r="3161">
      <c r="A3161" s="16" t="inlineStr">
        <is>
          <t>5.29-6.4</t>
        </is>
      </c>
      <c r="B3161" s="16" t="inlineStr">
        <is>
          <t>PO-128-13999216906871647</t>
        </is>
      </c>
      <c r="C3161" s="16" t="inlineStr">
        <is>
          <t>Shipped</t>
        </is>
      </c>
      <c r="D3161" s="16" t="inlineStr">
        <is>
          <t>128-13999174963831647</t>
        </is>
      </c>
      <c r="E3161" s="16" t="inlineStr">
        <is>
          <t>Shipped</t>
        </is>
      </c>
      <c r="F3161" s="16" t="inlineStr">
        <is>
          <t>LB02235-rojo</t>
        </is>
      </c>
      <c r="G3161" s="16" t="inlineStr">
        <is>
          <t>Audífonos Inalámbricos para la Cabeza, Recargables y Multifuncionales - Conectan a Varios Dispositivos, soportan Radio FM, Tarjeta TF y AUX - 4 Horas de Reproducción Musical - Ideal para Trabajo Cotidiano, Juegos y Estudio</t>
        </is>
      </c>
      <c r="H3161" s="16" t="inlineStr">
        <is>
          <t>ROJO</t>
        </is>
      </c>
      <c r="I3161" s="16" t="n">
        <v>1</v>
      </c>
      <c r="J3161" s="17" t="n">
        <v>36.8</v>
      </c>
      <c r="K3161" s="17" t="n">
        <v>49.91</v>
      </c>
      <c r="L3161" s="17" t="n">
        <v>25.86</v>
      </c>
      <c r="M3161" s="17" t="n">
        <v>0</v>
      </c>
      <c r="N3161" s="17">
        <f>K3161*0.08+L3161*0.08</f>
        <v/>
      </c>
      <c r="O3161" s="17">
        <f>-(K3161*0.025+L3161*0.025)</f>
        <v/>
      </c>
      <c r="P3161" s="17">
        <f>32</f>
        <v/>
      </c>
      <c r="Q3161" s="17">
        <f>J3161+L3161+N3161+O3161-P3161-M3161</f>
        <v/>
      </c>
    </row>
    <row r="3162">
      <c r="A3162" s="16" t="inlineStr">
        <is>
          <t>5.29-6.4</t>
        </is>
      </c>
      <c r="B3162" s="16" t="inlineStr">
        <is>
          <t>PO-128-13955621110391907</t>
        </is>
      </c>
      <c r="C3162" s="16" t="inlineStr">
        <is>
          <t>Shipped</t>
        </is>
      </c>
      <c r="D3162" s="16" t="inlineStr">
        <is>
          <t>128-13955610624631907</t>
        </is>
      </c>
      <c r="E3162" s="16" t="inlineStr">
        <is>
          <t>Shipped</t>
        </is>
      </c>
      <c r="F3162" s="16" t="inlineStr">
        <is>
          <t>EM04W36-2PZS</t>
        </is>
      </c>
      <c r="G316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162" s="16" t="inlineStr">
        <is>
          <t>2 piezas</t>
        </is>
      </c>
      <c r="I3162" s="16" t="n">
        <v>2</v>
      </c>
      <c r="J3162" s="17" t="n">
        <v>340</v>
      </c>
      <c r="K3162" s="17" t="n">
        <v>375.1</v>
      </c>
      <c r="L3162" s="17" t="n">
        <v>0</v>
      </c>
      <c r="M3162" s="17" t="n">
        <v>0</v>
      </c>
      <c r="N3162" s="17">
        <f>K3162*0.08+L3162*0.08</f>
        <v/>
      </c>
      <c r="O3162" s="17">
        <f>-(K3162*0.025+L3162*0.025)</f>
        <v/>
      </c>
      <c r="P3162" s="17">
        <f>32</f>
        <v/>
      </c>
      <c r="Q3162" s="17">
        <f>J3162+L3162+N3162+O3162-P3162-M3162</f>
        <v/>
      </c>
    </row>
    <row r="3163">
      <c r="A3163" s="16" t="inlineStr">
        <is>
          <t>5.29-6.4</t>
        </is>
      </c>
      <c r="B3163" s="16" t="inlineStr">
        <is>
          <t>PO-128-14370589778553337</t>
        </is>
      </c>
      <c r="C3163" s="16" t="inlineStr">
        <is>
          <t>Shipped</t>
        </is>
      </c>
      <c r="D3163" s="16" t="inlineStr">
        <is>
          <t>128-14370547835513337</t>
        </is>
      </c>
      <c r="E3163" s="16" t="inlineStr">
        <is>
          <t>Shipped</t>
        </is>
      </c>
      <c r="F3163" s="16" t="inlineStr">
        <is>
          <t>LB02235-rojo</t>
        </is>
      </c>
      <c r="G3163" s="16" t="inlineStr">
        <is>
          <t>Audífonos Inalámbricos para la Cabeza, Recargables y Multifuncionales - Conectan a Varios Dispositivos, soportan Radio FM, Tarjeta TF y AUX - 4 Horas de Reproducción Musical - Ideal para Trabajo Cotidiano, Juegos y Estudio</t>
        </is>
      </c>
      <c r="H3163" s="16" t="inlineStr">
        <is>
          <t>ROJO</t>
        </is>
      </c>
      <c r="I3163" s="16" t="n">
        <v>1</v>
      </c>
      <c r="J3163" s="17" t="n">
        <v>36.8</v>
      </c>
      <c r="K3163" s="17" t="n">
        <v>39.94</v>
      </c>
      <c r="L3163" s="17" t="n">
        <v>25.86</v>
      </c>
      <c r="M3163" s="17" t="n">
        <v>0</v>
      </c>
      <c r="N3163" s="17">
        <f>K3163*0.08+L3163*0.08</f>
        <v/>
      </c>
      <c r="O3163" s="17">
        <f>-(K3163*0.025+L3163*0.025)</f>
        <v/>
      </c>
      <c r="P3163" s="17">
        <f>32</f>
        <v/>
      </c>
      <c r="Q3163" s="17">
        <f>J3163+L3163+N3163+O3163-P3163-M3163</f>
        <v/>
      </c>
    </row>
    <row r="3164">
      <c r="A3164" s="16" t="inlineStr">
        <is>
          <t>5.29-6.4</t>
        </is>
      </c>
      <c r="B3164" s="16" t="inlineStr">
        <is>
          <t>PO-128-13961269294711681</t>
        </is>
      </c>
      <c r="C3164" s="16" t="inlineStr">
        <is>
          <t>Shipped</t>
        </is>
      </c>
      <c r="D3164" s="16" t="inlineStr">
        <is>
          <t>128-13961203758711681</t>
        </is>
      </c>
      <c r="E3164" s="16" t="inlineStr">
        <is>
          <t>Shipped</t>
        </is>
      </c>
      <c r="F3164" s="16" t="inlineStr">
        <is>
          <t>LB02235-azul</t>
        </is>
      </c>
      <c r="G3164" s="16" t="inlineStr">
        <is>
          <t>Audífonos Inalámbricos para la Cabeza, Recargables y Multifuncionales - Conectan a Varios Dispositivos, soportan Radio FM, Tarjeta TF y AUX - 4 Horas de Reproducción Musical - Ideal para Trabajo Cotidiano, Juegos y Estudio</t>
        </is>
      </c>
      <c r="H3164" s="16" t="inlineStr">
        <is>
          <t>AZUL</t>
        </is>
      </c>
      <c r="I3164" s="16" t="n">
        <v>1</v>
      </c>
      <c r="J3164" s="17" t="n">
        <v>29</v>
      </c>
      <c r="K3164" s="17" t="n">
        <v>42.11</v>
      </c>
      <c r="L3164" s="17" t="n">
        <v>25.86</v>
      </c>
      <c r="M3164" s="17" t="n">
        <v>0</v>
      </c>
      <c r="N3164" s="17">
        <f>K3164*0.08+L3164*0.08</f>
        <v/>
      </c>
      <c r="O3164" s="17">
        <f>-(K3164*0.025+L3164*0.025)</f>
        <v/>
      </c>
      <c r="P3164" s="17">
        <f>32</f>
        <v/>
      </c>
      <c r="Q3164" s="17">
        <f>J3164+L3164+N3164+O3164-P3164-M3164</f>
        <v/>
      </c>
    </row>
    <row r="3165">
      <c r="A3165" s="16" t="inlineStr">
        <is>
          <t>5.29-6.4</t>
        </is>
      </c>
      <c r="B3165" s="16" t="inlineStr">
        <is>
          <t>PO-128-14262022963833982</t>
        </is>
      </c>
      <c r="C3165" s="16" t="inlineStr">
        <is>
          <t>Shipped</t>
        </is>
      </c>
      <c r="D3165" s="16" t="inlineStr">
        <is>
          <t>128-14262070149753982</t>
        </is>
      </c>
      <c r="E3165" s="16" t="inlineStr">
        <is>
          <t>Shipped</t>
        </is>
      </c>
      <c r="F3165" s="16" t="inlineStr">
        <is>
          <t>LB02235-negro</t>
        </is>
      </c>
      <c r="G3165" s="16" t="inlineStr">
        <is>
          <t>Audífonos Inalámbricos para la Cabeza, Recargables y Multifuncionales - Conectan a Varios Dispositivos, soportan Radio FM, Tarjeta TF y AUX - 4 Horas de Reproducción Musical - Ideal para Trabajo Cotidiano, Juegos y Estudio</t>
        </is>
      </c>
      <c r="H3165" s="16" t="inlineStr">
        <is>
          <t>NEGRO</t>
        </is>
      </c>
      <c r="I3165" s="16" t="n">
        <v>1</v>
      </c>
      <c r="J3165" s="17" t="n">
        <v>36.8</v>
      </c>
      <c r="K3165" s="17" t="n">
        <v>49.91</v>
      </c>
      <c r="L3165" s="17" t="n">
        <v>25.86</v>
      </c>
      <c r="M3165" s="17" t="n">
        <v>0</v>
      </c>
      <c r="N3165" s="17">
        <f>K3165*0.08+L3165*0.08</f>
        <v/>
      </c>
      <c r="O3165" s="17">
        <f>-(K3165*0.025+L3165*0.025)</f>
        <v/>
      </c>
      <c r="P3165" s="17">
        <f>32</f>
        <v/>
      </c>
      <c r="Q3165" s="17">
        <f>J3165+L3165+N3165+O3165-P3165-M3165</f>
        <v/>
      </c>
    </row>
    <row r="3166">
      <c r="A3166" s="16" t="inlineStr">
        <is>
          <t>5.29-6.4</t>
        </is>
      </c>
      <c r="B3166" s="16" t="inlineStr">
        <is>
          <t>PO-128-13951389379191866</t>
        </is>
      </c>
      <c r="C3166" s="16" t="inlineStr">
        <is>
          <t>Shipped</t>
        </is>
      </c>
      <c r="D3166" s="16" t="inlineStr">
        <is>
          <t>128-13951347436151866</t>
        </is>
      </c>
      <c r="E3166" s="16" t="inlineStr">
        <is>
          <t>Shipped</t>
        </is>
      </c>
      <c r="F3166" s="16" t="inlineStr">
        <is>
          <t>MB-185N</t>
        </is>
      </c>
      <c r="G3166" s="16" t="inlineStr">
        <is>
          <t>Bocina Radio FM/Reproductor, Compatible con Tarjeta TF, USB, Bluetooth, Aplicable para celular, computadora, Ipad y consola.</t>
        </is>
      </c>
      <c r="H3166" s="16" t="inlineStr">
        <is>
          <t>NEGRO/MB-185</t>
        </is>
      </c>
      <c r="I3166" s="16" t="n">
        <v>1</v>
      </c>
      <c r="J3166" s="17" t="n">
        <v>75.5</v>
      </c>
      <c r="K3166" s="17" t="n">
        <v>88.44</v>
      </c>
      <c r="L3166" s="17" t="n">
        <v>25.86</v>
      </c>
      <c r="M3166" s="17" t="n">
        <v>0</v>
      </c>
      <c r="N3166" s="17">
        <f>K3166*0.08+L3166*0.08</f>
        <v/>
      </c>
      <c r="O3166" s="17">
        <f>-(K3166*0.025+L3166*0.025)</f>
        <v/>
      </c>
      <c r="P3166" s="17">
        <f>32</f>
        <v/>
      </c>
      <c r="Q3166" s="17">
        <f>J3166+L3166+N3166+O3166-P3166-M3166</f>
        <v/>
      </c>
    </row>
    <row r="3167">
      <c r="A3167" s="16" t="inlineStr">
        <is>
          <t>5.29-6.4</t>
        </is>
      </c>
      <c r="B3167" s="16" t="inlineStr">
        <is>
          <t>PO-128-14340186942073708</t>
        </is>
      </c>
      <c r="C3167" s="16" t="inlineStr">
        <is>
          <t>Shipped</t>
        </is>
      </c>
      <c r="D3167" s="16" t="inlineStr">
        <is>
          <t>128-14340192184953708</t>
        </is>
      </c>
      <c r="E3167" s="16" t="inlineStr">
        <is>
          <t>Shipped</t>
        </is>
      </c>
      <c r="F3167" s="16" t="inlineStr">
        <is>
          <t>VA384T-N</t>
        </is>
      </c>
      <c r="G3167" s="16" t="inlineStr">
        <is>
          <t>Bocina Portátil Bluetooth de 3 Pulgadas con Radio FM, USB TF TWS, Sonido Estéreo 5W, Bocina Recargable para Hogar Exterior Viaje Fiesta Camping</t>
        </is>
      </c>
      <c r="H3167" s="16" t="inlineStr">
        <is>
          <t>NEGRO</t>
        </is>
      </c>
      <c r="I3167" s="16" t="n">
        <v>1</v>
      </c>
      <c r="J3167" s="17" t="n">
        <v>50</v>
      </c>
      <c r="K3167" s="17" t="n">
        <v>60.72</v>
      </c>
      <c r="L3167" s="17" t="n">
        <v>8.4</v>
      </c>
      <c r="M3167" s="17" t="n">
        <v>0</v>
      </c>
      <c r="N3167" s="17">
        <f>K3167*0.08+L3167*0.08</f>
        <v/>
      </c>
      <c r="O3167" s="17">
        <f>-(K3167*0.025+L3167*0.025)</f>
        <v/>
      </c>
      <c r="P3167" s="17">
        <f>32</f>
        <v/>
      </c>
      <c r="Q3167" s="17">
        <f>J3167+L3167+N3167+O3167-P3167-M3167</f>
        <v/>
      </c>
    </row>
    <row r="3168">
      <c r="A3168" s="16" t="inlineStr">
        <is>
          <t>5.29-6.4</t>
        </is>
      </c>
      <c r="B3168" s="16" t="inlineStr">
        <is>
          <t>PO-128-14340186942073708</t>
        </is>
      </c>
      <c r="C3168" s="16" t="inlineStr">
        <is>
          <t>Shipped</t>
        </is>
      </c>
      <c r="D3168" s="16" t="inlineStr">
        <is>
          <t>128-14340207913593708</t>
        </is>
      </c>
      <c r="E3168" s="16" t="inlineStr">
        <is>
          <t>Shipped</t>
        </is>
      </c>
      <c r="F3168" s="16" t="inlineStr">
        <is>
          <t>VA880T</t>
        </is>
      </c>
      <c r="G316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68" s="16" t="inlineStr">
        <is>
          <t>1 pieza</t>
        </is>
      </c>
      <c r="I3168" s="16" t="n">
        <v>1</v>
      </c>
      <c r="J3168" s="17" t="n">
        <v>114.98</v>
      </c>
      <c r="K3168" s="17" t="n">
        <v>126.16</v>
      </c>
      <c r="L3168" s="17" t="n">
        <v>17.47</v>
      </c>
      <c r="M3168" s="17" t="n">
        <v>0</v>
      </c>
      <c r="N3168" s="17">
        <f>K3168*0.08+L3168*0.08</f>
        <v/>
      </c>
      <c r="O3168" s="17">
        <f>-(K3168*0.025+L3168*0.025)</f>
        <v/>
      </c>
      <c r="P3168" s="17">
        <f>32</f>
        <v/>
      </c>
      <c r="Q3168" s="17">
        <f>J3168+L3168+N3168+O3168-P3168-M3168</f>
        <v/>
      </c>
    </row>
    <row r="3169">
      <c r="A3169" s="16" t="inlineStr">
        <is>
          <t>5.29-6.4</t>
        </is>
      </c>
      <c r="B3169" s="16" t="inlineStr">
        <is>
          <t>PO-128-13868188140150378</t>
        </is>
      </c>
      <c r="C3169" s="16" t="inlineStr">
        <is>
          <t>Shipped</t>
        </is>
      </c>
      <c r="D3169" s="16" t="inlineStr">
        <is>
          <t>128-13868146197110378</t>
        </is>
      </c>
      <c r="E3169" s="16" t="inlineStr">
        <is>
          <t>Shipped</t>
        </is>
      </c>
      <c r="F3169" s="16" t="inlineStr">
        <is>
          <t>VB347T</t>
        </is>
      </c>
      <c r="G316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169" s="16" t="inlineStr">
        <is>
          <t>1 pieza</t>
        </is>
      </c>
      <c r="I3169" s="16" t="n">
        <v>1</v>
      </c>
      <c r="J3169" s="17" t="n">
        <v>79.90000000000001</v>
      </c>
      <c r="K3169" s="17" t="n">
        <v>94.5</v>
      </c>
      <c r="L3169" s="17" t="n">
        <v>25.86</v>
      </c>
      <c r="M3169" s="17" t="n">
        <v>0</v>
      </c>
      <c r="N3169" s="17">
        <f>K3169*0.08+L3169*0.08</f>
        <v/>
      </c>
      <c r="O3169" s="17">
        <f>-(K3169*0.025+L3169*0.025)</f>
        <v/>
      </c>
      <c r="P3169" s="17">
        <f>32</f>
        <v/>
      </c>
      <c r="Q3169" s="17">
        <f>J3169+L3169+N3169+O3169-P3169-M3169</f>
        <v/>
      </c>
    </row>
    <row r="3170">
      <c r="A3170" s="16" t="inlineStr">
        <is>
          <t>5.29-6.4</t>
        </is>
      </c>
      <c r="B3170" s="16" t="inlineStr">
        <is>
          <t>PO-128-13787623465590666</t>
        </is>
      </c>
      <c r="C3170" s="16" t="inlineStr">
        <is>
          <t>Shipped</t>
        </is>
      </c>
      <c r="D3170" s="16" t="inlineStr">
        <is>
          <t>128-13787619533430666</t>
        </is>
      </c>
      <c r="E3170" s="16" t="inlineStr">
        <is>
          <t>Shipped</t>
        </is>
      </c>
      <c r="F3170" s="16" t="inlineStr">
        <is>
          <t>VA384T-G</t>
        </is>
      </c>
      <c r="G3170" s="16" t="inlineStr">
        <is>
          <t>Bocina Portátil Bluetooth de 3 Pulgadas con Radio FM, USB TF TWS, Sonido Estéreo 5W, Bocina Recargable para Hogar Exterior Viaje Fiesta Camping</t>
        </is>
      </c>
      <c r="H3170" s="16" t="inlineStr">
        <is>
          <t>GRIS</t>
        </is>
      </c>
      <c r="I3170" s="16" t="n">
        <v>1</v>
      </c>
      <c r="J3170" s="17" t="n">
        <v>49</v>
      </c>
      <c r="K3170" s="17" t="n">
        <v>59.72</v>
      </c>
      <c r="L3170" s="17" t="n">
        <v>25.86</v>
      </c>
      <c r="M3170" s="17" t="n">
        <v>0</v>
      </c>
      <c r="N3170" s="17">
        <f>K3170*0.08+L3170*0.08</f>
        <v/>
      </c>
      <c r="O3170" s="17">
        <f>-(K3170*0.025+L3170*0.025)</f>
        <v/>
      </c>
      <c r="P3170" s="17">
        <f>32</f>
        <v/>
      </c>
      <c r="Q3170" s="17">
        <f>J3170+L3170+N3170+O3170-P3170-M3170</f>
        <v/>
      </c>
    </row>
    <row r="3171">
      <c r="A3171" s="16" t="inlineStr">
        <is>
          <t>5.29-6.4</t>
        </is>
      </c>
      <c r="B3171" s="16" t="inlineStr">
        <is>
          <t>PO-128-13875794663030140</t>
        </is>
      </c>
      <c r="C3171" s="16" t="inlineStr">
        <is>
          <t>Shipped</t>
        </is>
      </c>
      <c r="D3171" s="16" t="inlineStr">
        <is>
          <t>128-13875799905910140</t>
        </is>
      </c>
      <c r="E3171" s="16" t="inlineStr">
        <is>
          <t>Shipped</t>
        </is>
      </c>
      <c r="F3171" s="16" t="inlineStr">
        <is>
          <t>LB02235-negro</t>
        </is>
      </c>
      <c r="G3171" s="16" t="inlineStr">
        <is>
          <t>Audífonos Inalámbricos para la Cabeza, Recargables y Multifuncionales - Conectan a Varios Dispositivos, soportan Radio FM, Tarjeta TF y AUX - 4 Horas de Reproducción Musical - Ideal para Trabajo Cotidiano, Juegos y Estudio</t>
        </is>
      </c>
      <c r="H3171" s="16" t="inlineStr">
        <is>
          <t>NEGRO</t>
        </is>
      </c>
      <c r="I3171" s="16" t="n">
        <v>1</v>
      </c>
      <c r="J3171" s="17" t="n">
        <v>36.8</v>
      </c>
      <c r="K3171" s="17" t="n">
        <v>49.91</v>
      </c>
      <c r="L3171" s="17" t="n">
        <v>25.86</v>
      </c>
      <c r="M3171" s="17" t="n">
        <v>0</v>
      </c>
      <c r="N3171" s="17">
        <f>K3171*0.08+L3171*0.08</f>
        <v/>
      </c>
      <c r="O3171" s="17">
        <f>-(K3171*0.025+L3171*0.025)</f>
        <v/>
      </c>
      <c r="P3171" s="17">
        <f>32</f>
        <v/>
      </c>
      <c r="Q3171" s="17">
        <f>J3171+L3171+N3171+O3171-P3171-M3171</f>
        <v/>
      </c>
    </row>
    <row r="3172">
      <c r="A3172" s="16" t="inlineStr">
        <is>
          <t>5.29-6.4</t>
        </is>
      </c>
      <c r="B3172" s="16" t="inlineStr">
        <is>
          <t>PO-128-13764495596150996</t>
        </is>
      </c>
      <c r="C3172" s="16" t="inlineStr">
        <is>
          <t>Shipped</t>
        </is>
      </c>
      <c r="D3172" s="16" t="inlineStr">
        <is>
          <t>128-13764521810550996</t>
        </is>
      </c>
      <c r="E3172" s="16" t="inlineStr">
        <is>
          <t>Shipped</t>
        </is>
      </c>
      <c r="F3172" s="16" t="inlineStr">
        <is>
          <t>MB-178-N</t>
        </is>
      </c>
      <c r="G3172" s="16" t="inlineStr">
        <is>
          <t>Bocina de Barra Bluetooth LINK BITS con dos altavoces, sonido de alta calidad y multifuncional (Bluetooth, Radio FM, USB, TF, AUX, TWS), ideal para juegos, reuniones, oficina y cine en casa.</t>
        </is>
      </c>
      <c r="H3172" s="16" t="inlineStr">
        <is>
          <t>NEGRO</t>
        </is>
      </c>
      <c r="I3172" s="16" t="n">
        <v>1</v>
      </c>
      <c r="J3172" s="17" t="n">
        <v>135</v>
      </c>
      <c r="K3172" s="17" t="n">
        <v>152.39</v>
      </c>
      <c r="L3172" s="17" t="n">
        <v>25.86</v>
      </c>
      <c r="M3172" s="17" t="n">
        <v>0</v>
      </c>
      <c r="N3172" s="17">
        <f>K3172*0.08+L3172*0.08</f>
        <v/>
      </c>
      <c r="O3172" s="17">
        <f>-(K3172*0.025+L3172*0.025)</f>
        <v/>
      </c>
      <c r="P3172" s="17">
        <f>32</f>
        <v/>
      </c>
      <c r="Q3172" s="17">
        <f>J3172+L3172+N3172+O3172-P3172-M3172</f>
        <v/>
      </c>
    </row>
    <row r="3173">
      <c r="A3173" s="16" t="inlineStr">
        <is>
          <t>5.29-6.4</t>
        </is>
      </c>
      <c r="B3173" s="16" t="inlineStr">
        <is>
          <t>PO-128-13777855043190852</t>
        </is>
      </c>
      <c r="C3173" s="16" t="inlineStr">
        <is>
          <t>Shipped</t>
        </is>
      </c>
      <c r="D3173" s="16" t="inlineStr">
        <is>
          <t>128-13777834071670852</t>
        </is>
      </c>
      <c r="E3173" s="16" t="inlineStr">
        <is>
          <t>Shipped</t>
        </is>
      </c>
      <c r="F3173" s="16" t="inlineStr">
        <is>
          <t>LB02235-azul</t>
        </is>
      </c>
      <c r="G3173" s="16" t="inlineStr">
        <is>
          <t>Audífonos Inalámbricos para la Cabeza, Recargables y Multifuncionales - Conectan a Varios Dispositivos, soportan Radio FM, Tarjeta TF y AUX - 4 Horas de Reproducción Musical - Ideal para Trabajo Cotidiano, Juegos y Estudio</t>
        </is>
      </c>
      <c r="H3173" s="16" t="inlineStr">
        <is>
          <t>AZUL</t>
        </is>
      </c>
      <c r="I3173" s="16" t="n">
        <v>1</v>
      </c>
      <c r="J3173" s="17" t="n">
        <v>29</v>
      </c>
      <c r="K3173" s="17" t="n">
        <v>42.11</v>
      </c>
      <c r="L3173" s="17" t="n">
        <v>25.86</v>
      </c>
      <c r="M3173" s="17" t="n">
        <v>0</v>
      </c>
      <c r="N3173" s="17">
        <f>K3173*0.08+L3173*0.08</f>
        <v/>
      </c>
      <c r="O3173" s="17">
        <f>-(K3173*0.025+L3173*0.025)</f>
        <v/>
      </c>
      <c r="P3173" s="17">
        <f>32</f>
        <v/>
      </c>
      <c r="Q3173" s="17">
        <f>J3173+L3173+N3173+O3173-P3173-M3173</f>
        <v/>
      </c>
    </row>
    <row r="3174">
      <c r="A3174" s="16" t="inlineStr">
        <is>
          <t>5.29-6.4</t>
        </is>
      </c>
      <c r="B3174" s="16" t="inlineStr">
        <is>
          <t>PO-128-14190302904952554</t>
        </is>
      </c>
      <c r="C3174" s="16" t="inlineStr">
        <is>
          <t>Shipped</t>
        </is>
      </c>
      <c r="D3174" s="16" t="inlineStr">
        <is>
          <t>128-14190260961912554</t>
        </is>
      </c>
      <c r="E3174" s="16" t="inlineStr">
        <is>
          <t>Shipped</t>
        </is>
      </c>
      <c r="F3174" s="16" t="inlineStr">
        <is>
          <t>LB02235-rojo</t>
        </is>
      </c>
      <c r="G3174" s="16" t="inlineStr">
        <is>
          <t>Audífonos Inalámbricos para la Cabeza, Recargables y Multifuncionales - Conectan a Varios Dispositivos, soportan Radio FM, Tarjeta TF y AUX - 4 Horas de Reproducción Musical - Ideal para Trabajo Cotidiano, Juegos y Estudio</t>
        </is>
      </c>
      <c r="H3174" s="16" t="inlineStr">
        <is>
          <t>ROJO</t>
        </is>
      </c>
      <c r="I3174" s="16" t="n">
        <v>1</v>
      </c>
      <c r="J3174" s="17" t="n">
        <v>36.8</v>
      </c>
      <c r="K3174" s="17" t="n">
        <v>49.91</v>
      </c>
      <c r="L3174" s="17" t="n">
        <v>25.86</v>
      </c>
      <c r="M3174" s="17" t="n">
        <v>0</v>
      </c>
      <c r="N3174" s="17">
        <f>K3174*0.08+L3174*0.08</f>
        <v/>
      </c>
      <c r="O3174" s="17">
        <f>-(K3174*0.025+L3174*0.025)</f>
        <v/>
      </c>
      <c r="P3174" s="17">
        <f>32</f>
        <v/>
      </c>
      <c r="Q3174" s="17">
        <f>J3174+L3174+N3174+O3174-P3174-M3174</f>
        <v/>
      </c>
    </row>
    <row r="3175">
      <c r="A3175" s="16" t="inlineStr">
        <is>
          <t>5.29-6.4</t>
        </is>
      </c>
      <c r="B3175" s="16" t="inlineStr">
        <is>
          <t>PO-128-14293527265913922</t>
        </is>
      </c>
      <c r="C3175" s="16" t="inlineStr">
        <is>
          <t>Shipped</t>
        </is>
      </c>
      <c r="D3175" s="16" t="inlineStr">
        <is>
          <t>128-14293574451833922</t>
        </is>
      </c>
      <c r="E3175" s="16" t="inlineStr">
        <is>
          <t>Shipped</t>
        </is>
      </c>
      <c r="F3175" s="16" t="inlineStr">
        <is>
          <t>MB-185R</t>
        </is>
      </c>
      <c r="G3175" s="16" t="inlineStr">
        <is>
          <t>Bocina Radio FM/Reproductor, Compatible con Tarjeta TF, USB, Bluetooth, Aplicable para celular, computadora, Ipad y consola.</t>
        </is>
      </c>
      <c r="H3175" s="16" t="inlineStr">
        <is>
          <t>ROJO/MB-185</t>
        </is>
      </c>
      <c r="I3175" s="16" t="n">
        <v>1</v>
      </c>
      <c r="J3175" s="17" t="n">
        <v>75.59999999999999</v>
      </c>
      <c r="K3175" s="17" t="n">
        <v>88.53</v>
      </c>
      <c r="L3175" s="17" t="n">
        <v>25.86</v>
      </c>
      <c r="M3175" s="17" t="n">
        <v>0</v>
      </c>
      <c r="N3175" s="17">
        <f>K3175*0.08+L3175*0.08</f>
        <v/>
      </c>
      <c r="O3175" s="17">
        <f>-(K3175*0.025+L3175*0.025)</f>
        <v/>
      </c>
      <c r="P3175" s="17">
        <f>32</f>
        <v/>
      </c>
      <c r="Q3175" s="17">
        <f>J3175+L3175+N3175+O3175-P3175-M3175</f>
        <v/>
      </c>
    </row>
    <row r="3176">
      <c r="A3176" s="16" t="inlineStr">
        <is>
          <t>5.29-6.4</t>
        </is>
      </c>
      <c r="B3176" s="16" t="inlineStr">
        <is>
          <t>PO-128-03325955141753822</t>
        </is>
      </c>
      <c r="C3176" s="16" t="inlineStr">
        <is>
          <t>Shipped</t>
        </is>
      </c>
      <c r="D3176" s="16" t="inlineStr">
        <is>
          <t>128-03325944655993822</t>
        </is>
      </c>
      <c r="E3176" s="16" t="inlineStr">
        <is>
          <t>Shipped</t>
        </is>
      </c>
      <c r="F3176" s="16" t="inlineStr">
        <is>
          <t>KTS-1678A</t>
        </is>
      </c>
      <c r="G3176" s="16" t="inlineStr">
        <is>
          <t>Bocina portátil Inalámbrico, de 3 pulgadas, tamaño de bolsillo, 170 g, con asa, compatible con TF, USB y Micro SD, con radio FM y función TWS (True Wireless Stereo), adecuada para relajarse en casa o viajar al aire libre.</t>
        </is>
      </c>
      <c r="H3176" s="16" t="inlineStr">
        <is>
          <t>KTS-1678A</t>
        </is>
      </c>
      <c r="I3176" s="16" t="n">
        <v>1</v>
      </c>
      <c r="J3176" s="17" t="n">
        <v>42.5</v>
      </c>
      <c r="K3176" s="17" t="n">
        <v>56.39</v>
      </c>
      <c r="L3176" s="17" t="n">
        <v>25.86</v>
      </c>
      <c r="M3176" s="17" t="n">
        <v>0</v>
      </c>
      <c r="N3176" s="17">
        <f>K3176*0.08+L3176*0.08</f>
        <v/>
      </c>
      <c r="O3176" s="17">
        <f>-(K3176*0.025+L3176*0.025)</f>
        <v/>
      </c>
      <c r="P3176" s="17">
        <f>32</f>
        <v/>
      </c>
      <c r="Q3176" s="17">
        <f>J3176+L3176+N3176+O3176-P3176-M3176</f>
        <v/>
      </c>
    </row>
    <row r="3177">
      <c r="A3177" s="16" t="inlineStr">
        <is>
          <t>5.29-6.4</t>
        </is>
      </c>
      <c r="B3177" s="16" t="inlineStr">
        <is>
          <t>PO-128-03031789683831288</t>
        </is>
      </c>
      <c r="C3177" s="16" t="inlineStr">
        <is>
          <t>Shipped</t>
        </is>
      </c>
      <c r="D3177" s="16" t="inlineStr">
        <is>
          <t>128-03031800169591288</t>
        </is>
      </c>
      <c r="E3177" s="16" t="inlineStr">
        <is>
          <t>Shipped</t>
        </is>
      </c>
      <c r="F3177" s="16" t="inlineStr">
        <is>
          <t>FA028</t>
        </is>
      </c>
      <c r="G3177" s="16" t="inlineStr">
        <is>
          <t>Extractor de agua para garrafas de agua, compatible con carga USB, extractor de agua automático, práctico, con dos modos de toma de agua: manual y programado, ideal para dormitorios, salones, oficinas, uso al aire libre y otros escenarios.</t>
        </is>
      </c>
      <c r="H3177" s="16" t="inlineStr">
        <is>
          <t>FA028</t>
        </is>
      </c>
      <c r="I3177" s="16" t="n">
        <v>1</v>
      </c>
      <c r="J3177" s="17" t="n">
        <v>35</v>
      </c>
      <c r="K3177" s="17" t="n">
        <v>44.58</v>
      </c>
      <c r="L3177" s="17" t="n">
        <v>25.86</v>
      </c>
      <c r="M3177" s="17" t="n">
        <v>0</v>
      </c>
      <c r="N3177" s="17">
        <f>K3177*0.08+L3177*0.08</f>
        <v/>
      </c>
      <c r="O3177" s="17">
        <f>-(K3177*0.025+L3177*0.025)</f>
        <v/>
      </c>
      <c r="P3177" s="17">
        <f>32</f>
        <v/>
      </c>
      <c r="Q3177" s="17">
        <f>J3177+L3177+N3177+O3177-P3177-M3177</f>
        <v/>
      </c>
    </row>
    <row r="3178">
      <c r="A3178" s="16" t="inlineStr">
        <is>
          <t>5.29-6.4</t>
        </is>
      </c>
      <c r="B3178" s="16" t="inlineStr">
        <is>
          <t>PO-128-03057229591671200</t>
        </is>
      </c>
      <c r="C3178" s="16" t="inlineStr">
        <is>
          <t>Shipped</t>
        </is>
      </c>
      <c r="D3178" s="16" t="inlineStr">
        <is>
          <t>128-03057309545591200</t>
        </is>
      </c>
      <c r="E3178" s="16" t="inlineStr">
        <is>
          <t>Shipped</t>
        </is>
      </c>
      <c r="F3178" s="16" t="inlineStr">
        <is>
          <t>MCM-001N</t>
        </is>
      </c>
      <c r="G3178" s="16" t="inlineStr">
        <is>
          <t>Musicord Altavoz Inalámbrico BT Portátil: ¡Sonido impactante, luces LED multicolores y 4 horas de autonomía! Compatible con TWS, FM, TF y USB – Imprescindible para fiestas y viajes</t>
        </is>
      </c>
      <c r="H3178" s="16" t="inlineStr">
        <is>
          <t>NEGRO</t>
        </is>
      </c>
      <c r="I3178" s="16" t="n">
        <v>1</v>
      </c>
      <c r="J3178" s="17" t="n">
        <v>51.07</v>
      </c>
      <c r="K3178" s="17" t="n">
        <v>62.34</v>
      </c>
      <c r="L3178" s="17" t="n">
        <v>25.86</v>
      </c>
      <c r="M3178" s="17" t="n">
        <v>0</v>
      </c>
      <c r="N3178" s="17">
        <f>K3178*0.08+L3178*0.08</f>
        <v/>
      </c>
      <c r="O3178" s="17">
        <f>-(K3178*0.025+L3178*0.025)</f>
        <v/>
      </c>
      <c r="P3178" s="17">
        <f>32</f>
        <v/>
      </c>
      <c r="Q3178" s="17">
        <f>J3178+L3178+N3178+O3178-P3178-M3178</f>
        <v/>
      </c>
    </row>
    <row r="3179">
      <c r="A3179" s="16" t="inlineStr">
        <is>
          <t>5.29-6.4</t>
        </is>
      </c>
      <c r="B3179" s="16" t="inlineStr">
        <is>
          <t>PO-128-03236212846712247</t>
        </is>
      </c>
      <c r="C3179" s="16" t="inlineStr">
        <is>
          <t>Shipped</t>
        </is>
      </c>
      <c r="D3179" s="16" t="inlineStr">
        <is>
          <t>128-03236223332472247</t>
        </is>
      </c>
      <c r="E3179" s="16" t="inlineStr">
        <is>
          <t>Shipped</t>
        </is>
      </c>
      <c r="F3179" s="16" t="inlineStr">
        <is>
          <t>LB02235-rojo</t>
        </is>
      </c>
      <c r="G3179" s="16" t="inlineStr">
        <is>
          <t>Audífonos Inalámbricos para la Cabeza, Recargables y Multifuncionales - Conectan a Varios Dispositivos, soportan Radio FM, Tarjeta TF y AUX - 4 Horas de Reproducción Musical - Ideal para Trabajo Cotidiano, Juegos y Estudio</t>
        </is>
      </c>
      <c r="H3179" s="16" t="inlineStr">
        <is>
          <t>ROJO</t>
        </is>
      </c>
      <c r="I3179" s="16" t="n">
        <v>1</v>
      </c>
      <c r="J3179" s="17" t="n">
        <v>36.8</v>
      </c>
      <c r="K3179" s="17" t="n">
        <v>49.91</v>
      </c>
      <c r="L3179" s="17" t="n">
        <v>25.86</v>
      </c>
      <c r="M3179" s="17" t="n">
        <v>0</v>
      </c>
      <c r="N3179" s="17">
        <f>K3179*0.08+L3179*0.08</f>
        <v/>
      </c>
      <c r="O3179" s="17">
        <f>-(K3179*0.025+L3179*0.025)</f>
        <v/>
      </c>
      <c r="P3179" s="17">
        <f>32</f>
        <v/>
      </c>
      <c r="Q3179" s="17">
        <f>J3179+L3179+N3179+O3179-P3179-M3179</f>
        <v/>
      </c>
    </row>
    <row r="3180">
      <c r="A3180" s="16" t="inlineStr">
        <is>
          <t>5.29-6.4</t>
        </is>
      </c>
      <c r="B3180" s="16" t="inlineStr">
        <is>
          <t>PO-128-03364833959033529</t>
        </is>
      </c>
      <c r="C3180" s="16" t="inlineStr">
        <is>
          <t>Shipped</t>
        </is>
      </c>
      <c r="D3180" s="16" t="inlineStr">
        <is>
          <t>128-03364812987513529</t>
        </is>
      </c>
      <c r="E3180" s="16" t="inlineStr">
        <is>
          <t>Shipped</t>
        </is>
      </c>
      <c r="F3180" s="16" t="inlineStr">
        <is>
          <t>LB02235-blanco</t>
        </is>
      </c>
      <c r="G3180" s="16" t="inlineStr">
        <is>
          <t>Audífonos Inalámbricos para la Cabeza, Recargables y Multifuncionales - Conectan a Varios Dispositivos, soportan Radio FM, Tarjeta TF y AUX - 4 Horas de Reproducción Musical - Ideal para Trabajo Cotidiano, Juegos y Estudio</t>
        </is>
      </c>
      <c r="H3180" s="16" t="inlineStr">
        <is>
          <t>BLANCO</t>
        </is>
      </c>
      <c r="I3180" s="16" t="n">
        <v>1</v>
      </c>
      <c r="J3180" s="17" t="n">
        <v>36.8</v>
      </c>
      <c r="K3180" s="17" t="n">
        <v>49.91</v>
      </c>
      <c r="L3180" s="17" t="n">
        <v>25.86</v>
      </c>
      <c r="M3180" s="17" t="n">
        <v>0</v>
      </c>
      <c r="N3180" s="17">
        <f>K3180*0.08+L3180*0.08</f>
        <v/>
      </c>
      <c r="O3180" s="17">
        <f>-(K3180*0.025+L3180*0.025)</f>
        <v/>
      </c>
      <c r="P3180" s="17">
        <f>32</f>
        <v/>
      </c>
      <c r="Q3180" s="17">
        <f>J3180+L3180+N3180+O3180-P3180-M3180</f>
        <v/>
      </c>
    </row>
    <row r="3181">
      <c r="A3181" s="16" t="inlineStr">
        <is>
          <t>5.29-6.4</t>
        </is>
      </c>
      <c r="B3181" s="16" t="inlineStr">
        <is>
          <t>PO-128-02961088766071903</t>
        </is>
      </c>
      <c r="C3181" s="16" t="inlineStr">
        <is>
          <t>Shipped</t>
        </is>
      </c>
      <c r="D3181" s="16" t="inlineStr">
        <is>
          <t>128-02961130709111903</t>
        </is>
      </c>
      <c r="E3181" s="16" t="inlineStr">
        <is>
          <t>Shipped</t>
        </is>
      </c>
      <c r="F3181" s="16" t="inlineStr">
        <is>
          <t>LB02235-blanco</t>
        </is>
      </c>
      <c r="G3181" s="16" t="inlineStr">
        <is>
          <t>Audífonos Inalámbricos para la Cabeza, Recargables y Multifuncionales - Conectan a Varios Dispositivos, soportan Radio FM, Tarjeta TF y AUX - 4 Horas de Reproducción Musical - Ideal para Trabajo Cotidiano, Juegos y Estudio</t>
        </is>
      </c>
      <c r="H3181" s="16" t="inlineStr">
        <is>
          <t>BLANCO</t>
        </is>
      </c>
      <c r="I3181" s="16" t="n">
        <v>1</v>
      </c>
      <c r="J3181" s="17" t="n">
        <v>36.8</v>
      </c>
      <c r="K3181" s="17" t="n">
        <v>49.91</v>
      </c>
      <c r="L3181" s="17" t="n">
        <v>25.86</v>
      </c>
      <c r="M3181" s="17" t="n">
        <v>0</v>
      </c>
      <c r="N3181" s="17">
        <f>K3181*0.08+L3181*0.08</f>
        <v/>
      </c>
      <c r="O3181" s="17">
        <f>-(K3181*0.025+L3181*0.025)</f>
        <v/>
      </c>
      <c r="P3181" s="17">
        <f>32</f>
        <v/>
      </c>
      <c r="Q3181" s="17">
        <f>J3181+L3181+N3181+O3181-P3181-M3181</f>
        <v/>
      </c>
    </row>
    <row r="3182">
      <c r="A3182" s="16" t="inlineStr">
        <is>
          <t>5.29-6.4</t>
        </is>
      </c>
      <c r="B3182" s="16" t="inlineStr">
        <is>
          <t>PO-128-03325293489273826</t>
        </is>
      </c>
      <c r="C3182" s="16" t="inlineStr">
        <is>
          <t>Shipped</t>
        </is>
      </c>
      <c r="D3182" s="16" t="inlineStr">
        <is>
          <t>128-03325319703673826</t>
        </is>
      </c>
      <c r="E3182" s="16" t="inlineStr">
        <is>
          <t>Shipped</t>
        </is>
      </c>
      <c r="F3182" s="16" t="inlineStr">
        <is>
          <t>LB02235-negro</t>
        </is>
      </c>
      <c r="G3182" s="16" t="inlineStr">
        <is>
          <t>Audífonos Inalámbricos para la Cabeza, Recargables y Multifuncionales - Conectan a Varios Dispositivos, soportan Radio FM, Tarjeta TF y AUX - 4 Horas de Reproducción Musical - Ideal para Trabajo Cotidiano, Juegos y Estudio</t>
        </is>
      </c>
      <c r="H3182" s="16" t="inlineStr">
        <is>
          <t>NEGRO</t>
        </is>
      </c>
      <c r="I3182" s="16" t="n">
        <v>1</v>
      </c>
      <c r="J3182" s="17" t="n">
        <v>36.8</v>
      </c>
      <c r="K3182" s="17" t="n">
        <v>36.63</v>
      </c>
      <c r="L3182" s="17" t="n">
        <v>25.86</v>
      </c>
      <c r="M3182" s="17" t="n">
        <v>0</v>
      </c>
      <c r="N3182" s="17">
        <f>K3182*0.08+L3182*0.08</f>
        <v/>
      </c>
      <c r="O3182" s="17">
        <f>-(K3182*0.025+L3182*0.025)</f>
        <v/>
      </c>
      <c r="P3182" s="17">
        <f>32</f>
        <v/>
      </c>
      <c r="Q3182" s="17">
        <f>J3182+L3182+N3182+O3182-P3182-M3182</f>
        <v/>
      </c>
    </row>
    <row r="3183">
      <c r="A3183" s="16" t="inlineStr">
        <is>
          <t>5.29-6.4</t>
        </is>
      </c>
      <c r="B3183" s="16" t="inlineStr">
        <is>
          <t>PO-128-03248613855352109</t>
        </is>
      </c>
      <c r="C3183" s="16" t="inlineStr">
        <is>
          <t>Shipped</t>
        </is>
      </c>
      <c r="D3183" s="16" t="inlineStr">
        <is>
          <t>128-03248634826872109</t>
        </is>
      </c>
      <c r="E3183" s="16" t="inlineStr">
        <is>
          <t>Shipped</t>
        </is>
      </c>
      <c r="F3183" s="16" t="inlineStr">
        <is>
          <t>LB02235-azul</t>
        </is>
      </c>
      <c r="G3183" s="16" t="inlineStr">
        <is>
          <t>Audífonos Inalámbricos para la Cabeza, Recargables y Multifuncionales - Conectan a Varios Dispositivos, soportan Radio FM, Tarjeta TF y AUX - 4 Horas de Reproducción Musical - Ideal para Trabajo Cotidiano, Juegos y Estudio</t>
        </is>
      </c>
      <c r="H3183" s="16" t="inlineStr">
        <is>
          <t>AZUL</t>
        </is>
      </c>
      <c r="I3183" s="16" t="n">
        <v>1</v>
      </c>
      <c r="J3183" s="17" t="n">
        <v>29</v>
      </c>
      <c r="K3183" s="17" t="n">
        <v>35.79</v>
      </c>
      <c r="L3183" s="17" t="n">
        <v>5.67</v>
      </c>
      <c r="M3183" s="17" t="n">
        <v>0</v>
      </c>
      <c r="N3183" s="17">
        <f>K3183*0.08+L3183*0.08</f>
        <v/>
      </c>
      <c r="O3183" s="17">
        <f>-(K3183*0.025+L3183*0.025)</f>
        <v/>
      </c>
      <c r="P3183" s="17">
        <f>32</f>
        <v/>
      </c>
      <c r="Q3183" s="17">
        <f>J3183+L3183+N3183+O3183-P3183-M3183</f>
        <v/>
      </c>
    </row>
    <row r="3184">
      <c r="A3184" s="16" t="inlineStr">
        <is>
          <t>5.29-6.4</t>
        </is>
      </c>
      <c r="B3184" s="16" t="inlineStr">
        <is>
          <t>PO-128-03248613855352109</t>
        </is>
      </c>
      <c r="C3184" s="16" t="inlineStr">
        <is>
          <t>Shipped</t>
        </is>
      </c>
      <c r="D3184" s="16" t="inlineStr">
        <is>
          <t>128-03248729198712109</t>
        </is>
      </c>
      <c r="E3184" s="16" t="inlineStr">
        <is>
          <t>Shipped</t>
        </is>
      </c>
      <c r="F3184" s="16" t="inlineStr">
        <is>
          <t>LB02235-rojo</t>
        </is>
      </c>
      <c r="G3184" s="16" t="inlineStr">
        <is>
          <t>Audífonos Inalámbricos para la Cabeza, Recargables y Multifuncionales - Conectan a Varios Dispositivos, soportan Radio FM, Tarjeta TF y AUX - 4 Horas de Reproducción Musical - Ideal para Trabajo Cotidiano, Juegos y Estudio</t>
        </is>
      </c>
      <c r="H3184" s="16" t="inlineStr">
        <is>
          <t>ROJO</t>
        </is>
      </c>
      <c r="I3184" s="16" t="n">
        <v>1</v>
      </c>
      <c r="J3184" s="17" t="n">
        <v>36.8</v>
      </c>
      <c r="K3184" s="17" t="n">
        <v>42.43</v>
      </c>
      <c r="L3184" s="17" t="n">
        <v>6.74</v>
      </c>
      <c r="M3184" s="17" t="n">
        <v>0</v>
      </c>
      <c r="N3184" s="17">
        <f>K3184*0.08+L3184*0.08</f>
        <v/>
      </c>
      <c r="O3184" s="17">
        <f>-(K3184*0.025+L3184*0.025)</f>
        <v/>
      </c>
      <c r="P3184" s="17">
        <f>32</f>
        <v/>
      </c>
      <c r="Q3184" s="17">
        <f>J3184+L3184+N3184+O3184-P3184-M3184</f>
        <v/>
      </c>
    </row>
    <row r="3185">
      <c r="A3185" s="16" t="inlineStr">
        <is>
          <t>5.29-6.4</t>
        </is>
      </c>
      <c r="B3185" s="16" t="inlineStr">
        <is>
          <t>PO-128-03248613855352109</t>
        </is>
      </c>
      <c r="C3185" s="16" t="inlineStr">
        <is>
          <t>Shipped</t>
        </is>
      </c>
      <c r="D3185" s="16" t="inlineStr">
        <is>
          <t>128-03248676769912109</t>
        </is>
      </c>
      <c r="E3185" s="16" t="inlineStr">
        <is>
          <t>Shipped</t>
        </is>
      </c>
      <c r="F3185" s="16" t="inlineStr">
        <is>
          <t>LB02235-negro</t>
        </is>
      </c>
      <c r="G3185" s="16" t="inlineStr">
        <is>
          <t>Audífonos Inalámbricos para la Cabeza, Recargables y Multifuncionales - Conectan a Varios Dispositivos, soportan Radio FM, Tarjeta TF y AUX - 4 Horas de Reproducción Musical - Ideal para Trabajo Cotidiano, Juegos y Estudio</t>
        </is>
      </c>
      <c r="H3185" s="16" t="inlineStr">
        <is>
          <t>NEGRO</t>
        </is>
      </c>
      <c r="I3185" s="16" t="n">
        <v>1</v>
      </c>
      <c r="J3185" s="17" t="n">
        <v>36.8</v>
      </c>
      <c r="K3185" s="17" t="n">
        <v>42.43</v>
      </c>
      <c r="L3185" s="17" t="n">
        <v>6.72</v>
      </c>
      <c r="M3185" s="17" t="n">
        <v>0</v>
      </c>
      <c r="N3185" s="17">
        <f>K3185*0.08+L3185*0.08</f>
        <v/>
      </c>
      <c r="O3185" s="17">
        <f>-(K3185*0.025+L3185*0.025)</f>
        <v/>
      </c>
      <c r="P3185" s="17">
        <f>32</f>
        <v/>
      </c>
      <c r="Q3185" s="17">
        <f>J3185+L3185+N3185+O3185-P3185-M3185</f>
        <v/>
      </c>
    </row>
    <row r="3186">
      <c r="A3186" s="16" t="inlineStr">
        <is>
          <t>5.29-6.4</t>
        </is>
      </c>
      <c r="B3186" s="16" t="inlineStr">
        <is>
          <t>PO-128-03248613855352109</t>
        </is>
      </c>
      <c r="C3186" s="16" t="inlineStr">
        <is>
          <t>Shipped</t>
        </is>
      </c>
      <c r="D3186" s="16" t="inlineStr">
        <is>
          <t>128-03248718712952109</t>
        </is>
      </c>
      <c r="E3186" s="16" t="inlineStr">
        <is>
          <t>Shipped</t>
        </is>
      </c>
      <c r="F3186" s="16" t="inlineStr">
        <is>
          <t>LB02235-blanco</t>
        </is>
      </c>
      <c r="G3186" s="16" t="inlineStr">
        <is>
          <t>Audífonos Inalámbricos para la Cabeza, Recargables y Multifuncionales - Conectan a Varios Dispositivos, soportan Radio FM, Tarjeta TF y AUX - 4 Horas de Reproducción Musical - Ideal para Trabajo Cotidiano, Juegos y Estudio</t>
        </is>
      </c>
      <c r="H3186" s="16" t="inlineStr">
        <is>
          <t>BLANCO</t>
        </is>
      </c>
      <c r="I3186" s="16" t="n">
        <v>1</v>
      </c>
      <c r="J3186" s="17" t="n">
        <v>36.8</v>
      </c>
      <c r="K3186" s="17" t="n">
        <v>42.43</v>
      </c>
      <c r="L3186" s="17" t="n">
        <v>6.72</v>
      </c>
      <c r="M3186" s="17" t="n">
        <v>0</v>
      </c>
      <c r="N3186" s="17">
        <f>K3186*0.08+L3186*0.08</f>
        <v/>
      </c>
      <c r="O3186" s="17">
        <f>-(K3186*0.025+L3186*0.025)</f>
        <v/>
      </c>
      <c r="P3186" s="17">
        <f>32</f>
        <v/>
      </c>
      <c r="Q3186" s="17">
        <f>J3186+L3186+N3186+O3186-P3186-M3186</f>
        <v/>
      </c>
    </row>
    <row r="3187">
      <c r="A3187" s="16" t="inlineStr">
        <is>
          <t>5.29-6.4</t>
        </is>
      </c>
      <c r="B3187" s="16" t="inlineStr">
        <is>
          <t>PO-128-03179463990392457</t>
        </is>
      </c>
      <c r="C3187" s="16" t="inlineStr">
        <is>
          <t>Shipped</t>
        </is>
      </c>
      <c r="D3187" s="16" t="inlineStr">
        <is>
          <t>128-03179516419192457</t>
        </is>
      </c>
      <c r="E3187" s="16" t="inlineStr">
        <is>
          <t>Shipped</t>
        </is>
      </c>
      <c r="F3187" s="16" t="inlineStr">
        <is>
          <t>MB-185N</t>
        </is>
      </c>
      <c r="G3187" s="16" t="inlineStr">
        <is>
          <t>Bocina Radio FM/Reproductor, Compatible con Tarjeta TF, USB, Bluetooth, Aplicable para celular, computadora, Ipad y consola.</t>
        </is>
      </c>
      <c r="H3187" s="16" t="inlineStr">
        <is>
          <t>NEGRO/MB-185</t>
        </is>
      </c>
      <c r="I3187" s="16" t="n">
        <v>1</v>
      </c>
      <c r="J3187" s="17" t="n">
        <v>75.5</v>
      </c>
      <c r="K3187" s="17" t="n">
        <v>67.48999999999999</v>
      </c>
      <c r="L3187" s="17" t="n">
        <v>25.86</v>
      </c>
      <c r="M3187" s="17" t="n">
        <v>0</v>
      </c>
      <c r="N3187" s="17">
        <f>K3187*0.08+L3187*0.08</f>
        <v/>
      </c>
      <c r="O3187" s="17">
        <f>-(K3187*0.025+L3187*0.025)</f>
        <v/>
      </c>
      <c r="P3187" s="17">
        <f>32</f>
        <v/>
      </c>
      <c r="Q3187" s="17">
        <f>J3187+L3187+N3187+O3187-P3187-M3187</f>
        <v/>
      </c>
    </row>
    <row r="3188">
      <c r="A3188" s="16" t="inlineStr">
        <is>
          <t>5.29-6.4</t>
        </is>
      </c>
      <c r="B3188" s="16" t="inlineStr">
        <is>
          <t>PO-128-03238414584952296</t>
        </is>
      </c>
      <c r="C3188" s="16" t="inlineStr">
        <is>
          <t>Shipped</t>
        </is>
      </c>
      <c r="D3188" s="16" t="inlineStr">
        <is>
          <t>128-03238456527992296</t>
        </is>
      </c>
      <c r="E3188" s="16" t="inlineStr">
        <is>
          <t>Shipped</t>
        </is>
      </c>
      <c r="F3188" s="16" t="inlineStr">
        <is>
          <t>VA880T</t>
        </is>
      </c>
      <c r="G318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88" s="16" t="inlineStr">
        <is>
          <t>1 pieza</t>
        </is>
      </c>
      <c r="I3188" s="16" t="n">
        <v>1</v>
      </c>
      <c r="J3188" s="17" t="n">
        <v>114.98</v>
      </c>
      <c r="K3188" s="17" t="n">
        <v>126.16</v>
      </c>
      <c r="L3188" s="17" t="n">
        <v>25.86</v>
      </c>
      <c r="M3188" s="17" t="n">
        <v>0</v>
      </c>
      <c r="N3188" s="17">
        <f>K3188*0.08+L3188*0.08</f>
        <v/>
      </c>
      <c r="O3188" s="17">
        <f>-(K3188*0.025+L3188*0.025)</f>
        <v/>
      </c>
      <c r="P3188" s="17">
        <f>32</f>
        <v/>
      </c>
      <c r="Q3188" s="17">
        <f>J3188+L3188+N3188+O3188-P3188-M3188</f>
        <v/>
      </c>
    </row>
    <row r="3189">
      <c r="A3189" s="16" t="inlineStr">
        <is>
          <t>5.29-6.4</t>
        </is>
      </c>
      <c r="B3189" s="16" t="inlineStr">
        <is>
          <t>PO-128-03376634391673328</t>
        </is>
      </c>
      <c r="C3189" s="16" t="inlineStr">
        <is>
          <t>Shipped</t>
        </is>
      </c>
      <c r="D3189" s="16" t="inlineStr">
        <is>
          <t>128-03376676334713328</t>
        </is>
      </c>
      <c r="E3189" s="16" t="inlineStr">
        <is>
          <t>Shipped</t>
        </is>
      </c>
      <c r="F3189" s="16" t="inlineStr">
        <is>
          <t>LB02235-negro</t>
        </is>
      </c>
      <c r="G3189" s="16" t="inlineStr">
        <is>
          <t>Audífonos Inalámbricos para la Cabeza, Recargables y Multifuncionales - Conectan a Varios Dispositivos, soportan Radio FM, Tarjeta TF y AUX - 4 Horas de Reproducción Musical - Ideal para Trabajo Cotidiano, Juegos y Estudio</t>
        </is>
      </c>
      <c r="H3189" s="16" t="inlineStr">
        <is>
          <t>NEGRO</t>
        </is>
      </c>
      <c r="I3189" s="16" t="n">
        <v>1</v>
      </c>
      <c r="J3189" s="17" t="n">
        <v>36.8</v>
      </c>
      <c r="K3189" s="17" t="n">
        <v>49.91</v>
      </c>
      <c r="L3189" s="17" t="n">
        <v>25.86</v>
      </c>
      <c r="M3189" s="17" t="n">
        <v>0</v>
      </c>
      <c r="N3189" s="17">
        <f>K3189*0.08+L3189*0.08</f>
        <v/>
      </c>
      <c r="O3189" s="17">
        <f>-(K3189*0.025+L3189*0.025)</f>
        <v/>
      </c>
      <c r="P3189" s="17">
        <f>32</f>
        <v/>
      </c>
      <c r="Q3189" s="17">
        <f>J3189+L3189+N3189+O3189-P3189-M3189</f>
        <v/>
      </c>
    </row>
    <row r="3190">
      <c r="A3190" s="16" t="inlineStr">
        <is>
          <t>5.29-6.4</t>
        </is>
      </c>
      <c r="B3190" s="16" t="inlineStr">
        <is>
          <t>PO-128-03104609313913030</t>
        </is>
      </c>
      <c r="C3190" s="16" t="inlineStr">
        <is>
          <t>Shipped</t>
        </is>
      </c>
      <c r="D3190" s="16" t="inlineStr">
        <is>
          <t>128-03104567370873030</t>
        </is>
      </c>
      <c r="E3190" s="16" t="inlineStr">
        <is>
          <t>Shipped</t>
        </is>
      </c>
      <c r="F3190" s="16" t="inlineStr">
        <is>
          <t>MB-185R</t>
        </is>
      </c>
      <c r="G3190" s="16" t="inlineStr">
        <is>
          <t>Bocina Radio FM/Reproductor, Compatible con Tarjeta TF, USB, Bluetooth, Aplicable para celular, computadora, Ipad y consola.</t>
        </is>
      </c>
      <c r="H3190" s="16" t="inlineStr">
        <is>
          <t>ROJO/MB-185</t>
        </is>
      </c>
      <c r="I3190" s="16" t="n">
        <v>1</v>
      </c>
      <c r="J3190" s="17" t="n">
        <v>75.59999999999999</v>
      </c>
      <c r="K3190" s="17" t="n">
        <v>61.97</v>
      </c>
      <c r="L3190" s="17" t="n">
        <v>25.86</v>
      </c>
      <c r="M3190" s="17" t="n">
        <v>0</v>
      </c>
      <c r="N3190" s="17">
        <f>K3190*0.08+L3190*0.08</f>
        <v/>
      </c>
      <c r="O3190" s="17">
        <f>-(K3190*0.025+L3190*0.025)</f>
        <v/>
      </c>
      <c r="P3190" s="17">
        <f>32</f>
        <v/>
      </c>
      <c r="Q3190" s="17">
        <f>J3190+L3190+N3190+O3190-P3190-M3190</f>
        <v/>
      </c>
    </row>
    <row r="3191">
      <c r="A3191" s="16" t="inlineStr">
        <is>
          <t>5.29-6.4</t>
        </is>
      </c>
      <c r="B3191" s="16" t="inlineStr">
        <is>
          <t>PO-128-03049597893751183</t>
        </is>
      </c>
      <c r="C3191" s="16" t="inlineStr">
        <is>
          <t>Shipped</t>
        </is>
      </c>
      <c r="D3191" s="16" t="inlineStr">
        <is>
          <t>128-03049611000951183</t>
        </is>
      </c>
      <c r="E3191" s="16" t="inlineStr">
        <is>
          <t>Shipped</t>
        </is>
      </c>
      <c r="F3191" s="16" t="inlineStr">
        <is>
          <t>VA880T</t>
        </is>
      </c>
      <c r="G319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91" s="16" t="inlineStr">
        <is>
          <t>1 pieza</t>
        </is>
      </c>
      <c r="I3191" s="16" t="n">
        <v>1</v>
      </c>
      <c r="J3191" s="17" t="n">
        <v>114.98</v>
      </c>
      <c r="K3191" s="17" t="n">
        <v>92.34999999999999</v>
      </c>
      <c r="L3191" s="17" t="n">
        <v>0</v>
      </c>
      <c r="M3191" s="17" t="n">
        <v>0</v>
      </c>
      <c r="N3191" s="17">
        <f>K3191*0.08+L3191*0.08</f>
        <v/>
      </c>
      <c r="O3191" s="17">
        <f>-(K3191*0.025+L3191*0.025)</f>
        <v/>
      </c>
      <c r="P3191" s="17">
        <f>32</f>
        <v/>
      </c>
      <c r="Q3191" s="17">
        <f>J3191+L3191+N3191+O3191-P3191-M3191</f>
        <v/>
      </c>
    </row>
    <row r="3192">
      <c r="A3192" s="16" t="inlineStr">
        <is>
          <t>5.29-6.4</t>
        </is>
      </c>
      <c r="B3192" s="16" t="inlineStr">
        <is>
          <t>PO-128-03049597893751183</t>
        </is>
      </c>
      <c r="C3192" s="16" t="inlineStr">
        <is>
          <t>Shipped</t>
        </is>
      </c>
      <c r="D3192" s="16" t="inlineStr">
        <is>
          <t>128-03049621486711183</t>
        </is>
      </c>
      <c r="E3192" s="16" t="inlineStr">
        <is>
          <t>Shipped</t>
        </is>
      </c>
      <c r="F3192" s="16" t="inlineStr">
        <is>
          <t>LB02235-negro</t>
        </is>
      </c>
      <c r="G3192" s="16" t="inlineStr">
        <is>
          <t>Audífonos Inalámbricos para la Cabeza, Recargables y Multifuncionales - Conectan a Varios Dispositivos, soportan Radio FM, Tarjeta TF y AUX - 4 Horas de Reproducción Musical - Ideal para Trabajo Cotidiano, Juegos y Estudio</t>
        </is>
      </c>
      <c r="H3192" s="16" t="inlineStr">
        <is>
          <t>NEGRO</t>
        </is>
      </c>
      <c r="I3192" s="16" t="n">
        <v>3</v>
      </c>
      <c r="J3192" s="17" t="n">
        <v>110.4</v>
      </c>
      <c r="K3192" s="17" t="n">
        <v>109.6</v>
      </c>
      <c r="L3192" s="17" t="n">
        <v>0</v>
      </c>
      <c r="M3192" s="17" t="n">
        <v>0</v>
      </c>
      <c r="N3192" s="17">
        <f>K3192*0.08+L3192*0.08</f>
        <v/>
      </c>
      <c r="O3192" s="17">
        <f>-(K3192*0.025+L3192*0.025)</f>
        <v/>
      </c>
      <c r="P3192" s="17">
        <f>32</f>
        <v/>
      </c>
      <c r="Q3192" s="17">
        <f>J3192+L3192+N3192+O3192-P3192-M3192</f>
        <v/>
      </c>
    </row>
    <row r="3193">
      <c r="A3193" s="16" t="inlineStr">
        <is>
          <t>5.29-6.4</t>
        </is>
      </c>
      <c r="B3193" s="16" t="inlineStr">
        <is>
          <t>PO-128-03087392965751148</t>
        </is>
      </c>
      <c r="C3193" s="16" t="inlineStr">
        <is>
          <t>Shipped</t>
        </is>
      </c>
      <c r="D3193" s="16" t="inlineStr">
        <is>
          <t>128-03087434908791148</t>
        </is>
      </c>
      <c r="E3193" s="16" t="inlineStr">
        <is>
          <t>Shipped</t>
        </is>
      </c>
      <c r="F3193" s="16" t="inlineStr">
        <is>
          <t>LB02235-azul</t>
        </is>
      </c>
      <c r="G3193" s="16" t="inlineStr">
        <is>
          <t>Audífonos Inalámbricos para la Cabeza, Recargables y Multifuncionales - Conectan a Varios Dispositivos, soportan Radio FM, Tarjeta TF y AUX - 4 Horas de Reproducción Musical - Ideal para Trabajo Cotidiano, Juegos y Estudio</t>
        </is>
      </c>
      <c r="H3193" s="16" t="inlineStr">
        <is>
          <t>AZUL</t>
        </is>
      </c>
      <c r="I3193" s="16" t="n">
        <v>1</v>
      </c>
      <c r="J3193" s="17" t="n">
        <v>29</v>
      </c>
      <c r="K3193" s="17" t="n">
        <v>42.11</v>
      </c>
      <c r="L3193" s="17" t="n">
        <v>25.86</v>
      </c>
      <c r="M3193" s="17" t="n">
        <v>0</v>
      </c>
      <c r="N3193" s="17">
        <f>K3193*0.08+L3193*0.08</f>
        <v/>
      </c>
      <c r="O3193" s="17">
        <f>-(K3193*0.025+L3193*0.025)</f>
        <v/>
      </c>
      <c r="P3193" s="17">
        <f>32</f>
        <v/>
      </c>
      <c r="Q3193" s="17">
        <f>J3193+L3193+N3193+O3193-P3193-M3193</f>
        <v/>
      </c>
    </row>
    <row r="3194">
      <c r="A3194" s="16" t="inlineStr">
        <is>
          <t>5.29-6.4</t>
        </is>
      </c>
      <c r="B3194" s="16" t="inlineStr">
        <is>
          <t>PO-128-02806833006710708</t>
        </is>
      </c>
      <c r="C3194" s="16" t="inlineStr">
        <is>
          <t>Shipped</t>
        </is>
      </c>
      <c r="D3194" s="16" t="inlineStr">
        <is>
          <t>128-02806992914550708</t>
        </is>
      </c>
      <c r="E3194" s="16" t="inlineStr">
        <is>
          <t>Shipped</t>
        </is>
      </c>
      <c r="F3194" s="16" t="inlineStr">
        <is>
          <t>MB-185N</t>
        </is>
      </c>
      <c r="G3194" s="16" t="inlineStr">
        <is>
          <t>Bocina Radio FM/Reproductor, Compatible con Tarjeta TF, USB, Bluetooth, Aplicable para celular, computadora, Ipad y consola.</t>
        </is>
      </c>
      <c r="H3194" s="16" t="inlineStr">
        <is>
          <t>NEGRO/MB-185</t>
        </is>
      </c>
      <c r="I3194" s="16" t="n">
        <v>1</v>
      </c>
      <c r="J3194" s="17" t="n">
        <v>75.5</v>
      </c>
      <c r="K3194" s="17" t="n">
        <v>88.44</v>
      </c>
      <c r="L3194" s="17" t="n">
        <v>25.86</v>
      </c>
      <c r="M3194" s="17" t="n">
        <v>0</v>
      </c>
      <c r="N3194" s="17">
        <f>K3194*0.08+L3194*0.08</f>
        <v/>
      </c>
      <c r="O3194" s="17">
        <f>-(K3194*0.025+L3194*0.025)</f>
        <v/>
      </c>
      <c r="P3194" s="17">
        <f>32</f>
        <v/>
      </c>
      <c r="Q3194" s="17">
        <f>J3194+L3194+N3194+O3194-P3194-M3194</f>
        <v/>
      </c>
    </row>
    <row r="3195">
      <c r="A3195" s="16" t="inlineStr">
        <is>
          <t>5.29-6.4</t>
        </is>
      </c>
      <c r="B3195" s="16" t="inlineStr">
        <is>
          <t>PO-128-03309435461753731</t>
        </is>
      </c>
      <c r="C3195" s="16" t="inlineStr">
        <is>
          <t>Shipped</t>
        </is>
      </c>
      <c r="D3195" s="16" t="inlineStr">
        <is>
          <t>128-03309393518713731</t>
        </is>
      </c>
      <c r="E3195" s="16" t="inlineStr">
        <is>
          <t>Shipped</t>
        </is>
      </c>
      <c r="F3195" s="16" t="inlineStr">
        <is>
          <t>VA880T</t>
        </is>
      </c>
      <c r="G319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195" s="16" t="inlineStr">
        <is>
          <t>1 pieza</t>
        </is>
      </c>
      <c r="I3195" s="16" t="n">
        <v>1</v>
      </c>
      <c r="J3195" s="17" t="n">
        <v>114.98</v>
      </c>
      <c r="K3195" s="17" t="n">
        <v>126.16</v>
      </c>
      <c r="L3195" s="17" t="n">
        <v>25.86</v>
      </c>
      <c r="M3195" s="17" t="n">
        <v>0</v>
      </c>
      <c r="N3195" s="17">
        <f>K3195*0.08+L3195*0.08</f>
        <v/>
      </c>
      <c r="O3195" s="17">
        <f>-(K3195*0.025+L3195*0.025)</f>
        <v/>
      </c>
      <c r="P3195" s="17">
        <f>32</f>
        <v/>
      </c>
      <c r="Q3195" s="17">
        <f>J3195+L3195+N3195+O3195-P3195-M3195</f>
        <v/>
      </c>
    </row>
    <row r="3196">
      <c r="A3196" s="16" t="inlineStr">
        <is>
          <t>5.29-6.4</t>
        </is>
      </c>
      <c r="B3196" s="16" t="inlineStr">
        <is>
          <t>PO-128-02936216932471987</t>
        </is>
      </c>
      <c r="C3196" s="16" t="inlineStr">
        <is>
          <t>Shipped</t>
        </is>
      </c>
      <c r="D3196" s="16" t="inlineStr">
        <is>
          <t>128-02936206446711987</t>
        </is>
      </c>
      <c r="E3196" s="16" t="inlineStr">
        <is>
          <t>Shipped</t>
        </is>
      </c>
      <c r="F3196" s="16" t="inlineStr">
        <is>
          <t>S39W48</t>
        </is>
      </c>
      <c r="G3196"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196" s="16" t="inlineStr">
        <is>
          <t>1 pieza</t>
        </is>
      </c>
      <c r="I3196" s="16" t="n">
        <v>1</v>
      </c>
      <c r="J3196" s="17" t="n">
        <v>30</v>
      </c>
      <c r="K3196" s="17" t="n">
        <v>36.13</v>
      </c>
      <c r="L3196" s="17" t="n">
        <v>25.86</v>
      </c>
      <c r="M3196" s="17" t="n">
        <v>0</v>
      </c>
      <c r="N3196" s="17">
        <f>K3196*0.08+L3196*0.08</f>
        <v/>
      </c>
      <c r="O3196" s="17">
        <f>-(K3196*0.025+L3196*0.025)</f>
        <v/>
      </c>
      <c r="P3196" s="17">
        <f>32</f>
        <v/>
      </c>
      <c r="Q3196" s="17">
        <f>J3196+L3196+N3196+O3196-P3196-M3196</f>
        <v/>
      </c>
    </row>
    <row r="3197">
      <c r="A3197" s="16" t="inlineStr">
        <is>
          <t>5.29-6.4</t>
        </is>
      </c>
      <c r="B3197" s="16" t="inlineStr">
        <is>
          <t>PO-128-02764293589110962</t>
        </is>
      </c>
      <c r="C3197" s="16" t="inlineStr">
        <is>
          <t>Shipped</t>
        </is>
      </c>
      <c r="D3197" s="16" t="inlineStr">
        <is>
          <t>128-02764272617590962</t>
        </is>
      </c>
      <c r="E3197" s="16" t="inlineStr">
        <is>
          <t>Shipped</t>
        </is>
      </c>
      <c r="F3197" s="16" t="inlineStr">
        <is>
          <t>LB02235-negro</t>
        </is>
      </c>
      <c r="G3197" s="16" t="inlineStr">
        <is>
          <t>Audífonos Inalámbricos para la Cabeza, Recargables y Multifuncionales - Conectan a Varios Dispositivos, soportan Radio FM, Tarjeta TF y AUX - 4 Horas de Reproducción Musical - Ideal para Trabajo Cotidiano, Juegos y Estudio</t>
        </is>
      </c>
      <c r="H3197" s="16" t="inlineStr">
        <is>
          <t>NEGRO</t>
        </is>
      </c>
      <c r="I3197" s="16" t="n">
        <v>1</v>
      </c>
      <c r="J3197" s="17" t="n">
        <v>36.8</v>
      </c>
      <c r="K3197" s="17" t="n">
        <v>49.91</v>
      </c>
      <c r="L3197" s="17" t="n">
        <v>25.86</v>
      </c>
      <c r="M3197" s="17" t="n">
        <v>0</v>
      </c>
      <c r="N3197" s="17">
        <f>K3197*0.08+L3197*0.08</f>
        <v/>
      </c>
      <c r="O3197" s="17">
        <f>-(K3197*0.025+L3197*0.025)</f>
        <v/>
      </c>
      <c r="P3197" s="17">
        <f>32</f>
        <v/>
      </c>
      <c r="Q3197" s="17">
        <f>J3197+L3197+N3197+O3197-P3197-M3197</f>
        <v/>
      </c>
    </row>
    <row r="3198">
      <c r="A3198" s="16" t="inlineStr">
        <is>
          <t>5.29-6.4</t>
        </is>
      </c>
      <c r="B3198" s="16" t="inlineStr">
        <is>
          <t>PO-128-03342742275193658</t>
        </is>
      </c>
      <c r="C3198" s="16" t="inlineStr">
        <is>
          <t>Shipped</t>
        </is>
      </c>
      <c r="D3198" s="16" t="inlineStr">
        <is>
          <t>128-03342705575033658</t>
        </is>
      </c>
      <c r="E3198" s="16" t="inlineStr">
        <is>
          <t>Shipped</t>
        </is>
      </c>
      <c r="F3198" s="16" t="inlineStr">
        <is>
          <t>LB02235-negro</t>
        </is>
      </c>
      <c r="G3198" s="16" t="inlineStr">
        <is>
          <t>Audífonos Inalámbricos para la Cabeza, Recargables y Multifuncionales - Conectan a Varios Dispositivos, soportan Radio FM, Tarjeta TF y AUX - 4 Horas de Reproducción Musical - Ideal para Trabajo Cotidiano, Juegos y Estudio</t>
        </is>
      </c>
      <c r="H3198" s="16" t="inlineStr">
        <is>
          <t>NEGRO</t>
        </is>
      </c>
      <c r="I3198" s="16" t="n">
        <v>1</v>
      </c>
      <c r="J3198" s="17" t="n">
        <v>36.8</v>
      </c>
      <c r="K3198" s="17" t="n">
        <v>49.91</v>
      </c>
      <c r="L3198" s="17" t="n">
        <v>25.86</v>
      </c>
      <c r="M3198" s="17" t="n">
        <v>0</v>
      </c>
      <c r="N3198" s="17">
        <f>K3198*0.08+L3198*0.08</f>
        <v/>
      </c>
      <c r="O3198" s="17">
        <f>-(K3198*0.025+L3198*0.025)</f>
        <v/>
      </c>
      <c r="P3198" s="17">
        <f>32</f>
        <v/>
      </c>
      <c r="Q3198" s="17">
        <f>J3198+L3198+N3198+O3198-P3198-M3198</f>
        <v/>
      </c>
    </row>
    <row r="3199">
      <c r="A3199" s="16" t="inlineStr">
        <is>
          <t>5.29-6.4</t>
        </is>
      </c>
      <c r="B3199" s="16" t="inlineStr">
        <is>
          <t>PO-128-03066716014711273</t>
        </is>
      </c>
      <c r="C3199" s="16" t="inlineStr">
        <is>
          <t>Shipped</t>
        </is>
      </c>
      <c r="D3199" s="16" t="inlineStr">
        <is>
          <t>128-03066784172151273</t>
        </is>
      </c>
      <c r="E3199" s="16" t="inlineStr">
        <is>
          <t>Shipped</t>
        </is>
      </c>
      <c r="F3199" s="16" t="inlineStr">
        <is>
          <t>LB02235-rojo</t>
        </is>
      </c>
      <c r="G3199" s="16" t="inlineStr">
        <is>
          <t>Audífonos Inalámbricos para la Cabeza, Recargables y Multifuncionales - Conectan a Varios Dispositivos, soportan Radio FM, Tarjeta TF y AUX - 4 Horas de Reproducción Musical - Ideal para Trabajo Cotidiano, Juegos y Estudio</t>
        </is>
      </c>
      <c r="H3199" s="16" t="inlineStr">
        <is>
          <t>ROJO</t>
        </is>
      </c>
      <c r="I3199" s="16" t="n">
        <v>2</v>
      </c>
      <c r="J3199" s="17" t="n">
        <v>73.59999999999999</v>
      </c>
      <c r="K3199" s="17" t="n">
        <v>99.81999999999999</v>
      </c>
      <c r="L3199" s="17" t="n">
        <v>0</v>
      </c>
      <c r="M3199" s="17" t="n">
        <v>0</v>
      </c>
      <c r="N3199" s="17">
        <f>K3199*0.08+L3199*0.08</f>
        <v/>
      </c>
      <c r="O3199" s="17">
        <f>-(K3199*0.025+L3199*0.025)</f>
        <v/>
      </c>
      <c r="P3199" s="17">
        <f>32</f>
        <v/>
      </c>
      <c r="Q3199" s="17">
        <f>J3199+L3199+N3199+O3199-P3199-M3199</f>
        <v/>
      </c>
    </row>
    <row r="3200">
      <c r="A3200" s="16" t="inlineStr">
        <is>
          <t>5.29-6.4</t>
        </is>
      </c>
      <c r="B3200" s="16" t="inlineStr">
        <is>
          <t>PO-128-03066716014711273</t>
        </is>
      </c>
      <c r="C3200" s="16" t="inlineStr">
        <is>
          <t>Shipped</t>
        </is>
      </c>
      <c r="D3200" s="16" t="inlineStr">
        <is>
          <t>128-03066868058231273</t>
        </is>
      </c>
      <c r="E3200" s="16" t="inlineStr">
        <is>
          <t>Shipped</t>
        </is>
      </c>
      <c r="F3200" s="16" t="inlineStr">
        <is>
          <t>LB02235-blanco</t>
        </is>
      </c>
      <c r="G3200" s="16" t="inlineStr">
        <is>
          <t>Audífonos Inalámbricos para la Cabeza, Recargables y Multifuncionales - Conectan a Varios Dispositivos, soportan Radio FM, Tarjeta TF y AUX - 4 Horas de Reproducción Musical - Ideal para Trabajo Cotidiano, Juegos y Estudio</t>
        </is>
      </c>
      <c r="H3200" s="16" t="inlineStr">
        <is>
          <t>BLANCO</t>
        </is>
      </c>
      <c r="I3200" s="16" t="n">
        <v>2</v>
      </c>
      <c r="J3200" s="17" t="n">
        <v>73.59999999999999</v>
      </c>
      <c r="K3200" s="17" t="n">
        <v>99.81999999999999</v>
      </c>
      <c r="L3200" s="17" t="n">
        <v>0</v>
      </c>
      <c r="M3200" s="17" t="n">
        <v>0</v>
      </c>
      <c r="N3200" s="17">
        <f>K3200*0.08+L3200*0.08</f>
        <v/>
      </c>
      <c r="O3200" s="17">
        <f>-(K3200*0.025+L3200*0.025)</f>
        <v/>
      </c>
      <c r="P3200" s="17">
        <f>32</f>
        <v/>
      </c>
      <c r="Q3200" s="17">
        <f>J3200+L3200+N3200+O3200-P3200-M3200</f>
        <v/>
      </c>
    </row>
    <row r="3201">
      <c r="A3201" s="16" t="inlineStr">
        <is>
          <t>5.29-6.4</t>
        </is>
      </c>
      <c r="B3201" s="16" t="inlineStr">
        <is>
          <t>PO-128-03066716014711273</t>
        </is>
      </c>
      <c r="C3201" s="16" t="inlineStr">
        <is>
          <t>Shipped</t>
        </is>
      </c>
      <c r="D3201" s="16" t="inlineStr">
        <is>
          <t>128-03066847086711273</t>
        </is>
      </c>
      <c r="E3201" s="16" t="inlineStr">
        <is>
          <t>Shipped</t>
        </is>
      </c>
      <c r="F3201" s="16" t="inlineStr">
        <is>
          <t>LB02235-negro</t>
        </is>
      </c>
      <c r="G3201" s="16" t="inlineStr">
        <is>
          <t>Audífonos Inalámbricos para la Cabeza, Recargables y Multifuncionales - Conectan a Varios Dispositivos, soportan Radio FM, Tarjeta TF y AUX - 4 Horas de Reproducción Musical - Ideal para Trabajo Cotidiano, Juegos y Estudio</t>
        </is>
      </c>
      <c r="H3201" s="16" t="inlineStr">
        <is>
          <t>NEGRO</t>
        </is>
      </c>
      <c r="I3201" s="16" t="n">
        <v>2</v>
      </c>
      <c r="J3201" s="17" t="n">
        <v>73.59999999999999</v>
      </c>
      <c r="K3201" s="17" t="n">
        <v>99.81999999999999</v>
      </c>
      <c r="L3201" s="17" t="n">
        <v>0</v>
      </c>
      <c r="M3201" s="17" t="n">
        <v>0</v>
      </c>
      <c r="N3201" s="17">
        <f>K3201*0.08+L3201*0.08</f>
        <v/>
      </c>
      <c r="O3201" s="17">
        <f>-(K3201*0.025+L3201*0.025)</f>
        <v/>
      </c>
      <c r="P3201" s="17">
        <f>32</f>
        <v/>
      </c>
      <c r="Q3201" s="17">
        <f>J3201+L3201+N3201+O3201-P3201-M3201</f>
        <v/>
      </c>
    </row>
    <row r="3202">
      <c r="A3202" s="16" t="inlineStr">
        <is>
          <t>5.29-6.4</t>
        </is>
      </c>
      <c r="B3202" s="16" t="inlineStr">
        <is>
          <t>PO-128-03066716014711273</t>
        </is>
      </c>
      <c r="C3202" s="16" t="inlineStr">
        <is>
          <t>Shipped</t>
        </is>
      </c>
      <c r="D3202" s="16" t="inlineStr">
        <is>
          <t>128-03066826115191273</t>
        </is>
      </c>
      <c r="E3202" s="16" t="inlineStr">
        <is>
          <t>Shipped</t>
        </is>
      </c>
      <c r="F3202" s="16" t="inlineStr">
        <is>
          <t>LB02235-azul</t>
        </is>
      </c>
      <c r="G3202" s="16" t="inlineStr">
        <is>
          <t>Audífonos Inalámbricos para la Cabeza, Recargables y Multifuncionales - Conectan a Varios Dispositivos, soportan Radio FM, Tarjeta TF y AUX - 4 Horas de Reproducción Musical - Ideal para Trabajo Cotidiano, Juegos y Estudio</t>
        </is>
      </c>
      <c r="H3202" s="16" t="inlineStr">
        <is>
          <t>AZUL</t>
        </is>
      </c>
      <c r="I3202" s="16" t="n">
        <v>2</v>
      </c>
      <c r="J3202" s="17" t="n">
        <v>58</v>
      </c>
      <c r="K3202" s="17" t="n">
        <v>84.22</v>
      </c>
      <c r="L3202" s="17" t="n">
        <v>0</v>
      </c>
      <c r="M3202" s="17" t="n">
        <v>0</v>
      </c>
      <c r="N3202" s="17">
        <f>K3202*0.08+L3202*0.08</f>
        <v/>
      </c>
      <c r="O3202" s="17">
        <f>-(K3202*0.025+L3202*0.025)</f>
        <v/>
      </c>
      <c r="P3202" s="17">
        <f>32</f>
        <v/>
      </c>
      <c r="Q3202" s="17">
        <f>J3202+L3202+N3202+O3202-P3202-M3202</f>
        <v/>
      </c>
    </row>
    <row r="3203">
      <c r="A3203" s="16" t="inlineStr">
        <is>
          <t>5.29-6.4</t>
        </is>
      </c>
      <c r="B3203" s="16" t="inlineStr">
        <is>
          <t>PO-128-03136458166392712</t>
        </is>
      </c>
      <c r="C3203" s="16" t="inlineStr">
        <is>
          <t>Shipped</t>
        </is>
      </c>
      <c r="D3203" s="16" t="inlineStr">
        <is>
          <t>128-03136447680632712</t>
        </is>
      </c>
      <c r="E3203" s="16" t="inlineStr">
        <is>
          <t>Shipped</t>
        </is>
      </c>
      <c r="F3203" s="16" t="inlineStr">
        <is>
          <t>LB02235-negro</t>
        </is>
      </c>
      <c r="G3203" s="16" t="inlineStr">
        <is>
          <t>Audífonos Inalámbricos para la Cabeza, Recargables y Multifuncionales - Conectan a Varios Dispositivos, soportan Radio FM, Tarjeta TF y AUX - 4 Horas de Reproducción Musical - Ideal para Trabajo Cotidiano, Juegos y Estudio</t>
        </is>
      </c>
      <c r="H3203" s="16" t="inlineStr">
        <is>
          <t>NEGRO</t>
        </is>
      </c>
      <c r="I3203" s="16" t="n">
        <v>1</v>
      </c>
      <c r="J3203" s="17" t="n">
        <v>36.8</v>
      </c>
      <c r="K3203" s="17" t="n">
        <v>49.91</v>
      </c>
      <c r="L3203" s="17" t="n">
        <v>25.86</v>
      </c>
      <c r="M3203" s="17" t="n">
        <v>0</v>
      </c>
      <c r="N3203" s="17">
        <f>K3203*0.08+L3203*0.08</f>
        <v/>
      </c>
      <c r="O3203" s="17">
        <f>-(K3203*0.025+L3203*0.025)</f>
        <v/>
      </c>
      <c r="P3203" s="17">
        <f>32</f>
        <v/>
      </c>
      <c r="Q3203" s="17">
        <f>J3203+L3203+N3203+O3203-P3203-M3203</f>
        <v/>
      </c>
    </row>
    <row r="3204">
      <c r="A3204" s="16" t="inlineStr">
        <is>
          <t>5.29-6.4</t>
        </is>
      </c>
      <c r="B3204" s="16" t="inlineStr">
        <is>
          <t>PO-128-03333311260793586</t>
        </is>
      </c>
      <c r="C3204" s="16" t="inlineStr">
        <is>
          <t>Shipped</t>
        </is>
      </c>
      <c r="D3204" s="16" t="inlineStr">
        <is>
          <t>128-03333342718073586</t>
        </is>
      </c>
      <c r="E3204" s="16" t="inlineStr">
        <is>
          <t>Shipped</t>
        </is>
      </c>
      <c r="F3204" s="16" t="inlineStr">
        <is>
          <t>VA384T-N</t>
        </is>
      </c>
      <c r="G3204" s="16" t="inlineStr">
        <is>
          <t>Bocina Portátil Bluetooth de 3 Pulgadas con Radio FM, USB TF TWS, Sonido Estéreo 5W, Bocina Recargable para Hogar Exterior Viaje Fiesta Camping</t>
        </is>
      </c>
      <c r="H3204" s="16" t="inlineStr">
        <is>
          <t>NEGRO</t>
        </is>
      </c>
      <c r="I3204" s="16" t="n">
        <v>1</v>
      </c>
      <c r="J3204" s="17" t="n">
        <v>50</v>
      </c>
      <c r="K3204" s="17" t="n">
        <v>60.72</v>
      </c>
      <c r="L3204" s="17" t="n">
        <v>0</v>
      </c>
      <c r="M3204" s="17" t="n">
        <v>0</v>
      </c>
      <c r="N3204" s="17">
        <f>K3204*0.08+L3204*0.08</f>
        <v/>
      </c>
      <c r="O3204" s="17">
        <f>-(K3204*0.025+L3204*0.025)</f>
        <v/>
      </c>
      <c r="P3204" s="17">
        <f>32</f>
        <v/>
      </c>
      <c r="Q3204" s="17">
        <f>J3204+L3204+N3204+O3204-P3204-M3204</f>
        <v/>
      </c>
    </row>
    <row r="3205">
      <c r="A3205" s="16" t="inlineStr">
        <is>
          <t>5.29-6.4</t>
        </is>
      </c>
      <c r="B3205" s="16" t="inlineStr">
        <is>
          <t>PO-128-03333311260793586</t>
        </is>
      </c>
      <c r="C3205" s="16" t="inlineStr">
        <is>
          <t>Shipped</t>
        </is>
      </c>
      <c r="D3205" s="16" t="inlineStr">
        <is>
          <t>128-03333321746553586</t>
        </is>
      </c>
      <c r="E3205" s="16" t="inlineStr">
        <is>
          <t>Shipped</t>
        </is>
      </c>
      <c r="F3205" s="16" t="inlineStr">
        <is>
          <t>LB02235-azul</t>
        </is>
      </c>
      <c r="G3205" s="16" t="inlineStr">
        <is>
          <t>Audífonos Inalámbricos para la Cabeza, Recargables y Multifuncionales - Conectan a Varios Dispositivos, soportan Radio FM, Tarjeta TF y AUX - 4 Horas de Reproducción Musical - Ideal para Trabajo Cotidiano, Juegos y Estudio</t>
        </is>
      </c>
      <c r="H3205" s="16" t="inlineStr">
        <is>
          <t>AZUL</t>
        </is>
      </c>
      <c r="I3205" s="16" t="n">
        <v>5</v>
      </c>
      <c r="J3205" s="17" t="n">
        <v>145</v>
      </c>
      <c r="K3205" s="17" t="n">
        <v>210.55</v>
      </c>
      <c r="L3205" s="17" t="n">
        <v>0</v>
      </c>
      <c r="M3205" s="17" t="n">
        <v>0</v>
      </c>
      <c r="N3205" s="17">
        <f>K3205*0.08+L3205*0.08</f>
        <v/>
      </c>
      <c r="O3205" s="17">
        <f>-(K3205*0.025+L3205*0.025)</f>
        <v/>
      </c>
      <c r="P3205" s="17">
        <f>32</f>
        <v/>
      </c>
      <c r="Q3205" s="17">
        <f>J3205+L3205+N3205+O3205-P3205-M3205</f>
        <v/>
      </c>
    </row>
    <row r="3206">
      <c r="A3206" s="16" t="inlineStr">
        <is>
          <t>5.29-6.4</t>
        </is>
      </c>
      <c r="B3206" s="16" t="inlineStr">
        <is>
          <t>PO-128-03333311260793586</t>
        </is>
      </c>
      <c r="C3206" s="16" t="inlineStr">
        <is>
          <t>Shipped</t>
        </is>
      </c>
      <c r="D3206" s="16" t="inlineStr">
        <is>
          <t>128-03333334853753586</t>
        </is>
      </c>
      <c r="E3206" s="16" t="inlineStr">
        <is>
          <t>Shipped</t>
        </is>
      </c>
      <c r="F3206" s="16" t="inlineStr">
        <is>
          <t>VB347T</t>
        </is>
      </c>
      <c r="G320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206" s="16" t="inlineStr">
        <is>
          <t>1 pieza</t>
        </is>
      </c>
      <c r="I3206" s="16" t="n">
        <v>1</v>
      </c>
      <c r="J3206" s="17" t="n">
        <v>79.90000000000001</v>
      </c>
      <c r="K3206" s="17" t="n">
        <v>94.5</v>
      </c>
      <c r="L3206" s="17" t="n">
        <v>0</v>
      </c>
      <c r="M3206" s="17" t="n">
        <v>0</v>
      </c>
      <c r="N3206" s="17">
        <f>K3206*0.08+L3206*0.08</f>
        <v/>
      </c>
      <c r="O3206" s="17">
        <f>-(K3206*0.025+L3206*0.025)</f>
        <v/>
      </c>
      <c r="P3206" s="17">
        <f>32</f>
        <v/>
      </c>
      <c r="Q3206" s="17">
        <f>J3206+L3206+N3206+O3206-P3206-M3206</f>
        <v/>
      </c>
    </row>
    <row r="3207">
      <c r="A3207" s="16" t="inlineStr">
        <is>
          <t>5.29-6.4</t>
        </is>
      </c>
      <c r="B3207" s="16" t="inlineStr">
        <is>
          <t>PO-128-03003442358391651</t>
        </is>
      </c>
      <c r="C3207" s="16" t="inlineStr">
        <is>
          <t>Shipped</t>
        </is>
      </c>
      <c r="D3207" s="16" t="inlineStr">
        <is>
          <t>128-03003400415351651</t>
        </is>
      </c>
      <c r="E3207" s="16" t="inlineStr">
        <is>
          <t>Shipped</t>
        </is>
      </c>
      <c r="F3207" s="16" t="inlineStr">
        <is>
          <t>HD005</t>
        </is>
      </c>
      <c r="G3207" s="16" t="inlineStr">
        <is>
          <t>Link bits HD005 Antena UHF para Exteriores, Antena de TV Digital HD con 10 Metros de Cable, Recepción 470-862MHz, 9-7dB de Ganancia, Antena para Canales Abiertos y HD, Resistente al Agua y Viento, Fácil Instalación</t>
        </is>
      </c>
      <c r="H3207" s="16" t="inlineStr">
        <is>
          <t>1</t>
        </is>
      </c>
      <c r="I3207" s="16" t="n">
        <v>1</v>
      </c>
      <c r="J3207" s="17" t="n">
        <v>75</v>
      </c>
      <c r="K3207" s="17" t="n">
        <v>92.66</v>
      </c>
      <c r="L3207" s="17" t="n">
        <v>25.86</v>
      </c>
      <c r="M3207" s="17" t="n">
        <v>0</v>
      </c>
      <c r="N3207" s="17">
        <f>K3207*0.08+L3207*0.08</f>
        <v/>
      </c>
      <c r="O3207" s="17">
        <f>-(K3207*0.025+L3207*0.025)</f>
        <v/>
      </c>
      <c r="P3207" s="17">
        <f>32</f>
        <v/>
      </c>
      <c r="Q3207" s="17">
        <f>J3207+L3207+N3207+O3207-P3207-M3207</f>
        <v/>
      </c>
    </row>
    <row r="3208">
      <c r="A3208" s="16" t="inlineStr">
        <is>
          <t>5.29-6.4</t>
        </is>
      </c>
      <c r="B3208" s="16" t="inlineStr">
        <is>
          <t>PO-128-03401270792313247</t>
        </is>
      </c>
      <c r="C3208" s="16" t="inlineStr">
        <is>
          <t>Shipped</t>
        </is>
      </c>
      <c r="D3208" s="16" t="inlineStr">
        <is>
          <t>128-03401375649913247</t>
        </is>
      </c>
      <c r="E3208" s="16" t="inlineStr">
        <is>
          <t>Shipped</t>
        </is>
      </c>
      <c r="F3208" s="16" t="inlineStr">
        <is>
          <t>LB02235-azul</t>
        </is>
      </c>
      <c r="G3208" s="16" t="inlineStr">
        <is>
          <t>Audífonos Inalámbricos para la Cabeza, Recargables y Multifuncionales - Conectan a Varios Dispositivos, soportan Radio FM, Tarjeta TF y AUX - 4 Horas de Reproducción Musical - Ideal para Trabajo Cotidiano, Juegos y Estudio</t>
        </is>
      </c>
      <c r="H3208" s="16" t="inlineStr">
        <is>
          <t>AZUL</t>
        </is>
      </c>
      <c r="I3208" s="16" t="n">
        <v>1</v>
      </c>
      <c r="J3208" s="17" t="n">
        <v>29</v>
      </c>
      <c r="K3208" s="17" t="n">
        <v>42.11</v>
      </c>
      <c r="L3208" s="17" t="n">
        <v>25.86</v>
      </c>
      <c r="M3208" s="17" t="n">
        <v>0</v>
      </c>
      <c r="N3208" s="17">
        <f>K3208*0.08+L3208*0.08</f>
        <v/>
      </c>
      <c r="O3208" s="17">
        <f>-(K3208*0.025+L3208*0.025)</f>
        <v/>
      </c>
      <c r="P3208" s="17">
        <f>32</f>
        <v/>
      </c>
      <c r="Q3208" s="17">
        <f>J3208+L3208+N3208+O3208-P3208-M3208</f>
        <v/>
      </c>
    </row>
    <row r="3209">
      <c r="A3209" s="16" t="inlineStr">
        <is>
          <t>5.29-6.4</t>
        </is>
      </c>
      <c r="B3209" s="16" t="inlineStr">
        <is>
          <t>PO-128-02817988329590514</t>
        </is>
      </c>
      <c r="C3209" s="16" t="inlineStr">
        <is>
          <t>Shipped</t>
        </is>
      </c>
      <c r="D3209" s="16" t="inlineStr">
        <is>
          <t>128-02818064351350514</t>
        </is>
      </c>
      <c r="E3209" s="16" t="inlineStr">
        <is>
          <t>Shipped</t>
        </is>
      </c>
      <c r="F3209" s="16" t="inlineStr">
        <is>
          <t>LB02235-negro</t>
        </is>
      </c>
      <c r="G3209" s="16" t="inlineStr">
        <is>
          <t>Audífonos Inalámbricos para la Cabeza, Recargables y Multifuncionales - Conectan a Varios Dispositivos, soportan Radio FM, Tarjeta TF y AUX - 4 Horas de Reproducción Musical - Ideal para Trabajo Cotidiano, Juegos y Estudio</t>
        </is>
      </c>
      <c r="H3209" s="16" t="inlineStr">
        <is>
          <t>NEGRO</t>
        </is>
      </c>
      <c r="I3209" s="16" t="n">
        <v>1</v>
      </c>
      <c r="J3209" s="17" t="n">
        <v>36.8</v>
      </c>
      <c r="K3209" s="17" t="n">
        <v>49.91</v>
      </c>
      <c r="L3209" s="17" t="n">
        <v>25.86</v>
      </c>
      <c r="M3209" s="17" t="n">
        <v>0</v>
      </c>
      <c r="N3209" s="17">
        <f>K3209*0.08+L3209*0.08</f>
        <v/>
      </c>
      <c r="O3209" s="17">
        <f>-(K3209*0.025+L3209*0.025)</f>
        <v/>
      </c>
      <c r="P3209" s="17">
        <f>32</f>
        <v/>
      </c>
      <c r="Q3209" s="17">
        <f>J3209+L3209+N3209+O3209-P3209-M3209</f>
        <v/>
      </c>
    </row>
    <row r="3210">
      <c r="A3210" s="16" t="inlineStr">
        <is>
          <t>5.29-6.4</t>
        </is>
      </c>
      <c r="B3210" s="16" t="inlineStr">
        <is>
          <t>PO-128-02815062802550533</t>
        </is>
      </c>
      <c r="C3210" s="16" t="inlineStr">
        <is>
          <t>Shipped</t>
        </is>
      </c>
      <c r="D3210" s="16" t="inlineStr">
        <is>
          <t>128-02815199117430533</t>
        </is>
      </c>
      <c r="E3210" s="16" t="inlineStr">
        <is>
          <t>Shipped</t>
        </is>
      </c>
      <c r="F3210" s="16" t="inlineStr">
        <is>
          <t>LB02235-rojo</t>
        </is>
      </c>
      <c r="G3210" s="16" t="inlineStr">
        <is>
          <t>Audífonos Inalámbricos para la Cabeza, Recargables y Multifuncionales - Conectan a Varios Dispositivos, soportan Radio FM, Tarjeta TF y AUX - 4 Horas de Reproducción Musical - Ideal para Trabajo Cotidiano, Juegos y Estudio</t>
        </is>
      </c>
      <c r="H3210" s="16" t="inlineStr">
        <is>
          <t>ROJO</t>
        </is>
      </c>
      <c r="I3210" s="16" t="n">
        <v>1</v>
      </c>
      <c r="J3210" s="17" t="n">
        <v>36.8</v>
      </c>
      <c r="K3210" s="17" t="n">
        <v>49.91</v>
      </c>
      <c r="L3210" s="17" t="n">
        <v>25.86</v>
      </c>
      <c r="M3210" s="17" t="n">
        <v>0</v>
      </c>
      <c r="N3210" s="17">
        <f>K3210*0.08+L3210*0.08</f>
        <v/>
      </c>
      <c r="O3210" s="17">
        <f>-(K3210*0.025+L3210*0.025)</f>
        <v/>
      </c>
      <c r="P3210" s="17">
        <f>32</f>
        <v/>
      </c>
      <c r="Q3210" s="17">
        <f>J3210+L3210+N3210+O3210-P3210-M3210</f>
        <v/>
      </c>
    </row>
    <row r="3211">
      <c r="A3211" s="16" t="inlineStr">
        <is>
          <t>5.29-6.4</t>
        </is>
      </c>
      <c r="B3211" s="16" t="inlineStr">
        <is>
          <t>PO-128-03221284447352206</t>
        </is>
      </c>
      <c r="C3211" s="16" t="inlineStr">
        <is>
          <t>Shipped</t>
        </is>
      </c>
      <c r="D3211" s="16" t="inlineStr">
        <is>
          <t>128-03221326390392206</t>
        </is>
      </c>
      <c r="E3211" s="16" t="inlineStr">
        <is>
          <t>Shipped</t>
        </is>
      </c>
      <c r="F3211" s="16" t="inlineStr">
        <is>
          <t>LB02235-azul</t>
        </is>
      </c>
      <c r="G3211" s="16" t="inlineStr">
        <is>
          <t>Audífonos Inalámbricos para la Cabeza, Recargables y Multifuncionales - Conectan a Varios Dispositivos, soportan Radio FM, Tarjeta TF y AUX - 4 Horas de Reproducción Musical - Ideal para Trabajo Cotidiano, Juegos y Estudio</t>
        </is>
      </c>
      <c r="H3211" s="16" t="inlineStr">
        <is>
          <t>AZUL</t>
        </is>
      </c>
      <c r="I3211" s="16" t="n">
        <v>1</v>
      </c>
      <c r="J3211" s="17" t="n">
        <v>29</v>
      </c>
      <c r="K3211" s="17" t="n">
        <v>42.11</v>
      </c>
      <c r="L3211" s="17" t="n">
        <v>25.86</v>
      </c>
      <c r="M3211" s="17" t="n">
        <v>0</v>
      </c>
      <c r="N3211" s="17">
        <f>K3211*0.08+L3211*0.08</f>
        <v/>
      </c>
      <c r="O3211" s="17">
        <f>-(K3211*0.025+L3211*0.025)</f>
        <v/>
      </c>
      <c r="P3211" s="17">
        <f>32</f>
        <v/>
      </c>
      <c r="Q3211" s="17">
        <f>J3211+L3211+N3211+O3211-P3211-M3211</f>
        <v/>
      </c>
    </row>
    <row r="3212">
      <c r="A3212" s="16" t="inlineStr">
        <is>
          <t>5.29-6.4</t>
        </is>
      </c>
      <c r="B3212" s="16" t="inlineStr">
        <is>
          <t>PO-128-03417917960313082</t>
        </is>
      </c>
      <c r="C3212" s="16" t="inlineStr">
        <is>
          <t>Shipped</t>
        </is>
      </c>
      <c r="D3212" s="16" t="inlineStr">
        <is>
          <t>128-03417875034233082</t>
        </is>
      </c>
      <c r="E3212" s="16" t="inlineStr">
        <is>
          <t>Shipped</t>
        </is>
      </c>
      <c r="F3212" s="16" t="inlineStr">
        <is>
          <t>LV34W04</t>
        </is>
      </c>
      <c r="G321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212" s="16" t="inlineStr">
        <is>
          <t>LV34W04</t>
        </is>
      </c>
      <c r="I3212" s="16" t="n">
        <v>1</v>
      </c>
      <c r="J3212" s="17" t="n">
        <v>230.3</v>
      </c>
      <c r="K3212" s="17" t="n">
        <v>231.49</v>
      </c>
      <c r="L3212" s="17" t="n">
        <v>25.86</v>
      </c>
      <c r="M3212" s="17" t="n">
        <v>0</v>
      </c>
      <c r="N3212" s="17">
        <f>K3212*0.08+L3212*0.08</f>
        <v/>
      </c>
      <c r="O3212" s="17">
        <f>-(K3212*0.025+L3212*0.025)</f>
        <v/>
      </c>
      <c r="P3212" s="17">
        <f>32</f>
        <v/>
      </c>
      <c r="Q3212" s="17">
        <f>J3212+L3212+N3212+O3212-P3212-M3212</f>
        <v/>
      </c>
    </row>
    <row r="3213">
      <c r="A3213" s="16" t="inlineStr">
        <is>
          <t>5.29-6.4</t>
        </is>
      </c>
      <c r="B3213" s="16" t="inlineStr">
        <is>
          <t>PO-128-02963444913271889</t>
        </is>
      </c>
      <c r="C3213" s="16" t="inlineStr">
        <is>
          <t>Shipped</t>
        </is>
      </c>
      <c r="D3213" s="16" t="inlineStr">
        <is>
          <t>128-02963378066551889</t>
        </is>
      </c>
      <c r="E3213" s="16" t="inlineStr">
        <is>
          <t>Shipped</t>
        </is>
      </c>
      <c r="F3213" s="16" t="inlineStr">
        <is>
          <t>LB02235-negro</t>
        </is>
      </c>
      <c r="G3213" s="16" t="inlineStr">
        <is>
          <t>Audífonos Inalámbricos para la Cabeza, Recargables y Multifuncionales - Conectan a Varios Dispositivos, soportan Radio FM, Tarjeta TF y AUX - 4 Horas de Reproducción Musical - Ideal para Trabajo Cotidiano, Juegos y Estudio</t>
        </is>
      </c>
      <c r="H3213" s="16" t="inlineStr">
        <is>
          <t>NEGRO</t>
        </is>
      </c>
      <c r="I3213" s="16" t="n">
        <v>1</v>
      </c>
      <c r="J3213" s="17" t="n">
        <v>36.8</v>
      </c>
      <c r="K3213" s="17" t="n">
        <v>49.91</v>
      </c>
      <c r="L3213" s="17" t="n">
        <v>14.03</v>
      </c>
      <c r="M3213" s="17" t="n">
        <v>0</v>
      </c>
      <c r="N3213" s="17">
        <f>K3213*0.08+L3213*0.08</f>
        <v/>
      </c>
      <c r="O3213" s="17">
        <f>-(K3213*0.025+L3213*0.025)</f>
        <v/>
      </c>
      <c r="P3213" s="17">
        <f>32</f>
        <v/>
      </c>
      <c r="Q3213" s="17">
        <f>J3213+L3213+N3213+O3213-P3213-M3213</f>
        <v/>
      </c>
    </row>
    <row r="3214">
      <c r="A3214" s="16" t="inlineStr">
        <is>
          <t>5.29-6.4</t>
        </is>
      </c>
      <c r="B3214" s="16" t="inlineStr">
        <is>
          <t>PO-128-02963444913271889</t>
        </is>
      </c>
      <c r="C3214" s="16" t="inlineStr">
        <is>
          <t>Shipped</t>
        </is>
      </c>
      <c r="D3214" s="16" t="inlineStr">
        <is>
          <t>128-02963388552311889</t>
        </is>
      </c>
      <c r="E3214" s="16" t="inlineStr">
        <is>
          <t>Shipped</t>
        </is>
      </c>
      <c r="F3214" s="16" t="inlineStr">
        <is>
          <t>LB02235-azul</t>
        </is>
      </c>
      <c r="G3214" s="16" t="inlineStr">
        <is>
          <t>Audífonos Inalámbricos para la Cabeza, Recargables y Multifuncionales - Conectan a Varios Dispositivos, soportan Radio FM, Tarjeta TF y AUX - 4 Horas de Reproducción Musical - Ideal para Trabajo Cotidiano, Juegos y Estudio</t>
        </is>
      </c>
      <c r="H3214" s="16" t="inlineStr">
        <is>
          <t>AZUL</t>
        </is>
      </c>
      <c r="I3214" s="16" t="n">
        <v>1</v>
      </c>
      <c r="J3214" s="17" t="n">
        <v>29</v>
      </c>
      <c r="K3214" s="17" t="n">
        <v>42.11</v>
      </c>
      <c r="L3214" s="17" t="n">
        <v>11.83</v>
      </c>
      <c r="M3214" s="17" t="n">
        <v>0</v>
      </c>
      <c r="N3214" s="17">
        <f>K3214*0.08+L3214*0.08</f>
        <v/>
      </c>
      <c r="O3214" s="17">
        <f>-(K3214*0.025+L3214*0.025)</f>
        <v/>
      </c>
      <c r="P3214" s="17">
        <f>32</f>
        <v/>
      </c>
      <c r="Q3214" s="17">
        <f>J3214+L3214+N3214+O3214-P3214-M3214</f>
        <v/>
      </c>
    </row>
    <row r="3215">
      <c r="A3215" s="16" t="inlineStr">
        <is>
          <t>5.29-6.4</t>
        </is>
      </c>
      <c r="B3215" s="16" t="inlineStr">
        <is>
          <t>PO-128-02975688814711750</t>
        </is>
      </c>
      <c r="C3215" s="16" t="inlineStr">
        <is>
          <t>Shipped</t>
        </is>
      </c>
      <c r="D3215" s="16" t="inlineStr">
        <is>
          <t>128-02975646871671750</t>
        </is>
      </c>
      <c r="E3215" s="16" t="inlineStr">
        <is>
          <t>Shipped</t>
        </is>
      </c>
      <c r="F3215" s="16" t="inlineStr">
        <is>
          <t>HD005</t>
        </is>
      </c>
      <c r="G3215" s="16" t="inlineStr">
        <is>
          <t>Link bits HD005 Antena UHF para Exteriores, Antena de TV Digital HD con 10 Metros de Cable, Recepción 470-862MHz, 9-7dB de Ganancia, Antena para Canales Abiertos y HD, Resistente al Agua y Viento, Fácil Instalación</t>
        </is>
      </c>
      <c r="H3215" s="16" t="inlineStr">
        <is>
          <t>1</t>
        </is>
      </c>
      <c r="I3215" s="16" t="n">
        <v>1</v>
      </c>
      <c r="J3215" s="17" t="n">
        <v>75</v>
      </c>
      <c r="K3215" s="17" t="n">
        <v>92.66</v>
      </c>
      <c r="L3215" s="17" t="n">
        <v>25.86</v>
      </c>
      <c r="M3215" s="17" t="n">
        <v>0</v>
      </c>
      <c r="N3215" s="17">
        <f>K3215*0.08+L3215*0.08</f>
        <v/>
      </c>
      <c r="O3215" s="17">
        <f>-(K3215*0.025+L3215*0.025)</f>
        <v/>
      </c>
      <c r="P3215" s="17">
        <f>32</f>
        <v/>
      </c>
      <c r="Q3215" s="17">
        <f>J3215+L3215+N3215+O3215-P3215-M3215</f>
        <v/>
      </c>
    </row>
    <row r="3216">
      <c r="A3216" s="16" t="inlineStr">
        <is>
          <t>5.29-6.4</t>
        </is>
      </c>
      <c r="B3216" s="16" t="inlineStr">
        <is>
          <t>PO-128-02873299320950376</t>
        </is>
      </c>
      <c r="C3216" s="16" t="inlineStr">
        <is>
          <t>Shipped</t>
        </is>
      </c>
      <c r="D3216" s="16" t="inlineStr">
        <is>
          <t>128-02873404178550376</t>
        </is>
      </c>
      <c r="E3216" s="16" t="inlineStr">
        <is>
          <t>Shipped</t>
        </is>
      </c>
      <c r="F3216" s="16" t="inlineStr">
        <is>
          <t>FA028</t>
        </is>
      </c>
      <c r="G3216" s="16" t="inlineStr">
        <is>
          <t>Extractor de agua para garrafas de agua, compatible con carga USB, extractor de agua automático, práctico, con dos modos de toma de agua: manual y programado, ideal para dormitorios, salones, oficinas, uso al aire libre y otros escenarios.</t>
        </is>
      </c>
      <c r="H3216" s="16" t="inlineStr">
        <is>
          <t>FA028</t>
        </is>
      </c>
      <c r="I3216" s="16" t="n">
        <v>1</v>
      </c>
      <c r="J3216" s="17" t="n">
        <v>35</v>
      </c>
      <c r="K3216" s="17" t="n">
        <v>44.58</v>
      </c>
      <c r="L3216" s="17" t="n">
        <v>25.86</v>
      </c>
      <c r="M3216" s="17" t="n">
        <v>0</v>
      </c>
      <c r="N3216" s="17">
        <f>K3216*0.08+L3216*0.08</f>
        <v/>
      </c>
      <c r="O3216" s="17">
        <f>-(K3216*0.025+L3216*0.025)</f>
        <v/>
      </c>
      <c r="P3216" s="17">
        <f>32</f>
        <v/>
      </c>
      <c r="Q3216" s="17">
        <f>J3216+L3216+N3216+O3216-P3216-M3216</f>
        <v/>
      </c>
    </row>
    <row r="3217">
      <c r="A3217" s="16" t="inlineStr">
        <is>
          <t>5.29-6.4</t>
        </is>
      </c>
      <c r="B3217" s="16" t="inlineStr">
        <is>
          <t>PO-128-02875148808310367</t>
        </is>
      </c>
      <c r="C3217" s="16" t="inlineStr">
        <is>
          <t>Shipped</t>
        </is>
      </c>
      <c r="D3217" s="16" t="inlineStr">
        <is>
          <t>128-02875127836790367</t>
        </is>
      </c>
      <c r="E3217" s="16" t="inlineStr">
        <is>
          <t>Shipped</t>
        </is>
      </c>
      <c r="F3217" s="16" t="inlineStr">
        <is>
          <t>SA325T</t>
        </is>
      </c>
      <c r="G3217" s="16" t="inlineStr">
        <is>
          <t>Subwoofer Portátil Inalámbrico con Luces RGB, Sonido de Alta Potencia y Batería Duradera, TWS TF USB, Perfecto para Campamento Fiestas y Entretenimiento en Casa</t>
        </is>
      </c>
      <c r="H3217" s="16" t="inlineStr">
        <is>
          <t>NEGRO</t>
        </is>
      </c>
      <c r="I3217" s="16" t="n">
        <v>1</v>
      </c>
      <c r="J3217" s="17" t="n">
        <v>75</v>
      </c>
      <c r="K3217" s="17" t="n">
        <v>60.32</v>
      </c>
      <c r="L3217" s="17" t="n">
        <v>25.86</v>
      </c>
      <c r="M3217" s="17" t="n">
        <v>0</v>
      </c>
      <c r="N3217" s="17">
        <f>K3217*0.08+L3217*0.08</f>
        <v/>
      </c>
      <c r="O3217" s="17">
        <f>-(K3217*0.025+L3217*0.025)</f>
        <v/>
      </c>
      <c r="P3217" s="17">
        <f>32</f>
        <v/>
      </c>
      <c r="Q3217" s="17">
        <f>J3217+L3217+N3217+O3217-P3217-M3217</f>
        <v/>
      </c>
    </row>
    <row r="3218">
      <c r="A3218" s="16" t="inlineStr">
        <is>
          <t>5.29-6.4</t>
        </is>
      </c>
      <c r="B3218" s="16" t="inlineStr">
        <is>
          <t>PO-128-02787230871670891</t>
        </is>
      </c>
      <c r="C3218" s="16" t="inlineStr">
        <is>
          <t>Shipped</t>
        </is>
      </c>
      <c r="D3218" s="16" t="inlineStr">
        <is>
          <t>128-02787335729270891</t>
        </is>
      </c>
      <c r="E3218" s="16" t="inlineStr">
        <is>
          <t>Shipped</t>
        </is>
      </c>
      <c r="F3218" s="16" t="inlineStr">
        <is>
          <t>LB02235-blanco</t>
        </is>
      </c>
      <c r="G3218" s="16" t="inlineStr">
        <is>
          <t>Audífonos Inalámbricos para la Cabeza, Recargables y Multifuncionales - Conectan a Varios Dispositivos, soportan Radio FM, Tarjeta TF y AUX - 4 Horas de Reproducción Musical - Ideal para Trabajo Cotidiano, Juegos y Estudio</t>
        </is>
      </c>
      <c r="H3218" s="16" t="inlineStr">
        <is>
          <t>BLANCO</t>
        </is>
      </c>
      <c r="I3218" s="16" t="n">
        <v>1</v>
      </c>
      <c r="J3218" s="17" t="n">
        <v>36.8</v>
      </c>
      <c r="K3218" s="17" t="n">
        <v>8.529999999999999</v>
      </c>
      <c r="L3218" s="17" t="n">
        <v>12.93</v>
      </c>
      <c r="M3218" s="17" t="n">
        <v>0</v>
      </c>
      <c r="N3218" s="17">
        <f>K3218*0.08+L3218*0.08</f>
        <v/>
      </c>
      <c r="O3218" s="17">
        <f>-(K3218*0.025+L3218*0.025)</f>
        <v/>
      </c>
      <c r="P3218" s="17">
        <f>32</f>
        <v/>
      </c>
      <c r="Q3218" s="17">
        <f>J3218+L3218+N3218+O3218-P3218-M3218</f>
        <v/>
      </c>
    </row>
    <row r="3219">
      <c r="A3219" s="16" t="inlineStr">
        <is>
          <t>5.29-6.4</t>
        </is>
      </c>
      <c r="B3219" s="16" t="inlineStr">
        <is>
          <t>PO-128-02787230871670891</t>
        </is>
      </c>
      <c r="C3219" s="16" t="inlineStr">
        <is>
          <t>Shipped</t>
        </is>
      </c>
      <c r="D3219" s="16" t="inlineStr">
        <is>
          <t>128-02787293786230891</t>
        </is>
      </c>
      <c r="E3219" s="16" t="inlineStr">
        <is>
          <t>Shipped</t>
        </is>
      </c>
      <c r="F3219" s="16" t="inlineStr">
        <is>
          <t>LB02235-negro</t>
        </is>
      </c>
      <c r="G3219" s="16" t="inlineStr">
        <is>
          <t>Audífonos Inalámbricos para la Cabeza, Recargables y Multifuncionales - Conectan a Varios Dispositivos, soportan Radio FM, Tarjeta TF y AUX - 4 Horas de Reproducción Musical - Ideal para Trabajo Cotidiano, Juegos y Estudio</t>
        </is>
      </c>
      <c r="H3219" s="16" t="inlineStr">
        <is>
          <t>NEGRO</t>
        </is>
      </c>
      <c r="I3219" s="16" t="n">
        <v>1</v>
      </c>
      <c r="J3219" s="17" t="n">
        <v>36.8</v>
      </c>
      <c r="K3219" s="17" t="n">
        <v>8.529999999999999</v>
      </c>
      <c r="L3219" s="17" t="n">
        <v>12.93</v>
      </c>
      <c r="M3219" s="17" t="n">
        <v>0</v>
      </c>
      <c r="N3219" s="17">
        <f>K3219*0.08+L3219*0.08</f>
        <v/>
      </c>
      <c r="O3219" s="17">
        <f>-(K3219*0.025+L3219*0.025)</f>
        <v/>
      </c>
      <c r="P3219" s="17">
        <f>32</f>
        <v/>
      </c>
      <c r="Q3219" s="17">
        <f>J3219+L3219+N3219+O3219-P3219-M3219</f>
        <v/>
      </c>
    </row>
    <row r="3220">
      <c r="A3220" s="16" t="inlineStr">
        <is>
          <t>5.29-6.4</t>
        </is>
      </c>
      <c r="B3220" s="16" t="inlineStr">
        <is>
          <t>PO-128-02751489216630910</t>
        </is>
      </c>
      <c r="C3220" s="16" t="inlineStr">
        <is>
          <t>Shipped</t>
        </is>
      </c>
      <c r="D3220" s="16" t="inlineStr">
        <is>
          <t>128-02751510188150910</t>
        </is>
      </c>
      <c r="E3220" s="16" t="inlineStr">
        <is>
          <t>Shipped</t>
        </is>
      </c>
      <c r="F3220" s="16" t="inlineStr">
        <is>
          <t>KTS-1678Y</t>
        </is>
      </c>
      <c r="G3220" s="16" t="inlineStr">
        <is>
          <t>Bocina portátil Inalámbrico, de 3 pulgadas, tamaño de bolsillo, 170 g, con asa, compatible con TF, USB y Micro SD, con radio FM y función TWS (True Wireless Stereo), adecuada para relajarse en casa o viajar al aire libre.</t>
        </is>
      </c>
      <c r="H3220" s="16" t="inlineStr">
        <is>
          <t>KTS-1678Y</t>
        </is>
      </c>
      <c r="I3220" s="16" t="n">
        <v>1</v>
      </c>
      <c r="J3220" s="17" t="n">
        <v>42.5</v>
      </c>
      <c r="K3220" s="17" t="n">
        <v>53.05</v>
      </c>
      <c r="L3220" s="17" t="n">
        <v>25.86</v>
      </c>
      <c r="M3220" s="17" t="n">
        <v>0</v>
      </c>
      <c r="N3220" s="17">
        <f>K3220*0.08+L3220*0.08</f>
        <v/>
      </c>
      <c r="O3220" s="17">
        <f>-(K3220*0.025+L3220*0.025)</f>
        <v/>
      </c>
      <c r="P3220" s="17">
        <f>32</f>
        <v/>
      </c>
      <c r="Q3220" s="17">
        <f>J3220+L3220+N3220+O3220-P3220-M3220</f>
        <v/>
      </c>
    </row>
    <row r="3221">
      <c r="A3221" s="16" t="inlineStr">
        <is>
          <t>5.29-6.4</t>
        </is>
      </c>
      <c r="B3221" s="16" t="inlineStr">
        <is>
          <t>PO-128-03130422131832940</t>
        </is>
      </c>
      <c r="C3221" s="16" t="inlineStr">
        <is>
          <t>Shipped</t>
        </is>
      </c>
      <c r="D3221" s="16" t="inlineStr">
        <is>
          <t>128-03130456210552940</t>
        </is>
      </c>
      <c r="E3221" s="16" t="inlineStr">
        <is>
          <t>Shipped</t>
        </is>
      </c>
      <c r="F3221" s="16" t="inlineStr">
        <is>
          <t>MB-185A</t>
        </is>
      </c>
      <c r="G3221" s="16" t="inlineStr">
        <is>
          <t>Bocina Radio FM/Reproductor, Compatible con Tarjeta TF, USB, Bluetooth, Aplicable para celular, computadora, Ipad y consola.</t>
        </is>
      </c>
      <c r="H3221" s="16" t="inlineStr">
        <is>
          <t>AZUL/MB-185</t>
        </is>
      </c>
      <c r="I3221" s="16" t="n">
        <v>1</v>
      </c>
      <c r="J3221" s="17" t="n">
        <v>73</v>
      </c>
      <c r="K3221" s="17" t="n">
        <v>85.94</v>
      </c>
      <c r="L3221" s="17" t="n">
        <v>25.86</v>
      </c>
      <c r="M3221" s="17" t="n">
        <v>0</v>
      </c>
      <c r="N3221" s="17">
        <f>K3221*0.08+L3221*0.08</f>
        <v/>
      </c>
      <c r="O3221" s="17">
        <f>-(K3221*0.025+L3221*0.025)</f>
        <v/>
      </c>
      <c r="P3221" s="17">
        <f>32</f>
        <v/>
      </c>
      <c r="Q3221" s="17">
        <f>J3221+L3221+N3221+O3221-P3221-M3221</f>
        <v/>
      </c>
    </row>
    <row r="3222">
      <c r="A3222" s="16" t="inlineStr">
        <is>
          <t>5.29-6.4</t>
        </is>
      </c>
      <c r="B3222" s="16" t="inlineStr">
        <is>
          <t>PO-128-03148637458552769</t>
        </is>
      </c>
      <c r="C3222" s="16" t="inlineStr">
        <is>
          <t>Shipped</t>
        </is>
      </c>
      <c r="D3222" s="16" t="inlineStr">
        <is>
          <t>128-03148679401592769</t>
        </is>
      </c>
      <c r="E3222" s="16" t="inlineStr">
        <is>
          <t>Shipped</t>
        </is>
      </c>
      <c r="F3222" s="16" t="inlineStr">
        <is>
          <t>MCM-001N</t>
        </is>
      </c>
      <c r="G3222" s="16" t="inlineStr">
        <is>
          <t>Musicord Altavoz Inalámbrico BT Portátil: ¡Sonido impactante, luces LED multicolores y 4 horas de autonomía! Compatible con TWS, FM, TF y USB – Imprescindible para fiestas y viajes</t>
        </is>
      </c>
      <c r="H3222" s="16" t="inlineStr">
        <is>
          <t>NEGRO</t>
        </is>
      </c>
      <c r="I3222" s="16" t="n">
        <v>1</v>
      </c>
      <c r="J3222" s="17" t="n">
        <v>51.07</v>
      </c>
      <c r="K3222" s="17" t="n">
        <v>19.24</v>
      </c>
      <c r="L3222" s="17" t="n">
        <v>25.86</v>
      </c>
      <c r="M3222" s="17" t="n">
        <v>0</v>
      </c>
      <c r="N3222" s="17">
        <f>K3222*0.08+L3222*0.08</f>
        <v/>
      </c>
      <c r="O3222" s="17">
        <f>-(K3222*0.025+L3222*0.025)</f>
        <v/>
      </c>
      <c r="P3222" s="17">
        <f>32</f>
        <v/>
      </c>
      <c r="Q3222" s="17">
        <f>J3222+L3222+N3222+O3222-P3222-M3222</f>
        <v/>
      </c>
    </row>
    <row r="3223">
      <c r="A3223" s="16" t="inlineStr">
        <is>
          <t>5.29-6.4</t>
        </is>
      </c>
      <c r="B3223" s="16" t="inlineStr">
        <is>
          <t>PO-128-02845085192310416</t>
        </is>
      </c>
      <c r="C3223" s="16" t="inlineStr">
        <is>
          <t>Shipped</t>
        </is>
      </c>
      <c r="D3223" s="16" t="inlineStr">
        <is>
          <t>128-02845245100150416</t>
        </is>
      </c>
      <c r="E3223" s="16" t="inlineStr">
        <is>
          <t>Shipped</t>
        </is>
      </c>
      <c r="F3223" s="16" t="inlineStr">
        <is>
          <t>VA880T</t>
        </is>
      </c>
      <c r="G322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23" s="16" t="inlineStr">
        <is>
          <t>1 pieza</t>
        </is>
      </c>
      <c r="I3223" s="16" t="n">
        <v>1</v>
      </c>
      <c r="J3223" s="17" t="n">
        <v>114.98</v>
      </c>
      <c r="K3223" s="17" t="n">
        <v>74.44</v>
      </c>
      <c r="L3223" s="17" t="n">
        <v>25.86</v>
      </c>
      <c r="M3223" s="17" t="n">
        <v>0</v>
      </c>
      <c r="N3223" s="17">
        <f>K3223*0.08+L3223*0.08</f>
        <v/>
      </c>
      <c r="O3223" s="17">
        <f>-(K3223*0.025+L3223*0.025)</f>
        <v/>
      </c>
      <c r="P3223" s="17">
        <f>32</f>
        <v/>
      </c>
      <c r="Q3223" s="17">
        <f>J3223+L3223+N3223+O3223-P3223-M3223</f>
        <v/>
      </c>
    </row>
    <row r="3224">
      <c r="A3224" s="16" t="inlineStr">
        <is>
          <t>5.29-6.4</t>
        </is>
      </c>
      <c r="B3224" s="16" t="inlineStr">
        <is>
          <t>PO-128-03323543437433839</t>
        </is>
      </c>
      <c r="C3224" s="16" t="inlineStr">
        <is>
          <t>Shipped</t>
        </is>
      </c>
      <c r="D3224" s="16" t="inlineStr">
        <is>
          <t>128-03323501494393839</t>
        </is>
      </c>
      <c r="E3224" s="16" t="inlineStr">
        <is>
          <t>Shipped</t>
        </is>
      </c>
      <c r="F3224" s="16" t="inlineStr">
        <is>
          <t>MCM-001N</t>
        </is>
      </c>
      <c r="G3224" s="16" t="inlineStr">
        <is>
          <t>Musicord Altavoz Inalámbrico BT Portátil: ¡Sonido impactante, luces LED multicolores y 4 horas de autonomía! Compatible con TWS, FM, TF y USB – Imprescindible para fiestas y viajes</t>
        </is>
      </c>
      <c r="H3224" s="16" t="inlineStr">
        <is>
          <t>NEGRO</t>
        </is>
      </c>
      <c r="I3224" s="16" t="n">
        <v>1</v>
      </c>
      <c r="J3224" s="17" t="n">
        <v>51.07</v>
      </c>
      <c r="K3224" s="17" t="n">
        <v>62.34</v>
      </c>
      <c r="L3224" s="17" t="n">
        <v>25.86</v>
      </c>
      <c r="M3224" s="17" t="n">
        <v>0</v>
      </c>
      <c r="N3224" s="17">
        <f>K3224*0.08+L3224*0.08</f>
        <v/>
      </c>
      <c r="O3224" s="17">
        <f>-(K3224*0.025+L3224*0.025)</f>
        <v/>
      </c>
      <c r="P3224" s="17">
        <f>32</f>
        <v/>
      </c>
      <c r="Q3224" s="17">
        <f>J3224+L3224+N3224+O3224-P3224-M3224</f>
        <v/>
      </c>
    </row>
    <row r="3225">
      <c r="A3225" s="16" t="inlineStr">
        <is>
          <t>5.29-6.4</t>
        </is>
      </c>
      <c r="B3225" s="16" t="inlineStr">
        <is>
          <t>PO-128-03119275768952878</t>
        </is>
      </c>
      <c r="C3225" s="16" t="inlineStr">
        <is>
          <t>Shipped</t>
        </is>
      </c>
      <c r="D3225" s="16" t="inlineStr">
        <is>
          <t>128-03119286254712878</t>
        </is>
      </c>
      <c r="E3225" s="16" t="inlineStr">
        <is>
          <t>Shipped</t>
        </is>
      </c>
      <c r="F3225" s="16" t="inlineStr">
        <is>
          <t>LB02235-azul</t>
        </is>
      </c>
      <c r="G3225" s="16" t="inlineStr">
        <is>
          <t>Audífonos Inalámbricos para la Cabeza, Recargables y Multifuncionales - Conectan a Varios Dispositivos, soportan Radio FM, Tarjeta TF y AUX - 4 Horas de Reproducción Musical - Ideal para Trabajo Cotidiano, Juegos y Estudio</t>
        </is>
      </c>
      <c r="H3225" s="16" t="inlineStr">
        <is>
          <t>AZUL</t>
        </is>
      </c>
      <c r="I3225" s="16" t="n">
        <v>1</v>
      </c>
      <c r="J3225" s="17" t="n">
        <v>29</v>
      </c>
      <c r="K3225" s="17" t="n">
        <v>42.11</v>
      </c>
      <c r="L3225" s="17" t="n">
        <v>25.86</v>
      </c>
      <c r="M3225" s="17" t="n">
        <v>0</v>
      </c>
      <c r="N3225" s="17">
        <f>K3225*0.08+L3225*0.08</f>
        <v/>
      </c>
      <c r="O3225" s="17">
        <f>-(K3225*0.025+L3225*0.025)</f>
        <v/>
      </c>
      <c r="P3225" s="17">
        <f>32</f>
        <v/>
      </c>
      <c r="Q3225" s="17">
        <f>J3225+L3225+N3225+O3225-P3225-M3225</f>
        <v/>
      </c>
    </row>
    <row r="3226">
      <c r="A3226" s="16" t="inlineStr">
        <is>
          <t>5.29-6.4</t>
        </is>
      </c>
      <c r="B3226" s="16" t="inlineStr">
        <is>
          <t>PO-128-02816811835510523</t>
        </is>
      </c>
      <c r="C3226" s="16" t="inlineStr">
        <is>
          <t>Shipped</t>
        </is>
      </c>
      <c r="D3226" s="16" t="inlineStr">
        <is>
          <t>128-02816893755510523</t>
        </is>
      </c>
      <c r="E3226" s="16" t="inlineStr">
        <is>
          <t>Shipped</t>
        </is>
      </c>
      <c r="F3226" s="16" t="inlineStr">
        <is>
          <t>LB02235-negro</t>
        </is>
      </c>
      <c r="G3226" s="16" t="inlineStr">
        <is>
          <t>Audífonos Inalámbricos para la Cabeza, Recargables y Multifuncionales - Conectan a Varios Dispositivos, soportan Radio FM, Tarjeta TF y AUX - 4 Horas de Reproducción Musical - Ideal para Trabajo Cotidiano, Juegos y Estudio</t>
        </is>
      </c>
      <c r="H3226" s="16" t="inlineStr">
        <is>
          <t>NEGRO</t>
        </is>
      </c>
      <c r="I3226" s="16" t="n">
        <v>1</v>
      </c>
      <c r="J3226" s="17" t="n">
        <v>36.8</v>
      </c>
      <c r="K3226" s="17" t="n">
        <v>49.91</v>
      </c>
      <c r="L3226" s="17" t="n">
        <v>25.86</v>
      </c>
      <c r="M3226" s="17" t="n">
        <v>0</v>
      </c>
      <c r="N3226" s="17">
        <f>K3226*0.08+L3226*0.08</f>
        <v/>
      </c>
      <c r="O3226" s="17">
        <f>-(K3226*0.025+L3226*0.025)</f>
        <v/>
      </c>
      <c r="P3226" s="17">
        <f>32</f>
        <v/>
      </c>
      <c r="Q3226" s="17">
        <f>J3226+L3226+N3226+O3226-P3226-M3226</f>
        <v/>
      </c>
    </row>
    <row r="3227">
      <c r="A3227" s="16" t="inlineStr">
        <is>
          <t>5.29-6.4</t>
        </is>
      </c>
      <c r="B3227" s="16" t="inlineStr">
        <is>
          <t>PO-128-02923609787511932</t>
        </is>
      </c>
      <c r="C3227" s="16" t="inlineStr">
        <is>
          <t>Shipped</t>
        </is>
      </c>
      <c r="D3227" s="16" t="inlineStr">
        <is>
          <t>128-02923605855351932</t>
        </is>
      </c>
      <c r="E3227" s="16" t="inlineStr">
        <is>
          <t>Shipped</t>
        </is>
      </c>
      <c r="F3227" s="16" t="inlineStr">
        <is>
          <t>FA028</t>
        </is>
      </c>
      <c r="G3227" s="16" t="inlineStr">
        <is>
          <t>Extractor de agua para garrafas de agua, compatible con carga USB, extractor de agua automático, práctico, con dos modos de toma de agua: manual y programado, ideal para dormitorios, salones, oficinas, uso al aire libre y otros escenarios.</t>
        </is>
      </c>
      <c r="H3227" s="16" t="inlineStr">
        <is>
          <t>FA028</t>
        </is>
      </c>
      <c r="I3227" s="16" t="n">
        <v>1</v>
      </c>
      <c r="J3227" s="17" t="n">
        <v>35</v>
      </c>
      <c r="K3227" s="17" t="n">
        <v>44.58</v>
      </c>
      <c r="L3227" s="17" t="n">
        <v>25.86</v>
      </c>
      <c r="M3227" s="17" t="n">
        <v>0</v>
      </c>
      <c r="N3227" s="17">
        <f>K3227*0.08+L3227*0.08</f>
        <v/>
      </c>
      <c r="O3227" s="17">
        <f>-(K3227*0.025+L3227*0.025)</f>
        <v/>
      </c>
      <c r="P3227" s="17">
        <f>32</f>
        <v/>
      </c>
      <c r="Q3227" s="17">
        <f>J3227+L3227+N3227+O3227-P3227-M3227</f>
        <v/>
      </c>
    </row>
    <row r="3228">
      <c r="A3228" s="16" t="inlineStr">
        <is>
          <t>5.29-6.4</t>
        </is>
      </c>
      <c r="B3228" s="16" t="inlineStr">
        <is>
          <t>PO-128-02929480307831963</t>
        </is>
      </c>
      <c r="C3228" s="16" t="inlineStr">
        <is>
          <t>Shipped</t>
        </is>
      </c>
      <c r="D3228" s="16" t="inlineStr">
        <is>
          <t>128-02929616622711963</t>
        </is>
      </c>
      <c r="E3228" s="16" t="inlineStr">
        <is>
          <t>Shipped</t>
        </is>
      </c>
      <c r="F3228" s="16" t="inlineStr">
        <is>
          <t>MB-185N</t>
        </is>
      </c>
      <c r="G3228" s="16" t="inlineStr">
        <is>
          <t>Bocina Radio FM/Reproductor, Compatible con Tarjeta TF, USB, Bluetooth, Aplicable para celular, computadora, Ipad y consola.</t>
        </is>
      </c>
      <c r="H3228" s="16" t="inlineStr">
        <is>
          <t>NEGRO/MB-185</t>
        </is>
      </c>
      <c r="I3228" s="16" t="n">
        <v>1</v>
      </c>
      <c r="J3228" s="17" t="n">
        <v>75.5</v>
      </c>
      <c r="K3228" s="17" t="n">
        <v>5.68</v>
      </c>
      <c r="L3228" s="17" t="n">
        <v>25.86</v>
      </c>
      <c r="M3228" s="17" t="n">
        <v>0</v>
      </c>
      <c r="N3228" s="17">
        <f>K3228*0.08+L3228*0.08</f>
        <v/>
      </c>
      <c r="O3228" s="17">
        <f>-(K3228*0.025+L3228*0.025)</f>
        <v/>
      </c>
      <c r="P3228" s="17">
        <f>32</f>
        <v/>
      </c>
      <c r="Q3228" s="17">
        <f>J3228+L3228+N3228+O3228-P3228-M3228</f>
        <v/>
      </c>
    </row>
    <row r="3229">
      <c r="A3229" s="16" t="inlineStr">
        <is>
          <t>5.29-6.4</t>
        </is>
      </c>
      <c r="B3229" s="16" t="inlineStr">
        <is>
          <t>PO-128-03290862124153841</t>
        </is>
      </c>
      <c r="C3229" s="16" t="inlineStr">
        <is>
          <t>Shipped</t>
        </is>
      </c>
      <c r="D3229" s="16" t="inlineStr">
        <is>
          <t>128-03290872609913841</t>
        </is>
      </c>
      <c r="E3229" s="16" t="inlineStr">
        <is>
          <t>Shipped</t>
        </is>
      </c>
      <c r="F3229" s="16" t="inlineStr">
        <is>
          <t>MB-185N</t>
        </is>
      </c>
      <c r="G3229" s="16" t="inlineStr">
        <is>
          <t>Bocina Radio FM/Reproductor, Compatible con Tarjeta TF, USB, Bluetooth, Aplicable para celular, computadora, Ipad y consola.</t>
        </is>
      </c>
      <c r="H3229" s="16" t="inlineStr">
        <is>
          <t>NEGRO/MB-185</t>
        </is>
      </c>
      <c r="I3229" s="16" t="n">
        <v>1</v>
      </c>
      <c r="J3229" s="17" t="n">
        <v>75.5</v>
      </c>
      <c r="K3229" s="17" t="n">
        <v>88.44</v>
      </c>
      <c r="L3229" s="17" t="n">
        <v>25.86</v>
      </c>
      <c r="M3229" s="17" t="n">
        <v>0</v>
      </c>
      <c r="N3229" s="17">
        <f>K3229*0.08+L3229*0.08</f>
        <v/>
      </c>
      <c r="O3229" s="17">
        <f>-(K3229*0.025+L3229*0.025)</f>
        <v/>
      </c>
      <c r="P3229" s="17">
        <f>32</f>
        <v/>
      </c>
      <c r="Q3229" s="17">
        <f>J3229+L3229+N3229+O3229-P3229-M3229</f>
        <v/>
      </c>
    </row>
    <row r="3230">
      <c r="A3230" s="16" t="inlineStr">
        <is>
          <t>5.29-6.4</t>
        </is>
      </c>
      <c r="B3230" s="16" t="inlineStr">
        <is>
          <t>PO-128-03088400991351142</t>
        </is>
      </c>
      <c r="C3230" s="16" t="inlineStr">
        <is>
          <t>Shipped</t>
        </is>
      </c>
      <c r="D3230" s="16" t="inlineStr">
        <is>
          <t>128-03088364291191142</t>
        </is>
      </c>
      <c r="E3230" s="16" t="inlineStr">
        <is>
          <t>Shipped</t>
        </is>
      </c>
      <c r="F3230" s="16" t="inlineStr">
        <is>
          <t>FA028</t>
        </is>
      </c>
      <c r="G3230" s="16" t="inlineStr">
        <is>
          <t>Extractor de agua para garrafas de agua, compatible con carga USB, extractor de agua automático, práctico, con dos modos de toma de agua: manual y programado, ideal para dormitorios, salones, oficinas, uso al aire libre y otros escenarios.</t>
        </is>
      </c>
      <c r="H3230" s="16" t="inlineStr">
        <is>
          <t>FA028</t>
        </is>
      </c>
      <c r="I3230" s="16" t="n">
        <v>1</v>
      </c>
      <c r="J3230" s="17" t="n">
        <v>35</v>
      </c>
      <c r="K3230" s="17" t="n">
        <v>44.58</v>
      </c>
      <c r="L3230" s="17" t="n">
        <v>25.86</v>
      </c>
      <c r="M3230" s="17" t="n">
        <v>0</v>
      </c>
      <c r="N3230" s="17">
        <f>K3230*0.08+L3230*0.08</f>
        <v/>
      </c>
      <c r="O3230" s="17">
        <f>-(K3230*0.025+L3230*0.025)</f>
        <v/>
      </c>
      <c r="P3230" s="17">
        <f>32</f>
        <v/>
      </c>
      <c r="Q3230" s="17">
        <f>J3230+L3230+N3230+O3230-P3230-M3230</f>
        <v/>
      </c>
    </row>
    <row r="3231">
      <c r="A3231" s="16" t="inlineStr">
        <is>
          <t>5.29-6.4</t>
        </is>
      </c>
      <c r="B3231" s="16" t="inlineStr">
        <is>
          <t>PO-128-03062213824631234</t>
        </is>
      </c>
      <c r="C3231" s="16" t="inlineStr">
        <is>
          <t>Shipped</t>
        </is>
      </c>
      <c r="D3231" s="16" t="inlineStr">
        <is>
          <t>128-03062234796151234</t>
        </is>
      </c>
      <c r="E3231" s="16" t="inlineStr">
        <is>
          <t>Shipped</t>
        </is>
      </c>
      <c r="F3231" s="16" t="inlineStr">
        <is>
          <t>HD005</t>
        </is>
      </c>
      <c r="G3231" s="16" t="inlineStr">
        <is>
          <t>Link bits HD005 Antena UHF para Exteriores, Antena de TV Digital HD con 10 Metros de Cable, Recepción 470-862MHz, 9-7dB de Ganancia, Antena para Canales Abiertos y HD, Resistente al Agua y Viento, Fácil Instalación</t>
        </is>
      </c>
      <c r="H3231" s="16" t="inlineStr">
        <is>
          <t>1</t>
        </is>
      </c>
      <c r="I3231" s="16" t="n">
        <v>1</v>
      </c>
      <c r="J3231" s="17" t="n">
        <v>75</v>
      </c>
      <c r="K3231" s="17" t="n">
        <v>92.66</v>
      </c>
      <c r="L3231" s="17" t="n">
        <v>25.86</v>
      </c>
      <c r="M3231" s="17" t="n">
        <v>0</v>
      </c>
      <c r="N3231" s="17">
        <f>K3231*0.08+L3231*0.08</f>
        <v/>
      </c>
      <c r="O3231" s="17">
        <f>-(K3231*0.025+L3231*0.025)</f>
        <v/>
      </c>
      <c r="P3231" s="17">
        <f>32</f>
        <v/>
      </c>
      <c r="Q3231" s="17">
        <f>J3231+L3231+N3231+O3231-P3231-M3231</f>
        <v/>
      </c>
    </row>
    <row r="3232">
      <c r="A3232" s="16" t="inlineStr">
        <is>
          <t>5.29-6.4</t>
        </is>
      </c>
      <c r="B3232" s="16" t="inlineStr">
        <is>
          <t>PO-128-03336723510393630</t>
        </is>
      </c>
      <c r="C3232" s="16" t="inlineStr">
        <is>
          <t>Shipped</t>
        </is>
      </c>
      <c r="D3232" s="16" t="inlineStr">
        <is>
          <t>128-03336765453433630</t>
        </is>
      </c>
      <c r="E3232" s="16" t="inlineStr">
        <is>
          <t>Shipped</t>
        </is>
      </c>
      <c r="F3232" s="16" t="inlineStr">
        <is>
          <t>SA325T</t>
        </is>
      </c>
      <c r="G3232" s="16" t="inlineStr">
        <is>
          <t>Subwoofer Portátil Inalámbrico con Luces RGB, Sonido de Alta Potencia y Batería Duradera, TWS TF USB, Perfecto para Campamento Fiestas y Entretenimiento en Casa</t>
        </is>
      </c>
      <c r="H3232" s="16" t="inlineStr">
        <is>
          <t>NEGRO</t>
        </is>
      </c>
      <c r="I3232" s="16" t="n">
        <v>1</v>
      </c>
      <c r="J3232" s="17" t="n">
        <v>38</v>
      </c>
      <c r="K3232" s="17" t="n">
        <v>47.04</v>
      </c>
      <c r="L3232" s="17" t="n">
        <v>25.86</v>
      </c>
      <c r="M3232" s="17" t="n">
        <v>0</v>
      </c>
      <c r="N3232" s="17">
        <f>K3232*0.08+L3232*0.08</f>
        <v/>
      </c>
      <c r="O3232" s="17">
        <f>-(K3232*0.025+L3232*0.025)</f>
        <v/>
      </c>
      <c r="P3232" s="17">
        <f>32</f>
        <v/>
      </c>
      <c r="Q3232" s="17">
        <f>J3232+L3232+N3232+O3232-P3232-M3232</f>
        <v/>
      </c>
    </row>
    <row r="3233">
      <c r="A3233" s="16" t="inlineStr">
        <is>
          <t>5.29-6.4</t>
        </is>
      </c>
      <c r="B3233" s="16" t="inlineStr">
        <is>
          <t>PO-128-03348448033913688</t>
        </is>
      </c>
      <c r="C3233" s="16" t="inlineStr">
        <is>
          <t>Shipped</t>
        </is>
      </c>
      <c r="D3233" s="16" t="inlineStr">
        <is>
          <t>128-03348505705593688</t>
        </is>
      </c>
      <c r="E3233" s="16" t="inlineStr">
        <is>
          <t>Shipped</t>
        </is>
      </c>
      <c r="F3233" s="16" t="inlineStr">
        <is>
          <t>LB02235-rojo</t>
        </is>
      </c>
      <c r="G3233" s="16" t="inlineStr">
        <is>
          <t>Audífonos Inalámbricos para la Cabeza, Recargables y Multifuncionales - Conectan a Varios Dispositivos, soportan Radio FM, Tarjeta TF y AUX - 4 Horas de Reproducción Musical - Ideal para Trabajo Cotidiano, Juegos y Estudio</t>
        </is>
      </c>
      <c r="H3233" s="16" t="inlineStr">
        <is>
          <t>ROJO</t>
        </is>
      </c>
      <c r="I3233" s="16" t="n">
        <v>2</v>
      </c>
      <c r="J3233" s="17" t="n">
        <v>73.59999999999999</v>
      </c>
      <c r="K3233" s="17" t="n">
        <v>99.81999999999999</v>
      </c>
      <c r="L3233" s="17" t="n">
        <v>0</v>
      </c>
      <c r="M3233" s="17" t="n">
        <v>0</v>
      </c>
      <c r="N3233" s="17">
        <f>K3233*0.08+L3233*0.08</f>
        <v/>
      </c>
      <c r="O3233" s="17">
        <f>-(K3233*0.025+L3233*0.025)</f>
        <v/>
      </c>
      <c r="P3233" s="17">
        <f>32</f>
        <v/>
      </c>
      <c r="Q3233" s="17">
        <f>J3233+L3233+N3233+O3233-P3233-M3233</f>
        <v/>
      </c>
    </row>
    <row r="3234">
      <c r="A3234" s="16" t="inlineStr">
        <is>
          <t>5.29-6.4</t>
        </is>
      </c>
      <c r="B3234" s="16" t="inlineStr">
        <is>
          <t>PO-128-03348448033913688</t>
        </is>
      </c>
      <c r="C3234" s="16" t="inlineStr">
        <is>
          <t>Shipped</t>
        </is>
      </c>
      <c r="D3234" s="16" t="inlineStr">
        <is>
          <t>128-03348516191353688</t>
        </is>
      </c>
      <c r="E3234" s="16" t="inlineStr">
        <is>
          <t>Shipped</t>
        </is>
      </c>
      <c r="F3234" s="16" t="inlineStr">
        <is>
          <t>LB02235-azul</t>
        </is>
      </c>
      <c r="G3234" s="16" t="inlineStr">
        <is>
          <t>Audífonos Inalámbricos para la Cabeza, Recargables y Multifuncionales - Conectan a Varios Dispositivos, soportan Radio FM, Tarjeta TF y AUX - 4 Horas de Reproducción Musical - Ideal para Trabajo Cotidiano, Juegos y Estudio</t>
        </is>
      </c>
      <c r="H3234" s="16" t="inlineStr">
        <is>
          <t>AZUL</t>
        </is>
      </c>
      <c r="I3234" s="16" t="n">
        <v>2</v>
      </c>
      <c r="J3234" s="17" t="n">
        <v>58</v>
      </c>
      <c r="K3234" s="17" t="n">
        <v>84.22</v>
      </c>
      <c r="L3234" s="17" t="n">
        <v>0</v>
      </c>
      <c r="M3234" s="17" t="n">
        <v>0</v>
      </c>
      <c r="N3234" s="17">
        <f>K3234*0.08+L3234*0.08</f>
        <v/>
      </c>
      <c r="O3234" s="17">
        <f>-(K3234*0.025+L3234*0.025)</f>
        <v/>
      </c>
      <c r="P3234" s="17">
        <f>32</f>
        <v/>
      </c>
      <c r="Q3234" s="17">
        <f>J3234+L3234+N3234+O3234-P3234-M3234</f>
        <v/>
      </c>
    </row>
    <row r="3235">
      <c r="A3235" s="16" t="inlineStr">
        <is>
          <t>5.29-6.4</t>
        </is>
      </c>
      <c r="B3235" s="16" t="inlineStr">
        <is>
          <t>PO-128-03348448033913688</t>
        </is>
      </c>
      <c r="C3235" s="16" t="inlineStr">
        <is>
          <t>Shipped</t>
        </is>
      </c>
      <c r="D3235" s="16" t="inlineStr">
        <is>
          <t>128-03348537162873688</t>
        </is>
      </c>
      <c r="E3235" s="16" t="inlineStr">
        <is>
          <t>Shipped</t>
        </is>
      </c>
      <c r="F3235" s="16" t="inlineStr">
        <is>
          <t>LB02235-negro</t>
        </is>
      </c>
      <c r="G3235" s="16" t="inlineStr">
        <is>
          <t>Audífonos Inalámbricos para la Cabeza, Recargables y Multifuncionales - Conectan a Varios Dispositivos, soportan Radio FM, Tarjeta TF y AUX - 4 Horas de Reproducción Musical - Ideal para Trabajo Cotidiano, Juegos y Estudio</t>
        </is>
      </c>
      <c r="H3235" s="16" t="inlineStr">
        <is>
          <t>NEGRO</t>
        </is>
      </c>
      <c r="I3235" s="16" t="n">
        <v>1</v>
      </c>
      <c r="J3235" s="17" t="n">
        <v>36.8</v>
      </c>
      <c r="K3235" s="17" t="n">
        <v>49.91</v>
      </c>
      <c r="L3235" s="17" t="n">
        <v>0</v>
      </c>
      <c r="M3235" s="17" t="n">
        <v>0</v>
      </c>
      <c r="N3235" s="17">
        <f>K3235*0.08+L3235*0.08</f>
        <v/>
      </c>
      <c r="O3235" s="17">
        <f>-(K3235*0.025+L3235*0.025)</f>
        <v/>
      </c>
      <c r="P3235" s="17">
        <f>32</f>
        <v/>
      </c>
      <c r="Q3235" s="17">
        <f>J3235+L3235+N3235+O3235-P3235-M3235</f>
        <v/>
      </c>
    </row>
    <row r="3236">
      <c r="A3236" s="16" t="inlineStr">
        <is>
          <t>5.29-6.4</t>
        </is>
      </c>
      <c r="B3236" s="16" t="inlineStr">
        <is>
          <t>PO-128-03348448033913688</t>
        </is>
      </c>
      <c r="C3236" s="16" t="inlineStr">
        <is>
          <t>Shipped</t>
        </is>
      </c>
      <c r="D3236" s="16" t="inlineStr">
        <is>
          <t>128-03348495219833688</t>
        </is>
      </c>
      <c r="E3236" s="16" t="inlineStr">
        <is>
          <t>Shipped</t>
        </is>
      </c>
      <c r="F3236" s="16" t="inlineStr">
        <is>
          <t>LB02235-blanco</t>
        </is>
      </c>
      <c r="G3236" s="16" t="inlineStr">
        <is>
          <t>Audífonos Inalámbricos para la Cabeza, Recargables y Multifuncionales - Conectan a Varios Dispositivos, soportan Radio FM, Tarjeta TF y AUX - 4 Horas de Reproducción Musical - Ideal para Trabajo Cotidiano, Juegos y Estudio</t>
        </is>
      </c>
      <c r="H3236" s="16" t="inlineStr">
        <is>
          <t>BLANCO</t>
        </is>
      </c>
      <c r="I3236" s="16" t="n">
        <v>1</v>
      </c>
      <c r="J3236" s="17" t="n">
        <v>36.8</v>
      </c>
      <c r="K3236" s="17" t="n">
        <v>49.91</v>
      </c>
      <c r="L3236" s="17" t="n">
        <v>0</v>
      </c>
      <c r="M3236" s="17" t="n">
        <v>0</v>
      </c>
      <c r="N3236" s="17">
        <f>K3236*0.08+L3236*0.08</f>
        <v/>
      </c>
      <c r="O3236" s="17">
        <f>-(K3236*0.025+L3236*0.025)</f>
        <v/>
      </c>
      <c r="P3236" s="17">
        <f>32</f>
        <v/>
      </c>
      <c r="Q3236" s="17">
        <f>J3236+L3236+N3236+O3236-P3236-M3236</f>
        <v/>
      </c>
    </row>
    <row r="3237">
      <c r="A3237" s="16" t="inlineStr">
        <is>
          <t>5.29-6.4</t>
        </is>
      </c>
      <c r="B3237" s="16" t="inlineStr">
        <is>
          <t>PO-128-02940070218872026</t>
        </is>
      </c>
      <c r="C3237" s="16" t="inlineStr">
        <is>
          <t>Shipped</t>
        </is>
      </c>
      <c r="D3237" s="16" t="inlineStr">
        <is>
          <t>128-02940075461752026</t>
        </is>
      </c>
      <c r="E3237" s="16" t="inlineStr">
        <is>
          <t>Shipped</t>
        </is>
      </c>
      <c r="F3237" s="16" t="inlineStr">
        <is>
          <t>LB02235-azul</t>
        </is>
      </c>
      <c r="G3237" s="16" t="inlineStr">
        <is>
          <t>Audífonos Inalámbricos para la Cabeza, Recargables y Multifuncionales - Conectan a Varios Dispositivos, soportan Radio FM, Tarjeta TF y AUX - 4 Horas de Reproducción Musical - Ideal para Trabajo Cotidiano, Juegos y Estudio</t>
        </is>
      </c>
      <c r="H3237" s="16" t="inlineStr">
        <is>
          <t>AZUL</t>
        </is>
      </c>
      <c r="I3237" s="16" t="n">
        <v>1</v>
      </c>
      <c r="J3237" s="17" t="n">
        <v>29</v>
      </c>
      <c r="K3237" s="17" t="n">
        <v>42.11</v>
      </c>
      <c r="L3237" s="17" t="n">
        <v>25.86</v>
      </c>
      <c r="M3237" s="17" t="n">
        <v>0</v>
      </c>
      <c r="N3237" s="17">
        <f>K3237*0.08+L3237*0.08</f>
        <v/>
      </c>
      <c r="O3237" s="17">
        <f>-(K3237*0.025+L3237*0.025)</f>
        <v/>
      </c>
      <c r="P3237" s="17">
        <f>32</f>
        <v/>
      </c>
      <c r="Q3237" s="17">
        <f>J3237+L3237+N3237+O3237-P3237-M3237</f>
        <v/>
      </c>
    </row>
    <row r="3238">
      <c r="A3238" s="16" t="inlineStr">
        <is>
          <t>5.29-6.4</t>
        </is>
      </c>
      <c r="B3238" s="16" t="inlineStr">
        <is>
          <t>PO-128-03141647834232747</t>
        </is>
      </c>
      <c r="C3238" s="16" t="inlineStr">
        <is>
          <t>Shipped</t>
        </is>
      </c>
      <c r="D3238" s="16" t="inlineStr">
        <is>
          <t>128-03141668805752747</t>
        </is>
      </c>
      <c r="E3238" s="16" t="inlineStr">
        <is>
          <t>Shipped</t>
        </is>
      </c>
      <c r="F3238" s="16" t="inlineStr">
        <is>
          <t>MB-178-N</t>
        </is>
      </c>
      <c r="G3238" s="16" t="inlineStr">
        <is>
          <t>Bocina de Barra Bluetooth LINK BITS con dos altavoces, sonido de alta calidad y multifuncional (Bluetooth, Radio FM, USB, TF, AUX, TWS), ideal para juegos, reuniones, oficina y cine en casa.</t>
        </is>
      </c>
      <c r="H3238" s="16" t="inlineStr">
        <is>
          <t>NEGRO</t>
        </is>
      </c>
      <c r="I3238" s="16" t="n">
        <v>1</v>
      </c>
      <c r="J3238" s="17" t="n">
        <v>135</v>
      </c>
      <c r="K3238" s="17" t="n">
        <v>152.39</v>
      </c>
      <c r="L3238" s="17" t="n">
        <v>25.86</v>
      </c>
      <c r="M3238" s="17" t="n">
        <v>0</v>
      </c>
      <c r="N3238" s="17">
        <f>K3238*0.08+L3238*0.08</f>
        <v/>
      </c>
      <c r="O3238" s="17">
        <f>-(K3238*0.025+L3238*0.025)</f>
        <v/>
      </c>
      <c r="P3238" s="17">
        <f>32</f>
        <v/>
      </c>
      <c r="Q3238" s="17">
        <f>J3238+L3238+N3238+O3238-P3238-M3238</f>
        <v/>
      </c>
    </row>
    <row r="3239">
      <c r="A3239" s="16" t="inlineStr">
        <is>
          <t>5.29-6.4</t>
        </is>
      </c>
      <c r="B3239" s="16" t="inlineStr">
        <is>
          <t>PO-128-02900923425910020</t>
        </is>
      </c>
      <c r="C3239" s="16" t="inlineStr">
        <is>
          <t>Shipped</t>
        </is>
      </c>
      <c r="D3239" s="16" t="inlineStr">
        <is>
          <t>128-02900881482870020</t>
        </is>
      </c>
      <c r="E3239" s="16" t="inlineStr">
        <is>
          <t>Shipped</t>
        </is>
      </c>
      <c r="F3239" s="16" t="inlineStr">
        <is>
          <t>LB02235-azul</t>
        </is>
      </c>
      <c r="G3239" s="16" t="inlineStr">
        <is>
          <t>Audífonos Inalámbricos para la Cabeza, Recargables y Multifuncionales - Conectan a Varios Dispositivos, soportan Radio FM, Tarjeta TF y AUX - 4 Horas de Reproducción Musical - Ideal para Trabajo Cotidiano, Juegos y Estudio</t>
        </is>
      </c>
      <c r="H3239" s="16" t="inlineStr">
        <is>
          <t>AZUL</t>
        </is>
      </c>
      <c r="I3239" s="16" t="n">
        <v>1</v>
      </c>
      <c r="J3239" s="17" t="n">
        <v>29</v>
      </c>
      <c r="K3239" s="17" t="n">
        <v>42.11</v>
      </c>
      <c r="L3239" s="17" t="n">
        <v>25.86</v>
      </c>
      <c r="M3239" s="17" t="n">
        <v>0</v>
      </c>
      <c r="N3239" s="17">
        <f>K3239*0.08+L3239*0.08</f>
        <v/>
      </c>
      <c r="O3239" s="17">
        <f>-(K3239*0.025+L3239*0.025)</f>
        <v/>
      </c>
      <c r="P3239" s="17">
        <f>32</f>
        <v/>
      </c>
      <c r="Q3239" s="17">
        <f>J3239+L3239+N3239+O3239-P3239-M3239</f>
        <v/>
      </c>
    </row>
    <row r="3240">
      <c r="A3240" s="16" t="inlineStr">
        <is>
          <t>5.29-6.4</t>
        </is>
      </c>
      <c r="B3240" s="16" t="inlineStr">
        <is>
          <t>PO-128-02899729068150029</t>
        </is>
      </c>
      <c r="C3240" s="16" t="inlineStr">
        <is>
          <t>Shipped</t>
        </is>
      </c>
      <c r="D3240" s="16" t="inlineStr">
        <is>
          <t>128-02899750039670029</t>
        </is>
      </c>
      <c r="E3240" s="16" t="inlineStr">
        <is>
          <t>Shipped</t>
        </is>
      </c>
      <c r="F3240" s="16" t="inlineStr">
        <is>
          <t>FA028</t>
        </is>
      </c>
      <c r="G3240" s="16" t="inlineStr">
        <is>
          <t>Extractor de agua para garrafas de agua, compatible con carga USB, extractor de agua automático, práctico, con dos modos de toma de agua: manual y programado, ideal para dormitorios, salones, oficinas, uso al aire libre y otros escenarios.</t>
        </is>
      </c>
      <c r="H3240" s="16" t="inlineStr">
        <is>
          <t>FA028</t>
        </is>
      </c>
      <c r="I3240" s="16" t="n">
        <v>20</v>
      </c>
      <c r="J3240" s="17" t="n">
        <v>700</v>
      </c>
      <c r="K3240" s="17" t="n">
        <v>891.6</v>
      </c>
      <c r="L3240" s="17" t="n">
        <v>0</v>
      </c>
      <c r="M3240" s="17" t="n">
        <v>0</v>
      </c>
      <c r="N3240" s="17">
        <f>K3240*0.08+L3240*0.08</f>
        <v/>
      </c>
      <c r="O3240" s="17">
        <f>-(K3240*0.025+L3240*0.025)</f>
        <v/>
      </c>
      <c r="P3240" s="17">
        <f>32</f>
        <v/>
      </c>
      <c r="Q3240" s="17">
        <f>J3240+L3240+N3240+O3240-P3240-M3240</f>
        <v/>
      </c>
    </row>
    <row r="3241">
      <c r="A3241" s="16" t="inlineStr">
        <is>
          <t>5.29-6.4</t>
        </is>
      </c>
      <c r="B3241" s="16" t="inlineStr">
        <is>
          <t>PO-128-03321717563513784</t>
        </is>
      </c>
      <c r="C3241" s="16" t="inlineStr">
        <is>
          <t>Shipped</t>
        </is>
      </c>
      <c r="D3241" s="16" t="inlineStr">
        <is>
          <t>128-03321675620473784</t>
        </is>
      </c>
      <c r="E3241" s="16" t="inlineStr">
        <is>
          <t>Shipped</t>
        </is>
      </c>
      <c r="F3241" s="16" t="inlineStr">
        <is>
          <t>LB02235-blanco</t>
        </is>
      </c>
      <c r="G3241" s="16" t="inlineStr">
        <is>
          <t>Audífonos Inalámbricos para la Cabeza, Recargables y Multifuncionales - Conectan a Varios Dispositivos, soportan Radio FM, Tarjeta TF y AUX - 4 Horas de Reproducción Musical - Ideal para Trabajo Cotidiano, Juegos y Estudio</t>
        </is>
      </c>
      <c r="H3241" s="16" t="inlineStr">
        <is>
          <t>BLANCO</t>
        </is>
      </c>
      <c r="I3241" s="16" t="n">
        <v>1</v>
      </c>
      <c r="J3241" s="17" t="n">
        <v>36.8</v>
      </c>
      <c r="K3241" s="17" t="n">
        <v>49.91</v>
      </c>
      <c r="L3241" s="17" t="n">
        <v>25.86</v>
      </c>
      <c r="M3241" s="17" t="n">
        <v>0</v>
      </c>
      <c r="N3241" s="17">
        <f>K3241*0.08+L3241*0.08</f>
        <v/>
      </c>
      <c r="O3241" s="17">
        <f>-(K3241*0.025+L3241*0.025)</f>
        <v/>
      </c>
      <c r="P3241" s="17">
        <f>32</f>
        <v/>
      </c>
      <c r="Q3241" s="17">
        <f>J3241+L3241+N3241+O3241-P3241-M3241</f>
        <v/>
      </c>
    </row>
    <row r="3242">
      <c r="A3242" s="16" t="inlineStr">
        <is>
          <t>5.29-6.4</t>
        </is>
      </c>
      <c r="B3242" s="16" t="inlineStr">
        <is>
          <t>PO-128-03055410230391213</t>
        </is>
      </c>
      <c r="C3242" s="16" t="inlineStr">
        <is>
          <t>Shipped</t>
        </is>
      </c>
      <c r="D3242" s="16" t="inlineStr">
        <is>
          <t>128-03055431201911213</t>
        </is>
      </c>
      <c r="E3242" s="16" t="inlineStr">
        <is>
          <t>Shipped</t>
        </is>
      </c>
      <c r="F3242" s="16" t="inlineStr">
        <is>
          <t>VA384T-G</t>
        </is>
      </c>
      <c r="G3242" s="16" t="inlineStr">
        <is>
          <t>Bocina Portátil Bluetooth de 3 Pulgadas con Radio FM, USB TF TWS, Sonido Estéreo 5W, Bocina Recargable para Hogar Exterior Viaje Fiesta Camping</t>
        </is>
      </c>
      <c r="H3242" s="16" t="inlineStr">
        <is>
          <t>GRIS</t>
        </is>
      </c>
      <c r="I3242" s="16" t="n">
        <v>1</v>
      </c>
      <c r="J3242" s="17" t="n">
        <v>49</v>
      </c>
      <c r="K3242" s="17" t="n">
        <v>59.72</v>
      </c>
      <c r="L3242" s="17" t="n">
        <v>25.86</v>
      </c>
      <c r="M3242" s="17" t="n">
        <v>0</v>
      </c>
      <c r="N3242" s="17">
        <f>K3242*0.08+L3242*0.08</f>
        <v/>
      </c>
      <c r="O3242" s="17">
        <f>-(K3242*0.025+L3242*0.025)</f>
        <v/>
      </c>
      <c r="P3242" s="17">
        <f>32</f>
        <v/>
      </c>
      <c r="Q3242" s="17">
        <f>J3242+L3242+N3242+O3242-P3242-M3242</f>
        <v/>
      </c>
    </row>
    <row r="3243">
      <c r="A3243" s="16" t="inlineStr">
        <is>
          <t>5.29-6.4</t>
        </is>
      </c>
      <c r="B3243" s="16" t="inlineStr">
        <is>
          <t>PO-128-03329036864633612</t>
        </is>
      </c>
      <c r="C3243" s="16" t="inlineStr">
        <is>
          <t>Shipped</t>
        </is>
      </c>
      <c r="D3243" s="16" t="inlineStr">
        <is>
          <t>128-03329089293433612</t>
        </is>
      </c>
      <c r="E3243" s="16" t="inlineStr">
        <is>
          <t>Shipped</t>
        </is>
      </c>
      <c r="F3243" s="16" t="inlineStr">
        <is>
          <t>VA880T</t>
        </is>
      </c>
      <c r="G324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43" s="16" t="inlineStr">
        <is>
          <t>1 pieza</t>
        </is>
      </c>
      <c r="I3243" s="16" t="n">
        <v>1</v>
      </c>
      <c r="J3243" s="17" t="n">
        <v>114.98</v>
      </c>
      <c r="K3243" s="17" t="n">
        <v>126.16</v>
      </c>
      <c r="L3243" s="17" t="n">
        <v>25.86</v>
      </c>
      <c r="M3243" s="17" t="n">
        <v>0</v>
      </c>
      <c r="N3243" s="17">
        <f>K3243*0.08+L3243*0.08</f>
        <v/>
      </c>
      <c r="O3243" s="17">
        <f>-(K3243*0.025+L3243*0.025)</f>
        <v/>
      </c>
      <c r="P3243" s="17">
        <f>32</f>
        <v/>
      </c>
      <c r="Q3243" s="17">
        <f>J3243+L3243+N3243+O3243-P3243-M3243</f>
        <v/>
      </c>
    </row>
    <row r="3244">
      <c r="A3244" s="16" t="inlineStr">
        <is>
          <t>5.29-6.4</t>
        </is>
      </c>
      <c r="B3244" s="16" t="inlineStr">
        <is>
          <t>PO-128-03116768223352831</t>
        </is>
      </c>
      <c r="C3244" s="16" t="inlineStr">
        <is>
          <t>Shipped</t>
        </is>
      </c>
      <c r="D3244" s="16" t="inlineStr">
        <is>
          <t>128-03116726280312831</t>
        </is>
      </c>
      <c r="E3244" s="16" t="inlineStr">
        <is>
          <t>Shipped</t>
        </is>
      </c>
      <c r="F3244" s="16" t="inlineStr">
        <is>
          <t>MCM-001N</t>
        </is>
      </c>
      <c r="G3244" s="16" t="inlineStr">
        <is>
          <t>Musicord Altavoz Inalámbrico BT Portátil: ¡Sonido impactante, luces LED multicolores y 4 horas de autonomía! Compatible con TWS, FM, TF y USB – Imprescindible para fiestas y viajes</t>
        </is>
      </c>
      <c r="H3244" s="16" t="inlineStr">
        <is>
          <t>NEGRO</t>
        </is>
      </c>
      <c r="I3244" s="16" t="n">
        <v>1</v>
      </c>
      <c r="J3244" s="17" t="n">
        <v>51.07</v>
      </c>
      <c r="K3244" s="17" t="n">
        <v>62.34</v>
      </c>
      <c r="L3244" s="17" t="n">
        <v>25.86</v>
      </c>
      <c r="M3244" s="17" t="n">
        <v>0</v>
      </c>
      <c r="N3244" s="17">
        <f>K3244*0.08+L3244*0.08</f>
        <v/>
      </c>
      <c r="O3244" s="17">
        <f>-(K3244*0.025+L3244*0.025)</f>
        <v/>
      </c>
      <c r="P3244" s="17">
        <f>32</f>
        <v/>
      </c>
      <c r="Q3244" s="17">
        <f>J3244+L3244+N3244+O3244-P3244-M3244</f>
        <v/>
      </c>
    </row>
    <row r="3245">
      <c r="A3245" s="16" t="inlineStr">
        <is>
          <t>5.29-6.4</t>
        </is>
      </c>
      <c r="B3245" s="16" t="inlineStr">
        <is>
          <t>PO-128-02838592766070393</t>
        </is>
      </c>
      <c r="C3245" s="16" t="inlineStr">
        <is>
          <t>Shipped</t>
        </is>
      </c>
      <c r="D3245" s="16" t="inlineStr">
        <is>
          <t>128-02838634709110393</t>
        </is>
      </c>
      <c r="E3245" s="16" t="inlineStr">
        <is>
          <t>Shipped</t>
        </is>
      </c>
      <c r="F3245" s="16" t="inlineStr">
        <is>
          <t>HD005</t>
        </is>
      </c>
      <c r="G3245" s="16" t="inlineStr">
        <is>
          <t>Link bits HD005 Antena UHF para Exteriores, Antena de TV Digital HD con 10 Metros de Cable, Recepción 470-862MHz, 9-7dB de Ganancia, Antena para Canales Abiertos y HD, Resistente al Agua y Viento, Fácil Instalación</t>
        </is>
      </c>
      <c r="H3245" s="16" t="inlineStr">
        <is>
          <t>1</t>
        </is>
      </c>
      <c r="I3245" s="16" t="n">
        <v>1</v>
      </c>
      <c r="J3245" s="17" t="n">
        <v>75</v>
      </c>
      <c r="K3245" s="17" t="n">
        <v>49.56</v>
      </c>
      <c r="L3245" s="17" t="n">
        <v>25.86</v>
      </c>
      <c r="M3245" s="17" t="n">
        <v>0</v>
      </c>
      <c r="N3245" s="17">
        <f>K3245*0.08+L3245*0.08</f>
        <v/>
      </c>
      <c r="O3245" s="17">
        <f>-(K3245*0.025+L3245*0.025)</f>
        <v/>
      </c>
      <c r="P3245" s="17">
        <f>32</f>
        <v/>
      </c>
      <c r="Q3245" s="17">
        <f>J3245+L3245+N3245+O3245-P3245-M3245</f>
        <v/>
      </c>
    </row>
    <row r="3246">
      <c r="A3246" s="16" t="inlineStr">
        <is>
          <t>5.29-6.4</t>
        </is>
      </c>
      <c r="B3246" s="16" t="inlineStr">
        <is>
          <t>PO-128-03369835236473563</t>
        </is>
      </c>
      <c r="C3246" s="16" t="inlineStr">
        <is>
          <t>Shipped</t>
        </is>
      </c>
      <c r="D3246" s="16" t="inlineStr">
        <is>
          <t>128-03369767079033563</t>
        </is>
      </c>
      <c r="E3246" s="16" t="inlineStr">
        <is>
          <t>Shipped</t>
        </is>
      </c>
      <c r="F3246" s="16" t="inlineStr">
        <is>
          <t>LB02235-negro</t>
        </is>
      </c>
      <c r="G3246" s="16" t="inlineStr">
        <is>
          <t>Audífonos Inalámbricos para la Cabeza, Recargables y Multifuncionales - Conectan a Varios Dispositivos, soportan Radio FM, Tarjeta TF y AUX - 4 Horas de Reproducción Musical - Ideal para Trabajo Cotidiano, Juegos y Estudio</t>
        </is>
      </c>
      <c r="H3246" s="16" t="inlineStr">
        <is>
          <t>NEGRO</t>
        </is>
      </c>
      <c r="I3246" s="16" t="n">
        <v>1</v>
      </c>
      <c r="J3246" s="17" t="n">
        <v>36.8</v>
      </c>
      <c r="K3246" s="17" t="n">
        <v>49.91</v>
      </c>
      <c r="L3246" s="17" t="n">
        <v>25.86</v>
      </c>
      <c r="M3246" s="17" t="n">
        <v>0</v>
      </c>
      <c r="N3246" s="17">
        <f>K3246*0.08+L3246*0.08</f>
        <v/>
      </c>
      <c r="O3246" s="17">
        <f>-(K3246*0.025+L3246*0.025)</f>
        <v/>
      </c>
      <c r="P3246" s="17">
        <f>32</f>
        <v/>
      </c>
      <c r="Q3246" s="17">
        <f>J3246+L3246+N3246+O3246-P3246-M3246</f>
        <v/>
      </c>
    </row>
    <row r="3247">
      <c r="A3247" s="16" t="inlineStr">
        <is>
          <t>5.29-6.4</t>
        </is>
      </c>
      <c r="B3247" s="16" t="inlineStr">
        <is>
          <t>PO-128-03392755418233424</t>
        </is>
      </c>
      <c r="C3247" s="16" t="inlineStr">
        <is>
          <t>Shipped</t>
        </is>
      </c>
      <c r="D3247" s="16" t="inlineStr">
        <is>
          <t>128-03392797361273424</t>
        </is>
      </c>
      <c r="E3247" s="16" t="inlineStr">
        <is>
          <t>Shipped</t>
        </is>
      </c>
      <c r="F3247" s="16" t="inlineStr">
        <is>
          <t>S39W48</t>
        </is>
      </c>
      <c r="G324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247" s="16" t="inlineStr">
        <is>
          <t>1 pieza</t>
        </is>
      </c>
      <c r="I3247" s="16" t="n">
        <v>2</v>
      </c>
      <c r="J3247" s="17" t="n">
        <v>60</v>
      </c>
      <c r="K3247" s="17" t="n">
        <v>72.26000000000001</v>
      </c>
      <c r="L3247" s="17" t="n">
        <v>25.86</v>
      </c>
      <c r="M3247" s="17" t="n">
        <v>0</v>
      </c>
      <c r="N3247" s="17">
        <f>K3247*0.08+L3247*0.08</f>
        <v/>
      </c>
      <c r="O3247" s="17">
        <f>-(K3247*0.025+L3247*0.025)</f>
        <v/>
      </c>
      <c r="P3247" s="17">
        <f>32</f>
        <v/>
      </c>
      <c r="Q3247" s="17">
        <f>J3247+L3247+N3247+O3247-P3247-M3247</f>
        <v/>
      </c>
    </row>
    <row r="3248">
      <c r="A3248" s="16" t="inlineStr">
        <is>
          <t>5.29-6.4</t>
        </is>
      </c>
      <c r="B3248" s="16" t="inlineStr">
        <is>
          <t>PO-128-03121511975032867</t>
        </is>
      </c>
      <c r="C3248" s="16" t="inlineStr">
        <is>
          <t>Shipped</t>
        </is>
      </c>
      <c r="D3248" s="16" t="inlineStr">
        <is>
          <t>128-03121532946552867</t>
        </is>
      </c>
      <c r="E3248" s="16" t="inlineStr">
        <is>
          <t>Shipped</t>
        </is>
      </c>
      <c r="F3248" s="16" t="inlineStr">
        <is>
          <t>LB02235-azul</t>
        </is>
      </c>
      <c r="G3248" s="16" t="inlineStr">
        <is>
          <t>Audífonos Inalámbricos para la Cabeza, Recargables y Multifuncionales - Conectan a Varios Dispositivos, soportan Radio FM, Tarjeta TF y AUX - 4 Horas de Reproducción Musical - Ideal para Trabajo Cotidiano, Juegos y Estudio</t>
        </is>
      </c>
      <c r="H3248" s="16" t="inlineStr">
        <is>
          <t>AZUL</t>
        </is>
      </c>
      <c r="I3248" s="16" t="n">
        <v>1</v>
      </c>
      <c r="J3248" s="17" t="n">
        <v>29</v>
      </c>
      <c r="K3248" s="17" t="n">
        <v>42.11</v>
      </c>
      <c r="L3248" s="17" t="n">
        <v>25.86</v>
      </c>
      <c r="M3248" s="17" t="n">
        <v>0</v>
      </c>
      <c r="N3248" s="17">
        <f>K3248*0.08+L3248*0.08</f>
        <v/>
      </c>
      <c r="O3248" s="17">
        <f>-(K3248*0.025+L3248*0.025)</f>
        <v/>
      </c>
      <c r="P3248" s="17">
        <f>32</f>
        <v/>
      </c>
      <c r="Q3248" s="17">
        <f>J3248+L3248+N3248+O3248-P3248-M3248</f>
        <v/>
      </c>
    </row>
    <row r="3249">
      <c r="A3249" s="16" t="inlineStr">
        <is>
          <t>5.29-6.4</t>
        </is>
      </c>
      <c r="B3249" s="16" t="inlineStr">
        <is>
          <t>PO-128-02765486047351021</t>
        </is>
      </c>
      <c r="C3249" s="16" t="inlineStr">
        <is>
          <t>Shipped</t>
        </is>
      </c>
      <c r="D3249" s="16" t="inlineStr">
        <is>
          <t>128-02765538476151021</t>
        </is>
      </c>
      <c r="E3249" s="16" t="inlineStr">
        <is>
          <t>Shipped</t>
        </is>
      </c>
      <c r="F3249" s="16" t="inlineStr">
        <is>
          <t>LB02235-blanco</t>
        </is>
      </c>
      <c r="G3249" s="16" t="inlineStr">
        <is>
          <t>Audífonos Inalámbricos para la Cabeza, Recargables y Multifuncionales - Conectan a Varios Dispositivos, soportan Radio FM, Tarjeta TF y AUX - 4 Horas de Reproducción Musical - Ideal para Trabajo Cotidiano, Juegos y Estudio</t>
        </is>
      </c>
      <c r="H3249" s="16" t="inlineStr">
        <is>
          <t>BLANCO</t>
        </is>
      </c>
      <c r="I3249" s="16" t="n">
        <v>1</v>
      </c>
      <c r="J3249" s="17" t="n">
        <v>36.8</v>
      </c>
      <c r="K3249" s="17" t="n">
        <v>49.91</v>
      </c>
      <c r="L3249" s="17" t="n">
        <v>25.86</v>
      </c>
      <c r="M3249" s="17" t="n">
        <v>0</v>
      </c>
      <c r="N3249" s="17">
        <f>K3249*0.08+L3249*0.08</f>
        <v/>
      </c>
      <c r="O3249" s="17">
        <f>-(K3249*0.025+L3249*0.025)</f>
        <v/>
      </c>
      <c r="P3249" s="17">
        <f>32</f>
        <v/>
      </c>
      <c r="Q3249" s="17">
        <f>J3249+L3249+N3249+O3249-P3249-M3249</f>
        <v/>
      </c>
    </row>
    <row r="3250">
      <c r="A3250" s="16" t="inlineStr">
        <is>
          <t>5.29-6.4</t>
        </is>
      </c>
      <c r="B3250" s="16" t="inlineStr">
        <is>
          <t>PO-128-03403847360633294</t>
        </is>
      </c>
      <c r="C3250" s="16" t="inlineStr">
        <is>
          <t>Shipped</t>
        </is>
      </c>
      <c r="D3250" s="16" t="inlineStr">
        <is>
          <t>128-03403927314553294</t>
        </is>
      </c>
      <c r="E3250" s="16" t="inlineStr">
        <is>
          <t>Shipped</t>
        </is>
      </c>
      <c r="F3250" s="16" t="inlineStr">
        <is>
          <t>MCM-001N</t>
        </is>
      </c>
      <c r="G3250" s="16" t="inlineStr">
        <is>
          <t>Musicord Altavoz Inalámbrico BT Portátil: ¡Sonido impactante, luces LED multicolores y 4 horas de autonomía! Compatible con TWS, FM, TF y USB – Imprescindible para fiestas y viajes</t>
        </is>
      </c>
      <c r="H3250" s="16" t="inlineStr">
        <is>
          <t>NEGRO</t>
        </is>
      </c>
      <c r="I3250" s="16" t="n">
        <v>1</v>
      </c>
      <c r="J3250" s="17" t="n">
        <v>51.07</v>
      </c>
      <c r="K3250" s="17" t="n">
        <v>62.34</v>
      </c>
      <c r="L3250" s="17" t="n">
        <v>0</v>
      </c>
      <c r="M3250" s="17" t="n">
        <v>0</v>
      </c>
      <c r="N3250" s="17">
        <f>K3250*0.08+L3250*0.08</f>
        <v/>
      </c>
      <c r="O3250" s="17">
        <f>-(K3250*0.025+L3250*0.025)</f>
        <v/>
      </c>
      <c r="P3250" s="17">
        <f>32</f>
        <v/>
      </c>
      <c r="Q3250" s="17">
        <f>J3250+L3250+N3250+O3250-P3250-M3250</f>
        <v/>
      </c>
    </row>
    <row r="3251">
      <c r="A3251" s="16" t="inlineStr">
        <is>
          <t>5.29-6.4</t>
        </is>
      </c>
      <c r="B3251" s="16" t="inlineStr">
        <is>
          <t>PO-128-03403847360633294</t>
        </is>
      </c>
      <c r="C3251" s="16" t="inlineStr">
        <is>
          <t>Shipped</t>
        </is>
      </c>
      <c r="D3251" s="16" t="inlineStr">
        <is>
          <t>128-03403906343033294</t>
        </is>
      </c>
      <c r="E3251" s="16" t="inlineStr">
        <is>
          <t>Shipped</t>
        </is>
      </c>
      <c r="F3251" s="16" t="inlineStr">
        <is>
          <t>VA880T</t>
        </is>
      </c>
      <c r="G325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51" s="16" t="inlineStr">
        <is>
          <t>1 pieza</t>
        </is>
      </c>
      <c r="I3251" s="16" t="n">
        <v>2</v>
      </c>
      <c r="J3251" s="17" t="n">
        <v>229.96</v>
      </c>
      <c r="K3251" s="17" t="n">
        <v>252.32</v>
      </c>
      <c r="L3251" s="17" t="n">
        <v>0</v>
      </c>
      <c r="M3251" s="17" t="n">
        <v>0</v>
      </c>
      <c r="N3251" s="17">
        <f>K3251*0.08+L3251*0.08</f>
        <v/>
      </c>
      <c r="O3251" s="17">
        <f>-(K3251*0.025+L3251*0.025)</f>
        <v/>
      </c>
      <c r="P3251" s="17">
        <f>32</f>
        <v/>
      </c>
      <c r="Q3251" s="17">
        <f>J3251+L3251+N3251+O3251-P3251-M3251</f>
        <v/>
      </c>
    </row>
    <row r="3252">
      <c r="A3252" s="16" t="inlineStr">
        <is>
          <t>5.29-6.4</t>
        </is>
      </c>
      <c r="B3252" s="16" t="inlineStr">
        <is>
          <t>PO-128-03271962227834016</t>
        </is>
      </c>
      <c r="C3252" s="16" t="inlineStr">
        <is>
          <t>Shipped</t>
        </is>
      </c>
      <c r="D3252" s="16" t="inlineStr">
        <is>
          <t>128-03272004170874016</t>
        </is>
      </c>
      <c r="E3252" s="16" t="inlineStr">
        <is>
          <t>Shipped</t>
        </is>
      </c>
      <c r="F3252" s="16" t="inlineStr">
        <is>
          <t>LB02235-negro</t>
        </is>
      </c>
      <c r="G3252" s="16" t="inlineStr">
        <is>
          <t>Audífonos Inalámbricos para la Cabeza, Recargables y Multifuncionales - Conectan a Varios Dispositivos, soportan Radio FM, Tarjeta TF y AUX - 4 Horas de Reproducción Musical - Ideal para Trabajo Cotidiano, Juegos y Estudio</t>
        </is>
      </c>
      <c r="H3252" s="16" t="inlineStr">
        <is>
          <t>NEGRO</t>
        </is>
      </c>
      <c r="I3252" s="16" t="n">
        <v>1</v>
      </c>
      <c r="J3252" s="17" t="n">
        <v>36.8</v>
      </c>
      <c r="K3252" s="17" t="n">
        <v>6.81</v>
      </c>
      <c r="L3252" s="17" t="n">
        <v>25.86</v>
      </c>
      <c r="M3252" s="17" t="n">
        <v>0</v>
      </c>
      <c r="N3252" s="17">
        <f>K3252*0.08+L3252*0.08</f>
        <v/>
      </c>
      <c r="O3252" s="17">
        <f>-(K3252*0.025+L3252*0.025)</f>
        <v/>
      </c>
      <c r="P3252" s="17">
        <f>32</f>
        <v/>
      </c>
      <c r="Q3252" s="17">
        <f>J3252+L3252+N3252+O3252-P3252-M3252</f>
        <v/>
      </c>
    </row>
    <row r="3253">
      <c r="A3253" s="16" t="inlineStr">
        <is>
          <t>5.29-6.4</t>
        </is>
      </c>
      <c r="B3253" s="16" t="inlineStr">
        <is>
          <t>PO-128-03118613717112818</t>
        </is>
      </c>
      <c r="C3253" s="16" t="inlineStr">
        <is>
          <t>Shipped</t>
        </is>
      </c>
      <c r="D3253" s="16" t="inlineStr">
        <is>
          <t>128-03118609784952818</t>
        </is>
      </c>
      <c r="E3253" s="16" t="inlineStr">
        <is>
          <t>Shipped</t>
        </is>
      </c>
      <c r="F3253" s="16" t="inlineStr">
        <is>
          <t>LB02235-rojo</t>
        </is>
      </c>
      <c r="G3253" s="16" t="inlineStr">
        <is>
          <t>Audífonos Inalámbricos para la Cabeza, Recargables y Multifuncionales - Conectan a Varios Dispositivos, soportan Radio FM, Tarjeta TF y AUX - 4 Horas de Reproducción Musical - Ideal para Trabajo Cotidiano, Juegos y Estudio</t>
        </is>
      </c>
      <c r="H3253" s="16" t="inlineStr">
        <is>
          <t>ROJO</t>
        </is>
      </c>
      <c r="I3253" s="16" t="n">
        <v>1</v>
      </c>
      <c r="J3253" s="17" t="n">
        <v>36.8</v>
      </c>
      <c r="K3253" s="17" t="n">
        <v>49.91</v>
      </c>
      <c r="L3253" s="17" t="n">
        <v>25.86</v>
      </c>
      <c r="M3253" s="17" t="n">
        <v>0</v>
      </c>
      <c r="N3253" s="17">
        <f>K3253*0.08+L3253*0.08</f>
        <v/>
      </c>
      <c r="O3253" s="17">
        <f>-(K3253*0.025+L3253*0.025)</f>
        <v/>
      </c>
      <c r="P3253" s="17">
        <f>32</f>
        <v/>
      </c>
      <c r="Q3253" s="17">
        <f>J3253+L3253+N3253+O3253-P3253-M3253</f>
        <v/>
      </c>
    </row>
    <row r="3254">
      <c r="A3254" s="16" t="inlineStr">
        <is>
          <t>5.29-6.4</t>
        </is>
      </c>
      <c r="B3254" s="16" t="inlineStr">
        <is>
          <t>PO-128-02914851489910067</t>
        </is>
      </c>
      <c r="C3254" s="16" t="inlineStr">
        <is>
          <t>Shipped</t>
        </is>
      </c>
      <c r="D3254" s="16" t="inlineStr">
        <is>
          <t>128-02914809546870067</t>
        </is>
      </c>
      <c r="E3254" s="16" t="inlineStr">
        <is>
          <t>Shipped</t>
        </is>
      </c>
      <c r="F3254" s="16" t="inlineStr">
        <is>
          <t>VA384T-G</t>
        </is>
      </c>
      <c r="G3254" s="16" t="inlineStr">
        <is>
          <t>Bocina Portátil Bluetooth de 3 Pulgadas con Radio FM, USB TF TWS, Sonido Estéreo 5W, Bocina Recargable para Hogar Exterior Viaje Fiesta Camping</t>
        </is>
      </c>
      <c r="H3254" s="16" t="inlineStr">
        <is>
          <t>GRIS</t>
        </is>
      </c>
      <c r="I3254" s="16" t="n">
        <v>2</v>
      </c>
      <c r="J3254" s="17" t="n">
        <v>98</v>
      </c>
      <c r="K3254" s="17" t="n">
        <v>119.44</v>
      </c>
      <c r="L3254" s="17" t="n">
        <v>25.86</v>
      </c>
      <c r="M3254" s="17" t="n">
        <v>0</v>
      </c>
      <c r="N3254" s="17">
        <f>K3254*0.08+L3254*0.08</f>
        <v/>
      </c>
      <c r="O3254" s="17">
        <f>-(K3254*0.025+L3254*0.025)</f>
        <v/>
      </c>
      <c r="P3254" s="17">
        <f>32</f>
        <v/>
      </c>
      <c r="Q3254" s="17">
        <f>J3254+L3254+N3254+O3254-P3254-M3254</f>
        <v/>
      </c>
    </row>
    <row r="3255">
      <c r="A3255" s="16" t="inlineStr">
        <is>
          <t>5.29-6.4</t>
        </is>
      </c>
      <c r="B3255" s="16" t="inlineStr">
        <is>
          <t>PO-128-03327669015673812</t>
        </is>
      </c>
      <c r="C3255" s="16" t="inlineStr">
        <is>
          <t>Shipped</t>
        </is>
      </c>
      <c r="D3255" s="16" t="inlineStr">
        <is>
          <t>128-03327648044153812</t>
        </is>
      </c>
      <c r="E3255" s="16" t="inlineStr">
        <is>
          <t>Shipped</t>
        </is>
      </c>
      <c r="F3255" s="16" t="inlineStr">
        <is>
          <t>VA880T</t>
        </is>
      </c>
      <c r="G325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55" s="16" t="inlineStr">
        <is>
          <t>1 pieza</t>
        </is>
      </c>
      <c r="I3255" s="16" t="n">
        <v>1</v>
      </c>
      <c r="J3255" s="17" t="n">
        <v>114.98</v>
      </c>
      <c r="K3255" s="17" t="n">
        <v>126.16</v>
      </c>
      <c r="L3255" s="17" t="n">
        <v>25.86</v>
      </c>
      <c r="M3255" s="17" t="n">
        <v>0</v>
      </c>
      <c r="N3255" s="17">
        <f>K3255*0.08+L3255*0.08</f>
        <v/>
      </c>
      <c r="O3255" s="17">
        <f>-(K3255*0.025+L3255*0.025)</f>
        <v/>
      </c>
      <c r="P3255" s="17">
        <f>32</f>
        <v/>
      </c>
      <c r="Q3255" s="17">
        <f>J3255+L3255+N3255+O3255-P3255-M3255</f>
        <v/>
      </c>
    </row>
    <row r="3256">
      <c r="A3256" s="16" t="inlineStr">
        <is>
          <t>5.29-6.4</t>
        </is>
      </c>
      <c r="B3256" s="16" t="inlineStr">
        <is>
          <t>PO-128-03407583532153272</t>
        </is>
      </c>
      <c r="C3256" s="16" t="inlineStr">
        <is>
          <t>Shipped</t>
        </is>
      </c>
      <c r="D3256" s="16" t="inlineStr">
        <is>
          <t>128-03407541589113272</t>
        </is>
      </c>
      <c r="E3256" s="16" t="inlineStr">
        <is>
          <t>Shipped</t>
        </is>
      </c>
      <c r="F3256" s="16" t="inlineStr">
        <is>
          <t>LV34W04</t>
        </is>
      </c>
      <c r="G325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256" s="16" t="inlineStr">
        <is>
          <t>LV34W04</t>
        </is>
      </c>
      <c r="I3256" s="16" t="n">
        <v>1</v>
      </c>
      <c r="J3256" s="17" t="n">
        <v>230.3</v>
      </c>
      <c r="K3256" s="17" t="n">
        <v>257.65</v>
      </c>
      <c r="L3256" s="17" t="n">
        <v>25.86</v>
      </c>
      <c r="M3256" s="17" t="n">
        <v>0</v>
      </c>
      <c r="N3256" s="17">
        <f>K3256*0.08+L3256*0.08</f>
        <v/>
      </c>
      <c r="O3256" s="17">
        <f>-(K3256*0.025+L3256*0.025)</f>
        <v/>
      </c>
      <c r="P3256" s="17">
        <f>32</f>
        <v/>
      </c>
      <c r="Q3256" s="17">
        <f>J3256+L3256+N3256+O3256-P3256-M3256</f>
        <v/>
      </c>
    </row>
    <row r="3257">
      <c r="A3257" s="16" t="inlineStr">
        <is>
          <t>5.29-6.4</t>
        </is>
      </c>
      <c r="B3257" s="16" t="inlineStr">
        <is>
          <t>PO-128-02812102111350743</t>
        </is>
      </c>
      <c r="C3257" s="16" t="inlineStr">
        <is>
          <t>Shipped</t>
        </is>
      </c>
      <c r="D3257" s="16" t="inlineStr">
        <is>
          <t>128-02812081139830743</t>
        </is>
      </c>
      <c r="E3257" s="16" t="inlineStr">
        <is>
          <t>Shipped</t>
        </is>
      </c>
      <c r="F3257" s="16" t="inlineStr">
        <is>
          <t>MCM-001R</t>
        </is>
      </c>
      <c r="G3257" s="16" t="inlineStr">
        <is>
          <t>Musicord Altavoz Inalámbrico BT Portátil: ¡Sonido impactante, luces LED multicolores y 4 horas de autonomía! Compatible con TWS, FM, TF y USB – Imprescindible para fiestas y viajes</t>
        </is>
      </c>
      <c r="H3257" s="16" t="inlineStr">
        <is>
          <t>ROJO</t>
        </is>
      </c>
      <c r="I3257" s="16" t="n">
        <v>1</v>
      </c>
      <c r="J3257" s="17" t="n">
        <v>59</v>
      </c>
      <c r="K3257" s="17" t="n">
        <v>70.28</v>
      </c>
      <c r="L3257" s="17" t="n">
        <v>25.86</v>
      </c>
      <c r="M3257" s="17" t="n">
        <v>0</v>
      </c>
      <c r="N3257" s="17">
        <f>K3257*0.08+L3257*0.08</f>
        <v/>
      </c>
      <c r="O3257" s="17">
        <f>-(K3257*0.025+L3257*0.025)</f>
        <v/>
      </c>
      <c r="P3257" s="17">
        <f>32</f>
        <v/>
      </c>
      <c r="Q3257" s="17">
        <f>J3257+L3257+N3257+O3257-P3257-M3257</f>
        <v/>
      </c>
    </row>
    <row r="3258">
      <c r="A3258" s="16" t="inlineStr">
        <is>
          <t>5.29-6.4</t>
        </is>
      </c>
      <c r="B3258" s="16" t="inlineStr">
        <is>
          <t>PO-128-02833173668470617</t>
        </is>
      </c>
      <c r="C3258" s="16" t="inlineStr">
        <is>
          <t>Shipped</t>
        </is>
      </c>
      <c r="D3258" s="16" t="inlineStr">
        <is>
          <t>128-02833249690230617</t>
        </is>
      </c>
      <c r="E3258" s="16" t="inlineStr">
        <is>
          <t>Shipped</t>
        </is>
      </c>
      <c r="F3258" s="16" t="inlineStr">
        <is>
          <t>SA323T</t>
        </is>
      </c>
      <c r="G3258" s="16" t="inlineStr">
        <is>
          <t>Linkbits Bocina Portátil Parlantes BT Portátiles con Iluminación de Ambiente | 1 Hora de Duración, FM, TWS, TF/Micro SD | Ideal para Hogar, Fiestas y Viajes</t>
        </is>
      </c>
      <c r="H3258" s="16" t="inlineStr">
        <is>
          <t>SA323T</t>
        </is>
      </c>
      <c r="I3258" s="16" t="n">
        <v>1</v>
      </c>
      <c r="J3258" s="17" t="n">
        <v>48.8</v>
      </c>
      <c r="K3258" s="17" t="n">
        <v>77.3</v>
      </c>
      <c r="L3258" s="17" t="n">
        <v>25.86</v>
      </c>
      <c r="M3258" s="17" t="n">
        <v>0</v>
      </c>
      <c r="N3258" s="17">
        <f>K3258*0.08+L3258*0.08</f>
        <v/>
      </c>
      <c r="O3258" s="17">
        <f>-(K3258*0.025+L3258*0.025)</f>
        <v/>
      </c>
      <c r="P3258" s="17">
        <f>32</f>
        <v/>
      </c>
      <c r="Q3258" s="17">
        <f>J3258+L3258+N3258+O3258-P3258-M3258</f>
        <v/>
      </c>
    </row>
    <row r="3259">
      <c r="A3259" s="16" t="inlineStr">
        <is>
          <t>5.29-6.4</t>
        </is>
      </c>
      <c r="B3259" s="16" t="inlineStr">
        <is>
          <t>PO-128-02947022469751795</t>
        </is>
      </c>
      <c r="C3259" s="16" t="inlineStr">
        <is>
          <t>Shipped</t>
        </is>
      </c>
      <c r="D3259" s="16" t="inlineStr">
        <is>
          <t>128-02947074898551795</t>
        </is>
      </c>
      <c r="E3259" s="16" t="inlineStr">
        <is>
          <t>Shipped</t>
        </is>
      </c>
      <c r="F3259" s="16" t="inlineStr">
        <is>
          <t>LB02235-azul</t>
        </is>
      </c>
      <c r="G3259" s="16" t="inlineStr">
        <is>
          <t>Audífonos Inalámbricos para la Cabeza, Recargables y Multifuncionales - Conectan a Varios Dispositivos, soportan Radio FM, Tarjeta TF y AUX - 4 Horas de Reproducción Musical - Ideal para Trabajo Cotidiano, Juegos y Estudio</t>
        </is>
      </c>
      <c r="H3259" s="16" t="inlineStr">
        <is>
          <t>AZUL</t>
        </is>
      </c>
      <c r="I3259" s="16" t="n">
        <v>1</v>
      </c>
      <c r="J3259" s="17" t="n">
        <v>29</v>
      </c>
      <c r="K3259" s="17" t="n">
        <v>42.11</v>
      </c>
      <c r="L3259" s="17" t="n">
        <v>25.86</v>
      </c>
      <c r="M3259" s="17" t="n">
        <v>0</v>
      </c>
      <c r="N3259" s="17">
        <f>K3259*0.08+L3259*0.08</f>
        <v/>
      </c>
      <c r="O3259" s="17">
        <f>-(K3259*0.025+L3259*0.025)</f>
        <v/>
      </c>
      <c r="P3259" s="17">
        <f>32</f>
        <v/>
      </c>
      <c r="Q3259" s="17">
        <f>J3259+L3259+N3259+O3259-P3259-M3259</f>
        <v/>
      </c>
    </row>
    <row r="3260">
      <c r="A3260" s="16" t="inlineStr">
        <is>
          <t>5.29-6.4</t>
        </is>
      </c>
      <c r="B3260" s="16" t="inlineStr">
        <is>
          <t>PO-128-03246619320952057</t>
        </is>
      </c>
      <c r="C3260" s="16" t="inlineStr">
        <is>
          <t>Shipped</t>
        </is>
      </c>
      <c r="D3260" s="16" t="inlineStr">
        <is>
          <t>128-03246577377912057</t>
        </is>
      </c>
      <c r="E3260" s="16" t="inlineStr">
        <is>
          <t>Shipped</t>
        </is>
      </c>
      <c r="F3260" s="16" t="inlineStr">
        <is>
          <t>LB02235-rojo</t>
        </is>
      </c>
      <c r="G3260" s="16" t="inlineStr">
        <is>
          <t>Audífonos Inalámbricos para la Cabeza, Recargables y Multifuncionales - Conectan a Varios Dispositivos, soportan Radio FM, Tarjeta TF y AUX - 4 Horas de Reproducción Musical - Ideal para Trabajo Cotidiano, Juegos y Estudio</t>
        </is>
      </c>
      <c r="H3260" s="16" t="inlineStr">
        <is>
          <t>ROJO</t>
        </is>
      </c>
      <c r="I3260" s="16" t="n">
        <v>1</v>
      </c>
      <c r="J3260" s="17" t="n">
        <v>36.8</v>
      </c>
      <c r="K3260" s="17" t="n">
        <v>49.91</v>
      </c>
      <c r="L3260" s="17" t="n">
        <v>25.86</v>
      </c>
      <c r="M3260" s="17" t="n">
        <v>0</v>
      </c>
      <c r="N3260" s="17">
        <f>K3260*0.08+L3260*0.08</f>
        <v/>
      </c>
      <c r="O3260" s="17">
        <f>-(K3260*0.025+L3260*0.025)</f>
        <v/>
      </c>
      <c r="P3260" s="17">
        <f>32</f>
        <v/>
      </c>
      <c r="Q3260" s="17">
        <f>J3260+L3260+N3260+O3260-P3260-M3260</f>
        <v/>
      </c>
    </row>
    <row r="3261">
      <c r="A3261" s="16" t="inlineStr">
        <is>
          <t>5.29-6.4</t>
        </is>
      </c>
      <c r="B3261" s="16" t="inlineStr">
        <is>
          <t>PO-128-03248026266232049</t>
        </is>
      </c>
      <c r="C3261" s="16" t="inlineStr">
        <is>
          <t>Shipped</t>
        </is>
      </c>
      <c r="D3261" s="16" t="inlineStr">
        <is>
          <t>128-03248047237752049</t>
        </is>
      </c>
      <c r="E3261" s="16" t="inlineStr">
        <is>
          <t>Shipped</t>
        </is>
      </c>
      <c r="F3261" s="16" t="inlineStr">
        <is>
          <t>VA880T</t>
        </is>
      </c>
      <c r="G326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61" s="16" t="inlineStr">
        <is>
          <t>1 pieza</t>
        </is>
      </c>
      <c r="I3261" s="16" t="n">
        <v>1</v>
      </c>
      <c r="J3261" s="17" t="n">
        <v>114.98</v>
      </c>
      <c r="K3261" s="17" t="n">
        <v>126.16</v>
      </c>
      <c r="L3261" s="17" t="n">
        <v>25.86</v>
      </c>
      <c r="M3261" s="17" t="n">
        <v>0</v>
      </c>
      <c r="N3261" s="17">
        <f>K3261*0.08+L3261*0.08</f>
        <v/>
      </c>
      <c r="O3261" s="17">
        <f>-(K3261*0.025+L3261*0.025)</f>
        <v/>
      </c>
      <c r="P3261" s="17">
        <f>32</f>
        <v/>
      </c>
      <c r="Q3261" s="17">
        <f>J3261+L3261+N3261+O3261-P3261-M3261</f>
        <v/>
      </c>
    </row>
    <row r="3262">
      <c r="A3262" s="16" t="inlineStr">
        <is>
          <t>5.29-6.4</t>
        </is>
      </c>
      <c r="B3262" s="16" t="inlineStr">
        <is>
          <t>PO-128-03228584553592229</t>
        </is>
      </c>
      <c r="C3262" s="16" t="inlineStr">
        <is>
          <t>Shipped</t>
        </is>
      </c>
      <c r="D3262" s="16" t="inlineStr">
        <is>
          <t>128-03228542610552229</t>
        </is>
      </c>
      <c r="E3262" s="16" t="inlineStr">
        <is>
          <t>Shipped</t>
        </is>
      </c>
      <c r="F3262" s="16" t="inlineStr">
        <is>
          <t>MB-178-N</t>
        </is>
      </c>
      <c r="G3262" s="16" t="inlineStr">
        <is>
          <t>Bocina de Barra Bluetooth LINK BITS con dos altavoces, sonido de alta calidad y multifuncional (Bluetooth, Radio FM, USB, TF, AUX, TWS), ideal para juegos, reuniones, oficina y cine en casa.</t>
        </is>
      </c>
      <c r="H3262" s="16" t="inlineStr">
        <is>
          <t>NEGRO</t>
        </is>
      </c>
      <c r="I3262" s="16" t="n">
        <v>1</v>
      </c>
      <c r="J3262" s="17" t="n">
        <v>135</v>
      </c>
      <c r="K3262" s="17" t="n">
        <v>152.39</v>
      </c>
      <c r="L3262" s="17" t="n">
        <v>25.86</v>
      </c>
      <c r="M3262" s="17" t="n">
        <v>0</v>
      </c>
      <c r="N3262" s="17">
        <f>K3262*0.08+L3262*0.08</f>
        <v/>
      </c>
      <c r="O3262" s="17">
        <f>-(K3262*0.025+L3262*0.025)</f>
        <v/>
      </c>
      <c r="P3262" s="17">
        <f>32</f>
        <v/>
      </c>
      <c r="Q3262" s="17">
        <f>J3262+L3262+N3262+O3262-P3262-M3262</f>
        <v/>
      </c>
    </row>
    <row r="3263">
      <c r="A3263" s="16" t="inlineStr">
        <is>
          <t>5.29-6.4</t>
        </is>
      </c>
      <c r="B3263" s="16" t="inlineStr">
        <is>
          <t>PO-128-02897992643190231</t>
        </is>
      </c>
      <c r="C3263" s="16" t="inlineStr">
        <is>
          <t>Shipped</t>
        </is>
      </c>
      <c r="D3263" s="16" t="inlineStr">
        <is>
          <t>128-02898034586230231</t>
        </is>
      </c>
      <c r="E3263" s="16" t="inlineStr">
        <is>
          <t>Shipped</t>
        </is>
      </c>
      <c r="F3263" s="16" t="inlineStr">
        <is>
          <t>MB-185A</t>
        </is>
      </c>
      <c r="G3263" s="16" t="inlineStr">
        <is>
          <t>Bocina Radio FM/Reproductor, Compatible con Tarjeta TF, USB, Bluetooth, Aplicable para celular, computadora, Ipad y consola.</t>
        </is>
      </c>
      <c r="H3263" s="16" t="inlineStr">
        <is>
          <t>AZUL/MB-185</t>
        </is>
      </c>
      <c r="I3263" s="16" t="n">
        <v>1</v>
      </c>
      <c r="J3263" s="17" t="n">
        <v>73</v>
      </c>
      <c r="K3263" s="17" t="n">
        <v>42.84</v>
      </c>
      <c r="L3263" s="17" t="n">
        <v>25.86</v>
      </c>
      <c r="M3263" s="17" t="n">
        <v>0</v>
      </c>
      <c r="N3263" s="17">
        <f>K3263*0.08+L3263*0.08</f>
        <v/>
      </c>
      <c r="O3263" s="17">
        <f>-(K3263*0.025+L3263*0.025)</f>
        <v/>
      </c>
      <c r="P3263" s="17">
        <f>32</f>
        <v/>
      </c>
      <c r="Q3263" s="17">
        <f>J3263+L3263+N3263+O3263-P3263-M3263</f>
        <v/>
      </c>
    </row>
    <row r="3264">
      <c r="A3264" s="16" t="inlineStr">
        <is>
          <t>5.29-6.4</t>
        </is>
      </c>
      <c r="B3264" s="16" t="inlineStr">
        <is>
          <t>PO-128-03076216525431025</t>
        </is>
      </c>
      <c r="C3264" s="16" t="inlineStr">
        <is>
          <t>Shipped</t>
        </is>
      </c>
      <c r="D3264" s="16" t="inlineStr">
        <is>
          <t>128-03076195553911025</t>
        </is>
      </c>
      <c r="E3264" s="16" t="inlineStr">
        <is>
          <t>Shipped</t>
        </is>
      </c>
      <c r="F3264" s="16" t="inlineStr">
        <is>
          <t>LB02235-blanco</t>
        </is>
      </c>
      <c r="G3264" s="16" t="inlineStr">
        <is>
          <t>Audífonos Inalámbricos para la Cabeza, Recargables y Multifuncionales - Conectan a Varios Dispositivos, soportan Radio FM, Tarjeta TF y AUX - 4 Horas de Reproducción Musical - Ideal para Trabajo Cotidiano, Juegos y Estudio</t>
        </is>
      </c>
      <c r="H3264" s="16" t="inlineStr">
        <is>
          <t>BLANCO</t>
        </is>
      </c>
      <c r="I3264" s="16" t="n">
        <v>1</v>
      </c>
      <c r="J3264" s="17" t="n">
        <v>36.8</v>
      </c>
      <c r="K3264" s="17" t="n">
        <v>49.91</v>
      </c>
      <c r="L3264" s="17" t="n">
        <v>25.86</v>
      </c>
      <c r="M3264" s="17" t="n">
        <v>0</v>
      </c>
      <c r="N3264" s="17">
        <f>K3264*0.08+L3264*0.08</f>
        <v/>
      </c>
      <c r="O3264" s="17">
        <f>-(K3264*0.025+L3264*0.025)</f>
        <v/>
      </c>
      <c r="P3264" s="17">
        <f>32</f>
        <v/>
      </c>
      <c r="Q3264" s="17">
        <f>J3264+L3264+N3264+O3264-P3264-M3264</f>
        <v/>
      </c>
    </row>
    <row r="3265">
      <c r="A3265" s="16" t="inlineStr">
        <is>
          <t>5.29-6.4</t>
        </is>
      </c>
      <c r="B3265" s="16" t="inlineStr">
        <is>
          <t>PO-128-02834328955510611</t>
        </is>
      </c>
      <c r="C3265" s="16" t="inlineStr">
        <is>
          <t>Shipped</t>
        </is>
      </c>
      <c r="D3265" s="16" t="inlineStr">
        <is>
          <t>128-02834287012470611</t>
        </is>
      </c>
      <c r="E3265" s="16" t="inlineStr">
        <is>
          <t>Shipped</t>
        </is>
      </c>
      <c r="F3265" s="16" t="inlineStr">
        <is>
          <t>LB02235-azul</t>
        </is>
      </c>
      <c r="G3265" s="16" t="inlineStr">
        <is>
          <t>Audífonos Inalámbricos para la Cabeza, Recargables y Multifuncionales - Conectan a Varios Dispositivos, soportan Radio FM, Tarjeta TF y AUX - 4 Horas de Reproducción Musical - Ideal para Trabajo Cotidiano, Juegos y Estudio</t>
        </is>
      </c>
      <c r="H3265" s="16" t="inlineStr">
        <is>
          <t>AZUL</t>
        </is>
      </c>
      <c r="I3265" s="16" t="n">
        <v>1</v>
      </c>
      <c r="J3265" s="17" t="n">
        <v>29</v>
      </c>
      <c r="K3265" s="17" t="n">
        <v>42.11</v>
      </c>
      <c r="L3265" s="17" t="n">
        <v>25.86</v>
      </c>
      <c r="M3265" s="17" t="n">
        <v>0</v>
      </c>
      <c r="N3265" s="17">
        <f>K3265*0.08+L3265*0.08</f>
        <v/>
      </c>
      <c r="O3265" s="17">
        <f>-(K3265*0.025+L3265*0.025)</f>
        <v/>
      </c>
      <c r="P3265" s="17">
        <f>32</f>
        <v/>
      </c>
      <c r="Q3265" s="17">
        <f>J3265+L3265+N3265+O3265-P3265-M3265</f>
        <v/>
      </c>
    </row>
    <row r="3266">
      <c r="A3266" s="16" t="inlineStr">
        <is>
          <t>5.29-6.4</t>
        </is>
      </c>
      <c r="B3266" s="16" t="inlineStr">
        <is>
          <t>PO-128-02801797550710674</t>
        </is>
      </c>
      <c r="C3266" s="16" t="inlineStr">
        <is>
          <t>Shipped</t>
        </is>
      </c>
      <c r="D3266" s="16" t="inlineStr">
        <is>
          <t>128-02801856533110674</t>
        </is>
      </c>
      <c r="E3266" s="16" t="inlineStr">
        <is>
          <t>Shipped</t>
        </is>
      </c>
      <c r="F3266" s="16" t="inlineStr">
        <is>
          <t>LB02235-blanco</t>
        </is>
      </c>
      <c r="G3266" s="16" t="inlineStr">
        <is>
          <t>Audífonos Inalámbricos para la Cabeza, Recargables y Multifuncionales - Conectan a Varios Dispositivos, soportan Radio FM, Tarjeta TF y AUX - 4 Horas de Reproducción Musical - Ideal para Trabajo Cotidiano, Juegos y Estudio</t>
        </is>
      </c>
      <c r="H3266" s="16" t="inlineStr">
        <is>
          <t>BLANCO</t>
        </is>
      </c>
      <c r="I3266" s="16" t="n">
        <v>1</v>
      </c>
      <c r="J3266" s="17" t="n">
        <v>36.8</v>
      </c>
      <c r="K3266" s="17" t="n">
        <v>49.91</v>
      </c>
      <c r="L3266" s="17" t="n">
        <v>25.86</v>
      </c>
      <c r="M3266" s="17" t="n">
        <v>0</v>
      </c>
      <c r="N3266" s="17">
        <f>K3266*0.08+L3266*0.08</f>
        <v/>
      </c>
      <c r="O3266" s="17">
        <f>-(K3266*0.025+L3266*0.025)</f>
        <v/>
      </c>
      <c r="P3266" s="17">
        <f>32</f>
        <v/>
      </c>
      <c r="Q3266" s="17">
        <f>J3266+L3266+N3266+O3266-P3266-M3266</f>
        <v/>
      </c>
    </row>
    <row r="3267">
      <c r="A3267" s="16" t="inlineStr">
        <is>
          <t>5.29-6.4</t>
        </is>
      </c>
      <c r="B3267" s="16" t="inlineStr">
        <is>
          <t>PO-128-02873373005430376</t>
        </is>
      </c>
      <c r="C3267" s="16" t="inlineStr">
        <is>
          <t>Shipped</t>
        </is>
      </c>
      <c r="D3267" s="16" t="inlineStr">
        <is>
          <t>128-02873390044790376</t>
        </is>
      </c>
      <c r="E3267" s="16" t="inlineStr">
        <is>
          <t>Shipped</t>
        </is>
      </c>
      <c r="F3267" s="16" t="inlineStr">
        <is>
          <t>LB02235-azul</t>
        </is>
      </c>
      <c r="G3267" s="16" t="inlineStr">
        <is>
          <t>Audífonos Inalámbricos para la Cabeza, Recargables y Multifuncionales - Conectan a Varios Dispositivos, soportan Radio FM, Tarjeta TF y AUX - 4 Horas de Reproducción Musical - Ideal para Trabajo Cotidiano, Juegos y Estudio</t>
        </is>
      </c>
      <c r="H3267" s="16" t="inlineStr">
        <is>
          <t>AZUL</t>
        </is>
      </c>
      <c r="I3267" s="16" t="n">
        <v>1</v>
      </c>
      <c r="J3267" s="17" t="n">
        <v>29</v>
      </c>
      <c r="K3267" s="17" t="n">
        <v>33.9</v>
      </c>
      <c r="L3267" s="17" t="n">
        <v>25.86</v>
      </c>
      <c r="M3267" s="17" t="n">
        <v>0</v>
      </c>
      <c r="N3267" s="17">
        <f>K3267*0.08+L3267*0.08</f>
        <v/>
      </c>
      <c r="O3267" s="17">
        <f>-(K3267*0.025+L3267*0.025)</f>
        <v/>
      </c>
      <c r="P3267" s="17">
        <f>32</f>
        <v/>
      </c>
      <c r="Q3267" s="17">
        <f>J3267+L3267+N3267+O3267-P3267-M3267</f>
        <v/>
      </c>
    </row>
    <row r="3268">
      <c r="A3268" s="16" t="inlineStr">
        <is>
          <t>5.29-6.4</t>
        </is>
      </c>
      <c r="B3268" s="16" t="inlineStr">
        <is>
          <t>PO-128-03319767214713797</t>
        </is>
      </c>
      <c r="C3268" s="16" t="inlineStr">
        <is>
          <t>Shipped</t>
        </is>
      </c>
      <c r="D3268" s="16" t="inlineStr">
        <is>
          <t>128-03319777700473797</t>
        </is>
      </c>
      <c r="E3268" s="16" t="inlineStr">
        <is>
          <t>Shipped</t>
        </is>
      </c>
      <c r="F3268" s="16" t="inlineStr">
        <is>
          <t>MCM-001N</t>
        </is>
      </c>
      <c r="G3268" s="16" t="inlineStr">
        <is>
          <t>Musicord Altavoz Inalámbrico BT Portátil: ¡Sonido impactante, luces LED multicolores y 4 horas de autonomía! Compatible con TWS, FM, TF y USB – Imprescindible para fiestas y viajes</t>
        </is>
      </c>
      <c r="H3268" s="16" t="inlineStr">
        <is>
          <t>NEGRO</t>
        </is>
      </c>
      <c r="I3268" s="16" t="n">
        <v>1</v>
      </c>
      <c r="J3268" s="17" t="n">
        <v>51.07</v>
      </c>
      <c r="K3268" s="17" t="n">
        <v>62.34</v>
      </c>
      <c r="L3268" s="17" t="n">
        <v>25.86</v>
      </c>
      <c r="M3268" s="17" t="n">
        <v>0</v>
      </c>
      <c r="N3268" s="17">
        <f>K3268*0.08+L3268*0.08</f>
        <v/>
      </c>
      <c r="O3268" s="17">
        <f>-(K3268*0.025+L3268*0.025)</f>
        <v/>
      </c>
      <c r="P3268" s="17">
        <f>32</f>
        <v/>
      </c>
      <c r="Q3268" s="17">
        <f>J3268+L3268+N3268+O3268-P3268-M3268</f>
        <v/>
      </c>
    </row>
    <row r="3269">
      <c r="A3269" s="16" t="inlineStr">
        <is>
          <t>5.29-6.4</t>
        </is>
      </c>
      <c r="B3269" s="16" t="inlineStr">
        <is>
          <t>PO-128-03024443269751525</t>
        </is>
      </c>
      <c r="C3269" s="16" t="inlineStr">
        <is>
          <t>Shipped</t>
        </is>
      </c>
      <c r="D3269" s="16" t="inlineStr">
        <is>
          <t>128-03024453755511525</t>
        </is>
      </c>
      <c r="E3269" s="16" t="inlineStr">
        <is>
          <t>Shipped</t>
        </is>
      </c>
      <c r="F3269" s="16" t="inlineStr">
        <is>
          <t>VA880T</t>
        </is>
      </c>
      <c r="G326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269" s="16" t="inlineStr">
        <is>
          <t>1 pieza</t>
        </is>
      </c>
      <c r="I3269" s="16" t="n">
        <v>1</v>
      </c>
      <c r="J3269" s="17" t="n">
        <v>114.98</v>
      </c>
      <c r="K3269" s="17" t="n">
        <v>107.24</v>
      </c>
      <c r="L3269" s="17" t="n">
        <v>25.86</v>
      </c>
      <c r="M3269" s="17" t="n">
        <v>0</v>
      </c>
      <c r="N3269" s="17">
        <f>K3269*0.08+L3269*0.08</f>
        <v/>
      </c>
      <c r="O3269" s="17">
        <f>-(K3269*0.025+L3269*0.025)</f>
        <v/>
      </c>
      <c r="P3269" s="17">
        <f>32</f>
        <v/>
      </c>
      <c r="Q3269" s="17">
        <f>J3269+L3269+N3269+O3269-P3269-M3269</f>
        <v/>
      </c>
    </row>
    <row r="3270">
      <c r="A3270" s="16" t="inlineStr">
        <is>
          <t>5.29-6.4</t>
        </is>
      </c>
      <c r="B3270" s="16" t="inlineStr">
        <is>
          <t>PO-128-03142037095032742</t>
        </is>
      </c>
      <c r="C3270" s="16" t="inlineStr">
        <is>
          <t>Shipped</t>
        </is>
      </c>
      <c r="D3270" s="16" t="inlineStr">
        <is>
          <t>128-03142204621432742</t>
        </is>
      </c>
      <c r="E3270" s="16" t="inlineStr">
        <is>
          <t>Shipped</t>
        </is>
      </c>
      <c r="F3270" s="16" t="inlineStr">
        <is>
          <t>LB02235-negro</t>
        </is>
      </c>
      <c r="G3270" s="16" t="inlineStr">
        <is>
          <t>Audífonos Inalámbricos para la Cabeza, Recargables y Multifuncionales - Conectan a Varios Dispositivos, soportan Radio FM, Tarjeta TF y AUX - 4 Horas de Reproducción Musical - Ideal para Trabajo Cotidiano, Juegos y Estudio</t>
        </is>
      </c>
      <c r="H3270" s="16" t="inlineStr">
        <is>
          <t>NEGRO</t>
        </is>
      </c>
      <c r="I3270" s="16" t="n">
        <v>1</v>
      </c>
      <c r="J3270" s="17" t="n">
        <v>36.8</v>
      </c>
      <c r="K3270" s="17" t="n">
        <v>49.91</v>
      </c>
      <c r="L3270" s="17" t="n">
        <v>12.93</v>
      </c>
      <c r="M3270" s="17" t="n">
        <v>0</v>
      </c>
      <c r="N3270" s="17">
        <f>K3270*0.08+L3270*0.08</f>
        <v/>
      </c>
      <c r="O3270" s="17">
        <f>-(K3270*0.025+L3270*0.025)</f>
        <v/>
      </c>
      <c r="P3270" s="17">
        <f>32</f>
        <v/>
      </c>
      <c r="Q3270" s="17">
        <f>J3270+L3270+N3270+O3270-P3270-M3270</f>
        <v/>
      </c>
    </row>
    <row r="3271">
      <c r="A3271" s="16" t="inlineStr">
        <is>
          <t>5.29-6.4</t>
        </is>
      </c>
      <c r="B3271" s="16" t="inlineStr">
        <is>
          <t>PO-128-03142037095032742</t>
        </is>
      </c>
      <c r="C3271" s="16" t="inlineStr">
        <is>
          <t>Shipped</t>
        </is>
      </c>
      <c r="D3271" s="16" t="inlineStr">
        <is>
          <t>128-03142102508152742</t>
        </is>
      </c>
      <c r="E3271" s="16" t="inlineStr">
        <is>
          <t>Shipped</t>
        </is>
      </c>
      <c r="F3271" s="16" t="inlineStr">
        <is>
          <t>LB02235-negro</t>
        </is>
      </c>
      <c r="G3271" s="16" t="inlineStr">
        <is>
          <t>Audífonos Inalámbricos para la Cabeza, Recargables y Multifuncionales - Conectan a Varios Dispositivos, soportan Radio FM, Tarjeta TF y AUX - 4 Horas de Reproducción Musical - Ideal para Trabajo Cotidiano, Juegos y Estudio</t>
        </is>
      </c>
      <c r="H3271" s="16" t="inlineStr">
        <is>
          <t>NEGRO</t>
        </is>
      </c>
      <c r="I3271" s="16" t="n">
        <v>1</v>
      </c>
      <c r="J3271" s="17" t="n">
        <v>36.8</v>
      </c>
      <c r="K3271" s="17" t="n">
        <v>49.91</v>
      </c>
      <c r="L3271" s="17" t="n">
        <v>12.93</v>
      </c>
      <c r="M3271" s="17" t="n">
        <v>0</v>
      </c>
      <c r="N3271" s="17">
        <f>K3271*0.08+L3271*0.08</f>
        <v/>
      </c>
      <c r="O3271" s="17">
        <f>-(K3271*0.025+L3271*0.025)</f>
        <v/>
      </c>
      <c r="P3271" s="17">
        <f>32</f>
        <v/>
      </c>
      <c r="Q3271" s="17">
        <f>J3271+L3271+N3271+O3271-P3271-M3271</f>
        <v/>
      </c>
    </row>
    <row r="3272">
      <c r="A3272" s="16" t="inlineStr">
        <is>
          <t>5.29-6.4</t>
        </is>
      </c>
      <c r="B3272" s="16" t="inlineStr">
        <is>
          <t>PO-128-03090933207671129</t>
        </is>
      </c>
      <c r="C3272" s="16" t="inlineStr">
        <is>
          <t>Shipped</t>
        </is>
      </c>
      <c r="D3272" s="16" t="inlineStr">
        <is>
          <t>128-03090975150711129</t>
        </is>
      </c>
      <c r="E3272" s="16" t="inlineStr">
        <is>
          <t>Shipped</t>
        </is>
      </c>
      <c r="F3272" s="16" t="inlineStr">
        <is>
          <t>FA028</t>
        </is>
      </c>
      <c r="G3272" s="16" t="inlineStr">
        <is>
          <t>Extractor de agua para garrafas de agua, compatible con carga USB, extractor de agua automático, práctico, con dos modos de toma de agua: manual y programado, ideal para dormitorios, salones, oficinas, uso al aire libre y otros escenarios.</t>
        </is>
      </c>
      <c r="H3272" s="16" t="inlineStr">
        <is>
          <t>FA028</t>
        </is>
      </c>
      <c r="I3272" s="16" t="n">
        <v>1</v>
      </c>
      <c r="J3272" s="17" t="n">
        <v>35</v>
      </c>
      <c r="K3272" s="17" t="n">
        <v>44.58</v>
      </c>
      <c r="L3272" s="17" t="n">
        <v>25.86</v>
      </c>
      <c r="M3272" s="17" t="n">
        <v>0</v>
      </c>
      <c r="N3272" s="17">
        <f>K3272*0.08+L3272*0.08</f>
        <v/>
      </c>
      <c r="O3272" s="17">
        <f>-(K3272*0.025+L3272*0.025)</f>
        <v/>
      </c>
      <c r="P3272" s="17">
        <f>32</f>
        <v/>
      </c>
      <c r="Q3272" s="17">
        <f>J3272+L3272+N3272+O3272-P3272-M3272</f>
        <v/>
      </c>
    </row>
    <row r="3273">
      <c r="A3273" s="16" t="inlineStr">
        <is>
          <t>5.29-6.4</t>
        </is>
      </c>
      <c r="B3273" s="16" t="inlineStr">
        <is>
          <t>PO-128-02793425705590660</t>
        </is>
      </c>
      <c r="C3273" s="16" t="inlineStr">
        <is>
          <t>Shipped</t>
        </is>
      </c>
      <c r="D3273" s="16" t="inlineStr">
        <is>
          <t>128-02793436191350660</t>
        </is>
      </c>
      <c r="E3273" s="16" t="inlineStr">
        <is>
          <t>Shipped</t>
        </is>
      </c>
      <c r="F3273" s="16" t="inlineStr">
        <is>
          <t>SA325T</t>
        </is>
      </c>
      <c r="G3273" s="16" t="inlineStr">
        <is>
          <t>Subwoofer Portátil Inalámbrico con Luces RGB, Sonido de Alta Potencia y Batería Duradera, TWS TF USB, Perfecto para Campamento Fiestas y Entretenimiento en Casa</t>
        </is>
      </c>
      <c r="H3273" s="16" t="inlineStr">
        <is>
          <t>NEGRO</t>
        </is>
      </c>
      <c r="I3273" s="16" t="n">
        <v>1</v>
      </c>
      <c r="J3273" s="17" t="n">
        <v>38</v>
      </c>
      <c r="K3273" s="17" t="n">
        <v>47.04</v>
      </c>
      <c r="L3273" s="17" t="n">
        <v>25.86</v>
      </c>
      <c r="M3273" s="17" t="n">
        <v>0</v>
      </c>
      <c r="N3273" s="17">
        <f>K3273*0.08+L3273*0.08</f>
        <v/>
      </c>
      <c r="O3273" s="17">
        <f>-(K3273*0.025+L3273*0.025)</f>
        <v/>
      </c>
      <c r="P3273" s="17">
        <f>32</f>
        <v/>
      </c>
      <c r="Q3273" s="17">
        <f>J3273+L3273+N3273+O3273-P3273-M3273</f>
        <v/>
      </c>
    </row>
    <row r="3274">
      <c r="A3274" s="16" t="inlineStr">
        <is>
          <t>5.29-6.4</t>
        </is>
      </c>
      <c r="B3274" s="16" t="inlineStr">
        <is>
          <t>PO-128-03406495867513278</t>
        </is>
      </c>
      <c r="C3274" s="16" t="inlineStr">
        <is>
          <t>Shipped</t>
        </is>
      </c>
      <c r="D3274" s="16" t="inlineStr">
        <is>
          <t>128-03406522081913278</t>
        </is>
      </c>
      <c r="E3274" s="16" t="inlineStr">
        <is>
          <t>Shipped</t>
        </is>
      </c>
      <c r="F3274" s="16" t="inlineStr">
        <is>
          <t>LB02235-azul</t>
        </is>
      </c>
      <c r="G3274" s="16" t="inlineStr">
        <is>
          <t>Audífonos Inalámbricos para la Cabeza, Recargables y Multifuncionales - Conectan a Varios Dispositivos, soportan Radio FM, Tarjeta TF y AUX - 4 Horas de Reproducción Musical - Ideal para Trabajo Cotidiano, Juegos y Estudio</t>
        </is>
      </c>
      <c r="H3274" s="16" t="inlineStr">
        <is>
          <t>AZUL</t>
        </is>
      </c>
      <c r="I3274" s="16" t="n">
        <v>1</v>
      </c>
      <c r="J3274" s="17" t="n">
        <v>29</v>
      </c>
      <c r="K3274" s="17" t="n">
        <v>42.11</v>
      </c>
      <c r="L3274" s="17" t="n">
        <v>25.86</v>
      </c>
      <c r="M3274" s="17" t="n">
        <v>0</v>
      </c>
      <c r="N3274" s="17">
        <f>K3274*0.08+L3274*0.08</f>
        <v/>
      </c>
      <c r="O3274" s="17">
        <f>-(K3274*0.025+L3274*0.025)</f>
        <v/>
      </c>
      <c r="P3274" s="17">
        <f>32</f>
        <v/>
      </c>
      <c r="Q3274" s="17">
        <f>J3274+L3274+N3274+O3274-P3274-M3274</f>
        <v/>
      </c>
    </row>
    <row r="3275">
      <c r="A3275" s="16" t="inlineStr">
        <is>
          <t>5.29-6.4</t>
        </is>
      </c>
      <c r="B3275" s="16" t="inlineStr">
        <is>
          <t>PO-128-03072719836791044</t>
        </is>
      </c>
      <c r="C3275" s="16" t="inlineStr">
        <is>
          <t>Shipped</t>
        </is>
      </c>
      <c r="D3275" s="16" t="inlineStr">
        <is>
          <t>128-03072730322551044</t>
        </is>
      </c>
      <c r="E3275" s="16" t="inlineStr">
        <is>
          <t>Shipped</t>
        </is>
      </c>
      <c r="F3275" s="16" t="inlineStr">
        <is>
          <t>S39W48</t>
        </is>
      </c>
      <c r="G3275"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275" s="16" t="inlineStr">
        <is>
          <t>1 pieza</t>
        </is>
      </c>
      <c r="I3275" s="16" t="n">
        <v>1</v>
      </c>
      <c r="J3275" s="17" t="n">
        <v>30</v>
      </c>
      <c r="K3275" s="17" t="n">
        <v>36.13</v>
      </c>
      <c r="L3275" s="17" t="n">
        <v>25.86</v>
      </c>
      <c r="M3275" s="17" t="n">
        <v>0</v>
      </c>
      <c r="N3275" s="17">
        <f>K3275*0.08+L3275*0.08</f>
        <v/>
      </c>
      <c r="O3275" s="17">
        <f>-(K3275*0.025+L3275*0.025)</f>
        <v/>
      </c>
      <c r="P3275" s="17">
        <f>32</f>
        <v/>
      </c>
      <c r="Q3275" s="17">
        <f>J3275+L3275+N3275+O3275-P3275-M3275</f>
        <v/>
      </c>
    </row>
    <row r="3276">
      <c r="A3276" s="16" t="inlineStr">
        <is>
          <t>5.29-6.4</t>
        </is>
      </c>
      <c r="B3276" s="16" t="inlineStr">
        <is>
          <t>PO-128-03412818238073307</t>
        </is>
      </c>
      <c r="C3276" s="16" t="inlineStr">
        <is>
          <t>Shipped</t>
        </is>
      </c>
      <c r="D3276" s="16" t="inlineStr">
        <is>
          <t>128-03412797266553307</t>
        </is>
      </c>
      <c r="E3276" s="16" t="inlineStr">
        <is>
          <t>Shipped</t>
        </is>
      </c>
      <c r="F3276" s="16" t="inlineStr">
        <is>
          <t>FA028</t>
        </is>
      </c>
      <c r="G3276" s="16" t="inlineStr">
        <is>
          <t>Extractor de agua para garrafas de agua, compatible con carga USB, extractor de agua automático, práctico, con dos modos de toma de agua: manual y programado, ideal para dormitorios, salones, oficinas, uso al aire libre y otros escenarios.</t>
        </is>
      </c>
      <c r="H3276" s="16" t="inlineStr">
        <is>
          <t>FA028</t>
        </is>
      </c>
      <c r="I3276" s="16" t="n">
        <v>1</v>
      </c>
      <c r="J3276" s="17" t="n">
        <v>35</v>
      </c>
      <c r="K3276" s="17" t="n">
        <v>44.58</v>
      </c>
      <c r="L3276" s="17" t="n">
        <v>25.86</v>
      </c>
      <c r="M3276" s="17" t="n">
        <v>0</v>
      </c>
      <c r="N3276" s="17">
        <f>K3276*0.08+L3276*0.08</f>
        <v/>
      </c>
      <c r="O3276" s="17">
        <f>-(K3276*0.025+L3276*0.025)</f>
        <v/>
      </c>
      <c r="P3276" s="17">
        <f>32</f>
        <v/>
      </c>
      <c r="Q3276" s="17">
        <f>J3276+L3276+N3276+O3276-P3276-M3276</f>
        <v/>
      </c>
    </row>
    <row r="3277">
      <c r="A3277" s="16" t="inlineStr">
        <is>
          <t>5.29-6.4</t>
        </is>
      </c>
      <c r="B3277" s="16" t="inlineStr">
        <is>
          <t>PO-128-03193122263672502</t>
        </is>
      </c>
      <c r="C3277" s="16" t="inlineStr">
        <is>
          <t>Shipped</t>
        </is>
      </c>
      <c r="D3277" s="16" t="inlineStr">
        <is>
          <t>128-03193101292152502</t>
        </is>
      </c>
      <c r="E3277" s="16" t="inlineStr">
        <is>
          <t>Shipped</t>
        </is>
      </c>
      <c r="F3277" s="16" t="inlineStr">
        <is>
          <t>LB02235-rojo</t>
        </is>
      </c>
      <c r="G3277" s="16" t="inlineStr">
        <is>
          <t>Audífonos Inalámbricos para la Cabeza, Recargables y Multifuncionales - Conectan a Varios Dispositivos, soportan Radio FM, Tarjeta TF y AUX - 4 Horas de Reproducción Musical - Ideal para Trabajo Cotidiano, Juegos y Estudio</t>
        </is>
      </c>
      <c r="H3277" s="16" t="inlineStr">
        <is>
          <t>ROJO</t>
        </is>
      </c>
      <c r="I3277" s="16" t="n">
        <v>1</v>
      </c>
      <c r="J3277" s="17" t="n">
        <v>36.8</v>
      </c>
      <c r="K3277" s="17" t="n">
        <v>47.54</v>
      </c>
      <c r="L3277" s="17" t="n">
        <v>25.86</v>
      </c>
      <c r="M3277" s="17" t="n">
        <v>0</v>
      </c>
      <c r="N3277" s="17">
        <f>K3277*0.08+L3277*0.08</f>
        <v/>
      </c>
      <c r="O3277" s="17">
        <f>-(K3277*0.025+L3277*0.025)</f>
        <v/>
      </c>
      <c r="P3277" s="17">
        <f>32</f>
        <v/>
      </c>
      <c r="Q3277" s="17">
        <f>J3277+L3277+N3277+O3277-P3277-M3277</f>
        <v/>
      </c>
    </row>
    <row r="3278">
      <c r="A3278" s="16" t="inlineStr">
        <is>
          <t>5.29-6.4</t>
        </is>
      </c>
      <c r="B3278" s="16" t="inlineStr">
        <is>
          <t>PO-128-02813596416630540</t>
        </is>
      </c>
      <c r="C3278" s="16" t="inlineStr">
        <is>
          <t>Shipped</t>
        </is>
      </c>
      <c r="D3278" s="16" t="inlineStr">
        <is>
          <t>128-02813564959350540</t>
        </is>
      </c>
      <c r="E3278" s="16" t="inlineStr">
        <is>
          <t>Shipped</t>
        </is>
      </c>
      <c r="F3278" s="16" t="inlineStr">
        <is>
          <t>LB02235-negro</t>
        </is>
      </c>
      <c r="G3278" s="16" t="inlineStr">
        <is>
          <t>Audífonos Inalámbricos para la Cabeza, Recargables y Multifuncionales - Conectan a Varios Dispositivos, soportan Radio FM, Tarjeta TF y AUX - 4 Horas de Reproducción Musical - Ideal para Trabajo Cotidiano, Juegos y Estudio</t>
        </is>
      </c>
      <c r="H3278" s="16" t="inlineStr">
        <is>
          <t>NEGRO</t>
        </is>
      </c>
      <c r="I3278" s="16" t="n">
        <v>1</v>
      </c>
      <c r="J3278" s="17" t="n">
        <v>36.8</v>
      </c>
      <c r="K3278" s="17" t="n">
        <v>49.91</v>
      </c>
      <c r="L3278" s="17" t="n">
        <v>25.86</v>
      </c>
      <c r="M3278" s="17" t="n">
        <v>0</v>
      </c>
      <c r="N3278" s="17">
        <f>K3278*0.08+L3278*0.08</f>
        <v/>
      </c>
      <c r="O3278" s="17">
        <f>-(K3278*0.025+L3278*0.025)</f>
        <v/>
      </c>
      <c r="P3278" s="17">
        <f>32</f>
        <v/>
      </c>
      <c r="Q3278" s="17">
        <f>J3278+L3278+N3278+O3278-P3278-M3278</f>
        <v/>
      </c>
    </row>
    <row r="3279">
      <c r="A3279" s="16" t="inlineStr">
        <is>
          <t>5.29-6.4</t>
        </is>
      </c>
      <c r="B3279" s="16" t="inlineStr">
        <is>
          <t>PO-128-02956517745271864</t>
        </is>
      </c>
      <c r="C3279" s="16" t="inlineStr">
        <is>
          <t>Shipped</t>
        </is>
      </c>
      <c r="D3279" s="16" t="inlineStr">
        <is>
          <t>128-02956538716791864</t>
        </is>
      </c>
      <c r="E3279" s="16" t="inlineStr">
        <is>
          <t>Shipped</t>
        </is>
      </c>
      <c r="F3279" s="16" t="inlineStr">
        <is>
          <t>LB02235-rojo</t>
        </is>
      </c>
      <c r="G3279" s="16" t="inlineStr">
        <is>
          <t>Audífonos Inalámbricos para la Cabeza, Recargables y Multifuncionales - Conectan a Varios Dispositivos, soportan Radio FM, Tarjeta TF y AUX - 4 Horas de Reproducción Musical - Ideal para Trabajo Cotidiano, Juegos y Estudio</t>
        </is>
      </c>
      <c r="H3279" s="16" t="inlineStr">
        <is>
          <t>ROJO</t>
        </is>
      </c>
      <c r="I3279" s="16" t="n">
        <v>1</v>
      </c>
      <c r="J3279" s="17" t="n">
        <v>36.8</v>
      </c>
      <c r="K3279" s="17" t="n">
        <v>49.91</v>
      </c>
      <c r="L3279" s="17" t="n">
        <v>25.86</v>
      </c>
      <c r="M3279" s="17" t="n">
        <v>0</v>
      </c>
      <c r="N3279" s="17">
        <f>K3279*0.08+L3279*0.08</f>
        <v/>
      </c>
      <c r="O3279" s="17">
        <f>-(K3279*0.025+L3279*0.025)</f>
        <v/>
      </c>
      <c r="P3279" s="17">
        <f>32</f>
        <v/>
      </c>
      <c r="Q3279" s="17">
        <f>J3279+L3279+N3279+O3279-P3279-M3279</f>
        <v/>
      </c>
    </row>
    <row r="3280">
      <c r="A3280" s="16" t="inlineStr">
        <is>
          <t>5.29-6.4</t>
        </is>
      </c>
      <c r="B3280" s="16" t="inlineStr">
        <is>
          <t>PO-128-03052752159351165</t>
        </is>
      </c>
      <c r="C3280" s="16" t="inlineStr">
        <is>
          <t>Shipped</t>
        </is>
      </c>
      <c r="D3280" s="16" t="inlineStr">
        <is>
          <t>128-03052710216311165</t>
        </is>
      </c>
      <c r="E3280" s="16" t="inlineStr">
        <is>
          <t>Shipped</t>
        </is>
      </c>
      <c r="F3280" s="16" t="inlineStr">
        <is>
          <t>KTS-1678N</t>
        </is>
      </c>
      <c r="G3280" s="16" t="inlineStr">
        <is>
          <t>Bocina portátil Inalámbrico, de 3 pulgadas, tamaño de bolsillo, 170 g, con asa, compatible con TF, USB y Micro SD, con radio FM y función TWS (True Wireless Stereo), adecuada para relajarse en casa o viajar al aire libre.</t>
        </is>
      </c>
      <c r="H3280" s="16" t="inlineStr">
        <is>
          <t>KTS-1678N</t>
        </is>
      </c>
      <c r="I3280" s="16" t="n">
        <v>1</v>
      </c>
      <c r="J3280" s="17" t="n">
        <v>43</v>
      </c>
      <c r="K3280" s="17" t="n">
        <v>41.3</v>
      </c>
      <c r="L3280" s="17" t="n">
        <v>8.68</v>
      </c>
      <c r="M3280" s="17" t="n">
        <v>0</v>
      </c>
      <c r="N3280" s="17">
        <f>K3280*0.08+L3280*0.08</f>
        <v/>
      </c>
      <c r="O3280" s="17">
        <f>-(K3280*0.025+L3280*0.025)</f>
        <v/>
      </c>
      <c r="P3280" s="17">
        <f>32</f>
        <v/>
      </c>
      <c r="Q3280" s="17">
        <f>J3280+L3280+N3280+O3280-P3280-M3280</f>
        <v/>
      </c>
    </row>
    <row r="3281">
      <c r="A3281" s="16" t="inlineStr">
        <is>
          <t>5.29-6.4</t>
        </is>
      </c>
      <c r="B3281" s="16" t="inlineStr">
        <is>
          <t>PO-128-03052752159351165</t>
        </is>
      </c>
      <c r="C3281" s="16" t="inlineStr">
        <is>
          <t>Shipped</t>
        </is>
      </c>
      <c r="D3281" s="16" t="inlineStr">
        <is>
          <t>128-03052762645111165</t>
        </is>
      </c>
      <c r="E3281" s="16" t="inlineStr">
        <is>
          <t>Shipped</t>
        </is>
      </c>
      <c r="F3281" s="16" t="inlineStr">
        <is>
          <t>KTS-1678V</t>
        </is>
      </c>
      <c r="G3281" s="16" t="inlineStr">
        <is>
          <t>Bocina portátil Inalámbrico, de 3 pulgadas, tamaño de bolsillo, 170 g, con asa, compatible con TF, USB y Micro SD, con radio FM y función TWS (True Wireless Stereo), adecuada para relajarse en casa o viajar al aire libre.</t>
        </is>
      </c>
      <c r="H3281" s="16" t="inlineStr">
        <is>
          <t>KTS-1678V</t>
        </is>
      </c>
      <c r="I3281" s="16" t="n">
        <v>1</v>
      </c>
      <c r="J3281" s="17" t="n">
        <v>42.5</v>
      </c>
      <c r="K3281" s="17" t="n">
        <v>40.93</v>
      </c>
      <c r="L3281" s="17" t="n">
        <v>8.59</v>
      </c>
      <c r="M3281" s="17" t="n">
        <v>0</v>
      </c>
      <c r="N3281" s="17">
        <f>K3281*0.08+L3281*0.08</f>
        <v/>
      </c>
      <c r="O3281" s="17">
        <f>-(K3281*0.025+L3281*0.025)</f>
        <v/>
      </c>
      <c r="P3281" s="17">
        <f>32</f>
        <v/>
      </c>
      <c r="Q3281" s="17">
        <f>J3281+L3281+N3281+O3281-P3281-M3281</f>
        <v/>
      </c>
    </row>
    <row r="3282">
      <c r="A3282" s="16" t="inlineStr">
        <is>
          <t>5.29-6.4</t>
        </is>
      </c>
      <c r="B3282" s="16" t="inlineStr">
        <is>
          <t>PO-128-03052752159351165</t>
        </is>
      </c>
      <c r="C3282" s="16" t="inlineStr">
        <is>
          <t>Shipped</t>
        </is>
      </c>
      <c r="D3282" s="16" t="inlineStr">
        <is>
          <t>128-03052720702071165</t>
        </is>
      </c>
      <c r="E3282" s="16" t="inlineStr">
        <is>
          <t>Shipped</t>
        </is>
      </c>
      <c r="F3282" s="16" t="inlineStr">
        <is>
          <t>KTS-1678A</t>
        </is>
      </c>
      <c r="G3282" s="16" t="inlineStr">
        <is>
          <t>Bocina portátil Inalámbrico, de 3 pulgadas, tamaño de bolsillo, 170 g, con asa, compatible con TF, USB y Micro SD, con radio FM y función TWS (True Wireless Stereo), adecuada para relajarse en casa o viajar al aire libre.</t>
        </is>
      </c>
      <c r="H3282" s="16" t="inlineStr">
        <is>
          <t>KTS-1678A</t>
        </is>
      </c>
      <c r="I3282" s="16" t="n">
        <v>1</v>
      </c>
      <c r="J3282" s="17" t="n">
        <v>42.5</v>
      </c>
      <c r="K3282" s="17" t="n">
        <v>40.92</v>
      </c>
      <c r="L3282" s="17" t="n">
        <v>8.59</v>
      </c>
      <c r="M3282" s="17" t="n">
        <v>0</v>
      </c>
      <c r="N3282" s="17">
        <f>K3282*0.08+L3282*0.08</f>
        <v/>
      </c>
      <c r="O3282" s="17">
        <f>-(K3282*0.025+L3282*0.025)</f>
        <v/>
      </c>
      <c r="P3282" s="17">
        <f>32</f>
        <v/>
      </c>
      <c r="Q3282" s="17">
        <f>J3282+L3282+N3282+O3282-P3282-M3282</f>
        <v/>
      </c>
    </row>
    <row r="3283">
      <c r="A3283" s="16" t="inlineStr">
        <is>
          <t>5.29-6.4</t>
        </is>
      </c>
      <c r="B3283" s="16" t="inlineStr">
        <is>
          <t>PO-128-02865000904310298</t>
        </is>
      </c>
      <c r="C3283" s="16" t="inlineStr">
        <is>
          <t>Shipped</t>
        </is>
      </c>
      <c r="D3283" s="16" t="inlineStr">
        <is>
          <t>128-02865021875830298</t>
        </is>
      </c>
      <c r="E3283" s="16" t="inlineStr">
        <is>
          <t>Shipped</t>
        </is>
      </c>
      <c r="F3283" s="16" t="inlineStr">
        <is>
          <t>MCM-001N</t>
        </is>
      </c>
      <c r="G3283" s="16" t="inlineStr">
        <is>
          <t>Musicord Altavoz Inalámbrico BT Portátil: ¡Sonido impactante, luces LED multicolores y 4 horas de autonomía! Compatible con TWS, FM, TF y USB – Imprescindible para fiestas y viajes</t>
        </is>
      </c>
      <c r="H3283" s="16" t="inlineStr">
        <is>
          <t>NEGRO</t>
        </is>
      </c>
      <c r="I3283" s="16" t="n">
        <v>1</v>
      </c>
      <c r="J3283" s="17" t="n">
        <v>52</v>
      </c>
      <c r="K3283" s="17" t="n">
        <v>63.28</v>
      </c>
      <c r="L3283" s="17" t="n">
        <v>25.86</v>
      </c>
      <c r="M3283" s="17" t="n">
        <v>0</v>
      </c>
      <c r="N3283" s="17">
        <f>K3283*0.08+L3283*0.08</f>
        <v/>
      </c>
      <c r="O3283" s="17">
        <f>-(K3283*0.025+L3283*0.025)</f>
        <v/>
      </c>
      <c r="P3283" s="17">
        <f>32</f>
        <v/>
      </c>
      <c r="Q3283" s="17">
        <f>J3283+L3283+N3283+O3283-P3283-M3283</f>
        <v/>
      </c>
    </row>
    <row r="3284">
      <c r="A3284" s="16" t="inlineStr">
        <is>
          <t>5.29-6.4</t>
        </is>
      </c>
      <c r="B3284" s="16" t="inlineStr">
        <is>
          <t>PO-128-03191081825912514</t>
        </is>
      </c>
      <c r="C3284" s="16" t="inlineStr">
        <is>
          <t>Shipped</t>
        </is>
      </c>
      <c r="D3284" s="16" t="inlineStr">
        <is>
          <t>128-03191123768952514</t>
        </is>
      </c>
      <c r="E3284" s="16" t="inlineStr">
        <is>
          <t>Shipped</t>
        </is>
      </c>
      <c r="F3284" s="16" t="inlineStr">
        <is>
          <t>KTS-1678N</t>
        </is>
      </c>
      <c r="G3284" s="16" t="inlineStr">
        <is>
          <t>Bocina portátil Inalámbrico, de 3 pulgadas, tamaño de bolsillo, 170 g, con asa, compatible con TF, USB y Micro SD, con radio FM y función TWS (True Wireless Stereo), adecuada para relajarse en casa o viajar al aire libre.</t>
        </is>
      </c>
      <c r="H3284" s="16" t="inlineStr">
        <is>
          <t>KTS-1678N</t>
        </is>
      </c>
      <c r="I3284" s="16" t="n">
        <v>1</v>
      </c>
      <c r="J3284" s="17" t="n">
        <v>43</v>
      </c>
      <c r="K3284" s="17" t="n">
        <v>56.89</v>
      </c>
      <c r="L3284" s="17" t="n">
        <v>25.86</v>
      </c>
      <c r="M3284" s="17" t="n">
        <v>0</v>
      </c>
      <c r="N3284" s="17">
        <f>K3284*0.08+L3284*0.08</f>
        <v/>
      </c>
      <c r="O3284" s="17">
        <f>-(K3284*0.025+L3284*0.025)</f>
        <v/>
      </c>
      <c r="P3284" s="17">
        <f>32</f>
        <v/>
      </c>
      <c r="Q3284" s="17">
        <f>J3284+L3284+N3284+O3284-P3284-M3284</f>
        <v/>
      </c>
    </row>
    <row r="3285">
      <c r="A3285" s="16" t="inlineStr">
        <is>
          <t>5.29-6.4</t>
        </is>
      </c>
      <c r="B3285" s="16" t="inlineStr">
        <is>
          <t>PO-128-03308937400953732</t>
        </is>
      </c>
      <c r="C3285" s="16" t="inlineStr">
        <is>
          <t>Shipped</t>
        </is>
      </c>
      <c r="D3285" s="16" t="inlineStr">
        <is>
          <t>128-03308963615353732</t>
        </is>
      </c>
      <c r="E3285" s="16" t="inlineStr">
        <is>
          <t>Shipped</t>
        </is>
      </c>
      <c r="F3285" s="16" t="inlineStr">
        <is>
          <t>MB-185N</t>
        </is>
      </c>
      <c r="G3285" s="16" t="inlineStr">
        <is>
          <t>Bocina Radio FM/Reproductor, Compatible con Tarjeta TF, USB, Bluetooth, Aplicable para celular, computadora, Ipad y consola.</t>
        </is>
      </c>
      <c r="H3285" s="16" t="inlineStr">
        <is>
          <t>NEGRO/MB-185</t>
        </is>
      </c>
      <c r="I3285" s="16" t="n">
        <v>1</v>
      </c>
      <c r="J3285" s="17" t="n">
        <v>75.5</v>
      </c>
      <c r="K3285" s="17" t="n">
        <v>88.44</v>
      </c>
      <c r="L3285" s="17" t="n">
        <v>25.86</v>
      </c>
      <c r="M3285" s="17" t="n">
        <v>0</v>
      </c>
      <c r="N3285" s="17">
        <f>K3285*0.08+L3285*0.08</f>
        <v/>
      </c>
      <c r="O3285" s="17">
        <f>-(K3285*0.025+L3285*0.025)</f>
        <v/>
      </c>
      <c r="P3285" s="17">
        <f>32</f>
        <v/>
      </c>
      <c r="Q3285" s="17">
        <f>J3285+L3285+N3285+O3285-P3285-M3285</f>
        <v/>
      </c>
    </row>
    <row r="3286">
      <c r="A3286" s="16" t="inlineStr">
        <is>
          <t>5.29-6.4</t>
        </is>
      </c>
      <c r="B3286" s="16" t="inlineStr">
        <is>
          <t>PO-128-02892605896310199</t>
        </is>
      </c>
      <c r="C3286" s="16" t="inlineStr">
        <is>
          <t>Shipped</t>
        </is>
      </c>
      <c r="D3286" s="16" t="inlineStr">
        <is>
          <t>128-02892723861110199</t>
        </is>
      </c>
      <c r="E3286" s="16" t="inlineStr">
        <is>
          <t>Shipped</t>
        </is>
      </c>
      <c r="F3286" s="16" t="inlineStr">
        <is>
          <t>LV34W04</t>
        </is>
      </c>
      <c r="G328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286" s="16" t="inlineStr">
        <is>
          <t>LV34W04</t>
        </is>
      </c>
      <c r="I3286" s="16" t="n">
        <v>3</v>
      </c>
      <c r="J3286" s="17" t="n">
        <v>690.9</v>
      </c>
      <c r="K3286" s="17" t="n">
        <v>772.95</v>
      </c>
      <c r="L3286" s="17" t="n">
        <v>0</v>
      </c>
      <c r="M3286" s="17" t="n">
        <v>0</v>
      </c>
      <c r="N3286" s="17">
        <f>K3286*0.08+L3286*0.08</f>
        <v/>
      </c>
      <c r="O3286" s="17">
        <f>-(K3286*0.025+L3286*0.025)</f>
        <v/>
      </c>
      <c r="P3286" s="17">
        <f>32</f>
        <v/>
      </c>
      <c r="Q3286" s="17">
        <f>J3286+L3286+N3286+O3286-P3286-M3286</f>
        <v/>
      </c>
    </row>
    <row r="3287">
      <c r="A3287" s="16" t="inlineStr">
        <is>
          <t>5.29-6.4</t>
        </is>
      </c>
      <c r="B3287" s="16" t="inlineStr">
        <is>
          <t>PO-128-02979794949751790</t>
        </is>
      </c>
      <c r="C3287" s="16" t="inlineStr">
        <is>
          <t>Shipped</t>
        </is>
      </c>
      <c r="D3287" s="16" t="inlineStr">
        <is>
          <t>128-02979753006711790</t>
        </is>
      </c>
      <c r="E3287" s="16" t="inlineStr">
        <is>
          <t>Shipped</t>
        </is>
      </c>
      <c r="F3287" s="16" t="inlineStr">
        <is>
          <t>S09W18IB</t>
        </is>
      </c>
      <c r="G328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287" s="16" t="inlineStr">
        <is>
          <t>1 pieza</t>
        </is>
      </c>
      <c r="I3287" s="16" t="n">
        <v>2</v>
      </c>
      <c r="J3287" s="17" t="n">
        <v>66</v>
      </c>
      <c r="K3287" s="17" t="n">
        <v>8.279999999999999</v>
      </c>
      <c r="L3287" s="17" t="n">
        <v>25.86</v>
      </c>
      <c r="M3287" s="17" t="n">
        <v>0</v>
      </c>
      <c r="N3287" s="17">
        <f>K3287*0.08+L3287*0.08</f>
        <v/>
      </c>
      <c r="O3287" s="17">
        <f>-(K3287*0.025+L3287*0.025)</f>
        <v/>
      </c>
      <c r="P3287" s="17">
        <f>32</f>
        <v/>
      </c>
      <c r="Q3287" s="17">
        <f>J3287+L3287+N3287+O3287-P3287-M3287</f>
        <v/>
      </c>
    </row>
    <row r="3288">
      <c r="A3288" s="16" t="inlineStr">
        <is>
          <t>5.29-6.4</t>
        </is>
      </c>
      <c r="B3288" s="16" t="inlineStr">
        <is>
          <t>PO-128-02894957097590249</t>
        </is>
      </c>
      <c r="C3288" s="16" t="inlineStr">
        <is>
          <t>Shipped</t>
        </is>
      </c>
      <c r="D3288" s="16" t="inlineStr">
        <is>
          <t>128-02894999040630249</t>
        </is>
      </c>
      <c r="E3288" s="16" t="inlineStr">
        <is>
          <t>Shipped</t>
        </is>
      </c>
      <c r="F3288" s="16" t="inlineStr">
        <is>
          <t>FA028</t>
        </is>
      </c>
      <c r="G3288" s="16" t="inlineStr">
        <is>
          <t>Extractor de agua para garrafas de agua, compatible con carga USB, extractor de agua automático, práctico, con dos modos de toma de agua: manual y programado, ideal para dormitorios, salones, oficinas, uso al aire libre y otros escenarios.</t>
        </is>
      </c>
      <c r="H3288" s="16" t="inlineStr">
        <is>
          <t>FA028</t>
        </is>
      </c>
      <c r="I3288" s="16" t="n">
        <v>1</v>
      </c>
      <c r="J3288" s="17" t="n">
        <v>35</v>
      </c>
      <c r="K3288" s="17" t="n">
        <v>44.58</v>
      </c>
      <c r="L3288" s="17" t="n">
        <v>25.86</v>
      </c>
      <c r="M3288" s="17" t="n">
        <v>0</v>
      </c>
      <c r="N3288" s="17">
        <f>K3288*0.08+L3288*0.08</f>
        <v/>
      </c>
      <c r="O3288" s="17">
        <f>-(K3288*0.025+L3288*0.025)</f>
        <v/>
      </c>
      <c r="P3288" s="17">
        <f>32</f>
        <v/>
      </c>
      <c r="Q3288" s="17">
        <f>J3288+L3288+N3288+O3288-P3288-M3288</f>
        <v/>
      </c>
    </row>
    <row r="3289">
      <c r="A3289" s="16" t="inlineStr">
        <is>
          <t>5.29-6.4</t>
        </is>
      </c>
      <c r="B3289" s="16" t="inlineStr">
        <is>
          <t>PO-128-02798334689910697</t>
        </is>
      </c>
      <c r="C3289" s="16" t="inlineStr">
        <is>
          <t>Shipped</t>
        </is>
      </c>
      <c r="D3289" s="16" t="inlineStr">
        <is>
          <t>128-02798376632950697</t>
        </is>
      </c>
      <c r="E3289" s="16" t="inlineStr">
        <is>
          <t>Shipped</t>
        </is>
      </c>
      <c r="F3289" s="16" t="inlineStr">
        <is>
          <t>MCM-001N</t>
        </is>
      </c>
      <c r="G3289" s="16" t="inlineStr">
        <is>
          <t>Musicord Altavoz Inalámbrico BT Portátil: ¡Sonido impactante, luces LED multicolores y 4 horas de autonomía! Compatible con TWS, FM, TF y USB – Imprescindible para fiestas y viajes</t>
        </is>
      </c>
      <c r="H3289" s="16" t="inlineStr">
        <is>
          <t>NEGRO</t>
        </is>
      </c>
      <c r="I3289" s="16" t="n">
        <v>1</v>
      </c>
      <c r="J3289" s="17" t="n">
        <v>52</v>
      </c>
      <c r="K3289" s="17" t="n">
        <v>63.28</v>
      </c>
      <c r="L3289" s="17" t="n">
        <v>25.86</v>
      </c>
      <c r="M3289" s="17" t="n">
        <v>0</v>
      </c>
      <c r="N3289" s="17">
        <f>K3289*0.08+L3289*0.08</f>
        <v/>
      </c>
      <c r="O3289" s="17">
        <f>-(K3289*0.025+L3289*0.025)</f>
        <v/>
      </c>
      <c r="P3289" s="17">
        <f>32</f>
        <v/>
      </c>
      <c r="Q3289" s="17">
        <f>J3289+L3289+N3289+O3289-P3289-M3289</f>
        <v/>
      </c>
    </row>
    <row r="3290">
      <c r="A3290" s="16" t="inlineStr">
        <is>
          <t>5.29-6.4</t>
        </is>
      </c>
      <c r="B3290" s="16" t="inlineStr">
        <is>
          <t>PO-128-02887981322870163</t>
        </is>
      </c>
      <c r="C3290" s="16" t="inlineStr">
        <is>
          <t>Shipped</t>
        </is>
      </c>
      <c r="D3290" s="16" t="inlineStr">
        <is>
          <t>128-02888002294390163</t>
        </is>
      </c>
      <c r="E3290" s="16" t="inlineStr">
        <is>
          <t>Shipped</t>
        </is>
      </c>
      <c r="F3290" s="16" t="inlineStr">
        <is>
          <t>LB02235-azul</t>
        </is>
      </c>
      <c r="G3290" s="16" t="inlineStr">
        <is>
          <t>Audífonos Inalámbricos para la Cabeza, Recargables y Multifuncionales - Conectan a Varios Dispositivos, soportan Radio FM, Tarjeta TF y AUX - 4 Horas de Reproducción Musical - Ideal para Trabajo Cotidiano, Juegos y Estudio</t>
        </is>
      </c>
      <c r="H3290" s="16" t="inlineStr">
        <is>
          <t>AZUL</t>
        </is>
      </c>
      <c r="I3290" s="16" t="n">
        <v>1</v>
      </c>
      <c r="J3290" s="17" t="n">
        <v>29</v>
      </c>
      <c r="K3290" s="17" t="n">
        <v>42.11</v>
      </c>
      <c r="L3290" s="17" t="n">
        <v>12.22</v>
      </c>
      <c r="M3290" s="17" t="n">
        <v>0</v>
      </c>
      <c r="N3290" s="17">
        <f>K3290*0.08+L3290*0.08</f>
        <v/>
      </c>
      <c r="O3290" s="17">
        <f>-(K3290*0.025+L3290*0.025)</f>
        <v/>
      </c>
      <c r="P3290" s="17">
        <f>32</f>
        <v/>
      </c>
      <c r="Q3290" s="17">
        <f>J3290+L3290+N3290+O3290-P3290-M3290</f>
        <v/>
      </c>
    </row>
    <row r="3291">
      <c r="A3291" s="16" t="inlineStr">
        <is>
          <t>5.29-6.4</t>
        </is>
      </c>
      <c r="B3291" s="16" t="inlineStr">
        <is>
          <t>PO-128-02887981322870163</t>
        </is>
      </c>
      <c r="C3291" s="16" t="inlineStr">
        <is>
          <t>Shipped</t>
        </is>
      </c>
      <c r="D3291" s="16" t="inlineStr">
        <is>
          <t>128-02887918408310163</t>
        </is>
      </c>
      <c r="E3291" s="16" t="inlineStr">
        <is>
          <t>Shipped</t>
        </is>
      </c>
      <c r="F3291" s="16" t="inlineStr">
        <is>
          <t>SA325T</t>
        </is>
      </c>
      <c r="G3291" s="16" t="inlineStr">
        <is>
          <t>Subwoofer Portátil Inalámbrico con Luces RGB, Sonido de Alta Potencia y Batería Duradera, TWS TF USB, Perfecto para Campamento Fiestas y Entretenimiento en Casa</t>
        </is>
      </c>
      <c r="H3291" s="16" t="inlineStr">
        <is>
          <t>NEGRO</t>
        </is>
      </c>
      <c r="I3291" s="16" t="n">
        <v>1</v>
      </c>
      <c r="J3291" s="17" t="n">
        <v>38</v>
      </c>
      <c r="K3291" s="17" t="n">
        <v>47.04</v>
      </c>
      <c r="L3291" s="17" t="n">
        <v>13.65</v>
      </c>
      <c r="M3291" s="17" t="n">
        <v>0</v>
      </c>
      <c r="N3291" s="17">
        <f>K3291*0.08+L3291*0.08</f>
        <v/>
      </c>
      <c r="O3291" s="17">
        <f>-(K3291*0.025+L3291*0.025)</f>
        <v/>
      </c>
      <c r="P3291" s="17">
        <f>32</f>
        <v/>
      </c>
      <c r="Q3291" s="17">
        <f>J3291+L3291+N3291+O3291-P3291-M3291</f>
        <v/>
      </c>
    </row>
    <row r="3292">
      <c r="A3292" s="16" t="inlineStr">
        <is>
          <t>5.29-6.4</t>
        </is>
      </c>
      <c r="B3292" s="16" t="inlineStr">
        <is>
          <t>PO-128-02754347090550959</t>
        </is>
      </c>
      <c r="C3292" s="16" t="inlineStr">
        <is>
          <t>Shipped</t>
        </is>
      </c>
      <c r="D3292" s="16" t="inlineStr">
        <is>
          <t>128-02754336604790959</t>
        </is>
      </c>
      <c r="E3292" s="16" t="inlineStr">
        <is>
          <t>Shipped</t>
        </is>
      </c>
      <c r="F3292" s="16" t="inlineStr">
        <is>
          <t>LB02235-blanco</t>
        </is>
      </c>
      <c r="G3292" s="16" t="inlineStr">
        <is>
          <t>Audífonos Inalámbricos para la Cabeza, Recargables y Multifuncionales - Conectan a Varios Dispositivos, soportan Radio FM, Tarjeta TF y AUX - 4 Horas de Reproducción Musical - Ideal para Trabajo Cotidiano, Juegos y Estudio</t>
        </is>
      </c>
      <c r="H3292" s="16" t="inlineStr">
        <is>
          <t>BLANCO</t>
        </is>
      </c>
      <c r="I3292" s="16" t="n">
        <v>1</v>
      </c>
      <c r="J3292" s="17" t="n">
        <v>36.8</v>
      </c>
      <c r="K3292" s="17" t="n">
        <v>49.91</v>
      </c>
      <c r="L3292" s="17" t="n">
        <v>25.86</v>
      </c>
      <c r="M3292" s="17" t="n">
        <v>0</v>
      </c>
      <c r="N3292" s="17">
        <f>K3292*0.08+L3292*0.08</f>
        <v/>
      </c>
      <c r="O3292" s="17">
        <f>-(K3292*0.025+L3292*0.025)</f>
        <v/>
      </c>
      <c r="P3292" s="17">
        <f>32</f>
        <v/>
      </c>
      <c r="Q3292" s="17">
        <f>J3292+L3292+N3292+O3292-P3292-M3292</f>
        <v/>
      </c>
    </row>
    <row r="3293">
      <c r="A3293" s="16" t="inlineStr">
        <is>
          <t>5.29-6.4</t>
        </is>
      </c>
      <c r="B3293" s="16" t="inlineStr">
        <is>
          <t>PO-128-03398023250553203</t>
        </is>
      </c>
      <c r="C3293" s="16" t="inlineStr">
        <is>
          <t>Shipped</t>
        </is>
      </c>
      <c r="D3293" s="16" t="inlineStr">
        <is>
          <t>128-03398049464953203</t>
        </is>
      </c>
      <c r="E3293" s="16" t="inlineStr">
        <is>
          <t>Shipped</t>
        </is>
      </c>
      <c r="F3293" s="16" t="inlineStr">
        <is>
          <t>T5050RGB07</t>
        </is>
      </c>
      <c r="G3293"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3293" s="16" t="inlineStr">
        <is>
          <t>T5050RGB07</t>
        </is>
      </c>
      <c r="I3293" s="16" t="n">
        <v>1</v>
      </c>
      <c r="J3293" s="17" t="n">
        <v>56.4</v>
      </c>
      <c r="K3293" s="17" t="n">
        <v>73.75</v>
      </c>
      <c r="L3293" s="17" t="n">
        <v>0</v>
      </c>
      <c r="M3293" s="17" t="n">
        <v>0</v>
      </c>
      <c r="N3293" s="17">
        <f>K3293*0.08+L3293*0.08</f>
        <v/>
      </c>
      <c r="O3293" s="17">
        <f>-(K3293*0.025+L3293*0.025)</f>
        <v/>
      </c>
      <c r="P3293" s="17">
        <f>32</f>
        <v/>
      </c>
      <c r="Q3293" s="17">
        <f>J3293+L3293+N3293+O3293-P3293-M3293</f>
        <v/>
      </c>
    </row>
    <row r="3294">
      <c r="A3294" s="16" t="inlineStr">
        <is>
          <t>5.29-6.4</t>
        </is>
      </c>
      <c r="B3294" s="16" t="inlineStr">
        <is>
          <t>PO-128-03398023250553203</t>
        </is>
      </c>
      <c r="C3294" s="16" t="inlineStr">
        <is>
          <t>Shipped</t>
        </is>
      </c>
      <c r="D3294" s="16" t="inlineStr">
        <is>
          <t>128-03398007521913203</t>
        </is>
      </c>
      <c r="E3294" s="16" t="inlineStr">
        <is>
          <t>Shipped</t>
        </is>
      </c>
      <c r="F3294" s="16" t="inlineStr">
        <is>
          <t>LB02235-negro</t>
        </is>
      </c>
      <c r="G3294" s="16" t="inlineStr">
        <is>
          <t>Audífonos Inalámbricos para la Cabeza, Recargables y Multifuncionales - Conectan a Varios Dispositivos, soportan Radio FM, Tarjeta TF y AUX - 4 Horas de Reproducción Musical - Ideal para Trabajo Cotidiano, Juegos y Estudio</t>
        </is>
      </c>
      <c r="H3294" s="16" t="inlineStr">
        <is>
          <t>NEGRO</t>
        </is>
      </c>
      <c r="I3294" s="16" t="n">
        <v>1</v>
      </c>
      <c r="J3294" s="17" t="n">
        <v>36.8</v>
      </c>
      <c r="K3294" s="17" t="n">
        <v>49.91</v>
      </c>
      <c r="L3294" s="17" t="n">
        <v>0</v>
      </c>
      <c r="M3294" s="17" t="n">
        <v>0</v>
      </c>
      <c r="N3294" s="17">
        <f>K3294*0.08+L3294*0.08</f>
        <v/>
      </c>
      <c r="O3294" s="17">
        <f>-(K3294*0.025+L3294*0.025)</f>
        <v/>
      </c>
      <c r="P3294" s="17">
        <f>32</f>
        <v/>
      </c>
      <c r="Q3294" s="17">
        <f>J3294+L3294+N3294+O3294-P3294-M3294</f>
        <v/>
      </c>
    </row>
    <row r="3295">
      <c r="A3295" s="16" t="inlineStr">
        <is>
          <t>5.29-6.4</t>
        </is>
      </c>
      <c r="B3295" s="16" t="inlineStr">
        <is>
          <t>PO-128-03398023250553203</t>
        </is>
      </c>
      <c r="C3295" s="16" t="inlineStr">
        <is>
          <t>Shipped</t>
        </is>
      </c>
      <c r="D3295" s="16" t="inlineStr">
        <is>
          <t>128-03397986550393203</t>
        </is>
      </c>
      <c r="E3295" s="16" t="inlineStr">
        <is>
          <t>Shipped</t>
        </is>
      </c>
      <c r="F3295" s="16" t="inlineStr">
        <is>
          <t>LB02235-rojo</t>
        </is>
      </c>
      <c r="G3295" s="16" t="inlineStr">
        <is>
          <t>Audífonos Inalámbricos para la Cabeza, Recargables y Multifuncionales - Conectan a Varios Dispositivos, soportan Radio FM, Tarjeta TF y AUX - 4 Horas de Reproducción Musical - Ideal para Trabajo Cotidiano, Juegos y Estudio</t>
        </is>
      </c>
      <c r="H3295" s="16" t="inlineStr">
        <is>
          <t>ROJO</t>
        </is>
      </c>
      <c r="I3295" s="16" t="n">
        <v>1</v>
      </c>
      <c r="J3295" s="17" t="n">
        <v>36.8</v>
      </c>
      <c r="K3295" s="17" t="n">
        <v>49.91</v>
      </c>
      <c r="L3295" s="17" t="n">
        <v>0</v>
      </c>
      <c r="M3295" s="17" t="n">
        <v>0</v>
      </c>
      <c r="N3295" s="17">
        <f>K3295*0.08+L3295*0.08</f>
        <v/>
      </c>
      <c r="O3295" s="17">
        <f>-(K3295*0.025+L3295*0.025)</f>
        <v/>
      </c>
      <c r="P3295" s="17">
        <f>32</f>
        <v/>
      </c>
      <c r="Q3295" s="17">
        <f>J3295+L3295+N3295+O3295-P3295-M3295</f>
        <v/>
      </c>
    </row>
    <row r="3296">
      <c r="A3296" s="16" t="inlineStr">
        <is>
          <t>5.29-6.4</t>
        </is>
      </c>
      <c r="B3296" s="16" t="inlineStr">
        <is>
          <t>PO-128-03398023250553203</t>
        </is>
      </c>
      <c r="C3296" s="16" t="inlineStr">
        <is>
          <t>Shipped</t>
        </is>
      </c>
      <c r="D3296" s="16" t="inlineStr">
        <is>
          <t>128-03398028493433203</t>
        </is>
      </c>
      <c r="E3296" s="16" t="inlineStr">
        <is>
          <t>Shipped</t>
        </is>
      </c>
      <c r="F3296" s="16" t="inlineStr">
        <is>
          <t>LB02235-blanco</t>
        </is>
      </c>
      <c r="G3296" s="16" t="inlineStr">
        <is>
          <t>Audífonos Inalámbricos para la Cabeza, Recargables y Multifuncionales - Conectan a Varios Dispositivos, soportan Radio FM, Tarjeta TF y AUX - 4 Horas de Reproducción Musical - Ideal para Trabajo Cotidiano, Juegos y Estudio</t>
        </is>
      </c>
      <c r="H3296" s="16" t="inlineStr">
        <is>
          <t>BLANCO</t>
        </is>
      </c>
      <c r="I3296" s="16" t="n">
        <v>1</v>
      </c>
      <c r="J3296" s="17" t="n">
        <v>36.8</v>
      </c>
      <c r="K3296" s="17" t="n">
        <v>49.91</v>
      </c>
      <c r="L3296" s="17" t="n">
        <v>0</v>
      </c>
      <c r="M3296" s="17" t="n">
        <v>0</v>
      </c>
      <c r="N3296" s="17">
        <f>K3296*0.08+L3296*0.08</f>
        <v/>
      </c>
      <c r="O3296" s="17">
        <f>-(K3296*0.025+L3296*0.025)</f>
        <v/>
      </c>
      <c r="P3296" s="17">
        <f>32</f>
        <v/>
      </c>
      <c r="Q3296" s="17">
        <f>J3296+L3296+N3296+O3296-P3296-M3296</f>
        <v/>
      </c>
    </row>
    <row r="3297">
      <c r="A3297" s="16" t="inlineStr">
        <is>
          <t>5.29-6.4</t>
        </is>
      </c>
      <c r="B3297" s="16" t="inlineStr">
        <is>
          <t>PO-128-03398023250553203</t>
        </is>
      </c>
      <c r="C3297" s="16" t="inlineStr">
        <is>
          <t>Shipped</t>
        </is>
      </c>
      <c r="D3297" s="16" t="inlineStr">
        <is>
          <t>128-03397981307513203</t>
        </is>
      </c>
      <c r="E3297" s="16" t="inlineStr">
        <is>
          <t>Shipped</t>
        </is>
      </c>
      <c r="F3297" s="16" t="inlineStr">
        <is>
          <t>LB02235-azul</t>
        </is>
      </c>
      <c r="G3297" s="16" t="inlineStr">
        <is>
          <t>Audífonos Inalámbricos para la Cabeza, Recargables y Multifuncionales - Conectan a Varios Dispositivos, soportan Radio FM, Tarjeta TF y AUX - 4 Horas de Reproducción Musical - Ideal para Trabajo Cotidiano, Juegos y Estudio</t>
        </is>
      </c>
      <c r="H3297" s="16" t="inlineStr">
        <is>
          <t>AZUL</t>
        </is>
      </c>
      <c r="I3297" s="16" t="n">
        <v>1</v>
      </c>
      <c r="J3297" s="17" t="n">
        <v>29</v>
      </c>
      <c r="K3297" s="17" t="n">
        <v>42.11</v>
      </c>
      <c r="L3297" s="17" t="n">
        <v>0</v>
      </c>
      <c r="M3297" s="17" t="n">
        <v>0</v>
      </c>
      <c r="N3297" s="17">
        <f>K3297*0.08+L3297*0.08</f>
        <v/>
      </c>
      <c r="O3297" s="17">
        <f>-(K3297*0.025+L3297*0.025)</f>
        <v/>
      </c>
      <c r="P3297" s="17">
        <f>32</f>
        <v/>
      </c>
      <c r="Q3297" s="17">
        <f>J3297+L3297+N3297+O3297-P3297-M3297</f>
        <v/>
      </c>
    </row>
    <row r="3298">
      <c r="A3298" s="16" t="inlineStr">
        <is>
          <t>5.29-6.4</t>
        </is>
      </c>
      <c r="B3298" s="16" t="inlineStr">
        <is>
          <t>PO-128-02865149814390299</t>
        </is>
      </c>
      <c r="C3298" s="16" t="inlineStr">
        <is>
          <t>Shipped</t>
        </is>
      </c>
      <c r="D3298" s="16" t="inlineStr">
        <is>
          <t>128-02865139328630299</t>
        </is>
      </c>
      <c r="E3298" s="16" t="inlineStr">
        <is>
          <t>Shipped</t>
        </is>
      </c>
      <c r="F3298" s="16" t="inlineStr">
        <is>
          <t>LV34W04</t>
        </is>
      </c>
      <c r="G329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298" s="16" t="inlineStr">
        <is>
          <t>LV34W04</t>
        </is>
      </c>
      <c r="I3298" s="16" t="n">
        <v>1</v>
      </c>
      <c r="J3298" s="17" t="n">
        <v>230.3</v>
      </c>
      <c r="K3298" s="17" t="n">
        <v>257.65</v>
      </c>
      <c r="L3298" s="17" t="n">
        <v>25.86</v>
      </c>
      <c r="M3298" s="17" t="n">
        <v>0</v>
      </c>
      <c r="N3298" s="17">
        <f>K3298*0.08+L3298*0.08</f>
        <v/>
      </c>
      <c r="O3298" s="17">
        <f>-(K3298*0.025+L3298*0.025)</f>
        <v/>
      </c>
      <c r="P3298" s="17">
        <f>32</f>
        <v/>
      </c>
      <c r="Q3298" s="17">
        <f>J3298+L3298+N3298+O3298-P3298-M3298</f>
        <v/>
      </c>
    </row>
    <row r="3299">
      <c r="A3299" s="16" t="inlineStr">
        <is>
          <t>5.29-6.4</t>
        </is>
      </c>
      <c r="B3299" s="16" t="inlineStr">
        <is>
          <t>PO-128-03372511017593355</t>
        </is>
      </c>
      <c r="C3299" s="16" t="inlineStr">
        <is>
          <t>Shipped</t>
        </is>
      </c>
      <c r="D3299" s="16" t="inlineStr">
        <is>
          <t>128-03372531989113355</t>
        </is>
      </c>
      <c r="E3299" s="16" t="inlineStr">
        <is>
          <t>Shipped</t>
        </is>
      </c>
      <c r="F3299" s="16" t="inlineStr">
        <is>
          <t>LB02235-blanco</t>
        </is>
      </c>
      <c r="G3299" s="16" t="inlineStr">
        <is>
          <t>Audífonos Inalámbricos para la Cabeza, Recargables y Multifuncionales - Conectan a Varios Dispositivos, soportan Radio FM, Tarjeta TF y AUX - 4 Horas de Reproducción Musical - Ideal para Trabajo Cotidiano, Juegos y Estudio</t>
        </is>
      </c>
      <c r="H3299" s="16" t="inlineStr">
        <is>
          <t>BLANCO</t>
        </is>
      </c>
      <c r="I3299" s="16" t="n">
        <v>3</v>
      </c>
      <c r="J3299" s="17" t="n">
        <v>110.4</v>
      </c>
      <c r="K3299" s="17" t="n">
        <v>104.82</v>
      </c>
      <c r="L3299" s="17" t="n">
        <v>25.86</v>
      </c>
      <c r="M3299" s="17" t="n">
        <v>0</v>
      </c>
      <c r="N3299" s="17">
        <f>K3299*0.08+L3299*0.08</f>
        <v/>
      </c>
      <c r="O3299" s="17">
        <f>-(K3299*0.025+L3299*0.025)</f>
        <v/>
      </c>
      <c r="P3299" s="17">
        <f>32</f>
        <v/>
      </c>
      <c r="Q3299" s="17">
        <f>J3299+L3299+N3299+O3299-P3299-M3299</f>
        <v/>
      </c>
    </row>
    <row r="3300">
      <c r="A3300" s="16" t="inlineStr">
        <is>
          <t>5.29-6.4</t>
        </is>
      </c>
      <c r="B3300" s="16" t="inlineStr">
        <is>
          <t>PO-128-02986787134071556</t>
        </is>
      </c>
      <c r="C3300" s="16" t="inlineStr">
        <is>
          <t>Shipped</t>
        </is>
      </c>
      <c r="D3300" s="16" t="inlineStr">
        <is>
          <t>128-02986808105591556</t>
        </is>
      </c>
      <c r="E3300" s="16" t="inlineStr">
        <is>
          <t>Shipped</t>
        </is>
      </c>
      <c r="F3300" s="16" t="inlineStr">
        <is>
          <t>LB02235-azul</t>
        </is>
      </c>
      <c r="G3300" s="16" t="inlineStr">
        <is>
          <t>Audífonos Inalámbricos para la Cabeza, Recargables y Multifuncionales - Conectan a Varios Dispositivos, soportan Radio FM, Tarjeta TF y AUX - 4 Horas de Reproducción Musical - Ideal para Trabajo Cotidiano, Juegos y Estudio</t>
        </is>
      </c>
      <c r="H3300" s="16" t="inlineStr">
        <is>
          <t>AZUL</t>
        </is>
      </c>
      <c r="I3300" s="16" t="n">
        <v>2</v>
      </c>
      <c r="J3300" s="17" t="n">
        <v>58</v>
      </c>
      <c r="K3300" s="17" t="n">
        <v>73.69</v>
      </c>
      <c r="L3300" s="17" t="n">
        <v>25.86</v>
      </c>
      <c r="M3300" s="17" t="n">
        <v>0</v>
      </c>
      <c r="N3300" s="17">
        <f>K3300*0.08+L3300*0.08</f>
        <v/>
      </c>
      <c r="O3300" s="17">
        <f>-(K3300*0.025+L3300*0.025)</f>
        <v/>
      </c>
      <c r="P3300" s="17">
        <f>32</f>
        <v/>
      </c>
      <c r="Q3300" s="17">
        <f>J3300+L3300+N3300+O3300-P3300-M3300</f>
        <v/>
      </c>
    </row>
    <row r="3301">
      <c r="A3301" s="16" t="inlineStr">
        <is>
          <t>5.29-6.4</t>
        </is>
      </c>
      <c r="B3301" s="16" t="inlineStr">
        <is>
          <t>PO-128-02994619233911575</t>
        </is>
      </c>
      <c r="C3301" s="16" t="inlineStr">
        <is>
          <t>Shipped</t>
        </is>
      </c>
      <c r="D3301" s="16" t="inlineStr">
        <is>
          <t>128-02994587776631575</t>
        </is>
      </c>
      <c r="E3301" s="16" t="inlineStr">
        <is>
          <t>Shipped</t>
        </is>
      </c>
      <c r="F3301" s="16" t="inlineStr">
        <is>
          <t>SA325T</t>
        </is>
      </c>
      <c r="G3301" s="16" t="inlineStr">
        <is>
          <t>Subwoofer Portátil Inalámbrico con Luces RGB, Sonido de Alta Potencia y Batería Duradera, TWS TF USB, Perfecto para Campamento Fiestas y Entretenimiento en Casa</t>
        </is>
      </c>
      <c r="H3301" s="16" t="inlineStr">
        <is>
          <t>NEGRO</t>
        </is>
      </c>
      <c r="I3301" s="16" t="n">
        <v>1</v>
      </c>
      <c r="J3301" s="17" t="n">
        <v>38</v>
      </c>
      <c r="K3301" s="17" t="n">
        <v>47.04</v>
      </c>
      <c r="L3301" s="17" t="n">
        <v>25.86</v>
      </c>
      <c r="M3301" s="17" t="n">
        <v>0</v>
      </c>
      <c r="N3301" s="17">
        <f>K3301*0.08+L3301*0.08</f>
        <v/>
      </c>
      <c r="O3301" s="17">
        <f>-(K3301*0.025+L3301*0.025)</f>
        <v/>
      </c>
      <c r="P3301" s="17">
        <f>32</f>
        <v/>
      </c>
      <c r="Q3301" s="17">
        <f>J3301+L3301+N3301+O3301-P3301-M3301</f>
        <v/>
      </c>
    </row>
    <row r="3302">
      <c r="A3302" s="16" t="inlineStr">
        <is>
          <t>5.29-6.4</t>
        </is>
      </c>
      <c r="B3302" s="16" t="inlineStr">
        <is>
          <t>PO-128-03325253243513826</t>
        </is>
      </c>
      <c r="C3302" s="16" t="inlineStr">
        <is>
          <t>Shipped</t>
        </is>
      </c>
      <c r="D3302" s="16" t="inlineStr">
        <is>
          <t>128-03325321400953826</t>
        </is>
      </c>
      <c r="E3302" s="16" t="inlineStr">
        <is>
          <t>Shipped</t>
        </is>
      </c>
      <c r="F3302" s="16" t="inlineStr">
        <is>
          <t>LB02235-azul</t>
        </is>
      </c>
      <c r="G3302" s="16" t="inlineStr">
        <is>
          <t>Audífonos Inalámbricos para la Cabeza, Recargables y Multifuncionales - Conectan a Varios Dispositivos, soportan Radio FM, Tarjeta TF y AUX - 4 Horas de Reproducción Musical - Ideal para Trabajo Cotidiano, Juegos y Estudio</t>
        </is>
      </c>
      <c r="H3302" s="16" t="inlineStr">
        <is>
          <t>AZUL</t>
        </is>
      </c>
      <c r="I3302" s="16" t="n">
        <v>1</v>
      </c>
      <c r="J3302" s="17" t="n">
        <v>29</v>
      </c>
      <c r="K3302" s="17" t="n">
        <v>42.11</v>
      </c>
      <c r="L3302" s="17" t="n">
        <v>25.86</v>
      </c>
      <c r="M3302" s="17" t="n">
        <v>0</v>
      </c>
      <c r="N3302" s="17">
        <f>K3302*0.08+L3302*0.08</f>
        <v/>
      </c>
      <c r="O3302" s="17">
        <f>-(K3302*0.025+L3302*0.025)</f>
        <v/>
      </c>
      <c r="P3302" s="17">
        <f>32</f>
        <v/>
      </c>
      <c r="Q3302" s="17">
        <f>J3302+L3302+N3302+O3302-P3302-M3302</f>
        <v/>
      </c>
    </row>
    <row r="3303">
      <c r="A3303" s="16" t="inlineStr">
        <is>
          <t>5.29-6.4</t>
        </is>
      </c>
      <c r="B3303" s="16" t="inlineStr">
        <is>
          <t>PO-128-03125963592312902</t>
        </is>
      </c>
      <c r="C3303" s="16" t="inlineStr">
        <is>
          <t>Shipped</t>
        </is>
      </c>
      <c r="D3303" s="16" t="inlineStr">
        <is>
          <t>128-03125984563832902</t>
        </is>
      </c>
      <c r="E3303" s="16" t="inlineStr">
        <is>
          <t>Shipped</t>
        </is>
      </c>
      <c r="F3303" s="16" t="inlineStr">
        <is>
          <t>LB02235-azul</t>
        </is>
      </c>
      <c r="G3303" s="16" t="inlineStr">
        <is>
          <t>Audífonos Inalámbricos para la Cabeza, Recargables y Multifuncionales - Conectan a Varios Dispositivos, soportan Radio FM, Tarjeta TF y AUX - 4 Horas de Reproducción Musical - Ideal para Trabajo Cotidiano, Juegos y Estudio</t>
        </is>
      </c>
      <c r="H3303" s="16" t="inlineStr">
        <is>
          <t>AZUL</t>
        </is>
      </c>
      <c r="I3303" s="16" t="n">
        <v>1</v>
      </c>
      <c r="J3303" s="17" t="n">
        <v>29</v>
      </c>
      <c r="K3303" s="17" t="n">
        <v>42.11</v>
      </c>
      <c r="L3303" s="17" t="n">
        <v>25.86</v>
      </c>
      <c r="M3303" s="17" t="n">
        <v>0</v>
      </c>
      <c r="N3303" s="17">
        <f>K3303*0.08+L3303*0.08</f>
        <v/>
      </c>
      <c r="O3303" s="17">
        <f>-(K3303*0.025+L3303*0.025)</f>
        <v/>
      </c>
      <c r="P3303" s="17">
        <f>32</f>
        <v/>
      </c>
      <c r="Q3303" s="17">
        <f>J3303+L3303+N3303+O3303-P3303-M3303</f>
        <v/>
      </c>
    </row>
    <row r="3304">
      <c r="A3304" s="16" t="inlineStr">
        <is>
          <t>5.29-6.4</t>
        </is>
      </c>
      <c r="B3304" s="16" t="inlineStr">
        <is>
          <t>PO-128-03339909796473677</t>
        </is>
      </c>
      <c r="C3304" s="16" t="inlineStr">
        <is>
          <t>Shipped</t>
        </is>
      </c>
      <c r="D3304" s="16" t="inlineStr">
        <is>
          <t>128-03339951739513677</t>
        </is>
      </c>
      <c r="E3304" s="16" t="inlineStr">
        <is>
          <t>Shipped</t>
        </is>
      </c>
      <c r="F3304" s="16" t="inlineStr">
        <is>
          <t>LV34W04</t>
        </is>
      </c>
      <c r="G330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304" s="16" t="inlineStr">
        <is>
          <t>LV34W04</t>
        </is>
      </c>
      <c r="I3304" s="16" t="n">
        <v>2</v>
      </c>
      <c r="J3304" s="17" t="n">
        <v>460.6</v>
      </c>
      <c r="K3304" s="17" t="n">
        <v>515.3</v>
      </c>
      <c r="L3304" s="17" t="n">
        <v>0</v>
      </c>
      <c r="M3304" s="17" t="n">
        <v>0</v>
      </c>
      <c r="N3304" s="17">
        <f>K3304*0.08+L3304*0.08</f>
        <v/>
      </c>
      <c r="O3304" s="17">
        <f>-(K3304*0.025+L3304*0.025)</f>
        <v/>
      </c>
      <c r="P3304" s="17">
        <f>32</f>
        <v/>
      </c>
      <c r="Q3304" s="17">
        <f>J3304+L3304+N3304+O3304-P3304-M3304</f>
        <v/>
      </c>
    </row>
    <row r="3305">
      <c r="A3305" s="16" t="inlineStr">
        <is>
          <t>5.29-6.4</t>
        </is>
      </c>
      <c r="B3305" s="16" t="inlineStr">
        <is>
          <t>PO-128-02773729772150778</t>
        </is>
      </c>
      <c r="C3305" s="16" t="inlineStr">
        <is>
          <t>Shipped</t>
        </is>
      </c>
      <c r="D3305" s="16" t="inlineStr">
        <is>
          <t>128-02773750743670778</t>
        </is>
      </c>
      <c r="E3305" s="16" t="inlineStr">
        <is>
          <t>Shipped</t>
        </is>
      </c>
      <c r="F3305" s="16" t="inlineStr">
        <is>
          <t>VA880T</t>
        </is>
      </c>
      <c r="G330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305" s="16" t="inlineStr">
        <is>
          <t>1 pieza</t>
        </is>
      </c>
      <c r="I3305" s="16" t="n">
        <v>1</v>
      </c>
      <c r="J3305" s="17" t="n">
        <v>114.98</v>
      </c>
      <c r="K3305" s="17" t="n">
        <v>101.82</v>
      </c>
      <c r="L3305" s="17" t="n">
        <v>25.86</v>
      </c>
      <c r="M3305" s="17" t="n">
        <v>0</v>
      </c>
      <c r="N3305" s="17">
        <f>K3305*0.08+L3305*0.08</f>
        <v/>
      </c>
      <c r="O3305" s="17">
        <f>-(K3305*0.025+L3305*0.025)</f>
        <v/>
      </c>
      <c r="P3305" s="17">
        <f>32</f>
        <v/>
      </c>
      <c r="Q3305" s="17">
        <f>J3305+L3305+N3305+O3305-P3305-M3305</f>
        <v/>
      </c>
    </row>
    <row r="3306">
      <c r="A3306" s="16" t="inlineStr">
        <is>
          <t>5.29-6.4</t>
        </is>
      </c>
      <c r="B3306" s="16" t="inlineStr">
        <is>
          <t>PO-128-02917075599990117</t>
        </is>
      </c>
      <c r="C3306" s="16" t="inlineStr">
        <is>
          <t>Shipped</t>
        </is>
      </c>
      <c r="D3306" s="16" t="inlineStr">
        <is>
          <t>128-02917180457590117</t>
        </is>
      </c>
      <c r="E3306" s="16" t="inlineStr">
        <is>
          <t>Shipped</t>
        </is>
      </c>
      <c r="F3306" s="16" t="inlineStr">
        <is>
          <t>FA028</t>
        </is>
      </c>
      <c r="G3306" s="16" t="inlineStr">
        <is>
          <t>Extractor de agua para garrafas de agua, compatible con carga USB, extractor de agua automático, práctico, con dos modos de toma de agua: manual y programado, ideal para dormitorios, salones, oficinas, uso al aire libre y otros escenarios.</t>
        </is>
      </c>
      <c r="H3306" s="16" t="inlineStr">
        <is>
          <t>FA028</t>
        </is>
      </c>
      <c r="I3306" s="16" t="n">
        <v>1</v>
      </c>
      <c r="J3306" s="17" t="n">
        <v>35</v>
      </c>
      <c r="K3306" s="17" t="n">
        <v>44.58</v>
      </c>
      <c r="L3306" s="17" t="n">
        <v>0</v>
      </c>
      <c r="M3306" s="17" t="n">
        <v>0</v>
      </c>
      <c r="N3306" s="17">
        <f>K3306*0.08+L3306*0.08</f>
        <v/>
      </c>
      <c r="O3306" s="17">
        <f>-(K3306*0.025+L3306*0.025)</f>
        <v/>
      </c>
      <c r="P3306" s="17">
        <f>32</f>
        <v/>
      </c>
      <c r="Q3306" s="17">
        <f>J3306+L3306+N3306+O3306-P3306-M3306</f>
        <v/>
      </c>
    </row>
    <row r="3307">
      <c r="A3307" s="16" t="inlineStr">
        <is>
          <t>5.29-6.4</t>
        </is>
      </c>
      <c r="B3307" s="16" t="inlineStr">
        <is>
          <t>PO-128-02917075599990117</t>
        </is>
      </c>
      <c r="C3307" s="16" t="inlineStr">
        <is>
          <t>Shipped</t>
        </is>
      </c>
      <c r="D3307" s="16" t="inlineStr">
        <is>
          <t>128-02917138514550117</t>
        </is>
      </c>
      <c r="E3307" s="16" t="inlineStr">
        <is>
          <t>Shipped</t>
        </is>
      </c>
      <c r="F3307" s="16" t="inlineStr">
        <is>
          <t>LV34W04</t>
        </is>
      </c>
      <c r="G330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307" s="16" t="inlineStr">
        <is>
          <t>LV34W04</t>
        </is>
      </c>
      <c r="I3307" s="16" t="n">
        <v>1</v>
      </c>
      <c r="J3307" s="17" t="n">
        <v>230.3</v>
      </c>
      <c r="K3307" s="17" t="n">
        <v>257.65</v>
      </c>
      <c r="L3307" s="17" t="n">
        <v>0</v>
      </c>
      <c r="M3307" s="17" t="n">
        <v>0</v>
      </c>
      <c r="N3307" s="17">
        <f>K3307*0.08+L3307*0.08</f>
        <v/>
      </c>
      <c r="O3307" s="17">
        <f>-(K3307*0.025+L3307*0.025)</f>
        <v/>
      </c>
      <c r="P3307" s="17">
        <f>32</f>
        <v/>
      </c>
      <c r="Q3307" s="17">
        <f>J3307+L3307+N3307+O3307-P3307-M3307</f>
        <v/>
      </c>
    </row>
    <row r="3308">
      <c r="A3308" s="16" t="inlineStr">
        <is>
          <t>5.29-6.4</t>
        </is>
      </c>
      <c r="B3308" s="16" t="inlineStr">
        <is>
          <t>PO-128-02815584671350528</t>
        </is>
      </c>
      <c r="C3308" s="16" t="inlineStr">
        <is>
          <t>Shipped</t>
        </is>
      </c>
      <c r="D3308" s="16" t="inlineStr">
        <is>
          <t>128-02815574185590528</t>
        </is>
      </c>
      <c r="E3308" s="16" t="inlineStr">
        <is>
          <t>Shipped</t>
        </is>
      </c>
      <c r="F3308" s="16" t="inlineStr">
        <is>
          <t>LB02235-azul</t>
        </is>
      </c>
      <c r="G3308" s="16" t="inlineStr">
        <is>
          <t>Audífonos Inalámbricos para la Cabeza, Recargables y Multifuncionales - Conectan a Varios Dispositivos, soportan Radio FM, Tarjeta TF y AUX - 4 Horas de Reproducción Musical - Ideal para Trabajo Cotidiano, Juegos y Estudio</t>
        </is>
      </c>
      <c r="H3308" s="16" t="inlineStr">
        <is>
          <t>AZUL</t>
        </is>
      </c>
      <c r="I3308" s="16" t="n">
        <v>1</v>
      </c>
      <c r="J3308" s="17" t="n">
        <v>29</v>
      </c>
      <c r="K3308" s="17" t="n">
        <v>42.11</v>
      </c>
      <c r="L3308" s="17" t="n">
        <v>25.86</v>
      </c>
      <c r="M3308" s="17" t="n">
        <v>0</v>
      </c>
      <c r="N3308" s="17">
        <f>K3308*0.08+L3308*0.08</f>
        <v/>
      </c>
      <c r="O3308" s="17">
        <f>-(K3308*0.025+L3308*0.025)</f>
        <v/>
      </c>
      <c r="P3308" s="17">
        <f>32</f>
        <v/>
      </c>
      <c r="Q3308" s="17">
        <f>J3308+L3308+N3308+O3308-P3308-M3308</f>
        <v/>
      </c>
    </row>
    <row r="3309">
      <c r="A3309" s="16" t="inlineStr">
        <is>
          <t>5.29-6.4</t>
        </is>
      </c>
      <c r="B3309" s="16" t="inlineStr">
        <is>
          <t>PO-128-02928268984951971</t>
        </is>
      </c>
      <c r="C3309" s="16" t="inlineStr">
        <is>
          <t>Shipped</t>
        </is>
      </c>
      <c r="D3309" s="16" t="inlineStr">
        <is>
          <t>128-02928227041911971</t>
        </is>
      </c>
      <c r="E3309" s="16" t="inlineStr">
        <is>
          <t>Shipped</t>
        </is>
      </c>
      <c r="F3309" s="16" t="inlineStr">
        <is>
          <t>LB02235-negro</t>
        </is>
      </c>
      <c r="G3309" s="16" t="inlineStr">
        <is>
          <t>Audífonos Inalámbricos para la Cabeza, Recargables y Multifuncionales - Conectan a Varios Dispositivos, soportan Radio FM, Tarjeta TF y AUX - 4 Horas de Reproducción Musical - Ideal para Trabajo Cotidiano, Juegos y Estudio</t>
        </is>
      </c>
      <c r="H3309" s="16" t="inlineStr">
        <is>
          <t>NEGRO</t>
        </is>
      </c>
      <c r="I3309" s="16" t="n">
        <v>1</v>
      </c>
      <c r="J3309" s="17" t="n">
        <v>36.8</v>
      </c>
      <c r="K3309" s="17" t="n">
        <v>24.05</v>
      </c>
      <c r="L3309" s="17" t="n">
        <v>12.93</v>
      </c>
      <c r="M3309" s="17" t="n">
        <v>0</v>
      </c>
      <c r="N3309" s="17">
        <f>K3309*0.08+L3309*0.08</f>
        <v/>
      </c>
      <c r="O3309" s="17">
        <f>-(K3309*0.025+L3309*0.025)</f>
        <v/>
      </c>
      <c r="P3309" s="17">
        <f>32</f>
        <v/>
      </c>
      <c r="Q3309" s="17">
        <f>J3309+L3309+N3309+O3309-P3309-M3309</f>
        <v/>
      </c>
    </row>
    <row r="3310">
      <c r="A3310" s="16" t="inlineStr">
        <is>
          <t>5.29-6.4</t>
        </is>
      </c>
      <c r="B3310" s="16" t="inlineStr">
        <is>
          <t>PO-128-02928268984951971</t>
        </is>
      </c>
      <c r="C3310" s="16" t="inlineStr">
        <is>
          <t>Shipped</t>
        </is>
      </c>
      <c r="D3310" s="16" t="inlineStr">
        <is>
          <t>128-02928185098871971</t>
        </is>
      </c>
      <c r="E3310" s="16" t="inlineStr">
        <is>
          <t>Shipped</t>
        </is>
      </c>
      <c r="F3310" s="16" t="inlineStr">
        <is>
          <t>LB02235-rojo</t>
        </is>
      </c>
      <c r="G3310" s="16" t="inlineStr">
        <is>
          <t>Audífonos Inalámbricos para la Cabeza, Recargables y Multifuncionales - Conectan a Varios Dispositivos, soportan Radio FM, Tarjeta TF y AUX - 4 Horas de Reproducción Musical - Ideal para Trabajo Cotidiano, Juegos y Estudio</t>
        </is>
      </c>
      <c r="H3310" s="16" t="inlineStr">
        <is>
          <t>ROJO</t>
        </is>
      </c>
      <c r="I3310" s="16" t="n">
        <v>1</v>
      </c>
      <c r="J3310" s="17" t="n">
        <v>36.8</v>
      </c>
      <c r="K3310" s="17" t="n">
        <v>24.05</v>
      </c>
      <c r="L3310" s="17" t="n">
        <v>12.93</v>
      </c>
      <c r="M3310" s="17" t="n">
        <v>0</v>
      </c>
      <c r="N3310" s="17">
        <f>K3310*0.08+L3310*0.08</f>
        <v/>
      </c>
      <c r="O3310" s="17">
        <f>-(K3310*0.025+L3310*0.025)</f>
        <v/>
      </c>
      <c r="P3310" s="17">
        <f>32</f>
        <v/>
      </c>
      <c r="Q3310" s="17">
        <f>J3310+L3310+N3310+O3310-P3310-M3310</f>
        <v/>
      </c>
    </row>
    <row r="3311">
      <c r="A3311" s="16" t="inlineStr">
        <is>
          <t>5.29-6.4</t>
        </is>
      </c>
      <c r="B3311" s="16" t="inlineStr">
        <is>
          <t>PO-128-03255964877432129</t>
        </is>
      </c>
      <c r="C3311" s="16" t="inlineStr">
        <is>
          <t>Shipped</t>
        </is>
      </c>
      <c r="D3311" s="16" t="inlineStr">
        <is>
          <t>128-03255975363192129</t>
        </is>
      </c>
      <c r="E3311" s="16" t="inlineStr">
        <is>
          <t>Shipped</t>
        </is>
      </c>
      <c r="F3311" s="16" t="inlineStr">
        <is>
          <t>LB02235-blanco</t>
        </is>
      </c>
      <c r="G3311" s="16" t="inlineStr">
        <is>
          <t>Audífonos Inalámbricos para la Cabeza, Recargables y Multifuncionales - Conectan a Varios Dispositivos, soportan Radio FM, Tarjeta TF y AUX - 4 Horas de Reproducción Musical - Ideal para Trabajo Cotidiano, Juegos y Estudio</t>
        </is>
      </c>
      <c r="H3311" s="16" t="inlineStr">
        <is>
          <t>BLANCO</t>
        </is>
      </c>
      <c r="I3311" s="16" t="n">
        <v>1</v>
      </c>
      <c r="J3311" s="17" t="n">
        <v>36.8</v>
      </c>
      <c r="K3311" s="17" t="n">
        <v>49.91</v>
      </c>
      <c r="L3311" s="17" t="n">
        <v>25.86</v>
      </c>
      <c r="M3311" s="17" t="n">
        <v>0</v>
      </c>
      <c r="N3311" s="17">
        <f>K3311*0.08+L3311*0.08</f>
        <v/>
      </c>
      <c r="O3311" s="17">
        <f>-(K3311*0.025+L3311*0.025)</f>
        <v/>
      </c>
      <c r="P3311" s="17">
        <f>32</f>
        <v/>
      </c>
      <c r="Q3311" s="17">
        <f>J3311+L3311+N3311+O3311-P3311-M3311</f>
        <v/>
      </c>
    </row>
    <row r="3312">
      <c r="A3312" s="16" t="inlineStr">
        <is>
          <t>5.29-6.4</t>
        </is>
      </c>
      <c r="B3312" s="16" t="inlineStr">
        <is>
          <t>PO-128-03264012657272145</t>
        </is>
      </c>
      <c r="C3312" s="16" t="inlineStr">
        <is>
          <t>Shipped</t>
        </is>
      </c>
      <c r="D3312" s="16" t="inlineStr">
        <is>
          <t>128-03264164700792145</t>
        </is>
      </c>
      <c r="E3312" s="16" t="inlineStr">
        <is>
          <t>Shipped</t>
        </is>
      </c>
      <c r="F3312" s="16" t="inlineStr">
        <is>
          <t>SA325T</t>
        </is>
      </c>
      <c r="G3312" s="16" t="inlineStr">
        <is>
          <t>Subwoofer Portátil Inalámbrico con Luces RGB, Sonido de Alta Potencia y Batería Duradera, TWS TF USB, Perfecto para Campamento Fiestas y Entretenimiento en Casa</t>
        </is>
      </c>
      <c r="H3312" s="16" t="inlineStr">
        <is>
          <t>NEGRO</t>
        </is>
      </c>
      <c r="I3312" s="16" t="n">
        <v>1</v>
      </c>
      <c r="J3312" s="17" t="n">
        <v>38</v>
      </c>
      <c r="K3312" s="17" t="n">
        <v>47.04</v>
      </c>
      <c r="L3312" s="17" t="n">
        <v>25.86</v>
      </c>
      <c r="M3312" s="17" t="n">
        <v>0</v>
      </c>
      <c r="N3312" s="17">
        <f>K3312*0.08+L3312*0.08</f>
        <v/>
      </c>
      <c r="O3312" s="17">
        <f>-(K3312*0.025+L3312*0.025)</f>
        <v/>
      </c>
      <c r="P3312" s="17">
        <f>32</f>
        <v/>
      </c>
      <c r="Q3312" s="17">
        <f>J3312+L3312+N3312+O3312-P3312-M3312</f>
        <v/>
      </c>
    </row>
    <row r="3313">
      <c r="A3313" s="16" t="inlineStr">
        <is>
          <t>5.29-6.4</t>
        </is>
      </c>
      <c r="B3313" s="16" t="inlineStr">
        <is>
          <t>PO-128-03382189077113361</t>
        </is>
      </c>
      <c r="C3313" s="16" t="inlineStr">
        <is>
          <t>Shipped</t>
        </is>
      </c>
      <c r="D3313" s="16" t="inlineStr">
        <is>
          <t>128-03382147134073361</t>
        </is>
      </c>
      <c r="E3313" s="16" t="inlineStr">
        <is>
          <t>Shipped</t>
        </is>
      </c>
      <c r="F3313" s="16" t="inlineStr">
        <is>
          <t>SA325T</t>
        </is>
      </c>
      <c r="G3313" s="16" t="inlineStr">
        <is>
          <t>Subwoofer Portátil Inalámbrico con Luces RGB, Sonido de Alta Potencia y Batería Duradera, TWS TF USB, Perfecto para Campamento Fiestas y Entretenimiento en Casa</t>
        </is>
      </c>
      <c r="H3313" s="16" t="inlineStr">
        <is>
          <t>NEGRO</t>
        </is>
      </c>
      <c r="I3313" s="16" t="n">
        <v>1</v>
      </c>
      <c r="J3313" s="17" t="n">
        <v>38</v>
      </c>
      <c r="K3313" s="17" t="n">
        <v>47.04</v>
      </c>
      <c r="L3313" s="17" t="n">
        <v>25.86</v>
      </c>
      <c r="M3313" s="17" t="n">
        <v>0</v>
      </c>
      <c r="N3313" s="17">
        <f>K3313*0.08+L3313*0.08</f>
        <v/>
      </c>
      <c r="O3313" s="17">
        <f>-(K3313*0.025+L3313*0.025)</f>
        <v/>
      </c>
      <c r="P3313" s="17">
        <f>32</f>
        <v/>
      </c>
      <c r="Q3313" s="17">
        <f>J3313+L3313+N3313+O3313-P3313-M3313</f>
        <v/>
      </c>
    </row>
    <row r="3314">
      <c r="A3314" s="16" t="inlineStr">
        <is>
          <t>5.29-6.4</t>
        </is>
      </c>
      <c r="B3314" s="16" t="inlineStr">
        <is>
          <t>PO-128-02943908219511813</t>
        </is>
      </c>
      <c r="C3314" s="16" t="inlineStr">
        <is>
          <t>Shipped</t>
        </is>
      </c>
      <c r="D3314" s="16" t="inlineStr">
        <is>
          <t>128-02943976376951813</t>
        </is>
      </c>
      <c r="E3314" s="16" t="inlineStr">
        <is>
          <t>Shipped</t>
        </is>
      </c>
      <c r="F3314" s="16" t="inlineStr">
        <is>
          <t>LB02235-azul</t>
        </is>
      </c>
      <c r="G3314" s="16" t="inlineStr">
        <is>
          <t>Audífonos Inalámbricos para la Cabeza, Recargables y Multifuncionales - Conectan a Varios Dispositivos, soportan Radio FM, Tarjeta TF y AUX - 4 Horas de Reproducción Musical - Ideal para Trabajo Cotidiano, Juegos y Estudio</t>
        </is>
      </c>
      <c r="H3314" s="16" t="inlineStr">
        <is>
          <t>AZUL</t>
        </is>
      </c>
      <c r="I3314" s="16" t="n">
        <v>1</v>
      </c>
      <c r="J3314" s="17" t="n">
        <v>29</v>
      </c>
      <c r="K3314" s="17" t="n">
        <v>42.11</v>
      </c>
      <c r="L3314" s="17" t="n">
        <v>25.86</v>
      </c>
      <c r="M3314" s="17" t="n">
        <v>0</v>
      </c>
      <c r="N3314" s="17">
        <f>K3314*0.08+L3314*0.08</f>
        <v/>
      </c>
      <c r="O3314" s="17">
        <f>-(K3314*0.025+L3314*0.025)</f>
        <v/>
      </c>
      <c r="P3314" s="17">
        <f>32</f>
        <v/>
      </c>
      <c r="Q3314" s="17">
        <f>J3314+L3314+N3314+O3314-P3314-M3314</f>
        <v/>
      </c>
    </row>
    <row r="3315">
      <c r="A3315" s="16" t="inlineStr">
        <is>
          <t>5.29-6.4</t>
        </is>
      </c>
      <c r="B3315" s="16" t="inlineStr">
        <is>
          <t>PO-128-03403416525433235</t>
        </is>
      </c>
      <c r="C3315" s="16" t="inlineStr">
        <is>
          <t>Shipped</t>
        </is>
      </c>
      <c r="D3315" s="16" t="inlineStr">
        <is>
          <t>128-03403374582393235</t>
        </is>
      </c>
      <c r="E3315" s="16" t="inlineStr">
        <is>
          <t>Shipped</t>
        </is>
      </c>
      <c r="F3315" s="16" t="inlineStr">
        <is>
          <t>MB-178-N</t>
        </is>
      </c>
      <c r="G3315" s="16" t="inlineStr">
        <is>
          <t>Bocina de Barra Bluetooth LINK BITS con dos altavoces, sonido de alta calidad y multifuncional (Bluetooth, Radio FM, USB, TF, AUX, TWS), ideal para juegos, reuniones, oficina y cine en casa.</t>
        </is>
      </c>
      <c r="H3315" s="16" t="inlineStr">
        <is>
          <t>NEGRO</t>
        </is>
      </c>
      <c r="I3315" s="16" t="n">
        <v>1</v>
      </c>
      <c r="J3315" s="17" t="n">
        <v>135</v>
      </c>
      <c r="K3315" s="17" t="n">
        <v>152.39</v>
      </c>
      <c r="L3315" s="17" t="n">
        <v>25.86</v>
      </c>
      <c r="M3315" s="17" t="n">
        <v>0</v>
      </c>
      <c r="N3315" s="17">
        <f>K3315*0.08+L3315*0.08</f>
        <v/>
      </c>
      <c r="O3315" s="17">
        <f>-(K3315*0.025+L3315*0.025)</f>
        <v/>
      </c>
      <c r="P3315" s="17">
        <f>32</f>
        <v/>
      </c>
      <c r="Q3315" s="17">
        <f>J3315+L3315+N3315+O3315-P3315-M3315</f>
        <v/>
      </c>
    </row>
    <row r="3316">
      <c r="A3316" s="16" t="inlineStr">
        <is>
          <t>5.29-6.4</t>
        </is>
      </c>
      <c r="B3316" s="16" t="inlineStr">
        <is>
          <t>PO-128-03167935488632652</t>
        </is>
      </c>
      <c r="C3316" s="16" t="inlineStr">
        <is>
          <t>Shipped</t>
        </is>
      </c>
      <c r="D3316" s="16" t="inlineStr">
        <is>
          <t>128-03167945974392652</t>
        </is>
      </c>
      <c r="E3316" s="16" t="inlineStr">
        <is>
          <t>Shipped</t>
        </is>
      </c>
      <c r="F3316" s="16" t="inlineStr">
        <is>
          <t>LB02235-negro</t>
        </is>
      </c>
      <c r="G3316" s="16" t="inlineStr">
        <is>
          <t>Audífonos Inalámbricos para la Cabeza, Recargables y Multifuncionales - Conectan a Varios Dispositivos, soportan Radio FM, Tarjeta TF y AUX - 4 Horas de Reproducción Musical - Ideal para Trabajo Cotidiano, Juegos y Estudio</t>
        </is>
      </c>
      <c r="H3316" s="16" t="inlineStr">
        <is>
          <t>NEGRO</t>
        </is>
      </c>
      <c r="I3316" s="16" t="n">
        <v>1</v>
      </c>
      <c r="J3316" s="17" t="n">
        <v>36.8</v>
      </c>
      <c r="K3316" s="17" t="n">
        <v>49.91</v>
      </c>
      <c r="L3316" s="17" t="n">
        <v>25.86</v>
      </c>
      <c r="M3316" s="17" t="n">
        <v>0</v>
      </c>
      <c r="N3316" s="17">
        <f>K3316*0.08+L3316*0.08</f>
        <v/>
      </c>
      <c r="O3316" s="17">
        <f>-(K3316*0.025+L3316*0.025)</f>
        <v/>
      </c>
      <c r="P3316" s="17">
        <f>32</f>
        <v/>
      </c>
      <c r="Q3316" s="17">
        <f>J3316+L3316+N3316+O3316-P3316-M3316</f>
        <v/>
      </c>
    </row>
    <row r="3317">
      <c r="A3317" s="16" t="inlineStr">
        <is>
          <t>5.29-6.4</t>
        </is>
      </c>
      <c r="B3317" s="16" t="inlineStr">
        <is>
          <t>PO-128-03206745805432359</t>
        </is>
      </c>
      <c r="C3317" s="16" t="inlineStr">
        <is>
          <t>Shipped</t>
        </is>
      </c>
      <c r="D3317" s="16" t="inlineStr">
        <is>
          <t>128-03206766776952359</t>
        </is>
      </c>
      <c r="E3317" s="16" t="inlineStr">
        <is>
          <t>Shipped</t>
        </is>
      </c>
      <c r="F3317" s="16" t="inlineStr">
        <is>
          <t>LB02235-negro</t>
        </is>
      </c>
      <c r="G3317" s="16" t="inlineStr">
        <is>
          <t>Audífonos Inalámbricos para la Cabeza, Recargables y Multifuncionales - Conectan a Varios Dispositivos, soportan Radio FM, Tarjeta TF y AUX - 4 Horas de Reproducción Musical - Ideal para Trabajo Cotidiano, Juegos y Estudio</t>
        </is>
      </c>
      <c r="H3317" s="16" t="inlineStr">
        <is>
          <t>NEGRO</t>
        </is>
      </c>
      <c r="I3317" s="16" t="n">
        <v>1</v>
      </c>
      <c r="J3317" s="17" t="n">
        <v>36.8</v>
      </c>
      <c r="K3317" s="17" t="n">
        <v>49.91</v>
      </c>
      <c r="L3317" s="17" t="n">
        <v>25.86</v>
      </c>
      <c r="M3317" s="17" t="n">
        <v>0</v>
      </c>
      <c r="N3317" s="17">
        <f>K3317*0.08+L3317*0.08</f>
        <v/>
      </c>
      <c r="O3317" s="17">
        <f>-(K3317*0.025+L3317*0.025)</f>
        <v/>
      </c>
      <c r="P3317" s="17">
        <f>32</f>
        <v/>
      </c>
      <c r="Q3317" s="17">
        <f>J3317+L3317+N3317+O3317-P3317-M3317</f>
        <v/>
      </c>
    </row>
    <row r="3318">
      <c r="A3318" s="16" t="inlineStr">
        <is>
          <t>5.29-6.4</t>
        </is>
      </c>
      <c r="B3318" s="16" t="inlineStr">
        <is>
          <t>PO-128-02977622999671738</t>
        </is>
      </c>
      <c r="C3318" s="16" t="inlineStr">
        <is>
          <t>Shipped</t>
        </is>
      </c>
      <c r="D3318" s="16" t="inlineStr">
        <is>
          <t>128-02977646592631738</t>
        </is>
      </c>
      <c r="E3318" s="16" t="inlineStr">
        <is>
          <t>Shipped</t>
        </is>
      </c>
      <c r="F3318" s="16" t="inlineStr">
        <is>
          <t>LB02235-azul</t>
        </is>
      </c>
      <c r="G3318" s="16" t="inlineStr">
        <is>
          <t>Audífonos Inalámbricos para la Cabeza, Recargables y Multifuncionales - Conectan a Varios Dispositivos, soportan Radio FM, Tarjeta TF y AUX - 4 Horas de Reproducción Musical - Ideal para Trabajo Cotidiano, Juegos y Estudio</t>
        </is>
      </c>
      <c r="H3318" s="16" t="inlineStr">
        <is>
          <t>AZUL</t>
        </is>
      </c>
      <c r="I3318" s="16" t="n">
        <v>1</v>
      </c>
      <c r="J3318" s="17" t="n">
        <v>29</v>
      </c>
      <c r="K3318" s="17" t="n">
        <v>27.38</v>
      </c>
      <c r="L3318" s="17" t="n">
        <v>25.86</v>
      </c>
      <c r="M3318" s="17" t="n">
        <v>0</v>
      </c>
      <c r="N3318" s="17">
        <f>K3318*0.08+L3318*0.08</f>
        <v/>
      </c>
      <c r="O3318" s="17">
        <f>-(K3318*0.025+L3318*0.025)</f>
        <v/>
      </c>
      <c r="P3318" s="17">
        <f>32</f>
        <v/>
      </c>
      <c r="Q3318" s="17">
        <f>J3318+L3318+N3318+O3318-P3318-M3318</f>
        <v/>
      </c>
    </row>
    <row r="3319">
      <c r="A3319" s="16" t="inlineStr">
        <is>
          <t>5.29-6.4</t>
        </is>
      </c>
      <c r="B3319" s="16" t="inlineStr">
        <is>
          <t>PO-128-02865503847030297</t>
        </is>
      </c>
      <c r="C3319" s="16" t="inlineStr">
        <is>
          <t>Shipped</t>
        </is>
      </c>
      <c r="D3319" s="16" t="inlineStr">
        <is>
          <t>128-02865524818550297</t>
        </is>
      </c>
      <c r="E3319" s="16" t="inlineStr">
        <is>
          <t>Shipped</t>
        </is>
      </c>
      <c r="F3319" s="16" t="inlineStr">
        <is>
          <t>SA325T</t>
        </is>
      </c>
      <c r="G3319" s="16" t="inlineStr">
        <is>
          <t>Subwoofer Portátil Inalámbrico con Luces RGB, Sonido de Alta Potencia y Batería Duradera, TWS TF USB, Perfecto para Campamento Fiestas y Entretenimiento en Casa</t>
        </is>
      </c>
      <c r="H3319" s="16" t="inlineStr">
        <is>
          <t>NEGRO</t>
        </is>
      </c>
      <c r="I3319" s="16" t="n">
        <v>1</v>
      </c>
      <c r="J3319" s="17" t="n">
        <v>38</v>
      </c>
      <c r="K3319" s="17" t="n">
        <v>47.04</v>
      </c>
      <c r="L3319" s="17" t="n">
        <v>25.86</v>
      </c>
      <c r="M3319" s="17" t="n">
        <v>0</v>
      </c>
      <c r="N3319" s="17">
        <f>K3319*0.08+L3319*0.08</f>
        <v/>
      </c>
      <c r="O3319" s="17">
        <f>-(K3319*0.025+L3319*0.025)</f>
        <v/>
      </c>
      <c r="P3319" s="17">
        <f>32</f>
        <v/>
      </c>
      <c r="Q3319" s="17">
        <f>J3319+L3319+N3319+O3319-P3319-M3319</f>
        <v/>
      </c>
    </row>
    <row r="3320">
      <c r="A3320" s="16" t="inlineStr">
        <is>
          <t>5.29-6.4</t>
        </is>
      </c>
      <c r="B3320" s="16" t="inlineStr">
        <is>
          <t>PO-128-03176115569272669</t>
        </is>
      </c>
      <c r="C3320" s="16" t="inlineStr">
        <is>
          <t>Shipped</t>
        </is>
      </c>
      <c r="D3320" s="16" t="inlineStr">
        <is>
          <t>128-03176251884152669</t>
        </is>
      </c>
      <c r="E3320" s="16" t="inlineStr">
        <is>
          <t>Shipped</t>
        </is>
      </c>
      <c r="F3320" s="16" t="inlineStr">
        <is>
          <t>LB02235-rojo</t>
        </is>
      </c>
      <c r="G3320" s="16" t="inlineStr">
        <is>
          <t>Audífonos Inalámbricos para la Cabeza, Recargables y Multifuncionales - Conectan a Varios Dispositivos, soportan Radio FM, Tarjeta TF y AUX - 4 Horas de Reproducción Musical - Ideal para Trabajo Cotidiano, Juegos y Estudio</t>
        </is>
      </c>
      <c r="H3320" s="16" t="inlineStr">
        <is>
          <t>ROJO</t>
        </is>
      </c>
      <c r="I3320" s="16" t="n">
        <v>1</v>
      </c>
      <c r="J3320" s="17" t="n">
        <v>36.8</v>
      </c>
      <c r="K3320" s="17" t="n">
        <v>49.91</v>
      </c>
      <c r="L3320" s="17" t="n">
        <v>25.86</v>
      </c>
      <c r="M3320" s="17" t="n">
        <v>0</v>
      </c>
      <c r="N3320" s="17">
        <f>K3320*0.08+L3320*0.08</f>
        <v/>
      </c>
      <c r="O3320" s="17">
        <f>-(K3320*0.025+L3320*0.025)</f>
        <v/>
      </c>
      <c r="P3320" s="17">
        <f>32</f>
        <v/>
      </c>
      <c r="Q3320" s="17">
        <f>J3320+L3320+N3320+O3320-P3320-M3320</f>
        <v/>
      </c>
    </row>
    <row r="3321">
      <c r="A3321" s="16" t="inlineStr">
        <is>
          <t>5.29-6.4</t>
        </is>
      </c>
      <c r="B3321" s="16" t="inlineStr">
        <is>
          <t>PO-128-02979907164791791</t>
        </is>
      </c>
      <c r="C3321" s="16" t="inlineStr">
        <is>
          <t>Shipped</t>
        </is>
      </c>
      <c r="D3321" s="16" t="inlineStr">
        <is>
          <t>128-02979928136311791</t>
        </is>
      </c>
      <c r="E3321" s="16" t="inlineStr">
        <is>
          <t>Shipped</t>
        </is>
      </c>
      <c r="F3321" s="16" t="inlineStr">
        <is>
          <t>LB02235-azul</t>
        </is>
      </c>
      <c r="G3321" s="16" t="inlineStr">
        <is>
          <t>Audífonos Inalámbricos para la Cabeza, Recargables y Multifuncionales - Conectan a Varios Dispositivos, soportan Radio FM, Tarjeta TF y AUX - 4 Horas de Reproducción Musical - Ideal para Trabajo Cotidiano, Juegos y Estudio</t>
        </is>
      </c>
      <c r="H3321" s="16" t="inlineStr">
        <is>
          <t>AZUL</t>
        </is>
      </c>
      <c r="I3321" s="16" t="n">
        <v>1</v>
      </c>
      <c r="J3321" s="17" t="n">
        <v>29</v>
      </c>
      <c r="K3321" s="17" t="n">
        <v>42.11</v>
      </c>
      <c r="L3321" s="17" t="n">
        <v>25.86</v>
      </c>
      <c r="M3321" s="17" t="n">
        <v>0</v>
      </c>
      <c r="N3321" s="17">
        <f>K3321*0.08+L3321*0.08</f>
        <v/>
      </c>
      <c r="O3321" s="17">
        <f>-(K3321*0.025+L3321*0.025)</f>
        <v/>
      </c>
      <c r="P3321" s="17">
        <f>32</f>
        <v/>
      </c>
      <c r="Q3321" s="17">
        <f>J3321+L3321+N3321+O3321-P3321-M3321</f>
        <v/>
      </c>
    </row>
    <row r="3322">
      <c r="A3322" s="16" t="inlineStr">
        <is>
          <t>5.29-6.4</t>
        </is>
      </c>
      <c r="B3322" s="16" t="inlineStr">
        <is>
          <t>PO-128-03283664492154074</t>
        </is>
      </c>
      <c r="C3322" s="16" t="inlineStr">
        <is>
          <t>Shipped</t>
        </is>
      </c>
      <c r="D3322" s="16" t="inlineStr">
        <is>
          <t>128-03283769349754074</t>
        </is>
      </c>
      <c r="E3322" s="16" t="inlineStr">
        <is>
          <t>Shipped</t>
        </is>
      </c>
      <c r="F3322" s="16" t="inlineStr">
        <is>
          <t>LB02235-azul</t>
        </is>
      </c>
      <c r="G3322" s="16" t="inlineStr">
        <is>
          <t>Audífonos Inalámbricos para la Cabeza, Recargables y Multifuncionales - Conectan a Varios Dispositivos, soportan Radio FM, Tarjeta TF y AUX - 4 Horas de Reproducción Musical - Ideal para Trabajo Cotidiano, Juegos y Estudio</t>
        </is>
      </c>
      <c r="H3322" s="16" t="inlineStr">
        <is>
          <t>AZUL</t>
        </is>
      </c>
      <c r="I3322" s="16" t="n">
        <v>2</v>
      </c>
      <c r="J3322" s="17" t="n">
        <v>58</v>
      </c>
      <c r="K3322" s="17" t="n">
        <v>84.22</v>
      </c>
      <c r="L3322" s="17" t="n">
        <v>25.86</v>
      </c>
      <c r="M3322" s="17" t="n">
        <v>0</v>
      </c>
      <c r="N3322" s="17">
        <f>K3322*0.08+L3322*0.08</f>
        <v/>
      </c>
      <c r="O3322" s="17">
        <f>-(K3322*0.025+L3322*0.025)</f>
        <v/>
      </c>
      <c r="P3322" s="17">
        <f>32</f>
        <v/>
      </c>
      <c r="Q3322" s="17">
        <f>J3322+L3322+N3322+O3322-P3322-M3322</f>
        <v/>
      </c>
    </row>
    <row r="3323">
      <c r="A3323" s="16" t="inlineStr">
        <is>
          <t>5.29-6.4</t>
        </is>
      </c>
      <c r="B3323" s="16" t="inlineStr">
        <is>
          <t>PO-128-03342755267193658</t>
        </is>
      </c>
      <c r="C3323" s="16" t="inlineStr">
        <is>
          <t>Shipped</t>
        </is>
      </c>
      <c r="D3323" s="16" t="inlineStr">
        <is>
          <t>128-03342765752953658</t>
        </is>
      </c>
      <c r="E3323" s="16" t="inlineStr">
        <is>
          <t>Shipped</t>
        </is>
      </c>
      <c r="F3323" s="16" t="inlineStr">
        <is>
          <t>SA325T</t>
        </is>
      </c>
      <c r="G3323" s="16" t="inlineStr">
        <is>
          <t>Subwoofer Portátil Inalámbrico con Luces RGB, Sonido de Alta Potencia y Batería Duradera, TWS TF USB, Perfecto para Campamento Fiestas y Entretenimiento en Casa</t>
        </is>
      </c>
      <c r="H3323" s="16" t="inlineStr">
        <is>
          <t>NEGRO</t>
        </is>
      </c>
      <c r="I3323" s="16" t="n">
        <v>2</v>
      </c>
      <c r="J3323" s="17" t="n">
        <v>76</v>
      </c>
      <c r="K3323" s="17" t="n">
        <v>94.08</v>
      </c>
      <c r="L3323" s="17" t="n">
        <v>25.86</v>
      </c>
      <c r="M3323" s="17" t="n">
        <v>0</v>
      </c>
      <c r="N3323" s="17">
        <f>K3323*0.08+L3323*0.08</f>
        <v/>
      </c>
      <c r="O3323" s="17">
        <f>-(K3323*0.025+L3323*0.025)</f>
        <v/>
      </c>
      <c r="P3323" s="17">
        <f>32</f>
        <v/>
      </c>
      <c r="Q3323" s="17">
        <f>J3323+L3323+N3323+O3323-P3323-M3323</f>
        <v/>
      </c>
    </row>
    <row r="3324">
      <c r="A3324" s="16" t="inlineStr">
        <is>
          <t>5.29-6.4</t>
        </is>
      </c>
      <c r="B3324" s="16" t="inlineStr">
        <is>
          <t>PO-128-02980695204471784</t>
        </is>
      </c>
      <c r="C3324" s="16" t="inlineStr">
        <is>
          <t>Shipped</t>
        </is>
      </c>
      <c r="D3324" s="16" t="inlineStr">
        <is>
          <t>128-02980737147511784</t>
        </is>
      </c>
      <c r="E3324" s="16" t="inlineStr">
        <is>
          <t>Shipped</t>
        </is>
      </c>
      <c r="F3324" s="16" t="inlineStr">
        <is>
          <t>SA325T</t>
        </is>
      </c>
      <c r="G3324" s="16" t="inlineStr">
        <is>
          <t>Subwoofer Portátil Inalámbrico con Luces RGB, Sonido de Alta Potencia y Batería Duradera, TWS TF USB, Perfecto para Campamento Fiestas y Entretenimiento en Casa</t>
        </is>
      </c>
      <c r="H3324" s="16" t="inlineStr">
        <is>
          <t>NEGRO</t>
        </is>
      </c>
      <c r="I3324" s="16" t="n">
        <v>1</v>
      </c>
      <c r="J3324" s="17" t="n">
        <v>38</v>
      </c>
      <c r="K3324" s="17" t="n">
        <v>3.94</v>
      </c>
      <c r="L3324" s="17" t="n">
        <v>25.86</v>
      </c>
      <c r="M3324" s="17" t="n">
        <v>0</v>
      </c>
      <c r="N3324" s="17">
        <f>K3324*0.08+L3324*0.08</f>
        <v/>
      </c>
      <c r="O3324" s="17">
        <f>-(K3324*0.025+L3324*0.025)</f>
        <v/>
      </c>
      <c r="P3324" s="17">
        <f>32</f>
        <v/>
      </c>
      <c r="Q3324" s="17">
        <f>J3324+L3324+N3324+O3324-P3324-M3324</f>
        <v/>
      </c>
    </row>
    <row r="3325">
      <c r="A3325" s="16" t="inlineStr">
        <is>
          <t>5.29-6.4</t>
        </is>
      </c>
      <c r="B3325" s="16" t="inlineStr">
        <is>
          <t>PO-128-02935741143671988</t>
        </is>
      </c>
      <c r="C3325" s="16" t="inlineStr">
        <is>
          <t>Shipped</t>
        </is>
      </c>
      <c r="D3325" s="16" t="inlineStr">
        <is>
          <t>128-02935720172151988</t>
        </is>
      </c>
      <c r="E3325" s="16" t="inlineStr">
        <is>
          <t>Shipped</t>
        </is>
      </c>
      <c r="F3325" s="16" t="inlineStr">
        <is>
          <t>LV34W04</t>
        </is>
      </c>
      <c r="G332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325" s="16" t="inlineStr">
        <is>
          <t>LV34W04</t>
        </is>
      </c>
      <c r="I3325" s="16" t="n">
        <v>1</v>
      </c>
      <c r="J3325" s="17" t="n">
        <v>230.3</v>
      </c>
      <c r="K3325" s="17" t="n">
        <v>215.87</v>
      </c>
      <c r="L3325" s="17" t="n">
        <v>25.86</v>
      </c>
      <c r="M3325" s="17" t="n">
        <v>0</v>
      </c>
      <c r="N3325" s="17">
        <f>K3325*0.08+L3325*0.08</f>
        <v/>
      </c>
      <c r="O3325" s="17">
        <f>-(K3325*0.025+L3325*0.025)</f>
        <v/>
      </c>
      <c r="P3325" s="17">
        <f>32</f>
        <v/>
      </c>
      <c r="Q3325" s="17">
        <f>J3325+L3325+N3325+O3325-P3325-M3325</f>
        <v/>
      </c>
    </row>
    <row r="3326">
      <c r="A3326" s="16" t="inlineStr">
        <is>
          <t>5.29-6.4</t>
        </is>
      </c>
      <c r="B3326" s="16" t="inlineStr">
        <is>
          <t>PO-128-02807216292470706</t>
        </is>
      </c>
      <c r="C3326" s="16" t="inlineStr">
        <is>
          <t>Shipped</t>
        </is>
      </c>
      <c r="D3326" s="16" t="inlineStr">
        <is>
          <t>128-02807226778230706</t>
        </is>
      </c>
      <c r="E3326" s="16" t="inlineStr">
        <is>
          <t>Shipped</t>
        </is>
      </c>
      <c r="F3326" s="16" t="inlineStr">
        <is>
          <t>MB-185A</t>
        </is>
      </c>
      <c r="G3326" s="16" t="inlineStr">
        <is>
          <t>Bocina Radio FM/Reproductor, Compatible con Tarjeta TF, USB, Bluetooth, Aplicable para celular, computadora, Ipad y consola.</t>
        </is>
      </c>
      <c r="H3326" s="16" t="inlineStr">
        <is>
          <t>AZUL/MB-185</t>
        </is>
      </c>
      <c r="I3326" s="16" t="n">
        <v>1</v>
      </c>
      <c r="J3326" s="17" t="n">
        <v>73</v>
      </c>
      <c r="K3326" s="17" t="n">
        <v>73.05</v>
      </c>
      <c r="L3326" s="17" t="n">
        <v>25.86</v>
      </c>
      <c r="M3326" s="17" t="n">
        <v>0</v>
      </c>
      <c r="N3326" s="17">
        <f>K3326*0.08+L3326*0.08</f>
        <v/>
      </c>
      <c r="O3326" s="17">
        <f>-(K3326*0.025+L3326*0.025)</f>
        <v/>
      </c>
      <c r="P3326" s="17">
        <f>32</f>
        <v/>
      </c>
      <c r="Q3326" s="17">
        <f>J3326+L3326+N3326+O3326-P3326-M3326</f>
        <v/>
      </c>
    </row>
    <row r="3327">
      <c r="A3327" s="16" t="inlineStr">
        <is>
          <t>5.29-6.4</t>
        </is>
      </c>
      <c r="B3327" s="16" t="inlineStr">
        <is>
          <t>PO-128-02913389962870075</t>
        </is>
      </c>
      <c r="C3327" s="16" t="inlineStr">
        <is>
          <t>Shipped</t>
        </is>
      </c>
      <c r="D3327" s="16" t="inlineStr">
        <is>
          <t>128-02913494820470075</t>
        </is>
      </c>
      <c r="E3327" s="16" t="inlineStr">
        <is>
          <t>Shipped</t>
        </is>
      </c>
      <c r="F3327" s="16" t="inlineStr">
        <is>
          <t>LB02235-blanco</t>
        </is>
      </c>
      <c r="G3327" s="16" t="inlineStr">
        <is>
          <t>Audífonos Inalámbricos para la Cabeza, Recargables y Multifuncionales - Conectan a Varios Dispositivos, soportan Radio FM, Tarjeta TF y AUX - 4 Horas de Reproducción Musical - Ideal para Trabajo Cotidiano, Juegos y Estudio</t>
        </is>
      </c>
      <c r="H3327" s="16" t="inlineStr">
        <is>
          <t>BLANCO</t>
        </is>
      </c>
      <c r="I3327" s="16" t="n">
        <v>1</v>
      </c>
      <c r="J3327" s="17" t="n">
        <v>36.8</v>
      </c>
      <c r="K3327" s="17" t="n">
        <v>49.91</v>
      </c>
      <c r="L3327" s="17" t="n">
        <v>25.86</v>
      </c>
      <c r="M3327" s="17" t="n">
        <v>0</v>
      </c>
      <c r="N3327" s="17">
        <f>K3327*0.08+L3327*0.08</f>
        <v/>
      </c>
      <c r="O3327" s="17">
        <f>-(K3327*0.025+L3327*0.025)</f>
        <v/>
      </c>
      <c r="P3327" s="17">
        <f>32</f>
        <v/>
      </c>
      <c r="Q3327" s="17">
        <f>J3327+L3327+N3327+O3327-P3327-M3327</f>
        <v/>
      </c>
    </row>
    <row r="3328">
      <c r="A3328" s="16" t="inlineStr">
        <is>
          <t>5.29-6.4</t>
        </is>
      </c>
      <c r="B3328" s="16" t="inlineStr">
        <is>
          <t>PO-128-03022893455991535</t>
        </is>
      </c>
      <c r="C3328" s="16" t="inlineStr">
        <is>
          <t>Shipped</t>
        </is>
      </c>
      <c r="D3328" s="16" t="inlineStr">
        <is>
          <t>128-03022851512951535</t>
        </is>
      </c>
      <c r="E3328" s="16" t="inlineStr">
        <is>
          <t>Shipped</t>
        </is>
      </c>
      <c r="F3328" s="16" t="inlineStr">
        <is>
          <t>LB02235-azul</t>
        </is>
      </c>
      <c r="G3328" s="16" t="inlineStr">
        <is>
          <t>Audífonos Inalámbricos para la Cabeza, Recargables y Multifuncionales - Conectan a Varios Dispositivos, soportan Radio FM, Tarjeta TF y AUX - 4 Horas de Reproducción Musical - Ideal para Trabajo Cotidiano, Juegos y Estudio</t>
        </is>
      </c>
      <c r="H3328" s="16" t="inlineStr">
        <is>
          <t>AZUL</t>
        </is>
      </c>
      <c r="I3328" s="16" t="n">
        <v>1</v>
      </c>
      <c r="J3328" s="17" t="n">
        <v>29</v>
      </c>
      <c r="K3328" s="17" t="n">
        <v>42.11</v>
      </c>
      <c r="L3328" s="17" t="n">
        <v>25.86</v>
      </c>
      <c r="M3328" s="17" t="n">
        <v>0</v>
      </c>
      <c r="N3328" s="17">
        <f>K3328*0.08+L3328*0.08</f>
        <v/>
      </c>
      <c r="O3328" s="17">
        <f>-(K3328*0.025+L3328*0.025)</f>
        <v/>
      </c>
      <c r="P3328" s="17">
        <f>32</f>
        <v/>
      </c>
      <c r="Q3328" s="17">
        <f>J3328+L3328+N3328+O3328-P3328-M3328</f>
        <v/>
      </c>
    </row>
    <row r="3329">
      <c r="A3329" s="16" t="inlineStr">
        <is>
          <t>5.29-6.4</t>
        </is>
      </c>
      <c r="B3329" s="16" t="inlineStr">
        <is>
          <t>PO-128-03296370913913873</t>
        </is>
      </c>
      <c r="C3329" s="16" t="inlineStr">
        <is>
          <t>Shipped</t>
        </is>
      </c>
      <c r="D3329" s="16" t="inlineStr">
        <is>
          <t>128-03296349942393873</t>
        </is>
      </c>
      <c r="E3329" s="16" t="inlineStr">
        <is>
          <t>Shipped</t>
        </is>
      </c>
      <c r="F3329" s="16" t="inlineStr">
        <is>
          <t>SA325T</t>
        </is>
      </c>
      <c r="G3329" s="16" t="inlineStr">
        <is>
          <t>Subwoofer Portátil Inalámbrico con Luces RGB, Sonido de Alta Potencia y Batería Duradera, TWS TF USB, Perfecto para Campamento Fiestas y Entretenimiento en Casa</t>
        </is>
      </c>
      <c r="H3329" s="16" t="inlineStr">
        <is>
          <t>NEGRO</t>
        </is>
      </c>
      <c r="I3329" s="16" t="n">
        <v>1</v>
      </c>
      <c r="J3329" s="17" t="n">
        <v>38</v>
      </c>
      <c r="K3329" s="17" t="n">
        <v>47.04</v>
      </c>
      <c r="L3329" s="17" t="n">
        <v>25.86</v>
      </c>
      <c r="M3329" s="17" t="n">
        <v>0</v>
      </c>
      <c r="N3329" s="17">
        <f>K3329*0.08+L3329*0.08</f>
        <v/>
      </c>
      <c r="O3329" s="17">
        <f>-(K3329*0.025+L3329*0.025)</f>
        <v/>
      </c>
      <c r="P3329" s="17">
        <f>32</f>
        <v/>
      </c>
      <c r="Q3329" s="17">
        <f>J3329+L3329+N3329+O3329-P3329-M3329</f>
        <v/>
      </c>
    </row>
    <row r="3330">
      <c r="A3330" s="16" t="inlineStr">
        <is>
          <t>5.29-6.4</t>
        </is>
      </c>
      <c r="B3330" s="16" t="inlineStr">
        <is>
          <t>PO-128-03076696167031084</t>
        </is>
      </c>
      <c r="C3330" s="16" t="inlineStr">
        <is>
          <t>Shipped</t>
        </is>
      </c>
      <c r="D3330" s="16" t="inlineStr">
        <is>
          <t>128-03076701409911084</t>
        </is>
      </c>
      <c r="E3330" s="16" t="inlineStr">
        <is>
          <t>Shipped</t>
        </is>
      </c>
      <c r="F3330" s="16" t="inlineStr">
        <is>
          <t>LB02235-azul</t>
        </is>
      </c>
      <c r="G3330" s="16" t="inlineStr">
        <is>
          <t>Audífonos Inalámbricos para la Cabeza, Recargables y Multifuncionales - Conectan a Varios Dispositivos, soportan Radio FM, Tarjeta TF y AUX - 4 Horas de Reproducción Musical - Ideal para Trabajo Cotidiano, Juegos y Estudio</t>
        </is>
      </c>
      <c r="H3330" s="16" t="inlineStr">
        <is>
          <t>AZUL</t>
        </is>
      </c>
      <c r="I3330" s="16" t="n">
        <v>1</v>
      </c>
      <c r="J3330" s="17" t="n">
        <v>29</v>
      </c>
      <c r="K3330" s="17" t="n">
        <v>42.11</v>
      </c>
      <c r="L3330" s="17" t="n">
        <v>25.86</v>
      </c>
      <c r="M3330" s="17" t="n">
        <v>0</v>
      </c>
      <c r="N3330" s="17">
        <f>K3330*0.08+L3330*0.08</f>
        <v/>
      </c>
      <c r="O3330" s="17">
        <f>-(K3330*0.025+L3330*0.025)</f>
        <v/>
      </c>
      <c r="P3330" s="17">
        <f>32</f>
        <v/>
      </c>
      <c r="Q3330" s="17">
        <f>J3330+L3330+N3330+O3330-P3330-M3330</f>
        <v/>
      </c>
    </row>
    <row r="3331">
      <c r="A3331" s="16" t="inlineStr">
        <is>
          <t>5.29-6.4</t>
        </is>
      </c>
      <c r="B3331" s="16" t="inlineStr">
        <is>
          <t>PO-128-03031159870071293</t>
        </is>
      </c>
      <c r="C3331" s="16" t="inlineStr">
        <is>
          <t>Shipped</t>
        </is>
      </c>
      <c r="D3331" s="16" t="inlineStr">
        <is>
          <t>128-03031212298871293</t>
        </is>
      </c>
      <c r="E3331" s="16" t="inlineStr">
        <is>
          <t>Shipped</t>
        </is>
      </c>
      <c r="F3331" s="16" t="inlineStr">
        <is>
          <t>LB02235-blanco</t>
        </is>
      </c>
      <c r="G3331" s="16" t="inlineStr">
        <is>
          <t>Audífonos Inalámbricos para la Cabeza, Recargables y Multifuncionales - Conectan a Varios Dispositivos, soportan Radio FM, Tarjeta TF y AUX - 4 Horas de Reproducción Musical - Ideal para Trabajo Cotidiano, Juegos y Estudio</t>
        </is>
      </c>
      <c r="H3331" s="16" t="inlineStr">
        <is>
          <t>BLANCO</t>
        </is>
      </c>
      <c r="I3331" s="16" t="n">
        <v>1</v>
      </c>
      <c r="J3331" s="17" t="n">
        <v>36.8</v>
      </c>
      <c r="K3331" s="17" t="n">
        <v>49.91</v>
      </c>
      <c r="L3331" s="17" t="n">
        <v>25.86</v>
      </c>
      <c r="M3331" s="17" t="n">
        <v>0</v>
      </c>
      <c r="N3331" s="17">
        <f>K3331*0.08+L3331*0.08</f>
        <v/>
      </c>
      <c r="O3331" s="17">
        <f>-(K3331*0.025+L3331*0.025)</f>
        <v/>
      </c>
      <c r="P3331" s="17">
        <f>32</f>
        <v/>
      </c>
      <c r="Q3331" s="17">
        <f>J3331+L3331+N3331+O3331-P3331-M3331</f>
        <v/>
      </c>
    </row>
    <row r="3332">
      <c r="A3332" s="16" t="inlineStr">
        <is>
          <t>5.29-6.4</t>
        </is>
      </c>
      <c r="B3332" s="16" t="inlineStr">
        <is>
          <t>PO-128-03021976033911474</t>
        </is>
      </c>
      <c r="C3332" s="16" t="inlineStr">
        <is>
          <t>Shipped</t>
        </is>
      </c>
      <c r="D3332" s="16" t="inlineStr">
        <is>
          <t>128-03021955062391474</t>
        </is>
      </c>
      <c r="E3332" s="16" t="inlineStr">
        <is>
          <t>Shipped</t>
        </is>
      </c>
      <c r="F3332" s="16" t="inlineStr">
        <is>
          <t>MCM-001R</t>
        </is>
      </c>
      <c r="G3332" s="16" t="inlineStr">
        <is>
          <t>Musicord Altavoz Inalámbrico BT Portátil: ¡Sonido impactante, luces LED multicolores y 4 horas de autonomía! Compatible con TWS, FM, TF y USB – Imprescindible para fiestas y viajes</t>
        </is>
      </c>
      <c r="H3332" s="16" t="inlineStr">
        <is>
          <t>ROJO</t>
        </is>
      </c>
      <c r="I3332" s="16" t="n">
        <v>1</v>
      </c>
      <c r="J3332" s="17" t="n">
        <v>59</v>
      </c>
      <c r="K3332" s="17" t="n">
        <v>52.39</v>
      </c>
      <c r="L3332" s="17" t="n">
        <v>25.86</v>
      </c>
      <c r="M3332" s="17" t="n">
        <v>0</v>
      </c>
      <c r="N3332" s="17">
        <f>K3332*0.08+L3332*0.08</f>
        <v/>
      </c>
      <c r="O3332" s="17">
        <f>-(K3332*0.025+L3332*0.025)</f>
        <v/>
      </c>
      <c r="P3332" s="17">
        <f>32</f>
        <v/>
      </c>
      <c r="Q3332" s="17">
        <f>J3332+L3332+N3332+O3332-P3332-M3332</f>
        <v/>
      </c>
    </row>
    <row r="3333">
      <c r="A3333" s="16" t="inlineStr">
        <is>
          <t>5.29-6.4</t>
        </is>
      </c>
      <c r="B3333" s="16" t="inlineStr">
        <is>
          <t>PO-128-03044884327031402</t>
        </is>
      </c>
      <c r="C3333" s="16" t="inlineStr">
        <is>
          <t>Shipped</t>
        </is>
      </c>
      <c r="D3333" s="16" t="inlineStr">
        <is>
          <t>128-03044863355511402</t>
        </is>
      </c>
      <c r="E3333" s="16" t="inlineStr">
        <is>
          <t>Shipped</t>
        </is>
      </c>
      <c r="F3333" s="16" t="inlineStr">
        <is>
          <t>LB02235-azul</t>
        </is>
      </c>
      <c r="G3333" s="16" t="inlineStr">
        <is>
          <t>Audífonos Inalámbricos para la Cabeza, Recargables y Multifuncionales - Conectan a Varios Dispositivos, soportan Radio FM, Tarjeta TF y AUX - 4 Horas de Reproducción Musical - Ideal para Trabajo Cotidiano, Juegos y Estudio</t>
        </is>
      </c>
      <c r="H3333" s="16" t="inlineStr">
        <is>
          <t>AZUL</t>
        </is>
      </c>
      <c r="I3333" s="16" t="n">
        <v>2</v>
      </c>
      <c r="J3333" s="17" t="n">
        <v>58</v>
      </c>
      <c r="K3333" s="17" t="n">
        <v>63.16</v>
      </c>
      <c r="L3333" s="17" t="n">
        <v>25.86</v>
      </c>
      <c r="M3333" s="17" t="n">
        <v>0</v>
      </c>
      <c r="N3333" s="17">
        <f>K3333*0.08+L3333*0.08</f>
        <v/>
      </c>
      <c r="O3333" s="17">
        <f>-(K3333*0.025+L3333*0.025)</f>
        <v/>
      </c>
      <c r="P3333" s="17">
        <f>32</f>
        <v/>
      </c>
      <c r="Q3333" s="17">
        <f>J3333+L3333+N3333+O3333-P3333-M3333</f>
        <v/>
      </c>
    </row>
    <row r="3334">
      <c r="A3334" s="16" t="inlineStr">
        <is>
          <t>5.29-6.4</t>
        </is>
      </c>
      <c r="B3334" s="16" t="inlineStr">
        <is>
          <t>PO-128-03366204795513582</t>
        </is>
      </c>
      <c r="C3334" s="16" t="inlineStr">
        <is>
          <t>Shipped</t>
        </is>
      </c>
      <c r="D3334" s="16" t="inlineStr">
        <is>
          <t>128-03366196931193582</t>
        </is>
      </c>
      <c r="E3334" s="16" t="inlineStr">
        <is>
          <t>Shipped</t>
        </is>
      </c>
      <c r="F3334" s="16" t="inlineStr">
        <is>
          <t>LB02235-negro</t>
        </is>
      </c>
      <c r="G3334" s="16" t="inlineStr">
        <is>
          <t>Audífonos Inalámbricos para la Cabeza, Recargables y Multifuncionales - Conectan a Varios Dispositivos, soportan Radio FM, Tarjeta TF y AUX - 4 Horas de Reproducción Musical - Ideal para Trabajo Cotidiano, Juegos y Estudio</t>
        </is>
      </c>
      <c r="H3334" s="16" t="inlineStr">
        <is>
          <t>NEGRO</t>
        </is>
      </c>
      <c r="I3334" s="16" t="n">
        <v>1</v>
      </c>
      <c r="J3334" s="17" t="n">
        <v>36.8</v>
      </c>
      <c r="K3334" s="17" t="n">
        <v>49.91</v>
      </c>
      <c r="L3334" s="17" t="n">
        <v>25.86</v>
      </c>
      <c r="M3334" s="17" t="n">
        <v>0</v>
      </c>
      <c r="N3334" s="17">
        <f>K3334*0.08+L3334*0.08</f>
        <v/>
      </c>
      <c r="O3334" s="17">
        <f>-(K3334*0.025+L3334*0.025)</f>
        <v/>
      </c>
      <c r="P3334" s="17">
        <f>32</f>
        <v/>
      </c>
      <c r="Q3334" s="17">
        <f>J3334+L3334+N3334+O3334-P3334-M3334</f>
        <v/>
      </c>
    </row>
    <row r="3335">
      <c r="A3335" s="16" t="inlineStr">
        <is>
          <t>5.29-6.4</t>
        </is>
      </c>
      <c r="B3335" s="16" t="inlineStr">
        <is>
          <t>PO-128-02857239112310280</t>
        </is>
      </c>
      <c r="C3335" s="16" t="inlineStr">
        <is>
          <t>Shipped</t>
        </is>
      </c>
      <c r="D3335" s="16" t="inlineStr">
        <is>
          <t>128-02857207655030280</t>
        </is>
      </c>
      <c r="E3335" s="16" t="inlineStr">
        <is>
          <t>Shipped</t>
        </is>
      </c>
      <c r="F3335" s="16" t="inlineStr">
        <is>
          <t>LB02235-rojo</t>
        </is>
      </c>
      <c r="G3335" s="16" t="inlineStr">
        <is>
          <t>Audífonos Inalámbricos para la Cabeza, Recargables y Multifuncionales - Conectan a Varios Dispositivos, soportan Radio FM, Tarjeta TF y AUX - 4 Horas de Reproducción Musical - Ideal para Trabajo Cotidiano, Juegos y Estudio</t>
        </is>
      </c>
      <c r="H3335" s="16" t="inlineStr">
        <is>
          <t>ROJO</t>
        </is>
      </c>
      <c r="I3335" s="16" t="n">
        <v>1</v>
      </c>
      <c r="J3335" s="17" t="n">
        <v>36.8</v>
      </c>
      <c r="K3335" s="17" t="n">
        <v>49.91</v>
      </c>
      <c r="L3335" s="17" t="n">
        <v>25.86</v>
      </c>
      <c r="M3335" s="17" t="n">
        <v>0</v>
      </c>
      <c r="N3335" s="17">
        <f>K3335*0.08+L3335*0.08</f>
        <v/>
      </c>
      <c r="O3335" s="17">
        <f>-(K3335*0.025+L3335*0.025)</f>
        <v/>
      </c>
      <c r="P3335" s="17">
        <f>32</f>
        <v/>
      </c>
      <c r="Q3335" s="17">
        <f>J3335+L3335+N3335+O3335-P3335-M3335</f>
        <v/>
      </c>
    </row>
    <row r="3336">
      <c r="A3336" s="16" t="inlineStr">
        <is>
          <t>5.29-6.4</t>
        </is>
      </c>
      <c r="B3336" s="16" t="inlineStr">
        <is>
          <t>PO-128-03079294710391068</t>
        </is>
      </c>
      <c r="C3336" s="16" t="inlineStr">
        <is>
          <t>Shipped</t>
        </is>
      </c>
      <c r="D3336" s="16" t="inlineStr">
        <is>
          <t>128-03079349760631068</t>
        </is>
      </c>
      <c r="E3336" s="16" t="inlineStr">
        <is>
          <t>Shipped</t>
        </is>
      </c>
      <c r="F3336" s="16" t="inlineStr">
        <is>
          <t>LB02235-negro</t>
        </is>
      </c>
      <c r="G3336" s="16" t="inlineStr">
        <is>
          <t>Audífonos Inalámbricos para la Cabeza, Recargables y Multifuncionales - Conectan a Varios Dispositivos, soportan Radio FM, Tarjeta TF y AUX - 4 Horas de Reproducción Musical - Ideal para Trabajo Cotidiano, Juegos y Estudio</t>
        </is>
      </c>
      <c r="H3336" s="16" t="inlineStr">
        <is>
          <t>NEGRO</t>
        </is>
      </c>
      <c r="I3336" s="16" t="n">
        <v>1</v>
      </c>
      <c r="J3336" s="17" t="n">
        <v>36.8</v>
      </c>
      <c r="K3336" s="17" t="n">
        <v>49.91</v>
      </c>
      <c r="L3336" s="17" t="n">
        <v>25.86</v>
      </c>
      <c r="M3336" s="17" t="n">
        <v>0</v>
      </c>
      <c r="N3336" s="17">
        <f>K3336*0.08+L3336*0.08</f>
        <v/>
      </c>
      <c r="O3336" s="17">
        <f>-(K3336*0.025+L3336*0.025)</f>
        <v/>
      </c>
      <c r="P3336" s="17">
        <f>32</f>
        <v/>
      </c>
      <c r="Q3336" s="17">
        <f>J3336+L3336+N3336+O3336-P3336-M3336</f>
        <v/>
      </c>
    </row>
    <row r="3337">
      <c r="A3337" s="16" t="inlineStr">
        <is>
          <t>5.29-6.4</t>
        </is>
      </c>
      <c r="B3337" s="16" t="inlineStr">
        <is>
          <t>PO-128-03135467520632718</t>
        </is>
      </c>
      <c r="C3337" s="16" t="inlineStr">
        <is>
          <t>Shipped</t>
        </is>
      </c>
      <c r="D3337" s="16" t="inlineStr">
        <is>
          <t>128-03135425577592718</t>
        </is>
      </c>
      <c r="E3337" s="16" t="inlineStr">
        <is>
          <t>Shipped</t>
        </is>
      </c>
      <c r="F3337" s="16" t="inlineStr">
        <is>
          <t>LB02235-blanco</t>
        </is>
      </c>
      <c r="G3337" s="16" t="inlineStr">
        <is>
          <t>Audífonos Inalámbricos para la Cabeza, Recargables y Multifuncionales - Conectan a Varios Dispositivos, soportan Radio FM, Tarjeta TF y AUX - 4 Horas de Reproducción Musical - Ideal para Trabajo Cotidiano, Juegos y Estudio</t>
        </is>
      </c>
      <c r="H3337" s="16" t="inlineStr">
        <is>
          <t>BLANCO</t>
        </is>
      </c>
      <c r="I3337" s="16" t="n">
        <v>1</v>
      </c>
      <c r="J3337" s="17" t="n">
        <v>36.8</v>
      </c>
      <c r="K3337" s="17" t="n">
        <v>49.91</v>
      </c>
      <c r="L3337" s="17" t="n">
        <v>25.86</v>
      </c>
      <c r="M3337" s="17" t="n">
        <v>0</v>
      </c>
      <c r="N3337" s="17">
        <f>K3337*0.08+L3337*0.08</f>
        <v/>
      </c>
      <c r="O3337" s="17">
        <f>-(K3337*0.025+L3337*0.025)</f>
        <v/>
      </c>
      <c r="P3337" s="17">
        <f>32</f>
        <v/>
      </c>
      <c r="Q3337" s="17">
        <f>J3337+L3337+N3337+O3337-P3337-M3337</f>
        <v/>
      </c>
    </row>
    <row r="3338">
      <c r="A3338" s="16" t="inlineStr">
        <is>
          <t>5.29-6.4</t>
        </is>
      </c>
      <c r="B3338" s="16" t="inlineStr">
        <is>
          <t>PO-128-03252504330872084</t>
        </is>
      </c>
      <c r="C3338" s="16" t="inlineStr">
        <is>
          <t>Shipped</t>
        </is>
      </c>
      <c r="D3338" s="16" t="inlineStr">
        <is>
          <t>128-03252462387832084</t>
        </is>
      </c>
      <c r="E3338" s="16" t="inlineStr">
        <is>
          <t>Shipped</t>
        </is>
      </c>
      <c r="F3338" s="16" t="inlineStr">
        <is>
          <t>LB02235-negro</t>
        </is>
      </c>
      <c r="G3338" s="16" t="inlineStr">
        <is>
          <t>Audífonos Inalámbricos para la Cabeza, Recargables y Multifuncionales - Conectan a Varios Dispositivos, soportan Radio FM, Tarjeta TF y AUX - 4 Horas de Reproducción Musical - Ideal para Trabajo Cotidiano, Juegos y Estudio</t>
        </is>
      </c>
      <c r="H3338" s="16" t="inlineStr">
        <is>
          <t>NEGRO</t>
        </is>
      </c>
      <c r="I3338" s="16" t="n">
        <v>1</v>
      </c>
      <c r="J3338" s="17" t="n">
        <v>36.8</v>
      </c>
      <c r="K3338" s="17" t="n">
        <v>49.91</v>
      </c>
      <c r="L3338" s="17" t="n">
        <v>25.86</v>
      </c>
      <c r="M3338" s="17" t="n">
        <v>0</v>
      </c>
      <c r="N3338" s="17">
        <f>K3338*0.08+L3338*0.08</f>
        <v/>
      </c>
      <c r="O3338" s="17">
        <f>-(K3338*0.025+L3338*0.025)</f>
        <v/>
      </c>
      <c r="P3338" s="17">
        <f>32</f>
        <v/>
      </c>
      <c r="Q3338" s="17">
        <f>J3338+L3338+N3338+O3338-P3338-M3338</f>
        <v/>
      </c>
    </row>
    <row r="3339">
      <c r="A3339" s="16" t="inlineStr">
        <is>
          <t>5.29-6.4</t>
        </is>
      </c>
      <c r="B3339" s="16" t="inlineStr">
        <is>
          <t>PO-128-03105056236153029</t>
        </is>
      </c>
      <c r="C3339" s="16" t="inlineStr">
        <is>
          <t>Shipped</t>
        </is>
      </c>
      <c r="D3339" s="16" t="inlineStr">
        <is>
          <t>128-03105041818233029</t>
        </is>
      </c>
      <c r="E3339" s="16" t="inlineStr">
        <is>
          <t>Shipped</t>
        </is>
      </c>
      <c r="F3339" s="16" t="inlineStr">
        <is>
          <t>LB02235-blanco</t>
        </is>
      </c>
      <c r="G3339" s="16" t="inlineStr">
        <is>
          <t>Audífonos Inalámbricos para la Cabeza, Recargables y Multifuncionales - Conectan a Varios Dispositivos, soportan Radio FM, Tarjeta TF y AUX - 4 Horas de Reproducción Musical - Ideal para Trabajo Cotidiano, Juegos y Estudio</t>
        </is>
      </c>
      <c r="H3339" s="16" t="inlineStr">
        <is>
          <t>BLANCO</t>
        </is>
      </c>
      <c r="I3339" s="16" t="n">
        <v>1</v>
      </c>
      <c r="J3339" s="17" t="n">
        <v>36.8</v>
      </c>
      <c r="K3339" s="17" t="n">
        <v>45.47</v>
      </c>
      <c r="L3339" s="17" t="n">
        <v>25.86</v>
      </c>
      <c r="M3339" s="17" t="n">
        <v>0</v>
      </c>
      <c r="N3339" s="17">
        <f>K3339*0.08+L3339*0.08</f>
        <v/>
      </c>
      <c r="O3339" s="17">
        <f>-(K3339*0.025+L3339*0.025)</f>
        <v/>
      </c>
      <c r="P3339" s="17">
        <f>32</f>
        <v/>
      </c>
      <c r="Q3339" s="17">
        <f>J3339+L3339+N3339+O3339-P3339-M3339</f>
        <v/>
      </c>
    </row>
    <row r="3340">
      <c r="A3340" s="16" t="inlineStr">
        <is>
          <t>5.29-6.4</t>
        </is>
      </c>
      <c r="B3340" s="16" t="inlineStr">
        <is>
          <t>PO-128-02935250463351993</t>
        </is>
      </c>
      <c r="C3340" s="16" t="inlineStr">
        <is>
          <t>Shipped</t>
        </is>
      </c>
      <c r="D3340" s="16" t="inlineStr">
        <is>
          <t>128-02935229491831993</t>
        </is>
      </c>
      <c r="E3340" s="16" t="inlineStr">
        <is>
          <t>Shipped</t>
        </is>
      </c>
      <c r="F3340" s="16" t="inlineStr">
        <is>
          <t>LB02235-blanco</t>
        </is>
      </c>
      <c r="G3340" s="16" t="inlineStr">
        <is>
          <t>Audífonos Inalámbricos para la Cabeza, Recargables y Multifuncionales - Conectan a Varios Dispositivos, soportan Radio FM, Tarjeta TF y AUX - 4 Horas de Reproducción Musical - Ideal para Trabajo Cotidiano, Juegos y Estudio</t>
        </is>
      </c>
      <c r="H3340" s="16" t="inlineStr">
        <is>
          <t>BLANCO</t>
        </is>
      </c>
      <c r="I3340" s="16" t="n">
        <v>1</v>
      </c>
      <c r="J3340" s="17" t="n">
        <v>36.8</v>
      </c>
      <c r="K3340" s="17" t="n">
        <v>49.91</v>
      </c>
      <c r="L3340" s="17" t="n">
        <v>25.86</v>
      </c>
      <c r="M3340" s="17" t="n">
        <v>0</v>
      </c>
      <c r="N3340" s="17">
        <f>K3340*0.08+L3340*0.08</f>
        <v/>
      </c>
      <c r="O3340" s="17">
        <f>-(K3340*0.025+L3340*0.025)</f>
        <v/>
      </c>
      <c r="P3340" s="17">
        <f>32</f>
        <v/>
      </c>
      <c r="Q3340" s="17">
        <f>J3340+L3340+N3340+O3340-P3340-M3340</f>
        <v/>
      </c>
    </row>
    <row r="3341">
      <c r="A3341" s="16" t="inlineStr">
        <is>
          <t>5.29-6.4</t>
        </is>
      </c>
      <c r="B3341" s="16" t="inlineStr">
        <is>
          <t>PO-128-03153861571192800</t>
        </is>
      </c>
      <c r="C3341" s="16" t="inlineStr">
        <is>
          <t>Shipped</t>
        </is>
      </c>
      <c r="D3341" s="16" t="inlineStr">
        <is>
          <t>128-03153840599672800</t>
        </is>
      </c>
      <c r="E3341" s="16" t="inlineStr">
        <is>
          <t>Shipped</t>
        </is>
      </c>
      <c r="F3341" s="16" t="inlineStr">
        <is>
          <t>MCM-001N</t>
        </is>
      </c>
      <c r="G3341" s="16" t="inlineStr">
        <is>
          <t>Musicord Altavoz Inalámbrico BT Portátil: ¡Sonido impactante, luces LED multicolores y 4 horas de autonomía! Compatible con TWS, FM, TF y USB – Imprescindible para fiestas y viajes</t>
        </is>
      </c>
      <c r="H3341" s="16" t="inlineStr">
        <is>
          <t>NEGRO</t>
        </is>
      </c>
      <c r="I3341" s="16" t="n">
        <v>1</v>
      </c>
      <c r="J3341" s="17" t="n">
        <v>52</v>
      </c>
      <c r="K3341" s="17" t="n">
        <v>63.28</v>
      </c>
      <c r="L3341" s="17" t="n">
        <v>25.86</v>
      </c>
      <c r="M3341" s="17" t="n">
        <v>0</v>
      </c>
      <c r="N3341" s="17">
        <f>K3341*0.08+L3341*0.08</f>
        <v/>
      </c>
      <c r="O3341" s="17">
        <f>-(K3341*0.025+L3341*0.025)</f>
        <v/>
      </c>
      <c r="P3341" s="17">
        <f>32</f>
        <v/>
      </c>
      <c r="Q3341" s="17">
        <f>J3341+L3341+N3341+O3341-P3341-M3341</f>
        <v/>
      </c>
    </row>
    <row r="3342">
      <c r="A3342" s="16" t="inlineStr">
        <is>
          <t>5.29-6.4</t>
        </is>
      </c>
      <c r="B3342" s="16" t="inlineStr">
        <is>
          <t>PO-128-03321228165753786</t>
        </is>
      </c>
      <c r="C3342" s="16" t="inlineStr">
        <is>
          <t>Shipped</t>
        </is>
      </c>
      <c r="D3342" s="16" t="inlineStr">
        <is>
          <t>128-03321259623033786</t>
        </is>
      </c>
      <c r="E3342" s="16" t="inlineStr">
        <is>
          <t>Shipped</t>
        </is>
      </c>
      <c r="F3342" s="16" t="inlineStr">
        <is>
          <t>LB02235-negro</t>
        </is>
      </c>
      <c r="G3342" s="16" t="inlineStr">
        <is>
          <t>Audífonos Inalámbricos para la Cabeza, Recargables y Multifuncionales - Conectan a Varios Dispositivos, soportan Radio FM, Tarjeta TF y AUX - 4 Horas de Reproducción Musical - Ideal para Trabajo Cotidiano, Juegos y Estudio</t>
        </is>
      </c>
      <c r="H3342" s="16" t="inlineStr">
        <is>
          <t>NEGRO</t>
        </is>
      </c>
      <c r="I3342" s="16" t="n">
        <v>1</v>
      </c>
      <c r="J3342" s="17" t="n">
        <v>36.8</v>
      </c>
      <c r="K3342" s="17" t="n">
        <v>49.91</v>
      </c>
      <c r="L3342" s="17" t="n">
        <v>25.86</v>
      </c>
      <c r="M3342" s="17" t="n">
        <v>0</v>
      </c>
      <c r="N3342" s="17">
        <f>K3342*0.08+L3342*0.08</f>
        <v/>
      </c>
      <c r="O3342" s="17">
        <f>-(K3342*0.025+L3342*0.025)</f>
        <v/>
      </c>
      <c r="P3342" s="17">
        <f>32</f>
        <v/>
      </c>
      <c r="Q3342" s="17">
        <f>J3342+L3342+N3342+O3342-P3342-M3342</f>
        <v/>
      </c>
    </row>
    <row r="3343">
      <c r="A3343" s="16" t="inlineStr">
        <is>
          <t>5.29-6.4</t>
        </is>
      </c>
      <c r="B3343" s="16" t="inlineStr">
        <is>
          <t>PO-128-02865936466550292</t>
        </is>
      </c>
      <c r="C3343" s="16" t="inlineStr">
        <is>
          <t>Shipped</t>
        </is>
      </c>
      <c r="D3343" s="16" t="inlineStr">
        <is>
          <t>128-02865967923830292</t>
        </is>
      </c>
      <c r="E3343" s="16" t="inlineStr">
        <is>
          <t>Shipped</t>
        </is>
      </c>
      <c r="F3343" s="16" t="inlineStr">
        <is>
          <t>MB-185N</t>
        </is>
      </c>
      <c r="G3343" s="16" t="inlineStr">
        <is>
          <t>Bocina Radio FM/Reproductor, Compatible con Tarjeta TF, USB, Bluetooth, Aplicable para celular, computadora, Ipad y consola.</t>
        </is>
      </c>
      <c r="H3343" s="16" t="inlineStr">
        <is>
          <t>NEGRO/MB-185</t>
        </is>
      </c>
      <c r="I3343" s="16" t="n">
        <v>1</v>
      </c>
      <c r="J3343" s="17" t="n">
        <v>75.5</v>
      </c>
      <c r="K3343" s="17" t="n">
        <v>34.97</v>
      </c>
      <c r="L3343" s="17" t="n">
        <v>25.86</v>
      </c>
      <c r="M3343" s="17" t="n">
        <v>0</v>
      </c>
      <c r="N3343" s="17">
        <f>K3343*0.08+L3343*0.08</f>
        <v/>
      </c>
      <c r="O3343" s="17">
        <f>-(K3343*0.025+L3343*0.025)</f>
        <v/>
      </c>
      <c r="P3343" s="17">
        <f>32</f>
        <v/>
      </c>
      <c r="Q3343" s="17">
        <f>J3343+L3343+N3343+O3343-P3343-M3343</f>
        <v/>
      </c>
    </row>
    <row r="3344">
      <c r="A3344" s="16" t="inlineStr">
        <is>
          <t>5.29-6.4</t>
        </is>
      </c>
      <c r="B3344" s="16" t="inlineStr">
        <is>
          <t>PO-128-18562921672313501</t>
        </is>
      </c>
      <c r="C3344" s="16" t="inlineStr">
        <is>
          <t>Shipped</t>
        </is>
      </c>
      <c r="D3344" s="16" t="inlineStr">
        <is>
          <t>128-18562942643833501</t>
        </is>
      </c>
      <c r="E3344" s="16" t="inlineStr">
        <is>
          <t>Shipped</t>
        </is>
      </c>
      <c r="F3344" s="16" t="inlineStr">
        <is>
          <t>EM04W36</t>
        </is>
      </c>
      <c r="G334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344" s="16" t="inlineStr">
        <is>
          <t>1 pieza</t>
        </is>
      </c>
      <c r="I3344" s="16" t="n">
        <v>1</v>
      </c>
      <c r="J3344" s="17" t="n">
        <v>78.81</v>
      </c>
      <c r="K3344" s="17" t="n">
        <v>14.35</v>
      </c>
      <c r="L3344" s="17" t="n">
        <v>25.86</v>
      </c>
      <c r="M3344" s="17" t="n">
        <v>0</v>
      </c>
      <c r="N3344" s="17">
        <f>K3344*0.08+L3344*0.08</f>
        <v/>
      </c>
      <c r="O3344" s="17">
        <f>-(K3344*0.025+L3344*0.025)</f>
        <v/>
      </c>
      <c r="P3344" s="17">
        <f>32</f>
        <v/>
      </c>
      <c r="Q3344" s="17">
        <f>J3344+L3344+N3344+O3344-P3344-M3344</f>
        <v/>
      </c>
    </row>
    <row r="3345">
      <c r="A3345" s="16" t="inlineStr">
        <is>
          <t>5.29-6.4</t>
        </is>
      </c>
      <c r="B3345" s="16" t="inlineStr">
        <is>
          <t>PO-128-18913963643511534</t>
        </is>
      </c>
      <c r="C3345" s="16" t="inlineStr">
        <is>
          <t>Shipped</t>
        </is>
      </c>
      <c r="D3345" s="16" t="inlineStr">
        <is>
          <t>128-18914043597431534</t>
        </is>
      </c>
      <c r="E3345" s="16" t="inlineStr">
        <is>
          <t>Shipped</t>
        </is>
      </c>
      <c r="F3345" s="16" t="inlineStr">
        <is>
          <t>MB-185A</t>
        </is>
      </c>
      <c r="G3345" s="16" t="inlineStr">
        <is>
          <t>Bocina Radio FM/Reproductor, Compatible con Tarjeta TF, USB, Bluetooth, Aplicable para celular, computadora, Ipad y consola.</t>
        </is>
      </c>
      <c r="H3345" s="16" t="inlineStr">
        <is>
          <t>AZUL/MB-185</t>
        </is>
      </c>
      <c r="I3345" s="16" t="n">
        <v>1</v>
      </c>
      <c r="J3345" s="17" t="n">
        <v>73</v>
      </c>
      <c r="K3345" s="17" t="n">
        <v>85.94</v>
      </c>
      <c r="L3345" s="17" t="n">
        <v>25.86</v>
      </c>
      <c r="M3345" s="17" t="n">
        <v>0</v>
      </c>
      <c r="N3345" s="17">
        <f>K3345*0.08+L3345*0.08</f>
        <v/>
      </c>
      <c r="O3345" s="17">
        <f>-(K3345*0.025+L3345*0.025)</f>
        <v/>
      </c>
      <c r="P3345" s="17">
        <f>32</f>
        <v/>
      </c>
      <c r="Q3345" s="17">
        <f>J3345+L3345+N3345+O3345-P3345-M3345</f>
        <v/>
      </c>
    </row>
    <row r="3346">
      <c r="A3346" s="16" t="inlineStr">
        <is>
          <t>5.29-6.4</t>
        </is>
      </c>
      <c r="B3346" s="16" t="inlineStr">
        <is>
          <t>PO-128-18635917594233192</t>
        </is>
      </c>
      <c r="C3346" s="16" t="inlineStr">
        <is>
          <t>Shipped</t>
        </is>
      </c>
      <c r="D3346" s="16" t="inlineStr">
        <is>
          <t>128-18635938565753192</t>
        </is>
      </c>
      <c r="E3346" s="16" t="inlineStr">
        <is>
          <t>Shipped</t>
        </is>
      </c>
      <c r="F3346" s="16" t="inlineStr">
        <is>
          <t>MB-185N</t>
        </is>
      </c>
      <c r="G3346" s="16" t="inlineStr">
        <is>
          <t>Bocina Radio FM/Reproductor, Compatible con Tarjeta TF, USB, Bluetooth, Aplicable para celular, computadora, Ipad y consola.</t>
        </is>
      </c>
      <c r="H3346" s="16" t="inlineStr">
        <is>
          <t>NEGRO/MB-185</t>
        </is>
      </c>
      <c r="I3346" s="16" t="n">
        <v>1</v>
      </c>
      <c r="J3346" s="17" t="n">
        <v>75.5</v>
      </c>
      <c r="K3346" s="17" t="n">
        <v>44.22</v>
      </c>
      <c r="L3346" s="17" t="n">
        <v>25.86</v>
      </c>
      <c r="M3346" s="17" t="n">
        <v>0</v>
      </c>
      <c r="N3346" s="17">
        <f>K3346*0.08+L3346*0.08</f>
        <v/>
      </c>
      <c r="O3346" s="17">
        <f>-(K3346*0.025+L3346*0.025)</f>
        <v/>
      </c>
      <c r="P3346" s="17">
        <f>32</f>
        <v/>
      </c>
      <c r="Q3346" s="17">
        <f>J3346+L3346+N3346+O3346-P3346-M3346</f>
        <v/>
      </c>
    </row>
    <row r="3347">
      <c r="A3347" s="16" t="inlineStr">
        <is>
          <t>5.29-6.4</t>
        </is>
      </c>
      <c r="B3347" s="16" t="inlineStr">
        <is>
          <t>PO-128-18731817953912492</t>
        </is>
      </c>
      <c r="C3347" s="16" t="inlineStr">
        <is>
          <t>Shipped</t>
        </is>
      </c>
      <c r="D3347" s="16" t="inlineStr">
        <is>
          <t>128-18731859896952492</t>
        </is>
      </c>
      <c r="E3347" s="16" t="inlineStr">
        <is>
          <t>Shipped</t>
        </is>
      </c>
      <c r="F3347" s="16" t="inlineStr">
        <is>
          <t>LB02235-azul</t>
        </is>
      </c>
      <c r="G3347" s="16" t="inlineStr">
        <is>
          <t>Audífonos Inalámbricos para la Cabeza, Recargables y Multifuncionales - Conectan a Varios Dispositivos, soportan Radio FM, Tarjeta TF y AUX - 4 Horas de Reproducción Musical - Ideal para Trabajo Cotidiano, Juegos y Estudio</t>
        </is>
      </c>
      <c r="H3347" s="16" t="inlineStr">
        <is>
          <t>AZUL</t>
        </is>
      </c>
      <c r="I3347" s="16" t="n">
        <v>2</v>
      </c>
      <c r="J3347" s="17" t="n">
        <v>58</v>
      </c>
      <c r="K3347" s="17" t="n">
        <v>84.22</v>
      </c>
      <c r="L3347" s="17" t="n">
        <v>25.86</v>
      </c>
      <c r="M3347" s="17" t="n">
        <v>0</v>
      </c>
      <c r="N3347" s="17">
        <f>K3347*0.08+L3347*0.08</f>
        <v/>
      </c>
      <c r="O3347" s="17">
        <f>-(K3347*0.025+L3347*0.025)</f>
        <v/>
      </c>
      <c r="P3347" s="17">
        <f>32</f>
        <v/>
      </c>
      <c r="Q3347" s="17">
        <f>J3347+L3347+N3347+O3347-P3347-M3347</f>
        <v/>
      </c>
    </row>
    <row r="3348">
      <c r="A3348" s="16" t="inlineStr">
        <is>
          <t>5.29-6.4</t>
        </is>
      </c>
      <c r="B3348" s="16" t="inlineStr">
        <is>
          <t>PO-128-18931616246391367</t>
        </is>
      </c>
      <c r="C3348" s="16" t="inlineStr">
        <is>
          <t>Shipped</t>
        </is>
      </c>
      <c r="D3348" s="16" t="inlineStr">
        <is>
          <t>128-18931605760631367</t>
        </is>
      </c>
      <c r="E3348" s="16" t="inlineStr">
        <is>
          <t>Shipped</t>
        </is>
      </c>
      <c r="F3348" s="16" t="inlineStr">
        <is>
          <t>LB02235-negro</t>
        </is>
      </c>
      <c r="G3348" s="16" t="inlineStr">
        <is>
          <t>Audífonos Inalámbricos para la Cabeza, Recargables y Multifuncionales - Conectan a Varios Dispositivos, soportan Radio FM, Tarjeta TF y AUX - 4 Horas de Reproducción Musical - Ideal para Trabajo Cotidiano, Juegos y Estudio</t>
        </is>
      </c>
      <c r="H3348" s="16" t="inlineStr">
        <is>
          <t>NEGRO</t>
        </is>
      </c>
      <c r="I3348" s="16" t="n">
        <v>1</v>
      </c>
      <c r="J3348" s="17" t="n">
        <v>36.8</v>
      </c>
      <c r="K3348" s="17" t="n">
        <v>49.91</v>
      </c>
      <c r="L3348" s="17" t="n">
        <v>25.86</v>
      </c>
      <c r="M3348" s="17" t="n">
        <v>0</v>
      </c>
      <c r="N3348" s="17">
        <f>K3348*0.08+L3348*0.08</f>
        <v/>
      </c>
      <c r="O3348" s="17">
        <f>-(K3348*0.025+L3348*0.025)</f>
        <v/>
      </c>
      <c r="P3348" s="17">
        <f>32</f>
        <v/>
      </c>
      <c r="Q3348" s="17">
        <f>J3348+L3348+N3348+O3348-P3348-M3348</f>
        <v/>
      </c>
    </row>
    <row r="3349">
      <c r="A3349" s="16" t="inlineStr">
        <is>
          <t>5.29-6.4</t>
        </is>
      </c>
      <c r="B3349" s="16" t="inlineStr">
        <is>
          <t>PO-128-18865050998392722</t>
        </is>
      </c>
      <c r="C3349" s="16" t="inlineStr">
        <is>
          <t>Shipped</t>
        </is>
      </c>
      <c r="D3349" s="16" t="inlineStr">
        <is>
          <t>128-18865009055352722</t>
        </is>
      </c>
      <c r="E3349" s="16" t="inlineStr">
        <is>
          <t>Shipped</t>
        </is>
      </c>
      <c r="F3349" s="16" t="inlineStr">
        <is>
          <t>MB-185R</t>
        </is>
      </c>
      <c r="G3349" s="16" t="inlineStr">
        <is>
          <t>Bocina Radio FM/Reproductor, Compatible con Tarjeta TF, USB, Bluetooth, Aplicable para celular, computadora, Ipad y consola.</t>
        </is>
      </c>
      <c r="H3349" s="16" t="inlineStr">
        <is>
          <t>ROJO/MB-185</t>
        </is>
      </c>
      <c r="I3349" s="16" t="n">
        <v>1</v>
      </c>
      <c r="J3349" s="17" t="n">
        <v>75.59999999999999</v>
      </c>
      <c r="K3349" s="17" t="n">
        <v>88.53</v>
      </c>
      <c r="L3349" s="17" t="n">
        <v>25.86</v>
      </c>
      <c r="M3349" s="17" t="n">
        <v>0</v>
      </c>
      <c r="N3349" s="17">
        <f>K3349*0.08+L3349*0.08</f>
        <v/>
      </c>
      <c r="O3349" s="17">
        <f>-(K3349*0.025+L3349*0.025)</f>
        <v/>
      </c>
      <c r="P3349" s="17">
        <f>32</f>
        <v/>
      </c>
      <c r="Q3349" s="17">
        <f>J3349+L3349+N3349+O3349-P3349-M3349</f>
        <v/>
      </c>
    </row>
    <row r="3350">
      <c r="A3350" s="16" t="inlineStr">
        <is>
          <t>5.29-6.4</t>
        </is>
      </c>
      <c r="B3350" s="16" t="inlineStr">
        <is>
          <t>PO-128-18725670851193683</t>
        </is>
      </c>
      <c r="C3350" s="16" t="inlineStr">
        <is>
          <t>Shipped</t>
        </is>
      </c>
      <c r="D3350" s="16" t="inlineStr">
        <is>
          <t>128-18725691822713683</t>
        </is>
      </c>
      <c r="E3350" s="16" t="inlineStr">
        <is>
          <t>Shipped</t>
        </is>
      </c>
      <c r="F3350" s="16" t="inlineStr">
        <is>
          <t>LB02235-azul</t>
        </is>
      </c>
      <c r="G3350" s="16" t="inlineStr">
        <is>
          <t>Audífonos Inalámbricos para la Cabeza, Recargables y Multifuncionales - Conectan a Varios Dispositivos, soportan Radio FM, Tarjeta TF y AUX - 4 Horas de Reproducción Musical - Ideal para Trabajo Cotidiano, Juegos y Estudio</t>
        </is>
      </c>
      <c r="H3350" s="16" t="inlineStr">
        <is>
          <t>AZUL</t>
        </is>
      </c>
      <c r="I3350" s="16" t="n">
        <v>7</v>
      </c>
      <c r="J3350" s="17" t="n">
        <v>203</v>
      </c>
      <c r="K3350" s="17" t="n">
        <v>235.83</v>
      </c>
      <c r="L3350" s="17" t="n">
        <v>0</v>
      </c>
      <c r="M3350" s="17" t="n">
        <v>0</v>
      </c>
      <c r="N3350" s="17">
        <f>K3350*0.08+L3350*0.08</f>
        <v/>
      </c>
      <c r="O3350" s="17">
        <f>-(K3350*0.025+L3350*0.025)</f>
        <v/>
      </c>
      <c r="P3350" s="17">
        <f>32</f>
        <v/>
      </c>
      <c r="Q3350" s="17">
        <f>J3350+L3350+N3350+O3350-P3350-M3350</f>
        <v/>
      </c>
    </row>
    <row r="3351">
      <c r="A3351" s="16" t="inlineStr">
        <is>
          <t>5.29-6.4</t>
        </is>
      </c>
      <c r="B3351" s="16" t="inlineStr">
        <is>
          <t>PO-128-18811028196472148</t>
        </is>
      </c>
      <c r="C3351" s="16" t="inlineStr">
        <is>
          <t>Shipped</t>
        </is>
      </c>
      <c r="D3351" s="16" t="inlineStr">
        <is>
          <t>128-18810975767672148</t>
        </is>
      </c>
      <c r="E3351" s="16" t="inlineStr">
        <is>
          <t>Shipped</t>
        </is>
      </c>
      <c r="F3351" s="16" t="inlineStr">
        <is>
          <t>LB02235-azul</t>
        </is>
      </c>
      <c r="G3351" s="16" t="inlineStr">
        <is>
          <t>Audífonos Inalámbricos para la Cabeza, Recargables y Multifuncionales - Conectan a Varios Dispositivos, soportan Radio FM, Tarjeta TF y AUX - 4 Horas de Reproducción Musical - Ideal para Trabajo Cotidiano, Juegos y Estudio</t>
        </is>
      </c>
      <c r="H3351" s="16" t="inlineStr">
        <is>
          <t>AZUL</t>
        </is>
      </c>
      <c r="I3351" s="16" t="n">
        <v>1</v>
      </c>
      <c r="J3351" s="17" t="n">
        <v>29</v>
      </c>
      <c r="K3351" s="17" t="n">
        <v>42.11</v>
      </c>
      <c r="L3351" s="17" t="n">
        <v>25.86</v>
      </c>
      <c r="M3351" s="17" t="n">
        <v>0</v>
      </c>
      <c r="N3351" s="17">
        <f>K3351*0.08+L3351*0.08</f>
        <v/>
      </c>
      <c r="O3351" s="17">
        <f>-(K3351*0.025+L3351*0.025)</f>
        <v/>
      </c>
      <c r="P3351" s="17">
        <f>32</f>
        <v/>
      </c>
      <c r="Q3351" s="17">
        <f>J3351+L3351+N3351+O3351-P3351-M3351</f>
        <v/>
      </c>
    </row>
    <row r="3352">
      <c r="A3352" s="16" t="inlineStr">
        <is>
          <t>5.29-6.4</t>
        </is>
      </c>
      <c r="B3352" s="16" t="inlineStr">
        <is>
          <t>PO-128-19158731448950908</t>
        </is>
      </c>
      <c r="C3352" s="16" t="inlineStr">
        <is>
          <t>Shipped</t>
        </is>
      </c>
      <c r="D3352" s="16" t="inlineStr">
        <is>
          <t>128-19158689505910908</t>
        </is>
      </c>
      <c r="E3352" s="16" t="inlineStr">
        <is>
          <t>Shipped</t>
        </is>
      </c>
      <c r="F3352" s="16" t="inlineStr">
        <is>
          <t>MB-178-N</t>
        </is>
      </c>
      <c r="G3352" s="16" t="inlineStr">
        <is>
          <t>Bocina de Barra Bluetooth LINK BITS con dos altavoces, sonido de alta calidad y multifuncional (Bluetooth, Radio FM, USB, TF, AUX, TWS), ideal para juegos, reuniones, oficina y cine en casa.</t>
        </is>
      </c>
      <c r="H3352" s="16" t="inlineStr">
        <is>
          <t>NEGRO</t>
        </is>
      </c>
      <c r="I3352" s="16" t="n">
        <v>1</v>
      </c>
      <c r="J3352" s="17" t="n">
        <v>135</v>
      </c>
      <c r="K3352" s="17" t="n">
        <v>152.39</v>
      </c>
      <c r="L3352" s="17" t="n">
        <v>25.86</v>
      </c>
      <c r="M3352" s="17" t="n">
        <v>0</v>
      </c>
      <c r="N3352" s="17">
        <f>K3352*0.08+L3352*0.08</f>
        <v/>
      </c>
      <c r="O3352" s="17">
        <f>-(K3352*0.025+L3352*0.025)</f>
        <v/>
      </c>
      <c r="P3352" s="17">
        <f>32</f>
        <v/>
      </c>
      <c r="Q3352" s="17">
        <f>J3352+L3352+N3352+O3352-P3352-M3352</f>
        <v/>
      </c>
    </row>
    <row r="3353">
      <c r="A3353" s="16" t="inlineStr">
        <is>
          <t>5.29-6.4</t>
        </is>
      </c>
      <c r="B3353" s="16" t="inlineStr">
        <is>
          <t>PO-128-18941977539191176</t>
        </is>
      </c>
      <c r="C3353" s="16" t="inlineStr">
        <is>
          <t>Shipped</t>
        </is>
      </c>
      <c r="D3353" s="16" t="inlineStr">
        <is>
          <t>128-18941935596151176</t>
        </is>
      </c>
      <c r="E3353" s="16" t="inlineStr">
        <is>
          <t>Shipped</t>
        </is>
      </c>
      <c r="F3353" s="16" t="inlineStr">
        <is>
          <t>VA880T</t>
        </is>
      </c>
      <c r="G335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353" s="16" t="inlineStr">
        <is>
          <t>1 pieza</t>
        </is>
      </c>
      <c r="I3353" s="16" t="n">
        <v>1</v>
      </c>
      <c r="J3353" s="17" t="n">
        <v>114.98</v>
      </c>
      <c r="K3353" s="17" t="n">
        <v>127.27</v>
      </c>
      <c r="L3353" s="17" t="n">
        <v>25.86</v>
      </c>
      <c r="M3353" s="17" t="n">
        <v>0</v>
      </c>
      <c r="N3353" s="17">
        <f>K3353*0.08+L3353*0.08</f>
        <v/>
      </c>
      <c r="O3353" s="17">
        <f>-(K3353*0.025+L3353*0.025)</f>
        <v/>
      </c>
      <c r="P3353" s="17">
        <f>32</f>
        <v/>
      </c>
      <c r="Q3353" s="17">
        <f>J3353+L3353+N3353+O3353-P3353-M3353</f>
        <v/>
      </c>
    </row>
    <row r="3354">
      <c r="A3354" s="16" t="inlineStr">
        <is>
          <t>5.29-6.4</t>
        </is>
      </c>
      <c r="B3354" s="16" t="inlineStr">
        <is>
          <t>PO-128-19174376566391006</t>
        </is>
      </c>
      <c r="C3354" s="16" t="inlineStr">
        <is>
          <t>Shipped</t>
        </is>
      </c>
      <c r="D3354" s="16" t="inlineStr">
        <is>
          <t>128-19174397537911006</t>
        </is>
      </c>
      <c r="E3354" s="16" t="inlineStr">
        <is>
          <t>Shipped</t>
        </is>
      </c>
      <c r="F3354" s="16" t="inlineStr">
        <is>
          <t>SA325T</t>
        </is>
      </c>
      <c r="G3354" s="16" t="inlineStr">
        <is>
          <t>Subwoofer Portátil Inalámbrico con Luces RGB, Sonido de Alta Potencia y Batería Duradera, TWS TF USB, Perfecto para Campamento Fiestas y Entretenimiento en Casa</t>
        </is>
      </c>
      <c r="H3354" s="16" t="inlineStr">
        <is>
          <t>NEGRO</t>
        </is>
      </c>
      <c r="I3354" s="16" t="n">
        <v>1</v>
      </c>
      <c r="J3354" s="17" t="n">
        <v>38</v>
      </c>
      <c r="K3354" s="17" t="n">
        <v>37.63</v>
      </c>
      <c r="L3354" s="17" t="n">
        <v>25.86</v>
      </c>
      <c r="M3354" s="17" t="n">
        <v>0</v>
      </c>
      <c r="N3354" s="17">
        <f>K3354*0.08+L3354*0.08</f>
        <v/>
      </c>
      <c r="O3354" s="17">
        <f>-(K3354*0.025+L3354*0.025)</f>
        <v/>
      </c>
      <c r="P3354" s="17">
        <f>32</f>
        <v/>
      </c>
      <c r="Q3354" s="17">
        <f>J3354+L3354+N3354+O3354-P3354-M3354</f>
        <v/>
      </c>
    </row>
    <row r="3355">
      <c r="A3355" s="16" t="inlineStr">
        <is>
          <t>5.29-6.4</t>
        </is>
      </c>
      <c r="B3355" s="16" t="inlineStr">
        <is>
          <t>PO-128-18836356700792831</t>
        </is>
      </c>
      <c r="C3355" s="16" t="inlineStr">
        <is>
          <t>Shipped</t>
        </is>
      </c>
      <c r="D3355" s="16" t="inlineStr">
        <is>
          <t>128-18836314757752831</t>
        </is>
      </c>
      <c r="E3355" s="16" t="inlineStr">
        <is>
          <t>Shipped</t>
        </is>
      </c>
      <c r="F3355" s="16" t="inlineStr">
        <is>
          <t>SA325T</t>
        </is>
      </c>
      <c r="G3355" s="16" t="inlineStr">
        <is>
          <t>Subwoofer Portátil Inalámbrico con Luces RGB, Sonido de Alta Potencia y Batería Duradera, TWS TF USB, Perfecto para Campamento Fiestas y Entretenimiento en Casa</t>
        </is>
      </c>
      <c r="H3355" s="16" t="inlineStr">
        <is>
          <t>NEGRO</t>
        </is>
      </c>
      <c r="I3355" s="16" t="n">
        <v>1</v>
      </c>
      <c r="J3355" s="17" t="n">
        <v>38</v>
      </c>
      <c r="K3355" s="17" t="n">
        <v>39.99</v>
      </c>
      <c r="L3355" s="17" t="n">
        <v>25.86</v>
      </c>
      <c r="M3355" s="17" t="n">
        <v>0</v>
      </c>
      <c r="N3355" s="17">
        <f>K3355*0.08+L3355*0.08</f>
        <v/>
      </c>
      <c r="O3355" s="17">
        <f>-(K3355*0.025+L3355*0.025)</f>
        <v/>
      </c>
      <c r="P3355" s="17">
        <f>32</f>
        <v/>
      </c>
      <c r="Q3355" s="17">
        <f>J3355+L3355+N3355+O3355-P3355-M3355</f>
        <v/>
      </c>
    </row>
    <row r="3356">
      <c r="A3356" s="16" t="inlineStr">
        <is>
          <t>5.29-6.4</t>
        </is>
      </c>
      <c r="B3356" s="16" t="inlineStr">
        <is>
          <t>PO-128-19005992259191818</t>
        </is>
      </c>
      <c r="C3356" s="16" t="inlineStr">
        <is>
          <t>Shipped</t>
        </is>
      </c>
      <c r="D3356" s="16" t="inlineStr">
        <is>
          <t>128-19005987016311818</t>
        </is>
      </c>
      <c r="E3356" s="16" t="inlineStr">
        <is>
          <t>Shipped</t>
        </is>
      </c>
      <c r="F3356" s="16" t="inlineStr">
        <is>
          <t>LB02235-rojo</t>
        </is>
      </c>
      <c r="G3356" s="16" t="inlineStr">
        <is>
          <t>Audífonos Inalámbricos para la Cabeza, Recargables y Multifuncionales - Conectan a Varios Dispositivos, soportan Radio FM, Tarjeta TF y AUX - 4 Horas de Reproducción Musical - Ideal para Trabajo Cotidiano, Juegos y Estudio</t>
        </is>
      </c>
      <c r="H3356" s="16" t="inlineStr">
        <is>
          <t>ROJO</t>
        </is>
      </c>
      <c r="I3356" s="16" t="n">
        <v>1</v>
      </c>
      <c r="J3356" s="17" t="n">
        <v>36.8</v>
      </c>
      <c r="K3356" s="17" t="n">
        <v>37.44</v>
      </c>
      <c r="L3356" s="17" t="n">
        <v>25.86</v>
      </c>
      <c r="M3356" s="17" t="n">
        <v>0</v>
      </c>
      <c r="N3356" s="17">
        <f>K3356*0.08+L3356*0.08</f>
        <v/>
      </c>
      <c r="O3356" s="17">
        <f>-(K3356*0.025+L3356*0.025)</f>
        <v/>
      </c>
      <c r="P3356" s="17">
        <f>32</f>
        <v/>
      </c>
      <c r="Q3356" s="17">
        <f>J3356+L3356+N3356+O3356-P3356-M3356</f>
        <v/>
      </c>
    </row>
    <row r="3357">
      <c r="A3357" s="16" t="inlineStr">
        <is>
          <t>5.29-6.4</t>
        </is>
      </c>
      <c r="B3357" s="16" t="inlineStr">
        <is>
          <t>PO-128-19187150418550802</t>
        </is>
      </c>
      <c r="C3357" s="16" t="inlineStr">
        <is>
          <t>Shipped</t>
        </is>
      </c>
      <c r="D3357" s="16" t="inlineStr">
        <is>
          <t>128-19187153039990802</t>
        </is>
      </c>
      <c r="E3357" s="16" t="inlineStr">
        <is>
          <t>Shipped</t>
        </is>
      </c>
      <c r="F3357" s="16" t="inlineStr">
        <is>
          <t>LB02235-rojo</t>
        </is>
      </c>
      <c r="G3357" s="16" t="inlineStr">
        <is>
          <t>Audífonos Inalámbricos para la Cabeza, Recargables y Multifuncionales - Conectan a Varios Dispositivos, soportan Radio FM, Tarjeta TF y AUX - 4 Horas de Reproducción Musical - Ideal para Trabajo Cotidiano, Juegos y Estudio</t>
        </is>
      </c>
      <c r="H3357" s="16" t="inlineStr">
        <is>
          <t>ROJO</t>
        </is>
      </c>
      <c r="I3357" s="16" t="n">
        <v>1</v>
      </c>
      <c r="J3357" s="17" t="n">
        <v>36.8</v>
      </c>
      <c r="K3357" s="17" t="n">
        <v>49.91</v>
      </c>
      <c r="L3357" s="17" t="n">
        <v>25.86</v>
      </c>
      <c r="M3357" s="17" t="n">
        <v>0</v>
      </c>
      <c r="N3357" s="17">
        <f>K3357*0.08+L3357*0.08</f>
        <v/>
      </c>
      <c r="O3357" s="17">
        <f>-(K3357*0.025+L3357*0.025)</f>
        <v/>
      </c>
      <c r="P3357" s="17">
        <f>32</f>
        <v/>
      </c>
      <c r="Q3357" s="17">
        <f>J3357+L3357+N3357+O3357-P3357-M3357</f>
        <v/>
      </c>
    </row>
    <row r="3358">
      <c r="A3358" s="16" t="inlineStr">
        <is>
          <t>5.29-6.4</t>
        </is>
      </c>
      <c r="B3358" s="16" t="inlineStr">
        <is>
          <t>PO-128-18583211617913378</t>
        </is>
      </c>
      <c r="C3358" s="16" t="inlineStr">
        <is>
          <t>Shipped</t>
        </is>
      </c>
      <c r="D3358" s="16" t="inlineStr">
        <is>
          <t>128-18583264046713378</t>
        </is>
      </c>
      <c r="E3358" s="16" t="inlineStr">
        <is>
          <t>Shipped</t>
        </is>
      </c>
      <c r="F3358" s="16" t="inlineStr">
        <is>
          <t>MB-178-B</t>
        </is>
      </c>
      <c r="G3358" s="16" t="inlineStr">
        <is>
          <t>Bocina de Barra Bluetooth LINK BITS con dos altavoces, sonido de alta calidad y multifuncional (Bluetooth, Radio FM, USB, TF, AUX, TWS), ideal para juegos, reuniones, oficina y cine en casa.</t>
        </is>
      </c>
      <c r="H3358" s="16" t="inlineStr">
        <is>
          <t>BLANCO</t>
        </is>
      </c>
      <c r="I3358" s="16" t="n">
        <v>1</v>
      </c>
      <c r="J3358" s="17" t="n">
        <v>129</v>
      </c>
      <c r="K3358" s="17" t="n">
        <v>102.48</v>
      </c>
      <c r="L3358" s="17" t="n">
        <v>25.86</v>
      </c>
      <c r="M3358" s="17" t="n">
        <v>0</v>
      </c>
      <c r="N3358" s="17">
        <f>K3358*0.08+L3358*0.08</f>
        <v/>
      </c>
      <c r="O3358" s="17">
        <f>-(K3358*0.025+L3358*0.025)</f>
        <v/>
      </c>
      <c r="P3358" s="17">
        <f>32</f>
        <v/>
      </c>
      <c r="Q3358" s="17">
        <f>J3358+L3358+N3358+O3358-P3358-M3358</f>
        <v/>
      </c>
    </row>
    <row r="3359">
      <c r="A3359" s="16" t="inlineStr">
        <is>
          <t>5.29-6.4</t>
        </is>
      </c>
      <c r="B3359" s="16" t="inlineStr">
        <is>
          <t>PO-128-18570101289593520</t>
        </is>
      </c>
      <c r="C3359" s="16" t="inlineStr">
        <is>
          <t>Shipped</t>
        </is>
      </c>
      <c r="D3359" s="16" t="inlineStr">
        <is>
          <t>128-18570085560953520</t>
        </is>
      </c>
      <c r="E3359" s="16" t="inlineStr">
        <is>
          <t>Shipped</t>
        </is>
      </c>
      <c r="F3359" s="16" t="inlineStr">
        <is>
          <t>KTS-1678V</t>
        </is>
      </c>
      <c r="G3359" s="16" t="inlineStr">
        <is>
          <t>Bocina portátil Inalámbrico, de 3 pulgadas, tamaño de bolsillo, 170 g, con asa, compatible con TF, USB y Micro SD, con radio FM y función TWS (True Wireless Stereo), adecuada para relajarse en casa o viajar al aire libre.</t>
        </is>
      </c>
      <c r="H3359" s="16" t="inlineStr">
        <is>
          <t>KTS-1678V</t>
        </is>
      </c>
      <c r="I3359" s="16" t="n">
        <v>1</v>
      </c>
      <c r="J3359" s="17" t="n">
        <v>42.5</v>
      </c>
      <c r="K3359" s="17" t="n">
        <v>56.39</v>
      </c>
      <c r="L3359" s="17" t="n">
        <v>25.86</v>
      </c>
      <c r="M3359" s="17" t="n">
        <v>0</v>
      </c>
      <c r="N3359" s="17">
        <f>K3359*0.08+L3359*0.08</f>
        <v/>
      </c>
      <c r="O3359" s="17">
        <f>-(K3359*0.025+L3359*0.025)</f>
        <v/>
      </c>
      <c r="P3359" s="17">
        <f>32</f>
        <v/>
      </c>
      <c r="Q3359" s="17">
        <f>J3359+L3359+N3359+O3359-P3359-M3359</f>
        <v/>
      </c>
    </row>
    <row r="3360">
      <c r="A3360" s="16" t="inlineStr">
        <is>
          <t>5.29-6.4</t>
        </is>
      </c>
      <c r="B3360" s="16" t="inlineStr">
        <is>
          <t>PO-128-18598924864633220</t>
        </is>
      </c>
      <c r="C3360" s="16" t="inlineStr">
        <is>
          <t>Shipped</t>
        </is>
      </c>
      <c r="D3360" s="16" t="inlineStr">
        <is>
          <t>128-18598914378873220</t>
        </is>
      </c>
      <c r="E3360" s="16" t="inlineStr">
        <is>
          <t>Shipped</t>
        </is>
      </c>
      <c r="F3360" s="16" t="inlineStr">
        <is>
          <t>LB02235-negro</t>
        </is>
      </c>
      <c r="G3360" s="16" t="inlineStr">
        <is>
          <t>Audífonos Inalámbricos para la Cabeza, Recargables y Multifuncionales - Conectan a Varios Dispositivos, soportan Radio FM, Tarjeta TF y AUX - 4 Horas de Reproducción Musical - Ideal para Trabajo Cotidiano, Juegos y Estudio</t>
        </is>
      </c>
      <c r="H3360" s="16" t="inlineStr">
        <is>
          <t>NEGRO</t>
        </is>
      </c>
      <c r="I3360" s="16" t="n">
        <v>1</v>
      </c>
      <c r="J3360" s="17" t="n">
        <v>36.8</v>
      </c>
      <c r="K3360" s="17" t="n">
        <v>49.91</v>
      </c>
      <c r="L3360" s="17" t="n">
        <v>25.86</v>
      </c>
      <c r="M3360" s="17" t="n">
        <v>0</v>
      </c>
      <c r="N3360" s="17">
        <f>K3360*0.08+L3360*0.08</f>
        <v/>
      </c>
      <c r="O3360" s="17">
        <f>-(K3360*0.025+L3360*0.025)</f>
        <v/>
      </c>
      <c r="P3360" s="17">
        <f>32</f>
        <v/>
      </c>
      <c r="Q3360" s="17">
        <f>J3360+L3360+N3360+O3360-P3360-M3360</f>
        <v/>
      </c>
    </row>
    <row r="3361">
      <c r="A3361" s="16" t="inlineStr">
        <is>
          <t>5.29-6.4</t>
        </is>
      </c>
      <c r="B3361" s="16" t="inlineStr">
        <is>
          <t>PO-128-19239146496630620</t>
        </is>
      </c>
      <c r="C3361" s="16" t="inlineStr">
        <is>
          <t>Shipped</t>
        </is>
      </c>
      <c r="D3361" s="16" t="inlineStr">
        <is>
          <t>128-19239251354230620</t>
        </is>
      </c>
      <c r="E3361" s="16" t="inlineStr">
        <is>
          <t>Shipped</t>
        </is>
      </c>
      <c r="F3361" s="16" t="inlineStr">
        <is>
          <t>LB02235-rojo</t>
        </is>
      </c>
      <c r="G3361" s="16" t="inlineStr">
        <is>
          <t>Audífonos Inalámbricos para la Cabeza, Recargables y Multifuncionales - Conectan a Varios Dispositivos, soportan Radio FM, Tarjeta TF y AUX - 4 Horas de Reproducción Musical - Ideal para Trabajo Cotidiano, Juegos y Estudio</t>
        </is>
      </c>
      <c r="H3361" s="16" t="inlineStr">
        <is>
          <t>ROJO</t>
        </is>
      </c>
      <c r="I3361" s="16" t="n">
        <v>1</v>
      </c>
      <c r="J3361" s="17" t="n">
        <v>36.8</v>
      </c>
      <c r="K3361" s="17" t="n">
        <v>6.81</v>
      </c>
      <c r="L3361" s="17" t="n">
        <v>25.86</v>
      </c>
      <c r="M3361" s="17" t="n">
        <v>0</v>
      </c>
      <c r="N3361" s="17">
        <f>K3361*0.08+L3361*0.08</f>
        <v/>
      </c>
      <c r="O3361" s="17">
        <f>-(K3361*0.025+L3361*0.025)</f>
        <v/>
      </c>
      <c r="P3361" s="17">
        <f>32</f>
        <v/>
      </c>
      <c r="Q3361" s="17">
        <f>J3361+L3361+N3361+O3361-P3361-M3361</f>
        <v/>
      </c>
    </row>
    <row r="3362">
      <c r="A3362" s="16" t="inlineStr">
        <is>
          <t>5.29-6.4</t>
        </is>
      </c>
      <c r="B3362" s="16" t="inlineStr">
        <is>
          <t>PO-128-18985807550071938</t>
        </is>
      </c>
      <c r="C3362" s="16" t="inlineStr">
        <is>
          <t>Shipped</t>
        </is>
      </c>
      <c r="D3362" s="16" t="inlineStr">
        <is>
          <t>128-18985786578551938</t>
        </is>
      </c>
      <c r="E3362" s="16" t="inlineStr">
        <is>
          <t>Shipped</t>
        </is>
      </c>
      <c r="F3362" s="16" t="inlineStr">
        <is>
          <t>LV34W04</t>
        </is>
      </c>
      <c r="G336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362" s="16" t="inlineStr">
        <is>
          <t>LV34W04</t>
        </is>
      </c>
      <c r="I3362" s="16" t="n">
        <v>2</v>
      </c>
      <c r="J3362" s="17" t="n">
        <v>460.6</v>
      </c>
      <c r="K3362" s="17" t="n">
        <v>515.3</v>
      </c>
      <c r="L3362" s="17" t="n">
        <v>0</v>
      </c>
      <c r="M3362" s="17" t="n">
        <v>0</v>
      </c>
      <c r="N3362" s="17">
        <f>K3362*0.08+L3362*0.08</f>
        <v/>
      </c>
      <c r="O3362" s="17">
        <f>-(K3362*0.025+L3362*0.025)</f>
        <v/>
      </c>
      <c r="P3362" s="17">
        <f>32</f>
        <v/>
      </c>
      <c r="Q3362" s="17">
        <f>J3362+L3362+N3362+O3362-P3362-M3362</f>
        <v/>
      </c>
    </row>
    <row r="3363">
      <c r="A3363" s="16" t="inlineStr">
        <is>
          <t>5.29-6.4</t>
        </is>
      </c>
      <c r="B3363" s="16" t="inlineStr">
        <is>
          <t>PO-128-19239139159670620</t>
        </is>
      </c>
      <c r="C3363" s="16" t="inlineStr">
        <is>
          <t>Shipped</t>
        </is>
      </c>
      <c r="D3363" s="16" t="inlineStr">
        <is>
          <t>128-19239244017270620</t>
        </is>
      </c>
      <c r="E3363" s="16" t="inlineStr">
        <is>
          <t>Shipped</t>
        </is>
      </c>
      <c r="F3363" s="16" t="inlineStr">
        <is>
          <t>EM04W36</t>
        </is>
      </c>
      <c r="G3363"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363" s="16" t="inlineStr">
        <is>
          <t>1 pieza</t>
        </is>
      </c>
      <c r="I3363" s="16" t="n">
        <v>1</v>
      </c>
      <c r="J3363" s="17" t="n">
        <v>78.81</v>
      </c>
      <c r="K3363" s="17" t="n">
        <v>5.33</v>
      </c>
      <c r="L3363" s="17" t="n">
        <v>25.86</v>
      </c>
      <c r="M3363" s="17" t="n">
        <v>0</v>
      </c>
      <c r="N3363" s="17">
        <f>K3363*0.08+L3363*0.08</f>
        <v/>
      </c>
      <c r="O3363" s="17">
        <f>-(K3363*0.025+L3363*0.025)</f>
        <v/>
      </c>
      <c r="P3363" s="17">
        <f>32</f>
        <v/>
      </c>
      <c r="Q3363" s="17">
        <f>J3363+L3363+N3363+O3363-P3363-M3363</f>
        <v/>
      </c>
    </row>
    <row r="3364">
      <c r="A3364" s="16" t="inlineStr">
        <is>
          <t>5.29-6.4</t>
        </is>
      </c>
      <c r="B3364" s="16" t="inlineStr">
        <is>
          <t>PO-128-19148693688950073</t>
        </is>
      </c>
      <c r="C3364" s="16" t="inlineStr">
        <is>
          <t>Shipped</t>
        </is>
      </c>
      <c r="D3364" s="16" t="inlineStr">
        <is>
          <t>128-19148746117750073</t>
        </is>
      </c>
      <c r="E3364" s="16" t="inlineStr">
        <is>
          <t>Shipped</t>
        </is>
      </c>
      <c r="F3364" s="16" t="inlineStr">
        <is>
          <t>LB02235-negro</t>
        </is>
      </c>
      <c r="G3364" s="16" t="inlineStr">
        <is>
          <t>Audífonos Inalámbricos para la Cabeza, Recargables y Multifuncionales - Conectan a Varios Dispositivos, soportan Radio FM, Tarjeta TF y AUX - 4 Horas de Reproducción Musical - Ideal para Trabajo Cotidiano, Juegos y Estudio</t>
        </is>
      </c>
      <c r="H3364" s="16" t="inlineStr">
        <is>
          <t>NEGRO</t>
        </is>
      </c>
      <c r="I3364" s="16" t="n">
        <v>1</v>
      </c>
      <c r="J3364" s="17" t="n">
        <v>36.8</v>
      </c>
      <c r="K3364" s="17" t="n">
        <v>49.91</v>
      </c>
      <c r="L3364" s="17" t="n">
        <v>25.86</v>
      </c>
      <c r="M3364" s="17" t="n">
        <v>0</v>
      </c>
      <c r="N3364" s="17">
        <f>K3364*0.08+L3364*0.08</f>
        <v/>
      </c>
      <c r="O3364" s="17">
        <f>-(K3364*0.025+L3364*0.025)</f>
        <v/>
      </c>
      <c r="P3364" s="17">
        <f>32</f>
        <v/>
      </c>
      <c r="Q3364" s="17">
        <f>J3364+L3364+N3364+O3364-P3364-M3364</f>
        <v/>
      </c>
    </row>
    <row r="3365">
      <c r="A3365" s="16" t="inlineStr">
        <is>
          <t>5.29-6.4</t>
        </is>
      </c>
      <c r="B3365" s="16" t="inlineStr">
        <is>
          <t>PO-128-18911148559991489</t>
        </is>
      </c>
      <c r="C3365" s="16" t="inlineStr">
        <is>
          <t>Shipped</t>
        </is>
      </c>
      <c r="D3365" s="16" t="inlineStr">
        <is>
          <t>128-18911127588471489</t>
        </is>
      </c>
      <c r="E3365" s="16" t="inlineStr">
        <is>
          <t>Shipped</t>
        </is>
      </c>
      <c r="F3365" s="16" t="inlineStr">
        <is>
          <t>LB02235-negro</t>
        </is>
      </c>
      <c r="G3365" s="16" t="inlineStr">
        <is>
          <t>Audífonos Inalámbricos para la Cabeza, Recargables y Multifuncionales - Conectan a Varios Dispositivos, soportan Radio FM, Tarjeta TF y AUX - 4 Horas de Reproducción Musical - Ideal para Trabajo Cotidiano, Juegos y Estudio</t>
        </is>
      </c>
      <c r="H3365" s="16" t="inlineStr">
        <is>
          <t>NEGRO</t>
        </is>
      </c>
      <c r="I3365" s="16" t="n">
        <v>1</v>
      </c>
      <c r="J3365" s="17" t="n">
        <v>36.8</v>
      </c>
      <c r="K3365" s="17" t="n">
        <v>39.94</v>
      </c>
      <c r="L3365" s="17" t="n">
        <v>25.86</v>
      </c>
      <c r="M3365" s="17" t="n">
        <v>0</v>
      </c>
      <c r="N3365" s="17">
        <f>K3365*0.08+L3365*0.08</f>
        <v/>
      </c>
      <c r="O3365" s="17">
        <f>-(K3365*0.025+L3365*0.025)</f>
        <v/>
      </c>
      <c r="P3365" s="17">
        <f>32</f>
        <v/>
      </c>
      <c r="Q3365" s="17">
        <f>J3365+L3365+N3365+O3365-P3365-M3365</f>
        <v/>
      </c>
    </row>
    <row r="3366">
      <c r="A3366" s="16" t="inlineStr">
        <is>
          <t>5.29-6.4</t>
        </is>
      </c>
      <c r="B3366" s="16" t="inlineStr">
        <is>
          <t>PO-128-19141014846070055</t>
        </is>
      </c>
      <c r="C3366" s="16" t="inlineStr">
        <is>
          <t>Shipped</t>
        </is>
      </c>
      <c r="D3366" s="16" t="inlineStr">
        <is>
          <t>128-19141025331830055</t>
        </is>
      </c>
      <c r="E3366" s="16" t="inlineStr">
        <is>
          <t>Shipped</t>
        </is>
      </c>
      <c r="F3366" s="16" t="inlineStr">
        <is>
          <t>LB02235-azul</t>
        </is>
      </c>
      <c r="G3366" s="16" t="inlineStr">
        <is>
          <t>Audífonos Inalámbricos para la Cabeza, Recargables y Multifuncionales - Conectan a Varios Dispositivos, soportan Radio FM, Tarjeta TF y AUX - 4 Horas de Reproducción Musical - Ideal para Trabajo Cotidiano, Juegos y Estudio</t>
        </is>
      </c>
      <c r="H3366" s="16" t="inlineStr">
        <is>
          <t>AZUL</t>
        </is>
      </c>
      <c r="I3366" s="16" t="n">
        <v>1</v>
      </c>
      <c r="J3366" s="17" t="n">
        <v>29</v>
      </c>
      <c r="K3366" s="17" t="n">
        <v>33.69</v>
      </c>
      <c r="L3366" s="17" t="n">
        <v>25.86</v>
      </c>
      <c r="M3366" s="17" t="n">
        <v>0</v>
      </c>
      <c r="N3366" s="17">
        <f>K3366*0.08+L3366*0.08</f>
        <v/>
      </c>
      <c r="O3366" s="17">
        <f>-(K3366*0.025+L3366*0.025)</f>
        <v/>
      </c>
      <c r="P3366" s="17">
        <f>32</f>
        <v/>
      </c>
      <c r="Q3366" s="17">
        <f>J3366+L3366+N3366+O3366-P3366-M3366</f>
        <v/>
      </c>
    </row>
    <row r="3367">
      <c r="A3367" s="16" t="inlineStr">
        <is>
          <t>5.29-6.4</t>
        </is>
      </c>
      <c r="B3367" s="16" t="inlineStr">
        <is>
          <t>PO-128-19124458476150216</t>
        </is>
      </c>
      <c r="C3367" s="16" t="inlineStr">
        <is>
          <t>Shipped</t>
        </is>
      </c>
      <c r="D3367" s="16" t="inlineStr">
        <is>
          <t>128-19124479447670216</t>
        </is>
      </c>
      <c r="E3367" s="16" t="inlineStr">
        <is>
          <t>Shipped</t>
        </is>
      </c>
      <c r="F3367" s="16" t="inlineStr">
        <is>
          <t>HD005</t>
        </is>
      </c>
      <c r="G3367" s="16" t="inlineStr">
        <is>
          <t>Link bits HD005 Antena UHF para Exteriores, Antena de TV Digital HD con 10 Metros de Cable, Recepción 470-862MHz, 9-7dB de Ganancia, Antena para Canales Abiertos y HD, Resistente al Agua y Viento, Fácil Instalación</t>
        </is>
      </c>
      <c r="H3367" s="16" t="inlineStr">
        <is>
          <t>1</t>
        </is>
      </c>
      <c r="I3367" s="16" t="n">
        <v>1</v>
      </c>
      <c r="J3367" s="17" t="n">
        <v>75</v>
      </c>
      <c r="K3367" s="17" t="n">
        <v>39.21</v>
      </c>
      <c r="L3367" s="17" t="n">
        <v>25.86</v>
      </c>
      <c r="M3367" s="17" t="n">
        <v>0</v>
      </c>
      <c r="N3367" s="17">
        <f>K3367*0.08+L3367*0.08</f>
        <v/>
      </c>
      <c r="O3367" s="17">
        <f>-(K3367*0.025+L3367*0.025)</f>
        <v/>
      </c>
      <c r="P3367" s="17">
        <f>32</f>
        <v/>
      </c>
      <c r="Q3367" s="17">
        <f>J3367+L3367+N3367+O3367-P3367-M3367</f>
        <v/>
      </c>
    </row>
    <row r="3368">
      <c r="A3368" s="16" t="inlineStr">
        <is>
          <t>5.29-6.4</t>
        </is>
      </c>
      <c r="B3368" s="16" t="inlineStr">
        <is>
          <t>PO-128-19227483262070562</t>
        </is>
      </c>
      <c r="C3368" s="16" t="inlineStr">
        <is>
          <t>Shipped</t>
        </is>
      </c>
      <c r="D3368" s="16" t="inlineStr">
        <is>
          <t>128-19227504233590562</t>
        </is>
      </c>
      <c r="E3368" s="16" t="inlineStr">
        <is>
          <t>Shipped</t>
        </is>
      </c>
      <c r="F3368" s="16" t="inlineStr">
        <is>
          <t>SA325T</t>
        </is>
      </c>
      <c r="G3368" s="16" t="inlineStr">
        <is>
          <t>Subwoofer Portátil Inalámbrico con Luces RGB, Sonido de Alta Potencia y Batería Duradera, TWS TF USB, Perfecto para Campamento Fiestas y Entretenimiento en Casa</t>
        </is>
      </c>
      <c r="H3368" s="16" t="inlineStr">
        <is>
          <t>NEGRO</t>
        </is>
      </c>
      <c r="I3368" s="16" t="n">
        <v>1</v>
      </c>
      <c r="J3368" s="17" t="n">
        <v>38</v>
      </c>
      <c r="K3368" s="17" t="n">
        <v>3.94</v>
      </c>
      <c r="L3368" s="17" t="n">
        <v>1.13</v>
      </c>
      <c r="M3368" s="17" t="n">
        <v>0</v>
      </c>
      <c r="N3368" s="17">
        <f>K3368*0.08+L3368*0.08</f>
        <v/>
      </c>
      <c r="O3368" s="17">
        <f>-(K3368*0.025+L3368*0.025)</f>
        <v/>
      </c>
      <c r="P3368" s="17">
        <f>32</f>
        <v/>
      </c>
      <c r="Q3368" s="17">
        <f>J3368+L3368+N3368+O3368-P3368-M3368</f>
        <v/>
      </c>
    </row>
    <row r="3369">
      <c r="A3369" s="16" t="inlineStr">
        <is>
          <t>5.29-6.4</t>
        </is>
      </c>
      <c r="B3369" s="16" t="inlineStr">
        <is>
          <t>PO-128-19227483262070562</t>
        </is>
      </c>
      <c r="C3369" s="16" t="inlineStr">
        <is>
          <t>Shipped</t>
        </is>
      </c>
      <c r="D3369" s="16" t="inlineStr">
        <is>
          <t>128-19227466583670562</t>
        </is>
      </c>
      <c r="E3369" s="16" t="inlineStr">
        <is>
          <t>Shipped</t>
        </is>
      </c>
      <c r="F3369" s="16" t="inlineStr">
        <is>
          <t>MB-185A</t>
        </is>
      </c>
      <c r="G3369" s="16" t="inlineStr">
        <is>
          <t>Bocina Radio FM/Reproductor, Compatible con Tarjeta TF, USB, Bluetooth, Aplicable para celular, computadora, Ipad y consola.</t>
        </is>
      </c>
      <c r="H3369" s="16" t="inlineStr">
        <is>
          <t>AZUL/MB-185</t>
        </is>
      </c>
      <c r="I3369" s="16" t="n">
        <v>1</v>
      </c>
      <c r="J3369" s="17" t="n">
        <v>73</v>
      </c>
      <c r="K3369" s="17" t="n">
        <v>85.94</v>
      </c>
      <c r="L3369" s="17" t="n">
        <v>24.73</v>
      </c>
      <c r="M3369" s="17" t="n">
        <v>0</v>
      </c>
      <c r="N3369" s="17">
        <f>K3369*0.08+L3369*0.08</f>
        <v/>
      </c>
      <c r="O3369" s="17">
        <f>-(K3369*0.025+L3369*0.025)</f>
        <v/>
      </c>
      <c r="P3369" s="17">
        <f>32</f>
        <v/>
      </c>
      <c r="Q3369" s="17">
        <f>J3369+L3369+N3369+O3369-P3369-M3369</f>
        <v/>
      </c>
    </row>
    <row r="3370">
      <c r="A3370" s="16" t="inlineStr">
        <is>
          <t>5.29-6.4</t>
        </is>
      </c>
      <c r="B3370" s="16" t="inlineStr">
        <is>
          <t>PO-128-18959167247991267</t>
        </is>
      </c>
      <c r="C3370" s="16" t="inlineStr">
        <is>
          <t>Shipped</t>
        </is>
      </c>
      <c r="D3370" s="16" t="inlineStr">
        <is>
          <t>128-18959146276471267</t>
        </is>
      </c>
      <c r="E3370" s="16" t="inlineStr">
        <is>
          <t>Shipped</t>
        </is>
      </c>
      <c r="F3370" s="16" t="inlineStr">
        <is>
          <t>LB02235-negro</t>
        </is>
      </c>
      <c r="G3370" s="16" t="inlineStr">
        <is>
          <t>Audífonos Inalámbricos para la Cabeza, Recargables y Multifuncionales - Conectan a Varios Dispositivos, soportan Radio FM, Tarjeta TF y AUX - 4 Horas de Reproducción Musical - Ideal para Trabajo Cotidiano, Juegos y Estudio</t>
        </is>
      </c>
      <c r="H3370" s="16" t="inlineStr">
        <is>
          <t>NEGRO</t>
        </is>
      </c>
      <c r="I3370" s="16" t="n">
        <v>1</v>
      </c>
      <c r="J3370" s="17" t="n">
        <v>36.8</v>
      </c>
      <c r="K3370" s="17" t="n">
        <v>49.91</v>
      </c>
      <c r="L3370" s="17" t="n">
        <v>25.86</v>
      </c>
      <c r="M3370" s="17" t="n">
        <v>0</v>
      </c>
      <c r="N3370" s="17">
        <f>K3370*0.08+L3370*0.08</f>
        <v/>
      </c>
      <c r="O3370" s="17">
        <f>-(K3370*0.025+L3370*0.025)</f>
        <v/>
      </c>
      <c r="P3370" s="17">
        <f>32</f>
        <v/>
      </c>
      <c r="Q3370" s="17">
        <f>J3370+L3370+N3370+O3370-P3370-M3370</f>
        <v/>
      </c>
    </row>
    <row r="3371">
      <c r="A3371" s="16" t="inlineStr">
        <is>
          <t>5.29-6.4</t>
        </is>
      </c>
      <c r="B3371" s="16" t="inlineStr">
        <is>
          <t>PO-128-18785854508152298</t>
        </is>
      </c>
      <c r="C3371" s="16" t="inlineStr">
        <is>
          <t>Shipped</t>
        </is>
      </c>
      <c r="D3371" s="16" t="inlineStr">
        <is>
          <t>128-18785833536632298</t>
        </is>
      </c>
      <c r="E3371" s="16" t="inlineStr">
        <is>
          <t>Shipped</t>
        </is>
      </c>
      <c r="F3371" s="16" t="inlineStr">
        <is>
          <t>LB02235-azul</t>
        </is>
      </c>
      <c r="G3371" s="16" t="inlineStr">
        <is>
          <t>Audífonos Inalámbricos para la Cabeza, Recargables y Multifuncionales - Conectan a Varios Dispositivos, soportan Radio FM, Tarjeta TF y AUX - 4 Horas de Reproducción Musical - Ideal para Trabajo Cotidiano, Juegos y Estudio</t>
        </is>
      </c>
      <c r="H3371" s="16" t="inlineStr">
        <is>
          <t>AZUL</t>
        </is>
      </c>
      <c r="I3371" s="16" t="n">
        <v>1</v>
      </c>
      <c r="J3371" s="17" t="n">
        <v>29</v>
      </c>
      <c r="K3371" s="17" t="n">
        <v>42.11</v>
      </c>
      <c r="L3371" s="17" t="n">
        <v>25.86</v>
      </c>
      <c r="M3371" s="17" t="n">
        <v>0</v>
      </c>
      <c r="N3371" s="17">
        <f>K3371*0.08+L3371*0.08</f>
        <v/>
      </c>
      <c r="O3371" s="17">
        <f>-(K3371*0.025+L3371*0.025)</f>
        <v/>
      </c>
      <c r="P3371" s="17">
        <f>32</f>
        <v/>
      </c>
      <c r="Q3371" s="17">
        <f>J3371+L3371+N3371+O3371-P3371-M3371</f>
        <v/>
      </c>
    </row>
    <row r="3372">
      <c r="A3372" s="16" t="inlineStr">
        <is>
          <t>5.29-6.4</t>
        </is>
      </c>
      <c r="B3372" s="16" t="inlineStr">
        <is>
          <t>PO-128-18656510147194095</t>
        </is>
      </c>
      <c r="C3372" s="16" t="inlineStr">
        <is>
          <t>Shipped</t>
        </is>
      </c>
      <c r="D3372" s="16" t="inlineStr">
        <is>
          <t>128-18656552090234095</t>
        </is>
      </c>
      <c r="E3372" s="16" t="inlineStr">
        <is>
          <t>Shipped</t>
        </is>
      </c>
      <c r="F3372" s="16" t="inlineStr">
        <is>
          <t>KTS-1678A</t>
        </is>
      </c>
      <c r="G3372" s="16" t="inlineStr">
        <is>
          <t>Bocina portátil Inalámbrico, de 3 pulgadas, tamaño de bolsillo, 170 g, con asa, compatible con TF, USB y Micro SD, con radio FM y función TWS (True Wireless Stereo), adecuada para relajarse en casa o viajar al aire libre.</t>
        </is>
      </c>
      <c r="H3372" s="16" t="inlineStr">
        <is>
          <t>KTS-1678A</t>
        </is>
      </c>
      <c r="I3372" s="16" t="n">
        <v>1</v>
      </c>
      <c r="J3372" s="17" t="n">
        <v>42.5</v>
      </c>
      <c r="K3372" s="17" t="n">
        <v>56.39</v>
      </c>
      <c r="L3372" s="17" t="n">
        <v>25.86</v>
      </c>
      <c r="M3372" s="17" t="n">
        <v>0</v>
      </c>
      <c r="N3372" s="17">
        <f>K3372*0.08+L3372*0.08</f>
        <v/>
      </c>
      <c r="O3372" s="17">
        <f>-(K3372*0.025+L3372*0.025)</f>
        <v/>
      </c>
      <c r="P3372" s="17">
        <f>32</f>
        <v/>
      </c>
      <c r="Q3372" s="17">
        <f>J3372+L3372+N3372+O3372-P3372-M3372</f>
        <v/>
      </c>
    </row>
    <row r="3373">
      <c r="A3373" s="16" t="inlineStr">
        <is>
          <t>5.29-6.4</t>
        </is>
      </c>
      <c r="B3373" s="16" t="inlineStr">
        <is>
          <t>PO-128-18681001411193949</t>
        </is>
      </c>
      <c r="C3373" s="16" t="inlineStr">
        <is>
          <t>Shipped</t>
        </is>
      </c>
      <c r="D3373" s="16" t="inlineStr">
        <is>
          <t>128-18680959468153949</t>
        </is>
      </c>
      <c r="E3373" s="16" t="inlineStr">
        <is>
          <t>Shipped</t>
        </is>
      </c>
      <c r="F3373" s="16" t="inlineStr">
        <is>
          <t>LB02235-rojo</t>
        </is>
      </c>
      <c r="G3373" s="16" t="inlineStr">
        <is>
          <t>Audífonos Inalámbricos para la Cabeza, Recargables y Multifuncionales - Conectan a Varios Dispositivos, soportan Radio FM, Tarjeta TF y AUX - 4 Horas de Reproducción Musical - Ideal para Trabajo Cotidiano, Juegos y Estudio</t>
        </is>
      </c>
      <c r="H3373" s="16" t="inlineStr">
        <is>
          <t>ROJO</t>
        </is>
      </c>
      <c r="I3373" s="16" t="n">
        <v>1</v>
      </c>
      <c r="J3373" s="17" t="n">
        <v>36.8</v>
      </c>
      <c r="K3373" s="17" t="n">
        <v>49.91</v>
      </c>
      <c r="L3373" s="17" t="n">
        <v>12.93</v>
      </c>
      <c r="M3373" s="17" t="n">
        <v>0</v>
      </c>
      <c r="N3373" s="17">
        <f>K3373*0.08+L3373*0.08</f>
        <v/>
      </c>
      <c r="O3373" s="17">
        <f>-(K3373*0.025+L3373*0.025)</f>
        <v/>
      </c>
      <c r="P3373" s="17">
        <f>32</f>
        <v/>
      </c>
      <c r="Q3373" s="17">
        <f>J3373+L3373+N3373+O3373-P3373-M3373</f>
        <v/>
      </c>
    </row>
    <row r="3374">
      <c r="A3374" s="16" t="inlineStr">
        <is>
          <t>5.29-6.4</t>
        </is>
      </c>
      <c r="B3374" s="16" t="inlineStr">
        <is>
          <t>PO-128-18681001411193949</t>
        </is>
      </c>
      <c r="C3374" s="16" t="inlineStr">
        <is>
          <t>Shipped</t>
        </is>
      </c>
      <c r="D3374" s="16" t="inlineStr">
        <is>
          <t>128-18680980439673949</t>
        </is>
      </c>
      <c r="E3374" s="16" t="inlineStr">
        <is>
          <t>Shipped</t>
        </is>
      </c>
      <c r="F3374" s="16" t="inlineStr">
        <is>
          <t>LB02235-negro</t>
        </is>
      </c>
      <c r="G3374" s="16" t="inlineStr">
        <is>
          <t>Audífonos Inalámbricos para la Cabeza, Recargables y Multifuncionales - Conectan a Varios Dispositivos, soportan Radio FM, Tarjeta TF y AUX - 4 Horas de Reproducción Musical - Ideal para Trabajo Cotidiano, Juegos y Estudio</t>
        </is>
      </c>
      <c r="H3374" s="16" t="inlineStr">
        <is>
          <t>NEGRO</t>
        </is>
      </c>
      <c r="I3374" s="16" t="n">
        <v>1</v>
      </c>
      <c r="J3374" s="17" t="n">
        <v>36.8</v>
      </c>
      <c r="K3374" s="17" t="n">
        <v>49.91</v>
      </c>
      <c r="L3374" s="17" t="n">
        <v>12.93</v>
      </c>
      <c r="M3374" s="17" t="n">
        <v>0</v>
      </c>
      <c r="N3374" s="17">
        <f>K3374*0.08+L3374*0.08</f>
        <v/>
      </c>
      <c r="O3374" s="17">
        <f>-(K3374*0.025+L3374*0.025)</f>
        <v/>
      </c>
      <c r="P3374" s="17">
        <f>32</f>
        <v/>
      </c>
      <c r="Q3374" s="17">
        <f>J3374+L3374+N3374+O3374-P3374-M3374</f>
        <v/>
      </c>
    </row>
    <row r="3375">
      <c r="A3375" s="16" t="inlineStr">
        <is>
          <t>5.29-6.4</t>
        </is>
      </c>
      <c r="B3375" s="16" t="inlineStr">
        <is>
          <t>PO-128-18974858322551108</t>
        </is>
      </c>
      <c r="C3375" s="16" t="inlineStr">
        <is>
          <t>Shipped</t>
        </is>
      </c>
      <c r="D3375" s="16" t="inlineStr">
        <is>
          <t>128-18974816379511108</t>
        </is>
      </c>
      <c r="E3375" s="16" t="inlineStr">
        <is>
          <t>Shipped</t>
        </is>
      </c>
      <c r="F3375" s="16" t="inlineStr">
        <is>
          <t>LB02235-blanco</t>
        </is>
      </c>
      <c r="G3375" s="16" t="inlineStr">
        <is>
          <t>Audífonos Inalámbricos para la Cabeza, Recargables y Multifuncionales - Conectan a Varios Dispositivos, soportan Radio FM, Tarjeta TF y AUX - 4 Horas de Reproducción Musical - Ideal para Trabajo Cotidiano, Juegos y Estudio</t>
        </is>
      </c>
      <c r="H3375" s="16" t="inlineStr">
        <is>
          <t>BLANCO</t>
        </is>
      </c>
      <c r="I3375" s="16" t="n">
        <v>1</v>
      </c>
      <c r="J3375" s="17" t="n">
        <v>36.8</v>
      </c>
      <c r="K3375" s="17" t="n">
        <v>49.91</v>
      </c>
      <c r="L3375" s="17" t="n">
        <v>0</v>
      </c>
      <c r="M3375" s="17" t="n">
        <v>0</v>
      </c>
      <c r="N3375" s="17">
        <f>K3375*0.08+L3375*0.08</f>
        <v/>
      </c>
      <c r="O3375" s="17">
        <f>-(K3375*0.025+L3375*0.025)</f>
        <v/>
      </c>
      <c r="P3375" s="17">
        <f>32</f>
        <v/>
      </c>
      <c r="Q3375" s="17">
        <f>J3375+L3375+N3375+O3375-P3375-M3375</f>
        <v/>
      </c>
    </row>
    <row r="3376">
      <c r="A3376" s="16" t="inlineStr">
        <is>
          <t>5.29-6.4</t>
        </is>
      </c>
      <c r="B3376" s="16" t="inlineStr">
        <is>
          <t>PO-128-18974858322551108</t>
        </is>
      </c>
      <c r="C3376" s="16" t="inlineStr">
        <is>
          <t>Shipped</t>
        </is>
      </c>
      <c r="D3376" s="16" t="inlineStr">
        <is>
          <t>128-18974753464951108</t>
        </is>
      </c>
      <c r="E3376" s="16" t="inlineStr">
        <is>
          <t>Shipped</t>
        </is>
      </c>
      <c r="F3376" s="16" t="inlineStr">
        <is>
          <t>LB02235-azul</t>
        </is>
      </c>
      <c r="G3376" s="16" t="inlineStr">
        <is>
          <t>Audífonos Inalámbricos para la Cabeza, Recargables y Multifuncionales - Conectan a Varios Dispositivos, soportan Radio FM, Tarjeta TF y AUX - 4 Horas de Reproducción Musical - Ideal para Trabajo Cotidiano, Juegos y Estudio</t>
        </is>
      </c>
      <c r="H3376" s="16" t="inlineStr">
        <is>
          <t>AZUL</t>
        </is>
      </c>
      <c r="I3376" s="16" t="n">
        <v>1</v>
      </c>
      <c r="J3376" s="17" t="n">
        <v>29</v>
      </c>
      <c r="K3376" s="17" t="n">
        <v>42.11</v>
      </c>
      <c r="L3376" s="17" t="n">
        <v>0</v>
      </c>
      <c r="M3376" s="17" t="n">
        <v>0</v>
      </c>
      <c r="N3376" s="17">
        <f>K3376*0.08+L3376*0.08</f>
        <v/>
      </c>
      <c r="O3376" s="17">
        <f>-(K3376*0.025+L3376*0.025)</f>
        <v/>
      </c>
      <c r="P3376" s="17">
        <f>32</f>
        <v/>
      </c>
      <c r="Q3376" s="17">
        <f>J3376+L3376+N3376+O3376-P3376-M3376</f>
        <v/>
      </c>
    </row>
    <row r="3377">
      <c r="A3377" s="16" t="inlineStr">
        <is>
          <t>5.29-6.4</t>
        </is>
      </c>
      <c r="B3377" s="16" t="inlineStr">
        <is>
          <t>PO-128-18974858322551108</t>
        </is>
      </c>
      <c r="C3377" s="16" t="inlineStr">
        <is>
          <t>Shipped</t>
        </is>
      </c>
      <c r="D3377" s="16" t="inlineStr">
        <is>
          <t>128-18974774436471108</t>
        </is>
      </c>
      <c r="E3377" s="16" t="inlineStr">
        <is>
          <t>Shipped</t>
        </is>
      </c>
      <c r="F3377" s="16" t="inlineStr">
        <is>
          <t>LB02235-negro</t>
        </is>
      </c>
      <c r="G3377" s="16" t="inlineStr">
        <is>
          <t>Audífonos Inalámbricos para la Cabeza, Recargables y Multifuncionales - Conectan a Varios Dispositivos, soportan Radio FM, Tarjeta TF y AUX - 4 Horas de Reproducción Musical - Ideal para Trabajo Cotidiano, Juegos y Estudio</t>
        </is>
      </c>
      <c r="H3377" s="16" t="inlineStr">
        <is>
          <t>NEGRO</t>
        </is>
      </c>
      <c r="I3377" s="16" t="n">
        <v>3</v>
      </c>
      <c r="J3377" s="17" t="n">
        <v>110.4</v>
      </c>
      <c r="K3377" s="17" t="n">
        <v>149.73</v>
      </c>
      <c r="L3377" s="17" t="n">
        <v>0</v>
      </c>
      <c r="M3377" s="17" t="n">
        <v>0</v>
      </c>
      <c r="N3377" s="17">
        <f>K3377*0.08+L3377*0.08</f>
        <v/>
      </c>
      <c r="O3377" s="17">
        <f>-(K3377*0.025+L3377*0.025)</f>
        <v/>
      </c>
      <c r="P3377" s="17">
        <f>32</f>
        <v/>
      </c>
      <c r="Q3377" s="17">
        <f>J3377+L3377+N3377+O3377-P3377-M3377</f>
        <v/>
      </c>
    </row>
    <row r="3378">
      <c r="A3378" s="16" t="inlineStr">
        <is>
          <t>5.29-6.4</t>
        </is>
      </c>
      <c r="B3378" s="16" t="inlineStr">
        <is>
          <t>PO-128-18974858322551108</t>
        </is>
      </c>
      <c r="C3378" s="16" t="inlineStr">
        <is>
          <t>Shipped</t>
        </is>
      </c>
      <c r="D3378" s="16" t="inlineStr">
        <is>
          <t>128-18974837351031108</t>
        </is>
      </c>
      <c r="E3378" s="16" t="inlineStr">
        <is>
          <t>Shipped</t>
        </is>
      </c>
      <c r="F3378" s="16" t="inlineStr">
        <is>
          <t>LB02235-rojo</t>
        </is>
      </c>
      <c r="G3378" s="16" t="inlineStr">
        <is>
          <t>Audífonos Inalámbricos para la Cabeza, Recargables y Multifuncionales - Conectan a Varios Dispositivos, soportan Radio FM, Tarjeta TF y AUX - 4 Horas de Reproducción Musical - Ideal para Trabajo Cotidiano, Juegos y Estudio</t>
        </is>
      </c>
      <c r="H3378" s="16" t="inlineStr">
        <is>
          <t>ROJO</t>
        </is>
      </c>
      <c r="I3378" s="16" t="n">
        <v>1</v>
      </c>
      <c r="J3378" s="17" t="n">
        <v>36.8</v>
      </c>
      <c r="K3378" s="17" t="n">
        <v>49.91</v>
      </c>
      <c r="L3378" s="17" t="n">
        <v>0</v>
      </c>
      <c r="M3378" s="17" t="n">
        <v>0</v>
      </c>
      <c r="N3378" s="17">
        <f>K3378*0.08+L3378*0.08</f>
        <v/>
      </c>
      <c r="O3378" s="17">
        <f>-(K3378*0.025+L3378*0.025)</f>
        <v/>
      </c>
      <c r="P3378" s="17">
        <f>32</f>
        <v/>
      </c>
      <c r="Q3378" s="17">
        <f>J3378+L3378+N3378+O3378-P3378-M3378</f>
        <v/>
      </c>
    </row>
    <row r="3379">
      <c r="A3379" s="16" t="inlineStr">
        <is>
          <t>5.29-6.4</t>
        </is>
      </c>
      <c r="B3379" s="16" t="inlineStr">
        <is>
          <t>PO-128-18764471265912426</t>
        </is>
      </c>
      <c r="C3379" s="16" t="inlineStr">
        <is>
          <t>Shipped</t>
        </is>
      </c>
      <c r="D3379" s="16" t="inlineStr">
        <is>
          <t>128-18764450294392426</t>
        </is>
      </c>
      <c r="E3379" s="16" t="inlineStr">
        <is>
          <t>Shipped</t>
        </is>
      </c>
      <c r="F3379" s="16" t="inlineStr">
        <is>
          <t>LB02235-azul</t>
        </is>
      </c>
      <c r="G3379" s="16" t="inlineStr">
        <is>
          <t>Audífonos Inalámbricos para la Cabeza, Recargables y Multifuncionales - Conectan a Varios Dispositivos, soportan Radio FM, Tarjeta TF y AUX - 4 Horas de Reproducción Musical - Ideal para Trabajo Cotidiano, Juegos y Estudio</t>
        </is>
      </c>
      <c r="H3379" s="16" t="inlineStr">
        <is>
          <t>AZUL</t>
        </is>
      </c>
      <c r="I3379" s="16" t="n">
        <v>1</v>
      </c>
      <c r="J3379" s="17" t="n">
        <v>29</v>
      </c>
      <c r="K3379" s="17" t="n">
        <v>42.11</v>
      </c>
      <c r="L3379" s="17" t="n">
        <v>25.86</v>
      </c>
      <c r="M3379" s="17" t="n">
        <v>0</v>
      </c>
      <c r="N3379" s="17">
        <f>K3379*0.08+L3379*0.08</f>
        <v/>
      </c>
      <c r="O3379" s="17">
        <f>-(K3379*0.025+L3379*0.025)</f>
        <v/>
      </c>
      <c r="P3379" s="17">
        <f>32</f>
        <v/>
      </c>
      <c r="Q3379" s="17">
        <f>J3379+L3379+N3379+O3379-P3379-M3379</f>
        <v/>
      </c>
    </row>
    <row r="3380">
      <c r="A3380" s="16" t="inlineStr">
        <is>
          <t>5.29-6.4</t>
        </is>
      </c>
      <c r="B3380" s="16" t="inlineStr">
        <is>
          <t>PO-128-18971261788791067</t>
        </is>
      </c>
      <c r="C3380" s="16" t="inlineStr">
        <is>
          <t>Shipped</t>
        </is>
      </c>
      <c r="D3380" s="16" t="inlineStr">
        <is>
          <t>128-18971329946231067</t>
        </is>
      </c>
      <c r="E3380" s="16" t="inlineStr">
        <is>
          <t>Shipped</t>
        </is>
      </c>
      <c r="F3380" s="16" t="inlineStr">
        <is>
          <t>LB02235-negro</t>
        </is>
      </c>
      <c r="G3380" s="16" t="inlineStr">
        <is>
          <t>Audífonos Inalámbricos para la Cabeza, Recargables y Multifuncionales - Conectan a Varios Dispositivos, soportan Radio FM, Tarjeta TF y AUX - 4 Horas de Reproducción Musical - Ideal para Trabajo Cotidiano, Juegos y Estudio</t>
        </is>
      </c>
      <c r="H3380" s="16" t="inlineStr">
        <is>
          <t>NEGRO</t>
        </is>
      </c>
      <c r="I3380" s="16" t="n">
        <v>1</v>
      </c>
      <c r="J3380" s="17" t="n">
        <v>36.8</v>
      </c>
      <c r="K3380" s="17" t="n">
        <v>6.81</v>
      </c>
      <c r="L3380" s="17" t="n">
        <v>25.86</v>
      </c>
      <c r="M3380" s="17" t="n">
        <v>0</v>
      </c>
      <c r="N3380" s="17">
        <f>K3380*0.08+L3380*0.08</f>
        <v/>
      </c>
      <c r="O3380" s="17">
        <f>-(K3380*0.025+L3380*0.025)</f>
        <v/>
      </c>
      <c r="P3380" s="17">
        <f>32</f>
        <v/>
      </c>
      <c r="Q3380" s="17">
        <f>J3380+L3380+N3380+O3380-P3380-M3380</f>
        <v/>
      </c>
    </row>
    <row r="3381">
      <c r="A3381" s="16" t="inlineStr">
        <is>
          <t>5.29-6.4</t>
        </is>
      </c>
      <c r="B3381" s="16" t="inlineStr">
        <is>
          <t>PO-128-19035072338551711</t>
        </is>
      </c>
      <c r="C3381" s="16" t="inlineStr">
        <is>
          <t>Shipped</t>
        </is>
      </c>
      <c r="D3381" s="16" t="inlineStr">
        <is>
          <t>128-19035004181111711</t>
        </is>
      </c>
      <c r="E3381" s="16" t="inlineStr">
        <is>
          <t>Shipped</t>
        </is>
      </c>
      <c r="F3381" s="16" t="inlineStr">
        <is>
          <t>SA325T</t>
        </is>
      </c>
      <c r="G3381" s="16" t="inlineStr">
        <is>
          <t>Subwoofer Portátil Inalámbrico con Luces RGB, Sonido de Alta Potencia y Batería Duradera, TWS TF USB, Perfecto para Campamento Fiestas y Entretenimiento en Casa</t>
        </is>
      </c>
      <c r="H3381" s="16" t="inlineStr">
        <is>
          <t>NEGRO</t>
        </is>
      </c>
      <c r="I3381" s="16" t="n">
        <v>1</v>
      </c>
      <c r="J3381" s="17" t="n">
        <v>38</v>
      </c>
      <c r="K3381" s="17" t="n">
        <v>44.15</v>
      </c>
      <c r="L3381" s="17" t="n">
        <v>25.86</v>
      </c>
      <c r="M3381" s="17" t="n">
        <v>0</v>
      </c>
      <c r="N3381" s="17">
        <f>K3381*0.08+L3381*0.08</f>
        <v/>
      </c>
      <c r="O3381" s="17">
        <f>-(K3381*0.025+L3381*0.025)</f>
        <v/>
      </c>
      <c r="P3381" s="17">
        <f>32</f>
        <v/>
      </c>
      <c r="Q3381" s="17">
        <f>J3381+L3381+N3381+O3381-P3381-M3381</f>
        <v/>
      </c>
    </row>
    <row r="3382">
      <c r="A3382" s="16" t="inlineStr">
        <is>
          <t>5.29-6.4</t>
        </is>
      </c>
      <c r="B3382" s="16" t="inlineStr">
        <is>
          <t>PO-128-18624772731513130</t>
        </is>
      </c>
      <c r="C3382" s="16" t="inlineStr">
        <is>
          <t>Shipped</t>
        </is>
      </c>
      <c r="D3382" s="16" t="inlineStr">
        <is>
          <t>128-18624757002873130</t>
        </is>
      </c>
      <c r="E3382" s="16" t="inlineStr">
        <is>
          <t>Shipped</t>
        </is>
      </c>
      <c r="F3382" s="16" t="inlineStr">
        <is>
          <t>LB02235-blanco</t>
        </is>
      </c>
      <c r="G3382" s="16" t="inlineStr">
        <is>
          <t>Audífonos Inalámbricos para la Cabeza, Recargables y Multifuncionales - Conectan a Varios Dispositivos, soportan Radio FM, Tarjeta TF y AUX - 4 Horas de Reproducción Musical - Ideal para Trabajo Cotidiano, Juegos y Estudio</t>
        </is>
      </c>
      <c r="H3382" s="16" t="inlineStr">
        <is>
          <t>BLANCO</t>
        </is>
      </c>
      <c r="I3382" s="16" t="n">
        <v>1</v>
      </c>
      <c r="J3382" s="17" t="n">
        <v>36.8</v>
      </c>
      <c r="K3382" s="17" t="n">
        <v>49.91</v>
      </c>
      <c r="L3382" s="17" t="n">
        <v>25.86</v>
      </c>
      <c r="M3382" s="17" t="n">
        <v>0</v>
      </c>
      <c r="N3382" s="17">
        <f>K3382*0.08+L3382*0.08</f>
        <v/>
      </c>
      <c r="O3382" s="17">
        <f>-(K3382*0.025+L3382*0.025)</f>
        <v/>
      </c>
      <c r="P3382" s="17">
        <f>32</f>
        <v/>
      </c>
      <c r="Q3382" s="17">
        <f>J3382+L3382+N3382+O3382-P3382-M3382</f>
        <v/>
      </c>
    </row>
    <row r="3383">
      <c r="A3383" s="16" t="inlineStr">
        <is>
          <t>5.29-6.4</t>
        </is>
      </c>
      <c r="B3383" s="16" t="inlineStr">
        <is>
          <t>PO-128-18777778381432218</t>
        </is>
      </c>
      <c r="C3383" s="16" t="inlineStr">
        <is>
          <t>Shipped</t>
        </is>
      </c>
      <c r="D3383" s="16" t="inlineStr">
        <is>
          <t>128-18777791488632218</t>
        </is>
      </c>
      <c r="E3383" s="16" t="inlineStr">
        <is>
          <t>Shipped</t>
        </is>
      </c>
      <c r="F3383" s="16" t="inlineStr">
        <is>
          <t>VA384T-N</t>
        </is>
      </c>
      <c r="G3383" s="16" t="inlineStr">
        <is>
          <t>Bocina Portátil Bluetooth de 3 Pulgadas con Radio FM, USB TF TWS, Sonido Estéreo 5W, Bocina Recargable para Hogar Exterior Viaje Fiesta Camping</t>
        </is>
      </c>
      <c r="H3383" s="16" t="inlineStr">
        <is>
          <t>NEGRO</t>
        </is>
      </c>
      <c r="I3383" s="16" t="n">
        <v>1</v>
      </c>
      <c r="J3383" s="17" t="n">
        <v>50</v>
      </c>
      <c r="K3383" s="17" t="n">
        <v>60.72</v>
      </c>
      <c r="L3383" s="17" t="n">
        <v>25.86</v>
      </c>
      <c r="M3383" s="17" t="n">
        <v>0</v>
      </c>
      <c r="N3383" s="17">
        <f>K3383*0.08+L3383*0.08</f>
        <v/>
      </c>
      <c r="O3383" s="17">
        <f>-(K3383*0.025+L3383*0.025)</f>
        <v/>
      </c>
      <c r="P3383" s="17">
        <f>32</f>
        <v/>
      </c>
      <c r="Q3383" s="17">
        <f>J3383+L3383+N3383+O3383-P3383-M3383</f>
        <v/>
      </c>
    </row>
    <row r="3384">
      <c r="A3384" s="16" t="inlineStr">
        <is>
          <t>5.29-6.4</t>
        </is>
      </c>
      <c r="B3384" s="16" t="inlineStr">
        <is>
          <t>PO-128-18777748818552218</t>
        </is>
      </c>
      <c r="C3384" s="16" t="inlineStr">
        <is>
          <t>Shipped</t>
        </is>
      </c>
      <c r="D3384" s="16" t="inlineStr">
        <is>
          <t>128-18777801247352218</t>
        </is>
      </c>
      <c r="E3384" s="16" t="inlineStr">
        <is>
          <t>Shipped</t>
        </is>
      </c>
      <c r="F3384" s="16" t="inlineStr">
        <is>
          <t>VA384T-N</t>
        </is>
      </c>
      <c r="G3384" s="16" t="inlineStr">
        <is>
          <t>Bocina Portátil Bluetooth de 3 Pulgadas con Radio FM, USB TF TWS, Sonido Estéreo 5W, Bocina Recargable para Hogar Exterior Viaje Fiesta Camping</t>
        </is>
      </c>
      <c r="H3384" s="16" t="inlineStr">
        <is>
          <t>NEGRO</t>
        </is>
      </c>
      <c r="I3384" s="16" t="n">
        <v>1</v>
      </c>
      <c r="J3384" s="17" t="n">
        <v>50</v>
      </c>
      <c r="K3384" s="17" t="n">
        <v>60.72</v>
      </c>
      <c r="L3384" s="17" t="n">
        <v>25.86</v>
      </c>
      <c r="M3384" s="17" t="n">
        <v>0</v>
      </c>
      <c r="N3384" s="17">
        <f>K3384*0.08+L3384*0.08</f>
        <v/>
      </c>
      <c r="O3384" s="17">
        <f>-(K3384*0.025+L3384*0.025)</f>
        <v/>
      </c>
      <c r="P3384" s="17">
        <f>32</f>
        <v/>
      </c>
      <c r="Q3384" s="17">
        <f>J3384+L3384+N3384+O3384-P3384-M3384</f>
        <v/>
      </c>
    </row>
    <row r="3385">
      <c r="A3385" s="16" t="inlineStr">
        <is>
          <t>5.29-6.4</t>
        </is>
      </c>
      <c r="B3385" s="16" t="inlineStr">
        <is>
          <t>PO-128-19150116327030065</t>
        </is>
      </c>
      <c r="C3385" s="16" t="inlineStr">
        <is>
          <t>Shipped</t>
        </is>
      </c>
      <c r="D3385" s="16" t="inlineStr">
        <is>
          <t>128-19150168755830065</t>
        </is>
      </c>
      <c r="E3385" s="16" t="inlineStr">
        <is>
          <t>Shipped</t>
        </is>
      </c>
      <c r="F3385" s="16" t="inlineStr">
        <is>
          <t>MCM-001N</t>
        </is>
      </c>
      <c r="G3385" s="16" t="inlineStr">
        <is>
          <t>Musicord Altavoz Inalámbrico BT Portátil: ¡Sonido impactante, luces LED multicolores y 4 horas de autonomía! Compatible con TWS, FM, TF y USB – Imprescindible para fiestas y viajes</t>
        </is>
      </c>
      <c r="H3385" s="16" t="inlineStr">
        <is>
          <t>NEGRO</t>
        </is>
      </c>
      <c r="I3385" s="16" t="n">
        <v>1</v>
      </c>
      <c r="J3385" s="17" t="n">
        <v>52</v>
      </c>
      <c r="K3385" s="17" t="n">
        <v>63.28</v>
      </c>
      <c r="L3385" s="17" t="n">
        <v>25.86</v>
      </c>
      <c r="M3385" s="17" t="n">
        <v>0</v>
      </c>
      <c r="N3385" s="17">
        <f>K3385*0.08+L3385*0.08</f>
        <v/>
      </c>
      <c r="O3385" s="17">
        <f>-(K3385*0.025+L3385*0.025)</f>
        <v/>
      </c>
      <c r="P3385" s="17">
        <f>32</f>
        <v/>
      </c>
      <c r="Q3385" s="17">
        <f>J3385+L3385+N3385+O3385-P3385-M3385</f>
        <v/>
      </c>
    </row>
    <row r="3386">
      <c r="A3386" s="16" t="inlineStr">
        <is>
          <t>5.29-6.4</t>
        </is>
      </c>
      <c r="B3386" s="16" t="inlineStr">
        <is>
          <t>PO-128-19163019960950946</t>
        </is>
      </c>
      <c r="C3386" s="16" t="inlineStr">
        <is>
          <t>Shipped</t>
        </is>
      </c>
      <c r="D3386" s="16" t="inlineStr">
        <is>
          <t>128-19162978017910946</t>
        </is>
      </c>
      <c r="E3386" s="16" t="inlineStr">
        <is>
          <t>Shipped</t>
        </is>
      </c>
      <c r="F3386" s="16" t="inlineStr">
        <is>
          <t>HD005</t>
        </is>
      </c>
      <c r="G3386" s="16" t="inlineStr">
        <is>
          <t>Link bits HD005 Antena UHF para Exteriores, Antena de TV Digital HD con 10 Metros de Cable, Recepción 470-862MHz, 9-7dB de Ganancia, Antena para Canales Abiertos y HD, Resistente al Agua y Viento, Fácil Instalación</t>
        </is>
      </c>
      <c r="H3386" s="16" t="inlineStr">
        <is>
          <t>1</t>
        </is>
      </c>
      <c r="I3386" s="16" t="n">
        <v>1</v>
      </c>
      <c r="J3386" s="17" t="n">
        <v>75</v>
      </c>
      <c r="K3386" s="17" t="n">
        <v>92.66</v>
      </c>
      <c r="L3386" s="17" t="n">
        <v>25.86</v>
      </c>
      <c r="M3386" s="17" t="n">
        <v>0</v>
      </c>
      <c r="N3386" s="17">
        <f>K3386*0.08+L3386*0.08</f>
        <v/>
      </c>
      <c r="O3386" s="17">
        <f>-(K3386*0.025+L3386*0.025)</f>
        <v/>
      </c>
      <c r="P3386" s="17">
        <f>32</f>
        <v/>
      </c>
      <c r="Q3386" s="17">
        <f>J3386+L3386+N3386+O3386-P3386-M3386</f>
        <v/>
      </c>
    </row>
    <row r="3387">
      <c r="A3387" s="16" t="inlineStr">
        <is>
          <t>5.29-6.4</t>
        </is>
      </c>
      <c r="B3387" s="16" t="inlineStr">
        <is>
          <t>PO-128-19207367875190682</t>
        </is>
      </c>
      <c r="C3387" s="16" t="inlineStr">
        <is>
          <t>Shipped</t>
        </is>
      </c>
      <c r="D3387" s="16" t="inlineStr">
        <is>
          <t>128-19207325932150682</t>
        </is>
      </c>
      <c r="E3387" s="16" t="inlineStr">
        <is>
          <t>Shipped</t>
        </is>
      </c>
      <c r="F3387" s="16" t="inlineStr">
        <is>
          <t>SA325T</t>
        </is>
      </c>
      <c r="G3387" s="16" t="inlineStr">
        <is>
          <t>Subwoofer Portátil Inalámbrico con Luces RGB, Sonido de Alta Potencia y Batería Duradera, TWS TF USB, Perfecto para Campamento Fiestas y Entretenimiento en Casa</t>
        </is>
      </c>
      <c r="H3387" s="16" t="inlineStr">
        <is>
          <t>NEGRO</t>
        </is>
      </c>
      <c r="I3387" s="16" t="n">
        <v>1</v>
      </c>
      <c r="J3387" s="17" t="n">
        <v>38</v>
      </c>
      <c r="K3387" s="17" t="n">
        <v>47.04</v>
      </c>
      <c r="L3387" s="17" t="n">
        <v>25.86</v>
      </c>
      <c r="M3387" s="17" t="n">
        <v>0</v>
      </c>
      <c r="N3387" s="17">
        <f>K3387*0.08+L3387*0.08</f>
        <v/>
      </c>
      <c r="O3387" s="17">
        <f>-(K3387*0.025+L3387*0.025)</f>
        <v/>
      </c>
      <c r="P3387" s="17">
        <f>32</f>
        <v/>
      </c>
      <c r="Q3387" s="17">
        <f>J3387+L3387+N3387+O3387-P3387-M3387</f>
        <v/>
      </c>
    </row>
    <row r="3388">
      <c r="A3388" s="16" t="inlineStr">
        <is>
          <t>5.29-6.4</t>
        </is>
      </c>
      <c r="B3388" s="16" t="inlineStr">
        <is>
          <t>PO-128-18909993892471494</t>
        </is>
      </c>
      <c r="C3388" s="16" t="inlineStr">
        <is>
          <t>Shipped</t>
        </is>
      </c>
      <c r="D3388" s="16" t="inlineStr">
        <is>
          <t>128-18909962435191494</t>
        </is>
      </c>
      <c r="E3388" s="16" t="inlineStr">
        <is>
          <t>Shipped</t>
        </is>
      </c>
      <c r="F3388" s="16" t="inlineStr">
        <is>
          <t>MB-178-B</t>
        </is>
      </c>
      <c r="G3388" s="16" t="inlineStr">
        <is>
          <t>Bocina de Barra Bluetooth LINK BITS con dos altavoces, sonido de alta calidad y multifuncional (Bluetooth, Radio FM, USB, TF, AUX, TWS), ideal para juegos, reuniones, oficina y cine en casa.</t>
        </is>
      </c>
      <c r="H3388" s="16" t="inlineStr">
        <is>
          <t>BLANCO</t>
        </is>
      </c>
      <c r="I3388" s="16" t="n">
        <v>1</v>
      </c>
      <c r="J3388" s="17" t="n">
        <v>129</v>
      </c>
      <c r="K3388" s="17" t="n">
        <v>146.39</v>
      </c>
      <c r="L3388" s="17" t="n">
        <v>25.86</v>
      </c>
      <c r="M3388" s="17" t="n">
        <v>0</v>
      </c>
      <c r="N3388" s="17">
        <f>K3388*0.08+L3388*0.08</f>
        <v/>
      </c>
      <c r="O3388" s="17">
        <f>-(K3388*0.025+L3388*0.025)</f>
        <v/>
      </c>
      <c r="P3388" s="17">
        <f>32</f>
        <v/>
      </c>
      <c r="Q3388" s="17">
        <f>J3388+L3388+N3388+O3388-P3388-M3388</f>
        <v/>
      </c>
    </row>
    <row r="3389">
      <c r="A3389" s="16" t="inlineStr">
        <is>
          <t>5.29-6.4</t>
        </is>
      </c>
      <c r="B3389" s="16" t="inlineStr">
        <is>
          <t>PO-128-19145948237430088</t>
        </is>
      </c>
      <c r="C3389" s="16" t="inlineStr">
        <is>
          <t>Shipped</t>
        </is>
      </c>
      <c r="D3389" s="16" t="inlineStr">
        <is>
          <t>128-19145895808630088</t>
        </is>
      </c>
      <c r="E3389" s="16" t="inlineStr">
        <is>
          <t>Shipped</t>
        </is>
      </c>
      <c r="F3389" s="16" t="inlineStr">
        <is>
          <t>FA028</t>
        </is>
      </c>
      <c r="G3389" s="16" t="inlineStr">
        <is>
          <t>Extractor de agua para garrafas de agua, compatible con carga USB, extractor de agua automático, práctico, con dos modos de toma de agua: manual y programado, ideal para dormitorios, salones, oficinas, uso al aire libre y otros escenarios.</t>
        </is>
      </c>
      <c r="H3389" s="16" t="inlineStr">
        <is>
          <t>FA028</t>
        </is>
      </c>
      <c r="I3389" s="16" t="n">
        <v>1</v>
      </c>
      <c r="J3389" s="17" t="n">
        <v>35</v>
      </c>
      <c r="K3389" s="17" t="n">
        <v>44.58</v>
      </c>
      <c r="L3389" s="17" t="n">
        <v>25.86</v>
      </c>
      <c r="M3389" s="17" t="n">
        <v>0</v>
      </c>
      <c r="N3389" s="17">
        <f>K3389*0.08+L3389*0.08</f>
        <v/>
      </c>
      <c r="O3389" s="17">
        <f>-(K3389*0.025+L3389*0.025)</f>
        <v/>
      </c>
      <c r="P3389" s="17">
        <f>32</f>
        <v/>
      </c>
      <c r="Q3389" s="17">
        <f>J3389+L3389+N3389+O3389-P3389-M3389</f>
        <v/>
      </c>
    </row>
    <row r="3390">
      <c r="A3390" s="16" t="inlineStr">
        <is>
          <t>5.29-6.4</t>
        </is>
      </c>
      <c r="B3390" s="16" t="inlineStr">
        <is>
          <t>PO-128-19163014718070946</t>
        </is>
      </c>
      <c r="C3390" s="16" t="inlineStr">
        <is>
          <t>Shipped</t>
        </is>
      </c>
      <c r="D3390" s="16" t="inlineStr">
        <is>
          <t>128-19163056661110946</t>
        </is>
      </c>
      <c r="E3390" s="16" t="inlineStr">
        <is>
          <t>Shipped</t>
        </is>
      </c>
      <c r="F3390" s="16" t="inlineStr">
        <is>
          <t>HD005</t>
        </is>
      </c>
      <c r="G3390" s="16" t="inlineStr">
        <is>
          <t>Link bits HD005 Antena UHF para Exteriores, Antena de TV Digital HD con 10 Metros de Cable, Recepción 470-862MHz, 9-7dB de Ganancia, Antena para Canales Abiertos y HD, Resistente al Agua y Viento, Fácil Instalación</t>
        </is>
      </c>
      <c r="H3390" s="16" t="inlineStr">
        <is>
          <t>1</t>
        </is>
      </c>
      <c r="I3390" s="16" t="n">
        <v>3</v>
      </c>
      <c r="J3390" s="17" t="n">
        <v>225</v>
      </c>
      <c r="K3390" s="17" t="n">
        <v>277.98</v>
      </c>
      <c r="L3390" s="17" t="n">
        <v>0</v>
      </c>
      <c r="M3390" s="17" t="n">
        <v>0</v>
      </c>
      <c r="N3390" s="17">
        <f>K3390*0.08+L3390*0.08</f>
        <v/>
      </c>
      <c r="O3390" s="17">
        <f>-(K3390*0.025+L3390*0.025)</f>
        <v/>
      </c>
      <c r="P3390" s="17">
        <f>32</f>
        <v/>
      </c>
      <c r="Q3390" s="17">
        <f>J3390+L3390+N3390+O3390-P3390-M3390</f>
        <v/>
      </c>
    </row>
    <row r="3391">
      <c r="A3391" s="16" t="inlineStr">
        <is>
          <t>5.29-6.4</t>
        </is>
      </c>
      <c r="B3391" s="16" t="inlineStr">
        <is>
          <t>PO-128-18664682122873852</t>
        </is>
      </c>
      <c r="C3391" s="16" t="inlineStr">
        <is>
          <t>Shipped</t>
        </is>
      </c>
      <c r="D3391" s="16" t="inlineStr">
        <is>
          <t>128-18664687365753852</t>
        </is>
      </c>
      <c r="E3391" s="16" t="inlineStr">
        <is>
          <t>Shipped</t>
        </is>
      </c>
      <c r="F3391" s="16" t="inlineStr">
        <is>
          <t>HD005</t>
        </is>
      </c>
      <c r="G3391" s="16" t="inlineStr">
        <is>
          <t>Link bits HD005 Antena UHF para Exteriores, Antena de TV Digital HD con 10 Metros de Cable, Recepción 470-862MHz, 9-7dB de Ganancia, Antena para Canales Abiertos y HD, Resistente al Agua y Viento, Fácil Instalación</t>
        </is>
      </c>
      <c r="H3391" s="16" t="inlineStr">
        <is>
          <t>1</t>
        </is>
      </c>
      <c r="I3391" s="16" t="n">
        <v>1</v>
      </c>
      <c r="J3391" s="17" t="n">
        <v>75</v>
      </c>
      <c r="K3391" s="17" t="n">
        <v>83.17</v>
      </c>
      <c r="L3391" s="17" t="n">
        <v>25.86</v>
      </c>
      <c r="M3391" s="17" t="n">
        <v>0</v>
      </c>
      <c r="N3391" s="17">
        <f>K3391*0.08+L3391*0.08</f>
        <v/>
      </c>
      <c r="O3391" s="17">
        <f>-(K3391*0.025+L3391*0.025)</f>
        <v/>
      </c>
      <c r="P3391" s="17">
        <f>32</f>
        <v/>
      </c>
      <c r="Q3391" s="17">
        <f>J3391+L3391+N3391+O3391-P3391-M3391</f>
        <v/>
      </c>
    </row>
    <row r="3392">
      <c r="A3392" s="16" t="inlineStr">
        <is>
          <t>5.29-6.4</t>
        </is>
      </c>
      <c r="B3392" s="16" t="inlineStr">
        <is>
          <t>PO-128-18770212823672201</t>
        </is>
      </c>
      <c r="C3392" s="16" t="inlineStr">
        <is>
          <t>Shipped</t>
        </is>
      </c>
      <c r="D3392" s="16" t="inlineStr">
        <is>
          <t>128-18770317681272201</t>
        </is>
      </c>
      <c r="E3392" s="16" t="inlineStr">
        <is>
          <t>Shipped</t>
        </is>
      </c>
      <c r="F3392" s="16" t="inlineStr">
        <is>
          <t>MB-178-N</t>
        </is>
      </c>
      <c r="G3392" s="16" t="inlineStr">
        <is>
          <t>Bocina de Barra Bluetooth LINK BITS con dos altavoces, sonido de alta calidad y multifuncional (Bluetooth, Radio FM, USB, TF, AUX, TWS), ideal para juegos, reuniones, oficina y cine en casa.</t>
        </is>
      </c>
      <c r="H3392" s="16" t="inlineStr">
        <is>
          <t>NEGRO</t>
        </is>
      </c>
      <c r="I3392" s="16" t="n">
        <v>1</v>
      </c>
      <c r="J3392" s="17" t="n">
        <v>135</v>
      </c>
      <c r="K3392" s="17" t="n">
        <v>152.39</v>
      </c>
      <c r="L3392" s="17" t="n">
        <v>25.86</v>
      </c>
      <c r="M3392" s="17" t="n">
        <v>0</v>
      </c>
      <c r="N3392" s="17">
        <f>K3392*0.08+L3392*0.08</f>
        <v/>
      </c>
      <c r="O3392" s="17">
        <f>-(K3392*0.025+L3392*0.025)</f>
        <v/>
      </c>
      <c r="P3392" s="17">
        <f>32</f>
        <v/>
      </c>
      <c r="Q3392" s="17">
        <f>J3392+L3392+N3392+O3392-P3392-M3392</f>
        <v/>
      </c>
    </row>
    <row r="3393">
      <c r="A3393" s="16" t="inlineStr">
        <is>
          <t>5.29-6.4</t>
        </is>
      </c>
      <c r="B3393" s="16" t="inlineStr">
        <is>
          <t>PO-128-18818916342392999</t>
        </is>
      </c>
      <c r="C3393" s="16" t="inlineStr">
        <is>
          <t>Shipped</t>
        </is>
      </c>
      <c r="D3393" s="16" t="inlineStr">
        <is>
          <t>128-18818937313912999</t>
        </is>
      </c>
      <c r="E3393" s="16" t="inlineStr">
        <is>
          <t>Shipped</t>
        </is>
      </c>
      <c r="F3393" s="16" t="inlineStr">
        <is>
          <t>LB02235-rojo</t>
        </is>
      </c>
      <c r="G3393" s="16" t="inlineStr">
        <is>
          <t>Audífonos Inalámbricos para la Cabeza, Recargables y Multifuncionales - Conectan a Varios Dispositivos, soportan Radio FM, Tarjeta TF y AUX - 4 Horas de Reproducción Musical - Ideal para Trabajo Cotidiano, Juegos y Estudio</t>
        </is>
      </c>
      <c r="H3393" s="16" t="inlineStr">
        <is>
          <t>ROJO</t>
        </is>
      </c>
      <c r="I3393" s="16" t="n">
        <v>1</v>
      </c>
      <c r="J3393" s="17" t="n">
        <v>36.8</v>
      </c>
      <c r="K3393" s="17" t="n">
        <v>49.91</v>
      </c>
      <c r="L3393" s="17" t="n">
        <v>25.86</v>
      </c>
      <c r="M3393" s="17" t="n">
        <v>0</v>
      </c>
      <c r="N3393" s="17">
        <f>K3393*0.08+L3393*0.08</f>
        <v/>
      </c>
      <c r="O3393" s="17">
        <f>-(K3393*0.025+L3393*0.025)</f>
        <v/>
      </c>
      <c r="P3393" s="17">
        <f>32</f>
        <v/>
      </c>
      <c r="Q3393" s="17">
        <f>J3393+L3393+N3393+O3393-P3393-M3393</f>
        <v/>
      </c>
    </row>
    <row r="3394">
      <c r="A3394" s="16" t="inlineStr">
        <is>
          <t>5.29-6.4</t>
        </is>
      </c>
      <c r="B3394" s="16" t="inlineStr">
        <is>
          <t>PO-128-18783086776952253</t>
        </is>
      </c>
      <c r="C3394" s="16" t="inlineStr">
        <is>
          <t>Shipped</t>
        </is>
      </c>
      <c r="D3394" s="16" t="inlineStr">
        <is>
          <t>128-18783044833912253</t>
        </is>
      </c>
      <c r="E3394" s="16" t="inlineStr">
        <is>
          <t>Shipped</t>
        </is>
      </c>
      <c r="F3394" s="16" t="inlineStr">
        <is>
          <t>LB02235-negro</t>
        </is>
      </c>
      <c r="G3394" s="16" t="inlineStr">
        <is>
          <t>Audífonos Inalámbricos para la Cabeza, Recargables y Multifuncionales - Conectan a Varios Dispositivos, soportan Radio FM, Tarjeta TF y AUX - 4 Horas de Reproducción Musical - Ideal para Trabajo Cotidiano, Juegos y Estudio</t>
        </is>
      </c>
      <c r="H3394" s="16" t="inlineStr">
        <is>
          <t>NEGRO</t>
        </is>
      </c>
      <c r="I3394" s="16" t="n">
        <v>1</v>
      </c>
      <c r="J3394" s="17" t="n">
        <v>36.8</v>
      </c>
      <c r="K3394" s="17" t="n">
        <v>49.91</v>
      </c>
      <c r="L3394" s="17" t="n">
        <v>25.86</v>
      </c>
      <c r="M3394" s="17" t="n">
        <v>0</v>
      </c>
      <c r="N3394" s="17">
        <f>K3394*0.08+L3394*0.08</f>
        <v/>
      </c>
      <c r="O3394" s="17">
        <f>-(K3394*0.025+L3394*0.025)</f>
        <v/>
      </c>
      <c r="P3394" s="17">
        <f>32</f>
        <v/>
      </c>
      <c r="Q3394" s="17">
        <f>J3394+L3394+N3394+O3394-P3394-M3394</f>
        <v/>
      </c>
    </row>
    <row r="3395">
      <c r="A3395" s="16" t="inlineStr">
        <is>
          <t>5.29-6.4</t>
        </is>
      </c>
      <c r="B3395" s="16" t="inlineStr">
        <is>
          <t>PO-128-19175364767351000</t>
        </is>
      </c>
      <c r="C3395" s="16" t="inlineStr">
        <is>
          <t>Shipped</t>
        </is>
      </c>
      <c r="D3395" s="16" t="inlineStr">
        <is>
          <t>128-19175396224631000</t>
        </is>
      </c>
      <c r="E3395" s="16" t="inlineStr">
        <is>
          <t>Shipped</t>
        </is>
      </c>
      <c r="F3395" s="16" t="inlineStr">
        <is>
          <t>LB02235-rojo</t>
        </is>
      </c>
      <c r="G3395" s="16" t="inlineStr">
        <is>
          <t>Audífonos Inalámbricos para la Cabeza, Recargables y Multifuncionales - Conectan a Varios Dispositivos, soportan Radio FM, Tarjeta TF y AUX - 4 Horas de Reproducción Musical - Ideal para Trabajo Cotidiano, Juegos y Estudio</t>
        </is>
      </c>
      <c r="H3395" s="16" t="inlineStr">
        <is>
          <t>ROJO</t>
        </is>
      </c>
      <c r="I3395" s="16" t="n">
        <v>1</v>
      </c>
      <c r="J3395" s="17" t="n">
        <v>36.8</v>
      </c>
      <c r="K3395" s="17" t="n">
        <v>49.91</v>
      </c>
      <c r="L3395" s="17" t="n">
        <v>25.86</v>
      </c>
      <c r="M3395" s="17" t="n">
        <v>0</v>
      </c>
      <c r="N3395" s="17">
        <f>K3395*0.08+L3395*0.08</f>
        <v/>
      </c>
      <c r="O3395" s="17">
        <f>-(K3395*0.025+L3395*0.025)</f>
        <v/>
      </c>
      <c r="P3395" s="17">
        <f>32</f>
        <v/>
      </c>
      <c r="Q3395" s="17">
        <f>J3395+L3395+N3395+O3395-P3395-M3395</f>
        <v/>
      </c>
    </row>
    <row r="3396">
      <c r="A3396" s="16" t="inlineStr">
        <is>
          <t>5.29-6.4</t>
        </is>
      </c>
      <c r="B3396" s="16" t="inlineStr">
        <is>
          <t>PO-128-19188020634230863</t>
        </is>
      </c>
      <c r="C3396" s="16" t="inlineStr">
        <is>
          <t>Shipped</t>
        </is>
      </c>
      <c r="D3396" s="16" t="inlineStr">
        <is>
          <t>128-19188100588150863</t>
        </is>
      </c>
      <c r="E3396" s="16" t="inlineStr">
        <is>
          <t>Shipped</t>
        </is>
      </c>
      <c r="F3396" s="16" t="inlineStr">
        <is>
          <t>LB02235-azul</t>
        </is>
      </c>
      <c r="G3396" s="16" t="inlineStr">
        <is>
          <t>Audífonos Inalámbricos para la Cabeza, Recargables y Multifuncionales - Conectan a Varios Dispositivos, soportan Radio FM, Tarjeta TF y AUX - 4 Horas de Reproducción Musical - Ideal para Trabajo Cotidiano, Juegos y Estudio</t>
        </is>
      </c>
      <c r="H3396" s="16" t="inlineStr">
        <is>
          <t>AZUL</t>
        </is>
      </c>
      <c r="I3396" s="16" t="n">
        <v>2</v>
      </c>
      <c r="J3396" s="17" t="n">
        <v>58</v>
      </c>
      <c r="K3396" s="17" t="n">
        <v>1.46</v>
      </c>
      <c r="L3396" s="17" t="n">
        <v>25.86</v>
      </c>
      <c r="M3396" s="17" t="n">
        <v>0</v>
      </c>
      <c r="N3396" s="17">
        <f>K3396*0.08+L3396*0.08</f>
        <v/>
      </c>
      <c r="O3396" s="17">
        <f>-(K3396*0.025+L3396*0.025)</f>
        <v/>
      </c>
      <c r="P3396" s="17">
        <f>32</f>
        <v/>
      </c>
      <c r="Q3396" s="17">
        <f>J3396+L3396+N3396+O3396-P3396-M3396</f>
        <v/>
      </c>
    </row>
    <row r="3397">
      <c r="A3397" s="16" t="inlineStr">
        <is>
          <t>5.29-6.4</t>
        </is>
      </c>
      <c r="B3397" s="16" t="inlineStr">
        <is>
          <t>PO-128-19188059070070863</t>
        </is>
      </c>
      <c r="C3397" s="16" t="inlineStr">
        <is>
          <t>Shipped</t>
        </is>
      </c>
      <c r="D3397" s="16" t="inlineStr">
        <is>
          <t>128-19188080041590863</t>
        </is>
      </c>
      <c r="E3397" s="16" t="inlineStr">
        <is>
          <t>Shipped</t>
        </is>
      </c>
      <c r="F3397" s="16" t="inlineStr">
        <is>
          <t>LB02235-azul</t>
        </is>
      </c>
      <c r="G3397" s="16" t="inlineStr">
        <is>
          <t>Audífonos Inalámbricos para la Cabeza, Recargables y Multifuncionales - Conectan a Varios Dispositivos, soportan Radio FM, Tarjeta TF y AUX - 4 Horas de Reproducción Musical - Ideal para Trabajo Cotidiano, Juegos y Estudio</t>
        </is>
      </c>
      <c r="H3397" s="16" t="inlineStr">
        <is>
          <t>AZUL</t>
        </is>
      </c>
      <c r="I3397" s="16" t="n">
        <v>2</v>
      </c>
      <c r="J3397" s="17" t="n">
        <v>58</v>
      </c>
      <c r="K3397" s="17" t="n">
        <v>1.46</v>
      </c>
      <c r="L3397" s="17" t="n">
        <v>25.86</v>
      </c>
      <c r="M3397" s="17" t="n">
        <v>0</v>
      </c>
      <c r="N3397" s="17">
        <f>K3397*0.08+L3397*0.08</f>
        <v/>
      </c>
      <c r="O3397" s="17">
        <f>-(K3397*0.025+L3397*0.025)</f>
        <v/>
      </c>
      <c r="P3397" s="17">
        <f>32</f>
        <v/>
      </c>
      <c r="Q3397" s="17">
        <f>J3397+L3397+N3397+O3397-P3397-M3397</f>
        <v/>
      </c>
    </row>
    <row r="3398">
      <c r="A3398" s="16" t="inlineStr">
        <is>
          <t>5.29-6.4</t>
        </is>
      </c>
      <c r="B3398" s="16" t="inlineStr">
        <is>
          <t>PO-128-18893692447352681</t>
        </is>
      </c>
      <c r="C3398" s="16" t="inlineStr">
        <is>
          <t>Shipped</t>
        </is>
      </c>
      <c r="D3398" s="16" t="inlineStr">
        <is>
          <t>128-18893797304952681</t>
        </is>
      </c>
      <c r="E3398" s="16" t="inlineStr">
        <is>
          <t>Shipped</t>
        </is>
      </c>
      <c r="F3398" s="16" t="inlineStr">
        <is>
          <t>EM04W36-2PZS</t>
        </is>
      </c>
      <c r="G339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398" s="16" t="inlineStr">
        <is>
          <t>2 piezas</t>
        </is>
      </c>
      <c r="I3398" s="16" t="n">
        <v>1</v>
      </c>
      <c r="J3398" s="17" t="n">
        <v>170</v>
      </c>
      <c r="K3398" s="17" t="n">
        <v>15.14</v>
      </c>
      <c r="L3398" s="17" t="n">
        <v>25.86</v>
      </c>
      <c r="M3398" s="17" t="n">
        <v>0</v>
      </c>
      <c r="N3398" s="17">
        <f>K3398*0.08+L3398*0.08</f>
        <v/>
      </c>
      <c r="O3398" s="17">
        <f>-(K3398*0.025+L3398*0.025)</f>
        <v/>
      </c>
      <c r="P3398" s="17">
        <f>32</f>
        <v/>
      </c>
      <c r="Q3398" s="17">
        <f>J3398+L3398+N3398+O3398-P3398-M3398</f>
        <v/>
      </c>
    </row>
    <row r="3399">
      <c r="A3399" s="16" t="inlineStr">
        <is>
          <t>5.29-6.4</t>
        </is>
      </c>
      <c r="B3399" s="16" t="inlineStr">
        <is>
          <t>PO-128-18867716680312770</t>
        </is>
      </c>
      <c r="C3399" s="16" t="inlineStr">
        <is>
          <t>Shipped</t>
        </is>
      </c>
      <c r="D3399" s="16" t="inlineStr">
        <is>
          <t>128-18867674737272770</t>
        </is>
      </c>
      <c r="E3399" s="16" t="inlineStr">
        <is>
          <t>Shipped</t>
        </is>
      </c>
      <c r="F3399" s="16" t="inlineStr">
        <is>
          <t>LV34W04</t>
        </is>
      </c>
      <c r="G339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399" s="16" t="inlineStr">
        <is>
          <t>LV34W04</t>
        </is>
      </c>
      <c r="I3399" s="16" t="n">
        <v>2</v>
      </c>
      <c r="J3399" s="17" t="n">
        <v>460.6</v>
      </c>
      <c r="K3399" s="17" t="n">
        <v>515.3</v>
      </c>
      <c r="L3399" s="17" t="n">
        <v>0</v>
      </c>
      <c r="M3399" s="17" t="n">
        <v>0</v>
      </c>
      <c r="N3399" s="17">
        <f>K3399*0.08+L3399*0.08</f>
        <v/>
      </c>
      <c r="O3399" s="17">
        <f>-(K3399*0.025+L3399*0.025)</f>
        <v/>
      </c>
      <c r="P3399" s="17">
        <f>32</f>
        <v/>
      </c>
      <c r="Q3399" s="17">
        <f>J3399+L3399+N3399+O3399-P3399-M3399</f>
        <v/>
      </c>
    </row>
    <row r="3400">
      <c r="A3400" s="16" t="inlineStr">
        <is>
          <t>5.29-6.4</t>
        </is>
      </c>
      <c r="B3400" s="16" t="inlineStr">
        <is>
          <t>PO-128-19172525281911019</t>
        </is>
      </c>
      <c r="C3400" s="16" t="inlineStr">
        <is>
          <t>Shipped</t>
        </is>
      </c>
      <c r="D3400" s="16" t="inlineStr">
        <is>
          <t>128-19172546253431019</t>
        </is>
      </c>
      <c r="E3400" s="16" t="inlineStr">
        <is>
          <t>Shipped</t>
        </is>
      </c>
      <c r="F3400" s="16" t="inlineStr">
        <is>
          <t>T5050RGB07</t>
        </is>
      </c>
      <c r="G3400"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3400" s="16" t="inlineStr">
        <is>
          <t>T5050RGB07</t>
        </is>
      </c>
      <c r="I3400" s="16" t="n">
        <v>1</v>
      </c>
      <c r="J3400" s="17" t="n">
        <v>56.4</v>
      </c>
      <c r="K3400" s="17" t="n">
        <v>73.75</v>
      </c>
      <c r="L3400" s="17" t="n">
        <v>25.86</v>
      </c>
      <c r="M3400" s="17" t="n">
        <v>0</v>
      </c>
      <c r="N3400" s="17">
        <f>K3400*0.08+L3400*0.08</f>
        <v/>
      </c>
      <c r="O3400" s="17">
        <f>-(K3400*0.025+L3400*0.025)</f>
        <v/>
      </c>
      <c r="P3400" s="17">
        <f>32</f>
        <v/>
      </c>
      <c r="Q3400" s="17">
        <f>J3400+L3400+N3400+O3400-P3400-M3400</f>
        <v/>
      </c>
    </row>
    <row r="3401">
      <c r="A3401" s="16" t="inlineStr">
        <is>
          <t>5.29-6.4</t>
        </is>
      </c>
      <c r="B3401" s="16" t="inlineStr">
        <is>
          <t>PO-128-19139003617910003</t>
        </is>
      </c>
      <c r="C3401" s="16" t="inlineStr">
        <is>
          <t>Shipped</t>
        </is>
      </c>
      <c r="D3401" s="16" t="inlineStr">
        <is>
          <t>128-19139014103670003</t>
        </is>
      </c>
      <c r="E3401" s="16" t="inlineStr">
        <is>
          <t>Shipped</t>
        </is>
      </c>
      <c r="F3401" s="16" t="inlineStr">
        <is>
          <t>LB02235-rojo</t>
        </is>
      </c>
      <c r="G3401" s="16" t="inlineStr">
        <is>
          <t>Audífonos Inalámbricos para la Cabeza, Recargables y Multifuncionales - Conectan a Varios Dispositivos, soportan Radio FM, Tarjeta TF y AUX - 4 Horas de Reproducción Musical - Ideal para Trabajo Cotidiano, Juegos y Estudio</t>
        </is>
      </c>
      <c r="H3401" s="16" t="inlineStr">
        <is>
          <t>ROJO</t>
        </is>
      </c>
      <c r="I3401" s="16" t="n">
        <v>1</v>
      </c>
      <c r="J3401" s="17" t="n">
        <v>36.8</v>
      </c>
      <c r="K3401" s="17" t="n">
        <v>44.92</v>
      </c>
      <c r="L3401" s="17" t="n">
        <v>25.86</v>
      </c>
      <c r="M3401" s="17" t="n">
        <v>0</v>
      </c>
      <c r="N3401" s="17">
        <f>K3401*0.08+L3401*0.08</f>
        <v/>
      </c>
      <c r="O3401" s="17">
        <f>-(K3401*0.025+L3401*0.025)</f>
        <v/>
      </c>
      <c r="P3401" s="17">
        <f>32</f>
        <v/>
      </c>
      <c r="Q3401" s="17">
        <f>J3401+L3401+N3401+O3401-P3401-M3401</f>
        <v/>
      </c>
    </row>
    <row r="3402">
      <c r="A3402" s="16" t="inlineStr">
        <is>
          <t>5.29-6.4</t>
        </is>
      </c>
      <c r="B3402" s="16" t="inlineStr">
        <is>
          <t>PO-128-18597884303993226</t>
        </is>
      </c>
      <c r="C3402" s="16" t="inlineStr">
        <is>
          <t>Shipped</t>
        </is>
      </c>
      <c r="D3402" s="16" t="inlineStr">
        <is>
          <t>128-18598044211833226</t>
        </is>
      </c>
      <c r="E3402" s="16" t="inlineStr">
        <is>
          <t>Shipped</t>
        </is>
      </c>
      <c r="F3402" s="16" t="inlineStr">
        <is>
          <t>FA028</t>
        </is>
      </c>
      <c r="G3402" s="16" t="inlineStr">
        <is>
          <t>Extractor de agua para garrafas de agua, compatible con carga USB, extractor de agua automático, práctico, con dos modos de toma de agua: manual y programado, ideal para dormitorios, salones, oficinas, uso al aire libre y otros escenarios.</t>
        </is>
      </c>
      <c r="H3402" s="16" t="inlineStr">
        <is>
          <t>FA028</t>
        </is>
      </c>
      <c r="I3402" s="16" t="n">
        <v>1</v>
      </c>
      <c r="J3402" s="17" t="n">
        <v>35</v>
      </c>
      <c r="K3402" s="17" t="n">
        <v>44.58</v>
      </c>
      <c r="L3402" s="17" t="n">
        <v>25.86</v>
      </c>
      <c r="M3402" s="17" t="n">
        <v>0</v>
      </c>
      <c r="N3402" s="17">
        <f>K3402*0.08+L3402*0.08</f>
        <v/>
      </c>
      <c r="O3402" s="17">
        <f>-(K3402*0.025+L3402*0.025)</f>
        <v/>
      </c>
      <c r="P3402" s="17">
        <f>32</f>
        <v/>
      </c>
      <c r="Q3402" s="17">
        <f>J3402+L3402+N3402+O3402-P3402-M3402</f>
        <v/>
      </c>
    </row>
    <row r="3403">
      <c r="A3403" s="16" t="inlineStr">
        <is>
          <t>5.29-6.4</t>
        </is>
      </c>
      <c r="B3403" s="16" t="inlineStr">
        <is>
          <t>PO-128-18695491297913799</t>
        </is>
      </c>
      <c r="C3403" s="16" t="inlineStr">
        <is>
          <t>Shipped</t>
        </is>
      </c>
      <c r="D3403" s="16" t="inlineStr">
        <is>
          <t>128-18695517512313799</t>
        </is>
      </c>
      <c r="E3403" s="16" t="inlineStr">
        <is>
          <t>Shipped</t>
        </is>
      </c>
      <c r="F3403" s="16" t="inlineStr">
        <is>
          <t>LB02235-rojo</t>
        </is>
      </c>
      <c r="G3403" s="16" t="inlineStr">
        <is>
          <t>Audífonos Inalámbricos para la Cabeza, Recargables y Multifuncionales - Conectan a Varios Dispositivos, soportan Radio FM, Tarjeta TF y AUX - 4 Horas de Reproducción Musical - Ideal para Trabajo Cotidiano, Juegos y Estudio</t>
        </is>
      </c>
      <c r="H3403" s="16" t="inlineStr">
        <is>
          <t>ROJO</t>
        </is>
      </c>
      <c r="I3403" s="16" t="n">
        <v>1</v>
      </c>
      <c r="J3403" s="17" t="n">
        <v>36.8</v>
      </c>
      <c r="K3403" s="17" t="n">
        <v>38.5</v>
      </c>
      <c r="L3403" s="17" t="n">
        <v>14.03</v>
      </c>
      <c r="M3403" s="17" t="n">
        <v>0</v>
      </c>
      <c r="N3403" s="17">
        <f>K3403*0.08+L3403*0.08</f>
        <v/>
      </c>
      <c r="O3403" s="17">
        <f>-(K3403*0.025+L3403*0.025)</f>
        <v/>
      </c>
      <c r="P3403" s="17">
        <f>32</f>
        <v/>
      </c>
      <c r="Q3403" s="17">
        <f>J3403+L3403+N3403+O3403-P3403-M3403</f>
        <v/>
      </c>
    </row>
    <row r="3404">
      <c r="A3404" s="16" t="inlineStr">
        <is>
          <t>5.29-6.4</t>
        </is>
      </c>
      <c r="B3404" s="16" t="inlineStr">
        <is>
          <t>PO-128-18695491297913799</t>
        </is>
      </c>
      <c r="C3404" s="16" t="inlineStr">
        <is>
          <t>Shipped</t>
        </is>
      </c>
      <c r="D3404" s="16" t="inlineStr">
        <is>
          <t>128-18695449354873799</t>
        </is>
      </c>
      <c r="E3404" s="16" t="inlineStr">
        <is>
          <t>Shipped</t>
        </is>
      </c>
      <c r="F3404" s="16" t="inlineStr">
        <is>
          <t>LB02235-azul</t>
        </is>
      </c>
      <c r="G3404" s="16" t="inlineStr">
        <is>
          <t>Audífonos Inalámbricos para la Cabeza, Recargables y Multifuncionales - Conectan a Varios Dispositivos, soportan Radio FM, Tarjeta TF y AUX - 4 Horas de Reproducción Musical - Ideal para Trabajo Cotidiano, Juegos y Estudio</t>
        </is>
      </c>
      <c r="H3404" s="16" t="inlineStr">
        <is>
          <t>AZUL</t>
        </is>
      </c>
      <c r="I3404" s="16" t="n">
        <v>1</v>
      </c>
      <c r="J3404" s="17" t="n">
        <v>29</v>
      </c>
      <c r="K3404" s="17" t="n">
        <v>32.47</v>
      </c>
      <c r="L3404" s="17" t="n">
        <v>11.83</v>
      </c>
      <c r="M3404" s="17" t="n">
        <v>0</v>
      </c>
      <c r="N3404" s="17">
        <f>K3404*0.08+L3404*0.08</f>
        <v/>
      </c>
      <c r="O3404" s="17">
        <f>-(K3404*0.025+L3404*0.025)</f>
        <v/>
      </c>
      <c r="P3404" s="17">
        <f>32</f>
        <v/>
      </c>
      <c r="Q3404" s="17">
        <f>J3404+L3404+N3404+O3404-P3404-M3404</f>
        <v/>
      </c>
    </row>
    <row r="3405">
      <c r="A3405" s="16" t="inlineStr">
        <is>
          <t>5.29-6.4</t>
        </is>
      </c>
      <c r="B3405" s="16" t="inlineStr">
        <is>
          <t>PO-128-18998533857911990</t>
        </is>
      </c>
      <c r="C3405" s="16" t="inlineStr">
        <is>
          <t>Shipped</t>
        </is>
      </c>
      <c r="D3405" s="16" t="inlineStr">
        <is>
          <t>128-18998670172791990</t>
        </is>
      </c>
      <c r="E3405" s="16" t="inlineStr">
        <is>
          <t>Shipped</t>
        </is>
      </c>
      <c r="F3405" s="16" t="inlineStr">
        <is>
          <t>LB02235-blanco</t>
        </is>
      </c>
      <c r="G3405" s="16" t="inlineStr">
        <is>
          <t>Audífonos Inalámbricos para la Cabeza, Recargables y Multifuncionales - Conectan a Varios Dispositivos, soportan Radio FM, Tarjeta TF y AUX - 4 Horas de Reproducción Musical - Ideal para Trabajo Cotidiano, Juegos y Estudio</t>
        </is>
      </c>
      <c r="H3405" s="16" t="inlineStr">
        <is>
          <t>BLANCO</t>
        </is>
      </c>
      <c r="I3405" s="16" t="n">
        <v>3</v>
      </c>
      <c r="J3405" s="17" t="n">
        <v>110.4</v>
      </c>
      <c r="K3405" s="17" t="n">
        <v>149.73</v>
      </c>
      <c r="L3405" s="17" t="n">
        <v>0</v>
      </c>
      <c r="M3405" s="17" t="n">
        <v>0</v>
      </c>
      <c r="N3405" s="17">
        <f>K3405*0.08+L3405*0.08</f>
        <v/>
      </c>
      <c r="O3405" s="17">
        <f>-(K3405*0.025+L3405*0.025)</f>
        <v/>
      </c>
      <c r="P3405" s="17">
        <f>32</f>
        <v/>
      </c>
      <c r="Q3405" s="17">
        <f>J3405+L3405+N3405+O3405-P3405-M3405</f>
        <v/>
      </c>
    </row>
    <row r="3406">
      <c r="A3406" s="16" t="inlineStr">
        <is>
          <t>5.29-6.4</t>
        </is>
      </c>
      <c r="B3406" s="16" t="inlineStr">
        <is>
          <t>PO-128-18998533857911990</t>
        </is>
      </c>
      <c r="C3406" s="16" t="inlineStr">
        <is>
          <t>Shipped</t>
        </is>
      </c>
      <c r="D3406" s="16" t="inlineStr">
        <is>
          <t>128-18998628229751990</t>
        </is>
      </c>
      <c r="E3406" s="16" t="inlineStr">
        <is>
          <t>Shipped</t>
        </is>
      </c>
      <c r="F3406" s="16" t="inlineStr">
        <is>
          <t>LB02235-negro</t>
        </is>
      </c>
      <c r="G3406" s="16" t="inlineStr">
        <is>
          <t>Audífonos Inalámbricos para la Cabeza, Recargables y Multifuncionales - Conectan a Varios Dispositivos, soportan Radio FM, Tarjeta TF y AUX - 4 Horas de Reproducción Musical - Ideal para Trabajo Cotidiano, Juegos y Estudio</t>
        </is>
      </c>
      <c r="H3406" s="16" t="inlineStr">
        <is>
          <t>NEGRO</t>
        </is>
      </c>
      <c r="I3406" s="16" t="n">
        <v>3</v>
      </c>
      <c r="J3406" s="17" t="n">
        <v>110.4</v>
      </c>
      <c r="K3406" s="17" t="n">
        <v>149.73</v>
      </c>
      <c r="L3406" s="17" t="n">
        <v>0</v>
      </c>
      <c r="M3406" s="17" t="n">
        <v>0</v>
      </c>
      <c r="N3406" s="17">
        <f>K3406*0.08+L3406*0.08</f>
        <v/>
      </c>
      <c r="O3406" s="17">
        <f>-(K3406*0.025+L3406*0.025)</f>
        <v/>
      </c>
      <c r="P3406" s="17">
        <f>32</f>
        <v/>
      </c>
      <c r="Q3406" s="17">
        <f>J3406+L3406+N3406+O3406-P3406-M3406</f>
        <v/>
      </c>
    </row>
    <row r="3407">
      <c r="A3407" s="16" t="inlineStr">
        <is>
          <t>5.29-6.4</t>
        </is>
      </c>
      <c r="B3407" s="16" t="inlineStr">
        <is>
          <t>PO-128-19175560827511001</t>
        </is>
      </c>
      <c r="C3407" s="16" t="inlineStr">
        <is>
          <t>Shipped</t>
        </is>
      </c>
      <c r="D3407" s="16" t="inlineStr">
        <is>
          <t>128-19175581799031001</t>
        </is>
      </c>
      <c r="E3407" s="16" t="inlineStr">
        <is>
          <t>Shipped</t>
        </is>
      </c>
      <c r="F3407" s="16" t="inlineStr">
        <is>
          <t>LB02235-negro</t>
        </is>
      </c>
      <c r="G3407" s="16" t="inlineStr">
        <is>
          <t>Audífonos Inalámbricos para la Cabeza, Recargables y Multifuncionales - Conectan a Varios Dispositivos, soportan Radio FM, Tarjeta TF y AUX - 4 Horas de Reproducción Musical - Ideal para Trabajo Cotidiano, Juegos y Estudio</t>
        </is>
      </c>
      <c r="H3407" s="16" t="inlineStr">
        <is>
          <t>NEGRO</t>
        </is>
      </c>
      <c r="I3407" s="16" t="n">
        <v>1</v>
      </c>
      <c r="J3407" s="17" t="n">
        <v>36.8</v>
      </c>
      <c r="K3407" s="17" t="n">
        <v>49.91</v>
      </c>
      <c r="L3407" s="17" t="n">
        <v>25.86</v>
      </c>
      <c r="M3407" s="17" t="n">
        <v>0</v>
      </c>
      <c r="N3407" s="17">
        <f>K3407*0.08+L3407*0.08</f>
        <v/>
      </c>
      <c r="O3407" s="17">
        <f>-(K3407*0.025+L3407*0.025)</f>
        <v/>
      </c>
      <c r="P3407" s="17">
        <f>32</f>
        <v/>
      </c>
      <c r="Q3407" s="17">
        <f>J3407+L3407+N3407+O3407-P3407-M3407</f>
        <v/>
      </c>
    </row>
    <row r="3408">
      <c r="A3408" s="16" t="inlineStr">
        <is>
          <t>5.29-6.4</t>
        </is>
      </c>
      <c r="B3408" s="16" t="inlineStr">
        <is>
          <t>PO-128-18774747172472236</t>
        </is>
      </c>
      <c r="C3408" s="16" t="inlineStr">
        <is>
          <t>Shipped</t>
        </is>
      </c>
      <c r="D3408" s="16" t="inlineStr">
        <is>
          <t>128-18774757658232236</t>
        </is>
      </c>
      <c r="E3408" s="16" t="inlineStr">
        <is>
          <t>Shipped</t>
        </is>
      </c>
      <c r="F3408" s="16" t="inlineStr">
        <is>
          <t>VB347T</t>
        </is>
      </c>
      <c r="G340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08" s="16" t="inlineStr">
        <is>
          <t>1 pieza</t>
        </is>
      </c>
      <c r="I3408" s="16" t="n">
        <v>1</v>
      </c>
      <c r="J3408" s="17" t="n">
        <v>79.90000000000001</v>
      </c>
      <c r="K3408" s="17" t="n">
        <v>94.5</v>
      </c>
      <c r="L3408" s="17" t="n">
        <v>25.86</v>
      </c>
      <c r="M3408" s="17" t="n">
        <v>0</v>
      </c>
      <c r="N3408" s="17">
        <f>K3408*0.08+L3408*0.08</f>
        <v/>
      </c>
      <c r="O3408" s="17">
        <f>-(K3408*0.025+L3408*0.025)</f>
        <v/>
      </c>
      <c r="P3408" s="17">
        <f>32</f>
        <v/>
      </c>
      <c r="Q3408" s="17">
        <f>J3408+L3408+N3408+O3408-P3408-M3408</f>
        <v/>
      </c>
    </row>
    <row r="3409">
      <c r="A3409" s="16" t="inlineStr">
        <is>
          <t>5.29-6.4</t>
        </is>
      </c>
      <c r="B3409" s="16" t="inlineStr">
        <is>
          <t>PO-128-18714300657273623</t>
        </is>
      </c>
      <c r="C3409" s="16" t="inlineStr">
        <is>
          <t>Shipped</t>
        </is>
      </c>
      <c r="D3409" s="16" t="inlineStr">
        <is>
          <t>128-18714305900153623</t>
        </is>
      </c>
      <c r="E3409" s="16" t="inlineStr">
        <is>
          <t>Shipped</t>
        </is>
      </c>
      <c r="F3409" s="16" t="inlineStr">
        <is>
          <t>LB02235-rojo</t>
        </is>
      </c>
      <c r="G3409" s="16" t="inlineStr">
        <is>
          <t>Audífonos Inalámbricos para la Cabeza, Recargables y Multifuncionales - Conectan a Varios Dispositivos, soportan Radio FM, Tarjeta TF y AUX - 4 Horas de Reproducción Musical - Ideal para Trabajo Cotidiano, Juegos y Estudio</t>
        </is>
      </c>
      <c r="H3409" s="16" t="inlineStr">
        <is>
          <t>ROJO</t>
        </is>
      </c>
      <c r="I3409" s="16" t="n">
        <v>1</v>
      </c>
      <c r="J3409" s="17" t="n">
        <v>36.8</v>
      </c>
      <c r="K3409" s="17" t="n">
        <v>30.95</v>
      </c>
      <c r="L3409" s="17" t="n">
        <v>25.86</v>
      </c>
      <c r="M3409" s="17" t="n">
        <v>0</v>
      </c>
      <c r="N3409" s="17">
        <f>K3409*0.08+L3409*0.08</f>
        <v/>
      </c>
      <c r="O3409" s="17">
        <f>-(K3409*0.025+L3409*0.025)</f>
        <v/>
      </c>
      <c r="P3409" s="17">
        <f>32</f>
        <v/>
      </c>
      <c r="Q3409" s="17">
        <f>J3409+L3409+N3409+O3409-P3409-M3409</f>
        <v/>
      </c>
    </row>
    <row r="3410">
      <c r="A3410" s="16" t="inlineStr">
        <is>
          <t>5.29-6.4</t>
        </is>
      </c>
      <c r="B3410" s="16" t="inlineStr">
        <is>
          <t>PO-128-18692116127353755</t>
        </is>
      </c>
      <c r="C3410" s="16" t="inlineStr">
        <is>
          <t>Shipped</t>
        </is>
      </c>
      <c r="D3410" s="16" t="inlineStr">
        <is>
          <t>128-18692147584633755</t>
        </is>
      </c>
      <c r="E3410" s="16" t="inlineStr">
        <is>
          <t>Shipped</t>
        </is>
      </c>
      <c r="F3410" s="16" t="inlineStr">
        <is>
          <t>LB02235-negro</t>
        </is>
      </c>
      <c r="G3410" s="16" t="inlineStr">
        <is>
          <t>Audífonos Inalámbricos para la Cabeza, Recargables y Multifuncionales - Conectan a Varios Dispositivos, soportan Radio FM, Tarjeta TF y AUX - 4 Horas de Reproducción Musical - Ideal para Trabajo Cotidiano, Juegos y Estudio</t>
        </is>
      </c>
      <c r="H3410" s="16" t="inlineStr">
        <is>
          <t>NEGRO</t>
        </is>
      </c>
      <c r="I3410" s="16" t="n">
        <v>1</v>
      </c>
      <c r="J3410" s="17" t="n">
        <v>36.8</v>
      </c>
      <c r="K3410" s="17" t="n">
        <v>41.13</v>
      </c>
      <c r="L3410" s="17" t="n">
        <v>25.86</v>
      </c>
      <c r="M3410" s="17" t="n">
        <v>0</v>
      </c>
      <c r="N3410" s="17">
        <f>K3410*0.08+L3410*0.08</f>
        <v/>
      </c>
      <c r="O3410" s="17">
        <f>-(K3410*0.025+L3410*0.025)</f>
        <v/>
      </c>
      <c r="P3410" s="17">
        <f>32</f>
        <v/>
      </c>
      <c r="Q3410" s="17">
        <f>J3410+L3410+N3410+O3410-P3410-M3410</f>
        <v/>
      </c>
    </row>
    <row r="3411">
      <c r="A3411" s="16" t="inlineStr">
        <is>
          <t>5.29-6.4</t>
        </is>
      </c>
      <c r="B3411" s="16" t="inlineStr">
        <is>
          <t>PO-128-19090642084470483</t>
        </is>
      </c>
      <c r="C3411" s="16" t="inlineStr">
        <is>
          <t>Shipped</t>
        </is>
      </c>
      <c r="D3411" s="16" t="inlineStr">
        <is>
          <t>128-19090636841590483</t>
        </is>
      </c>
      <c r="E3411" s="16" t="inlineStr">
        <is>
          <t>Shipped</t>
        </is>
      </c>
      <c r="F3411" s="16" t="inlineStr">
        <is>
          <t>LB02235-blanco</t>
        </is>
      </c>
      <c r="G3411" s="16" t="inlineStr">
        <is>
          <t>Audífonos Inalámbricos para la Cabeza, Recargables y Multifuncionales - Conectan a Varios Dispositivos, soportan Radio FM, Tarjeta TF y AUX - 4 Horas de Reproducción Musical - Ideal para Trabajo Cotidiano, Juegos y Estudio</t>
        </is>
      </c>
      <c r="H3411" s="16" t="inlineStr">
        <is>
          <t>BLANCO</t>
        </is>
      </c>
      <c r="I3411" s="16" t="n">
        <v>1</v>
      </c>
      <c r="J3411" s="17" t="n">
        <v>36.8</v>
      </c>
      <c r="K3411" s="17" t="n">
        <v>49.91</v>
      </c>
      <c r="L3411" s="17" t="n">
        <v>12.93</v>
      </c>
      <c r="M3411" s="17" t="n">
        <v>0</v>
      </c>
      <c r="N3411" s="17">
        <f>K3411*0.08+L3411*0.08</f>
        <v/>
      </c>
      <c r="O3411" s="17">
        <f>-(K3411*0.025+L3411*0.025)</f>
        <v/>
      </c>
      <c r="P3411" s="17">
        <f>32</f>
        <v/>
      </c>
      <c r="Q3411" s="17">
        <f>J3411+L3411+N3411+O3411-P3411-M3411</f>
        <v/>
      </c>
    </row>
    <row r="3412">
      <c r="A3412" s="16" t="inlineStr">
        <is>
          <t>5.29-6.4</t>
        </is>
      </c>
      <c r="B3412" s="16" t="inlineStr">
        <is>
          <t>PO-128-19090642084470483</t>
        </is>
      </c>
      <c r="C3412" s="16" t="inlineStr">
        <is>
          <t>Shipped</t>
        </is>
      </c>
      <c r="D3412" s="16" t="inlineStr">
        <is>
          <t>128-19090647327350483</t>
        </is>
      </c>
      <c r="E3412" s="16" t="inlineStr">
        <is>
          <t>Shipped</t>
        </is>
      </c>
      <c r="F3412" s="16" t="inlineStr">
        <is>
          <t>LB02235-rojo</t>
        </is>
      </c>
      <c r="G3412" s="16" t="inlineStr">
        <is>
          <t>Audífonos Inalámbricos para la Cabeza, Recargables y Multifuncionales - Conectan a Varios Dispositivos, soportan Radio FM, Tarjeta TF y AUX - 4 Horas de Reproducción Musical - Ideal para Trabajo Cotidiano, Juegos y Estudio</t>
        </is>
      </c>
      <c r="H3412" s="16" t="inlineStr">
        <is>
          <t>ROJO</t>
        </is>
      </c>
      <c r="I3412" s="16" t="n">
        <v>1</v>
      </c>
      <c r="J3412" s="17" t="n">
        <v>36.8</v>
      </c>
      <c r="K3412" s="17" t="n">
        <v>49.91</v>
      </c>
      <c r="L3412" s="17" t="n">
        <v>12.93</v>
      </c>
      <c r="M3412" s="17" t="n">
        <v>0</v>
      </c>
      <c r="N3412" s="17">
        <f>K3412*0.08+L3412*0.08</f>
        <v/>
      </c>
      <c r="O3412" s="17">
        <f>-(K3412*0.025+L3412*0.025)</f>
        <v/>
      </c>
      <c r="P3412" s="17">
        <f>32</f>
        <v/>
      </c>
      <c r="Q3412" s="17">
        <f>J3412+L3412+N3412+O3412-P3412-M3412</f>
        <v/>
      </c>
    </row>
    <row r="3413">
      <c r="A3413" s="16" t="inlineStr">
        <is>
          <t>5.29-6.4</t>
        </is>
      </c>
      <c r="B3413" s="16" t="inlineStr">
        <is>
          <t>PO-128-18688197345913712</t>
        </is>
      </c>
      <c r="C3413" s="16" t="inlineStr">
        <is>
          <t>Shipped</t>
        </is>
      </c>
      <c r="D3413" s="16" t="inlineStr">
        <is>
          <t>128-18688178995833712</t>
        </is>
      </c>
      <c r="E3413" s="16" t="inlineStr">
        <is>
          <t>Shipped</t>
        </is>
      </c>
      <c r="F3413" s="16" t="inlineStr">
        <is>
          <t>VA384T-R</t>
        </is>
      </c>
      <c r="G3413" s="16" t="inlineStr">
        <is>
          <t>Bocina Portátil Bluetooth de 3 Pulgadas con Radio FM, USB TF TWS, Sonido Estéreo 5W, Bocina Recargable para Hogar Exterior Viaje Fiesta Camping</t>
        </is>
      </c>
      <c r="H3413" s="16" t="inlineStr">
        <is>
          <t>ROJO</t>
        </is>
      </c>
      <c r="I3413" s="16" t="n">
        <v>1</v>
      </c>
      <c r="J3413" s="17" t="n">
        <v>50</v>
      </c>
      <c r="K3413" s="17" t="n">
        <v>60.72</v>
      </c>
      <c r="L3413" s="17" t="n">
        <v>25.86</v>
      </c>
      <c r="M3413" s="17" t="n">
        <v>0</v>
      </c>
      <c r="N3413" s="17">
        <f>K3413*0.08+L3413*0.08</f>
        <v/>
      </c>
      <c r="O3413" s="17">
        <f>-(K3413*0.025+L3413*0.025)</f>
        <v/>
      </c>
      <c r="P3413" s="17">
        <f>32</f>
        <v/>
      </c>
      <c r="Q3413" s="17">
        <f>J3413+L3413+N3413+O3413-P3413-M3413</f>
        <v/>
      </c>
    </row>
    <row r="3414">
      <c r="A3414" s="16" t="inlineStr">
        <is>
          <t>5.29-6.4</t>
        </is>
      </c>
      <c r="B3414" s="16" t="inlineStr">
        <is>
          <t>PO-128-19118213929590191</t>
        </is>
      </c>
      <c r="C3414" s="16" t="inlineStr">
        <is>
          <t>Shipped</t>
        </is>
      </c>
      <c r="D3414" s="16" t="inlineStr">
        <is>
          <t>128-19118171986550191</t>
        </is>
      </c>
      <c r="E3414" s="16" t="inlineStr">
        <is>
          <t>Shipped</t>
        </is>
      </c>
      <c r="F3414" s="16" t="inlineStr">
        <is>
          <t>SA325T</t>
        </is>
      </c>
      <c r="G3414" s="16" t="inlineStr">
        <is>
          <t>Subwoofer Portátil Inalámbrico con Luces RGB, Sonido de Alta Potencia y Batería Duradera, TWS TF USB, Perfecto para Campamento Fiestas y Entretenimiento en Casa</t>
        </is>
      </c>
      <c r="H3414" s="16" t="inlineStr">
        <is>
          <t>NEGRO</t>
        </is>
      </c>
      <c r="I3414" s="16" t="n">
        <v>1</v>
      </c>
      <c r="J3414" s="17" t="n">
        <v>38</v>
      </c>
      <c r="K3414" s="17" t="n">
        <v>37.63</v>
      </c>
      <c r="L3414" s="17" t="n">
        <v>25.86</v>
      </c>
      <c r="M3414" s="17" t="n">
        <v>0</v>
      </c>
      <c r="N3414" s="17">
        <f>K3414*0.08+L3414*0.08</f>
        <v/>
      </c>
      <c r="O3414" s="17">
        <f>-(K3414*0.025+L3414*0.025)</f>
        <v/>
      </c>
      <c r="P3414" s="17">
        <f>32</f>
        <v/>
      </c>
      <c r="Q3414" s="17">
        <f>J3414+L3414+N3414+O3414-P3414-M3414</f>
        <v/>
      </c>
    </row>
    <row r="3415">
      <c r="A3415" s="16" t="inlineStr">
        <is>
          <t>5.29-6.4</t>
        </is>
      </c>
      <c r="B3415" s="16" t="inlineStr">
        <is>
          <t>PO-128-18665602970233849</t>
        </is>
      </c>
      <c r="C3415" s="16" t="inlineStr">
        <is>
          <t>Shipped</t>
        </is>
      </c>
      <c r="D3415" s="16" t="inlineStr">
        <is>
          <t>128-18665623941753849</t>
        </is>
      </c>
      <c r="E3415" s="16" t="inlineStr">
        <is>
          <t>Shipped</t>
        </is>
      </c>
      <c r="F3415" s="16" t="inlineStr">
        <is>
          <t>VA384T-N</t>
        </is>
      </c>
      <c r="G3415" s="16" t="inlineStr">
        <is>
          <t>Bocina Portátil Bluetooth de 3 Pulgadas con Radio FM, USB TF TWS, Sonido Estéreo 5W, Bocina Recargable para Hogar Exterior Viaje Fiesta Camping</t>
        </is>
      </c>
      <c r="H3415" s="16" t="inlineStr">
        <is>
          <t>NEGRO</t>
        </is>
      </c>
      <c r="I3415" s="16" t="n">
        <v>1</v>
      </c>
      <c r="J3415" s="17" t="n">
        <v>50</v>
      </c>
      <c r="K3415" s="17" t="n">
        <v>17.62</v>
      </c>
      <c r="L3415" s="17" t="n">
        <v>25.86</v>
      </c>
      <c r="M3415" s="17" t="n">
        <v>0</v>
      </c>
      <c r="N3415" s="17">
        <f>K3415*0.08+L3415*0.08</f>
        <v/>
      </c>
      <c r="O3415" s="17">
        <f>-(K3415*0.025+L3415*0.025)</f>
        <v/>
      </c>
      <c r="P3415" s="17">
        <f>32</f>
        <v/>
      </c>
      <c r="Q3415" s="17">
        <f>J3415+L3415+N3415+O3415-P3415-M3415</f>
        <v/>
      </c>
    </row>
    <row r="3416">
      <c r="A3416" s="16" t="inlineStr">
        <is>
          <t>5.29-6.4</t>
        </is>
      </c>
      <c r="B3416" s="16" t="inlineStr">
        <is>
          <t>PO-128-18687017278073721</t>
        </is>
      </c>
      <c r="C3416" s="16" t="inlineStr">
        <is>
          <t>Shipped</t>
        </is>
      </c>
      <c r="D3416" s="16" t="inlineStr">
        <is>
          <t>128-18687001549433721</t>
        </is>
      </c>
      <c r="E3416" s="16" t="inlineStr">
        <is>
          <t>Shipped</t>
        </is>
      </c>
      <c r="F3416" s="16" t="inlineStr">
        <is>
          <t>MCM-001N</t>
        </is>
      </c>
      <c r="G3416" s="16" t="inlineStr">
        <is>
          <t>Musicord Altavoz Inalámbrico BT Portátil: ¡Sonido impactante, luces LED multicolores y 4 horas de autonomía! Compatible con TWS, FM, TF y USB – Imprescindible para fiestas y viajes</t>
        </is>
      </c>
      <c r="H3416" s="16" t="inlineStr">
        <is>
          <t>NEGRO</t>
        </is>
      </c>
      <c r="I3416" s="16" t="n">
        <v>1</v>
      </c>
      <c r="J3416" s="17" t="n">
        <v>52</v>
      </c>
      <c r="K3416" s="17" t="n">
        <v>63.28</v>
      </c>
      <c r="L3416" s="17" t="n">
        <v>25.86</v>
      </c>
      <c r="M3416" s="17" t="n">
        <v>0</v>
      </c>
      <c r="N3416" s="17">
        <f>K3416*0.08+L3416*0.08</f>
        <v/>
      </c>
      <c r="O3416" s="17">
        <f>-(K3416*0.025+L3416*0.025)</f>
        <v/>
      </c>
      <c r="P3416" s="17">
        <f>32</f>
        <v/>
      </c>
      <c r="Q3416" s="17">
        <f>J3416+L3416+N3416+O3416-P3416-M3416</f>
        <v/>
      </c>
    </row>
    <row r="3417">
      <c r="A3417" s="16" t="inlineStr">
        <is>
          <t>5.29-6.4</t>
        </is>
      </c>
      <c r="B3417" s="16" t="inlineStr">
        <is>
          <t>PO-128-18827871708793008</t>
        </is>
      </c>
      <c r="C3417" s="16" t="inlineStr">
        <is>
          <t>Shipped</t>
        </is>
      </c>
      <c r="D3417" s="16" t="inlineStr">
        <is>
          <t>128-18827882194553008</t>
        </is>
      </c>
      <c r="E3417" s="16" t="inlineStr">
        <is>
          <t>Shipped</t>
        </is>
      </c>
      <c r="F3417" s="16" t="inlineStr">
        <is>
          <t>SA325T</t>
        </is>
      </c>
      <c r="G3417" s="16" t="inlineStr">
        <is>
          <t>Subwoofer Portátil Inalámbrico con Luces RGB, Sonido de Alta Potencia y Batería Duradera, TWS TF USB, Perfecto para Campamento Fiestas y Entretenimiento en Casa</t>
        </is>
      </c>
      <c r="H3417" s="16" t="inlineStr">
        <is>
          <t>NEGRO</t>
        </is>
      </c>
      <c r="I3417" s="16" t="n">
        <v>1</v>
      </c>
      <c r="J3417" s="17" t="n">
        <v>38</v>
      </c>
      <c r="K3417" s="17" t="n">
        <v>37.63</v>
      </c>
      <c r="L3417" s="17" t="n">
        <v>25.86</v>
      </c>
      <c r="M3417" s="17" t="n">
        <v>0</v>
      </c>
      <c r="N3417" s="17">
        <f>K3417*0.08+L3417*0.08</f>
        <v/>
      </c>
      <c r="O3417" s="17">
        <f>-(K3417*0.025+L3417*0.025)</f>
        <v/>
      </c>
      <c r="P3417" s="17">
        <f>32</f>
        <v/>
      </c>
      <c r="Q3417" s="17">
        <f>J3417+L3417+N3417+O3417-P3417-M3417</f>
        <v/>
      </c>
    </row>
    <row r="3418">
      <c r="A3418" s="16" t="inlineStr">
        <is>
          <t>5.29-6.4</t>
        </is>
      </c>
      <c r="B3418" s="16" t="inlineStr">
        <is>
          <t>PO-128-19141931756150048</t>
        </is>
      </c>
      <c r="C3418" s="16" t="inlineStr">
        <is>
          <t>Shipped</t>
        </is>
      </c>
      <c r="D3418" s="16" t="inlineStr">
        <is>
          <t>128-19141957970550048</t>
        </is>
      </c>
      <c r="E3418" s="16" t="inlineStr">
        <is>
          <t>Shipped</t>
        </is>
      </c>
      <c r="F3418" s="16" t="inlineStr">
        <is>
          <t>VB347T</t>
        </is>
      </c>
      <c r="G341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18" s="16" t="inlineStr">
        <is>
          <t>1 pieza</t>
        </is>
      </c>
      <c r="I3418" s="16" t="n">
        <v>1</v>
      </c>
      <c r="J3418" s="17" t="n">
        <v>79.90000000000001</v>
      </c>
      <c r="K3418" s="17" t="n">
        <v>94.5</v>
      </c>
      <c r="L3418" s="17" t="n">
        <v>25.86</v>
      </c>
      <c r="M3418" s="17" t="n">
        <v>0</v>
      </c>
      <c r="N3418" s="17">
        <f>K3418*0.08+L3418*0.08</f>
        <v/>
      </c>
      <c r="O3418" s="17">
        <f>-(K3418*0.025+L3418*0.025)</f>
        <v/>
      </c>
      <c r="P3418" s="17">
        <f>32</f>
        <v/>
      </c>
      <c r="Q3418" s="17">
        <f>J3418+L3418+N3418+O3418-P3418-M3418</f>
        <v/>
      </c>
    </row>
    <row r="3419">
      <c r="A3419" s="16" t="inlineStr">
        <is>
          <t>5.29-6.4</t>
        </is>
      </c>
      <c r="B3419" s="16" t="inlineStr">
        <is>
          <t>PO-128-18627463742073114</t>
        </is>
      </c>
      <c r="C3419" s="16" t="inlineStr">
        <is>
          <t>Shipped</t>
        </is>
      </c>
      <c r="D3419" s="16" t="inlineStr">
        <is>
          <t>128-18627505685113114</t>
        </is>
      </c>
      <c r="E3419" s="16" t="inlineStr">
        <is>
          <t>Shipped</t>
        </is>
      </c>
      <c r="F3419" s="16" t="inlineStr">
        <is>
          <t>VA880T</t>
        </is>
      </c>
      <c r="G341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419" s="16" t="inlineStr">
        <is>
          <t>1 pieza</t>
        </is>
      </c>
      <c r="I3419" s="16" t="n">
        <v>1</v>
      </c>
      <c r="J3419" s="17" t="n">
        <v>114.98</v>
      </c>
      <c r="K3419" s="17" t="n">
        <v>114.55</v>
      </c>
      <c r="L3419" s="17" t="n">
        <v>25.86</v>
      </c>
      <c r="M3419" s="17" t="n">
        <v>0</v>
      </c>
      <c r="N3419" s="17">
        <f>K3419*0.08+L3419*0.08</f>
        <v/>
      </c>
      <c r="O3419" s="17">
        <f>-(K3419*0.025+L3419*0.025)</f>
        <v/>
      </c>
      <c r="P3419" s="17">
        <f>32</f>
        <v/>
      </c>
      <c r="Q3419" s="17">
        <f>J3419+L3419+N3419+O3419-P3419-M3419</f>
        <v/>
      </c>
    </row>
    <row r="3420">
      <c r="A3420" s="16" t="inlineStr">
        <is>
          <t>5.29-6.4</t>
        </is>
      </c>
      <c r="B3420" s="16" t="inlineStr">
        <is>
          <t>PO-128-19039370465911749</t>
        </is>
      </c>
      <c r="C3420" s="16" t="inlineStr">
        <is>
          <t>Shipped</t>
        </is>
      </c>
      <c r="D3420" s="16" t="inlineStr">
        <is>
          <t>128-19039328522871749</t>
        </is>
      </c>
      <c r="E3420" s="16" t="inlineStr">
        <is>
          <t>Shipped</t>
        </is>
      </c>
      <c r="F3420" s="16" t="inlineStr">
        <is>
          <t>VB347T</t>
        </is>
      </c>
      <c r="G342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20" s="16" t="inlineStr">
        <is>
          <t>1 pieza</t>
        </is>
      </c>
      <c r="I3420" s="16" t="n">
        <v>1</v>
      </c>
      <c r="J3420" s="17" t="n">
        <v>79.90000000000001</v>
      </c>
      <c r="K3420" s="17" t="n">
        <v>94.5</v>
      </c>
      <c r="L3420" s="17" t="n">
        <v>13.55</v>
      </c>
      <c r="M3420" s="17" t="n">
        <v>0</v>
      </c>
      <c r="N3420" s="17">
        <f>K3420*0.08+L3420*0.08</f>
        <v/>
      </c>
      <c r="O3420" s="17">
        <f>-(K3420*0.025+L3420*0.025)</f>
        <v/>
      </c>
      <c r="P3420" s="17">
        <f>32</f>
        <v/>
      </c>
      <c r="Q3420" s="17">
        <f>J3420+L3420+N3420+O3420-P3420-M3420</f>
        <v/>
      </c>
    </row>
    <row r="3421">
      <c r="A3421" s="16" t="inlineStr">
        <is>
          <t>5.29-6.4</t>
        </is>
      </c>
      <c r="B3421" s="16" t="inlineStr">
        <is>
          <t>PO-128-19039370465911749</t>
        </is>
      </c>
      <c r="C3421" s="16" t="inlineStr">
        <is>
          <t>Shipped</t>
        </is>
      </c>
      <c r="D3421" s="16" t="inlineStr">
        <is>
          <t>128-19039349494391749</t>
        </is>
      </c>
      <c r="E3421" s="16" t="inlineStr">
        <is>
          <t>Shipped</t>
        </is>
      </c>
      <c r="F3421" s="16" t="inlineStr">
        <is>
          <t>MB-185A</t>
        </is>
      </c>
      <c r="G3421" s="16" t="inlineStr">
        <is>
          <t>Bocina Radio FM/Reproductor, Compatible con Tarjeta TF, USB, Bluetooth, Aplicable para celular, computadora, Ipad y consola.</t>
        </is>
      </c>
      <c r="H3421" s="16" t="inlineStr">
        <is>
          <t>AZUL/MB-185</t>
        </is>
      </c>
      <c r="I3421" s="16" t="n">
        <v>1</v>
      </c>
      <c r="J3421" s="17" t="n">
        <v>73</v>
      </c>
      <c r="K3421" s="17" t="n">
        <v>85.94</v>
      </c>
      <c r="L3421" s="17" t="n">
        <v>12.31</v>
      </c>
      <c r="M3421" s="17" t="n">
        <v>0</v>
      </c>
      <c r="N3421" s="17">
        <f>K3421*0.08+L3421*0.08</f>
        <v/>
      </c>
      <c r="O3421" s="17">
        <f>-(K3421*0.025+L3421*0.025)</f>
        <v/>
      </c>
      <c r="P3421" s="17">
        <f>32</f>
        <v/>
      </c>
      <c r="Q3421" s="17">
        <f>J3421+L3421+N3421+O3421-P3421-M3421</f>
        <v/>
      </c>
    </row>
    <row r="3422">
      <c r="A3422" s="16" t="inlineStr">
        <is>
          <t>5.29-6.4</t>
        </is>
      </c>
      <c r="B3422" s="16" t="inlineStr">
        <is>
          <t>PO-128-18933366615671357</t>
        </is>
      </c>
      <c r="C3422" s="16" t="inlineStr">
        <is>
          <t>Shipped</t>
        </is>
      </c>
      <c r="D3422" s="16" t="inlineStr">
        <is>
          <t>128-18933319429751357</t>
        </is>
      </c>
      <c r="E3422" s="16" t="inlineStr">
        <is>
          <t>Shipped</t>
        </is>
      </c>
      <c r="F3422" s="16" t="inlineStr">
        <is>
          <t>SA325T</t>
        </is>
      </c>
      <c r="G3422" s="16" t="inlineStr">
        <is>
          <t>Subwoofer Portátil Inalámbrico con Luces RGB, Sonido de Alta Potencia y Batería Duradera, TWS TF USB, Perfecto para Campamento Fiestas y Entretenimiento en Casa</t>
        </is>
      </c>
      <c r="H3422" s="16" t="inlineStr">
        <is>
          <t>NEGRO</t>
        </is>
      </c>
      <c r="I3422" s="16" t="n">
        <v>5</v>
      </c>
      <c r="J3422" s="17" t="n">
        <v>190</v>
      </c>
      <c r="K3422" s="17" t="n">
        <v>225.79</v>
      </c>
      <c r="L3422" s="17" t="n">
        <v>0</v>
      </c>
      <c r="M3422" s="17" t="n">
        <v>0</v>
      </c>
      <c r="N3422" s="17">
        <f>K3422*0.08+L3422*0.08</f>
        <v/>
      </c>
      <c r="O3422" s="17">
        <f>-(K3422*0.025+L3422*0.025)</f>
        <v/>
      </c>
      <c r="P3422" s="17">
        <f>32</f>
        <v/>
      </c>
      <c r="Q3422" s="17">
        <f>J3422+L3422+N3422+O3422-P3422-M3422</f>
        <v/>
      </c>
    </row>
    <row r="3423">
      <c r="A3423" s="16" t="inlineStr">
        <is>
          <t>5.29-6.4</t>
        </is>
      </c>
      <c r="B3423" s="16" t="inlineStr">
        <is>
          <t>PO-128-18933366615671357</t>
        </is>
      </c>
      <c r="C3423" s="16" t="inlineStr">
        <is>
          <t>Shipped</t>
        </is>
      </c>
      <c r="D3423" s="16" t="inlineStr">
        <is>
          <t>128-18933329915511357</t>
        </is>
      </c>
      <c r="E3423" s="16" t="inlineStr">
        <is>
          <t>Shipped</t>
        </is>
      </c>
      <c r="F3423" s="16" t="inlineStr">
        <is>
          <t>VA384T-R</t>
        </is>
      </c>
      <c r="G3423" s="16" t="inlineStr">
        <is>
          <t>Bocina Portátil Bluetooth de 3 Pulgadas con Radio FM, USB TF TWS, Sonido Estéreo 5W, Bocina Recargable para Hogar Exterior Viaje Fiesta Camping</t>
        </is>
      </c>
      <c r="H3423" s="16" t="inlineStr">
        <is>
          <t>ROJO</t>
        </is>
      </c>
      <c r="I3423" s="16" t="n">
        <v>5</v>
      </c>
      <c r="J3423" s="17" t="n">
        <v>250</v>
      </c>
      <c r="K3423" s="17" t="n">
        <v>297.51</v>
      </c>
      <c r="L3423" s="17" t="n">
        <v>0</v>
      </c>
      <c r="M3423" s="17" t="n">
        <v>0</v>
      </c>
      <c r="N3423" s="17">
        <f>K3423*0.08+L3423*0.08</f>
        <v/>
      </c>
      <c r="O3423" s="17">
        <f>-(K3423*0.025+L3423*0.025)</f>
        <v/>
      </c>
      <c r="P3423" s="17">
        <f>32</f>
        <v/>
      </c>
      <c r="Q3423" s="17">
        <f>J3423+L3423+N3423+O3423-P3423-M3423</f>
        <v/>
      </c>
    </row>
    <row r="3424">
      <c r="A3424" s="16" t="inlineStr">
        <is>
          <t>5.29-6.4</t>
        </is>
      </c>
      <c r="B3424" s="16" t="inlineStr">
        <is>
          <t>PO-128-18961129462391255</t>
        </is>
      </c>
      <c r="C3424" s="16" t="inlineStr">
        <is>
          <t>Shipped</t>
        </is>
      </c>
      <c r="D3424" s="16" t="inlineStr">
        <is>
          <t>128-18961150433911255</t>
        </is>
      </c>
      <c r="E3424" s="16" t="inlineStr">
        <is>
          <t>Shipped</t>
        </is>
      </c>
      <c r="F3424" s="16" t="inlineStr">
        <is>
          <t>LB02235-azul</t>
        </is>
      </c>
      <c r="G3424" s="16" t="inlineStr">
        <is>
          <t>Audífonos Inalámbricos para la Cabeza, Recargables y Multifuncionales - Conectan a Varios Dispositivos, soportan Radio FM, Tarjeta TF y AUX - 4 Horas de Reproducción Musical - Ideal para Trabajo Cotidiano, Juegos y Estudio</t>
        </is>
      </c>
      <c r="H3424" s="16" t="inlineStr">
        <is>
          <t>AZUL</t>
        </is>
      </c>
      <c r="I3424" s="16" t="n">
        <v>1</v>
      </c>
      <c r="J3424" s="17" t="n">
        <v>29</v>
      </c>
      <c r="K3424" s="17" t="n">
        <v>33.69</v>
      </c>
      <c r="L3424" s="17" t="n">
        <v>25.86</v>
      </c>
      <c r="M3424" s="17" t="n">
        <v>0</v>
      </c>
      <c r="N3424" s="17">
        <f>K3424*0.08+L3424*0.08</f>
        <v/>
      </c>
      <c r="O3424" s="17">
        <f>-(K3424*0.025+L3424*0.025)</f>
        <v/>
      </c>
      <c r="P3424" s="17">
        <f>32</f>
        <v/>
      </c>
      <c r="Q3424" s="17">
        <f>J3424+L3424+N3424+O3424-P3424-M3424</f>
        <v/>
      </c>
    </row>
    <row r="3425">
      <c r="A3425" s="16" t="inlineStr">
        <is>
          <t>5.29-6.4</t>
        </is>
      </c>
      <c r="B3425" s="16" t="inlineStr">
        <is>
          <t>PO-128-18939866962551380</t>
        </is>
      </c>
      <c r="C3425" s="16" t="inlineStr">
        <is>
          <t>Shipped</t>
        </is>
      </c>
      <c r="D3425" s="16" t="inlineStr">
        <is>
          <t>128-18939845991031380</t>
        </is>
      </c>
      <c r="E3425" s="16" t="inlineStr">
        <is>
          <t>Shipped</t>
        </is>
      </c>
      <c r="F3425" s="16" t="inlineStr">
        <is>
          <t>LB02235-negro</t>
        </is>
      </c>
      <c r="G3425" s="16" t="inlineStr">
        <is>
          <t>Audífonos Inalámbricos para la Cabeza, Recargables y Multifuncionales - Conectan a Varios Dispositivos, soportan Radio FM, Tarjeta TF y AUX - 4 Horas de Reproducción Musical - Ideal para Trabajo Cotidiano, Juegos y Estudio</t>
        </is>
      </c>
      <c r="H3425" s="16" t="inlineStr">
        <is>
          <t>NEGRO</t>
        </is>
      </c>
      <c r="I3425" s="16" t="n">
        <v>1</v>
      </c>
      <c r="J3425" s="17" t="n">
        <v>36.8</v>
      </c>
      <c r="K3425" s="17" t="n">
        <v>37.44</v>
      </c>
      <c r="L3425" s="17" t="n">
        <v>25.86</v>
      </c>
      <c r="M3425" s="17" t="n">
        <v>0</v>
      </c>
      <c r="N3425" s="17">
        <f>K3425*0.08+L3425*0.08</f>
        <v/>
      </c>
      <c r="O3425" s="17">
        <f>-(K3425*0.025+L3425*0.025)</f>
        <v/>
      </c>
      <c r="P3425" s="17">
        <f>32</f>
        <v/>
      </c>
      <c r="Q3425" s="17">
        <f>J3425+L3425+N3425+O3425-P3425-M3425</f>
        <v/>
      </c>
    </row>
    <row r="3426">
      <c r="A3426" s="16" t="inlineStr">
        <is>
          <t>5.29-6.4</t>
        </is>
      </c>
      <c r="B3426" s="16" t="inlineStr">
        <is>
          <t>PO-128-18715015061113616</t>
        </is>
      </c>
      <c r="C3426" s="16" t="inlineStr">
        <is>
          <t>Shipped</t>
        </is>
      </c>
      <c r="D3426" s="16" t="inlineStr">
        <is>
          <t>128-18715036032633616</t>
        </is>
      </c>
      <c r="E3426" s="16" t="inlineStr">
        <is>
          <t>Shipped</t>
        </is>
      </c>
      <c r="F3426" s="16" t="inlineStr">
        <is>
          <t>LB02235-azul</t>
        </is>
      </c>
      <c r="G3426" s="16" t="inlineStr">
        <is>
          <t>Audífonos Inalámbricos para la Cabeza, Recargables y Multifuncionales - Conectan a Varios Dispositivos, soportan Radio FM, Tarjeta TF y AUX - 4 Horas de Reproducción Musical - Ideal para Trabajo Cotidiano, Juegos y Estudio</t>
        </is>
      </c>
      <c r="H3426" s="16" t="inlineStr">
        <is>
          <t>AZUL</t>
        </is>
      </c>
      <c r="I3426" s="16" t="n">
        <v>1</v>
      </c>
      <c r="J3426" s="17" t="n">
        <v>29</v>
      </c>
      <c r="K3426" s="17" t="n">
        <v>31.58</v>
      </c>
      <c r="L3426" s="17" t="n">
        <v>25.86</v>
      </c>
      <c r="M3426" s="17" t="n">
        <v>0</v>
      </c>
      <c r="N3426" s="17">
        <f>K3426*0.08+L3426*0.08</f>
        <v/>
      </c>
      <c r="O3426" s="17">
        <f>-(K3426*0.025+L3426*0.025)</f>
        <v/>
      </c>
      <c r="P3426" s="17">
        <f>32</f>
        <v/>
      </c>
      <c r="Q3426" s="17">
        <f>J3426+L3426+N3426+O3426-P3426-M3426</f>
        <v/>
      </c>
    </row>
    <row r="3427">
      <c r="A3427" s="16" t="inlineStr">
        <is>
          <t>5.29-6.4</t>
        </is>
      </c>
      <c r="B3427" s="16" t="inlineStr">
        <is>
          <t>PO-128-18796713605752107</t>
        </is>
      </c>
      <c r="C3427" s="16" t="inlineStr">
        <is>
          <t>Shipped</t>
        </is>
      </c>
      <c r="D3427" s="16" t="inlineStr">
        <is>
          <t>128-18796726712952107</t>
        </is>
      </c>
      <c r="E3427" s="16" t="inlineStr">
        <is>
          <t>Shipped</t>
        </is>
      </c>
      <c r="F3427" s="16" t="inlineStr">
        <is>
          <t>LB02235-azul</t>
        </is>
      </c>
      <c r="G3427" s="16" t="inlineStr">
        <is>
          <t>Audífonos Inalámbricos para la Cabeza, Recargables y Multifuncionales - Conectan a Varios Dispositivos, soportan Radio FM, Tarjeta TF y AUX - 4 Horas de Reproducción Musical - Ideal para Trabajo Cotidiano, Juegos y Estudio</t>
        </is>
      </c>
      <c r="H3427" s="16" t="inlineStr">
        <is>
          <t>AZUL</t>
        </is>
      </c>
      <c r="I3427" s="16" t="n">
        <v>1</v>
      </c>
      <c r="J3427" s="17" t="n">
        <v>29</v>
      </c>
      <c r="K3427" s="17" t="n">
        <v>42.11</v>
      </c>
      <c r="L3427" s="17" t="n">
        <v>11.83</v>
      </c>
      <c r="M3427" s="17" t="n">
        <v>0</v>
      </c>
      <c r="N3427" s="17">
        <f>K3427*0.08+L3427*0.08</f>
        <v/>
      </c>
      <c r="O3427" s="17">
        <f>-(K3427*0.025+L3427*0.025)</f>
        <v/>
      </c>
      <c r="P3427" s="17">
        <f>32</f>
        <v/>
      </c>
      <c r="Q3427" s="17">
        <f>J3427+L3427+N3427+O3427-P3427-M3427</f>
        <v/>
      </c>
    </row>
    <row r="3428">
      <c r="A3428" s="16" t="inlineStr">
        <is>
          <t>5.29-6.4</t>
        </is>
      </c>
      <c r="B3428" s="16" t="inlineStr">
        <is>
          <t>PO-128-18796713605752107</t>
        </is>
      </c>
      <c r="C3428" s="16" t="inlineStr">
        <is>
          <t>Shipped</t>
        </is>
      </c>
      <c r="D3428" s="16" t="inlineStr">
        <is>
          <t>128-18796716227192107</t>
        </is>
      </c>
      <c r="E3428" s="16" t="inlineStr">
        <is>
          <t>Shipped</t>
        </is>
      </c>
      <c r="F3428" s="16" t="inlineStr">
        <is>
          <t>LB02235-blanco</t>
        </is>
      </c>
      <c r="G3428" s="16" t="inlineStr">
        <is>
          <t>Audífonos Inalámbricos para la Cabeza, Recargables y Multifuncionales - Conectan a Varios Dispositivos, soportan Radio FM, Tarjeta TF y AUX - 4 Horas de Reproducción Musical - Ideal para Trabajo Cotidiano, Juegos y Estudio</t>
        </is>
      </c>
      <c r="H3428" s="16" t="inlineStr">
        <is>
          <t>BLANCO</t>
        </is>
      </c>
      <c r="I3428" s="16" t="n">
        <v>1</v>
      </c>
      <c r="J3428" s="17" t="n">
        <v>36.8</v>
      </c>
      <c r="K3428" s="17" t="n">
        <v>49.91</v>
      </c>
      <c r="L3428" s="17" t="n">
        <v>14.03</v>
      </c>
      <c r="M3428" s="17" t="n">
        <v>0</v>
      </c>
      <c r="N3428" s="17">
        <f>K3428*0.08+L3428*0.08</f>
        <v/>
      </c>
      <c r="O3428" s="17">
        <f>-(K3428*0.025+L3428*0.025)</f>
        <v/>
      </c>
      <c r="P3428" s="17">
        <f>32</f>
        <v/>
      </c>
      <c r="Q3428" s="17">
        <f>J3428+L3428+N3428+O3428-P3428-M3428</f>
        <v/>
      </c>
    </row>
    <row r="3429">
      <c r="A3429" s="16" t="inlineStr">
        <is>
          <t>5.29-6.4</t>
        </is>
      </c>
      <c r="B3429" s="16" t="inlineStr">
        <is>
          <t>PO-128-19172317911671021</t>
        </is>
      </c>
      <c r="C3429" s="16" t="inlineStr">
        <is>
          <t>Shipped</t>
        </is>
      </c>
      <c r="D3429" s="16" t="inlineStr">
        <is>
          <t>128-19172275968631021</t>
        </is>
      </c>
      <c r="E3429" s="16" t="inlineStr">
        <is>
          <t>Shipped</t>
        </is>
      </c>
      <c r="F3429" s="16" t="inlineStr">
        <is>
          <t>LV34W04</t>
        </is>
      </c>
      <c r="G342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429" s="16" t="inlineStr">
        <is>
          <t>LV34W04</t>
        </is>
      </c>
      <c r="I3429" s="16" t="n">
        <v>1</v>
      </c>
      <c r="J3429" s="17" t="n">
        <v>230.3</v>
      </c>
      <c r="K3429" s="17" t="n">
        <v>85.23999999999999</v>
      </c>
      <c r="L3429" s="17" t="n">
        <v>25.86</v>
      </c>
      <c r="M3429" s="17" t="n">
        <v>0</v>
      </c>
      <c r="N3429" s="17">
        <f>K3429*0.08+L3429*0.08</f>
        <v/>
      </c>
      <c r="O3429" s="17">
        <f>-(K3429*0.025+L3429*0.025)</f>
        <v/>
      </c>
      <c r="P3429" s="17">
        <f>32</f>
        <v/>
      </c>
      <c r="Q3429" s="17">
        <f>J3429+L3429+N3429+O3429-P3429-M3429</f>
        <v/>
      </c>
    </row>
    <row r="3430">
      <c r="A3430" s="16" t="inlineStr">
        <is>
          <t>5.29-6.4</t>
        </is>
      </c>
      <c r="B3430" s="16" t="inlineStr">
        <is>
          <t>PO-128-18746057585272537</t>
        </is>
      </c>
      <c r="C3430" s="16" t="inlineStr">
        <is>
          <t>Shipped</t>
        </is>
      </c>
      <c r="D3430" s="16" t="inlineStr">
        <is>
          <t>128-18746028749432537</t>
        </is>
      </c>
      <c r="E3430" s="16" t="inlineStr">
        <is>
          <t>Shipped</t>
        </is>
      </c>
      <c r="F3430" s="16" t="inlineStr">
        <is>
          <t>LB02235-negro</t>
        </is>
      </c>
      <c r="G3430" s="16" t="inlineStr">
        <is>
          <t>Audífonos Inalámbricos para la Cabeza, Recargables y Multifuncionales - Conectan a Varios Dispositivos, soportan Radio FM, Tarjeta TF y AUX - 4 Horas de Reproducción Musical - Ideal para Trabajo Cotidiano, Juegos y Estudio</t>
        </is>
      </c>
      <c r="H3430" s="16" t="inlineStr">
        <is>
          <t>NEGRO</t>
        </is>
      </c>
      <c r="I3430" s="16" t="n">
        <v>1</v>
      </c>
      <c r="J3430" s="17" t="n">
        <v>36.8</v>
      </c>
      <c r="K3430" s="17" t="n">
        <v>48.6</v>
      </c>
      <c r="L3430" s="17" t="n">
        <v>25.86</v>
      </c>
      <c r="M3430" s="17" t="n">
        <v>0</v>
      </c>
      <c r="N3430" s="17">
        <f>K3430*0.08+L3430*0.08</f>
        <v/>
      </c>
      <c r="O3430" s="17">
        <f>-(K3430*0.025+L3430*0.025)</f>
        <v/>
      </c>
      <c r="P3430" s="17">
        <f>32</f>
        <v/>
      </c>
      <c r="Q3430" s="17">
        <f>J3430+L3430+N3430+O3430-P3430-M3430</f>
        <v/>
      </c>
    </row>
    <row r="3431">
      <c r="A3431" s="16" t="inlineStr">
        <is>
          <t>5.29-6.4</t>
        </is>
      </c>
      <c r="B3431" s="16" t="inlineStr">
        <is>
          <t>PO-128-18836749005432829</t>
        </is>
      </c>
      <c r="C3431" s="16" t="inlineStr">
        <is>
          <t>Shipped</t>
        </is>
      </c>
      <c r="D3431" s="16" t="inlineStr">
        <is>
          <t>128-18836707062392829</t>
        </is>
      </c>
      <c r="E3431" s="16" t="inlineStr">
        <is>
          <t>Shipped</t>
        </is>
      </c>
      <c r="F3431" s="16" t="inlineStr">
        <is>
          <t>LB02235-rojo</t>
        </is>
      </c>
      <c r="G3431" s="16" t="inlineStr">
        <is>
          <t>Audífonos Inalámbricos para la Cabeza, Recargables y Multifuncionales - Conectan a Varios Dispositivos, soportan Radio FM, Tarjeta TF y AUX - 4 Horas de Reproducción Musical - Ideal para Trabajo Cotidiano, Juegos y Estudio</t>
        </is>
      </c>
      <c r="H3431" s="16" t="inlineStr">
        <is>
          <t>ROJO</t>
        </is>
      </c>
      <c r="I3431" s="16" t="n">
        <v>1</v>
      </c>
      <c r="J3431" s="17" t="n">
        <v>36.8</v>
      </c>
      <c r="K3431" s="17" t="n">
        <v>49.91</v>
      </c>
      <c r="L3431" s="17" t="n">
        <v>25.86</v>
      </c>
      <c r="M3431" s="17" t="n">
        <v>0</v>
      </c>
      <c r="N3431" s="17">
        <f>K3431*0.08+L3431*0.08</f>
        <v/>
      </c>
      <c r="O3431" s="17">
        <f>-(K3431*0.025+L3431*0.025)</f>
        <v/>
      </c>
      <c r="P3431" s="17">
        <f>32</f>
        <v/>
      </c>
      <c r="Q3431" s="17">
        <f>J3431+L3431+N3431+O3431-P3431-M3431</f>
        <v/>
      </c>
    </row>
    <row r="3432">
      <c r="A3432" s="16" t="inlineStr">
        <is>
          <t>5.29-6.4</t>
        </is>
      </c>
      <c r="B3432" s="16" t="inlineStr">
        <is>
          <t>PO-128-18604093583993255</t>
        </is>
      </c>
      <c r="C3432" s="16" t="inlineStr">
        <is>
          <t>Shipped</t>
        </is>
      </c>
      <c r="D3432" s="16" t="inlineStr">
        <is>
          <t>128-18604161741433255</t>
        </is>
      </c>
      <c r="E3432" s="16" t="inlineStr">
        <is>
          <t>Shipped</t>
        </is>
      </c>
      <c r="F3432" s="16" t="inlineStr">
        <is>
          <t>LB02235-blanco</t>
        </is>
      </c>
      <c r="G3432" s="16" t="inlineStr">
        <is>
          <t>Audífonos Inalámbricos para la Cabeza, Recargables y Multifuncionales - Conectan a Varios Dispositivos, soportan Radio FM, Tarjeta TF y AUX - 4 Horas de Reproducción Musical - Ideal para Trabajo Cotidiano, Juegos y Estudio</t>
        </is>
      </c>
      <c r="H3432" s="16" t="inlineStr">
        <is>
          <t>BLANCO</t>
        </is>
      </c>
      <c r="I3432" s="16" t="n">
        <v>1</v>
      </c>
      <c r="J3432" s="17" t="n">
        <v>36.8</v>
      </c>
      <c r="K3432" s="17" t="n">
        <v>24.96</v>
      </c>
      <c r="L3432" s="17" t="n">
        <v>25.86</v>
      </c>
      <c r="M3432" s="17" t="n">
        <v>0</v>
      </c>
      <c r="N3432" s="17">
        <f>K3432*0.08+L3432*0.08</f>
        <v/>
      </c>
      <c r="O3432" s="17">
        <f>-(K3432*0.025+L3432*0.025)</f>
        <v/>
      </c>
      <c r="P3432" s="17">
        <f>32</f>
        <v/>
      </c>
      <c r="Q3432" s="17">
        <f>J3432+L3432+N3432+O3432-P3432-M3432</f>
        <v/>
      </c>
    </row>
    <row r="3433">
      <c r="A3433" s="16" t="inlineStr">
        <is>
          <t>5.29-6.4</t>
        </is>
      </c>
      <c r="B3433" s="16" t="inlineStr">
        <is>
          <t>PO-128-18752703969912304</t>
        </is>
      </c>
      <c r="C3433" s="16" t="inlineStr">
        <is>
          <t>Shipped</t>
        </is>
      </c>
      <c r="D3433" s="16" t="inlineStr">
        <is>
          <t>128-18752662026872304</t>
        </is>
      </c>
      <c r="E3433" s="16" t="inlineStr">
        <is>
          <t>Shipped</t>
        </is>
      </c>
      <c r="F3433" s="16" t="inlineStr">
        <is>
          <t>HD005</t>
        </is>
      </c>
      <c r="G3433" s="16" t="inlineStr">
        <is>
          <t>Link bits HD005 Antena UHF para Exteriores, Antena de TV Digital HD con 10 Metros de Cable, Recepción 470-862MHz, 9-7dB de Ganancia, Antena para Canales Abiertos y HD, Resistente al Agua y Viento, Fácil Instalación</t>
        </is>
      </c>
      <c r="H3433" s="16" t="inlineStr">
        <is>
          <t>1</t>
        </is>
      </c>
      <c r="I3433" s="16" t="n">
        <v>1</v>
      </c>
      <c r="J3433" s="17" t="n">
        <v>75</v>
      </c>
      <c r="K3433" s="17" t="n">
        <v>92.66</v>
      </c>
      <c r="L3433" s="17" t="n">
        <v>25.86</v>
      </c>
      <c r="M3433" s="17" t="n">
        <v>0</v>
      </c>
      <c r="N3433" s="17">
        <f>K3433*0.08+L3433*0.08</f>
        <v/>
      </c>
      <c r="O3433" s="17">
        <f>-(K3433*0.025+L3433*0.025)</f>
        <v/>
      </c>
      <c r="P3433" s="17">
        <f>32</f>
        <v/>
      </c>
      <c r="Q3433" s="17">
        <f>J3433+L3433+N3433+O3433-P3433-M3433</f>
        <v/>
      </c>
    </row>
    <row r="3434">
      <c r="A3434" s="16" t="inlineStr">
        <is>
          <t>5.29-6.4</t>
        </is>
      </c>
      <c r="B3434" s="16" t="inlineStr">
        <is>
          <t>PO-128-18844180362872910</t>
        </is>
      </c>
      <c r="C3434" s="16" t="inlineStr">
        <is>
          <t>Shipped</t>
        </is>
      </c>
      <c r="D3434" s="16" t="inlineStr">
        <is>
          <t>128-18844190848632910</t>
        </is>
      </c>
      <c r="E3434" s="16" t="inlineStr">
        <is>
          <t>Shipped</t>
        </is>
      </c>
      <c r="F3434" s="16" t="inlineStr">
        <is>
          <t>KTS-1678A</t>
        </is>
      </c>
      <c r="G3434" s="16" t="inlineStr">
        <is>
          <t>Bocina portátil Inalámbrico, de 3 pulgadas, tamaño de bolsillo, 170 g, con asa, compatible con TF, USB y Micro SD, con radio FM y función TWS (True Wireless Stereo), adecuada para relajarse en casa o viajar al aire libre.</t>
        </is>
      </c>
      <c r="H3434" s="16" t="inlineStr">
        <is>
          <t>KTS-1678A</t>
        </is>
      </c>
      <c r="I3434" s="16" t="n">
        <v>1</v>
      </c>
      <c r="J3434" s="17" t="n">
        <v>42.5</v>
      </c>
      <c r="K3434" s="17" t="n">
        <v>56.39</v>
      </c>
      <c r="L3434" s="17" t="n">
        <v>12.93</v>
      </c>
      <c r="M3434" s="17" t="n">
        <v>0</v>
      </c>
      <c r="N3434" s="17">
        <f>K3434*0.08+L3434*0.08</f>
        <v/>
      </c>
      <c r="O3434" s="17">
        <f>-(K3434*0.025+L3434*0.025)</f>
        <v/>
      </c>
      <c r="P3434" s="17">
        <f>32</f>
        <v/>
      </c>
      <c r="Q3434" s="17">
        <f>J3434+L3434+N3434+O3434-P3434-M3434</f>
        <v/>
      </c>
    </row>
    <row r="3435">
      <c r="A3435" s="16" t="inlineStr">
        <is>
          <t>5.29-6.4</t>
        </is>
      </c>
      <c r="B3435" s="16" t="inlineStr">
        <is>
          <t>PO-128-18844180362872910</t>
        </is>
      </c>
      <c r="C3435" s="16" t="inlineStr">
        <is>
          <t>Shipped</t>
        </is>
      </c>
      <c r="D3435" s="16" t="inlineStr">
        <is>
          <t>128-18844188882552910</t>
        </is>
      </c>
      <c r="E3435" s="16" t="inlineStr">
        <is>
          <t>Shipped</t>
        </is>
      </c>
      <c r="F3435" s="16" t="inlineStr">
        <is>
          <t>KTS-1678Y</t>
        </is>
      </c>
      <c r="G3435" s="16" t="inlineStr">
        <is>
          <t>Bocina portátil Inalámbrico, de 3 pulgadas, tamaño de bolsillo, 170 g, con asa, compatible con TF, USB y Micro SD, con radio FM y función TWS (True Wireless Stereo), adecuada para relajarse en casa o viajar al aire libre.</t>
        </is>
      </c>
      <c r="H3435" s="16" t="inlineStr">
        <is>
          <t>KTS-1678Y</t>
        </is>
      </c>
      <c r="I3435" s="16" t="n">
        <v>1</v>
      </c>
      <c r="J3435" s="17" t="n">
        <v>42.5</v>
      </c>
      <c r="K3435" s="17" t="n">
        <v>56.39</v>
      </c>
      <c r="L3435" s="17" t="n">
        <v>12.93</v>
      </c>
      <c r="M3435" s="17" t="n">
        <v>0</v>
      </c>
      <c r="N3435" s="17">
        <f>K3435*0.08+L3435*0.08</f>
        <v/>
      </c>
      <c r="O3435" s="17">
        <f>-(K3435*0.025+L3435*0.025)</f>
        <v/>
      </c>
      <c r="P3435" s="17">
        <f>32</f>
        <v/>
      </c>
      <c r="Q3435" s="17">
        <f>J3435+L3435+N3435+O3435-P3435-M3435</f>
        <v/>
      </c>
    </row>
    <row r="3436">
      <c r="A3436" s="16" t="inlineStr">
        <is>
          <t>5.29-6.4</t>
        </is>
      </c>
      <c r="B3436" s="16" t="inlineStr">
        <is>
          <t>PO-128-19178599076470791</t>
        </is>
      </c>
      <c r="C3436" s="16" t="inlineStr">
        <is>
          <t>Shipped</t>
        </is>
      </c>
      <c r="D3436" s="16" t="inlineStr">
        <is>
          <t>128-19178641019510791</t>
        </is>
      </c>
      <c r="E3436" s="16" t="inlineStr">
        <is>
          <t>Shipped</t>
        </is>
      </c>
      <c r="F3436" s="16" t="inlineStr">
        <is>
          <t>LB02235-azul</t>
        </is>
      </c>
      <c r="G3436" s="16" t="inlineStr">
        <is>
          <t>Audífonos Inalámbricos para la Cabeza, Recargables y Multifuncionales - Conectan a Varios Dispositivos, soportan Radio FM, Tarjeta TF y AUX - 4 Horas de Reproducción Musical - Ideal para Trabajo Cotidiano, Juegos y Estudio</t>
        </is>
      </c>
      <c r="H3436" s="16" t="inlineStr">
        <is>
          <t>AZUL</t>
        </is>
      </c>
      <c r="I3436" s="16" t="n">
        <v>6</v>
      </c>
      <c r="J3436" s="17" t="n">
        <v>174</v>
      </c>
      <c r="K3436" s="17" t="n">
        <v>252.66</v>
      </c>
      <c r="L3436" s="17" t="n">
        <v>25.86</v>
      </c>
      <c r="M3436" s="17" t="n">
        <v>0</v>
      </c>
      <c r="N3436" s="17">
        <f>K3436*0.08+L3436*0.08</f>
        <v/>
      </c>
      <c r="O3436" s="17">
        <f>-(K3436*0.025+L3436*0.025)</f>
        <v/>
      </c>
      <c r="P3436" s="17">
        <f>32</f>
        <v/>
      </c>
      <c r="Q3436" s="17">
        <f>J3436+L3436+N3436+O3436-P3436-M3436</f>
        <v/>
      </c>
    </row>
    <row r="3437">
      <c r="A3437" s="16" t="inlineStr">
        <is>
          <t>5.29-6.4</t>
        </is>
      </c>
      <c r="B3437" s="16" t="inlineStr">
        <is>
          <t>PO-128-18737241641592524</t>
        </is>
      </c>
      <c r="C3437" s="16" t="inlineStr">
        <is>
          <t>Shipped</t>
        </is>
      </c>
      <c r="D3437" s="16" t="inlineStr">
        <is>
          <t>128-18737262613112524</t>
        </is>
      </c>
      <c r="E3437" s="16" t="inlineStr">
        <is>
          <t>Shipped</t>
        </is>
      </c>
      <c r="F3437" s="16" t="inlineStr">
        <is>
          <t>LB02235-azul</t>
        </is>
      </c>
      <c r="G3437" s="16" t="inlineStr">
        <is>
          <t>Audífonos Inalámbricos para la Cabeza, Recargables y Multifuncionales - Conectan a Varios Dispositivos, soportan Radio FM, Tarjeta TF y AUX - 4 Horas de Reproducción Musical - Ideal para Trabajo Cotidiano, Juegos y Estudio</t>
        </is>
      </c>
      <c r="H3437" s="16" t="inlineStr">
        <is>
          <t>AZUL</t>
        </is>
      </c>
      <c r="I3437" s="16" t="n">
        <v>1</v>
      </c>
      <c r="J3437" s="17" t="n">
        <v>29</v>
      </c>
      <c r="K3437" s="17" t="n">
        <v>42.11</v>
      </c>
      <c r="L3437" s="17" t="n">
        <v>25.86</v>
      </c>
      <c r="M3437" s="17" t="n">
        <v>0</v>
      </c>
      <c r="N3437" s="17">
        <f>K3437*0.08+L3437*0.08</f>
        <v/>
      </c>
      <c r="O3437" s="17">
        <f>-(K3437*0.025+L3437*0.025)</f>
        <v/>
      </c>
      <c r="P3437" s="17">
        <f>32</f>
        <v/>
      </c>
      <c r="Q3437" s="17">
        <f>J3437+L3437+N3437+O3437-P3437-M3437</f>
        <v/>
      </c>
    </row>
    <row r="3438">
      <c r="A3438" s="16" t="inlineStr">
        <is>
          <t>5.29-6.4</t>
        </is>
      </c>
      <c r="B3438" s="16" t="inlineStr">
        <is>
          <t>PO-128-19144840356470094</t>
        </is>
      </c>
      <c r="C3438" s="16" t="inlineStr">
        <is>
          <t>Shipped</t>
        </is>
      </c>
      <c r="D3438" s="16" t="inlineStr">
        <is>
          <t>128-19144861327990094</t>
        </is>
      </c>
      <c r="E3438" s="16" t="inlineStr">
        <is>
          <t>Shipped</t>
        </is>
      </c>
      <c r="F3438" s="16" t="inlineStr">
        <is>
          <t>SA325T</t>
        </is>
      </c>
      <c r="G3438" s="16" t="inlineStr">
        <is>
          <t>Subwoofer Portátil Inalámbrico con Luces RGB, Sonido de Alta Potencia y Batería Duradera, TWS TF USB, Perfecto para Campamento Fiestas y Entretenimiento en Casa</t>
        </is>
      </c>
      <c r="H3438" s="16" t="inlineStr">
        <is>
          <t>NEGRO</t>
        </is>
      </c>
      <c r="I3438" s="16" t="n">
        <v>1</v>
      </c>
      <c r="J3438" s="17" t="n">
        <v>38</v>
      </c>
      <c r="K3438" s="17" t="n">
        <v>47.04</v>
      </c>
      <c r="L3438" s="17" t="n">
        <v>25.86</v>
      </c>
      <c r="M3438" s="17" t="n">
        <v>0</v>
      </c>
      <c r="N3438" s="17">
        <f>K3438*0.08+L3438*0.08</f>
        <v/>
      </c>
      <c r="O3438" s="17">
        <f>-(K3438*0.025+L3438*0.025)</f>
        <v/>
      </c>
      <c r="P3438" s="17">
        <f>32</f>
        <v/>
      </c>
      <c r="Q3438" s="17">
        <f>J3438+L3438+N3438+O3438-P3438-M3438</f>
        <v/>
      </c>
    </row>
    <row r="3439">
      <c r="A3439" s="16" t="inlineStr">
        <is>
          <t>5.29-6.4</t>
        </is>
      </c>
      <c r="B3439" s="16" t="inlineStr">
        <is>
          <t>PO-128-18609641544313284</t>
        </is>
      </c>
      <c r="C3439" s="16" t="inlineStr">
        <is>
          <t>Shipped</t>
        </is>
      </c>
      <c r="D3439" s="16" t="inlineStr">
        <is>
          <t>128-18609646787193284</t>
        </is>
      </c>
      <c r="E3439" s="16" t="inlineStr">
        <is>
          <t>Shipped</t>
        </is>
      </c>
      <c r="F3439" s="16" t="inlineStr">
        <is>
          <t>LB02235-azul</t>
        </is>
      </c>
      <c r="G3439" s="16" t="inlineStr">
        <is>
          <t>Audífonos Inalámbricos para la Cabeza, Recargables y Multifuncionales - Conectan a Varios Dispositivos, soportan Radio FM, Tarjeta TF y AUX - 4 Horas de Reproducción Musical - Ideal para Trabajo Cotidiano, Juegos y Estudio</t>
        </is>
      </c>
      <c r="H3439" s="16" t="inlineStr">
        <is>
          <t>AZUL</t>
        </is>
      </c>
      <c r="I3439" s="16" t="n">
        <v>1</v>
      </c>
      <c r="J3439" s="17" t="n">
        <v>29</v>
      </c>
      <c r="K3439" s="17" t="n">
        <v>42.11</v>
      </c>
      <c r="L3439" s="17" t="n">
        <v>25.86</v>
      </c>
      <c r="M3439" s="17" t="n">
        <v>0</v>
      </c>
      <c r="N3439" s="17">
        <f>K3439*0.08+L3439*0.08</f>
        <v/>
      </c>
      <c r="O3439" s="17">
        <f>-(K3439*0.025+L3439*0.025)</f>
        <v/>
      </c>
      <c r="P3439" s="17">
        <f>32</f>
        <v/>
      </c>
      <c r="Q3439" s="17">
        <f>J3439+L3439+N3439+O3439-P3439-M3439</f>
        <v/>
      </c>
    </row>
    <row r="3440">
      <c r="A3440" s="16" t="inlineStr">
        <is>
          <t>5.29-6.4</t>
        </is>
      </c>
      <c r="B3440" s="16" t="inlineStr">
        <is>
          <t>PO-128-19002970727032028</t>
        </is>
      </c>
      <c r="C3440" s="16" t="inlineStr">
        <is>
          <t>Shipped</t>
        </is>
      </c>
      <c r="D3440" s="16" t="inlineStr">
        <is>
          <t>128-19003038884472028</t>
        </is>
      </c>
      <c r="E3440" s="16" t="inlineStr">
        <is>
          <t>Shipped</t>
        </is>
      </c>
      <c r="F3440" s="16" t="inlineStr">
        <is>
          <t>SA325T</t>
        </is>
      </c>
      <c r="G3440" s="16" t="inlineStr">
        <is>
          <t>Subwoofer Portátil Inalámbrico con Luces RGB, Sonido de Alta Potencia y Batería Duradera, TWS TF USB, Perfecto para Campamento Fiestas y Entretenimiento en Casa</t>
        </is>
      </c>
      <c r="H3440" s="16" t="inlineStr">
        <is>
          <t>NEGRO</t>
        </is>
      </c>
      <c r="I3440" s="16" t="n">
        <v>1</v>
      </c>
      <c r="J3440" s="17" t="n">
        <v>38</v>
      </c>
      <c r="K3440" s="17" t="n">
        <v>47.04</v>
      </c>
      <c r="L3440" s="17" t="n">
        <v>25.86</v>
      </c>
      <c r="M3440" s="17" t="n">
        <v>0</v>
      </c>
      <c r="N3440" s="17">
        <f>K3440*0.08+L3440*0.08</f>
        <v/>
      </c>
      <c r="O3440" s="17">
        <f>-(K3440*0.025+L3440*0.025)</f>
        <v/>
      </c>
      <c r="P3440" s="17">
        <f>32</f>
        <v/>
      </c>
      <c r="Q3440" s="17">
        <f>J3440+L3440+N3440+O3440-P3440-M3440</f>
        <v/>
      </c>
    </row>
    <row r="3441">
      <c r="A3441" s="16" t="inlineStr">
        <is>
          <t>5.29-6.4</t>
        </is>
      </c>
      <c r="B3441" s="16" t="inlineStr">
        <is>
          <t>PO-128-18618264320633299</t>
        </is>
      </c>
      <c r="C3441" s="16" t="inlineStr">
        <is>
          <t>Shipped</t>
        </is>
      </c>
      <c r="D3441" s="16" t="inlineStr">
        <is>
          <t>128-18618347223673299</t>
        </is>
      </c>
      <c r="E3441" s="16" t="inlineStr">
        <is>
          <t>Shipped</t>
        </is>
      </c>
      <c r="F3441" s="16" t="inlineStr">
        <is>
          <t>LB02235-blanco</t>
        </is>
      </c>
      <c r="G3441" s="16" t="inlineStr">
        <is>
          <t>Audífonos Inalámbricos para la Cabeza, Recargables y Multifuncionales - Conectan a Varios Dispositivos, soportan Radio FM, Tarjeta TF y AUX - 4 Horas de Reproducción Musical - Ideal para Trabajo Cotidiano, Juegos y Estudio</t>
        </is>
      </c>
      <c r="H3441" s="16" t="inlineStr">
        <is>
          <t>BLANCO</t>
        </is>
      </c>
      <c r="I3441" s="16" t="n">
        <v>1</v>
      </c>
      <c r="J3441" s="17" t="n">
        <v>36.8</v>
      </c>
      <c r="K3441" s="17" t="n">
        <v>6.81</v>
      </c>
      <c r="L3441" s="17" t="n">
        <v>25.86</v>
      </c>
      <c r="M3441" s="17" t="n">
        <v>0</v>
      </c>
      <c r="N3441" s="17">
        <f>K3441*0.08+L3441*0.08</f>
        <v/>
      </c>
      <c r="O3441" s="17">
        <f>-(K3441*0.025+L3441*0.025)</f>
        <v/>
      </c>
      <c r="P3441" s="17">
        <f>32</f>
        <v/>
      </c>
      <c r="Q3441" s="17">
        <f>J3441+L3441+N3441+O3441-P3441-M3441</f>
        <v/>
      </c>
    </row>
    <row r="3442">
      <c r="A3442" s="16" t="inlineStr">
        <is>
          <t>5.29-6.4</t>
        </is>
      </c>
      <c r="B3442" s="16" t="inlineStr">
        <is>
          <t>PO-128-18722985605753699</t>
        </is>
      </c>
      <c r="C3442" s="16" t="inlineStr">
        <is>
          <t>Shipped</t>
        </is>
      </c>
      <c r="D3442" s="16" t="inlineStr">
        <is>
          <t>128-18723006577273699</t>
        </is>
      </c>
      <c r="E3442" s="16" t="inlineStr">
        <is>
          <t>Shipped</t>
        </is>
      </c>
      <c r="F3442" s="16" t="inlineStr">
        <is>
          <t>MB-185N</t>
        </is>
      </c>
      <c r="G3442" s="16" t="inlineStr">
        <is>
          <t>Bocina Radio FM/Reproductor, Compatible con Tarjeta TF, USB, Bluetooth, Aplicable para celular, computadora, Ipad y consola.</t>
        </is>
      </c>
      <c r="H3442" s="16" t="inlineStr">
        <is>
          <t>NEGRO/MB-185</t>
        </is>
      </c>
      <c r="I3442" s="16" t="n">
        <v>1</v>
      </c>
      <c r="J3442" s="17" t="n">
        <v>75.5</v>
      </c>
      <c r="K3442" s="17" t="n">
        <v>70.76000000000001</v>
      </c>
      <c r="L3442" s="17" t="n">
        <v>25.86</v>
      </c>
      <c r="M3442" s="17" t="n">
        <v>0</v>
      </c>
      <c r="N3442" s="17">
        <f>K3442*0.08+L3442*0.08</f>
        <v/>
      </c>
      <c r="O3442" s="17">
        <f>-(K3442*0.025+L3442*0.025)</f>
        <v/>
      </c>
      <c r="P3442" s="17">
        <f>32</f>
        <v/>
      </c>
      <c r="Q3442" s="17">
        <f>J3442+L3442+N3442+O3442-P3442-M3442</f>
        <v/>
      </c>
    </row>
    <row r="3443">
      <c r="A3443" s="16" t="inlineStr">
        <is>
          <t>5.29-6.4</t>
        </is>
      </c>
      <c r="B3443" s="16" t="inlineStr">
        <is>
          <t>PO-128-19231783619190600</t>
        </is>
      </c>
      <c r="C3443" s="16" t="inlineStr">
        <is>
          <t>Shipped</t>
        </is>
      </c>
      <c r="D3443" s="16" t="inlineStr">
        <is>
          <t>128-19231825562230600</t>
        </is>
      </c>
      <c r="E3443" s="16" t="inlineStr">
        <is>
          <t>Shipped</t>
        </is>
      </c>
      <c r="F3443" s="16" t="inlineStr">
        <is>
          <t>LB02235-negro</t>
        </is>
      </c>
      <c r="G3443" s="16" t="inlineStr">
        <is>
          <t>Audífonos Inalámbricos para la Cabeza, Recargables y Multifuncionales - Conectan a Varios Dispositivos, soportan Radio FM, Tarjeta TF y AUX - 4 Horas de Reproducción Musical - Ideal para Trabajo Cotidiano, Juegos y Estudio</t>
        </is>
      </c>
      <c r="H3443" s="16" t="inlineStr">
        <is>
          <t>NEGRO</t>
        </is>
      </c>
      <c r="I3443" s="16" t="n">
        <v>3</v>
      </c>
      <c r="J3443" s="17" t="n">
        <v>110.4</v>
      </c>
      <c r="K3443" s="17" t="n">
        <v>149.73</v>
      </c>
      <c r="L3443" s="17" t="n">
        <v>0</v>
      </c>
      <c r="M3443" s="17" t="n">
        <v>0</v>
      </c>
      <c r="N3443" s="17">
        <f>K3443*0.08+L3443*0.08</f>
        <v/>
      </c>
      <c r="O3443" s="17">
        <f>-(K3443*0.025+L3443*0.025)</f>
        <v/>
      </c>
      <c r="P3443" s="17">
        <f>32</f>
        <v/>
      </c>
      <c r="Q3443" s="17">
        <f>J3443+L3443+N3443+O3443-P3443-M3443</f>
        <v/>
      </c>
    </row>
    <row r="3444">
      <c r="A3444" s="16" t="inlineStr">
        <is>
          <t>5.29-6.4</t>
        </is>
      </c>
      <c r="B3444" s="16" t="inlineStr">
        <is>
          <t>PO-128-19231783619190600</t>
        </is>
      </c>
      <c r="C3444" s="16" t="inlineStr">
        <is>
          <t>Shipped</t>
        </is>
      </c>
      <c r="D3444" s="16" t="inlineStr">
        <is>
          <t>128-19231877991030600</t>
        </is>
      </c>
      <c r="E3444" s="16" t="inlineStr">
        <is>
          <t>Shipped</t>
        </is>
      </c>
      <c r="F3444" s="16" t="inlineStr">
        <is>
          <t>LB02235-azul</t>
        </is>
      </c>
      <c r="G3444" s="16" t="inlineStr">
        <is>
          <t>Audífonos Inalámbricos para la Cabeza, Recargables y Multifuncionales - Conectan a Varios Dispositivos, soportan Radio FM, Tarjeta TF y AUX - 4 Horas de Reproducción Musical - Ideal para Trabajo Cotidiano, Juegos y Estudio</t>
        </is>
      </c>
      <c r="H3444" s="16" t="inlineStr">
        <is>
          <t>AZUL</t>
        </is>
      </c>
      <c r="I3444" s="16" t="n">
        <v>3</v>
      </c>
      <c r="J3444" s="17" t="n">
        <v>87</v>
      </c>
      <c r="K3444" s="17" t="n">
        <v>126.33</v>
      </c>
      <c r="L3444" s="17" t="n">
        <v>0</v>
      </c>
      <c r="M3444" s="17" t="n">
        <v>0</v>
      </c>
      <c r="N3444" s="17">
        <f>K3444*0.08+L3444*0.08</f>
        <v/>
      </c>
      <c r="O3444" s="17">
        <f>-(K3444*0.025+L3444*0.025)</f>
        <v/>
      </c>
      <c r="P3444" s="17">
        <f>32</f>
        <v/>
      </c>
      <c r="Q3444" s="17">
        <f>J3444+L3444+N3444+O3444-P3444-M3444</f>
        <v/>
      </c>
    </row>
    <row r="3445">
      <c r="A3445" s="16" t="inlineStr">
        <is>
          <t>5.29-6.4</t>
        </is>
      </c>
      <c r="B3445" s="16" t="inlineStr">
        <is>
          <t>PO-128-19176968581750993</t>
        </is>
      </c>
      <c r="C3445" s="16" t="inlineStr">
        <is>
          <t>Shipped</t>
        </is>
      </c>
      <c r="D3445" s="16" t="inlineStr">
        <is>
          <t>128-19177027564150993</t>
        </is>
      </c>
      <c r="E3445" s="16" t="inlineStr">
        <is>
          <t>Shipped</t>
        </is>
      </c>
      <c r="F3445" s="16" t="inlineStr">
        <is>
          <t>MB-185N</t>
        </is>
      </c>
      <c r="G3445" s="16" t="inlineStr">
        <is>
          <t>Bocina Radio FM/Reproductor, Compatible con Tarjeta TF, USB, Bluetooth, Aplicable para celular, computadora, Ipad y consola.</t>
        </is>
      </c>
      <c r="H3445" s="16" t="inlineStr">
        <is>
          <t>NEGRO/MB-185</t>
        </is>
      </c>
      <c r="I3445" s="16" t="n">
        <v>1</v>
      </c>
      <c r="J3445" s="17" t="n">
        <v>75.5</v>
      </c>
      <c r="K3445" s="17" t="n">
        <v>78.31</v>
      </c>
      <c r="L3445" s="17" t="n">
        <v>25.86</v>
      </c>
      <c r="M3445" s="17" t="n">
        <v>0</v>
      </c>
      <c r="N3445" s="17">
        <f>K3445*0.08+L3445*0.08</f>
        <v/>
      </c>
      <c r="O3445" s="17">
        <f>-(K3445*0.025+L3445*0.025)</f>
        <v/>
      </c>
      <c r="P3445" s="17">
        <f>32</f>
        <v/>
      </c>
      <c r="Q3445" s="17">
        <f>J3445+L3445+N3445+O3445-P3445-M3445</f>
        <v/>
      </c>
    </row>
    <row r="3446">
      <c r="A3446" s="16" t="inlineStr">
        <is>
          <t>5.29-6.4</t>
        </is>
      </c>
      <c r="B3446" s="16" t="inlineStr">
        <is>
          <t>PO-128-19102266716790348</t>
        </is>
      </c>
      <c r="C3446" s="16" t="inlineStr">
        <is>
          <t>Shipped</t>
        </is>
      </c>
      <c r="D3446" s="16" t="inlineStr">
        <is>
          <t>128-19102308659830348</t>
        </is>
      </c>
      <c r="E3446" s="16" t="inlineStr">
        <is>
          <t>Shipped</t>
        </is>
      </c>
      <c r="F3446" s="16" t="inlineStr">
        <is>
          <t>LB02235-negro</t>
        </is>
      </c>
      <c r="G3446" s="16" t="inlineStr">
        <is>
          <t>Audífonos Inalámbricos para la Cabeza, Recargables y Multifuncionales - Conectan a Varios Dispositivos, soportan Radio FM, Tarjeta TF y AUX - 4 Horas de Reproducción Musical - Ideal para Trabajo Cotidiano, Juegos y Estudio</t>
        </is>
      </c>
      <c r="H3446" s="16" t="inlineStr">
        <is>
          <t>NEGRO</t>
        </is>
      </c>
      <c r="I3446" s="16" t="n">
        <v>1</v>
      </c>
      <c r="J3446" s="17" t="n">
        <v>36.8</v>
      </c>
      <c r="K3446" s="17" t="n">
        <v>39.94</v>
      </c>
      <c r="L3446" s="17" t="n">
        <v>25.86</v>
      </c>
      <c r="M3446" s="17" t="n">
        <v>0</v>
      </c>
      <c r="N3446" s="17">
        <f>K3446*0.08+L3446*0.08</f>
        <v/>
      </c>
      <c r="O3446" s="17">
        <f>-(K3446*0.025+L3446*0.025)</f>
        <v/>
      </c>
      <c r="P3446" s="17">
        <f>32</f>
        <v/>
      </c>
      <c r="Q3446" s="17">
        <f>J3446+L3446+N3446+O3446-P3446-M3446</f>
        <v/>
      </c>
    </row>
    <row r="3447">
      <c r="A3447" s="16" t="inlineStr">
        <is>
          <t>5.29-6.4</t>
        </is>
      </c>
      <c r="B3447" s="16" t="inlineStr">
        <is>
          <t>PO-128-18554465772153487</t>
        </is>
      </c>
      <c r="C3447" s="16" t="inlineStr">
        <is>
          <t>Shipped</t>
        </is>
      </c>
      <c r="D3447" s="16" t="inlineStr">
        <is>
          <t>128-18554570629753487</t>
        </is>
      </c>
      <c r="E3447" s="16" t="inlineStr">
        <is>
          <t>Shipped</t>
        </is>
      </c>
      <c r="F3447" s="16" t="inlineStr">
        <is>
          <t>SA325T</t>
        </is>
      </c>
      <c r="G3447" s="16" t="inlineStr">
        <is>
          <t>Subwoofer Portátil Inalámbrico con Luces RGB, Sonido de Alta Potencia y Batería Duradera, TWS TF USB, Perfecto para Campamento Fiestas y Entretenimiento en Casa</t>
        </is>
      </c>
      <c r="H3447" s="16" t="inlineStr">
        <is>
          <t>NEGRO</t>
        </is>
      </c>
      <c r="I3447" s="16" t="n">
        <v>6</v>
      </c>
      <c r="J3447" s="17" t="n">
        <v>228</v>
      </c>
      <c r="K3447" s="17" t="n">
        <v>282.24</v>
      </c>
      <c r="L3447" s="17" t="n">
        <v>0</v>
      </c>
      <c r="M3447" s="17" t="n">
        <v>0</v>
      </c>
      <c r="N3447" s="17">
        <f>K3447*0.08+L3447*0.08</f>
        <v/>
      </c>
      <c r="O3447" s="17">
        <f>-(K3447*0.025+L3447*0.025)</f>
        <v/>
      </c>
      <c r="P3447" s="17">
        <f>32</f>
        <v/>
      </c>
      <c r="Q3447" s="17">
        <f>J3447+L3447+N3447+O3447-P3447-M3447</f>
        <v/>
      </c>
    </row>
    <row r="3448">
      <c r="A3448" s="16" t="inlineStr">
        <is>
          <t>5.29-6.4</t>
        </is>
      </c>
      <c r="B3448" s="16" t="inlineStr">
        <is>
          <t>PO-128-18619364885113098</t>
        </is>
      </c>
      <c r="C3448" s="16" t="inlineStr">
        <is>
          <t>Shipped</t>
        </is>
      </c>
      <c r="D3448" s="16" t="inlineStr">
        <is>
          <t>128-18619501199993098</t>
        </is>
      </c>
      <c r="E3448" s="16" t="inlineStr">
        <is>
          <t>Shipped</t>
        </is>
      </c>
      <c r="F3448" s="16" t="inlineStr">
        <is>
          <t>FA028</t>
        </is>
      </c>
      <c r="G3448" s="16" t="inlineStr">
        <is>
          <t>Extractor de agua para garrafas de agua, compatible con carga USB, extractor de agua automático, práctico, con dos modos de toma de agua: manual y programado, ideal para dormitorios, salones, oficinas, uso al aire libre y otros escenarios.</t>
        </is>
      </c>
      <c r="H3448" s="16" t="inlineStr">
        <is>
          <t>FA028</t>
        </is>
      </c>
      <c r="I3448" s="16" t="n">
        <v>1</v>
      </c>
      <c r="J3448" s="17" t="n">
        <v>35</v>
      </c>
      <c r="K3448" s="17" t="n">
        <v>44.58</v>
      </c>
      <c r="L3448" s="17" t="n">
        <v>25.86</v>
      </c>
      <c r="M3448" s="17" t="n">
        <v>0</v>
      </c>
      <c r="N3448" s="17">
        <f>K3448*0.08+L3448*0.08</f>
        <v/>
      </c>
      <c r="O3448" s="17">
        <f>-(K3448*0.025+L3448*0.025)</f>
        <v/>
      </c>
      <c r="P3448" s="17">
        <f>32</f>
        <v/>
      </c>
      <c r="Q3448" s="17">
        <f>J3448+L3448+N3448+O3448-P3448-M3448</f>
        <v/>
      </c>
    </row>
    <row r="3449">
      <c r="A3449" s="16" t="inlineStr">
        <is>
          <t>5.29-6.4</t>
        </is>
      </c>
      <c r="B3449" s="16" t="inlineStr">
        <is>
          <t>PO-128-18758875259512397</t>
        </is>
      </c>
      <c r="C3449" s="16" t="inlineStr">
        <is>
          <t>Shipped</t>
        </is>
      </c>
      <c r="D3449" s="16" t="inlineStr">
        <is>
          <t>128-18758927688312397</t>
        </is>
      </c>
      <c r="E3449" s="16" t="inlineStr">
        <is>
          <t>Shipped</t>
        </is>
      </c>
      <c r="F3449" s="16" t="inlineStr">
        <is>
          <t>LB02235-rojo</t>
        </is>
      </c>
      <c r="G3449" s="16" t="inlineStr">
        <is>
          <t>Audífonos Inalámbricos para la Cabeza, Recargables y Multifuncionales - Conectan a Varios Dispositivos, soportan Radio FM, Tarjeta TF y AUX - 4 Horas de Reproducción Musical - Ideal para Trabajo Cotidiano, Juegos y Estudio</t>
        </is>
      </c>
      <c r="H3449" s="16" t="inlineStr">
        <is>
          <t>ROJO</t>
        </is>
      </c>
      <c r="I3449" s="16" t="n">
        <v>1</v>
      </c>
      <c r="J3449" s="17" t="n">
        <v>36.8</v>
      </c>
      <c r="K3449" s="17" t="n">
        <v>49.91</v>
      </c>
      <c r="L3449" s="17" t="n">
        <v>25.86</v>
      </c>
      <c r="M3449" s="17" t="n">
        <v>0</v>
      </c>
      <c r="N3449" s="17">
        <f>K3449*0.08+L3449*0.08</f>
        <v/>
      </c>
      <c r="O3449" s="17">
        <f>-(K3449*0.025+L3449*0.025)</f>
        <v/>
      </c>
      <c r="P3449" s="17">
        <f>32</f>
        <v/>
      </c>
      <c r="Q3449" s="17">
        <f>J3449+L3449+N3449+O3449-P3449-M3449</f>
        <v/>
      </c>
    </row>
    <row r="3450">
      <c r="A3450" s="16" t="inlineStr">
        <is>
          <t>5.29-6.4</t>
        </is>
      </c>
      <c r="B3450" s="16" t="inlineStr">
        <is>
          <t>PO-128-19219249511030741</t>
        </is>
      </c>
      <c r="C3450" s="16" t="inlineStr">
        <is>
          <t>Shipped</t>
        </is>
      </c>
      <c r="D3450" s="16" t="inlineStr">
        <is>
          <t>128-19219304561270741</t>
        </is>
      </c>
      <c r="E3450" s="16" t="inlineStr">
        <is>
          <t>Shipped</t>
        </is>
      </c>
      <c r="F3450" s="16" t="inlineStr">
        <is>
          <t>LB02235-negro</t>
        </is>
      </c>
      <c r="G3450" s="16" t="inlineStr">
        <is>
          <t>Audífonos Inalámbricos para la Cabeza, Recargables y Multifuncionales - Conectan a Varios Dispositivos, soportan Radio FM, Tarjeta TF y AUX - 4 Horas de Reproducción Musical - Ideal para Trabajo Cotidiano, Juegos y Estudio</t>
        </is>
      </c>
      <c r="H3450" s="16" t="inlineStr">
        <is>
          <t>NEGRO</t>
        </is>
      </c>
      <c r="I3450" s="16" t="n">
        <v>1</v>
      </c>
      <c r="J3450" s="17" t="n">
        <v>36.8</v>
      </c>
      <c r="K3450" s="17" t="n">
        <v>49.91</v>
      </c>
      <c r="L3450" s="17" t="n">
        <v>25.86</v>
      </c>
      <c r="M3450" s="17" t="n">
        <v>0</v>
      </c>
      <c r="N3450" s="17">
        <f>K3450*0.08+L3450*0.08</f>
        <v/>
      </c>
      <c r="O3450" s="17">
        <f>-(K3450*0.025+L3450*0.025)</f>
        <v/>
      </c>
      <c r="P3450" s="17">
        <f>32</f>
        <v/>
      </c>
      <c r="Q3450" s="17">
        <f>J3450+L3450+N3450+O3450-P3450-M3450</f>
        <v/>
      </c>
    </row>
    <row r="3451">
      <c r="A3451" s="16" t="inlineStr">
        <is>
          <t>5.29-6.4</t>
        </is>
      </c>
      <c r="B3451" s="16" t="inlineStr">
        <is>
          <t>PO-128-18562593546873503</t>
        </is>
      </c>
      <c r="C3451" s="16" t="inlineStr">
        <is>
          <t>Shipped</t>
        </is>
      </c>
      <c r="D3451" s="16" t="inlineStr">
        <is>
          <t>128-18562614518393503</t>
        </is>
      </c>
      <c r="E3451" s="16" t="inlineStr">
        <is>
          <t>Shipped</t>
        </is>
      </c>
      <c r="F3451" s="16" t="inlineStr">
        <is>
          <t>LB02235-negro</t>
        </is>
      </c>
      <c r="G3451" s="16" t="inlineStr">
        <is>
          <t>Audífonos Inalámbricos para la Cabeza, Recargables y Multifuncionales - Conectan a Varios Dispositivos, soportan Radio FM, Tarjeta TF y AUX - 4 Horas de Reproducción Musical - Ideal para Trabajo Cotidiano, Juegos y Estudio</t>
        </is>
      </c>
      <c r="H3451" s="16" t="inlineStr">
        <is>
          <t>NEGRO</t>
        </is>
      </c>
      <c r="I3451" s="16" t="n">
        <v>1</v>
      </c>
      <c r="J3451" s="17" t="n">
        <v>36.8</v>
      </c>
      <c r="K3451" s="17" t="n">
        <v>49.91</v>
      </c>
      <c r="L3451" s="17" t="n">
        <v>25.86</v>
      </c>
      <c r="M3451" s="17" t="n">
        <v>0</v>
      </c>
      <c r="N3451" s="17">
        <f>K3451*0.08+L3451*0.08</f>
        <v/>
      </c>
      <c r="O3451" s="17">
        <f>-(K3451*0.025+L3451*0.025)</f>
        <v/>
      </c>
      <c r="P3451" s="17">
        <f>32</f>
        <v/>
      </c>
      <c r="Q3451" s="17">
        <f>J3451+L3451+N3451+O3451-P3451-M3451</f>
        <v/>
      </c>
    </row>
    <row r="3452">
      <c r="A3452" s="16" t="inlineStr">
        <is>
          <t>5.29-6.4</t>
        </is>
      </c>
      <c r="B3452" s="16" t="inlineStr">
        <is>
          <t>PO-128-18721780531833704</t>
        </is>
      </c>
      <c r="C3452" s="16" t="inlineStr">
        <is>
          <t>Shipped</t>
        </is>
      </c>
      <c r="D3452" s="16" t="inlineStr">
        <is>
          <t>128-18721776599673704</t>
        </is>
      </c>
      <c r="E3452" s="16" t="inlineStr">
        <is>
          <t>Shipped</t>
        </is>
      </c>
      <c r="F3452" s="16" t="inlineStr">
        <is>
          <t>LB02235-negro</t>
        </is>
      </c>
      <c r="G3452" s="16" t="inlineStr">
        <is>
          <t>Audífonos Inalámbricos para la Cabeza, Recargables y Multifuncionales - Conectan a Varios Dispositivos, soportan Radio FM, Tarjeta TF y AUX - 4 Horas de Reproducción Musical - Ideal para Trabajo Cotidiano, Juegos y Estudio</t>
        </is>
      </c>
      <c r="H3452" s="16" t="inlineStr">
        <is>
          <t>NEGRO</t>
        </is>
      </c>
      <c r="I3452" s="16" t="n">
        <v>1</v>
      </c>
      <c r="J3452" s="17" t="n">
        <v>36.8</v>
      </c>
      <c r="K3452" s="17" t="n">
        <v>49.91</v>
      </c>
      <c r="L3452" s="17" t="n">
        <v>25.86</v>
      </c>
      <c r="M3452" s="17" t="n">
        <v>0</v>
      </c>
      <c r="N3452" s="17">
        <f>K3452*0.08+L3452*0.08</f>
        <v/>
      </c>
      <c r="O3452" s="17">
        <f>-(K3452*0.025+L3452*0.025)</f>
        <v/>
      </c>
      <c r="P3452" s="17">
        <f>32</f>
        <v/>
      </c>
      <c r="Q3452" s="17">
        <f>J3452+L3452+N3452+O3452-P3452-M3452</f>
        <v/>
      </c>
    </row>
    <row r="3453">
      <c r="A3453" s="16" t="inlineStr">
        <is>
          <t>5.29-6.4</t>
        </is>
      </c>
      <c r="B3453" s="16" t="inlineStr">
        <is>
          <t>PO-128-18945004263031159</t>
        </is>
      </c>
      <c r="C3453" s="16" t="inlineStr">
        <is>
          <t>Shipped</t>
        </is>
      </c>
      <c r="D3453" s="16" t="inlineStr">
        <is>
          <t>128-18945164170871159</t>
        </is>
      </c>
      <c r="E3453" s="16" t="inlineStr">
        <is>
          <t>Shipped</t>
        </is>
      </c>
      <c r="F3453" s="16" t="inlineStr">
        <is>
          <t>LB02235-negro</t>
        </is>
      </c>
      <c r="G3453" s="16" t="inlineStr">
        <is>
          <t>Audífonos Inalámbricos para la Cabeza, Recargables y Multifuncionales - Conectan a Varios Dispositivos, soportan Radio FM, Tarjeta TF y AUX - 4 Horas de Reproducción Musical - Ideal para Trabajo Cotidiano, Juegos y Estudio</t>
        </is>
      </c>
      <c r="H3453" s="16" t="inlineStr">
        <is>
          <t>NEGRO</t>
        </is>
      </c>
      <c r="I3453" s="16" t="n">
        <v>1</v>
      </c>
      <c r="J3453" s="17" t="n">
        <v>36.8</v>
      </c>
      <c r="K3453" s="17" t="n">
        <v>49.91</v>
      </c>
      <c r="L3453" s="17" t="n">
        <v>25.86</v>
      </c>
      <c r="M3453" s="17" t="n">
        <v>0</v>
      </c>
      <c r="N3453" s="17">
        <f>K3453*0.08+L3453*0.08</f>
        <v/>
      </c>
      <c r="O3453" s="17">
        <f>-(K3453*0.025+L3453*0.025)</f>
        <v/>
      </c>
      <c r="P3453" s="17">
        <f>32</f>
        <v/>
      </c>
      <c r="Q3453" s="17">
        <f>J3453+L3453+N3453+O3453-P3453-M3453</f>
        <v/>
      </c>
    </row>
    <row r="3454">
      <c r="A3454" s="16" t="inlineStr">
        <is>
          <t>5.29-6.4</t>
        </is>
      </c>
      <c r="B3454" s="16" t="inlineStr">
        <is>
          <t>PO-128-18757447844472341</t>
        </is>
      </c>
      <c r="C3454" s="16" t="inlineStr">
        <is>
          <t>Shipped</t>
        </is>
      </c>
      <c r="D3454" s="16" t="inlineStr">
        <is>
          <t>128-18757442601592341</t>
        </is>
      </c>
      <c r="E3454" s="16" t="inlineStr">
        <is>
          <t>Shipped</t>
        </is>
      </c>
      <c r="F3454" s="16" t="inlineStr">
        <is>
          <t>LB02235-rojo</t>
        </is>
      </c>
      <c r="G3454" s="16" t="inlineStr">
        <is>
          <t>Audífonos Inalámbricos para la Cabeza, Recargables y Multifuncionales - Conectan a Varios Dispositivos, soportan Radio FM, Tarjeta TF y AUX - 4 Horas de Reproducción Musical - Ideal para Trabajo Cotidiano, Juegos y Estudio</t>
        </is>
      </c>
      <c r="H3454" s="16" t="inlineStr">
        <is>
          <t>ROJO</t>
        </is>
      </c>
      <c r="I3454" s="16" t="n">
        <v>1</v>
      </c>
      <c r="J3454" s="17" t="n">
        <v>36.8</v>
      </c>
      <c r="K3454" s="17" t="n">
        <v>49.91</v>
      </c>
      <c r="L3454" s="17" t="n">
        <v>12.93</v>
      </c>
      <c r="M3454" s="17" t="n">
        <v>0</v>
      </c>
      <c r="N3454" s="17">
        <f>K3454*0.08+L3454*0.08</f>
        <v/>
      </c>
      <c r="O3454" s="17">
        <f>-(K3454*0.025+L3454*0.025)</f>
        <v/>
      </c>
      <c r="P3454" s="17">
        <f>32</f>
        <v/>
      </c>
      <c r="Q3454" s="17">
        <f>J3454+L3454+N3454+O3454-P3454-M3454</f>
        <v/>
      </c>
    </row>
    <row r="3455">
      <c r="A3455" s="16" t="inlineStr">
        <is>
          <t>5.29-6.4</t>
        </is>
      </c>
      <c r="B3455" s="16" t="inlineStr">
        <is>
          <t>PO-128-18757447844472341</t>
        </is>
      </c>
      <c r="C3455" s="16" t="inlineStr">
        <is>
          <t>Shipped</t>
        </is>
      </c>
      <c r="D3455" s="16" t="inlineStr">
        <is>
          <t>128-18757437358712341</t>
        </is>
      </c>
      <c r="E3455" s="16" t="inlineStr">
        <is>
          <t>Shipped</t>
        </is>
      </c>
      <c r="F3455" s="16" t="inlineStr">
        <is>
          <t>LB02235-negro</t>
        </is>
      </c>
      <c r="G3455" s="16" t="inlineStr">
        <is>
          <t>Audífonos Inalámbricos para la Cabeza, Recargables y Multifuncionales - Conectan a Varios Dispositivos, soportan Radio FM, Tarjeta TF y AUX - 4 Horas de Reproducción Musical - Ideal para Trabajo Cotidiano, Juegos y Estudio</t>
        </is>
      </c>
      <c r="H3455" s="16" t="inlineStr">
        <is>
          <t>NEGRO</t>
        </is>
      </c>
      <c r="I3455" s="16" t="n">
        <v>1</v>
      </c>
      <c r="J3455" s="17" t="n">
        <v>36.8</v>
      </c>
      <c r="K3455" s="17" t="n">
        <v>49.91</v>
      </c>
      <c r="L3455" s="17" t="n">
        <v>12.93</v>
      </c>
      <c r="M3455" s="17" t="n">
        <v>0</v>
      </c>
      <c r="N3455" s="17">
        <f>K3455*0.08+L3455*0.08</f>
        <v/>
      </c>
      <c r="O3455" s="17">
        <f>-(K3455*0.025+L3455*0.025)</f>
        <v/>
      </c>
      <c r="P3455" s="17">
        <f>32</f>
        <v/>
      </c>
      <c r="Q3455" s="17">
        <f>J3455+L3455+N3455+O3455-P3455-M3455</f>
        <v/>
      </c>
    </row>
    <row r="3456">
      <c r="A3456" s="16" t="inlineStr">
        <is>
          <t>5.29-6.4</t>
        </is>
      </c>
      <c r="B3456" s="16" t="inlineStr">
        <is>
          <t>PO-128-19230930217590607</t>
        </is>
      </c>
      <c r="C3456" s="16" t="inlineStr">
        <is>
          <t>Shipped</t>
        </is>
      </c>
      <c r="D3456" s="16" t="inlineStr">
        <is>
          <t>128-19230922353270607</t>
        </is>
      </c>
      <c r="E3456" s="16" t="inlineStr">
        <is>
          <t>Shipped</t>
        </is>
      </c>
      <c r="F3456" s="16" t="inlineStr">
        <is>
          <t>LB02235-rojo</t>
        </is>
      </c>
      <c r="G3456" s="16" t="inlineStr">
        <is>
          <t>Audífonos Inalámbricos para la Cabeza, Recargables y Multifuncionales - Conectan a Varios Dispositivos, soportan Radio FM, Tarjeta TF y AUX - 4 Horas de Reproducción Musical - Ideal para Trabajo Cotidiano, Juegos y Estudio</t>
        </is>
      </c>
      <c r="H3456" s="16" t="inlineStr">
        <is>
          <t>ROJO</t>
        </is>
      </c>
      <c r="I3456" s="16" t="n">
        <v>1</v>
      </c>
      <c r="J3456" s="17" t="n">
        <v>36.8</v>
      </c>
      <c r="K3456" s="17" t="n">
        <v>49.91</v>
      </c>
      <c r="L3456" s="17" t="n">
        <v>25.86</v>
      </c>
      <c r="M3456" s="17" t="n">
        <v>0</v>
      </c>
      <c r="N3456" s="17">
        <f>K3456*0.08+L3456*0.08</f>
        <v/>
      </c>
      <c r="O3456" s="17">
        <f>-(K3456*0.025+L3456*0.025)</f>
        <v/>
      </c>
      <c r="P3456" s="17">
        <f>32</f>
        <v/>
      </c>
      <c r="Q3456" s="17">
        <f>J3456+L3456+N3456+O3456-P3456-M3456</f>
        <v/>
      </c>
    </row>
    <row r="3457">
      <c r="A3457" s="16" t="inlineStr">
        <is>
          <t>5.29-6.4</t>
        </is>
      </c>
      <c r="B3457" s="16" t="inlineStr">
        <is>
          <t>PO-128-19213076275830712</t>
        </is>
      </c>
      <c r="C3457" s="16" t="inlineStr">
        <is>
          <t>Shipped</t>
        </is>
      </c>
      <c r="D3457" s="16" t="inlineStr">
        <is>
          <t>128-19213086761590712</t>
        </is>
      </c>
      <c r="E3457" s="16" t="inlineStr">
        <is>
          <t>Shipped</t>
        </is>
      </c>
      <c r="F3457" s="16" t="inlineStr">
        <is>
          <t>LB02235-rojo</t>
        </is>
      </c>
      <c r="G3457" s="16" t="inlineStr">
        <is>
          <t>Audífonos Inalámbricos para la Cabeza, Recargables y Multifuncionales - Conectan a Varios Dispositivos, soportan Radio FM, Tarjeta TF y AUX - 4 Horas de Reproducción Musical - Ideal para Trabajo Cotidiano, Juegos y Estudio</t>
        </is>
      </c>
      <c r="H3457" s="16" t="inlineStr">
        <is>
          <t>ROJO</t>
        </is>
      </c>
      <c r="I3457" s="16" t="n">
        <v>1</v>
      </c>
      <c r="J3457" s="17" t="n">
        <v>36.8</v>
      </c>
      <c r="K3457" s="17" t="n">
        <v>42.72</v>
      </c>
      <c r="L3457" s="17" t="n">
        <v>14.03</v>
      </c>
      <c r="M3457" s="17" t="n">
        <v>0</v>
      </c>
      <c r="N3457" s="17">
        <f>K3457*0.08+L3457*0.08</f>
        <v/>
      </c>
      <c r="O3457" s="17">
        <f>-(K3457*0.025+L3457*0.025)</f>
        <v/>
      </c>
      <c r="P3457" s="17">
        <f>32</f>
        <v/>
      </c>
      <c r="Q3457" s="17">
        <f>J3457+L3457+N3457+O3457-P3457-M3457</f>
        <v/>
      </c>
    </row>
    <row r="3458">
      <c r="A3458" s="16" t="inlineStr">
        <is>
          <t>5.29-6.4</t>
        </is>
      </c>
      <c r="B3458" s="16" t="inlineStr">
        <is>
          <t>PO-128-19213076275830712</t>
        </is>
      </c>
      <c r="C3458" s="16" t="inlineStr">
        <is>
          <t>Shipped</t>
        </is>
      </c>
      <c r="D3458" s="16" t="inlineStr">
        <is>
          <t>128-19213044818550712</t>
        </is>
      </c>
      <c r="E3458" s="16" t="inlineStr">
        <is>
          <t>Shipped</t>
        </is>
      </c>
      <c r="F3458" s="16" t="inlineStr">
        <is>
          <t>LB02235-azul</t>
        </is>
      </c>
      <c r="G3458" s="16" t="inlineStr">
        <is>
          <t>Audífonos Inalámbricos para la Cabeza, Recargables y Multifuncionales - Conectan a Varios Dispositivos, soportan Radio FM, Tarjeta TF y AUX - 4 Horas de Reproducción Musical - Ideal para Trabajo Cotidiano, Juegos y Estudio</t>
        </is>
      </c>
      <c r="H3458" s="16" t="inlineStr">
        <is>
          <t>AZUL</t>
        </is>
      </c>
      <c r="I3458" s="16" t="n">
        <v>1</v>
      </c>
      <c r="J3458" s="17" t="n">
        <v>29</v>
      </c>
      <c r="K3458" s="17" t="n">
        <v>36.04</v>
      </c>
      <c r="L3458" s="17" t="n">
        <v>11.83</v>
      </c>
      <c r="M3458" s="17" t="n">
        <v>0</v>
      </c>
      <c r="N3458" s="17">
        <f>K3458*0.08+L3458*0.08</f>
        <v/>
      </c>
      <c r="O3458" s="17">
        <f>-(K3458*0.025+L3458*0.025)</f>
        <v/>
      </c>
      <c r="P3458" s="17">
        <f>32</f>
        <v/>
      </c>
      <c r="Q3458" s="17">
        <f>J3458+L3458+N3458+O3458-P3458-M3458</f>
        <v/>
      </c>
    </row>
    <row r="3459">
      <c r="A3459" s="16" t="inlineStr">
        <is>
          <t>5.29-6.4</t>
        </is>
      </c>
      <c r="B3459" s="16" t="inlineStr">
        <is>
          <t>PO-128-18734782387832474</t>
        </is>
      </c>
      <c r="C3459" s="16" t="inlineStr">
        <is>
          <t>Shipped</t>
        </is>
      </c>
      <c r="D3459" s="16" t="inlineStr">
        <is>
          <t>128-18734843336312474</t>
        </is>
      </c>
      <c r="E3459" s="16" t="inlineStr">
        <is>
          <t>Shipped</t>
        </is>
      </c>
      <c r="F3459" s="16" t="inlineStr">
        <is>
          <t>MB-185N</t>
        </is>
      </c>
      <c r="G3459" s="16" t="inlineStr">
        <is>
          <t>Bocina Radio FM/Reproductor, Compatible con Tarjeta TF, USB, Bluetooth, Aplicable para celular, computadora, Ipad y consola.</t>
        </is>
      </c>
      <c r="H3459" s="16" t="inlineStr">
        <is>
          <t>NEGRO/MB-185</t>
        </is>
      </c>
      <c r="I3459" s="16" t="n">
        <v>1</v>
      </c>
      <c r="J3459" s="17" t="n">
        <v>75.5</v>
      </c>
      <c r="K3459" s="17" t="n">
        <v>88.44</v>
      </c>
      <c r="L3459" s="17" t="n">
        <v>25.86</v>
      </c>
      <c r="M3459" s="17" t="n">
        <v>0</v>
      </c>
      <c r="N3459" s="17">
        <f>K3459*0.08+L3459*0.08</f>
        <v/>
      </c>
      <c r="O3459" s="17">
        <f>-(K3459*0.025+L3459*0.025)</f>
        <v/>
      </c>
      <c r="P3459" s="17">
        <f>32</f>
        <v/>
      </c>
      <c r="Q3459" s="17">
        <f>J3459+L3459+N3459+O3459-P3459-M3459</f>
        <v/>
      </c>
    </row>
    <row r="3460">
      <c r="A3460" s="16" t="inlineStr">
        <is>
          <t>5.29-6.4</t>
        </is>
      </c>
      <c r="B3460" s="16" t="inlineStr">
        <is>
          <t>PO-128-18886813225592592</t>
        </is>
      </c>
      <c r="C3460" s="16" t="inlineStr">
        <is>
          <t>Shipped</t>
        </is>
      </c>
      <c r="D3460" s="16" t="inlineStr">
        <is>
          <t>128-18886918083192592</t>
        </is>
      </c>
      <c r="E3460" s="16" t="inlineStr">
        <is>
          <t>Shipped</t>
        </is>
      </c>
      <c r="F3460" s="16" t="inlineStr">
        <is>
          <t>LB02235-negro</t>
        </is>
      </c>
      <c r="G3460" s="16" t="inlineStr">
        <is>
          <t>Audífonos Inalámbricos para la Cabeza, Recargables y Multifuncionales - Conectan a Varios Dispositivos, soportan Radio FM, Tarjeta TF y AUX - 4 Horas de Reproducción Musical - Ideal para Trabajo Cotidiano, Juegos y Estudio</t>
        </is>
      </c>
      <c r="H3460" s="16" t="inlineStr">
        <is>
          <t>NEGRO</t>
        </is>
      </c>
      <c r="I3460" s="16" t="n">
        <v>1</v>
      </c>
      <c r="J3460" s="17" t="n">
        <v>36.8</v>
      </c>
      <c r="K3460" s="17" t="n">
        <v>6.81</v>
      </c>
      <c r="L3460" s="17" t="n">
        <v>25.86</v>
      </c>
      <c r="M3460" s="17" t="n">
        <v>0</v>
      </c>
      <c r="N3460" s="17">
        <f>K3460*0.08+L3460*0.08</f>
        <v/>
      </c>
      <c r="O3460" s="17">
        <f>-(K3460*0.025+L3460*0.025)</f>
        <v/>
      </c>
      <c r="P3460" s="17">
        <f>32</f>
        <v/>
      </c>
      <c r="Q3460" s="17">
        <f>J3460+L3460+N3460+O3460-P3460-M3460</f>
        <v/>
      </c>
    </row>
    <row r="3461">
      <c r="A3461" s="16" t="inlineStr">
        <is>
          <t>5.29-6.4</t>
        </is>
      </c>
      <c r="B3461" s="16" t="inlineStr">
        <is>
          <t>PO-128-19041816310391732</t>
        </is>
      </c>
      <c r="C3461" s="16" t="inlineStr">
        <is>
          <t>Shipped</t>
        </is>
      </c>
      <c r="D3461" s="16" t="inlineStr">
        <is>
          <t>128-19041952625271732</t>
        </is>
      </c>
      <c r="E3461" s="16" t="inlineStr">
        <is>
          <t>Shipped</t>
        </is>
      </c>
      <c r="F3461" s="16" t="inlineStr">
        <is>
          <t>LB02235-azul</t>
        </is>
      </c>
      <c r="G3461" s="16" t="inlineStr">
        <is>
          <t>Audífonos Inalámbricos para la Cabeza, Recargables y Multifuncionales - Conectan a Varios Dispositivos, soportan Radio FM, Tarjeta TF y AUX - 4 Horas de Reproducción Musical - Ideal para Trabajo Cotidiano, Juegos y Estudio</t>
        </is>
      </c>
      <c r="H3461" s="16" t="inlineStr">
        <is>
          <t>AZUL</t>
        </is>
      </c>
      <c r="I3461" s="16" t="n">
        <v>1</v>
      </c>
      <c r="J3461" s="17" t="n">
        <v>29</v>
      </c>
      <c r="K3461" s="17" t="n">
        <v>42.11</v>
      </c>
      <c r="L3461" s="17" t="n">
        <v>25.86</v>
      </c>
      <c r="M3461" s="17" t="n">
        <v>0</v>
      </c>
      <c r="N3461" s="17">
        <f>K3461*0.08+L3461*0.08</f>
        <v/>
      </c>
      <c r="O3461" s="17">
        <f>-(K3461*0.025+L3461*0.025)</f>
        <v/>
      </c>
      <c r="P3461" s="17">
        <f>32</f>
        <v/>
      </c>
      <c r="Q3461" s="17">
        <f>J3461+L3461+N3461+O3461-P3461-M3461</f>
        <v/>
      </c>
    </row>
    <row r="3462">
      <c r="A3462" s="16" t="inlineStr">
        <is>
          <t>5.29-6.4</t>
        </is>
      </c>
      <c r="B3462" s="16" t="inlineStr">
        <is>
          <t>PO-128-18583188470393378</t>
        </is>
      </c>
      <c r="C3462" s="16" t="inlineStr">
        <is>
          <t>Shipped</t>
        </is>
      </c>
      <c r="D3462" s="16" t="inlineStr">
        <is>
          <t>128-18583167498873378</t>
        </is>
      </c>
      <c r="E3462" s="16" t="inlineStr">
        <is>
          <t>Shipped</t>
        </is>
      </c>
      <c r="F3462" s="16" t="inlineStr">
        <is>
          <t>MCM-001N</t>
        </is>
      </c>
      <c r="G3462" s="16" t="inlineStr">
        <is>
          <t>Musicord Altavoz Inalámbrico BT Portátil: ¡Sonido impactante, luces LED multicolores y 4 horas de autonomía! Compatible con TWS, FM, TF y USB – Imprescindible para fiestas y viajes</t>
        </is>
      </c>
      <c r="H3462" s="16" t="inlineStr">
        <is>
          <t>NEGRO</t>
        </is>
      </c>
      <c r="I3462" s="16" t="n">
        <v>1</v>
      </c>
      <c r="J3462" s="17" t="n">
        <v>52</v>
      </c>
      <c r="K3462" s="17" t="n">
        <v>63.28</v>
      </c>
      <c r="L3462" s="17" t="n">
        <v>25.86</v>
      </c>
      <c r="M3462" s="17" t="n">
        <v>0</v>
      </c>
      <c r="N3462" s="17">
        <f>K3462*0.08+L3462*0.08</f>
        <v/>
      </c>
      <c r="O3462" s="17">
        <f>-(K3462*0.025+L3462*0.025)</f>
        <v/>
      </c>
      <c r="P3462" s="17">
        <f>32</f>
        <v/>
      </c>
      <c r="Q3462" s="17">
        <f>J3462+L3462+N3462+O3462-P3462-M3462</f>
        <v/>
      </c>
    </row>
    <row r="3463">
      <c r="A3463" s="16" t="inlineStr">
        <is>
          <t>5.29-6.4</t>
        </is>
      </c>
      <c r="B3463" s="16" t="inlineStr">
        <is>
          <t>PO-128-18852424899192927</t>
        </is>
      </c>
      <c r="C3463" s="16" t="inlineStr">
        <is>
          <t>Shipped</t>
        </is>
      </c>
      <c r="D3463" s="16" t="inlineStr">
        <is>
          <t>128-18852529756792927</t>
        </is>
      </c>
      <c r="E3463" s="16" t="inlineStr">
        <is>
          <t>Shipped</t>
        </is>
      </c>
      <c r="F3463" s="16" t="inlineStr">
        <is>
          <t>LB02235-rojo</t>
        </is>
      </c>
      <c r="G3463" s="16" t="inlineStr">
        <is>
          <t>Audífonos Inalámbricos para la Cabeza, Recargables y Multifuncionales - Conectan a Varios Dispositivos, soportan Radio FM, Tarjeta TF y AUX - 4 Horas de Reproducción Musical - Ideal para Trabajo Cotidiano, Juegos y Estudio</t>
        </is>
      </c>
      <c r="H3463" s="16" t="inlineStr">
        <is>
          <t>ROJO</t>
        </is>
      </c>
      <c r="I3463" s="16" t="n">
        <v>1</v>
      </c>
      <c r="J3463" s="17" t="n">
        <v>36.8</v>
      </c>
      <c r="K3463" s="17" t="n">
        <v>49.91</v>
      </c>
      <c r="L3463" s="17" t="n">
        <v>25.86</v>
      </c>
      <c r="M3463" s="17" t="n">
        <v>0</v>
      </c>
      <c r="N3463" s="17">
        <f>K3463*0.08+L3463*0.08</f>
        <v/>
      </c>
      <c r="O3463" s="17">
        <f>-(K3463*0.025+L3463*0.025)</f>
        <v/>
      </c>
      <c r="P3463" s="17">
        <f>32</f>
        <v/>
      </c>
      <c r="Q3463" s="17">
        <f>J3463+L3463+N3463+O3463-P3463-M3463</f>
        <v/>
      </c>
    </row>
    <row r="3464">
      <c r="A3464" s="16" t="inlineStr">
        <is>
          <t>5.29-6.4</t>
        </is>
      </c>
      <c r="B3464" s="16" t="inlineStr">
        <is>
          <t>PO-128-18653491958394049</t>
        </is>
      </c>
      <c r="C3464" s="16" t="inlineStr">
        <is>
          <t>Shipped</t>
        </is>
      </c>
      <c r="D3464" s="16" t="inlineStr">
        <is>
          <t>128-18653533901434049</t>
        </is>
      </c>
      <c r="E3464" s="16" t="inlineStr">
        <is>
          <t>Shipped</t>
        </is>
      </c>
      <c r="F3464" s="16" t="inlineStr">
        <is>
          <t>S39W48-5PZS</t>
        </is>
      </c>
      <c r="G3464"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3464" s="16" t="inlineStr">
        <is>
          <t>5 piezas</t>
        </is>
      </c>
      <c r="I3464" s="16" t="n">
        <v>1</v>
      </c>
      <c r="J3464" s="17" t="n">
        <v>150</v>
      </c>
      <c r="K3464" s="17" t="n">
        <v>209.87</v>
      </c>
      <c r="L3464" s="17" t="n">
        <v>25.86</v>
      </c>
      <c r="M3464" s="17" t="n">
        <v>0</v>
      </c>
      <c r="N3464" s="17">
        <f>K3464*0.08+L3464*0.08</f>
        <v/>
      </c>
      <c r="O3464" s="17">
        <f>-(K3464*0.025+L3464*0.025)</f>
        <v/>
      </c>
      <c r="P3464" s="17">
        <f>32</f>
        <v/>
      </c>
      <c r="Q3464" s="17">
        <f>J3464+L3464+N3464+O3464-P3464-M3464</f>
        <v/>
      </c>
    </row>
    <row r="3465">
      <c r="A3465" s="16" t="inlineStr">
        <is>
          <t>5.29-6.4</t>
        </is>
      </c>
      <c r="B3465" s="16" t="inlineStr">
        <is>
          <t>PO-128-18958955950711266</t>
        </is>
      </c>
      <c r="C3465" s="16" t="inlineStr">
        <is>
          <t>Shipped</t>
        </is>
      </c>
      <c r="D3465" s="16" t="inlineStr">
        <is>
          <t>128-18958976922231266</t>
        </is>
      </c>
      <c r="E3465" s="16" t="inlineStr">
        <is>
          <t>Shipped</t>
        </is>
      </c>
      <c r="F3465" s="16" t="inlineStr">
        <is>
          <t>LB02235-rojo</t>
        </is>
      </c>
      <c r="G3465" s="16" t="inlineStr">
        <is>
          <t>Audífonos Inalámbricos para la Cabeza, Recargables y Multifuncionales - Conectan a Varios Dispositivos, soportan Radio FM, Tarjeta TF y AUX - 4 Horas de Reproducción Musical - Ideal para Trabajo Cotidiano, Juegos y Estudio</t>
        </is>
      </c>
      <c r="H3465" s="16" t="inlineStr">
        <is>
          <t>ROJO</t>
        </is>
      </c>
      <c r="I3465" s="16" t="n">
        <v>1</v>
      </c>
      <c r="J3465" s="17" t="n">
        <v>36.8</v>
      </c>
      <c r="K3465" s="17" t="n">
        <v>49.91</v>
      </c>
      <c r="L3465" s="17" t="n">
        <v>25.86</v>
      </c>
      <c r="M3465" s="17" t="n">
        <v>0</v>
      </c>
      <c r="N3465" s="17">
        <f>K3465*0.08+L3465*0.08</f>
        <v/>
      </c>
      <c r="O3465" s="17">
        <f>-(K3465*0.025+L3465*0.025)</f>
        <v/>
      </c>
      <c r="P3465" s="17">
        <f>32</f>
        <v/>
      </c>
      <c r="Q3465" s="17">
        <f>J3465+L3465+N3465+O3465-P3465-M3465</f>
        <v/>
      </c>
    </row>
    <row r="3466">
      <c r="A3466" s="16" t="inlineStr">
        <is>
          <t>5.29-6.4</t>
        </is>
      </c>
      <c r="B3466" s="16" t="inlineStr">
        <is>
          <t>PO-128-18592850750073448</t>
        </is>
      </c>
      <c r="C3466" s="16" t="inlineStr">
        <is>
          <t>Shipped</t>
        </is>
      </c>
      <c r="D3466" s="16" t="inlineStr">
        <is>
          <t>128-18593010657913448</t>
        </is>
      </c>
      <c r="E3466" s="16" t="inlineStr">
        <is>
          <t>Shipped</t>
        </is>
      </c>
      <c r="F3466" s="16" t="inlineStr">
        <is>
          <t>VA384T-G</t>
        </is>
      </c>
      <c r="G3466" s="16" t="inlineStr">
        <is>
          <t>Bocina Portátil Bluetooth de 3 Pulgadas con Radio FM, USB TF TWS, Sonido Estéreo 5W, Bocina Recargable para Hogar Exterior Viaje Fiesta Camping</t>
        </is>
      </c>
      <c r="H3466" s="16" t="inlineStr">
        <is>
          <t>GRIS</t>
        </is>
      </c>
      <c r="I3466" s="16" t="n">
        <v>1</v>
      </c>
      <c r="J3466" s="17" t="n">
        <v>49</v>
      </c>
      <c r="K3466" s="17" t="n">
        <v>59.72</v>
      </c>
      <c r="L3466" s="17" t="n">
        <v>25.86</v>
      </c>
      <c r="M3466" s="17" t="n">
        <v>0</v>
      </c>
      <c r="N3466" s="17">
        <f>K3466*0.08+L3466*0.08</f>
        <v/>
      </c>
      <c r="O3466" s="17">
        <f>-(K3466*0.025+L3466*0.025)</f>
        <v/>
      </c>
      <c r="P3466" s="17">
        <f>32</f>
        <v/>
      </c>
      <c r="Q3466" s="17">
        <f>J3466+L3466+N3466+O3466-P3466-M3466</f>
        <v/>
      </c>
    </row>
    <row r="3467">
      <c r="A3467" s="16" t="inlineStr">
        <is>
          <t>5.29-6.4</t>
        </is>
      </c>
      <c r="B3467" s="16" t="inlineStr">
        <is>
          <t>PO-128-18767582413432409</t>
        </is>
      </c>
      <c r="C3467" s="16" t="inlineStr">
        <is>
          <t>Shipped</t>
        </is>
      </c>
      <c r="D3467" s="16" t="inlineStr">
        <is>
          <t>128-18767662367352409</t>
        </is>
      </c>
      <c r="E3467" s="16" t="inlineStr">
        <is>
          <t>Shipped</t>
        </is>
      </c>
      <c r="F3467" s="16" t="inlineStr">
        <is>
          <t>SA325T</t>
        </is>
      </c>
      <c r="G3467" s="16" t="inlineStr">
        <is>
          <t>Subwoofer Portátil Inalámbrico con Luces RGB, Sonido de Alta Potencia y Batería Duradera, TWS TF USB, Perfecto para Campamento Fiestas y Entretenimiento en Casa</t>
        </is>
      </c>
      <c r="H3467" s="16" t="inlineStr">
        <is>
          <t>NEGRO</t>
        </is>
      </c>
      <c r="I3467" s="16" t="n">
        <v>1</v>
      </c>
      <c r="J3467" s="17" t="n">
        <v>38</v>
      </c>
      <c r="K3467" s="17" t="n">
        <v>47.04</v>
      </c>
      <c r="L3467" s="17" t="n">
        <v>25.86</v>
      </c>
      <c r="M3467" s="17" t="n">
        <v>0</v>
      </c>
      <c r="N3467" s="17">
        <f>K3467*0.08+L3467*0.08</f>
        <v/>
      </c>
      <c r="O3467" s="17">
        <f>-(K3467*0.025+L3467*0.025)</f>
        <v/>
      </c>
      <c r="P3467" s="17">
        <f>32</f>
        <v/>
      </c>
      <c r="Q3467" s="17">
        <f>J3467+L3467+N3467+O3467-P3467-M3467</f>
        <v/>
      </c>
    </row>
    <row r="3468">
      <c r="A3468" s="16" t="inlineStr">
        <is>
          <t>5.29-6.4</t>
        </is>
      </c>
      <c r="B3468" s="16" t="inlineStr">
        <is>
          <t>PO-128-18959007365751266</t>
        </is>
      </c>
      <c r="C3468" s="16" t="inlineStr">
        <is>
          <t>Shipped</t>
        </is>
      </c>
      <c r="D3468" s="16" t="inlineStr">
        <is>
          <t>128-18958965422711266</t>
        </is>
      </c>
      <c r="E3468" s="16" t="inlineStr">
        <is>
          <t>Shipped</t>
        </is>
      </c>
      <c r="F3468" s="16" t="inlineStr">
        <is>
          <t>KTS-1678R</t>
        </is>
      </c>
      <c r="G3468" s="16" t="inlineStr">
        <is>
          <t>Bocina portátil Inalámbrico, de 3 pulgadas, tamaño de bolsillo, 170 g, con asa, compatible con TF, USB y Micro SD, con radio FM y función TWS (True Wireless Stereo), adecuada para relajarse en casa o viajar al aire libre.</t>
        </is>
      </c>
      <c r="H3468" s="16" t="inlineStr">
        <is>
          <t>KTS-1678R</t>
        </is>
      </c>
      <c r="I3468" s="16" t="n">
        <v>1</v>
      </c>
      <c r="J3468" s="17" t="n">
        <v>42.5</v>
      </c>
      <c r="K3468" s="17" t="n">
        <v>71.91</v>
      </c>
      <c r="L3468" s="17" t="n">
        <v>25.86</v>
      </c>
      <c r="M3468" s="17" t="n">
        <v>0</v>
      </c>
      <c r="N3468" s="17">
        <f>K3468*0.08+L3468*0.08</f>
        <v/>
      </c>
      <c r="O3468" s="17">
        <f>-(K3468*0.025+L3468*0.025)</f>
        <v/>
      </c>
      <c r="P3468" s="17">
        <f>32</f>
        <v/>
      </c>
      <c r="Q3468" s="17">
        <f>J3468+L3468+N3468+O3468-P3468-M3468</f>
        <v/>
      </c>
    </row>
    <row r="3469">
      <c r="A3469" s="16" t="inlineStr">
        <is>
          <t>5.29-6.4</t>
        </is>
      </c>
      <c r="B3469" s="16" t="inlineStr">
        <is>
          <t>PO-128-19058533192311571</t>
        </is>
      </c>
      <c r="C3469" s="16" t="inlineStr">
        <is>
          <t>Shipped</t>
        </is>
      </c>
      <c r="D3469" s="16" t="inlineStr">
        <is>
          <t>128-19058522706551571</t>
        </is>
      </c>
      <c r="E3469" s="16" t="inlineStr">
        <is>
          <t>Shipped</t>
        </is>
      </c>
      <c r="F3469" s="16" t="inlineStr">
        <is>
          <t>LV34W04</t>
        </is>
      </c>
      <c r="G346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469" s="16" t="inlineStr">
        <is>
          <t>LV34W04</t>
        </is>
      </c>
      <c r="I3469" s="16" t="n">
        <v>1</v>
      </c>
      <c r="J3469" s="17" t="n">
        <v>230.3</v>
      </c>
      <c r="K3469" s="17" t="n">
        <v>257.65</v>
      </c>
      <c r="L3469" s="17" t="n">
        <v>25.86</v>
      </c>
      <c r="M3469" s="17" t="n">
        <v>0</v>
      </c>
      <c r="N3469" s="17">
        <f>K3469*0.08+L3469*0.08</f>
        <v/>
      </c>
      <c r="O3469" s="17">
        <f>-(K3469*0.025+L3469*0.025)</f>
        <v/>
      </c>
      <c r="P3469" s="17">
        <f>32</f>
        <v/>
      </c>
      <c r="Q3469" s="17">
        <f>J3469+L3469+N3469+O3469-P3469-M3469</f>
        <v/>
      </c>
    </row>
    <row r="3470">
      <c r="A3470" s="16" t="inlineStr">
        <is>
          <t>5.29-6.4</t>
        </is>
      </c>
      <c r="B3470" s="16" t="inlineStr">
        <is>
          <t>PO-128-18647110124154023</t>
        </is>
      </c>
      <c r="C3470" s="16" t="inlineStr">
        <is>
          <t>Shipped</t>
        </is>
      </c>
      <c r="D3470" s="16" t="inlineStr">
        <is>
          <t>128-18647152067194023</t>
        </is>
      </c>
      <c r="E3470" s="16" t="inlineStr">
        <is>
          <t>Shipped</t>
        </is>
      </c>
      <c r="F3470" s="16" t="inlineStr">
        <is>
          <t>LB02235-azul</t>
        </is>
      </c>
      <c r="G3470" s="16" t="inlineStr">
        <is>
          <t>Audífonos Inalámbricos para la Cabeza, Recargables y Multifuncionales - Conectan a Varios Dispositivos, soportan Radio FM, Tarjeta TF y AUX - 4 Horas de Reproducción Musical - Ideal para Trabajo Cotidiano, Juegos y Estudio</t>
        </is>
      </c>
      <c r="H3470" s="16" t="inlineStr">
        <is>
          <t>AZUL</t>
        </is>
      </c>
      <c r="I3470" s="16" t="n">
        <v>1</v>
      </c>
      <c r="J3470" s="17" t="n">
        <v>29</v>
      </c>
      <c r="K3470" s="17" t="n">
        <v>21.06</v>
      </c>
      <c r="L3470" s="17" t="n">
        <v>25.86</v>
      </c>
      <c r="M3470" s="17" t="n">
        <v>0</v>
      </c>
      <c r="N3470" s="17">
        <f>K3470*0.08+L3470*0.08</f>
        <v/>
      </c>
      <c r="O3470" s="17">
        <f>-(K3470*0.025+L3470*0.025)</f>
        <v/>
      </c>
      <c r="P3470" s="17">
        <f>32</f>
        <v/>
      </c>
      <c r="Q3470" s="17">
        <f>J3470+L3470+N3470+O3470-P3470-M3470</f>
        <v/>
      </c>
    </row>
    <row r="3471">
      <c r="A3471" s="16" t="inlineStr">
        <is>
          <t>5.29-6.4</t>
        </is>
      </c>
      <c r="B3471" s="16" t="inlineStr">
        <is>
          <t>PO-128-18830993654393055</t>
        </is>
      </c>
      <c r="C3471" s="16" t="inlineStr">
        <is>
          <t>Shipped</t>
        </is>
      </c>
      <c r="D3471" s="16" t="inlineStr">
        <is>
          <t>128-18831035597433055</t>
        </is>
      </c>
      <c r="E3471" s="16" t="inlineStr">
        <is>
          <t>Shipped</t>
        </is>
      </c>
      <c r="F3471" s="16" t="inlineStr">
        <is>
          <t>MB-185A</t>
        </is>
      </c>
      <c r="G3471" s="16" t="inlineStr">
        <is>
          <t>Bocina Radio FM/Reproductor, Compatible con Tarjeta TF, USB, Bluetooth, Aplicable para celular, computadora, Ipad y consola.</t>
        </is>
      </c>
      <c r="H3471" s="16" t="inlineStr">
        <is>
          <t>AZUL/MB-185</t>
        </is>
      </c>
      <c r="I3471" s="16" t="n">
        <v>1</v>
      </c>
      <c r="J3471" s="17" t="n">
        <v>73</v>
      </c>
      <c r="K3471" s="17" t="n">
        <v>85.94</v>
      </c>
      <c r="L3471" s="17" t="n">
        <v>25.86</v>
      </c>
      <c r="M3471" s="17" t="n">
        <v>0</v>
      </c>
      <c r="N3471" s="17">
        <f>K3471*0.08+L3471*0.08</f>
        <v/>
      </c>
      <c r="O3471" s="17">
        <f>-(K3471*0.025+L3471*0.025)</f>
        <v/>
      </c>
      <c r="P3471" s="17">
        <f>32</f>
        <v/>
      </c>
      <c r="Q3471" s="17">
        <f>J3471+L3471+N3471+O3471-P3471-M3471</f>
        <v/>
      </c>
    </row>
    <row r="3472">
      <c r="A3472" s="16" t="inlineStr">
        <is>
          <t>5.29-6.4</t>
        </is>
      </c>
      <c r="B3472" s="16" t="inlineStr">
        <is>
          <t>PO-128-18618067190393298</t>
        </is>
      </c>
      <c r="C3472" s="16" t="inlineStr">
        <is>
          <t>Shipped</t>
        </is>
      </c>
      <c r="D3472" s="16" t="inlineStr">
        <is>
          <t>128-18618109133433298</t>
        </is>
      </c>
      <c r="E3472" s="16" t="inlineStr">
        <is>
          <t>Shipped</t>
        </is>
      </c>
      <c r="F3472" s="16" t="inlineStr">
        <is>
          <t>LB02235-blanco</t>
        </is>
      </c>
      <c r="G3472" s="16" t="inlineStr">
        <is>
          <t>Audífonos Inalámbricos para la Cabeza, Recargables y Multifuncionales - Conectan a Varios Dispositivos, soportan Radio FM, Tarjeta TF y AUX - 4 Horas de Reproducción Musical - Ideal para Trabajo Cotidiano, Juegos y Estudio</t>
        </is>
      </c>
      <c r="H3472" s="16" t="inlineStr">
        <is>
          <t>BLANCO</t>
        </is>
      </c>
      <c r="I3472" s="16" t="n">
        <v>1</v>
      </c>
      <c r="J3472" s="17" t="n">
        <v>36.8</v>
      </c>
      <c r="K3472" s="17" t="n">
        <v>49.91</v>
      </c>
      <c r="L3472" s="17" t="n">
        <v>25.86</v>
      </c>
      <c r="M3472" s="17" t="n">
        <v>0</v>
      </c>
      <c r="N3472" s="17">
        <f>K3472*0.08+L3472*0.08</f>
        <v/>
      </c>
      <c r="O3472" s="17">
        <f>-(K3472*0.025+L3472*0.025)</f>
        <v/>
      </c>
      <c r="P3472" s="17">
        <f>32</f>
        <v/>
      </c>
      <c r="Q3472" s="17">
        <f>J3472+L3472+N3472+O3472-P3472-M3472</f>
        <v/>
      </c>
    </row>
    <row r="3473">
      <c r="A3473" s="16" t="inlineStr">
        <is>
          <t>5.29-6.4</t>
        </is>
      </c>
      <c r="B3473" s="16" t="inlineStr">
        <is>
          <t>PO-128-18599736709753217</t>
        </is>
      </c>
      <c r="C3473" s="16" t="inlineStr">
        <is>
          <t>Shipped</t>
        </is>
      </c>
      <c r="D3473" s="16" t="inlineStr">
        <is>
          <t>128-18599873024633217</t>
        </is>
      </c>
      <c r="E3473" s="16" t="inlineStr">
        <is>
          <t>Shipped</t>
        </is>
      </c>
      <c r="F3473" s="16" t="inlineStr">
        <is>
          <t>LB02235-blanco</t>
        </is>
      </c>
      <c r="G3473" s="16" t="inlineStr">
        <is>
          <t>Audífonos Inalámbricos para la Cabeza, Recargables y Multifuncionales - Conectan a Varios Dispositivos, soportan Radio FM, Tarjeta TF y AUX - 4 Horas de Reproducción Musical - Ideal para Trabajo Cotidiano, Juegos y Estudio</t>
        </is>
      </c>
      <c r="H3473" s="16" t="inlineStr">
        <is>
          <t>BLANCO</t>
        </is>
      </c>
      <c r="I3473" s="16" t="n">
        <v>1</v>
      </c>
      <c r="J3473" s="17" t="n">
        <v>36.8</v>
      </c>
      <c r="K3473" s="17" t="n">
        <v>49.91</v>
      </c>
      <c r="L3473" s="17" t="n">
        <v>25.86</v>
      </c>
      <c r="M3473" s="17" t="n">
        <v>0</v>
      </c>
      <c r="N3473" s="17">
        <f>K3473*0.08+L3473*0.08</f>
        <v/>
      </c>
      <c r="O3473" s="17">
        <f>-(K3473*0.025+L3473*0.025)</f>
        <v/>
      </c>
      <c r="P3473" s="17">
        <f>32</f>
        <v/>
      </c>
      <c r="Q3473" s="17">
        <f>J3473+L3473+N3473+O3473-P3473-M3473</f>
        <v/>
      </c>
    </row>
    <row r="3474">
      <c r="A3474" s="16" t="inlineStr">
        <is>
          <t>5.29-6.4</t>
        </is>
      </c>
      <c r="B3474" s="16" t="inlineStr">
        <is>
          <t>PO-128-19118412769910188</t>
        </is>
      </c>
      <c r="C3474" s="16" t="inlineStr">
        <is>
          <t>Shipped</t>
        </is>
      </c>
      <c r="D3474" s="16" t="inlineStr">
        <is>
          <t>128-19118465198710188</t>
        </is>
      </c>
      <c r="E3474" s="16" t="inlineStr">
        <is>
          <t>Shipped</t>
        </is>
      </c>
      <c r="F3474" s="16" t="inlineStr">
        <is>
          <t>MCM-001R</t>
        </is>
      </c>
      <c r="G3474" s="16" t="inlineStr">
        <is>
          <t>Musicord Altavoz Inalámbrico BT Portátil: ¡Sonido impactante, luces LED multicolores y 4 horas de autonomía! Compatible con TWS, FM, TF y USB – Imprescindible para fiestas y viajes</t>
        </is>
      </c>
      <c r="H3474" s="16" t="inlineStr">
        <is>
          <t>ROJO</t>
        </is>
      </c>
      <c r="I3474" s="16" t="n">
        <v>1</v>
      </c>
      <c r="J3474" s="17" t="n">
        <v>59</v>
      </c>
      <c r="K3474" s="17" t="n">
        <v>56.23</v>
      </c>
      <c r="L3474" s="17" t="n">
        <v>25.86</v>
      </c>
      <c r="M3474" s="17" t="n">
        <v>0</v>
      </c>
      <c r="N3474" s="17">
        <f>K3474*0.08+L3474*0.08</f>
        <v/>
      </c>
      <c r="O3474" s="17">
        <f>-(K3474*0.025+L3474*0.025)</f>
        <v/>
      </c>
      <c r="P3474" s="17">
        <f>32</f>
        <v/>
      </c>
      <c r="Q3474" s="17">
        <f>J3474+L3474+N3474+O3474-P3474-M3474</f>
        <v/>
      </c>
    </row>
    <row r="3475">
      <c r="A3475" s="16" t="inlineStr">
        <is>
          <t>5.29-6.4</t>
        </is>
      </c>
      <c r="B3475" s="16" t="inlineStr">
        <is>
          <t>PO-128-18832075633273049</t>
        </is>
      </c>
      <c r="C3475" s="16" t="inlineStr">
        <is>
          <t>Shipped</t>
        </is>
      </c>
      <c r="D3475" s="16" t="inlineStr">
        <is>
          <t>128-18832054661753049</t>
        </is>
      </c>
      <c r="E3475" s="16" t="inlineStr">
        <is>
          <t>Shipped</t>
        </is>
      </c>
      <c r="F3475" s="16" t="inlineStr">
        <is>
          <t>LB02235-azul</t>
        </is>
      </c>
      <c r="G3475" s="16" t="inlineStr">
        <is>
          <t>Audífonos Inalámbricos para la Cabeza, Recargables y Multifuncionales - Conectan a Varios Dispositivos, soportan Radio FM, Tarjeta TF y AUX - 4 Horas de Reproducción Musical - Ideal para Trabajo Cotidiano, Juegos y Estudio</t>
        </is>
      </c>
      <c r="H3475" s="16" t="inlineStr">
        <is>
          <t>AZUL</t>
        </is>
      </c>
      <c r="I3475" s="16" t="n">
        <v>1</v>
      </c>
      <c r="J3475" s="17" t="n">
        <v>29</v>
      </c>
      <c r="K3475" s="17" t="n">
        <v>42.11</v>
      </c>
      <c r="L3475" s="17" t="n">
        <v>25.86</v>
      </c>
      <c r="M3475" s="17" t="n">
        <v>0</v>
      </c>
      <c r="N3475" s="17">
        <f>K3475*0.08+L3475*0.08</f>
        <v/>
      </c>
      <c r="O3475" s="17">
        <f>-(K3475*0.025+L3475*0.025)</f>
        <v/>
      </c>
      <c r="P3475" s="17">
        <f>32</f>
        <v/>
      </c>
      <c r="Q3475" s="17">
        <f>J3475+L3475+N3475+O3475-P3475-M3475</f>
        <v/>
      </c>
    </row>
    <row r="3476">
      <c r="A3476" s="16" t="inlineStr">
        <is>
          <t>5.29-6.4</t>
        </is>
      </c>
      <c r="B3476" s="16" t="inlineStr">
        <is>
          <t>PO-128-19161898849910955</t>
        </is>
      </c>
      <c r="C3476" s="16" t="inlineStr">
        <is>
          <t>Shipped</t>
        </is>
      </c>
      <c r="D3476" s="16" t="inlineStr">
        <is>
          <t>128-19161856906870955</t>
        </is>
      </c>
      <c r="E3476" s="16" t="inlineStr">
        <is>
          <t>Shipped</t>
        </is>
      </c>
      <c r="F3476" s="16" t="inlineStr">
        <is>
          <t>LB02235-negro</t>
        </is>
      </c>
      <c r="G3476" s="16" t="inlineStr">
        <is>
          <t>Audífonos Inalámbricos para la Cabeza, Recargables y Multifuncionales - Conectan a Varios Dispositivos, soportan Radio FM, Tarjeta TF y AUX - 4 Horas de Reproducción Musical - Ideal para Trabajo Cotidiano, Juegos y Estudio</t>
        </is>
      </c>
      <c r="H3476" s="16" t="inlineStr">
        <is>
          <t>NEGRO</t>
        </is>
      </c>
      <c r="I3476" s="16" t="n">
        <v>1</v>
      </c>
      <c r="J3476" s="17" t="n">
        <v>36.8</v>
      </c>
      <c r="K3476" s="17" t="n">
        <v>49.91</v>
      </c>
      <c r="L3476" s="17" t="n">
        <v>25.86</v>
      </c>
      <c r="M3476" s="17" t="n">
        <v>0</v>
      </c>
      <c r="N3476" s="17">
        <f>K3476*0.08+L3476*0.08</f>
        <v/>
      </c>
      <c r="O3476" s="17">
        <f>-(K3476*0.025+L3476*0.025)</f>
        <v/>
      </c>
      <c r="P3476" s="17">
        <f>32</f>
        <v/>
      </c>
      <c r="Q3476" s="17">
        <f>J3476+L3476+N3476+O3476-P3476-M3476</f>
        <v/>
      </c>
    </row>
    <row r="3477">
      <c r="A3477" s="16" t="inlineStr">
        <is>
          <t>5.29-6.4</t>
        </is>
      </c>
      <c r="B3477" s="16" t="inlineStr">
        <is>
          <t>PO-128-19077868933750430</t>
        </is>
      </c>
      <c r="C3477" s="16" t="inlineStr">
        <is>
          <t>Shipped</t>
        </is>
      </c>
      <c r="D3477" s="16" t="inlineStr">
        <is>
          <t>128-19077826990710430</t>
        </is>
      </c>
      <c r="E3477" s="16" t="inlineStr">
        <is>
          <t>Shipped</t>
        </is>
      </c>
      <c r="F3477" s="16" t="inlineStr">
        <is>
          <t>MB-185R</t>
        </is>
      </c>
      <c r="G3477" s="16" t="inlineStr">
        <is>
          <t>Bocina Radio FM/Reproductor, Compatible con Tarjeta TF, USB, Bluetooth, Aplicable para celular, computadora, Ipad y consola.</t>
        </is>
      </c>
      <c r="H3477" s="16" t="inlineStr">
        <is>
          <t>ROJO/MB-185</t>
        </is>
      </c>
      <c r="I3477" s="16" t="n">
        <v>1</v>
      </c>
      <c r="J3477" s="17" t="n">
        <v>75.59999999999999</v>
      </c>
      <c r="K3477" s="17" t="n">
        <v>88.53</v>
      </c>
      <c r="L3477" s="17" t="n">
        <v>25.86</v>
      </c>
      <c r="M3477" s="17" t="n">
        <v>0</v>
      </c>
      <c r="N3477" s="17">
        <f>K3477*0.08+L3477*0.08</f>
        <v/>
      </c>
      <c r="O3477" s="17">
        <f>-(K3477*0.025+L3477*0.025)</f>
        <v/>
      </c>
      <c r="P3477" s="17">
        <f>32</f>
        <v/>
      </c>
      <c r="Q3477" s="17">
        <f>J3477+L3477+N3477+O3477-P3477-M3477</f>
        <v/>
      </c>
    </row>
    <row r="3478">
      <c r="A3478" s="16" t="inlineStr">
        <is>
          <t>5.29-6.4</t>
        </is>
      </c>
      <c r="B3478" s="16" t="inlineStr">
        <is>
          <t>PO-128-18858637322872696</t>
        </is>
      </c>
      <c r="C3478" s="16" t="inlineStr">
        <is>
          <t>Shipped</t>
        </is>
      </c>
      <c r="D3478" s="16" t="inlineStr">
        <is>
          <t>128-18858626837112696</t>
        </is>
      </c>
      <c r="E3478" s="16" t="inlineStr">
        <is>
          <t>Shipped</t>
        </is>
      </c>
      <c r="F3478" s="16" t="inlineStr">
        <is>
          <t>LB02235-negro</t>
        </is>
      </c>
      <c r="G3478" s="16" t="inlineStr">
        <is>
          <t>Audífonos Inalámbricos para la Cabeza, Recargables y Multifuncionales - Conectan a Varios Dispositivos, soportan Radio FM, Tarjeta TF y AUX - 4 Horas de Reproducción Musical - Ideal para Trabajo Cotidiano, Juegos y Estudio</t>
        </is>
      </c>
      <c r="H3478" s="16" t="inlineStr">
        <is>
          <t>NEGRO</t>
        </is>
      </c>
      <c r="I3478" s="16" t="n">
        <v>3</v>
      </c>
      <c r="J3478" s="17" t="n">
        <v>110.4</v>
      </c>
      <c r="K3478" s="17" t="n">
        <v>149.73</v>
      </c>
      <c r="L3478" s="17" t="n">
        <v>0</v>
      </c>
      <c r="M3478" s="17" t="n">
        <v>0</v>
      </c>
      <c r="N3478" s="17">
        <f>K3478*0.08+L3478*0.08</f>
        <v/>
      </c>
      <c r="O3478" s="17">
        <f>-(K3478*0.025+L3478*0.025)</f>
        <v/>
      </c>
      <c r="P3478" s="17">
        <f>32</f>
        <v/>
      </c>
      <c r="Q3478" s="17">
        <f>J3478+L3478+N3478+O3478-P3478-M3478</f>
        <v/>
      </c>
    </row>
    <row r="3479">
      <c r="A3479" s="16" t="inlineStr">
        <is>
          <t>5.29-6.4</t>
        </is>
      </c>
      <c r="B3479" s="16" t="inlineStr">
        <is>
          <t>PO-128-18858637322872696</t>
        </is>
      </c>
      <c r="C3479" s="16" t="inlineStr">
        <is>
          <t>Shipped</t>
        </is>
      </c>
      <c r="D3479" s="16" t="inlineStr">
        <is>
          <t>128-18858658294392696</t>
        </is>
      </c>
      <c r="E3479" s="16" t="inlineStr">
        <is>
          <t>Shipped</t>
        </is>
      </c>
      <c r="F3479" s="16" t="inlineStr">
        <is>
          <t>LB02235-blanco</t>
        </is>
      </c>
      <c r="G3479" s="16" t="inlineStr">
        <is>
          <t>Audífonos Inalámbricos para la Cabeza, Recargables y Multifuncionales - Conectan a Varios Dispositivos, soportan Radio FM, Tarjeta TF y AUX - 4 Horas de Reproducción Musical - Ideal para Trabajo Cotidiano, Juegos y Estudio</t>
        </is>
      </c>
      <c r="H3479" s="16" t="inlineStr">
        <is>
          <t>BLANCO</t>
        </is>
      </c>
      <c r="I3479" s="16" t="n">
        <v>3</v>
      </c>
      <c r="J3479" s="17" t="n">
        <v>110.4</v>
      </c>
      <c r="K3479" s="17" t="n">
        <v>149.73</v>
      </c>
      <c r="L3479" s="17" t="n">
        <v>0</v>
      </c>
      <c r="M3479" s="17" t="n">
        <v>0</v>
      </c>
      <c r="N3479" s="17">
        <f>K3479*0.08+L3479*0.08</f>
        <v/>
      </c>
      <c r="O3479" s="17">
        <f>-(K3479*0.025+L3479*0.025)</f>
        <v/>
      </c>
      <c r="P3479" s="17">
        <f>32</f>
        <v/>
      </c>
      <c r="Q3479" s="17">
        <f>J3479+L3479+N3479+O3479-P3479-M3479</f>
        <v/>
      </c>
    </row>
    <row r="3480">
      <c r="A3480" s="16" t="inlineStr">
        <is>
          <t>5.29-6.4</t>
        </is>
      </c>
      <c r="B3480" s="16" t="inlineStr">
        <is>
          <t>PO-128-18858637322872696</t>
        </is>
      </c>
      <c r="C3480" s="16" t="inlineStr">
        <is>
          <t>Shipped</t>
        </is>
      </c>
      <c r="D3480" s="16" t="inlineStr">
        <is>
          <t>128-18858700237432696</t>
        </is>
      </c>
      <c r="E3480" s="16" t="inlineStr">
        <is>
          <t>Shipped</t>
        </is>
      </c>
      <c r="F3480" s="16" t="inlineStr">
        <is>
          <t>LB02235-azul</t>
        </is>
      </c>
      <c r="G3480" s="16" t="inlineStr">
        <is>
          <t>Audífonos Inalámbricos para la Cabeza, Recargables y Multifuncionales - Conectan a Varios Dispositivos, soportan Radio FM, Tarjeta TF y AUX - 4 Horas de Reproducción Musical - Ideal para Trabajo Cotidiano, Juegos y Estudio</t>
        </is>
      </c>
      <c r="H3480" s="16" t="inlineStr">
        <is>
          <t>AZUL</t>
        </is>
      </c>
      <c r="I3480" s="16" t="n">
        <v>3</v>
      </c>
      <c r="J3480" s="17" t="n">
        <v>87</v>
      </c>
      <c r="K3480" s="17" t="n">
        <v>126.33</v>
      </c>
      <c r="L3480" s="17" t="n">
        <v>0</v>
      </c>
      <c r="M3480" s="17" t="n">
        <v>0</v>
      </c>
      <c r="N3480" s="17">
        <f>K3480*0.08+L3480*0.08</f>
        <v/>
      </c>
      <c r="O3480" s="17">
        <f>-(K3480*0.025+L3480*0.025)</f>
        <v/>
      </c>
      <c r="P3480" s="17">
        <f>32</f>
        <v/>
      </c>
      <c r="Q3480" s="17">
        <f>J3480+L3480+N3480+O3480-P3480-M3480</f>
        <v/>
      </c>
    </row>
    <row r="3481">
      <c r="A3481" s="16" t="inlineStr">
        <is>
          <t>5.29-6.4</t>
        </is>
      </c>
      <c r="B3481" s="16" t="inlineStr">
        <is>
          <t>PO-128-18858637322872696</t>
        </is>
      </c>
      <c r="C3481" s="16" t="inlineStr">
        <is>
          <t>Shipped</t>
        </is>
      </c>
      <c r="D3481" s="16" t="inlineStr">
        <is>
          <t>128-18858668780152696</t>
        </is>
      </c>
      <c r="E3481" s="16" t="inlineStr">
        <is>
          <t>Shipped</t>
        </is>
      </c>
      <c r="F3481" s="16" t="inlineStr">
        <is>
          <t>LB02235-rojo</t>
        </is>
      </c>
      <c r="G3481" s="16" t="inlineStr">
        <is>
          <t>Audífonos Inalámbricos para la Cabeza, Recargables y Multifuncionales - Conectan a Varios Dispositivos, soportan Radio FM, Tarjeta TF y AUX - 4 Horas de Reproducción Musical - Ideal para Trabajo Cotidiano, Juegos y Estudio</t>
        </is>
      </c>
      <c r="H3481" s="16" t="inlineStr">
        <is>
          <t>ROJO</t>
        </is>
      </c>
      <c r="I3481" s="16" t="n">
        <v>3</v>
      </c>
      <c r="J3481" s="17" t="n">
        <v>110.4</v>
      </c>
      <c r="K3481" s="17" t="n">
        <v>149.73</v>
      </c>
      <c r="L3481" s="17" t="n">
        <v>0</v>
      </c>
      <c r="M3481" s="17" t="n">
        <v>0</v>
      </c>
      <c r="N3481" s="17">
        <f>K3481*0.08+L3481*0.08</f>
        <v/>
      </c>
      <c r="O3481" s="17">
        <f>-(K3481*0.025+L3481*0.025)</f>
        <v/>
      </c>
      <c r="P3481" s="17">
        <f>32</f>
        <v/>
      </c>
      <c r="Q3481" s="17">
        <f>J3481+L3481+N3481+O3481-P3481-M3481</f>
        <v/>
      </c>
    </row>
    <row r="3482">
      <c r="A3482" s="16" t="inlineStr">
        <is>
          <t>5.29-6.4</t>
        </is>
      </c>
      <c r="B3482" s="16" t="inlineStr">
        <is>
          <t>PO-128-18859821507192691</t>
        </is>
      </c>
      <c r="C3482" s="16" t="inlineStr">
        <is>
          <t>Shipped</t>
        </is>
      </c>
      <c r="D3482" s="16" t="inlineStr">
        <is>
          <t>128-18859847721592691</t>
        </is>
      </c>
      <c r="E3482" s="16" t="inlineStr">
        <is>
          <t>Shipped</t>
        </is>
      </c>
      <c r="F3482" s="16" t="inlineStr">
        <is>
          <t>LB02235-blanco</t>
        </is>
      </c>
      <c r="G3482" s="16" t="inlineStr">
        <is>
          <t>Audífonos Inalámbricos para la Cabeza, Recargables y Multifuncionales - Conectan a Varios Dispositivos, soportan Radio FM, Tarjeta TF y AUX - 4 Horas de Reproducción Musical - Ideal para Trabajo Cotidiano, Juegos y Estudio</t>
        </is>
      </c>
      <c r="H3482" s="16" t="inlineStr">
        <is>
          <t>BLANCO</t>
        </is>
      </c>
      <c r="I3482" s="16" t="n">
        <v>1</v>
      </c>
      <c r="J3482" s="17" t="n">
        <v>36.8</v>
      </c>
      <c r="K3482" s="17" t="n">
        <v>42.43</v>
      </c>
      <c r="L3482" s="17" t="n">
        <v>25.86</v>
      </c>
      <c r="M3482" s="17" t="n">
        <v>0</v>
      </c>
      <c r="N3482" s="17">
        <f>K3482*0.08+L3482*0.08</f>
        <v/>
      </c>
      <c r="O3482" s="17">
        <f>-(K3482*0.025+L3482*0.025)</f>
        <v/>
      </c>
      <c r="P3482" s="17">
        <f>32</f>
        <v/>
      </c>
      <c r="Q3482" s="17">
        <f>J3482+L3482+N3482+O3482-P3482-M3482</f>
        <v/>
      </c>
    </row>
    <row r="3483">
      <c r="A3483" s="16" t="inlineStr">
        <is>
          <t>5.29-6.4</t>
        </is>
      </c>
      <c r="B3483" s="16" t="inlineStr">
        <is>
          <t>PO-128-18931343626871369</t>
        </is>
      </c>
      <c r="C3483" s="16" t="inlineStr">
        <is>
          <t>Shipped</t>
        </is>
      </c>
      <c r="D3483" s="16" t="inlineStr">
        <is>
          <t>128-18931396055671369</t>
        </is>
      </c>
      <c r="E3483" s="16" t="inlineStr">
        <is>
          <t>Shipped</t>
        </is>
      </c>
      <c r="F3483" s="16" t="inlineStr">
        <is>
          <t>MB-185N</t>
        </is>
      </c>
      <c r="G3483" s="16" t="inlineStr">
        <is>
          <t>Bocina Radio FM/Reproductor, Compatible con Tarjeta TF, USB, Bluetooth, Aplicable para celular, computadora, Ipad y consola.</t>
        </is>
      </c>
      <c r="H3483" s="16" t="inlineStr">
        <is>
          <t>NEGRO/MB-185</t>
        </is>
      </c>
      <c r="I3483" s="16" t="n">
        <v>1</v>
      </c>
      <c r="J3483" s="17" t="n">
        <v>75.5</v>
      </c>
      <c r="K3483" s="17" t="n">
        <v>70.76000000000001</v>
      </c>
      <c r="L3483" s="17" t="n">
        <v>25.86</v>
      </c>
      <c r="M3483" s="17" t="n">
        <v>0</v>
      </c>
      <c r="N3483" s="17">
        <f>K3483*0.08+L3483*0.08</f>
        <v/>
      </c>
      <c r="O3483" s="17">
        <f>-(K3483*0.025+L3483*0.025)</f>
        <v/>
      </c>
      <c r="P3483" s="17">
        <f>32</f>
        <v/>
      </c>
      <c r="Q3483" s="17">
        <f>J3483+L3483+N3483+O3483-P3483-M3483</f>
        <v/>
      </c>
    </row>
    <row r="3484">
      <c r="A3484" s="16" t="inlineStr">
        <is>
          <t>5.29-6.4</t>
        </is>
      </c>
      <c r="B3484" s="16" t="inlineStr">
        <is>
          <t>PO-128-19193902377590890</t>
        </is>
      </c>
      <c r="C3484" s="16" t="inlineStr">
        <is>
          <t>Shipped</t>
        </is>
      </c>
      <c r="D3484" s="16" t="inlineStr">
        <is>
          <t>128-19193954806390890</t>
        </is>
      </c>
      <c r="E3484" s="16" t="inlineStr">
        <is>
          <t>Shipped</t>
        </is>
      </c>
      <c r="F3484" s="16" t="inlineStr">
        <is>
          <t>FA028</t>
        </is>
      </c>
      <c r="G3484" s="16" t="inlineStr">
        <is>
          <t>Extractor de agua para garrafas de agua, compatible con carga USB, extractor de agua automático, práctico, con dos modos de toma de agua: manual y programado, ideal para dormitorios, salones, oficinas, uso al aire libre y otros escenarios.</t>
        </is>
      </c>
      <c r="H3484" s="16" t="inlineStr">
        <is>
          <t>FA028</t>
        </is>
      </c>
      <c r="I3484" s="16" t="n">
        <v>1</v>
      </c>
      <c r="J3484" s="17" t="n">
        <v>35</v>
      </c>
      <c r="K3484" s="17" t="n">
        <v>1.48</v>
      </c>
      <c r="L3484" s="17" t="n">
        <v>25.86</v>
      </c>
      <c r="M3484" s="17" t="n">
        <v>0</v>
      </c>
      <c r="N3484" s="17">
        <f>K3484*0.08+L3484*0.08</f>
        <v/>
      </c>
      <c r="O3484" s="17">
        <f>-(K3484*0.025+L3484*0.025)</f>
        <v/>
      </c>
      <c r="P3484" s="17">
        <f>32</f>
        <v/>
      </c>
      <c r="Q3484" s="17">
        <f>J3484+L3484+N3484+O3484-P3484-M3484</f>
        <v/>
      </c>
    </row>
    <row r="3485">
      <c r="A3485" s="16" t="inlineStr">
        <is>
          <t>5.29-6.4</t>
        </is>
      </c>
      <c r="B3485" s="16" t="inlineStr">
        <is>
          <t>PO-128-19101580892790288</t>
        </is>
      </c>
      <c r="C3485" s="16" t="inlineStr">
        <is>
          <t>Shipped</t>
        </is>
      </c>
      <c r="D3485" s="16" t="inlineStr">
        <is>
          <t>128-19101622835830288</t>
        </is>
      </c>
      <c r="E3485" s="16" t="inlineStr">
        <is>
          <t>Shipped</t>
        </is>
      </c>
      <c r="F3485" s="16" t="inlineStr">
        <is>
          <t>LB02235-azul</t>
        </is>
      </c>
      <c r="G3485" s="16" t="inlineStr">
        <is>
          <t>Audífonos Inalámbricos para la Cabeza, Recargables y Multifuncionales - Conectan a Varios Dispositivos, soportan Radio FM, Tarjeta TF y AUX - 4 Horas de Reproducción Musical - Ideal para Trabajo Cotidiano, Juegos y Estudio</t>
        </is>
      </c>
      <c r="H3485" s="16" t="inlineStr">
        <is>
          <t>AZUL</t>
        </is>
      </c>
      <c r="I3485" s="16" t="n">
        <v>1</v>
      </c>
      <c r="J3485" s="17" t="n">
        <v>29</v>
      </c>
      <c r="K3485" s="17" t="n">
        <v>42.11</v>
      </c>
      <c r="L3485" s="17" t="n">
        <v>25.86</v>
      </c>
      <c r="M3485" s="17" t="n">
        <v>0</v>
      </c>
      <c r="N3485" s="17">
        <f>K3485*0.08+L3485*0.08</f>
        <v/>
      </c>
      <c r="O3485" s="17">
        <f>-(K3485*0.025+L3485*0.025)</f>
        <v/>
      </c>
      <c r="P3485" s="17">
        <f>32</f>
        <v/>
      </c>
      <c r="Q3485" s="17">
        <f>J3485+L3485+N3485+O3485-P3485-M3485</f>
        <v/>
      </c>
    </row>
    <row r="3486">
      <c r="A3486" s="16" t="inlineStr">
        <is>
          <t>5.29-6.4</t>
        </is>
      </c>
      <c r="B3486" s="16" t="inlineStr">
        <is>
          <t>PO-128-19130105324150246</t>
        </is>
      </c>
      <c r="C3486" s="16" t="inlineStr">
        <is>
          <t>Shipped</t>
        </is>
      </c>
      <c r="D3486" s="16" t="inlineStr">
        <is>
          <t>128-19130073866870246</t>
        </is>
      </c>
      <c r="E3486" s="16" t="inlineStr">
        <is>
          <t>Shipped</t>
        </is>
      </c>
      <c r="F3486" s="16" t="inlineStr">
        <is>
          <t>KTS-1678Y</t>
        </is>
      </c>
      <c r="G3486" s="16" t="inlineStr">
        <is>
          <t>Bocina portátil Inalámbrico, de 3 pulgadas, tamaño de bolsillo, 170 g, con asa, compatible con TF, USB y Micro SD, con radio FM y función TWS (True Wireless Stereo), adecuada para relajarse en casa o viajar al aire libre.</t>
        </is>
      </c>
      <c r="H3486" s="16" t="inlineStr">
        <is>
          <t>KTS-1678Y</t>
        </is>
      </c>
      <c r="I3486" s="16" t="n">
        <v>1</v>
      </c>
      <c r="J3486" s="17" t="n">
        <v>42.5</v>
      </c>
      <c r="K3486" s="17" t="n">
        <v>56.39</v>
      </c>
      <c r="L3486" s="17" t="n">
        <v>25.86</v>
      </c>
      <c r="M3486" s="17" t="n">
        <v>0</v>
      </c>
      <c r="N3486" s="17">
        <f>K3486*0.08+L3486*0.08</f>
        <v/>
      </c>
      <c r="O3486" s="17">
        <f>-(K3486*0.025+L3486*0.025)</f>
        <v/>
      </c>
      <c r="P3486" s="17">
        <f>32</f>
        <v/>
      </c>
      <c r="Q3486" s="17">
        <f>J3486+L3486+N3486+O3486-P3486-M3486</f>
        <v/>
      </c>
    </row>
    <row r="3487">
      <c r="A3487" s="16" t="inlineStr">
        <is>
          <t>5.29-6.4</t>
        </is>
      </c>
      <c r="B3487" s="16" t="inlineStr">
        <is>
          <t>PO-128-18641850061433988</t>
        </is>
      </c>
      <c r="C3487" s="16" t="inlineStr">
        <is>
          <t>Shipped</t>
        </is>
      </c>
      <c r="D3487" s="16" t="inlineStr">
        <is>
          <t>128-18641860547193988</t>
        </is>
      </c>
      <c r="E3487" s="16" t="inlineStr">
        <is>
          <t>Shipped</t>
        </is>
      </c>
      <c r="F3487" s="16" t="inlineStr">
        <is>
          <t>VB347T</t>
        </is>
      </c>
      <c r="G348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87" s="16" t="inlineStr">
        <is>
          <t>1 pieza</t>
        </is>
      </c>
      <c r="I3487" s="16" t="n">
        <v>1</v>
      </c>
      <c r="J3487" s="17" t="n">
        <v>79.90000000000001</v>
      </c>
      <c r="K3487" s="17" t="n">
        <v>94.5</v>
      </c>
      <c r="L3487" s="17" t="n">
        <v>25.86</v>
      </c>
      <c r="M3487" s="17" t="n">
        <v>0</v>
      </c>
      <c r="N3487" s="17">
        <f>K3487*0.08+L3487*0.08</f>
        <v/>
      </c>
      <c r="O3487" s="17">
        <f>-(K3487*0.025+L3487*0.025)</f>
        <v/>
      </c>
      <c r="P3487" s="17">
        <f>32</f>
        <v/>
      </c>
      <c r="Q3487" s="17">
        <f>J3487+L3487+N3487+O3487-P3487-M3487</f>
        <v/>
      </c>
    </row>
    <row r="3488">
      <c r="A3488" s="16" t="inlineStr">
        <is>
          <t>5.29-6.4</t>
        </is>
      </c>
      <c r="B3488" s="16" t="inlineStr">
        <is>
          <t>PO-128-18789700731512277</t>
        </is>
      </c>
      <c r="C3488" s="16" t="inlineStr">
        <is>
          <t>Shipped</t>
        </is>
      </c>
      <c r="D3488" s="16" t="inlineStr">
        <is>
          <t>128-18789742674552277</t>
        </is>
      </c>
      <c r="E3488" s="16" t="inlineStr">
        <is>
          <t>Shipped</t>
        </is>
      </c>
      <c r="F3488" s="16" t="inlineStr">
        <is>
          <t>MB-184N</t>
        </is>
      </c>
      <c r="G3488" s="16" t="inlineStr">
        <is>
          <t>Link bits Portable Bluetooth Speaker - 800W Peak Power, 50W Full-Range Audio with Dual Bass System &amp; Deep Bass Membranes, Powerful &amp; Distortion-Free Sound, IP65 Waterproof Dustproof, TWS Support &amp; 6H Battery for Outdoor/Party</t>
        </is>
      </c>
      <c r="H3488" s="16" t="inlineStr">
        <is>
          <t>NEGRO/MB-184</t>
        </is>
      </c>
      <c r="I3488" s="16" t="n">
        <v>1</v>
      </c>
      <c r="J3488" s="17" t="n">
        <v>630</v>
      </c>
      <c r="K3488" s="17" t="n">
        <v>696.51</v>
      </c>
      <c r="L3488" s="17" t="n">
        <v>0</v>
      </c>
      <c r="M3488" s="17" t="n">
        <v>0</v>
      </c>
      <c r="N3488" s="17">
        <f>K3488*0.08+L3488*0.08</f>
        <v/>
      </c>
      <c r="O3488" s="17">
        <f>-(K3488*0.025+L3488*0.025)</f>
        <v/>
      </c>
      <c r="P3488" s="17">
        <f>32</f>
        <v/>
      </c>
      <c r="Q3488" s="17">
        <f>J3488+L3488+N3488+O3488-P3488-M3488</f>
        <v/>
      </c>
    </row>
    <row r="3489">
      <c r="A3489" s="16" t="inlineStr">
        <is>
          <t>5.29-6.4</t>
        </is>
      </c>
      <c r="B3489" s="16" t="inlineStr">
        <is>
          <t>PO-128-18730414326392439</t>
        </is>
      </c>
      <c r="C3489" s="16" t="inlineStr">
        <is>
          <t>Shipped</t>
        </is>
      </c>
      <c r="D3489" s="16" t="inlineStr">
        <is>
          <t>128-18730419323512439</t>
        </is>
      </c>
      <c r="E3489" s="16" t="inlineStr">
        <is>
          <t>Shipped</t>
        </is>
      </c>
      <c r="F3489" s="16" t="inlineStr">
        <is>
          <t>MB-185R</t>
        </is>
      </c>
      <c r="G3489" s="16" t="inlineStr">
        <is>
          <t>Bocina Radio FM/Reproductor, Compatible con Tarjeta TF, USB, Bluetooth, Aplicable para celular, computadora, Ipad y consola.</t>
        </is>
      </c>
      <c r="H3489" s="16" t="inlineStr">
        <is>
          <t>ROJO/MB-185</t>
        </is>
      </c>
      <c r="I3489" s="16" t="n">
        <v>1</v>
      </c>
      <c r="J3489" s="17" t="n">
        <v>75.59999999999999</v>
      </c>
      <c r="K3489" s="17" t="n">
        <v>88.53</v>
      </c>
      <c r="L3489" s="17" t="n">
        <v>25.86</v>
      </c>
      <c r="M3489" s="17" t="n">
        <v>0</v>
      </c>
      <c r="N3489" s="17">
        <f>K3489*0.08+L3489*0.08</f>
        <v/>
      </c>
      <c r="O3489" s="17">
        <f>-(K3489*0.025+L3489*0.025)</f>
        <v/>
      </c>
      <c r="P3489" s="17">
        <f>32</f>
        <v/>
      </c>
      <c r="Q3489" s="17">
        <f>J3489+L3489+N3489+O3489-P3489-M3489</f>
        <v/>
      </c>
    </row>
    <row r="3490">
      <c r="A3490" s="16" t="inlineStr">
        <is>
          <t>5.29-6.4</t>
        </is>
      </c>
      <c r="B3490" s="16" t="inlineStr">
        <is>
          <t>PO-128-18580329764473333</t>
        </is>
      </c>
      <c r="C3490" s="16" t="inlineStr">
        <is>
          <t>Shipped</t>
        </is>
      </c>
      <c r="D3490" s="16" t="inlineStr">
        <is>
          <t>128-18580321900153333</t>
        </is>
      </c>
      <c r="E3490" s="16" t="inlineStr">
        <is>
          <t>Shipped</t>
        </is>
      </c>
      <c r="F3490" s="16" t="inlineStr">
        <is>
          <t>LB02235-blanco</t>
        </is>
      </c>
      <c r="G3490" s="16" t="inlineStr">
        <is>
          <t>Audífonos Inalámbricos para la Cabeza, Recargables y Multifuncionales - Conectan a Varios Dispositivos, soportan Radio FM, Tarjeta TF y AUX - 4 Horas de Reproducción Musical - Ideal para Trabajo Cotidiano, Juegos y Estudio</t>
        </is>
      </c>
      <c r="H3490" s="16" t="inlineStr">
        <is>
          <t>BLANCO</t>
        </is>
      </c>
      <c r="I3490" s="16" t="n">
        <v>1</v>
      </c>
      <c r="J3490" s="17" t="n">
        <v>36.8</v>
      </c>
      <c r="K3490" s="17" t="n">
        <v>49.91</v>
      </c>
      <c r="L3490" s="17" t="n">
        <v>25.86</v>
      </c>
      <c r="M3490" s="17" t="n">
        <v>0</v>
      </c>
      <c r="N3490" s="17">
        <f>K3490*0.08+L3490*0.08</f>
        <v/>
      </c>
      <c r="O3490" s="17">
        <f>-(K3490*0.025+L3490*0.025)</f>
        <v/>
      </c>
      <c r="P3490" s="17">
        <f>32</f>
        <v/>
      </c>
      <c r="Q3490" s="17">
        <f>J3490+L3490+N3490+O3490-P3490-M3490</f>
        <v/>
      </c>
    </row>
    <row r="3491">
      <c r="A3491" s="16" t="inlineStr">
        <is>
          <t>5.29-6.4</t>
        </is>
      </c>
      <c r="B3491" s="16" t="inlineStr">
        <is>
          <t>PO-128-18704193884793811</t>
        </is>
      </c>
      <c r="C3491" s="16" t="inlineStr">
        <is>
          <t>Shipped</t>
        </is>
      </c>
      <c r="D3491" s="16" t="inlineStr">
        <is>
          <t>128-18704214856313811</t>
        </is>
      </c>
      <c r="E3491" s="16" t="inlineStr">
        <is>
          <t>Shipped</t>
        </is>
      </c>
      <c r="F3491" s="16" t="inlineStr">
        <is>
          <t>VB347T</t>
        </is>
      </c>
      <c r="G349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491" s="16" t="inlineStr">
        <is>
          <t>1 pieza</t>
        </is>
      </c>
      <c r="I3491" s="16" t="n">
        <v>1</v>
      </c>
      <c r="J3491" s="17" t="n">
        <v>79.90000000000001</v>
      </c>
      <c r="K3491" s="17" t="n">
        <v>94.5</v>
      </c>
      <c r="L3491" s="17" t="n">
        <v>25.86</v>
      </c>
      <c r="M3491" s="17" t="n">
        <v>0</v>
      </c>
      <c r="N3491" s="17">
        <f>K3491*0.08+L3491*0.08</f>
        <v/>
      </c>
      <c r="O3491" s="17">
        <f>-(K3491*0.025+L3491*0.025)</f>
        <v/>
      </c>
      <c r="P3491" s="17">
        <f>32</f>
        <v/>
      </c>
      <c r="Q3491" s="17">
        <f>J3491+L3491+N3491+O3491-P3491-M3491</f>
        <v/>
      </c>
    </row>
    <row r="3492">
      <c r="A3492" s="16" t="inlineStr">
        <is>
          <t>5.29-6.4</t>
        </is>
      </c>
      <c r="B3492" s="16" t="inlineStr">
        <is>
          <t>PO-128-18654284329594042</t>
        </is>
      </c>
      <c r="C3492" s="16" t="inlineStr">
        <is>
          <t>Shipped</t>
        </is>
      </c>
      <c r="D3492" s="16" t="inlineStr">
        <is>
          <t>128-18654305301114042</t>
        </is>
      </c>
      <c r="E3492" s="16" t="inlineStr">
        <is>
          <t>Shipped</t>
        </is>
      </c>
      <c r="F3492" s="16" t="inlineStr">
        <is>
          <t>MCM-001N</t>
        </is>
      </c>
      <c r="G3492" s="16" t="inlineStr">
        <is>
          <t>Musicord Altavoz Inalámbrico BT Portátil: ¡Sonido impactante, luces LED multicolores y 4 horas de autonomía! Compatible con TWS, FM, TF y USB – Imprescindible para fiestas y viajes</t>
        </is>
      </c>
      <c r="H3492" s="16" t="inlineStr">
        <is>
          <t>NEGRO</t>
        </is>
      </c>
      <c r="I3492" s="16" t="n">
        <v>1</v>
      </c>
      <c r="J3492" s="17" t="n">
        <v>52</v>
      </c>
      <c r="K3492" s="17" t="n">
        <v>63.28</v>
      </c>
      <c r="L3492" s="17" t="n">
        <v>25.86</v>
      </c>
      <c r="M3492" s="17" t="n">
        <v>0</v>
      </c>
      <c r="N3492" s="17">
        <f>K3492*0.08+L3492*0.08</f>
        <v/>
      </c>
      <c r="O3492" s="17">
        <f>-(K3492*0.025+L3492*0.025)</f>
        <v/>
      </c>
      <c r="P3492" s="17">
        <f>32</f>
        <v/>
      </c>
      <c r="Q3492" s="17">
        <f>J3492+L3492+N3492+O3492-P3492-M3492</f>
        <v/>
      </c>
    </row>
    <row r="3493">
      <c r="A3493" s="16" t="inlineStr">
        <is>
          <t>5.29-6.4</t>
        </is>
      </c>
      <c r="B3493" s="16" t="inlineStr">
        <is>
          <t>PO-128-18810490993272153</t>
        </is>
      </c>
      <c r="C3493" s="16" t="inlineStr">
        <is>
          <t>Shipped</t>
        </is>
      </c>
      <c r="D3493" s="16" t="inlineStr">
        <is>
          <t>128-18810487061112153</t>
        </is>
      </c>
      <c r="E3493" s="16" t="inlineStr">
        <is>
          <t>Shipped</t>
        </is>
      </c>
      <c r="F3493" s="16" t="inlineStr">
        <is>
          <t>LB02235-rojo</t>
        </is>
      </c>
      <c r="G3493" s="16" t="inlineStr">
        <is>
          <t>Audífonos Inalámbricos para la Cabeza, Recargables y Multifuncionales - Conectan a Varios Dispositivos, soportan Radio FM, Tarjeta TF y AUX - 4 Horas de Reproducción Musical - Ideal para Trabajo Cotidiano, Juegos y Estudio</t>
        </is>
      </c>
      <c r="H3493" s="16" t="inlineStr">
        <is>
          <t>ROJO</t>
        </is>
      </c>
      <c r="I3493" s="16" t="n">
        <v>1</v>
      </c>
      <c r="J3493" s="17" t="n">
        <v>36.8</v>
      </c>
      <c r="K3493" s="17" t="n">
        <v>41.22</v>
      </c>
      <c r="L3493" s="17" t="n">
        <v>25.86</v>
      </c>
      <c r="M3493" s="17" t="n">
        <v>0</v>
      </c>
      <c r="N3493" s="17">
        <f>K3493*0.08+L3493*0.08</f>
        <v/>
      </c>
      <c r="O3493" s="17">
        <f>-(K3493*0.025+L3493*0.025)</f>
        <v/>
      </c>
      <c r="P3493" s="17">
        <f>32</f>
        <v/>
      </c>
      <c r="Q3493" s="17">
        <f>J3493+L3493+N3493+O3493-P3493-M3493</f>
        <v/>
      </c>
    </row>
    <row r="3494">
      <c r="A3494" s="16" t="inlineStr">
        <is>
          <t>5.29-6.4</t>
        </is>
      </c>
      <c r="B3494" s="16" t="inlineStr">
        <is>
          <t>PO-128-18911109663351488</t>
        </is>
      </c>
      <c r="C3494" s="16" t="inlineStr">
        <is>
          <t>Shipped</t>
        </is>
      </c>
      <c r="D3494" s="16" t="inlineStr">
        <is>
          <t>128-18911088691831488</t>
        </is>
      </c>
      <c r="E3494" s="16" t="inlineStr">
        <is>
          <t>Shipped</t>
        </is>
      </c>
      <c r="F3494" s="16" t="inlineStr">
        <is>
          <t>LV34W04</t>
        </is>
      </c>
      <c r="G349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494" s="16" t="inlineStr">
        <is>
          <t>LV34W04</t>
        </is>
      </c>
      <c r="I3494" s="16" t="n">
        <v>3</v>
      </c>
      <c r="J3494" s="17" t="n">
        <v>690.9</v>
      </c>
      <c r="K3494" s="17" t="n">
        <v>649.86</v>
      </c>
      <c r="L3494" s="17" t="n">
        <v>0</v>
      </c>
      <c r="M3494" s="17" t="n">
        <v>0</v>
      </c>
      <c r="N3494" s="17">
        <f>K3494*0.08+L3494*0.08</f>
        <v/>
      </c>
      <c r="O3494" s="17">
        <f>-(K3494*0.025+L3494*0.025)</f>
        <v/>
      </c>
      <c r="P3494" s="17">
        <f>32</f>
        <v/>
      </c>
      <c r="Q3494" s="17">
        <f>J3494+L3494+N3494+O3494-P3494-M3494</f>
        <v/>
      </c>
    </row>
    <row r="3495">
      <c r="A3495" s="16" t="inlineStr">
        <is>
          <t>5.29-6.4</t>
        </is>
      </c>
      <c r="B3495" s="16" t="inlineStr">
        <is>
          <t>PO-128-18899844045431429</t>
        </is>
      </c>
      <c r="C3495" s="16" t="inlineStr">
        <is>
          <t>Shipped</t>
        </is>
      </c>
      <c r="D3495" s="16" t="inlineStr">
        <is>
          <t>128-18899802102391429</t>
        </is>
      </c>
      <c r="E3495" s="16" t="inlineStr">
        <is>
          <t>Shipped</t>
        </is>
      </c>
      <c r="F3495" s="16" t="inlineStr">
        <is>
          <t>LB02235-blanco</t>
        </is>
      </c>
      <c r="G3495" s="16" t="inlineStr">
        <is>
          <t>Audífonos Inalámbricos para la Cabeza, Recargables y Multifuncionales - Conectan a Varios Dispositivos, soportan Radio FM, Tarjeta TF y AUX - 4 Horas de Reproducción Musical - Ideal para Trabajo Cotidiano, Juegos y Estudio</t>
        </is>
      </c>
      <c r="H3495" s="16" t="inlineStr">
        <is>
          <t>BLANCO</t>
        </is>
      </c>
      <c r="I3495" s="16" t="n">
        <v>1</v>
      </c>
      <c r="J3495" s="17" t="n">
        <v>36.8</v>
      </c>
      <c r="K3495" s="17" t="n">
        <v>49.91</v>
      </c>
      <c r="L3495" s="17" t="n">
        <v>25.86</v>
      </c>
      <c r="M3495" s="17" t="n">
        <v>0</v>
      </c>
      <c r="N3495" s="17">
        <f>K3495*0.08+L3495*0.08</f>
        <v/>
      </c>
      <c r="O3495" s="17">
        <f>-(K3495*0.025+L3495*0.025)</f>
        <v/>
      </c>
      <c r="P3495" s="17">
        <f>32</f>
        <v/>
      </c>
      <c r="Q3495" s="17">
        <f>J3495+L3495+N3495+O3495-P3495-M3495</f>
        <v/>
      </c>
    </row>
    <row r="3496">
      <c r="A3496" s="16" t="inlineStr">
        <is>
          <t>5.29-6.4</t>
        </is>
      </c>
      <c r="B3496" s="16" t="inlineStr">
        <is>
          <t>PO-128-18630005811833165</t>
        </is>
      </c>
      <c r="C3496" s="16" t="inlineStr">
        <is>
          <t>Shipped</t>
        </is>
      </c>
      <c r="D3496" s="16" t="inlineStr">
        <is>
          <t>128-18629984840313165</t>
        </is>
      </c>
      <c r="E3496" s="16" t="inlineStr">
        <is>
          <t>Shipped</t>
        </is>
      </c>
      <c r="F3496" s="16" t="inlineStr">
        <is>
          <t>LB02235-azul</t>
        </is>
      </c>
      <c r="G3496" s="16" t="inlineStr">
        <is>
          <t>Audífonos Inalámbricos para la Cabeza, Recargables y Multifuncionales - Conectan a Varios Dispositivos, soportan Radio FM, Tarjeta TF y AUX - 4 Horas de Reproducción Musical - Ideal para Trabajo Cotidiano, Juegos y Estudio</t>
        </is>
      </c>
      <c r="H3496" s="16" t="inlineStr">
        <is>
          <t>AZUL</t>
        </is>
      </c>
      <c r="I3496" s="16" t="n">
        <v>1</v>
      </c>
      <c r="J3496" s="17" t="n">
        <v>29</v>
      </c>
      <c r="K3496" s="17" t="n">
        <v>42.11</v>
      </c>
      <c r="L3496" s="17" t="n">
        <v>25.86</v>
      </c>
      <c r="M3496" s="17" t="n">
        <v>0</v>
      </c>
      <c r="N3496" s="17">
        <f>K3496*0.08+L3496*0.08</f>
        <v/>
      </c>
      <c r="O3496" s="17">
        <f>-(K3496*0.025+L3496*0.025)</f>
        <v/>
      </c>
      <c r="P3496" s="17">
        <f>32</f>
        <v/>
      </c>
      <c r="Q3496" s="17">
        <f>J3496+L3496+N3496+O3496-P3496-M3496</f>
        <v/>
      </c>
    </row>
    <row r="3497">
      <c r="A3497" s="16" t="inlineStr">
        <is>
          <t>5.29-6.4</t>
        </is>
      </c>
      <c r="B3497" s="16" t="inlineStr">
        <is>
          <t>PO-128-19208745656950675</t>
        </is>
      </c>
      <c r="C3497" s="16" t="inlineStr">
        <is>
          <t>Shipped</t>
        </is>
      </c>
      <c r="D3497" s="16" t="inlineStr">
        <is>
          <t>128-19208897700470675</t>
        </is>
      </c>
      <c r="E3497" s="16" t="inlineStr">
        <is>
          <t>Shipped</t>
        </is>
      </c>
      <c r="F3497" s="16" t="inlineStr">
        <is>
          <t>LB02235-negro</t>
        </is>
      </c>
      <c r="G3497" s="16" t="inlineStr">
        <is>
          <t>Audífonos Inalámbricos para la Cabeza, Recargables y Multifuncionales - Conectan a Varios Dispositivos, soportan Radio FM, Tarjeta TF y AUX - 4 Horas de Reproducción Musical - Ideal para Trabajo Cotidiano, Juegos y Estudio</t>
        </is>
      </c>
      <c r="H3497" s="16" t="inlineStr">
        <is>
          <t>NEGRO</t>
        </is>
      </c>
      <c r="I3497" s="16" t="n">
        <v>1</v>
      </c>
      <c r="J3497" s="17" t="n">
        <v>36.8</v>
      </c>
      <c r="K3497" s="17" t="n">
        <v>49.91</v>
      </c>
      <c r="L3497" s="17" t="n">
        <v>25.86</v>
      </c>
      <c r="M3497" s="17" t="n">
        <v>0</v>
      </c>
      <c r="N3497" s="17">
        <f>K3497*0.08+L3497*0.08</f>
        <v/>
      </c>
      <c r="O3497" s="17">
        <f>-(K3497*0.025+L3497*0.025)</f>
        <v/>
      </c>
      <c r="P3497" s="17">
        <f>32</f>
        <v/>
      </c>
      <c r="Q3497" s="17">
        <f>J3497+L3497+N3497+O3497-P3497-M3497</f>
        <v/>
      </c>
    </row>
    <row r="3498">
      <c r="A3498" s="16" t="inlineStr">
        <is>
          <t>5.29-6.4</t>
        </is>
      </c>
      <c r="B3498" s="16" t="inlineStr">
        <is>
          <t>PO-128-19204874455670699</t>
        </is>
      </c>
      <c r="C3498" s="16" t="inlineStr">
        <is>
          <t>Shipped</t>
        </is>
      </c>
      <c r="D3498" s="16" t="inlineStr">
        <is>
          <t>128-19204832512630699</t>
        </is>
      </c>
      <c r="E3498" s="16" t="inlineStr">
        <is>
          <t>Shipped</t>
        </is>
      </c>
      <c r="F3498" s="16" t="inlineStr">
        <is>
          <t>LB02235-negro</t>
        </is>
      </c>
      <c r="G3498" s="16" t="inlineStr">
        <is>
          <t>Audífonos Inalámbricos para la Cabeza, Recargables y Multifuncionales - Conectan a Varios Dispositivos, soportan Radio FM, Tarjeta TF y AUX - 4 Horas de Reproducción Musical - Ideal para Trabajo Cotidiano, Juegos y Estudio</t>
        </is>
      </c>
      <c r="H3498" s="16" t="inlineStr">
        <is>
          <t>NEGRO</t>
        </is>
      </c>
      <c r="I3498" s="16" t="n">
        <v>1</v>
      </c>
      <c r="J3498" s="17" t="n">
        <v>36.8</v>
      </c>
      <c r="K3498" s="17" t="n">
        <v>49.91</v>
      </c>
      <c r="L3498" s="17" t="n">
        <v>25.86</v>
      </c>
      <c r="M3498" s="17" t="n">
        <v>0</v>
      </c>
      <c r="N3498" s="17">
        <f>K3498*0.08+L3498*0.08</f>
        <v/>
      </c>
      <c r="O3498" s="17">
        <f>-(K3498*0.025+L3498*0.025)</f>
        <v/>
      </c>
      <c r="P3498" s="17">
        <f>32</f>
        <v/>
      </c>
      <c r="Q3498" s="17">
        <f>J3498+L3498+N3498+O3498-P3498-M3498</f>
        <v/>
      </c>
    </row>
    <row r="3499">
      <c r="A3499" s="16" t="inlineStr">
        <is>
          <t>5.29-6.4</t>
        </is>
      </c>
      <c r="B3499" s="16" t="inlineStr">
        <is>
          <t>PO-128-18991270994551970</t>
        </is>
      </c>
      <c r="C3499" s="16" t="inlineStr">
        <is>
          <t>Shipped</t>
        </is>
      </c>
      <c r="D3499" s="16" t="inlineStr">
        <is>
          <t>128-18991229051511970</t>
        </is>
      </c>
      <c r="E3499" s="16" t="inlineStr">
        <is>
          <t>Shipped</t>
        </is>
      </c>
      <c r="F3499" s="16" t="inlineStr">
        <is>
          <t>LB02235-rojo</t>
        </is>
      </c>
      <c r="G3499" s="16" t="inlineStr">
        <is>
          <t>Audífonos Inalámbricos para la Cabeza, Recargables y Multifuncionales - Conectan a Varios Dispositivos, soportan Radio FM, Tarjeta TF y AUX - 4 Horas de Reproducción Musical - Ideal para Trabajo Cotidiano, Juegos y Estudio</t>
        </is>
      </c>
      <c r="H3499" s="16" t="inlineStr">
        <is>
          <t>ROJO</t>
        </is>
      </c>
      <c r="I3499" s="16" t="n">
        <v>1</v>
      </c>
      <c r="J3499" s="17" t="n">
        <v>36.8</v>
      </c>
      <c r="K3499" s="17" t="n">
        <v>49.91</v>
      </c>
      <c r="L3499" s="17" t="n">
        <v>25.86</v>
      </c>
      <c r="M3499" s="17" t="n">
        <v>0</v>
      </c>
      <c r="N3499" s="17">
        <f>K3499*0.08+L3499*0.08</f>
        <v/>
      </c>
      <c r="O3499" s="17">
        <f>-(K3499*0.025+L3499*0.025)</f>
        <v/>
      </c>
      <c r="P3499" s="17">
        <f>32</f>
        <v/>
      </c>
      <c r="Q3499" s="17">
        <f>J3499+L3499+N3499+O3499-P3499-M3499</f>
        <v/>
      </c>
    </row>
    <row r="3500">
      <c r="A3500" s="16" t="inlineStr">
        <is>
          <t>5.29-6.4</t>
        </is>
      </c>
      <c r="B3500" s="16" t="inlineStr">
        <is>
          <t>PO-128-19076383908470438</t>
        </is>
      </c>
      <c r="C3500" s="16" t="inlineStr">
        <is>
          <t>Shipped</t>
        </is>
      </c>
      <c r="D3500" s="16" t="inlineStr">
        <is>
          <t>128-19076436337270438</t>
        </is>
      </c>
      <c r="E3500" s="16" t="inlineStr">
        <is>
          <t>Shipped</t>
        </is>
      </c>
      <c r="F3500" s="16" t="inlineStr">
        <is>
          <t>LB02235-negro</t>
        </is>
      </c>
      <c r="G3500" s="16" t="inlineStr">
        <is>
          <t>Audífonos Inalámbricos para la Cabeza, Recargables y Multifuncionales - Conectan a Varios Dispositivos, soportan Radio FM, Tarjeta TF y AUX - 4 Horas de Reproducción Musical - Ideal para Trabajo Cotidiano, Juegos y Estudio</t>
        </is>
      </c>
      <c r="H3500" s="16" t="inlineStr">
        <is>
          <t>NEGRO</t>
        </is>
      </c>
      <c r="I3500" s="16" t="n">
        <v>1</v>
      </c>
      <c r="J3500" s="17" t="n">
        <v>36.8</v>
      </c>
      <c r="K3500" s="17" t="n">
        <v>49.91</v>
      </c>
      <c r="L3500" s="17" t="n">
        <v>25.86</v>
      </c>
      <c r="M3500" s="17" t="n">
        <v>0</v>
      </c>
      <c r="N3500" s="17">
        <f>K3500*0.08+L3500*0.08</f>
        <v/>
      </c>
      <c r="O3500" s="17">
        <f>-(K3500*0.025+L3500*0.025)</f>
        <v/>
      </c>
      <c r="P3500" s="17">
        <f>32</f>
        <v/>
      </c>
      <c r="Q3500" s="17">
        <f>J3500+L3500+N3500+O3500-P3500-M3500</f>
        <v/>
      </c>
    </row>
    <row r="3501">
      <c r="A3501" s="16" t="inlineStr">
        <is>
          <t>5.29-6.4</t>
        </is>
      </c>
      <c r="B3501" s="16" t="inlineStr">
        <is>
          <t>PO-128-18822921564793039</t>
        </is>
      </c>
      <c r="C3501" s="16" t="inlineStr">
        <is>
          <t>Shipped</t>
        </is>
      </c>
      <c r="D3501" s="16" t="inlineStr">
        <is>
          <t>128-18822911079033039</t>
        </is>
      </c>
      <c r="E3501" s="16" t="inlineStr">
        <is>
          <t>Shipped</t>
        </is>
      </c>
      <c r="F3501" s="16" t="inlineStr">
        <is>
          <t>LB02235-blanco</t>
        </is>
      </c>
      <c r="G3501" s="16" t="inlineStr">
        <is>
          <t>Audífonos Inalámbricos para la Cabeza, Recargables y Multifuncionales - Conectan a Varios Dispositivos, soportan Radio FM, Tarjeta TF y AUX - 4 Horas de Reproducción Musical - Ideal para Trabajo Cotidiano, Juegos y Estudio</t>
        </is>
      </c>
      <c r="H3501" s="16" t="inlineStr">
        <is>
          <t>BLANCO</t>
        </is>
      </c>
      <c r="I3501" s="16" t="n">
        <v>1</v>
      </c>
      <c r="J3501" s="17" t="n">
        <v>36.8</v>
      </c>
      <c r="K3501" s="17" t="n">
        <v>49.91</v>
      </c>
      <c r="L3501" s="17" t="n">
        <v>14.03</v>
      </c>
      <c r="M3501" s="17" t="n">
        <v>0</v>
      </c>
      <c r="N3501" s="17">
        <f>K3501*0.08+L3501*0.08</f>
        <v/>
      </c>
      <c r="O3501" s="17">
        <f>-(K3501*0.025+L3501*0.025)</f>
        <v/>
      </c>
      <c r="P3501" s="17">
        <f>32</f>
        <v/>
      </c>
      <c r="Q3501" s="17">
        <f>J3501+L3501+N3501+O3501-P3501-M3501</f>
        <v/>
      </c>
    </row>
    <row r="3502">
      <c r="A3502" s="16" t="inlineStr">
        <is>
          <t>5.29-6.4</t>
        </is>
      </c>
      <c r="B3502" s="16" t="inlineStr">
        <is>
          <t>PO-128-18822921564793039</t>
        </is>
      </c>
      <c r="C3502" s="16" t="inlineStr">
        <is>
          <t>Shipped</t>
        </is>
      </c>
      <c r="D3502" s="16" t="inlineStr">
        <is>
          <t>128-18822895350393039</t>
        </is>
      </c>
      <c r="E3502" s="16" t="inlineStr">
        <is>
          <t>Shipped</t>
        </is>
      </c>
      <c r="F3502" s="16" t="inlineStr">
        <is>
          <t>LB02235-azul</t>
        </is>
      </c>
      <c r="G3502" s="16" t="inlineStr">
        <is>
          <t>Audífonos Inalámbricos para la Cabeza, Recargables y Multifuncionales - Conectan a Varios Dispositivos, soportan Radio FM, Tarjeta TF y AUX - 4 Horas de Reproducción Musical - Ideal para Trabajo Cotidiano, Juegos y Estudio</t>
        </is>
      </c>
      <c r="H3502" s="16" t="inlineStr">
        <is>
          <t>AZUL</t>
        </is>
      </c>
      <c r="I3502" s="16" t="n">
        <v>1</v>
      </c>
      <c r="J3502" s="17" t="n">
        <v>29</v>
      </c>
      <c r="K3502" s="17" t="n">
        <v>42.11</v>
      </c>
      <c r="L3502" s="17" t="n">
        <v>11.83</v>
      </c>
      <c r="M3502" s="17" t="n">
        <v>0</v>
      </c>
      <c r="N3502" s="17">
        <f>K3502*0.08+L3502*0.08</f>
        <v/>
      </c>
      <c r="O3502" s="17">
        <f>-(K3502*0.025+L3502*0.025)</f>
        <v/>
      </c>
      <c r="P3502" s="17">
        <f>32</f>
        <v/>
      </c>
      <c r="Q3502" s="17">
        <f>J3502+L3502+N3502+O3502-P3502-M3502</f>
        <v/>
      </c>
    </row>
    <row r="3503">
      <c r="A3503" s="16" t="inlineStr">
        <is>
          <t>5.29-6.4</t>
        </is>
      </c>
      <c r="B3503" s="16" t="inlineStr">
        <is>
          <t>PO-128-18597588122233228</t>
        </is>
      </c>
      <c r="C3503" s="16" t="inlineStr">
        <is>
          <t>Shipped</t>
        </is>
      </c>
      <c r="D3503" s="16" t="inlineStr">
        <is>
          <t>128-18597626133113228</t>
        </is>
      </c>
      <c r="E3503" s="16" t="inlineStr">
        <is>
          <t>Shipped</t>
        </is>
      </c>
      <c r="F3503" s="16" t="inlineStr">
        <is>
          <t>LB02235-rojo</t>
        </is>
      </c>
      <c r="G3503" s="16" t="inlineStr">
        <is>
          <t>Audífonos Inalámbricos para la Cabeza, Recargables y Multifuncionales - Conectan a Varios Dispositivos, soportan Radio FM, Tarjeta TF y AUX - 4 Horas de Reproducción Musical - Ideal para Trabajo Cotidiano, Juegos y Estudio</t>
        </is>
      </c>
      <c r="H3503" s="16" t="inlineStr">
        <is>
          <t>ROJO</t>
        </is>
      </c>
      <c r="I3503" s="16" t="n">
        <v>1</v>
      </c>
      <c r="J3503" s="17" t="n">
        <v>36.8</v>
      </c>
      <c r="K3503" s="17" t="n">
        <v>49.91</v>
      </c>
      <c r="L3503" s="17" t="n">
        <v>25.86</v>
      </c>
      <c r="M3503" s="17" t="n">
        <v>0</v>
      </c>
      <c r="N3503" s="17">
        <f>K3503*0.08+L3503*0.08</f>
        <v/>
      </c>
      <c r="O3503" s="17">
        <f>-(K3503*0.025+L3503*0.025)</f>
        <v/>
      </c>
      <c r="P3503" s="17">
        <f>32</f>
        <v/>
      </c>
      <c r="Q3503" s="17">
        <f>J3503+L3503+N3503+O3503-P3503-M3503</f>
        <v/>
      </c>
    </row>
    <row r="3504">
      <c r="A3504" s="16" t="inlineStr">
        <is>
          <t>5.29-6.4</t>
        </is>
      </c>
      <c r="B3504" s="16" t="inlineStr">
        <is>
          <t>PO-128-18847351982712892</t>
        </is>
      </c>
      <c r="C3504" s="16" t="inlineStr">
        <is>
          <t>Shipped</t>
        </is>
      </c>
      <c r="D3504" s="16" t="inlineStr">
        <is>
          <t>128-18847310039672892</t>
        </is>
      </c>
      <c r="E3504" s="16" t="inlineStr">
        <is>
          <t>Shipped</t>
        </is>
      </c>
      <c r="F3504" s="16" t="inlineStr">
        <is>
          <t>LB02235-negro</t>
        </is>
      </c>
      <c r="G3504" s="16" t="inlineStr">
        <is>
          <t>Audífonos Inalámbricos para la Cabeza, Recargables y Multifuncionales - Conectan a Varios Dispositivos, soportan Radio FM, Tarjeta TF y AUX - 4 Horas de Reproducción Musical - Ideal para Trabajo Cotidiano, Juegos y Estudio</t>
        </is>
      </c>
      <c r="H3504" s="16" t="inlineStr">
        <is>
          <t>NEGRO</t>
        </is>
      </c>
      <c r="I3504" s="16" t="n">
        <v>1</v>
      </c>
      <c r="J3504" s="17" t="n">
        <v>36.8</v>
      </c>
      <c r="K3504" s="17" t="n">
        <v>49.91</v>
      </c>
      <c r="L3504" s="17" t="n">
        <v>25.86</v>
      </c>
      <c r="M3504" s="17" t="n">
        <v>0</v>
      </c>
      <c r="N3504" s="17">
        <f>K3504*0.08+L3504*0.08</f>
        <v/>
      </c>
      <c r="O3504" s="17">
        <f>-(K3504*0.025+L3504*0.025)</f>
        <v/>
      </c>
      <c r="P3504" s="17">
        <f>32</f>
        <v/>
      </c>
      <c r="Q3504" s="17">
        <f>J3504+L3504+N3504+O3504-P3504-M3504</f>
        <v/>
      </c>
    </row>
    <row r="3505">
      <c r="A3505" s="16" t="inlineStr">
        <is>
          <t>5.29-6.4</t>
        </is>
      </c>
      <c r="B3505" s="16" t="inlineStr">
        <is>
          <t>PO-128-19230241444470547</t>
        </is>
      </c>
      <c r="C3505" s="16" t="inlineStr">
        <is>
          <t>Shipped</t>
        </is>
      </c>
      <c r="D3505" s="16" t="inlineStr">
        <is>
          <t>128-19230262415990547</t>
        </is>
      </c>
      <c r="E3505" s="16" t="inlineStr">
        <is>
          <t>Shipped</t>
        </is>
      </c>
      <c r="F3505" s="16" t="inlineStr">
        <is>
          <t>LB02235-negro</t>
        </is>
      </c>
      <c r="G3505" s="16" t="inlineStr">
        <is>
          <t>Audífonos Inalámbricos para la Cabeza, Recargables y Multifuncionales - Conectan a Varios Dispositivos, soportan Radio FM, Tarjeta TF y AUX - 4 Horas de Reproducción Musical - Ideal para Trabajo Cotidiano, Juegos y Estudio</t>
        </is>
      </c>
      <c r="H3505" s="16" t="inlineStr">
        <is>
          <t>NEGRO</t>
        </is>
      </c>
      <c r="I3505" s="16" t="n">
        <v>1</v>
      </c>
      <c r="J3505" s="17" t="n">
        <v>36.8</v>
      </c>
      <c r="K3505" s="17" t="n">
        <v>49.91</v>
      </c>
      <c r="L3505" s="17" t="n">
        <v>25.86</v>
      </c>
      <c r="M3505" s="17" t="n">
        <v>0</v>
      </c>
      <c r="N3505" s="17">
        <f>K3505*0.08+L3505*0.08</f>
        <v/>
      </c>
      <c r="O3505" s="17">
        <f>-(K3505*0.025+L3505*0.025)</f>
        <v/>
      </c>
      <c r="P3505" s="17">
        <f>32</f>
        <v/>
      </c>
      <c r="Q3505" s="17">
        <f>J3505+L3505+N3505+O3505-P3505-M3505</f>
        <v/>
      </c>
    </row>
    <row r="3506">
      <c r="A3506" s="16" t="inlineStr">
        <is>
          <t>5.29-6.4</t>
        </is>
      </c>
      <c r="B3506" s="16" t="inlineStr">
        <is>
          <t>PO-128-19137641380470011</t>
        </is>
      </c>
      <c r="C3506" s="16" t="inlineStr">
        <is>
          <t>Shipped</t>
        </is>
      </c>
      <c r="D3506" s="16" t="inlineStr">
        <is>
          <t>128-19137651866230011</t>
        </is>
      </c>
      <c r="E3506" s="16" t="inlineStr">
        <is>
          <t>Shipped</t>
        </is>
      </c>
      <c r="F3506" s="16" t="inlineStr">
        <is>
          <t>LB02235-rojo</t>
        </is>
      </c>
      <c r="G3506" s="16" t="inlineStr">
        <is>
          <t>Audífonos Inalámbricos para la Cabeza, Recargables y Multifuncionales - Conectan a Varios Dispositivos, soportan Radio FM, Tarjeta TF y AUX - 4 Horas de Reproducción Musical - Ideal para Trabajo Cotidiano, Juegos y Estudio</t>
        </is>
      </c>
      <c r="H3506" s="16" t="inlineStr">
        <is>
          <t>ROJO</t>
        </is>
      </c>
      <c r="I3506" s="16" t="n">
        <v>1</v>
      </c>
      <c r="J3506" s="17" t="n">
        <v>36.8</v>
      </c>
      <c r="K3506" s="17" t="n">
        <v>49.91</v>
      </c>
      <c r="L3506" s="17" t="n">
        <v>25.86</v>
      </c>
      <c r="M3506" s="17" t="n">
        <v>0</v>
      </c>
      <c r="N3506" s="17">
        <f>K3506*0.08+L3506*0.08</f>
        <v/>
      </c>
      <c r="O3506" s="17">
        <f>-(K3506*0.025+L3506*0.025)</f>
        <v/>
      </c>
      <c r="P3506" s="17">
        <f>32</f>
        <v/>
      </c>
      <c r="Q3506" s="17">
        <f>J3506+L3506+N3506+O3506-P3506-M3506</f>
        <v/>
      </c>
    </row>
    <row r="3507">
      <c r="A3507" s="16" t="inlineStr">
        <is>
          <t>5.29-6.4</t>
        </is>
      </c>
      <c r="B3507" s="16" t="inlineStr">
        <is>
          <t>PO-128-19174632899191007</t>
        </is>
      </c>
      <c r="C3507" s="16" t="inlineStr">
        <is>
          <t>Shipped</t>
        </is>
      </c>
      <c r="D3507" s="16" t="inlineStr">
        <is>
          <t>128-19174653870711007</t>
        </is>
      </c>
      <c r="E3507" s="16" t="inlineStr">
        <is>
          <t>Shipped</t>
        </is>
      </c>
      <c r="F3507" s="16" t="inlineStr">
        <is>
          <t>LB02235-azul</t>
        </is>
      </c>
      <c r="G3507" s="16" t="inlineStr">
        <is>
          <t>Audífonos Inalámbricos para la Cabeza, Recargables y Multifuncionales - Conectan a Varios Dispositivos, soportan Radio FM, Tarjeta TF y AUX - 4 Horas de Reproducción Musical - Ideal para Trabajo Cotidiano, Juegos y Estudio</t>
        </is>
      </c>
      <c r="H3507" s="16" t="inlineStr">
        <is>
          <t>AZUL</t>
        </is>
      </c>
      <c r="I3507" s="16" t="n">
        <v>1</v>
      </c>
      <c r="J3507" s="17" t="n">
        <v>29</v>
      </c>
      <c r="K3507" s="17" t="n">
        <v>42.11</v>
      </c>
      <c r="L3507" s="17" t="n">
        <v>25.86</v>
      </c>
      <c r="M3507" s="17" t="n">
        <v>0</v>
      </c>
      <c r="N3507" s="17">
        <f>K3507*0.08+L3507*0.08</f>
        <v/>
      </c>
      <c r="O3507" s="17">
        <f>-(K3507*0.025+L3507*0.025)</f>
        <v/>
      </c>
      <c r="P3507" s="17">
        <f>32</f>
        <v/>
      </c>
      <c r="Q3507" s="17">
        <f>J3507+L3507+N3507+O3507-P3507-M3507</f>
        <v/>
      </c>
    </row>
    <row r="3508">
      <c r="A3508" s="16" t="inlineStr">
        <is>
          <t>5.29-6.4</t>
        </is>
      </c>
      <c r="B3508" s="16" t="inlineStr">
        <is>
          <t>PO-128-18651120927354063</t>
        </is>
      </c>
      <c r="C3508" s="16" t="inlineStr">
        <is>
          <t>Shipped</t>
        </is>
      </c>
      <c r="D3508" s="16" t="inlineStr">
        <is>
          <t>128-18651162870394063</t>
        </is>
      </c>
      <c r="E3508" s="16" t="inlineStr">
        <is>
          <t>Shipped</t>
        </is>
      </c>
      <c r="F3508" s="16" t="inlineStr">
        <is>
          <t>LB02235-azul</t>
        </is>
      </c>
      <c r="G3508" s="16" t="inlineStr">
        <is>
          <t>Audífonos Inalámbricos para la Cabeza, Recargables y Multifuncionales - Conectan a Varios Dispositivos, soportan Radio FM, Tarjeta TF y AUX - 4 Horas de Reproducción Musical - Ideal para Trabajo Cotidiano, Juegos y Estudio</t>
        </is>
      </c>
      <c r="H3508" s="16" t="inlineStr">
        <is>
          <t>AZUL</t>
        </is>
      </c>
      <c r="I3508" s="16" t="n">
        <v>1</v>
      </c>
      <c r="J3508" s="17" t="n">
        <v>29</v>
      </c>
      <c r="K3508" s="17" t="n">
        <v>42.11</v>
      </c>
      <c r="L3508" s="17" t="n">
        <v>25.86</v>
      </c>
      <c r="M3508" s="17" t="n">
        <v>0</v>
      </c>
      <c r="N3508" s="17">
        <f>K3508*0.08+L3508*0.08</f>
        <v/>
      </c>
      <c r="O3508" s="17">
        <f>-(K3508*0.025+L3508*0.025)</f>
        <v/>
      </c>
      <c r="P3508" s="17">
        <f>32</f>
        <v/>
      </c>
      <c r="Q3508" s="17">
        <f>J3508+L3508+N3508+O3508-P3508-M3508</f>
        <v/>
      </c>
    </row>
    <row r="3509">
      <c r="A3509" s="16" t="inlineStr">
        <is>
          <t>5.29-6.4</t>
        </is>
      </c>
      <c r="B3509" s="16" t="inlineStr">
        <is>
          <t>PO-128-19197096602230873</t>
        </is>
      </c>
      <c r="C3509" s="16" t="inlineStr">
        <is>
          <t>Shipped</t>
        </is>
      </c>
      <c r="D3509" s="16" t="inlineStr">
        <is>
          <t>128-19197065144950873</t>
        </is>
      </c>
      <c r="E3509" s="16" t="inlineStr">
        <is>
          <t>Shipped</t>
        </is>
      </c>
      <c r="F3509" s="16" t="inlineStr">
        <is>
          <t>MB-178-B</t>
        </is>
      </c>
      <c r="G3509" s="16" t="inlineStr">
        <is>
          <t>Bocina de Barra Bluetooth LINK BITS con dos altavoces, sonido de alta calidad y multifuncional (Bluetooth, Radio FM, USB, TF, AUX, TWS), ideal para juegos, reuniones, oficina y cine en casa.</t>
        </is>
      </c>
      <c r="H3509" s="16" t="inlineStr">
        <is>
          <t>BLANCO</t>
        </is>
      </c>
      <c r="I3509" s="16" t="n">
        <v>1</v>
      </c>
      <c r="J3509" s="17" t="n">
        <v>129</v>
      </c>
      <c r="K3509" s="17" t="n">
        <v>148.34</v>
      </c>
      <c r="L3509" s="17" t="n">
        <v>0</v>
      </c>
      <c r="M3509" s="17" t="n">
        <v>0</v>
      </c>
      <c r="N3509" s="17">
        <f>K3509*0.08+L3509*0.08</f>
        <v/>
      </c>
      <c r="O3509" s="17">
        <f>-(K3509*0.025+L3509*0.025)</f>
        <v/>
      </c>
      <c r="P3509" s="17">
        <f>32</f>
        <v/>
      </c>
      <c r="Q3509" s="17">
        <f>J3509+L3509+N3509+O3509-P3509-M3509</f>
        <v/>
      </c>
    </row>
    <row r="3510">
      <c r="A3510" s="16" t="inlineStr">
        <is>
          <t>5.29-6.4</t>
        </is>
      </c>
      <c r="B3510" s="16" t="inlineStr">
        <is>
          <t>PO-128-19197096602230873</t>
        </is>
      </c>
      <c r="C3510" s="16" t="inlineStr">
        <is>
          <t>Shipped</t>
        </is>
      </c>
      <c r="D3510" s="16" t="inlineStr">
        <is>
          <t>128-19197149031030873</t>
        </is>
      </c>
      <c r="E3510" s="16" t="inlineStr">
        <is>
          <t>Shipped</t>
        </is>
      </c>
      <c r="F3510" s="16" t="inlineStr">
        <is>
          <t>MB-178-N</t>
        </is>
      </c>
      <c r="G3510" s="16" t="inlineStr">
        <is>
          <t>Bocina de Barra Bluetooth LINK BITS con dos altavoces, sonido de alta calidad y multifuncional (Bluetooth, Radio FM, USB, TF, AUX, TWS), ideal para juegos, reuniones, oficina y cine en casa.</t>
        </is>
      </c>
      <c r="H3510" s="16" t="inlineStr">
        <is>
          <t>NEGRO</t>
        </is>
      </c>
      <c r="I3510" s="16" t="n">
        <v>1</v>
      </c>
      <c r="J3510" s="17" t="n">
        <v>135</v>
      </c>
      <c r="K3510" s="17" t="n">
        <v>154.34</v>
      </c>
      <c r="L3510" s="17" t="n">
        <v>0</v>
      </c>
      <c r="M3510" s="17" t="n">
        <v>0</v>
      </c>
      <c r="N3510" s="17">
        <f>K3510*0.08+L3510*0.08</f>
        <v/>
      </c>
      <c r="O3510" s="17">
        <f>-(K3510*0.025+L3510*0.025)</f>
        <v/>
      </c>
      <c r="P3510" s="17">
        <f>32</f>
        <v/>
      </c>
      <c r="Q3510" s="17">
        <f>J3510+L3510+N3510+O3510-P3510-M3510</f>
        <v/>
      </c>
    </row>
    <row r="3511">
      <c r="A3511" s="16" t="inlineStr">
        <is>
          <t>5.29-6.4</t>
        </is>
      </c>
      <c r="B3511" s="16" t="inlineStr">
        <is>
          <t>PO-128-18739720438392511</t>
        </is>
      </c>
      <c r="C3511" s="16" t="inlineStr">
        <is>
          <t>Shipped</t>
        </is>
      </c>
      <c r="D3511" s="16" t="inlineStr">
        <is>
          <t>128-18739699466872511</t>
        </is>
      </c>
      <c r="E3511" s="16" t="inlineStr">
        <is>
          <t>Shipped</t>
        </is>
      </c>
      <c r="F3511" s="16" t="inlineStr">
        <is>
          <t>MCM-001A</t>
        </is>
      </c>
      <c r="G3511" s="16" t="inlineStr">
        <is>
          <t>Musicord Altavoz Inalámbrico BT Portátil: ¡Sonido impactante, luces LED multicolores y 4 horas de autonomía! Compatible con TWS, FM, TF y USB – Imprescindible para fiestas y viajes</t>
        </is>
      </c>
      <c r="H3511" s="16" t="inlineStr">
        <is>
          <t>AZUL</t>
        </is>
      </c>
      <c r="I3511" s="16" t="n">
        <v>1</v>
      </c>
      <c r="J3511" s="17" t="n">
        <v>66.5</v>
      </c>
      <c r="K3511" s="17" t="n">
        <v>77.78</v>
      </c>
      <c r="L3511" s="17" t="n">
        <v>25.86</v>
      </c>
      <c r="M3511" s="17" t="n">
        <v>0</v>
      </c>
      <c r="N3511" s="17">
        <f>K3511*0.08+L3511*0.08</f>
        <v/>
      </c>
      <c r="O3511" s="17">
        <f>-(K3511*0.025+L3511*0.025)</f>
        <v/>
      </c>
      <c r="P3511" s="17">
        <f>32</f>
        <v/>
      </c>
      <c r="Q3511" s="17">
        <f>J3511+L3511+N3511+O3511-P3511-M3511</f>
        <v/>
      </c>
    </row>
    <row r="3512">
      <c r="A3512" s="16" t="inlineStr">
        <is>
          <t>5.29-6.4</t>
        </is>
      </c>
      <c r="B3512" s="16" t="inlineStr">
        <is>
          <t>PO-128-19139793285750060</t>
        </is>
      </c>
      <c r="C3512" s="16" t="inlineStr">
        <is>
          <t>Shipped</t>
        </is>
      </c>
      <c r="D3512" s="16" t="inlineStr">
        <is>
          <t>128-19139840471670060</t>
        </is>
      </c>
      <c r="E3512" s="16" t="inlineStr">
        <is>
          <t>Shipped</t>
        </is>
      </c>
      <c r="F3512" s="16" t="inlineStr">
        <is>
          <t>LB02235-blanco</t>
        </is>
      </c>
      <c r="G3512" s="16" t="inlineStr">
        <is>
          <t>Audífonos Inalámbricos para la Cabeza, Recargables y Multifuncionales - Conectan a Varios Dispositivos, soportan Radio FM, Tarjeta TF y AUX - 4 Horas de Reproducción Musical - Ideal para Trabajo Cotidiano, Juegos y Estudio</t>
        </is>
      </c>
      <c r="H3512" s="16" t="inlineStr">
        <is>
          <t>BLANCO</t>
        </is>
      </c>
      <c r="I3512" s="16" t="n">
        <v>1</v>
      </c>
      <c r="J3512" s="17" t="n">
        <v>36.8</v>
      </c>
      <c r="K3512" s="17" t="n">
        <v>49.91</v>
      </c>
      <c r="L3512" s="17" t="n">
        <v>25.86</v>
      </c>
      <c r="M3512" s="17" t="n">
        <v>0</v>
      </c>
      <c r="N3512" s="17">
        <f>K3512*0.08+L3512*0.08</f>
        <v/>
      </c>
      <c r="O3512" s="17">
        <f>-(K3512*0.025+L3512*0.025)</f>
        <v/>
      </c>
      <c r="P3512" s="17">
        <f>32</f>
        <v/>
      </c>
      <c r="Q3512" s="17">
        <f>J3512+L3512+N3512+O3512-P3512-M3512</f>
        <v/>
      </c>
    </row>
    <row r="3513">
      <c r="A3513" s="16" t="inlineStr">
        <is>
          <t>5.29-6.4</t>
        </is>
      </c>
      <c r="B3513" s="16" t="inlineStr">
        <is>
          <t>PO-128-18846040259192901</t>
        </is>
      </c>
      <c r="C3513" s="16" t="inlineStr">
        <is>
          <t>Shipped</t>
        </is>
      </c>
      <c r="D3513" s="16" t="inlineStr">
        <is>
          <t>128-18846021909112901</t>
        </is>
      </c>
      <c r="E3513" s="16" t="inlineStr">
        <is>
          <t>Shipped</t>
        </is>
      </c>
      <c r="F3513" s="16" t="inlineStr">
        <is>
          <t>MCM-001N</t>
        </is>
      </c>
      <c r="G3513" s="16" t="inlineStr">
        <is>
          <t>Musicord Altavoz Inalámbrico BT Portátil: ¡Sonido impactante, luces LED multicolores y 4 horas de autonomía! Compatible con TWS, FM, TF y USB – Imprescindible para fiestas y viajes</t>
        </is>
      </c>
      <c r="H3513" s="16" t="inlineStr">
        <is>
          <t>NEGRO</t>
        </is>
      </c>
      <c r="I3513" s="16" t="n">
        <v>1</v>
      </c>
      <c r="J3513" s="17" t="n">
        <v>52</v>
      </c>
      <c r="K3513" s="17" t="n">
        <v>59.65</v>
      </c>
      <c r="L3513" s="17" t="n">
        <v>25.86</v>
      </c>
      <c r="M3513" s="17" t="n">
        <v>0</v>
      </c>
      <c r="N3513" s="17">
        <f>K3513*0.08+L3513*0.08</f>
        <v/>
      </c>
      <c r="O3513" s="17">
        <f>-(K3513*0.025+L3513*0.025)</f>
        <v/>
      </c>
      <c r="P3513" s="17">
        <f>32</f>
        <v/>
      </c>
      <c r="Q3513" s="17">
        <f>J3513+L3513+N3513+O3513-P3513-M3513</f>
        <v/>
      </c>
    </row>
    <row r="3514">
      <c r="A3514" s="16" t="inlineStr">
        <is>
          <t>5.29-6.4</t>
        </is>
      </c>
      <c r="B3514" s="16" t="inlineStr">
        <is>
          <t>PO-128-18990017690231979</t>
        </is>
      </c>
      <c r="C3514" s="16" t="inlineStr">
        <is>
          <t>Shipped</t>
        </is>
      </c>
      <c r="D3514" s="16" t="inlineStr">
        <is>
          <t>128-18990028175991979</t>
        </is>
      </c>
      <c r="E3514" s="16" t="inlineStr">
        <is>
          <t>Shipped</t>
        </is>
      </c>
      <c r="F3514" s="16" t="inlineStr">
        <is>
          <t>LB02235-azul</t>
        </is>
      </c>
      <c r="G3514" s="16" t="inlineStr">
        <is>
          <t>Audífonos Inalámbricos para la Cabeza, Recargables y Multifuncionales - Conectan a Varios Dispositivos, soportan Radio FM, Tarjeta TF y AUX - 4 Horas de Reproducción Musical - Ideal para Trabajo Cotidiano, Juegos y Estudio</t>
        </is>
      </c>
      <c r="H3514" s="16" t="inlineStr">
        <is>
          <t>AZUL</t>
        </is>
      </c>
      <c r="I3514" s="16" t="n">
        <v>1</v>
      </c>
      <c r="J3514" s="17" t="n">
        <v>29</v>
      </c>
      <c r="K3514" s="17" t="n">
        <v>42.11</v>
      </c>
      <c r="L3514" s="17" t="n">
        <v>25.86</v>
      </c>
      <c r="M3514" s="17" t="n">
        <v>0</v>
      </c>
      <c r="N3514" s="17">
        <f>K3514*0.08+L3514*0.08</f>
        <v/>
      </c>
      <c r="O3514" s="17">
        <f>-(K3514*0.025+L3514*0.025)</f>
        <v/>
      </c>
      <c r="P3514" s="17">
        <f>32</f>
        <v/>
      </c>
      <c r="Q3514" s="17">
        <f>J3514+L3514+N3514+O3514-P3514-M3514</f>
        <v/>
      </c>
    </row>
    <row r="3515">
      <c r="A3515" s="16" t="inlineStr">
        <is>
          <t>5.29-6.4</t>
        </is>
      </c>
      <c r="B3515" s="16" t="inlineStr">
        <is>
          <t>PO-128-18566248725113545</t>
        </is>
      </c>
      <c r="C3515" s="16" t="inlineStr">
        <is>
          <t>Shipped</t>
        </is>
      </c>
      <c r="D3515" s="16" t="inlineStr">
        <is>
          <t>128-18566196296313545</t>
        </is>
      </c>
      <c r="E3515" s="16" t="inlineStr">
        <is>
          <t>Shipped</t>
        </is>
      </c>
      <c r="F3515" s="16" t="inlineStr">
        <is>
          <t>LB02235-negro</t>
        </is>
      </c>
      <c r="G3515" s="16" t="inlineStr">
        <is>
          <t>Audífonos Inalámbricos para la Cabeza, Recargables y Multifuncionales - Conectan a Varios Dispositivos, soportan Radio FM, Tarjeta TF y AUX - 4 Horas de Reproducción Musical - Ideal para Trabajo Cotidiano, Juegos y Estudio</t>
        </is>
      </c>
      <c r="H3515" s="16" t="inlineStr">
        <is>
          <t>NEGRO</t>
        </is>
      </c>
      <c r="I3515" s="16" t="n">
        <v>1</v>
      </c>
      <c r="J3515" s="17" t="n">
        <v>36.8</v>
      </c>
      <c r="K3515" s="17" t="n">
        <v>49.91</v>
      </c>
      <c r="L3515" s="17" t="n">
        <v>25.86</v>
      </c>
      <c r="M3515" s="17" t="n">
        <v>0</v>
      </c>
      <c r="N3515" s="17">
        <f>K3515*0.08+L3515*0.08</f>
        <v/>
      </c>
      <c r="O3515" s="17">
        <f>-(K3515*0.025+L3515*0.025)</f>
        <v/>
      </c>
      <c r="P3515" s="17">
        <f>32</f>
        <v/>
      </c>
      <c r="Q3515" s="17">
        <f>J3515+L3515+N3515+O3515-P3515-M3515</f>
        <v/>
      </c>
    </row>
    <row r="3516">
      <c r="A3516" s="16" t="inlineStr">
        <is>
          <t>5.29-6.4</t>
        </is>
      </c>
      <c r="B3516" s="16" t="inlineStr">
        <is>
          <t>PO-128-18740952074872502</t>
        </is>
      </c>
      <c r="C3516" s="16" t="inlineStr">
        <is>
          <t>Shipped</t>
        </is>
      </c>
      <c r="D3516" s="16" t="inlineStr">
        <is>
          <t>128-18740910131832502</t>
        </is>
      </c>
      <c r="E3516" s="16" t="inlineStr">
        <is>
          <t>Shipped</t>
        </is>
      </c>
      <c r="F3516" s="16" t="inlineStr">
        <is>
          <t>LB02235-azul</t>
        </is>
      </c>
      <c r="G3516" s="16" t="inlineStr">
        <is>
          <t>Audífonos Inalámbricos para la Cabeza, Recargables y Multifuncionales - Conectan a Varios Dispositivos, soportan Radio FM, Tarjeta TF y AUX - 4 Horas de Reproducción Musical - Ideal para Trabajo Cotidiano, Juegos y Estudio</t>
        </is>
      </c>
      <c r="H3516" s="16" t="inlineStr">
        <is>
          <t>AZUL</t>
        </is>
      </c>
      <c r="I3516" s="16" t="n">
        <v>7</v>
      </c>
      <c r="J3516" s="17" t="n">
        <v>203</v>
      </c>
      <c r="K3516" s="17" t="n">
        <v>294.77</v>
      </c>
      <c r="L3516" s="17" t="n">
        <v>0</v>
      </c>
      <c r="M3516" s="17" t="n">
        <v>0</v>
      </c>
      <c r="N3516" s="17">
        <f>K3516*0.08+L3516*0.08</f>
        <v/>
      </c>
      <c r="O3516" s="17">
        <f>-(K3516*0.025+L3516*0.025)</f>
        <v/>
      </c>
      <c r="P3516" s="17">
        <f>32</f>
        <v/>
      </c>
      <c r="Q3516" s="17">
        <f>J3516+L3516+N3516+O3516-P3516-M3516</f>
        <v/>
      </c>
    </row>
    <row r="3517">
      <c r="A3517" s="16" t="inlineStr">
        <is>
          <t>5.29-6.4</t>
        </is>
      </c>
      <c r="B3517" s="16" t="inlineStr">
        <is>
          <t>PO-128-18755327058552352</t>
        </is>
      </c>
      <c r="C3517" s="16" t="inlineStr">
        <is>
          <t>Shipped</t>
        </is>
      </c>
      <c r="D3517" s="16" t="inlineStr">
        <is>
          <t>128-18755306087032352</t>
        </is>
      </c>
      <c r="E3517" s="16" t="inlineStr">
        <is>
          <t>Shipped</t>
        </is>
      </c>
      <c r="F3517" s="16" t="inlineStr">
        <is>
          <t>LB02235-negro</t>
        </is>
      </c>
      <c r="G3517" s="16" t="inlineStr">
        <is>
          <t>Audífonos Inalámbricos para la Cabeza, Recargables y Multifuncionales - Conectan a Varios Dispositivos, soportan Radio FM, Tarjeta TF y AUX - 4 Horas de Reproducción Musical - Ideal para Trabajo Cotidiano, Juegos y Estudio</t>
        </is>
      </c>
      <c r="H3517" s="16" t="inlineStr">
        <is>
          <t>NEGRO</t>
        </is>
      </c>
      <c r="I3517" s="16" t="n">
        <v>1</v>
      </c>
      <c r="J3517" s="17" t="n">
        <v>36.8</v>
      </c>
      <c r="K3517" s="17" t="n">
        <v>39.94</v>
      </c>
      <c r="L3517" s="17" t="n">
        <v>25.86</v>
      </c>
      <c r="M3517" s="17" t="n">
        <v>0</v>
      </c>
      <c r="N3517" s="17">
        <f>K3517*0.08+L3517*0.08</f>
        <v/>
      </c>
      <c r="O3517" s="17">
        <f>-(K3517*0.025+L3517*0.025)</f>
        <v/>
      </c>
      <c r="P3517" s="17">
        <f>32</f>
        <v/>
      </c>
      <c r="Q3517" s="17">
        <f>J3517+L3517+N3517+O3517-P3517-M3517</f>
        <v/>
      </c>
    </row>
    <row r="3518">
      <c r="A3518" s="16" t="inlineStr">
        <is>
          <t>5.29-6.4</t>
        </is>
      </c>
      <c r="B3518" s="16" t="inlineStr">
        <is>
          <t>PO-128-18880905513592564</t>
        </is>
      </c>
      <c r="C3518" s="16" t="inlineStr">
        <is>
          <t>Shipped</t>
        </is>
      </c>
      <c r="D3518" s="16" t="inlineStr">
        <is>
          <t>128-18880884542072564</t>
        </is>
      </c>
      <c r="E3518" s="16" t="inlineStr">
        <is>
          <t>Shipped</t>
        </is>
      </c>
      <c r="F3518" s="16" t="inlineStr">
        <is>
          <t>EM04W36</t>
        </is>
      </c>
      <c r="G351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518" s="16" t="inlineStr">
        <is>
          <t>1 pieza</t>
        </is>
      </c>
      <c r="I3518" s="16" t="n">
        <v>1</v>
      </c>
      <c r="J3518" s="17" t="n">
        <v>78.81</v>
      </c>
      <c r="K3518" s="17" t="n">
        <v>88.09</v>
      </c>
      <c r="L3518" s="17" t="n">
        <v>25.86</v>
      </c>
      <c r="M3518" s="17" t="n">
        <v>0</v>
      </c>
      <c r="N3518" s="17">
        <f>K3518*0.08+L3518*0.08</f>
        <v/>
      </c>
      <c r="O3518" s="17">
        <f>-(K3518*0.025+L3518*0.025)</f>
        <v/>
      </c>
      <c r="P3518" s="17">
        <f>32</f>
        <v/>
      </c>
      <c r="Q3518" s="17">
        <f>J3518+L3518+N3518+O3518-P3518-M3518</f>
        <v/>
      </c>
    </row>
    <row r="3519">
      <c r="A3519" s="16" t="inlineStr">
        <is>
          <t>5.29-6.4</t>
        </is>
      </c>
      <c r="B3519" s="16" t="inlineStr">
        <is>
          <t>PO-128-19080326554230417</t>
        </is>
      </c>
      <c r="C3519" s="16" t="inlineStr">
        <is>
          <t>Shipped</t>
        </is>
      </c>
      <c r="D3519" s="16" t="inlineStr">
        <is>
          <t>128-19080289854070417</t>
        </is>
      </c>
      <c r="E3519" s="16" t="inlineStr">
        <is>
          <t>Shipped</t>
        </is>
      </c>
      <c r="F3519" s="16" t="inlineStr">
        <is>
          <t>LB02235-negro</t>
        </is>
      </c>
      <c r="G3519" s="16" t="inlineStr">
        <is>
          <t>Audífonos Inalámbricos para la Cabeza, Recargables y Multifuncionales - Conectan a Varios Dispositivos, soportan Radio FM, Tarjeta TF y AUX - 4 Horas de Reproducción Musical - Ideal para Trabajo Cotidiano, Juegos y Estudio</t>
        </is>
      </c>
      <c r="H3519" s="16" t="inlineStr">
        <is>
          <t>NEGRO</t>
        </is>
      </c>
      <c r="I3519" s="16" t="n">
        <v>1</v>
      </c>
      <c r="J3519" s="17" t="n">
        <v>36.8</v>
      </c>
      <c r="K3519" s="17" t="n">
        <v>49.91</v>
      </c>
      <c r="L3519" s="17" t="n">
        <v>25.86</v>
      </c>
      <c r="M3519" s="17" t="n">
        <v>0</v>
      </c>
      <c r="N3519" s="17">
        <f>K3519*0.08+L3519*0.08</f>
        <v/>
      </c>
      <c r="O3519" s="17">
        <f>-(K3519*0.025+L3519*0.025)</f>
        <v/>
      </c>
      <c r="P3519" s="17">
        <f>32</f>
        <v/>
      </c>
      <c r="Q3519" s="17">
        <f>J3519+L3519+N3519+O3519-P3519-M3519</f>
        <v/>
      </c>
    </row>
    <row r="3520">
      <c r="A3520" s="16" t="inlineStr">
        <is>
          <t>5.29-6.4</t>
        </is>
      </c>
      <c r="B3520" s="16" t="inlineStr">
        <is>
          <t>PO-128-18566600295033543</t>
        </is>
      </c>
      <c r="C3520" s="16" t="inlineStr">
        <is>
          <t>Shipped</t>
        </is>
      </c>
      <c r="D3520" s="16" t="inlineStr">
        <is>
          <t>128-18566668452473543</t>
        </is>
      </c>
      <c r="E3520" s="16" t="inlineStr">
        <is>
          <t>Shipped</t>
        </is>
      </c>
      <c r="F3520" s="16" t="inlineStr">
        <is>
          <t>LB02235-negro</t>
        </is>
      </c>
      <c r="G3520" s="16" t="inlineStr">
        <is>
          <t>Audífonos Inalámbricos para la Cabeza, Recargables y Multifuncionales - Conectan a Varios Dispositivos, soportan Radio FM, Tarjeta TF y AUX - 4 Horas de Reproducción Musical - Ideal para Trabajo Cotidiano, Juegos y Estudio</t>
        </is>
      </c>
      <c r="H3520" s="16" t="inlineStr">
        <is>
          <t>NEGRO</t>
        </is>
      </c>
      <c r="I3520" s="16" t="n">
        <v>1</v>
      </c>
      <c r="J3520" s="17" t="n">
        <v>36.8</v>
      </c>
      <c r="K3520" s="17" t="n">
        <v>49.91</v>
      </c>
      <c r="L3520" s="17" t="n">
        <v>25.86</v>
      </c>
      <c r="M3520" s="17" t="n">
        <v>0</v>
      </c>
      <c r="N3520" s="17">
        <f>K3520*0.08+L3520*0.08</f>
        <v/>
      </c>
      <c r="O3520" s="17">
        <f>-(K3520*0.025+L3520*0.025)</f>
        <v/>
      </c>
      <c r="P3520" s="17">
        <f>32</f>
        <v/>
      </c>
      <c r="Q3520" s="17">
        <f>J3520+L3520+N3520+O3520-P3520-M3520</f>
        <v/>
      </c>
    </row>
    <row r="3521">
      <c r="A3521" s="16" t="inlineStr">
        <is>
          <t>5.29-6.4</t>
        </is>
      </c>
      <c r="B3521" s="16" t="inlineStr">
        <is>
          <t>PO-128-18993086044791961</t>
        </is>
      </c>
      <c r="C3521" s="16" t="inlineStr">
        <is>
          <t>Shipped</t>
        </is>
      </c>
      <c r="D3521" s="16" t="inlineStr">
        <is>
          <t>128-18993012644471961</t>
        </is>
      </c>
      <c r="E3521" s="16" t="inlineStr">
        <is>
          <t>Shipped</t>
        </is>
      </c>
      <c r="F3521" s="16" t="inlineStr">
        <is>
          <t>LB02235-negro</t>
        </is>
      </c>
      <c r="G3521" s="16" t="inlineStr">
        <is>
          <t>Audífonos Inalámbricos para la Cabeza, Recargables y Multifuncionales - Conectan a Varios Dispositivos, soportan Radio FM, Tarjeta TF y AUX - 4 Horas de Reproducción Musical - Ideal para Trabajo Cotidiano, Juegos y Estudio</t>
        </is>
      </c>
      <c r="H3521" s="16" t="inlineStr">
        <is>
          <t>NEGRO</t>
        </is>
      </c>
      <c r="I3521" s="16" t="n">
        <v>1</v>
      </c>
      <c r="J3521" s="17" t="n">
        <v>36.8</v>
      </c>
      <c r="K3521" s="17" t="n">
        <v>49.91</v>
      </c>
      <c r="L3521" s="17" t="n">
        <v>25.86</v>
      </c>
      <c r="M3521" s="17" t="n">
        <v>0</v>
      </c>
      <c r="N3521" s="17">
        <f>K3521*0.08+L3521*0.08</f>
        <v/>
      </c>
      <c r="O3521" s="17">
        <f>-(K3521*0.025+L3521*0.025)</f>
        <v/>
      </c>
      <c r="P3521" s="17">
        <f>32</f>
        <v/>
      </c>
      <c r="Q3521" s="17">
        <f>J3521+L3521+N3521+O3521-P3521-M3521</f>
        <v/>
      </c>
    </row>
    <row r="3522">
      <c r="A3522" s="16" t="inlineStr">
        <is>
          <t>5.29-6.4</t>
        </is>
      </c>
      <c r="B3522" s="16" t="inlineStr">
        <is>
          <t>PO-128-19241177559670608</t>
        </is>
      </c>
      <c r="C3522" s="16" t="inlineStr">
        <is>
          <t>Shipped</t>
        </is>
      </c>
      <c r="D3522" s="16" t="inlineStr">
        <is>
          <t>128-19241188045430608</t>
        </is>
      </c>
      <c r="E3522" s="16" t="inlineStr">
        <is>
          <t>Shipped</t>
        </is>
      </c>
      <c r="F3522" s="16" t="inlineStr">
        <is>
          <t>KTS-1678A</t>
        </is>
      </c>
      <c r="G3522" s="16" t="inlineStr">
        <is>
          <t>Bocina portátil Inalámbrico, de 3 pulgadas, tamaño de bolsillo, 170 g, con asa, compatible con TF, USB y Micro SD, con radio FM y función TWS (True Wireless Stereo), adecuada para relajarse en casa o viajar al aire libre.</t>
        </is>
      </c>
      <c r="H3522" s="16" t="inlineStr">
        <is>
          <t>KTS-1678A</t>
        </is>
      </c>
      <c r="I3522" s="16" t="n">
        <v>1</v>
      </c>
      <c r="J3522" s="17" t="n">
        <v>42.5</v>
      </c>
      <c r="K3522" s="17" t="n">
        <v>45.11</v>
      </c>
      <c r="L3522" s="17" t="n">
        <v>25.86</v>
      </c>
      <c r="M3522" s="17" t="n">
        <v>0</v>
      </c>
      <c r="N3522" s="17">
        <f>K3522*0.08+L3522*0.08</f>
        <v/>
      </c>
      <c r="O3522" s="17">
        <f>-(K3522*0.025+L3522*0.025)</f>
        <v/>
      </c>
      <c r="P3522" s="17">
        <f>32</f>
        <v/>
      </c>
      <c r="Q3522" s="17">
        <f>J3522+L3522+N3522+O3522-P3522-M3522</f>
        <v/>
      </c>
    </row>
    <row r="3523">
      <c r="A3523" s="16" t="inlineStr">
        <is>
          <t>5.29-6.4</t>
        </is>
      </c>
      <c r="B3523" s="16" t="inlineStr">
        <is>
          <t>PO-128-18826466166393016</t>
        </is>
      </c>
      <c r="C3523" s="16" t="inlineStr">
        <is>
          <t>Shipped</t>
        </is>
      </c>
      <c r="D3523" s="16" t="inlineStr">
        <is>
          <t>128-18826445194873016</t>
        </is>
      </c>
      <c r="E3523" s="16" t="inlineStr">
        <is>
          <t>Shipped</t>
        </is>
      </c>
      <c r="F3523" s="16" t="inlineStr">
        <is>
          <t>LB02235-azul</t>
        </is>
      </c>
      <c r="G3523" s="16" t="inlineStr">
        <is>
          <t>Audífonos Inalámbricos para la Cabeza, Recargables y Multifuncionales - Conectan a Varios Dispositivos, soportan Radio FM, Tarjeta TF y AUX - 4 Horas de Reproducción Musical - Ideal para Trabajo Cotidiano, Juegos y Estudio</t>
        </is>
      </c>
      <c r="H3523" s="16" t="inlineStr">
        <is>
          <t>AZUL</t>
        </is>
      </c>
      <c r="I3523" s="16" t="n">
        <v>1</v>
      </c>
      <c r="J3523" s="17" t="n">
        <v>29</v>
      </c>
      <c r="K3523" s="17" t="n">
        <v>42.11</v>
      </c>
      <c r="L3523" s="17" t="n">
        <v>25.86</v>
      </c>
      <c r="M3523" s="17" t="n">
        <v>0</v>
      </c>
      <c r="N3523" s="17">
        <f>K3523*0.08+L3523*0.08</f>
        <v/>
      </c>
      <c r="O3523" s="17">
        <f>-(K3523*0.025+L3523*0.025)</f>
        <v/>
      </c>
      <c r="P3523" s="17">
        <f>32</f>
        <v/>
      </c>
      <c r="Q3523" s="17">
        <f>J3523+L3523+N3523+O3523-P3523-M3523</f>
        <v/>
      </c>
    </row>
    <row r="3524">
      <c r="A3524" s="16" t="inlineStr">
        <is>
          <t>5.29-6.4</t>
        </is>
      </c>
      <c r="B3524" s="16" t="inlineStr">
        <is>
          <t>PO-128-18745479951992541</t>
        </is>
      </c>
      <c r="C3524" s="16" t="inlineStr">
        <is>
          <t>Shipped</t>
        </is>
      </c>
      <c r="D3524" s="16" t="inlineStr">
        <is>
          <t>128-18745438008952541</t>
        </is>
      </c>
      <c r="E3524" s="16" t="inlineStr">
        <is>
          <t>Shipped</t>
        </is>
      </c>
      <c r="F3524" s="16" t="inlineStr">
        <is>
          <t>VA384T-N</t>
        </is>
      </c>
      <c r="G3524" s="16" t="inlineStr">
        <is>
          <t>Bocina Portátil Bluetooth de 3 Pulgadas con Radio FM, USB TF TWS, Sonido Estéreo 5W, Bocina Recargable para Hogar Exterior Viaje Fiesta Camping</t>
        </is>
      </c>
      <c r="H3524" s="16" t="inlineStr">
        <is>
          <t>NEGRO</t>
        </is>
      </c>
      <c r="I3524" s="16" t="n">
        <v>1</v>
      </c>
      <c r="J3524" s="17" t="n">
        <v>50</v>
      </c>
      <c r="K3524" s="17" t="n">
        <v>17.62</v>
      </c>
      <c r="L3524" s="17" t="n">
        <v>25.86</v>
      </c>
      <c r="M3524" s="17" t="n">
        <v>0</v>
      </c>
      <c r="N3524" s="17">
        <f>K3524*0.08+L3524*0.08</f>
        <v/>
      </c>
      <c r="O3524" s="17">
        <f>-(K3524*0.025+L3524*0.025)</f>
        <v/>
      </c>
      <c r="P3524" s="17">
        <f>32</f>
        <v/>
      </c>
      <c r="Q3524" s="17">
        <f>J3524+L3524+N3524+O3524-P3524-M3524</f>
        <v/>
      </c>
    </row>
    <row r="3525">
      <c r="A3525" s="16" t="inlineStr">
        <is>
          <t>5.29-6.4</t>
        </is>
      </c>
      <c r="B3525" s="16" t="inlineStr">
        <is>
          <t>PO-128-18987245855351930</t>
        </is>
      </c>
      <c r="C3525" s="16" t="inlineStr">
        <is>
          <t>Shipped</t>
        </is>
      </c>
      <c r="D3525" s="16" t="inlineStr">
        <is>
          <t>128-18987272069751930</t>
        </is>
      </c>
      <c r="E3525" s="16" t="inlineStr">
        <is>
          <t>Shipped</t>
        </is>
      </c>
      <c r="F3525" s="16" t="inlineStr">
        <is>
          <t>MB-178-N</t>
        </is>
      </c>
      <c r="G3525" s="16" t="inlineStr">
        <is>
          <t>Bocina de Barra Bluetooth LINK BITS con dos altavoces, sonido de alta calidad y multifuncional (Bluetooth, Radio FM, USB, TF, AUX, TWS), ideal para juegos, reuniones, oficina y cine en casa.</t>
        </is>
      </c>
      <c r="H3525" s="16" t="inlineStr">
        <is>
          <t>NEGRO</t>
        </is>
      </c>
      <c r="I3525" s="16" t="n">
        <v>1</v>
      </c>
      <c r="J3525" s="17" t="n">
        <v>135</v>
      </c>
      <c r="K3525" s="17" t="n">
        <v>154.34</v>
      </c>
      <c r="L3525" s="17" t="n">
        <v>25.86</v>
      </c>
      <c r="M3525" s="17" t="n">
        <v>0</v>
      </c>
      <c r="N3525" s="17">
        <f>K3525*0.08+L3525*0.08</f>
        <v/>
      </c>
      <c r="O3525" s="17">
        <f>-(K3525*0.025+L3525*0.025)</f>
        <v/>
      </c>
      <c r="P3525" s="17">
        <f>32</f>
        <v/>
      </c>
      <c r="Q3525" s="17">
        <f>J3525+L3525+N3525+O3525-P3525-M3525</f>
        <v/>
      </c>
    </row>
    <row r="3526">
      <c r="A3526" s="16" t="inlineStr">
        <is>
          <t>5.29-6.4</t>
        </is>
      </c>
      <c r="B3526" s="16" t="inlineStr">
        <is>
          <t>PO-128-19208962007670672</t>
        </is>
      </c>
      <c r="C3526" s="16" t="inlineStr">
        <is>
          <t>Shipped</t>
        </is>
      </c>
      <c r="D3526" s="16" t="inlineStr">
        <is>
          <t>128-19208930550390672</t>
        </is>
      </c>
      <c r="E3526" s="16" t="inlineStr">
        <is>
          <t>Shipped</t>
        </is>
      </c>
      <c r="F3526" s="16" t="inlineStr">
        <is>
          <t>VA880T</t>
        </is>
      </c>
      <c r="G352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26" s="16" t="inlineStr">
        <is>
          <t>1 pieza</t>
        </is>
      </c>
      <c r="I3526" s="16" t="n">
        <v>3</v>
      </c>
      <c r="J3526" s="17" t="n">
        <v>344.94</v>
      </c>
      <c r="K3526" s="17" t="n">
        <v>369.54</v>
      </c>
      <c r="L3526" s="17" t="n">
        <v>0</v>
      </c>
      <c r="M3526" s="17" t="n">
        <v>3.21</v>
      </c>
      <c r="N3526" s="17">
        <f>K3526*0.08+L3526*0.08</f>
        <v/>
      </c>
      <c r="O3526" s="17">
        <f>-(K3526*0.025+L3526*0.025)</f>
        <v/>
      </c>
      <c r="P3526" s="17">
        <f>32</f>
        <v/>
      </c>
      <c r="Q3526" s="17">
        <f>J3526+L3526+N3526+O3526-P3526-M3526</f>
        <v/>
      </c>
    </row>
    <row r="3527">
      <c r="A3527" s="16" t="inlineStr">
        <is>
          <t>5.29-6.4</t>
        </is>
      </c>
      <c r="B3527" s="16" t="inlineStr">
        <is>
          <t>PO-128-18591133061753397</t>
        </is>
      </c>
      <c r="C3527" s="16" t="inlineStr">
        <is>
          <t>Shipped</t>
        </is>
      </c>
      <c r="D3527" s="16" t="inlineStr">
        <is>
          <t>128-18591159276153397</t>
        </is>
      </c>
      <c r="E3527" s="16" t="inlineStr">
        <is>
          <t>Shipped</t>
        </is>
      </c>
      <c r="F3527" s="16" t="inlineStr">
        <is>
          <t>LB02235-rojo</t>
        </is>
      </c>
      <c r="G3527" s="16" t="inlineStr">
        <is>
          <t>Audífonos Inalámbricos para la Cabeza, Recargables y Multifuncionales - Conectan a Varios Dispositivos, soportan Radio FM, Tarjeta TF y AUX - 4 Horas de Reproducción Musical - Ideal para Trabajo Cotidiano, Juegos y Estudio</t>
        </is>
      </c>
      <c r="H3527" s="16" t="inlineStr">
        <is>
          <t>ROJO</t>
        </is>
      </c>
      <c r="I3527" s="16" t="n">
        <v>1</v>
      </c>
      <c r="J3527" s="17" t="n">
        <v>36.8</v>
      </c>
      <c r="K3527" s="17" t="n">
        <v>39.94</v>
      </c>
      <c r="L3527" s="17" t="n">
        <v>14.03</v>
      </c>
      <c r="M3527" s="17" t="n">
        <v>0</v>
      </c>
      <c r="N3527" s="17">
        <f>K3527*0.08+L3527*0.08</f>
        <v/>
      </c>
      <c r="O3527" s="17">
        <f>-(K3527*0.025+L3527*0.025)</f>
        <v/>
      </c>
      <c r="P3527" s="17">
        <f>32</f>
        <v/>
      </c>
      <c r="Q3527" s="17">
        <f>J3527+L3527+N3527+O3527-P3527-M3527</f>
        <v/>
      </c>
    </row>
    <row r="3528">
      <c r="A3528" s="16" t="inlineStr">
        <is>
          <t>5.29-6.4</t>
        </is>
      </c>
      <c r="B3528" s="16" t="inlineStr">
        <is>
          <t>PO-128-18591133061753397</t>
        </is>
      </c>
      <c r="C3528" s="16" t="inlineStr">
        <is>
          <t>Shipped</t>
        </is>
      </c>
      <c r="D3528" s="16" t="inlineStr">
        <is>
          <t>128-18591138304633397</t>
        </is>
      </c>
      <c r="E3528" s="16" t="inlineStr">
        <is>
          <t>Shipped</t>
        </is>
      </c>
      <c r="F3528" s="16" t="inlineStr">
        <is>
          <t>LB02235-azul</t>
        </is>
      </c>
      <c r="G3528" s="16" t="inlineStr">
        <is>
          <t>Audífonos Inalámbricos para la Cabeza, Recargables y Multifuncionales - Conectan a Varios Dispositivos, soportan Radio FM, Tarjeta TF y AUX - 4 Horas de Reproducción Musical - Ideal para Trabajo Cotidiano, Juegos y Estudio</t>
        </is>
      </c>
      <c r="H3528" s="16" t="inlineStr">
        <is>
          <t>AZUL</t>
        </is>
      </c>
      <c r="I3528" s="16" t="n">
        <v>1</v>
      </c>
      <c r="J3528" s="17" t="n">
        <v>29</v>
      </c>
      <c r="K3528" s="17" t="n">
        <v>33.69</v>
      </c>
      <c r="L3528" s="17" t="n">
        <v>11.83</v>
      </c>
      <c r="M3528" s="17" t="n">
        <v>0</v>
      </c>
      <c r="N3528" s="17">
        <f>K3528*0.08+L3528*0.08</f>
        <v/>
      </c>
      <c r="O3528" s="17">
        <f>-(K3528*0.025+L3528*0.025)</f>
        <v/>
      </c>
      <c r="P3528" s="17">
        <f>32</f>
        <v/>
      </c>
      <c r="Q3528" s="17">
        <f>J3528+L3528+N3528+O3528-P3528-M3528</f>
        <v/>
      </c>
    </row>
    <row r="3529">
      <c r="A3529" s="16" t="inlineStr">
        <is>
          <t>5.29-6.4</t>
        </is>
      </c>
      <c r="B3529" s="16" t="inlineStr">
        <is>
          <t>PO-128-18596830904953427</t>
        </is>
      </c>
      <c r="C3529" s="16" t="inlineStr">
        <is>
          <t>Shipped</t>
        </is>
      </c>
      <c r="D3529" s="16" t="inlineStr">
        <is>
          <t>128-18596788961913427</t>
        </is>
      </c>
      <c r="E3529" s="16" t="inlineStr">
        <is>
          <t>Shipped</t>
        </is>
      </c>
      <c r="F3529" s="16" t="inlineStr">
        <is>
          <t>KTS-1943-N</t>
        </is>
      </c>
      <c r="G3529" s="16" t="inlineStr">
        <is>
          <t>Altavoz Mini Karaoke Portátil BT con Micrófono Inalámbrico, Función TWS, Radio FM, USB/TF, Batería de Larga Duración, Perfecto para Casa, Exterior y Regalos Especiales</t>
        </is>
      </c>
      <c r="H3529" s="16" t="inlineStr">
        <is>
          <t>NEGRO</t>
        </is>
      </c>
      <c r="I3529" s="16" t="n">
        <v>1</v>
      </c>
      <c r="J3529" s="17" t="n">
        <v>67.5</v>
      </c>
      <c r="K3529" s="17" t="n">
        <v>83.09999999999999</v>
      </c>
      <c r="L3529" s="17" t="n">
        <v>25.86</v>
      </c>
      <c r="M3529" s="17" t="n">
        <v>0</v>
      </c>
      <c r="N3529" s="17">
        <f>K3529*0.08+L3529*0.08</f>
        <v/>
      </c>
      <c r="O3529" s="17">
        <f>-(K3529*0.025+L3529*0.025)</f>
        <v/>
      </c>
      <c r="P3529" s="17">
        <f>32</f>
        <v/>
      </c>
      <c r="Q3529" s="17">
        <f>J3529+L3529+N3529+O3529-P3529-M3529</f>
        <v/>
      </c>
    </row>
    <row r="3530">
      <c r="A3530" s="16" t="inlineStr">
        <is>
          <t>5.29-6.4</t>
        </is>
      </c>
      <c r="B3530" s="16" t="inlineStr">
        <is>
          <t>PO-128-07658755863674047</t>
        </is>
      </c>
      <c r="C3530" s="16" t="inlineStr">
        <is>
          <t>Shipped</t>
        </is>
      </c>
      <c r="D3530" s="16" t="inlineStr">
        <is>
          <t>128-07658787320954047</t>
        </is>
      </c>
      <c r="E3530" s="16" t="inlineStr">
        <is>
          <t>Shipped</t>
        </is>
      </c>
      <c r="F3530" s="16" t="inlineStr">
        <is>
          <t>LB02235-negro</t>
        </is>
      </c>
      <c r="G3530" s="16" t="inlineStr">
        <is>
          <t>Audífonos Inalámbricos para la Cabeza, Recargables y Multifuncionales - Conectan a Varios Dispositivos, soportan Radio FM, Tarjeta TF y AUX - 4 Horas de Reproducción Musical - Ideal para Trabajo Cotidiano, Juegos y Estudio</t>
        </is>
      </c>
      <c r="H3530" s="16" t="inlineStr">
        <is>
          <t>NEGRO</t>
        </is>
      </c>
      <c r="I3530" s="16" t="n">
        <v>1</v>
      </c>
      <c r="J3530" s="17" t="n">
        <v>36.8</v>
      </c>
      <c r="K3530" s="17" t="n">
        <v>49.91</v>
      </c>
      <c r="L3530" s="17" t="n">
        <v>25.86</v>
      </c>
      <c r="M3530" s="17" t="n">
        <v>0</v>
      </c>
      <c r="N3530" s="17">
        <f>K3530*0.08+L3530*0.08</f>
        <v/>
      </c>
      <c r="O3530" s="17">
        <f>-(K3530*0.025+L3530*0.025)</f>
        <v/>
      </c>
      <c r="P3530" s="17">
        <f>32</f>
        <v/>
      </c>
      <c r="Q3530" s="17">
        <f>J3530+L3530+N3530+O3530-P3530-M3530</f>
        <v/>
      </c>
    </row>
    <row r="3531">
      <c r="A3531" s="16" t="inlineStr">
        <is>
          <t>5.29-6.4</t>
        </is>
      </c>
      <c r="B3531" s="16" t="inlineStr">
        <is>
          <t>PO-128-07970044767351039</t>
        </is>
      </c>
      <c r="C3531" s="16" t="inlineStr">
        <is>
          <t>Shipped</t>
        </is>
      </c>
      <c r="D3531" s="16" t="inlineStr">
        <is>
          <t>128-07970065738871039</t>
        </is>
      </c>
      <c r="E3531" s="16" t="inlineStr">
        <is>
          <t>Shipped</t>
        </is>
      </c>
      <c r="F3531" s="16" t="inlineStr">
        <is>
          <t>LB02235-azul</t>
        </is>
      </c>
      <c r="G3531" s="16" t="inlineStr">
        <is>
          <t>Audífonos Inalámbricos para la Cabeza, Recargables y Multifuncionales - Conectan a Varios Dispositivos, soportan Radio FM, Tarjeta TF y AUX - 4 Horas de Reproducción Musical - Ideal para Trabajo Cotidiano, Juegos y Estudio</t>
        </is>
      </c>
      <c r="H3531" s="16" t="inlineStr">
        <is>
          <t>AZUL</t>
        </is>
      </c>
      <c r="I3531" s="16" t="n">
        <v>1</v>
      </c>
      <c r="J3531" s="17" t="n">
        <v>29</v>
      </c>
      <c r="K3531" s="17" t="n">
        <v>42.11</v>
      </c>
      <c r="L3531" s="17" t="n">
        <v>25.86</v>
      </c>
      <c r="M3531" s="17" t="n">
        <v>0</v>
      </c>
      <c r="N3531" s="17">
        <f>K3531*0.08+L3531*0.08</f>
        <v/>
      </c>
      <c r="O3531" s="17">
        <f>-(K3531*0.025+L3531*0.025)</f>
        <v/>
      </c>
      <c r="P3531" s="17">
        <f>32</f>
        <v/>
      </c>
      <c r="Q3531" s="17">
        <f>J3531+L3531+N3531+O3531-P3531-M3531</f>
        <v/>
      </c>
    </row>
    <row r="3532">
      <c r="A3532" s="16" t="inlineStr">
        <is>
          <t>5.29-6.4</t>
        </is>
      </c>
      <c r="B3532" s="16" t="inlineStr">
        <is>
          <t>PO-128-07702300895353787</t>
        </is>
      </c>
      <c r="C3532" s="16" t="inlineStr">
        <is>
          <t>Shipped</t>
        </is>
      </c>
      <c r="D3532" s="16" t="inlineStr">
        <is>
          <t>128-07702327109753787</t>
        </is>
      </c>
      <c r="E3532" s="16" t="inlineStr">
        <is>
          <t>Shipped</t>
        </is>
      </c>
      <c r="F3532" s="16" t="inlineStr">
        <is>
          <t>MB-185A</t>
        </is>
      </c>
      <c r="G3532" s="16" t="inlineStr">
        <is>
          <t>Bocina Radio FM/Reproductor, Compatible con Tarjeta TF, USB, Bluetooth, Aplicable para celular, computadora, Ipad y consola.</t>
        </is>
      </c>
      <c r="H3532" s="16" t="inlineStr">
        <is>
          <t>AZUL/MB-185</t>
        </is>
      </c>
      <c r="I3532" s="16" t="n">
        <v>1</v>
      </c>
      <c r="J3532" s="17" t="n">
        <v>73</v>
      </c>
      <c r="K3532" s="17" t="n">
        <v>85.94</v>
      </c>
      <c r="L3532" s="17" t="n">
        <v>25.86</v>
      </c>
      <c r="M3532" s="17" t="n">
        <v>0</v>
      </c>
      <c r="N3532" s="17">
        <f>K3532*0.08+L3532*0.08</f>
        <v/>
      </c>
      <c r="O3532" s="17">
        <f>-(K3532*0.025+L3532*0.025)</f>
        <v/>
      </c>
      <c r="P3532" s="17">
        <f>32</f>
        <v/>
      </c>
      <c r="Q3532" s="17">
        <f>J3532+L3532+N3532+O3532-P3532-M3532</f>
        <v/>
      </c>
    </row>
    <row r="3533">
      <c r="A3533" s="16" t="inlineStr">
        <is>
          <t>5.29-6.4</t>
        </is>
      </c>
      <c r="B3533" s="16" t="inlineStr">
        <is>
          <t>PO-128-07974780772471075</t>
        </is>
      </c>
      <c r="C3533" s="16" t="inlineStr">
        <is>
          <t>Shipped</t>
        </is>
      </c>
      <c r="D3533" s="16" t="inlineStr">
        <is>
          <t>128-07974801743991075</t>
        </is>
      </c>
      <c r="E3533" s="16" t="inlineStr">
        <is>
          <t>Shipped</t>
        </is>
      </c>
      <c r="F3533" s="16" t="inlineStr">
        <is>
          <t>LB02235-azul</t>
        </is>
      </c>
      <c r="G3533" s="16" t="inlineStr">
        <is>
          <t>Audífonos Inalámbricos para la Cabeza, Recargables y Multifuncionales - Conectan a Varios Dispositivos, soportan Radio FM, Tarjeta TF y AUX - 4 Horas de Reproducción Musical - Ideal para Trabajo Cotidiano, Juegos y Estudio</t>
        </is>
      </c>
      <c r="H3533" s="16" t="inlineStr">
        <is>
          <t>AZUL</t>
        </is>
      </c>
      <c r="I3533" s="16" t="n">
        <v>1</v>
      </c>
      <c r="J3533" s="17" t="n">
        <v>29</v>
      </c>
      <c r="K3533" s="17" t="n">
        <v>37.89</v>
      </c>
      <c r="L3533" s="17" t="n">
        <v>25.86</v>
      </c>
      <c r="M3533" s="17" t="n">
        <v>0</v>
      </c>
      <c r="N3533" s="17">
        <f>K3533*0.08+L3533*0.08</f>
        <v/>
      </c>
      <c r="O3533" s="17">
        <f>-(K3533*0.025+L3533*0.025)</f>
        <v/>
      </c>
      <c r="P3533" s="17">
        <f>32</f>
        <v/>
      </c>
      <c r="Q3533" s="17">
        <f>J3533+L3533+N3533+O3533-P3533-M3533</f>
        <v/>
      </c>
    </row>
    <row r="3534">
      <c r="A3534" s="16" t="inlineStr">
        <is>
          <t>5.29-6.4</t>
        </is>
      </c>
      <c r="B3534" s="16" t="inlineStr">
        <is>
          <t>PO-128-08173595492470976</t>
        </is>
      </c>
      <c r="C3534" s="16" t="inlineStr">
        <is>
          <t>Shipped</t>
        </is>
      </c>
      <c r="D3534" s="16" t="inlineStr">
        <is>
          <t>128-08173637435510976</t>
        </is>
      </c>
      <c r="E3534" s="16" t="inlineStr">
        <is>
          <t>Shipped</t>
        </is>
      </c>
      <c r="F3534" s="16" t="inlineStr">
        <is>
          <t>LB02235-rojo</t>
        </is>
      </c>
      <c r="G3534" s="16" t="inlineStr">
        <is>
          <t>Audífonos Inalámbricos para la Cabeza, Recargables y Multifuncionales - Conectan a Varios Dispositivos, soportan Radio FM, Tarjeta TF y AUX - 4 Horas de Reproducción Musical - Ideal para Trabajo Cotidiano, Juegos y Estudio</t>
        </is>
      </c>
      <c r="H3534" s="16" t="inlineStr">
        <is>
          <t>ROJO</t>
        </is>
      </c>
      <c r="I3534" s="16" t="n">
        <v>1</v>
      </c>
      <c r="J3534" s="17" t="n">
        <v>36.8</v>
      </c>
      <c r="K3534" s="17" t="n">
        <v>6.81</v>
      </c>
      <c r="L3534" s="17" t="n">
        <v>25.86</v>
      </c>
      <c r="M3534" s="17" t="n">
        <v>0</v>
      </c>
      <c r="N3534" s="17">
        <f>K3534*0.08+L3534*0.08</f>
        <v/>
      </c>
      <c r="O3534" s="17">
        <f>-(K3534*0.025+L3534*0.025)</f>
        <v/>
      </c>
      <c r="P3534" s="17">
        <f>32</f>
        <v/>
      </c>
      <c r="Q3534" s="17">
        <f>J3534+L3534+N3534+O3534-P3534-M3534</f>
        <v/>
      </c>
    </row>
    <row r="3535">
      <c r="A3535" s="16" t="inlineStr">
        <is>
          <t>5.29-6.4</t>
        </is>
      </c>
      <c r="B3535" s="16" t="inlineStr">
        <is>
          <t>PO-128-07905960804471421</t>
        </is>
      </c>
      <c r="C3535" s="16" t="inlineStr">
        <is>
          <t>Shipped</t>
        </is>
      </c>
      <c r="D3535" s="16" t="inlineStr">
        <is>
          <t>128-07906065662071421</t>
        </is>
      </c>
      <c r="E3535" s="16" t="inlineStr">
        <is>
          <t>Shipped</t>
        </is>
      </c>
      <c r="F3535" s="16" t="inlineStr">
        <is>
          <t>VA880T</t>
        </is>
      </c>
      <c r="G353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35" s="16" t="inlineStr">
        <is>
          <t>1 pieza</t>
        </is>
      </c>
      <c r="I3535" s="16" t="n">
        <v>1</v>
      </c>
      <c r="J3535" s="17" t="n">
        <v>114.98</v>
      </c>
      <c r="K3535" s="17" t="n">
        <v>101.82</v>
      </c>
      <c r="L3535" s="17" t="n">
        <v>25.86</v>
      </c>
      <c r="M3535" s="17" t="n">
        <v>0</v>
      </c>
      <c r="N3535" s="17">
        <f>K3535*0.08+L3535*0.08</f>
        <v/>
      </c>
      <c r="O3535" s="17">
        <f>-(K3535*0.025+L3535*0.025)</f>
        <v/>
      </c>
      <c r="P3535" s="17">
        <f>32</f>
        <v/>
      </c>
      <c r="Q3535" s="17">
        <f>J3535+L3535+N3535+O3535-P3535-M3535</f>
        <v/>
      </c>
    </row>
    <row r="3536">
      <c r="A3536" s="16" t="inlineStr">
        <is>
          <t>5.29-6.4</t>
        </is>
      </c>
      <c r="B3536" s="16" t="inlineStr">
        <is>
          <t>PO-128-07774850204792203</t>
        </is>
      </c>
      <c r="C3536" s="16" t="inlineStr">
        <is>
          <t>Shipped</t>
        </is>
      </c>
      <c r="D3536" s="16" t="inlineStr">
        <is>
          <t>128-07774860690552203</t>
        </is>
      </c>
      <c r="E3536" s="16" t="inlineStr">
        <is>
          <t>Shipped</t>
        </is>
      </c>
      <c r="F3536" s="16" t="inlineStr">
        <is>
          <t>LB02235-negro</t>
        </is>
      </c>
      <c r="G3536" s="16" t="inlineStr">
        <is>
          <t>Audífonos Inalámbricos para la Cabeza, Recargables y Multifuncionales - Conectan a Varios Dispositivos, soportan Radio FM, Tarjeta TF y AUX - 4 Horas de Reproducción Musical - Ideal para Trabajo Cotidiano, Juegos y Estudio</t>
        </is>
      </c>
      <c r="H3536" s="16" t="inlineStr">
        <is>
          <t>NEGRO</t>
        </is>
      </c>
      <c r="I3536" s="16" t="n">
        <v>1</v>
      </c>
      <c r="J3536" s="17" t="n">
        <v>36.8</v>
      </c>
      <c r="K3536" s="17" t="n">
        <v>49.91</v>
      </c>
      <c r="L3536" s="17" t="n">
        <v>14.03</v>
      </c>
      <c r="M3536" s="17" t="n">
        <v>0</v>
      </c>
      <c r="N3536" s="17">
        <f>K3536*0.08+L3536*0.08</f>
        <v/>
      </c>
      <c r="O3536" s="17">
        <f>-(K3536*0.025+L3536*0.025)</f>
        <v/>
      </c>
      <c r="P3536" s="17">
        <f>32</f>
        <v/>
      </c>
      <c r="Q3536" s="17">
        <f>J3536+L3536+N3536+O3536-P3536-M3536</f>
        <v/>
      </c>
    </row>
    <row r="3537">
      <c r="A3537" s="16" t="inlineStr">
        <is>
          <t>5.29-6.4</t>
        </is>
      </c>
      <c r="B3537" s="16" t="inlineStr">
        <is>
          <t>PO-128-07774850204792203</t>
        </is>
      </c>
      <c r="C3537" s="16" t="inlineStr">
        <is>
          <t>Shipped</t>
        </is>
      </c>
      <c r="D3537" s="16" t="inlineStr">
        <is>
          <t>128-07774852826232203</t>
        </is>
      </c>
      <c r="E3537" s="16" t="inlineStr">
        <is>
          <t>Shipped</t>
        </is>
      </c>
      <c r="F3537" s="16" t="inlineStr">
        <is>
          <t>LB02235-azul</t>
        </is>
      </c>
      <c r="G3537" s="16" t="inlineStr">
        <is>
          <t>Audífonos Inalámbricos para la Cabeza, Recargables y Multifuncionales - Conectan a Varios Dispositivos, soportan Radio FM, Tarjeta TF y AUX - 4 Horas de Reproducción Musical - Ideal para Trabajo Cotidiano, Juegos y Estudio</t>
        </is>
      </c>
      <c r="H3537" s="16" t="inlineStr">
        <is>
          <t>AZUL</t>
        </is>
      </c>
      <c r="I3537" s="16" t="n">
        <v>1</v>
      </c>
      <c r="J3537" s="17" t="n">
        <v>29</v>
      </c>
      <c r="K3537" s="17" t="n">
        <v>42.11</v>
      </c>
      <c r="L3537" s="17" t="n">
        <v>11.83</v>
      </c>
      <c r="M3537" s="17" t="n">
        <v>0</v>
      </c>
      <c r="N3537" s="17">
        <f>K3537*0.08+L3537*0.08</f>
        <v/>
      </c>
      <c r="O3537" s="17">
        <f>-(K3537*0.025+L3537*0.025)</f>
        <v/>
      </c>
      <c r="P3537" s="17">
        <f>32</f>
        <v/>
      </c>
      <c r="Q3537" s="17">
        <f>J3537+L3537+N3537+O3537-P3537-M3537</f>
        <v/>
      </c>
    </row>
    <row r="3538">
      <c r="A3538" s="16" t="inlineStr">
        <is>
          <t>5.29-6.4</t>
        </is>
      </c>
      <c r="B3538" s="16" t="inlineStr">
        <is>
          <t>PO-128-08169141563510941</t>
        </is>
      </c>
      <c r="C3538" s="16" t="inlineStr">
        <is>
          <t>Shipped</t>
        </is>
      </c>
      <c r="D3538" s="16" t="inlineStr">
        <is>
          <t>128-08169099620470941</t>
        </is>
      </c>
      <c r="E3538" s="16" t="inlineStr">
        <is>
          <t>Shipped</t>
        </is>
      </c>
      <c r="F3538" s="16" t="inlineStr">
        <is>
          <t>SA325T</t>
        </is>
      </c>
      <c r="G3538" s="16" t="inlineStr">
        <is>
          <t>Subwoofer Portátil Inalámbrico con Luces RGB, Sonido de Alta Potencia y Batería Duradera, TWS TF USB, Perfecto para Campamento Fiestas y Entretenimiento en Casa</t>
        </is>
      </c>
      <c r="H3538" s="16" t="inlineStr">
        <is>
          <t>NEGRO</t>
        </is>
      </c>
      <c r="I3538" s="16" t="n">
        <v>1</v>
      </c>
      <c r="J3538" s="17" t="n">
        <v>38</v>
      </c>
      <c r="K3538" s="17" t="n">
        <v>3.94</v>
      </c>
      <c r="L3538" s="17" t="n">
        <v>25.86</v>
      </c>
      <c r="M3538" s="17" t="n">
        <v>0</v>
      </c>
      <c r="N3538" s="17">
        <f>K3538*0.08+L3538*0.08</f>
        <v/>
      </c>
      <c r="O3538" s="17">
        <f>-(K3538*0.025+L3538*0.025)</f>
        <v/>
      </c>
      <c r="P3538" s="17">
        <f>32</f>
        <v/>
      </c>
      <c r="Q3538" s="17">
        <f>J3538+L3538+N3538+O3538-P3538-M3538</f>
        <v/>
      </c>
    </row>
    <row r="3539">
      <c r="A3539" s="16" t="inlineStr">
        <is>
          <t>5.29-6.4</t>
        </is>
      </c>
      <c r="B3539" s="16" t="inlineStr">
        <is>
          <t>PO-128-07770012378232422</t>
        </is>
      </c>
      <c r="C3539" s="16" t="inlineStr">
        <is>
          <t>Shipped</t>
        </is>
      </c>
      <c r="D3539" s="16" t="inlineStr">
        <is>
          <t>128-07769970435192422</t>
        </is>
      </c>
      <c r="E3539" s="16" t="inlineStr">
        <is>
          <t>Shipped</t>
        </is>
      </c>
      <c r="F3539" s="16" t="inlineStr">
        <is>
          <t>MCM-001R</t>
        </is>
      </c>
      <c r="G3539" s="16" t="inlineStr">
        <is>
          <t>Musicord Altavoz Inalámbrico BT Portátil: ¡Sonido impactante, luces LED multicolores y 4 horas de autonomía! Compatible con TWS, FM, TF y USB – Imprescindible para fiestas y viajes</t>
        </is>
      </c>
      <c r="H3539" s="16" t="inlineStr">
        <is>
          <t>ROJO</t>
        </is>
      </c>
      <c r="I3539" s="16" t="n">
        <v>1</v>
      </c>
      <c r="J3539" s="17" t="n">
        <v>59</v>
      </c>
      <c r="K3539" s="17" t="n">
        <v>49.2</v>
      </c>
      <c r="L3539" s="17" t="n">
        <v>25.86</v>
      </c>
      <c r="M3539" s="17" t="n">
        <v>0</v>
      </c>
      <c r="N3539" s="17">
        <f>K3539*0.08+L3539*0.08</f>
        <v/>
      </c>
      <c r="O3539" s="17">
        <f>-(K3539*0.025+L3539*0.025)</f>
        <v/>
      </c>
      <c r="P3539" s="17">
        <f>32</f>
        <v/>
      </c>
      <c r="Q3539" s="17">
        <f>J3539+L3539+N3539+O3539-P3539-M3539</f>
        <v/>
      </c>
    </row>
    <row r="3540">
      <c r="A3540" s="16" t="inlineStr">
        <is>
          <t>5.29-6.4</t>
        </is>
      </c>
      <c r="B3540" s="16" t="inlineStr">
        <is>
          <t>PO-128-08034921214071677</t>
        </is>
      </c>
      <c r="C3540" s="16" t="inlineStr">
        <is>
          <t>Shipped</t>
        </is>
      </c>
      <c r="D3540" s="16" t="inlineStr">
        <is>
          <t>128-08034931699831677</t>
        </is>
      </c>
      <c r="E3540" s="16" t="inlineStr">
        <is>
          <t>Shipped</t>
        </is>
      </c>
      <c r="F3540" s="16" t="inlineStr">
        <is>
          <t>MB-185R</t>
        </is>
      </c>
      <c r="G3540" s="16" t="inlineStr">
        <is>
          <t>Bocina Radio FM/Reproductor, Compatible con Tarjeta TF, USB, Bluetooth, Aplicable para celular, computadora, Ipad y consola.</t>
        </is>
      </c>
      <c r="H3540" s="16" t="inlineStr">
        <is>
          <t>ROJO/MB-185</t>
        </is>
      </c>
      <c r="I3540" s="16" t="n">
        <v>1</v>
      </c>
      <c r="J3540" s="17" t="n">
        <v>75.59999999999999</v>
      </c>
      <c r="K3540" s="17" t="n">
        <v>70.83</v>
      </c>
      <c r="L3540" s="17" t="n">
        <v>25.86</v>
      </c>
      <c r="M3540" s="17" t="n">
        <v>0</v>
      </c>
      <c r="N3540" s="17">
        <f>K3540*0.08+L3540*0.08</f>
        <v/>
      </c>
      <c r="O3540" s="17">
        <f>-(K3540*0.025+L3540*0.025)</f>
        <v/>
      </c>
      <c r="P3540" s="17">
        <f>32</f>
        <v/>
      </c>
      <c r="Q3540" s="17">
        <f>J3540+L3540+N3540+O3540-P3540-M3540</f>
        <v/>
      </c>
    </row>
    <row r="3541">
      <c r="A3541" s="16" t="inlineStr">
        <is>
          <t>5.29-6.4</t>
        </is>
      </c>
      <c r="B3541" s="16" t="inlineStr">
        <is>
          <t>PO-128-08138746069110224</t>
        </is>
      </c>
      <c r="C3541" s="16" t="inlineStr">
        <is>
          <t>Shipped</t>
        </is>
      </c>
      <c r="D3541" s="16" t="inlineStr">
        <is>
          <t>128-08138767040630224</t>
        </is>
      </c>
      <c r="E3541" s="16" t="inlineStr">
        <is>
          <t>Shipped</t>
        </is>
      </c>
      <c r="F3541" s="16" t="inlineStr">
        <is>
          <t>LB02235-negro</t>
        </is>
      </c>
      <c r="G3541" s="16" t="inlineStr">
        <is>
          <t>Audífonos Inalámbricos para la Cabeza, Recargables y Multifuncionales - Conectan a Varios Dispositivos, soportan Radio FM, Tarjeta TF y AUX - 4 Horas de Reproducción Musical - Ideal para Trabajo Cotidiano, Juegos y Estudio</t>
        </is>
      </c>
      <c r="H3541" s="16" t="inlineStr">
        <is>
          <t>NEGRO</t>
        </is>
      </c>
      <c r="I3541" s="16" t="n">
        <v>1</v>
      </c>
      <c r="J3541" s="17" t="n">
        <v>36.8</v>
      </c>
      <c r="K3541" s="17" t="n">
        <v>49.91</v>
      </c>
      <c r="L3541" s="17" t="n">
        <v>25.86</v>
      </c>
      <c r="M3541" s="17" t="n">
        <v>0</v>
      </c>
      <c r="N3541" s="17">
        <f>K3541*0.08+L3541*0.08</f>
        <v/>
      </c>
      <c r="O3541" s="17">
        <f>-(K3541*0.025+L3541*0.025)</f>
        <v/>
      </c>
      <c r="P3541" s="17">
        <f>32</f>
        <v/>
      </c>
      <c r="Q3541" s="17">
        <f>J3541+L3541+N3541+O3541-P3541-M3541</f>
        <v/>
      </c>
    </row>
    <row r="3542">
      <c r="A3542" s="16" t="inlineStr">
        <is>
          <t>5.29-6.4</t>
        </is>
      </c>
      <c r="B3542" s="16" t="inlineStr">
        <is>
          <t>PO-128-08003622510711991</t>
        </is>
      </c>
      <c r="C3542" s="16" t="inlineStr">
        <is>
          <t>Shipped</t>
        </is>
      </c>
      <c r="D3542" s="16" t="inlineStr">
        <is>
          <t>128-08003648725111991</t>
        </is>
      </c>
      <c r="E3542" s="16" t="inlineStr">
        <is>
          <t>Shipped</t>
        </is>
      </c>
      <c r="F3542" s="16" t="inlineStr">
        <is>
          <t>LB02235-rojo</t>
        </is>
      </c>
      <c r="G3542" s="16" t="inlineStr">
        <is>
          <t>Audífonos Inalámbricos para la Cabeza, Recargables y Multifuncionales - Conectan a Varios Dispositivos, soportan Radio FM, Tarjeta TF y AUX - 4 Horas de Reproducción Musical - Ideal para Trabajo Cotidiano, Juegos y Estudio</t>
        </is>
      </c>
      <c r="H3542" s="16" t="inlineStr">
        <is>
          <t>ROJO</t>
        </is>
      </c>
      <c r="I3542" s="16" t="n">
        <v>1</v>
      </c>
      <c r="J3542" s="17" t="n">
        <v>36.8</v>
      </c>
      <c r="K3542" s="17" t="n">
        <v>44.93</v>
      </c>
      <c r="L3542" s="17" t="n">
        <v>25.86</v>
      </c>
      <c r="M3542" s="17" t="n">
        <v>0</v>
      </c>
      <c r="N3542" s="17">
        <f>K3542*0.08+L3542*0.08</f>
        <v/>
      </c>
      <c r="O3542" s="17">
        <f>-(K3542*0.025+L3542*0.025)</f>
        <v/>
      </c>
      <c r="P3542" s="17">
        <f>32</f>
        <v/>
      </c>
      <c r="Q3542" s="17">
        <f>J3542+L3542+N3542+O3542-P3542-M3542</f>
        <v/>
      </c>
    </row>
    <row r="3543">
      <c r="A3543" s="16" t="inlineStr">
        <is>
          <t>5.29-6.4</t>
        </is>
      </c>
      <c r="B3543" s="16" t="inlineStr">
        <is>
          <t>PO-128-08051467845751768</t>
        </is>
      </c>
      <c r="C3543" s="16" t="inlineStr">
        <is>
          <t>Shipped</t>
        </is>
      </c>
      <c r="D3543" s="16" t="inlineStr">
        <is>
          <t>128-08051509788791768</t>
        </is>
      </c>
      <c r="E3543" s="16" t="inlineStr">
        <is>
          <t>Shipped</t>
        </is>
      </c>
      <c r="F3543" s="16" t="inlineStr">
        <is>
          <t>LB02235-blanco</t>
        </is>
      </c>
      <c r="G3543" s="16" t="inlineStr">
        <is>
          <t>Audífonos Inalámbricos para la Cabeza, Recargables y Multifuncionales - Conectan a Varios Dispositivos, soportan Radio FM, Tarjeta TF y AUX - 4 Horas de Reproducción Musical - Ideal para Trabajo Cotidiano, Juegos y Estudio</t>
        </is>
      </c>
      <c r="H3543" s="16" t="inlineStr">
        <is>
          <t>BLANCO</t>
        </is>
      </c>
      <c r="I3543" s="16" t="n">
        <v>1</v>
      </c>
      <c r="J3543" s="17" t="n">
        <v>36.8</v>
      </c>
      <c r="K3543" s="17" t="n">
        <v>49.91</v>
      </c>
      <c r="L3543" s="17" t="n">
        <v>25.86</v>
      </c>
      <c r="M3543" s="17" t="n">
        <v>0</v>
      </c>
      <c r="N3543" s="17">
        <f>K3543*0.08+L3543*0.08</f>
        <v/>
      </c>
      <c r="O3543" s="17">
        <f>-(K3543*0.025+L3543*0.025)</f>
        <v/>
      </c>
      <c r="P3543" s="17">
        <f>32</f>
        <v/>
      </c>
      <c r="Q3543" s="17">
        <f>J3543+L3543+N3543+O3543-P3543-M3543</f>
        <v/>
      </c>
    </row>
    <row r="3544">
      <c r="A3544" s="16" t="inlineStr">
        <is>
          <t>5.29-6.4</t>
        </is>
      </c>
      <c r="B3544" s="16" t="inlineStr">
        <is>
          <t>PO-128-08048403361911786</t>
        </is>
      </c>
      <c r="C3544" s="16" t="inlineStr">
        <is>
          <t>Shipped</t>
        </is>
      </c>
      <c r="D3544" s="16" t="inlineStr">
        <is>
          <t>128-08048508219511786</t>
        </is>
      </c>
      <c r="E3544" s="16" t="inlineStr">
        <is>
          <t>Shipped</t>
        </is>
      </c>
      <c r="F3544" s="16" t="inlineStr">
        <is>
          <t>VA880T</t>
        </is>
      </c>
      <c r="G354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44" s="16" t="inlineStr">
        <is>
          <t>1 pieza</t>
        </is>
      </c>
      <c r="I3544" s="16" t="n">
        <v>2</v>
      </c>
      <c r="J3544" s="17" t="n">
        <v>229.96</v>
      </c>
      <c r="K3544" s="17" t="n">
        <v>254.54</v>
      </c>
      <c r="L3544" s="17" t="n">
        <v>25.86</v>
      </c>
      <c r="M3544" s="17" t="n">
        <v>0</v>
      </c>
      <c r="N3544" s="17">
        <f>K3544*0.08+L3544*0.08</f>
        <v/>
      </c>
      <c r="O3544" s="17">
        <f>-(K3544*0.025+L3544*0.025)</f>
        <v/>
      </c>
      <c r="P3544" s="17">
        <f>32</f>
        <v/>
      </c>
      <c r="Q3544" s="17">
        <f>J3544+L3544+N3544+O3544-P3544-M3544</f>
        <v/>
      </c>
    </row>
    <row r="3545">
      <c r="A3545" s="16" t="inlineStr">
        <is>
          <t>5.29-6.4</t>
        </is>
      </c>
      <c r="B3545" s="16" t="inlineStr">
        <is>
          <t>PO-128-07822593221753004</t>
        </is>
      </c>
      <c r="C3545" s="16" t="inlineStr">
        <is>
          <t>Shipped</t>
        </is>
      </c>
      <c r="D3545" s="16" t="inlineStr">
        <is>
          <t>128-07822619436153004</t>
        </is>
      </c>
      <c r="E3545" s="16" t="inlineStr">
        <is>
          <t>Shipped</t>
        </is>
      </c>
      <c r="F3545" s="16" t="inlineStr">
        <is>
          <t>LB02235-rojo</t>
        </is>
      </c>
      <c r="G3545" s="16" t="inlineStr">
        <is>
          <t>Audífonos Inalámbricos para la Cabeza, Recargables y Multifuncionales - Conectan a Varios Dispositivos, soportan Radio FM, Tarjeta TF y AUX - 4 Horas de Reproducción Musical - Ideal para Trabajo Cotidiano, Juegos y Estudio</t>
        </is>
      </c>
      <c r="H3545" s="16" t="inlineStr">
        <is>
          <t>ROJO</t>
        </is>
      </c>
      <c r="I3545" s="16" t="n">
        <v>1</v>
      </c>
      <c r="J3545" s="17" t="n">
        <v>36.8</v>
      </c>
      <c r="K3545" s="17" t="n">
        <v>49.91</v>
      </c>
      <c r="L3545" s="17" t="n">
        <v>25.86</v>
      </c>
      <c r="M3545" s="17" t="n">
        <v>0</v>
      </c>
      <c r="N3545" s="17">
        <f>K3545*0.08+L3545*0.08</f>
        <v/>
      </c>
      <c r="O3545" s="17">
        <f>-(K3545*0.025+L3545*0.025)</f>
        <v/>
      </c>
      <c r="P3545" s="17">
        <f>32</f>
        <v/>
      </c>
      <c r="Q3545" s="17">
        <f>J3545+L3545+N3545+O3545-P3545-M3545</f>
        <v/>
      </c>
    </row>
    <row r="3546">
      <c r="A3546" s="16" t="inlineStr">
        <is>
          <t>5.29-6.4</t>
        </is>
      </c>
      <c r="B3546" s="16" t="inlineStr">
        <is>
          <t>PO-128-08075796759670409</t>
        </is>
      </c>
      <c r="C3546" s="16" t="inlineStr">
        <is>
          <t>Shipped</t>
        </is>
      </c>
      <c r="D3546" s="16" t="inlineStr">
        <is>
          <t>128-08075754816630409</t>
        </is>
      </c>
      <c r="E3546" s="16" t="inlineStr">
        <is>
          <t>Shipped</t>
        </is>
      </c>
      <c r="F3546" s="16" t="inlineStr">
        <is>
          <t>LB02235-blanco</t>
        </is>
      </c>
      <c r="G3546" s="16" t="inlineStr">
        <is>
          <t>Audífonos Inalámbricos para la Cabeza, Recargables y Multifuncionales - Conectan a Varios Dispositivos, soportan Radio FM, Tarjeta TF y AUX - 4 Horas de Reproducción Musical - Ideal para Trabajo Cotidiano, Juegos y Estudio</t>
        </is>
      </c>
      <c r="H3546" s="16" t="inlineStr">
        <is>
          <t>BLANCO</t>
        </is>
      </c>
      <c r="I3546" s="16" t="n">
        <v>1</v>
      </c>
      <c r="J3546" s="17" t="n">
        <v>36.8</v>
      </c>
      <c r="K3546" s="17" t="n">
        <v>49.91</v>
      </c>
      <c r="L3546" s="17" t="n">
        <v>25.86</v>
      </c>
      <c r="M3546" s="17" t="n">
        <v>0</v>
      </c>
      <c r="N3546" s="17">
        <f>K3546*0.08+L3546*0.08</f>
        <v/>
      </c>
      <c r="O3546" s="17">
        <f>-(K3546*0.025+L3546*0.025)</f>
        <v/>
      </c>
      <c r="P3546" s="17">
        <f>32</f>
        <v/>
      </c>
      <c r="Q3546" s="17">
        <f>J3546+L3546+N3546+O3546-P3546-M3546</f>
        <v/>
      </c>
    </row>
    <row r="3547">
      <c r="A3547" s="16" t="inlineStr">
        <is>
          <t>5.29-6.4</t>
        </is>
      </c>
      <c r="B3547" s="16" t="inlineStr">
        <is>
          <t>PO-128-07680629845113914</t>
        </is>
      </c>
      <c r="C3547" s="16" t="inlineStr">
        <is>
          <t>Shipped</t>
        </is>
      </c>
      <c r="D3547" s="16" t="inlineStr">
        <is>
          <t>128-07680640330873914</t>
        </is>
      </c>
      <c r="E3547" s="16" t="inlineStr">
        <is>
          <t>Shipped</t>
        </is>
      </c>
      <c r="F3547" s="16" t="inlineStr">
        <is>
          <t>MB-185A</t>
        </is>
      </c>
      <c r="G3547" s="16" t="inlineStr">
        <is>
          <t>Bocina Radio FM/Reproductor, Compatible con Tarjeta TF, USB, Bluetooth, Aplicable para celular, computadora, Ipad y consola.</t>
        </is>
      </c>
      <c r="H3547" s="16" t="inlineStr">
        <is>
          <t>AZUL/MB-185</t>
        </is>
      </c>
      <c r="I3547" s="16" t="n">
        <v>1</v>
      </c>
      <c r="J3547" s="17" t="n">
        <v>73</v>
      </c>
      <c r="K3547" s="17" t="n">
        <v>85.94</v>
      </c>
      <c r="L3547" s="17" t="n">
        <v>25.86</v>
      </c>
      <c r="M3547" s="17" t="n">
        <v>0</v>
      </c>
      <c r="N3547" s="17">
        <f>K3547*0.08+L3547*0.08</f>
        <v/>
      </c>
      <c r="O3547" s="17">
        <f>-(K3547*0.025+L3547*0.025)</f>
        <v/>
      </c>
      <c r="P3547" s="17">
        <f>32</f>
        <v/>
      </c>
      <c r="Q3547" s="17">
        <f>J3547+L3547+N3547+O3547-P3547-M3547</f>
        <v/>
      </c>
    </row>
    <row r="3548">
      <c r="A3548" s="16" t="inlineStr">
        <is>
          <t>5.29-6.4</t>
        </is>
      </c>
      <c r="B3548" s="16" t="inlineStr">
        <is>
          <t>PO-128-08087179620470469</t>
        </is>
      </c>
      <c r="C3548" s="16" t="inlineStr">
        <is>
          <t>Shipped</t>
        </is>
      </c>
      <c r="D3548" s="16" t="inlineStr">
        <is>
          <t>128-08087190106230469</t>
        </is>
      </c>
      <c r="E3548" s="16" t="inlineStr">
        <is>
          <t>Shipped</t>
        </is>
      </c>
      <c r="F3548" s="16" t="inlineStr">
        <is>
          <t>LB02235-blanco</t>
        </is>
      </c>
      <c r="G3548" s="16" t="inlineStr">
        <is>
          <t>Audífonos Inalámbricos para la Cabeza, Recargables y Multifuncionales - Conectan a Varios Dispositivos, soportan Radio FM, Tarjeta TF y AUX - 4 Horas de Reproducción Musical - Ideal para Trabajo Cotidiano, Juegos y Estudio</t>
        </is>
      </c>
      <c r="H3548" s="16" t="inlineStr">
        <is>
          <t>BLANCO</t>
        </is>
      </c>
      <c r="I3548" s="16" t="n">
        <v>2</v>
      </c>
      <c r="J3548" s="17" t="n">
        <v>73.59999999999999</v>
      </c>
      <c r="K3548" s="17" t="n">
        <v>99.81999999999999</v>
      </c>
      <c r="L3548" s="17" t="n">
        <v>15.83</v>
      </c>
      <c r="M3548" s="17" t="n">
        <v>0</v>
      </c>
      <c r="N3548" s="17">
        <f>K3548*0.08+L3548*0.08</f>
        <v/>
      </c>
      <c r="O3548" s="17">
        <f>-(K3548*0.025+L3548*0.025)</f>
        <v/>
      </c>
      <c r="P3548" s="17">
        <f>32</f>
        <v/>
      </c>
      <c r="Q3548" s="17">
        <f>J3548+L3548+N3548+O3548-P3548-M3548</f>
        <v/>
      </c>
    </row>
    <row r="3549">
      <c r="A3549" s="16" t="inlineStr">
        <is>
          <t>5.29-6.4</t>
        </is>
      </c>
      <c r="B3549" s="16" t="inlineStr">
        <is>
          <t>PO-128-08087179620470469</t>
        </is>
      </c>
      <c r="C3549" s="16" t="inlineStr">
        <is>
          <t>Shipped</t>
        </is>
      </c>
      <c r="D3549" s="16" t="inlineStr">
        <is>
          <t>128-08087221563510469</t>
        </is>
      </c>
      <c r="E3549" s="16" t="inlineStr">
        <is>
          <t>Shipped</t>
        </is>
      </c>
      <c r="F3549" s="16" t="inlineStr">
        <is>
          <t>MCM-001N</t>
        </is>
      </c>
      <c r="G3549" s="16" t="inlineStr">
        <is>
          <t>Musicord Altavoz Inalámbrico BT Portátil: ¡Sonido impactante, luces LED multicolores y 4 horas de autonomía! Compatible con TWS, FM, TF y USB – Imprescindible para fiestas y viajes</t>
        </is>
      </c>
      <c r="H3549" s="16" t="inlineStr">
        <is>
          <t>NEGRO</t>
        </is>
      </c>
      <c r="I3549" s="16" t="n">
        <v>1</v>
      </c>
      <c r="J3549" s="17" t="n">
        <v>52</v>
      </c>
      <c r="K3549" s="17" t="n">
        <v>63.28</v>
      </c>
      <c r="L3549" s="17" t="n">
        <v>10.03</v>
      </c>
      <c r="M3549" s="17" t="n">
        <v>0</v>
      </c>
      <c r="N3549" s="17">
        <f>K3549*0.08+L3549*0.08</f>
        <v/>
      </c>
      <c r="O3549" s="17">
        <f>-(K3549*0.025+L3549*0.025)</f>
        <v/>
      </c>
      <c r="P3549" s="17">
        <f>32</f>
        <v/>
      </c>
      <c r="Q3549" s="17">
        <f>J3549+L3549+N3549+O3549-P3549-M3549</f>
        <v/>
      </c>
    </row>
    <row r="3550">
      <c r="A3550" s="16" t="inlineStr">
        <is>
          <t>5.29-6.4</t>
        </is>
      </c>
      <c r="B3550" s="16" t="inlineStr">
        <is>
          <t>PO-128-08149997970550095</t>
        </is>
      </c>
      <c r="C3550" s="16" t="inlineStr">
        <is>
          <t>Shipped</t>
        </is>
      </c>
      <c r="D3550" s="16" t="inlineStr">
        <is>
          <t>128-08149958648950095</t>
        </is>
      </c>
      <c r="E3550" s="16" t="inlineStr">
        <is>
          <t>Shipped</t>
        </is>
      </c>
      <c r="F3550" s="16" t="inlineStr">
        <is>
          <t>VA880T</t>
        </is>
      </c>
      <c r="G355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50" s="16" t="inlineStr">
        <is>
          <t>1 pieza</t>
        </is>
      </c>
      <c r="I3550" s="16" t="n">
        <v>1</v>
      </c>
      <c r="J3550" s="17" t="n">
        <v>114.98</v>
      </c>
      <c r="K3550" s="17" t="n">
        <v>161.3</v>
      </c>
      <c r="L3550" s="17" t="n">
        <v>25.86</v>
      </c>
      <c r="M3550" s="17" t="n">
        <v>0</v>
      </c>
      <c r="N3550" s="17">
        <f>K3550*0.08+L3550*0.08</f>
        <v/>
      </c>
      <c r="O3550" s="17">
        <f>-(K3550*0.025+L3550*0.025)</f>
        <v/>
      </c>
      <c r="P3550" s="17">
        <f>32</f>
        <v/>
      </c>
      <c r="Q3550" s="17">
        <f>J3550+L3550+N3550+O3550-P3550-M3550</f>
        <v/>
      </c>
    </row>
    <row r="3551">
      <c r="A3551" s="16" t="inlineStr">
        <is>
          <t>5.29-6.4</t>
        </is>
      </c>
      <c r="B3551" s="16" t="inlineStr">
        <is>
          <t>PO-128-07949141246071162</t>
        </is>
      </c>
      <c r="C3551" s="16" t="inlineStr">
        <is>
          <t>Shipped</t>
        </is>
      </c>
      <c r="D3551" s="16" t="inlineStr">
        <is>
          <t>128-07949193674871162</t>
        </is>
      </c>
      <c r="E3551" s="16" t="inlineStr">
        <is>
          <t>Shipped</t>
        </is>
      </c>
      <c r="F3551" s="16" t="inlineStr">
        <is>
          <t>LB02235-negro</t>
        </is>
      </c>
      <c r="G3551" s="16" t="inlineStr">
        <is>
          <t>Audífonos Inalámbricos para la Cabeza, Recargables y Multifuncionales - Conectan a Varios Dispositivos, soportan Radio FM, Tarjeta TF y AUX - 4 Horas de Reproducción Musical - Ideal para Trabajo Cotidiano, Juegos y Estudio</t>
        </is>
      </c>
      <c r="H3551" s="16" t="inlineStr">
        <is>
          <t>NEGRO</t>
        </is>
      </c>
      <c r="I3551" s="16" t="n">
        <v>1</v>
      </c>
      <c r="J3551" s="17" t="n">
        <v>36.8</v>
      </c>
      <c r="K3551" s="17" t="n">
        <v>42.43</v>
      </c>
      <c r="L3551" s="17" t="n">
        <v>25.86</v>
      </c>
      <c r="M3551" s="17" t="n">
        <v>0</v>
      </c>
      <c r="N3551" s="17">
        <f>K3551*0.08+L3551*0.08</f>
        <v/>
      </c>
      <c r="O3551" s="17">
        <f>-(K3551*0.025+L3551*0.025)</f>
        <v/>
      </c>
      <c r="P3551" s="17">
        <f>32</f>
        <v/>
      </c>
      <c r="Q3551" s="17">
        <f>J3551+L3551+N3551+O3551-P3551-M3551</f>
        <v/>
      </c>
    </row>
    <row r="3552">
      <c r="A3552" s="16" t="inlineStr">
        <is>
          <t>5.29-6.4</t>
        </is>
      </c>
      <c r="B3552" s="16" t="inlineStr">
        <is>
          <t>PO-128-07690755218553726</t>
        </is>
      </c>
      <c r="C3552" s="16" t="inlineStr">
        <is>
          <t>Shipped</t>
        </is>
      </c>
      <c r="D3552" s="16" t="inlineStr">
        <is>
          <t>128-07690818133113726</t>
        </is>
      </c>
      <c r="E3552" s="16" t="inlineStr">
        <is>
          <t>Shipped</t>
        </is>
      </c>
      <c r="F3552" s="16" t="inlineStr">
        <is>
          <t>MB-185A</t>
        </is>
      </c>
      <c r="G3552" s="16" t="inlineStr">
        <is>
          <t>Bocina Radio FM/Reproductor, Compatible con Tarjeta TF, USB, Bluetooth, Aplicable para celular, computadora, Ipad y consola.</t>
        </is>
      </c>
      <c r="H3552" s="16" t="inlineStr">
        <is>
          <t>AZUL/MB-185</t>
        </is>
      </c>
      <c r="I3552" s="16" t="n">
        <v>1</v>
      </c>
      <c r="J3552" s="17" t="n">
        <v>73</v>
      </c>
      <c r="K3552" s="17" t="n">
        <v>85.94</v>
      </c>
      <c r="L3552" s="17" t="n">
        <v>12.73</v>
      </c>
      <c r="M3552" s="17" t="n">
        <v>0</v>
      </c>
      <c r="N3552" s="17">
        <f>K3552*0.08+L3552*0.08</f>
        <v/>
      </c>
      <c r="O3552" s="17">
        <f>-(K3552*0.025+L3552*0.025)</f>
        <v/>
      </c>
      <c r="P3552" s="17">
        <f>32</f>
        <v/>
      </c>
      <c r="Q3552" s="17">
        <f>J3552+L3552+N3552+O3552-P3552-M3552</f>
        <v/>
      </c>
    </row>
    <row r="3553">
      <c r="A3553" s="16" t="inlineStr">
        <is>
          <t>5.29-6.4</t>
        </is>
      </c>
      <c r="B3553" s="16" t="inlineStr">
        <is>
          <t>PO-128-07690755218553726</t>
        </is>
      </c>
      <c r="C3553" s="16" t="inlineStr">
        <is>
          <t>Shipped</t>
        </is>
      </c>
      <c r="D3553" s="16" t="inlineStr">
        <is>
          <t>128-07690797161593726</t>
        </is>
      </c>
      <c r="E3553" s="16" t="inlineStr">
        <is>
          <t>Shipped</t>
        </is>
      </c>
      <c r="F3553" s="16" t="inlineStr">
        <is>
          <t>MB-185R</t>
        </is>
      </c>
      <c r="G3553" s="16" t="inlineStr">
        <is>
          <t>Bocina Radio FM/Reproductor, Compatible con Tarjeta TF, USB, Bluetooth, Aplicable para celular, computadora, Ipad y consola.</t>
        </is>
      </c>
      <c r="H3553" s="16" t="inlineStr">
        <is>
          <t>ROJO/MB-185</t>
        </is>
      </c>
      <c r="I3553" s="16" t="n">
        <v>1</v>
      </c>
      <c r="J3553" s="17" t="n">
        <v>75.59999999999999</v>
      </c>
      <c r="K3553" s="17" t="n">
        <v>88.53</v>
      </c>
      <c r="L3553" s="17" t="n">
        <v>13.13</v>
      </c>
      <c r="M3553" s="17" t="n">
        <v>0</v>
      </c>
      <c r="N3553" s="17">
        <f>K3553*0.08+L3553*0.08</f>
        <v/>
      </c>
      <c r="O3553" s="17">
        <f>-(K3553*0.025+L3553*0.025)</f>
        <v/>
      </c>
      <c r="P3553" s="17">
        <f>32</f>
        <v/>
      </c>
      <c r="Q3553" s="17">
        <f>J3553+L3553+N3553+O3553-P3553-M3553</f>
        <v/>
      </c>
    </row>
    <row r="3554">
      <c r="A3554" s="16" t="inlineStr">
        <is>
          <t>5.29-6.4</t>
        </is>
      </c>
      <c r="B3554" s="16" t="inlineStr">
        <is>
          <t>PO-128-08207861543030644</t>
        </is>
      </c>
      <c r="C3554" s="16" t="inlineStr">
        <is>
          <t>Shipped</t>
        </is>
      </c>
      <c r="D3554" s="16" t="inlineStr">
        <is>
          <t>128-08207782899830644</t>
        </is>
      </c>
      <c r="E3554" s="16" t="inlineStr">
        <is>
          <t>Shipped</t>
        </is>
      </c>
      <c r="F3554" s="16" t="inlineStr">
        <is>
          <t>MB-185N</t>
        </is>
      </c>
      <c r="G3554" s="16" t="inlineStr">
        <is>
          <t>Bocina Radio FM/Reproductor, Compatible con Tarjeta TF, USB, Bluetooth, Aplicable para celular, computadora, Ipad y consola.</t>
        </is>
      </c>
      <c r="H3554" s="16" t="inlineStr">
        <is>
          <t>NEGRO/MB-185</t>
        </is>
      </c>
      <c r="I3554" s="16" t="n">
        <v>1</v>
      </c>
      <c r="J3554" s="17" t="n">
        <v>75.5</v>
      </c>
      <c r="K3554" s="17" t="n">
        <v>88.44</v>
      </c>
      <c r="L3554" s="17" t="n">
        <v>25.86</v>
      </c>
      <c r="M3554" s="17" t="n">
        <v>0</v>
      </c>
      <c r="N3554" s="17">
        <f>K3554*0.08+L3554*0.08</f>
        <v/>
      </c>
      <c r="O3554" s="17">
        <f>-(K3554*0.025+L3554*0.025)</f>
        <v/>
      </c>
      <c r="P3554" s="17">
        <f>32</f>
        <v/>
      </c>
      <c r="Q3554" s="17">
        <f>J3554+L3554+N3554+O3554-P3554-M3554</f>
        <v/>
      </c>
    </row>
    <row r="3555">
      <c r="A3555" s="16" t="inlineStr">
        <is>
          <t>5.29-6.4</t>
        </is>
      </c>
      <c r="B3555" s="16" t="inlineStr">
        <is>
          <t>PO-128-08018083786871841</t>
        </is>
      </c>
      <c r="C3555" s="16" t="inlineStr">
        <is>
          <t>Shipped</t>
        </is>
      </c>
      <c r="D3555" s="16" t="inlineStr">
        <is>
          <t>128-08018166689911841</t>
        </is>
      </c>
      <c r="E3555" s="16" t="inlineStr">
        <is>
          <t>Shipped</t>
        </is>
      </c>
      <c r="F3555" s="16" t="inlineStr">
        <is>
          <t>MB-185A</t>
        </is>
      </c>
      <c r="G3555" s="16" t="inlineStr">
        <is>
          <t>Bocina Radio FM/Reproductor, Compatible con Tarjeta TF, USB, Bluetooth, Aplicable para celular, computadora, Ipad y consola.</t>
        </is>
      </c>
      <c r="H3555" s="16" t="inlineStr">
        <is>
          <t>AZUL/MB-185</t>
        </is>
      </c>
      <c r="I3555" s="16" t="n">
        <v>1</v>
      </c>
      <c r="J3555" s="17" t="n">
        <v>73</v>
      </c>
      <c r="K3555" s="17" t="n">
        <v>42.84</v>
      </c>
      <c r="L3555" s="17" t="n">
        <v>25.86</v>
      </c>
      <c r="M3555" s="17" t="n">
        <v>0</v>
      </c>
      <c r="N3555" s="17">
        <f>K3555*0.08+L3555*0.08</f>
        <v/>
      </c>
      <c r="O3555" s="17">
        <f>-(K3555*0.025+L3555*0.025)</f>
        <v/>
      </c>
      <c r="P3555" s="17">
        <f>32</f>
        <v/>
      </c>
      <c r="Q3555" s="17">
        <f>J3555+L3555+N3555+O3555-P3555-M3555</f>
        <v/>
      </c>
    </row>
    <row r="3556">
      <c r="A3556" s="16" t="inlineStr">
        <is>
          <t>5.29-6.4</t>
        </is>
      </c>
      <c r="B3556" s="16" t="inlineStr">
        <is>
          <t>PO-128-07755587966072316</t>
        </is>
      </c>
      <c r="C3556" s="16" t="inlineStr">
        <is>
          <t>Shipped</t>
        </is>
      </c>
      <c r="D3556" s="16" t="inlineStr">
        <is>
          <t>128-07755593208952316</t>
        </is>
      </c>
      <c r="E3556" s="16" t="inlineStr">
        <is>
          <t>Shipped</t>
        </is>
      </c>
      <c r="F3556" s="16" t="inlineStr">
        <is>
          <t>FA028</t>
        </is>
      </c>
      <c r="G3556" s="16" t="inlineStr">
        <is>
          <t>Extractor de agua para garrafas de agua, compatible con carga USB, extractor de agua automático, práctico, con dos modos de toma de agua: manual y programado, ideal para dormitorios, salones, oficinas, uso al aire libre y otros escenarios.</t>
        </is>
      </c>
      <c r="H3556" s="16" t="inlineStr">
        <is>
          <t>FA028</t>
        </is>
      </c>
      <c r="I3556" s="16" t="n">
        <v>1</v>
      </c>
      <c r="J3556" s="17" t="n">
        <v>35</v>
      </c>
      <c r="K3556" s="17" t="n">
        <v>42.74</v>
      </c>
      <c r="L3556" s="17" t="n">
        <v>25.86</v>
      </c>
      <c r="M3556" s="17" t="n">
        <v>0</v>
      </c>
      <c r="N3556" s="17">
        <f>K3556*0.08+L3556*0.08</f>
        <v/>
      </c>
      <c r="O3556" s="17">
        <f>-(K3556*0.025+L3556*0.025)</f>
        <v/>
      </c>
      <c r="P3556" s="17">
        <f>32</f>
        <v/>
      </c>
      <c r="Q3556" s="17">
        <f>J3556+L3556+N3556+O3556-P3556-M3556</f>
        <v/>
      </c>
    </row>
    <row r="3557">
      <c r="A3557" s="16" t="inlineStr">
        <is>
          <t>5.29-6.4</t>
        </is>
      </c>
      <c r="B3557" s="16" t="inlineStr">
        <is>
          <t>PO-128-07563629775993460</t>
        </is>
      </c>
      <c r="C3557" s="16" t="inlineStr">
        <is>
          <t>Shipped</t>
        </is>
      </c>
      <c r="D3557" s="16" t="inlineStr">
        <is>
          <t>128-07563650747513460</t>
        </is>
      </c>
      <c r="E3557" s="16" t="inlineStr">
        <is>
          <t>Shipped</t>
        </is>
      </c>
      <c r="F3557" s="16" t="inlineStr">
        <is>
          <t>LB02235-negro</t>
        </is>
      </c>
      <c r="G3557" s="16" t="inlineStr">
        <is>
          <t>Audífonos Inalámbricos para la Cabeza, Recargables y Multifuncionales - Conectan a Varios Dispositivos, soportan Radio FM, Tarjeta TF y AUX - 4 Horas de Reproducción Musical - Ideal para Trabajo Cotidiano, Juegos y Estudio</t>
        </is>
      </c>
      <c r="H3557" s="16" t="inlineStr">
        <is>
          <t>NEGRO</t>
        </is>
      </c>
      <c r="I3557" s="16" t="n">
        <v>1</v>
      </c>
      <c r="J3557" s="17" t="n">
        <v>36.8</v>
      </c>
      <c r="K3557" s="17" t="n">
        <v>49.91</v>
      </c>
      <c r="L3557" s="17" t="n">
        <v>25.86</v>
      </c>
      <c r="M3557" s="17" t="n">
        <v>0</v>
      </c>
      <c r="N3557" s="17">
        <f>K3557*0.08+L3557*0.08</f>
        <v/>
      </c>
      <c r="O3557" s="17">
        <f>-(K3557*0.025+L3557*0.025)</f>
        <v/>
      </c>
      <c r="P3557" s="17">
        <f>32</f>
        <v/>
      </c>
      <c r="Q3557" s="17">
        <f>J3557+L3557+N3557+O3557-P3557-M3557</f>
        <v/>
      </c>
    </row>
    <row r="3558">
      <c r="A3558" s="16" t="inlineStr">
        <is>
          <t>5.29-6.4</t>
        </is>
      </c>
      <c r="B3558" s="16" t="inlineStr">
        <is>
          <t>PO-128-07869321045112726</t>
        </is>
      </c>
      <c r="C3558" s="16" t="inlineStr">
        <is>
          <t>Shipped</t>
        </is>
      </c>
      <c r="D3558" s="16" t="inlineStr">
        <is>
          <t>128-07869254172792726</t>
        </is>
      </c>
      <c r="E3558" s="16" t="inlineStr">
        <is>
          <t>Shipped</t>
        </is>
      </c>
      <c r="F3558" s="16" t="inlineStr">
        <is>
          <t>MB-185N</t>
        </is>
      </c>
      <c r="G3558" s="16" t="inlineStr">
        <is>
          <t>Bocina Radio FM/Reproductor, Compatible con Tarjeta TF, USB, Bluetooth, Aplicable para celular, computadora, Ipad y consola.</t>
        </is>
      </c>
      <c r="H3558" s="16" t="inlineStr">
        <is>
          <t>NEGRO/MB-185</t>
        </is>
      </c>
      <c r="I3558" s="16" t="n">
        <v>7</v>
      </c>
      <c r="J3558" s="17" t="n">
        <v>528.5</v>
      </c>
      <c r="K3558" s="17" t="n">
        <v>619.08</v>
      </c>
      <c r="L3558" s="17" t="n">
        <v>0</v>
      </c>
      <c r="M3558" s="17" t="n">
        <v>0</v>
      </c>
      <c r="N3558" s="17">
        <f>K3558*0.08+L3558*0.08</f>
        <v/>
      </c>
      <c r="O3558" s="17">
        <f>-(K3558*0.025+L3558*0.025)</f>
        <v/>
      </c>
      <c r="P3558" s="17">
        <f>32</f>
        <v/>
      </c>
      <c r="Q3558" s="17">
        <f>J3558+L3558+N3558+O3558-P3558-M3558</f>
        <v/>
      </c>
    </row>
    <row r="3559">
      <c r="A3559" s="16" t="inlineStr">
        <is>
          <t>5.29-6.4</t>
        </is>
      </c>
      <c r="B3559" s="16" t="inlineStr">
        <is>
          <t>PO-128-07869321045112726</t>
        </is>
      </c>
      <c r="C3559" s="16" t="inlineStr">
        <is>
          <t>Shipped</t>
        </is>
      </c>
      <c r="D3559" s="16" t="inlineStr">
        <is>
          <t>128-07869279102072726</t>
        </is>
      </c>
      <c r="E3559" s="16" t="inlineStr">
        <is>
          <t>Shipped</t>
        </is>
      </c>
      <c r="F3559" s="16" t="inlineStr">
        <is>
          <t>MB-185R</t>
        </is>
      </c>
      <c r="G3559" s="16" t="inlineStr">
        <is>
          <t>Bocina Radio FM/Reproductor, Compatible con Tarjeta TF, USB, Bluetooth, Aplicable para celular, computadora, Ipad y consola.</t>
        </is>
      </c>
      <c r="H3559" s="16" t="inlineStr">
        <is>
          <t>ROJO/MB-185</t>
        </is>
      </c>
      <c r="I3559" s="16" t="n">
        <v>10</v>
      </c>
      <c r="J3559" s="17" t="n">
        <v>756</v>
      </c>
      <c r="K3559" s="17" t="n">
        <v>885.3</v>
      </c>
      <c r="L3559" s="17" t="n">
        <v>0</v>
      </c>
      <c r="M3559" s="17" t="n">
        <v>0</v>
      </c>
      <c r="N3559" s="17">
        <f>K3559*0.08+L3559*0.08</f>
        <v/>
      </c>
      <c r="O3559" s="17">
        <f>-(K3559*0.025+L3559*0.025)</f>
        <v/>
      </c>
      <c r="P3559" s="17">
        <f>32</f>
        <v/>
      </c>
      <c r="Q3559" s="17">
        <f>J3559+L3559+N3559+O3559-P3559-M3559</f>
        <v/>
      </c>
    </row>
    <row r="3560">
      <c r="A3560" s="16" t="inlineStr">
        <is>
          <t>5.29-6.4</t>
        </is>
      </c>
      <c r="B3560" s="16" t="inlineStr">
        <is>
          <t>PO-128-07869321045112726</t>
        </is>
      </c>
      <c r="C3560" s="16" t="inlineStr">
        <is>
          <t>Shipped</t>
        </is>
      </c>
      <c r="D3560" s="16" t="inlineStr">
        <is>
          <t>128-07869298655352726</t>
        </is>
      </c>
      <c r="E3560" s="16" t="inlineStr">
        <is>
          <t>Shipped</t>
        </is>
      </c>
      <c r="F3560" s="16" t="inlineStr">
        <is>
          <t>MB-185A</t>
        </is>
      </c>
      <c r="G3560" s="16" t="inlineStr">
        <is>
          <t>Bocina Radio FM/Reproductor, Compatible con Tarjeta TF, USB, Bluetooth, Aplicable para celular, computadora, Ipad y consola.</t>
        </is>
      </c>
      <c r="H3560" s="16" t="inlineStr">
        <is>
          <t>AZUL/MB-185</t>
        </is>
      </c>
      <c r="I3560" s="16" t="n">
        <v>9</v>
      </c>
      <c r="J3560" s="17" t="n">
        <v>657</v>
      </c>
      <c r="K3560" s="17" t="n">
        <v>773.46</v>
      </c>
      <c r="L3560" s="17" t="n">
        <v>0</v>
      </c>
      <c r="M3560" s="17" t="n">
        <v>0</v>
      </c>
      <c r="N3560" s="17">
        <f>K3560*0.08+L3560*0.08</f>
        <v/>
      </c>
      <c r="O3560" s="17">
        <f>-(K3560*0.025+L3560*0.025)</f>
        <v/>
      </c>
      <c r="P3560" s="17">
        <f>32</f>
        <v/>
      </c>
      <c r="Q3560" s="17">
        <f>J3560+L3560+N3560+O3560-P3560-M3560</f>
        <v/>
      </c>
    </row>
    <row r="3561">
      <c r="A3561" s="16" t="inlineStr">
        <is>
          <t>5.29-6.4</t>
        </is>
      </c>
      <c r="B3561" s="16" t="inlineStr">
        <is>
          <t>PO-128-07627843279993079</t>
        </is>
      </c>
      <c r="C3561" s="16" t="inlineStr">
        <is>
          <t>Shipped</t>
        </is>
      </c>
      <c r="D3561" s="16" t="inlineStr">
        <is>
          <t>128-07627885223033079</t>
        </is>
      </c>
      <c r="E3561" s="16" t="inlineStr">
        <is>
          <t>Shipped</t>
        </is>
      </c>
      <c r="F3561" s="16" t="inlineStr">
        <is>
          <t>HD005</t>
        </is>
      </c>
      <c r="G3561" s="16" t="inlineStr">
        <is>
          <t>Link bits HD005 Antena UHF para Exteriores, Antena de TV Digital HD con 10 Metros de Cable, Recepción 470-862MHz, 9-7dB de Ganancia, Antena para Canales Abiertos y HD, Resistente al Agua y Viento, Fácil Instalación</t>
        </is>
      </c>
      <c r="H3561" s="16" t="inlineStr">
        <is>
          <t>1</t>
        </is>
      </c>
      <c r="I3561" s="16" t="n">
        <v>1</v>
      </c>
      <c r="J3561" s="17" t="n">
        <v>75</v>
      </c>
      <c r="K3561" s="17" t="n">
        <v>74.13</v>
      </c>
      <c r="L3561" s="17" t="n">
        <v>25.86</v>
      </c>
      <c r="M3561" s="17" t="n">
        <v>0</v>
      </c>
      <c r="N3561" s="17">
        <f>K3561*0.08+L3561*0.08</f>
        <v/>
      </c>
      <c r="O3561" s="17">
        <f>-(K3561*0.025+L3561*0.025)</f>
        <v/>
      </c>
      <c r="P3561" s="17">
        <f>32</f>
        <v/>
      </c>
      <c r="Q3561" s="17">
        <f>J3561+L3561+N3561+O3561-P3561-M3561</f>
        <v/>
      </c>
    </row>
    <row r="3562">
      <c r="A3562" s="16" t="inlineStr">
        <is>
          <t>5.29-6.4</t>
        </is>
      </c>
      <c r="B3562" s="16" t="inlineStr">
        <is>
          <t>PO-128-08221215178870756</t>
        </is>
      </c>
      <c r="C3562" s="16" t="inlineStr">
        <is>
          <t>Shipped</t>
        </is>
      </c>
      <c r="D3562" s="16" t="inlineStr">
        <is>
          <t>128-08221253189750756</t>
        </is>
      </c>
      <c r="E3562" s="16" t="inlineStr">
        <is>
          <t>Shipped</t>
        </is>
      </c>
      <c r="F3562" s="16" t="inlineStr">
        <is>
          <t>S58W60</t>
        </is>
      </c>
      <c r="G356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3562" s="16" t="inlineStr">
        <is>
          <t>1 pieza</t>
        </is>
      </c>
      <c r="I3562" s="16" t="n">
        <v>1</v>
      </c>
      <c r="J3562" s="17" t="n">
        <v>59</v>
      </c>
      <c r="K3562" s="17" t="n">
        <v>90.11</v>
      </c>
      <c r="L3562" s="17" t="n">
        <v>25.86</v>
      </c>
      <c r="M3562" s="17" t="n">
        <v>0</v>
      </c>
      <c r="N3562" s="17">
        <f>K3562*0.08+L3562*0.08</f>
        <v/>
      </c>
      <c r="O3562" s="17">
        <f>-(K3562*0.025+L3562*0.025)</f>
        <v/>
      </c>
      <c r="P3562" s="17">
        <f>32</f>
        <v/>
      </c>
      <c r="Q3562" s="17">
        <f>J3562+L3562+N3562+O3562-P3562-M3562</f>
        <v/>
      </c>
    </row>
    <row r="3563">
      <c r="A3563" s="16" t="inlineStr">
        <is>
          <t>5.29-6.4</t>
        </is>
      </c>
      <c r="B3563" s="16" t="inlineStr">
        <is>
          <t>PO-128-07676136484473879</t>
        </is>
      </c>
      <c r="C3563" s="16" t="inlineStr">
        <is>
          <t>Shipped</t>
        </is>
      </c>
      <c r="D3563" s="16" t="inlineStr">
        <is>
          <t>128-07676105027193879</t>
        </is>
      </c>
      <c r="E3563" s="16" t="inlineStr">
        <is>
          <t>Shipped</t>
        </is>
      </c>
      <c r="F3563" s="16" t="inlineStr">
        <is>
          <t>MCM-001N</t>
        </is>
      </c>
      <c r="G3563" s="16" t="inlineStr">
        <is>
          <t>Musicord Altavoz Inalámbrico BT Portátil: ¡Sonido impactante, luces LED multicolores y 4 horas de autonomía! Compatible con TWS, FM, TF y USB – Imprescindible para fiestas y viajes</t>
        </is>
      </c>
      <c r="H3563" s="16" t="inlineStr">
        <is>
          <t>NEGRO</t>
        </is>
      </c>
      <c r="I3563" s="16" t="n">
        <v>1</v>
      </c>
      <c r="J3563" s="17" t="n">
        <v>52</v>
      </c>
      <c r="K3563" s="17" t="n">
        <v>63.28</v>
      </c>
      <c r="L3563" s="17" t="n">
        <v>25.86</v>
      </c>
      <c r="M3563" s="17" t="n">
        <v>0</v>
      </c>
      <c r="N3563" s="17">
        <f>K3563*0.08+L3563*0.08</f>
        <v/>
      </c>
      <c r="O3563" s="17">
        <f>-(K3563*0.025+L3563*0.025)</f>
        <v/>
      </c>
      <c r="P3563" s="17">
        <f>32</f>
        <v/>
      </c>
      <c r="Q3563" s="17">
        <f>J3563+L3563+N3563+O3563-P3563-M3563</f>
        <v/>
      </c>
    </row>
    <row r="3564">
      <c r="A3564" s="16" t="inlineStr">
        <is>
          <t>5.29-6.4</t>
        </is>
      </c>
      <c r="B3564" s="16" t="inlineStr">
        <is>
          <t>PO-128-07855485366392936</t>
        </is>
      </c>
      <c r="C3564" s="16" t="inlineStr">
        <is>
          <t>Shipped</t>
        </is>
      </c>
      <c r="D3564" s="16" t="inlineStr">
        <is>
          <t>128-07855527309432936</t>
        </is>
      </c>
      <c r="E3564" s="16" t="inlineStr">
        <is>
          <t>Shipped</t>
        </is>
      </c>
      <c r="F3564" s="16" t="inlineStr">
        <is>
          <t>VA880T</t>
        </is>
      </c>
      <c r="G356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64" s="16" t="inlineStr">
        <is>
          <t>1 pieza</t>
        </is>
      </c>
      <c r="I3564" s="16" t="n">
        <v>2</v>
      </c>
      <c r="J3564" s="17" t="n">
        <v>229.96</v>
      </c>
      <c r="K3564" s="17" t="n">
        <v>322.6</v>
      </c>
      <c r="L3564" s="17" t="n">
        <v>0</v>
      </c>
      <c r="M3564" s="17" t="n">
        <v>0</v>
      </c>
      <c r="N3564" s="17">
        <f>K3564*0.08+L3564*0.08</f>
        <v/>
      </c>
      <c r="O3564" s="17">
        <f>-(K3564*0.025+L3564*0.025)</f>
        <v/>
      </c>
      <c r="P3564" s="17">
        <f>32</f>
        <v/>
      </c>
      <c r="Q3564" s="17">
        <f>J3564+L3564+N3564+O3564-P3564-M3564</f>
        <v/>
      </c>
    </row>
    <row r="3565">
      <c r="A3565" s="16" t="inlineStr">
        <is>
          <t>5.29-6.4</t>
        </is>
      </c>
      <c r="B3565" s="16" t="inlineStr">
        <is>
          <t>PO-128-07759027213432361</t>
        </is>
      </c>
      <c r="C3565" s="16" t="inlineStr">
        <is>
          <t>Shipped</t>
        </is>
      </c>
      <c r="D3565" s="16" t="inlineStr">
        <is>
          <t>128-07759048184952361</t>
        </is>
      </c>
      <c r="E3565" s="16" t="inlineStr">
        <is>
          <t>Shipped</t>
        </is>
      </c>
      <c r="F3565" s="16" t="inlineStr">
        <is>
          <t>LB02235-rojo</t>
        </is>
      </c>
      <c r="G3565" s="16" t="inlineStr">
        <is>
          <t>Audífonos Inalámbricos para la Cabeza, Recargables y Multifuncionales - Conectan a Varios Dispositivos, soportan Radio FM, Tarjeta TF y AUX - 4 Horas de Reproducción Musical - Ideal para Trabajo Cotidiano, Juegos y Estudio</t>
        </is>
      </c>
      <c r="H3565" s="16" t="inlineStr">
        <is>
          <t>ROJO</t>
        </is>
      </c>
      <c r="I3565" s="16" t="n">
        <v>1</v>
      </c>
      <c r="J3565" s="17" t="n">
        <v>36.8</v>
      </c>
      <c r="K3565" s="17" t="n">
        <v>49.91</v>
      </c>
      <c r="L3565" s="17" t="n">
        <v>25.86</v>
      </c>
      <c r="M3565" s="17" t="n">
        <v>0</v>
      </c>
      <c r="N3565" s="17">
        <f>K3565*0.08+L3565*0.08</f>
        <v/>
      </c>
      <c r="O3565" s="17">
        <f>-(K3565*0.025+L3565*0.025)</f>
        <v/>
      </c>
      <c r="P3565" s="17">
        <f>32</f>
        <v/>
      </c>
      <c r="Q3565" s="17">
        <f>J3565+L3565+N3565+O3565-P3565-M3565</f>
        <v/>
      </c>
    </row>
    <row r="3566">
      <c r="A3566" s="16" t="inlineStr">
        <is>
          <t>5.29-6.4</t>
        </is>
      </c>
      <c r="B3566" s="16" t="inlineStr">
        <is>
          <t>PO-128-07765729493112385</t>
        </is>
      </c>
      <c r="C3566" s="16" t="inlineStr">
        <is>
          <t>Shipped</t>
        </is>
      </c>
      <c r="D3566" s="16" t="inlineStr">
        <is>
          <t>128-07765739978872385</t>
        </is>
      </c>
      <c r="E3566" s="16" t="inlineStr">
        <is>
          <t>Shipped</t>
        </is>
      </c>
      <c r="F3566" s="16" t="inlineStr">
        <is>
          <t>VB347T</t>
        </is>
      </c>
      <c r="G356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566" s="16" t="inlineStr">
        <is>
          <t>1 pieza</t>
        </is>
      </c>
      <c r="I3566" s="16" t="n">
        <v>1</v>
      </c>
      <c r="J3566" s="17" t="n">
        <v>79.90000000000001</v>
      </c>
      <c r="K3566" s="17" t="n">
        <v>94.5</v>
      </c>
      <c r="L3566" s="17" t="n">
        <v>25.86</v>
      </c>
      <c r="M3566" s="17" t="n">
        <v>0</v>
      </c>
      <c r="N3566" s="17">
        <f>K3566*0.08+L3566*0.08</f>
        <v/>
      </c>
      <c r="O3566" s="17">
        <f>-(K3566*0.025+L3566*0.025)</f>
        <v/>
      </c>
      <c r="P3566" s="17">
        <f>32</f>
        <v/>
      </c>
      <c r="Q3566" s="17">
        <f>J3566+L3566+N3566+O3566-P3566-M3566</f>
        <v/>
      </c>
    </row>
    <row r="3567">
      <c r="A3567" s="16" t="inlineStr">
        <is>
          <t>5.29-6.4</t>
        </is>
      </c>
      <c r="B3567" s="16" t="inlineStr">
        <is>
          <t>PO-128-07589636828793371</t>
        </is>
      </c>
      <c r="C3567" s="16" t="inlineStr">
        <is>
          <t>Shipped</t>
        </is>
      </c>
      <c r="D3567" s="16" t="inlineStr">
        <is>
          <t>128-07589594885753371</t>
        </is>
      </c>
      <c r="E3567" s="16" t="inlineStr">
        <is>
          <t>Shipped</t>
        </is>
      </c>
      <c r="F3567" s="16" t="inlineStr">
        <is>
          <t>LB02235-azul</t>
        </is>
      </c>
      <c r="G3567" s="16" t="inlineStr">
        <is>
          <t>Audífonos Inalámbricos para la Cabeza, Recargables y Multifuncionales - Conectan a Varios Dispositivos, soportan Radio FM, Tarjeta TF y AUX - 4 Horas de Reproducción Musical - Ideal para Trabajo Cotidiano, Juegos y Estudio</t>
        </is>
      </c>
      <c r="H3567" s="16" t="inlineStr">
        <is>
          <t>AZUL</t>
        </is>
      </c>
      <c r="I3567" s="16" t="n">
        <v>1</v>
      </c>
      <c r="J3567" s="17" t="n">
        <v>29</v>
      </c>
      <c r="K3567" s="17" t="n">
        <v>42.11</v>
      </c>
      <c r="L3567" s="17" t="n">
        <v>25.86</v>
      </c>
      <c r="M3567" s="17" t="n">
        <v>0</v>
      </c>
      <c r="N3567" s="17">
        <f>K3567*0.08+L3567*0.08</f>
        <v/>
      </c>
      <c r="O3567" s="17">
        <f>-(K3567*0.025+L3567*0.025)</f>
        <v/>
      </c>
      <c r="P3567" s="17">
        <f>32</f>
        <v/>
      </c>
      <c r="Q3567" s="17">
        <f>J3567+L3567+N3567+O3567-P3567-M3567</f>
        <v/>
      </c>
    </row>
    <row r="3568">
      <c r="A3568" s="16" t="inlineStr">
        <is>
          <t>5.29-6.4</t>
        </is>
      </c>
      <c r="B3568" s="16" t="inlineStr">
        <is>
          <t>PO-128-07978186780791119</t>
        </is>
      </c>
      <c r="C3568" s="16" t="inlineStr">
        <is>
          <t>Shipped</t>
        </is>
      </c>
      <c r="D3568" s="16" t="inlineStr">
        <is>
          <t>128-07978098962551119</t>
        </is>
      </c>
      <c r="E3568" s="16" t="inlineStr">
        <is>
          <t>Shipped</t>
        </is>
      </c>
      <c r="F3568" s="16" t="inlineStr">
        <is>
          <t>LB02235-negro</t>
        </is>
      </c>
      <c r="G3568" s="16" t="inlineStr">
        <is>
          <t>Audífonos Inalámbricos para la Cabeza, Recargables y Multifuncionales - Conectan a Varios Dispositivos, soportan Radio FM, Tarjeta TF y AUX - 4 Horas de Reproducción Musical - Ideal para Trabajo Cotidiano, Juegos y Estudio</t>
        </is>
      </c>
      <c r="H3568" s="16" t="inlineStr">
        <is>
          <t>NEGRO</t>
        </is>
      </c>
      <c r="I3568" s="16" t="n">
        <v>1</v>
      </c>
      <c r="J3568" s="17" t="n">
        <v>36.8</v>
      </c>
      <c r="K3568" s="17" t="n">
        <v>49.91</v>
      </c>
      <c r="L3568" s="17" t="n">
        <v>25.86</v>
      </c>
      <c r="M3568" s="17" t="n">
        <v>0</v>
      </c>
      <c r="N3568" s="17">
        <f>K3568*0.08+L3568*0.08</f>
        <v/>
      </c>
      <c r="O3568" s="17">
        <f>-(K3568*0.025+L3568*0.025)</f>
        <v/>
      </c>
      <c r="P3568" s="17">
        <f>32</f>
        <v/>
      </c>
      <c r="Q3568" s="17">
        <f>J3568+L3568+N3568+O3568-P3568-M3568</f>
        <v/>
      </c>
    </row>
    <row r="3569">
      <c r="A3569" s="16" t="inlineStr">
        <is>
          <t>5.29-6.4</t>
        </is>
      </c>
      <c r="B3569" s="16" t="inlineStr">
        <is>
          <t>PO-128-08209352533110701</t>
        </is>
      </c>
      <c r="C3569" s="16" t="inlineStr">
        <is>
          <t>Shipped</t>
        </is>
      </c>
      <c r="D3569" s="16" t="inlineStr">
        <is>
          <t>128-08209420690550701</t>
        </is>
      </c>
      <c r="E3569" s="16" t="inlineStr">
        <is>
          <t>Shipped</t>
        </is>
      </c>
      <c r="F3569" s="16" t="inlineStr">
        <is>
          <t>EM04W36</t>
        </is>
      </c>
      <c r="G3569"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569" s="16" t="inlineStr">
        <is>
          <t>1 pieza</t>
        </is>
      </c>
      <c r="I3569" s="16" t="n">
        <v>1</v>
      </c>
      <c r="J3569" s="17" t="n">
        <v>78.81</v>
      </c>
      <c r="K3569" s="17" t="n">
        <v>88.09</v>
      </c>
      <c r="L3569" s="17" t="n">
        <v>0</v>
      </c>
      <c r="M3569" s="17" t="n">
        <v>0</v>
      </c>
      <c r="N3569" s="17">
        <f>K3569*0.08+L3569*0.08</f>
        <v/>
      </c>
      <c r="O3569" s="17">
        <f>-(K3569*0.025+L3569*0.025)</f>
        <v/>
      </c>
      <c r="P3569" s="17">
        <f>32</f>
        <v/>
      </c>
      <c r="Q3569" s="17">
        <f>J3569+L3569+N3569+O3569-P3569-M3569</f>
        <v/>
      </c>
    </row>
    <row r="3570">
      <c r="A3570" s="16" t="inlineStr">
        <is>
          <t>5.29-6.4</t>
        </is>
      </c>
      <c r="B3570" s="16" t="inlineStr">
        <is>
          <t>PO-128-08209352533110701</t>
        </is>
      </c>
      <c r="C3570" s="16" t="inlineStr">
        <is>
          <t>Shipped</t>
        </is>
      </c>
      <c r="D3570" s="16" t="inlineStr">
        <is>
          <t>128-08209336804470701</t>
        </is>
      </c>
      <c r="E3570" s="16" t="inlineStr">
        <is>
          <t>Shipped</t>
        </is>
      </c>
      <c r="F3570" s="16" t="inlineStr">
        <is>
          <t>EM04W36-2PZS</t>
        </is>
      </c>
      <c r="G3570"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570" s="16" t="inlineStr">
        <is>
          <t>2 piezas</t>
        </is>
      </c>
      <c r="I3570" s="16" t="n">
        <v>1</v>
      </c>
      <c r="J3570" s="17" t="n">
        <v>170</v>
      </c>
      <c r="K3570" s="17" t="n">
        <v>187.55</v>
      </c>
      <c r="L3570" s="17" t="n">
        <v>0</v>
      </c>
      <c r="M3570" s="17" t="n">
        <v>0</v>
      </c>
      <c r="N3570" s="17">
        <f>K3570*0.08+L3570*0.08</f>
        <v/>
      </c>
      <c r="O3570" s="17">
        <f>-(K3570*0.025+L3570*0.025)</f>
        <v/>
      </c>
      <c r="P3570" s="17">
        <f>32</f>
        <v/>
      </c>
      <c r="Q3570" s="17">
        <f>J3570+L3570+N3570+O3570-P3570-M3570</f>
        <v/>
      </c>
    </row>
    <row r="3571">
      <c r="A3571" s="16" t="inlineStr">
        <is>
          <t>5.29-6.4</t>
        </is>
      </c>
      <c r="B3571" s="16" t="inlineStr">
        <is>
          <t>PO-128-07880791109752787</t>
        </is>
      </c>
      <c r="C3571" s="16" t="inlineStr">
        <is>
          <t>Shipped</t>
        </is>
      </c>
      <c r="D3571" s="16" t="inlineStr">
        <is>
          <t>128-07880812081272787</t>
        </is>
      </c>
      <c r="E3571" s="16" t="inlineStr">
        <is>
          <t>Shipped</t>
        </is>
      </c>
      <c r="F3571" s="16" t="inlineStr">
        <is>
          <t>LB02235-negro</t>
        </is>
      </c>
      <c r="G3571" s="16" t="inlineStr">
        <is>
          <t>Audífonos Inalámbricos para la Cabeza, Recargables y Multifuncionales - Conectan a Varios Dispositivos, soportan Radio FM, Tarjeta TF y AUX - 4 Horas de Reproducción Musical - Ideal para Trabajo Cotidiano, Juegos y Estudio</t>
        </is>
      </c>
      <c r="H3571" s="16" t="inlineStr">
        <is>
          <t>NEGRO</t>
        </is>
      </c>
      <c r="I3571" s="16" t="n">
        <v>1</v>
      </c>
      <c r="J3571" s="17" t="n">
        <v>36.8</v>
      </c>
      <c r="K3571" s="17" t="n">
        <v>49.91</v>
      </c>
      <c r="L3571" s="17" t="n">
        <v>25.86</v>
      </c>
      <c r="M3571" s="17" t="n">
        <v>0</v>
      </c>
      <c r="N3571" s="17">
        <f>K3571*0.08+L3571*0.08</f>
        <v/>
      </c>
      <c r="O3571" s="17">
        <f>-(K3571*0.025+L3571*0.025)</f>
        <v/>
      </c>
      <c r="P3571" s="17">
        <f>32</f>
        <v/>
      </c>
      <c r="Q3571" s="17">
        <f>J3571+L3571+N3571+O3571-P3571-M3571</f>
        <v/>
      </c>
    </row>
    <row r="3572">
      <c r="A3572" s="16" t="inlineStr">
        <is>
          <t>5.29-6.4</t>
        </is>
      </c>
      <c r="B3572" s="16" t="inlineStr">
        <is>
          <t>PO-128-07647929255033983</t>
        </is>
      </c>
      <c r="C3572" s="16" t="inlineStr">
        <is>
          <t>Shipped</t>
        </is>
      </c>
      <c r="D3572" s="16" t="inlineStr">
        <is>
          <t>128-07647950226553983</t>
        </is>
      </c>
      <c r="E3572" s="16" t="inlineStr">
        <is>
          <t>Shipped</t>
        </is>
      </c>
      <c r="F3572" s="16" t="inlineStr">
        <is>
          <t>MB-185N</t>
        </is>
      </c>
      <c r="G3572" s="16" t="inlineStr">
        <is>
          <t>Bocina Radio FM/Reproductor, Compatible con Tarjeta TF, USB, Bluetooth, Aplicable para celular, computadora, Ipad y consola.</t>
        </is>
      </c>
      <c r="H3572" s="16" t="inlineStr">
        <is>
          <t>NEGRO/MB-185</t>
        </is>
      </c>
      <c r="I3572" s="16" t="n">
        <v>1</v>
      </c>
      <c r="J3572" s="17" t="n">
        <v>75.5</v>
      </c>
      <c r="K3572" s="17" t="n">
        <v>61.91</v>
      </c>
      <c r="L3572" s="17" t="n">
        <v>25.86</v>
      </c>
      <c r="M3572" s="17" t="n">
        <v>0</v>
      </c>
      <c r="N3572" s="17">
        <f>K3572*0.08+L3572*0.08</f>
        <v/>
      </c>
      <c r="O3572" s="17">
        <f>-(K3572*0.025+L3572*0.025)</f>
        <v/>
      </c>
      <c r="P3572" s="17">
        <f>32</f>
        <v/>
      </c>
      <c r="Q3572" s="17">
        <f>J3572+L3572+N3572+O3572-P3572-M3572</f>
        <v/>
      </c>
    </row>
    <row r="3573">
      <c r="A3573" s="16" t="inlineStr">
        <is>
          <t>5.29-6.4</t>
        </is>
      </c>
      <c r="B3573" s="16" t="inlineStr">
        <is>
          <t>PO-128-07928615370871284</t>
        </is>
      </c>
      <c r="C3573" s="16" t="inlineStr">
        <is>
          <t>Shipped</t>
        </is>
      </c>
      <c r="D3573" s="16" t="inlineStr">
        <is>
          <t>128-07928583913591284</t>
        </is>
      </c>
      <c r="E3573" s="16" t="inlineStr">
        <is>
          <t>Shipped</t>
        </is>
      </c>
      <c r="F3573" s="16" t="inlineStr">
        <is>
          <t>LB02235-blanco</t>
        </is>
      </c>
      <c r="G3573" s="16" t="inlineStr">
        <is>
          <t>Audífonos Inalámbricos para la Cabeza, Recargables y Multifuncionales - Conectan a Varios Dispositivos, soportan Radio FM, Tarjeta TF y AUX - 4 Horas de Reproducción Musical - Ideal para Trabajo Cotidiano, Juegos y Estudio</t>
        </is>
      </c>
      <c r="H3573" s="16" t="inlineStr">
        <is>
          <t>BLANCO</t>
        </is>
      </c>
      <c r="I3573" s="16" t="n">
        <v>1</v>
      </c>
      <c r="J3573" s="17" t="n">
        <v>36.8</v>
      </c>
      <c r="K3573" s="17" t="n">
        <v>49.91</v>
      </c>
      <c r="L3573" s="17" t="n">
        <v>25.86</v>
      </c>
      <c r="M3573" s="17" t="n">
        <v>0</v>
      </c>
      <c r="N3573" s="17">
        <f>K3573*0.08+L3573*0.08</f>
        <v/>
      </c>
      <c r="O3573" s="17">
        <f>-(K3573*0.025+L3573*0.025)</f>
        <v/>
      </c>
      <c r="P3573" s="17">
        <f>32</f>
        <v/>
      </c>
      <c r="Q3573" s="17">
        <f>J3573+L3573+N3573+O3573-P3573-M3573</f>
        <v/>
      </c>
    </row>
    <row r="3574">
      <c r="A3574" s="16" t="inlineStr">
        <is>
          <t>5.29-6.4</t>
        </is>
      </c>
      <c r="B3574" s="16" t="inlineStr">
        <is>
          <t>PO-128-07746642926712499</t>
        </is>
      </c>
      <c r="C3574" s="16" t="inlineStr">
        <is>
          <t>Shipped</t>
        </is>
      </c>
      <c r="D3574" s="16" t="inlineStr">
        <is>
          <t>128-07746695355512499</t>
        </is>
      </c>
      <c r="E3574" s="16" t="inlineStr">
        <is>
          <t>Shipped</t>
        </is>
      </c>
      <c r="F3574" s="16" t="inlineStr">
        <is>
          <t>MCM-003-V</t>
        </is>
      </c>
      <c r="G3574"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3574" s="16" t="inlineStr">
        <is>
          <t>verde</t>
        </is>
      </c>
      <c r="I3574" s="16" t="n">
        <v>1</v>
      </c>
      <c r="J3574" s="17" t="n">
        <v>43</v>
      </c>
      <c r="K3574" s="17" t="n">
        <v>50.18</v>
      </c>
      <c r="L3574" s="17" t="n">
        <v>25.86</v>
      </c>
      <c r="M3574" s="17" t="n">
        <v>0</v>
      </c>
      <c r="N3574" s="17">
        <f>K3574*0.08+L3574*0.08</f>
        <v/>
      </c>
      <c r="O3574" s="17">
        <f>-(K3574*0.025+L3574*0.025)</f>
        <v/>
      </c>
      <c r="P3574" s="17">
        <f>32</f>
        <v/>
      </c>
      <c r="Q3574" s="17">
        <f>J3574+L3574+N3574+O3574-P3574-M3574</f>
        <v/>
      </c>
    </row>
    <row r="3575">
      <c r="A3575" s="16" t="inlineStr">
        <is>
          <t>5.29-6.4</t>
        </is>
      </c>
      <c r="B3575" s="16" t="inlineStr">
        <is>
          <t>PO-128-07930929979511334</t>
        </is>
      </c>
      <c r="C3575" s="16" t="inlineStr">
        <is>
          <t>Shipped</t>
        </is>
      </c>
      <c r="D3575" s="16" t="inlineStr">
        <is>
          <t>128-07931089887351334</t>
        </is>
      </c>
      <c r="E3575" s="16" t="inlineStr">
        <is>
          <t>Shipped</t>
        </is>
      </c>
      <c r="F3575" s="16" t="inlineStr">
        <is>
          <t>VA880T</t>
        </is>
      </c>
      <c r="G357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75" s="16" t="inlineStr">
        <is>
          <t>1 pieza</t>
        </is>
      </c>
      <c r="I3575" s="16" t="n">
        <v>2</v>
      </c>
      <c r="J3575" s="17" t="n">
        <v>229.96</v>
      </c>
      <c r="K3575" s="17" t="n">
        <v>322.6</v>
      </c>
      <c r="L3575" s="17" t="n">
        <v>0</v>
      </c>
      <c r="M3575" s="17" t="n">
        <v>0</v>
      </c>
      <c r="N3575" s="17">
        <f>K3575*0.08+L3575*0.08</f>
        <v/>
      </c>
      <c r="O3575" s="17">
        <f>-(K3575*0.025+L3575*0.025)</f>
        <v/>
      </c>
      <c r="P3575" s="17">
        <f>32</f>
        <v/>
      </c>
      <c r="Q3575" s="17">
        <f>J3575+L3575+N3575+O3575-P3575-M3575</f>
        <v/>
      </c>
    </row>
    <row r="3576">
      <c r="A3576" s="16" t="inlineStr">
        <is>
          <t>5.29-6.4</t>
        </is>
      </c>
      <c r="B3576" s="16" t="inlineStr">
        <is>
          <t>PO-128-07571774431353541</t>
        </is>
      </c>
      <c r="C3576" s="16" t="inlineStr">
        <is>
          <t>Shipped</t>
        </is>
      </c>
      <c r="D3576" s="16" t="inlineStr">
        <is>
          <t>128-07571758702713541</t>
        </is>
      </c>
      <c r="E3576" s="16" t="inlineStr">
        <is>
          <t>Shipped</t>
        </is>
      </c>
      <c r="F3576" s="16" t="inlineStr">
        <is>
          <t>LB02235-blanco</t>
        </is>
      </c>
      <c r="G3576" s="16" t="inlineStr">
        <is>
          <t>Audífonos Inalámbricos para la Cabeza, Recargables y Multifuncionales - Conectan a Varios Dispositivos, soportan Radio FM, Tarjeta TF y AUX - 4 Horas de Reproducción Musical - Ideal para Trabajo Cotidiano, Juegos y Estudio</t>
        </is>
      </c>
      <c r="H3576" s="16" t="inlineStr">
        <is>
          <t>BLANCO</t>
        </is>
      </c>
      <c r="I3576" s="16" t="n">
        <v>1</v>
      </c>
      <c r="J3576" s="17" t="n">
        <v>36.8</v>
      </c>
      <c r="K3576" s="17" t="n">
        <v>49.91</v>
      </c>
      <c r="L3576" s="17" t="n">
        <v>25.86</v>
      </c>
      <c r="M3576" s="17" t="n">
        <v>0</v>
      </c>
      <c r="N3576" s="17">
        <f>K3576*0.08+L3576*0.08</f>
        <v/>
      </c>
      <c r="O3576" s="17">
        <f>-(K3576*0.025+L3576*0.025)</f>
        <v/>
      </c>
      <c r="P3576" s="17">
        <f>32</f>
        <v/>
      </c>
      <c r="Q3576" s="17">
        <f>J3576+L3576+N3576+O3576-P3576-M3576</f>
        <v/>
      </c>
    </row>
    <row r="3577">
      <c r="A3577" s="16" t="inlineStr">
        <is>
          <t>5.29-6.4</t>
        </is>
      </c>
      <c r="B3577" s="16" t="inlineStr">
        <is>
          <t>PO-128-07577195569273573</t>
        </is>
      </c>
      <c r="C3577" s="16" t="inlineStr">
        <is>
          <t>Shipped</t>
        </is>
      </c>
      <c r="D3577" s="16" t="inlineStr">
        <is>
          <t>128-07577247998073573</t>
        </is>
      </c>
      <c r="E3577" s="16" t="inlineStr">
        <is>
          <t>Shipped</t>
        </is>
      </c>
      <c r="F3577" s="16" t="inlineStr">
        <is>
          <t>LB02235-azul</t>
        </is>
      </c>
      <c r="G3577" s="16" t="inlineStr">
        <is>
          <t>Audífonos Inalámbricos para la Cabeza, Recargables y Multifuncionales - Conectan a Varios Dispositivos, soportan Radio FM, Tarjeta TF y AUX - 4 Horas de Reproducción Musical - Ideal para Trabajo Cotidiano, Juegos y Estudio</t>
        </is>
      </c>
      <c r="H3577" s="16" t="inlineStr">
        <is>
          <t>AZUL</t>
        </is>
      </c>
      <c r="I3577" s="16" t="n">
        <v>1</v>
      </c>
      <c r="J3577" s="17" t="n">
        <v>29</v>
      </c>
      <c r="K3577" s="17" t="n">
        <v>25.27</v>
      </c>
      <c r="L3577" s="17" t="n">
        <v>25.86</v>
      </c>
      <c r="M3577" s="17" t="n">
        <v>0</v>
      </c>
      <c r="N3577" s="17">
        <f>K3577*0.08+L3577*0.08</f>
        <v/>
      </c>
      <c r="O3577" s="17">
        <f>-(K3577*0.025+L3577*0.025)</f>
        <v/>
      </c>
      <c r="P3577" s="17">
        <f>32</f>
        <v/>
      </c>
      <c r="Q3577" s="17">
        <f>J3577+L3577+N3577+O3577-P3577-M3577</f>
        <v/>
      </c>
    </row>
    <row r="3578">
      <c r="A3578" s="16" t="inlineStr">
        <is>
          <t>5.29-6.4</t>
        </is>
      </c>
      <c r="B3578" s="16" t="inlineStr">
        <is>
          <t>PO-128-07675846733433881</t>
        </is>
      </c>
      <c r="C3578" s="16" t="inlineStr">
        <is>
          <t>Shipped</t>
        </is>
      </c>
      <c r="D3578" s="16" t="inlineStr">
        <is>
          <t>128-07675899162233881</t>
        </is>
      </c>
      <c r="E3578" s="16" t="inlineStr">
        <is>
          <t>Shipped</t>
        </is>
      </c>
      <c r="F3578" s="16" t="inlineStr">
        <is>
          <t>LB02235-negro</t>
        </is>
      </c>
      <c r="G3578" s="16" t="inlineStr">
        <is>
          <t>Audífonos Inalámbricos para la Cabeza, Recargables y Multifuncionales - Conectan a Varios Dispositivos, soportan Radio FM, Tarjeta TF y AUX - 4 Horas de Reproducción Musical - Ideal para Trabajo Cotidiano, Juegos y Estudio</t>
        </is>
      </c>
      <c r="H3578" s="16" t="inlineStr">
        <is>
          <t>NEGRO</t>
        </is>
      </c>
      <c r="I3578" s="16" t="n">
        <v>1</v>
      </c>
      <c r="J3578" s="17" t="n">
        <v>36.8</v>
      </c>
      <c r="K3578" s="17" t="n">
        <v>49.91</v>
      </c>
      <c r="L3578" s="17" t="n">
        <v>25.86</v>
      </c>
      <c r="M3578" s="17" t="n">
        <v>0</v>
      </c>
      <c r="N3578" s="17">
        <f>K3578*0.08+L3578*0.08</f>
        <v/>
      </c>
      <c r="O3578" s="17">
        <f>-(K3578*0.025+L3578*0.025)</f>
        <v/>
      </c>
      <c r="P3578" s="17">
        <f>32</f>
        <v/>
      </c>
      <c r="Q3578" s="17">
        <f>J3578+L3578+N3578+O3578-P3578-M3578</f>
        <v/>
      </c>
    </row>
    <row r="3579">
      <c r="A3579" s="16" t="inlineStr">
        <is>
          <t>5.29-6.4</t>
        </is>
      </c>
      <c r="B3579" s="16" t="inlineStr">
        <is>
          <t>PO-128-08156985295990117</t>
        </is>
      </c>
      <c r="C3579" s="16" t="inlineStr">
        <is>
          <t>Shipped</t>
        </is>
      </c>
      <c r="D3579" s="16" t="inlineStr">
        <is>
          <t>128-08157027239030117</t>
        </is>
      </c>
      <c r="E3579" s="16" t="inlineStr">
        <is>
          <t>Shipped</t>
        </is>
      </c>
      <c r="F3579" s="16" t="inlineStr">
        <is>
          <t>MCM-001N</t>
        </is>
      </c>
      <c r="G3579" s="16" t="inlineStr">
        <is>
          <t>Musicord Altavoz Inalámbrico BT Portátil: ¡Sonido impactante, luces LED multicolores y 4 horas de autonomía! Compatible con TWS, FM, TF y USB – Imprescindible para fiestas y viajes</t>
        </is>
      </c>
      <c r="H3579" s="16" t="inlineStr">
        <is>
          <t>NEGRO</t>
        </is>
      </c>
      <c r="I3579" s="16" t="n">
        <v>1</v>
      </c>
      <c r="J3579" s="17" t="n">
        <v>52</v>
      </c>
      <c r="K3579" s="17" t="n">
        <v>63.28</v>
      </c>
      <c r="L3579" s="17" t="n">
        <v>25.86</v>
      </c>
      <c r="M3579" s="17" t="n">
        <v>0</v>
      </c>
      <c r="N3579" s="17">
        <f>K3579*0.08+L3579*0.08</f>
        <v/>
      </c>
      <c r="O3579" s="17">
        <f>-(K3579*0.025+L3579*0.025)</f>
        <v/>
      </c>
      <c r="P3579" s="17">
        <f>32</f>
        <v/>
      </c>
      <c r="Q3579" s="17">
        <f>J3579+L3579+N3579+O3579-P3579-M3579</f>
        <v/>
      </c>
    </row>
    <row r="3580">
      <c r="A3580" s="16" t="inlineStr">
        <is>
          <t>5.29-6.4</t>
        </is>
      </c>
      <c r="B3580" s="16" t="inlineStr">
        <is>
          <t>PO-128-07661690883194093</t>
        </is>
      </c>
      <c r="C3580" s="16" t="inlineStr">
        <is>
          <t>Shipped</t>
        </is>
      </c>
      <c r="D3580" s="16" t="inlineStr">
        <is>
          <t>128-07661711854714093</t>
        </is>
      </c>
      <c r="E3580" s="16" t="inlineStr">
        <is>
          <t>Shipped</t>
        </is>
      </c>
      <c r="F3580" s="16" t="inlineStr">
        <is>
          <t>LB02235-negro</t>
        </is>
      </c>
      <c r="G3580" s="16" t="inlineStr">
        <is>
          <t>Audífonos Inalámbricos para la Cabeza, Recargables y Multifuncionales - Conectan a Varios Dispositivos, soportan Radio FM, Tarjeta TF y AUX - 4 Horas de Reproducción Musical - Ideal para Trabajo Cotidiano, Juegos y Estudio</t>
        </is>
      </c>
      <c r="H3580" s="16" t="inlineStr">
        <is>
          <t>NEGRO</t>
        </is>
      </c>
      <c r="I3580" s="16" t="n">
        <v>1</v>
      </c>
      <c r="J3580" s="17" t="n">
        <v>36.8</v>
      </c>
      <c r="K3580" s="17" t="n">
        <v>49.91</v>
      </c>
      <c r="L3580" s="17" t="n">
        <v>25.86</v>
      </c>
      <c r="M3580" s="17" t="n">
        <v>0</v>
      </c>
      <c r="N3580" s="17">
        <f>K3580*0.08+L3580*0.08</f>
        <v/>
      </c>
      <c r="O3580" s="17">
        <f>-(K3580*0.025+L3580*0.025)</f>
        <v/>
      </c>
      <c r="P3580" s="17">
        <f>32</f>
        <v/>
      </c>
      <c r="Q3580" s="17">
        <f>J3580+L3580+N3580+O3580-P3580-M3580</f>
        <v/>
      </c>
    </row>
    <row r="3581">
      <c r="A3581" s="16" t="inlineStr">
        <is>
          <t>5.29-6.4</t>
        </is>
      </c>
      <c r="B3581" s="16" t="inlineStr">
        <is>
          <t>PO-128-07689638136953735</t>
        </is>
      </c>
      <c r="C3581" s="16" t="inlineStr">
        <is>
          <t>Shipped</t>
        </is>
      </c>
      <c r="D3581" s="16" t="inlineStr">
        <is>
          <t>128-07689648622713735</t>
        </is>
      </c>
      <c r="E3581" s="16" t="inlineStr">
        <is>
          <t>Shipped</t>
        </is>
      </c>
      <c r="F3581" s="16" t="inlineStr">
        <is>
          <t>LB02235-azul</t>
        </is>
      </c>
      <c r="G3581" s="16" t="inlineStr">
        <is>
          <t>Audífonos Inalámbricos para la Cabeza, Recargables y Multifuncionales - Conectan a Varios Dispositivos, soportan Radio FM, Tarjeta TF y AUX - 4 Horas de Reproducción Musical - Ideal para Trabajo Cotidiano, Juegos y Estudio</t>
        </is>
      </c>
      <c r="H3581" s="16" t="inlineStr">
        <is>
          <t>AZUL</t>
        </is>
      </c>
      <c r="I3581" s="16" t="n">
        <v>1</v>
      </c>
      <c r="J3581" s="17" t="n">
        <v>29</v>
      </c>
      <c r="K3581" s="17" t="n">
        <v>42.11</v>
      </c>
      <c r="L3581" s="17" t="n">
        <v>25.86</v>
      </c>
      <c r="M3581" s="17" t="n">
        <v>0</v>
      </c>
      <c r="N3581" s="17">
        <f>K3581*0.08+L3581*0.08</f>
        <v/>
      </c>
      <c r="O3581" s="17">
        <f>-(K3581*0.025+L3581*0.025)</f>
        <v/>
      </c>
      <c r="P3581" s="17">
        <f>32</f>
        <v/>
      </c>
      <c r="Q3581" s="17">
        <f>J3581+L3581+N3581+O3581-P3581-M3581</f>
        <v/>
      </c>
    </row>
    <row r="3582">
      <c r="A3582" s="16" t="inlineStr">
        <is>
          <t>5.29-6.4</t>
        </is>
      </c>
      <c r="B3582" s="16" t="inlineStr">
        <is>
          <t>PO-128-07987354637431126</t>
        </is>
      </c>
      <c r="C3582" s="16" t="inlineStr">
        <is>
          <t>Shipped</t>
        </is>
      </c>
      <c r="D3582" s="16" t="inlineStr">
        <is>
          <t>128-07987396580471126</t>
        </is>
      </c>
      <c r="E3582" s="16" t="inlineStr">
        <is>
          <t>Shipped</t>
        </is>
      </c>
      <c r="F3582" s="16" t="inlineStr">
        <is>
          <t>HD005</t>
        </is>
      </c>
      <c r="G3582" s="16" t="inlineStr">
        <is>
          <t>Link bits HD005 Antena UHF para Exteriores, Antena de TV Digital HD con 10 Metros de Cable, Recepción 470-862MHz, 9-7dB de Ganancia, Antena para Canales Abiertos y HD, Resistente al Agua y Viento, Fácil Instalación</t>
        </is>
      </c>
      <c r="H3582" s="16" t="inlineStr">
        <is>
          <t>1</t>
        </is>
      </c>
      <c r="I3582" s="16" t="n">
        <v>1</v>
      </c>
      <c r="J3582" s="17" t="n">
        <v>75</v>
      </c>
      <c r="K3582" s="17" t="n">
        <v>49.56</v>
      </c>
      <c r="L3582" s="17" t="n">
        <v>25.86</v>
      </c>
      <c r="M3582" s="17" t="n">
        <v>0</v>
      </c>
      <c r="N3582" s="17">
        <f>K3582*0.08+L3582*0.08</f>
        <v/>
      </c>
      <c r="O3582" s="17">
        <f>-(K3582*0.025+L3582*0.025)</f>
        <v/>
      </c>
      <c r="P3582" s="17">
        <f>32</f>
        <v/>
      </c>
      <c r="Q3582" s="17">
        <f>J3582+L3582+N3582+O3582-P3582-M3582</f>
        <v/>
      </c>
    </row>
    <row r="3583">
      <c r="A3583" s="16" t="inlineStr">
        <is>
          <t>5.29-6.4</t>
        </is>
      </c>
      <c r="B3583" s="16" t="inlineStr">
        <is>
          <t>PO-128-08142849303670009</t>
        </is>
      </c>
      <c r="C3583" s="16" t="inlineStr">
        <is>
          <t>Shipped</t>
        </is>
      </c>
      <c r="D3583" s="16" t="inlineStr">
        <is>
          <t>128-08142870275190009</t>
        </is>
      </c>
      <c r="E3583" s="16" t="inlineStr">
        <is>
          <t>Shipped</t>
        </is>
      </c>
      <c r="F3583" s="16" t="inlineStr">
        <is>
          <t>MB-185A</t>
        </is>
      </c>
      <c r="G3583" s="16" t="inlineStr">
        <is>
          <t>Bocina Radio FM/Reproductor, Compatible con Tarjeta TF, USB, Bluetooth, Aplicable para celular, computadora, Ipad y consola.</t>
        </is>
      </c>
      <c r="H3583" s="16" t="inlineStr">
        <is>
          <t>AZUL/MB-185</t>
        </is>
      </c>
      <c r="I3583" s="16" t="n">
        <v>1</v>
      </c>
      <c r="J3583" s="17" t="n">
        <v>73</v>
      </c>
      <c r="K3583" s="17" t="n">
        <v>85.94</v>
      </c>
      <c r="L3583" s="17" t="n">
        <v>25.86</v>
      </c>
      <c r="M3583" s="17" t="n">
        <v>0</v>
      </c>
      <c r="N3583" s="17">
        <f>K3583*0.08+L3583*0.08</f>
        <v/>
      </c>
      <c r="O3583" s="17">
        <f>-(K3583*0.025+L3583*0.025)</f>
        <v/>
      </c>
      <c r="P3583" s="17">
        <f>32</f>
        <v/>
      </c>
      <c r="Q3583" s="17">
        <f>J3583+L3583+N3583+O3583-P3583-M3583</f>
        <v/>
      </c>
    </row>
    <row r="3584">
      <c r="A3584" s="16" t="inlineStr">
        <is>
          <t>5.29-6.4</t>
        </is>
      </c>
      <c r="B3584" s="16" t="inlineStr">
        <is>
          <t>PO-128-08185327271030778</t>
        </is>
      </c>
      <c r="C3584" s="16" t="inlineStr">
        <is>
          <t>Shipped</t>
        </is>
      </c>
      <c r="D3584" s="16" t="inlineStr">
        <is>
          <t>128-08185369214070778</t>
        </is>
      </c>
      <c r="E3584" s="16" t="inlineStr">
        <is>
          <t>Shipped</t>
        </is>
      </c>
      <c r="F3584" s="16" t="inlineStr">
        <is>
          <t>SA325T</t>
        </is>
      </c>
      <c r="G3584" s="16" t="inlineStr">
        <is>
          <t>Subwoofer Portátil Inalámbrico con Luces RGB, Sonido de Alta Potencia y Batería Duradera, TWS TF USB, Perfecto para Campamento Fiestas y Entretenimiento en Casa</t>
        </is>
      </c>
      <c r="H3584" s="16" t="inlineStr">
        <is>
          <t>NEGRO</t>
        </is>
      </c>
      <c r="I3584" s="16" t="n">
        <v>1</v>
      </c>
      <c r="J3584" s="17" t="n">
        <v>38</v>
      </c>
      <c r="K3584" s="17" t="n">
        <v>47.04</v>
      </c>
      <c r="L3584" s="17" t="n">
        <v>25.86</v>
      </c>
      <c r="M3584" s="17" t="n">
        <v>0</v>
      </c>
      <c r="N3584" s="17">
        <f>K3584*0.08+L3584*0.08</f>
        <v/>
      </c>
      <c r="O3584" s="17">
        <f>-(K3584*0.025+L3584*0.025)</f>
        <v/>
      </c>
      <c r="P3584" s="17">
        <f>32</f>
        <v/>
      </c>
      <c r="Q3584" s="17">
        <f>J3584+L3584+N3584+O3584-P3584-M3584</f>
        <v/>
      </c>
    </row>
    <row r="3585">
      <c r="A3585" s="16" t="inlineStr">
        <is>
          <t>5.29-6.4</t>
        </is>
      </c>
      <c r="B3585" s="16" t="inlineStr">
        <is>
          <t>PO-128-07786904120952259</t>
        </is>
      </c>
      <c r="C3585" s="16" t="inlineStr">
        <is>
          <t>Shipped</t>
        </is>
      </c>
      <c r="D3585" s="16" t="inlineStr">
        <is>
          <t>128-07786956549752259</t>
        </is>
      </c>
      <c r="E3585" s="16" t="inlineStr">
        <is>
          <t>Shipped</t>
        </is>
      </c>
      <c r="F3585" s="16" t="inlineStr">
        <is>
          <t>VA880T</t>
        </is>
      </c>
      <c r="G358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585" s="16" t="inlineStr">
        <is>
          <t>1 pieza</t>
        </is>
      </c>
      <c r="I3585" s="16" t="n">
        <v>1</v>
      </c>
      <c r="J3585" s="17" t="n">
        <v>114.98</v>
      </c>
      <c r="K3585" s="17" t="n">
        <v>161.3</v>
      </c>
      <c r="L3585" s="17" t="n">
        <v>25.86</v>
      </c>
      <c r="M3585" s="17" t="n">
        <v>0</v>
      </c>
      <c r="N3585" s="17">
        <f>K3585*0.08+L3585*0.08</f>
        <v/>
      </c>
      <c r="O3585" s="17">
        <f>-(K3585*0.025+L3585*0.025)</f>
        <v/>
      </c>
      <c r="P3585" s="17">
        <f>32</f>
        <v/>
      </c>
      <c r="Q3585" s="17">
        <f>J3585+L3585+N3585+O3585-P3585-M3585</f>
        <v/>
      </c>
    </row>
    <row r="3586">
      <c r="A3586" s="16" t="inlineStr">
        <is>
          <t>5.29-6.4</t>
        </is>
      </c>
      <c r="B3586" s="16" t="inlineStr">
        <is>
          <t>PO-128-07801306345592109</t>
        </is>
      </c>
      <c r="C3586" s="16" t="inlineStr">
        <is>
          <t>Shipped</t>
        </is>
      </c>
      <c r="D3586" s="16" t="inlineStr">
        <is>
          <t>128-07801348288632109</t>
        </is>
      </c>
      <c r="E3586" s="16" t="inlineStr">
        <is>
          <t>Shipped</t>
        </is>
      </c>
      <c r="F3586" s="16" t="inlineStr">
        <is>
          <t>VA384T-A</t>
        </is>
      </c>
      <c r="G3586" s="16" t="inlineStr">
        <is>
          <t>Bocina Portátil Bluetooth de 3 Pulgadas con Radio FM, USB TF TWS, Sonido Estéreo 5W, Bocina Recargable para Hogar Exterior Viaje Fiesta Camping</t>
        </is>
      </c>
      <c r="H3586" s="16" t="inlineStr">
        <is>
          <t>AZUL</t>
        </is>
      </c>
      <c r="I3586" s="16" t="n">
        <v>1</v>
      </c>
      <c r="J3586" s="17" t="n">
        <v>48</v>
      </c>
      <c r="K3586" s="17" t="n">
        <v>49.92</v>
      </c>
      <c r="L3586" s="17" t="n">
        <v>25.86</v>
      </c>
      <c r="M3586" s="17" t="n">
        <v>0</v>
      </c>
      <c r="N3586" s="17">
        <f>K3586*0.08+L3586*0.08</f>
        <v/>
      </c>
      <c r="O3586" s="17">
        <f>-(K3586*0.025+L3586*0.025)</f>
        <v/>
      </c>
      <c r="P3586" s="17">
        <f>32</f>
        <v/>
      </c>
      <c r="Q3586" s="17">
        <f>J3586+L3586+N3586+O3586-P3586-M3586</f>
        <v/>
      </c>
    </row>
    <row r="3587">
      <c r="A3587" s="16" t="inlineStr">
        <is>
          <t>5.29-6.4</t>
        </is>
      </c>
      <c r="B3587" s="16" t="inlineStr">
        <is>
          <t>PO-128-07853967511672883</t>
        </is>
      </c>
      <c r="C3587" s="16" t="inlineStr">
        <is>
          <t>Shipped</t>
        </is>
      </c>
      <c r="D3587" s="16" t="inlineStr">
        <is>
          <t>128-07854009454712883</t>
        </is>
      </c>
      <c r="E3587" s="16" t="inlineStr">
        <is>
          <t>Shipped</t>
        </is>
      </c>
      <c r="F3587" s="16" t="inlineStr">
        <is>
          <t>HD005</t>
        </is>
      </c>
      <c r="G3587" s="16" t="inlineStr">
        <is>
          <t>Link bits HD005 Antena UHF para Exteriores, Antena de TV Digital HD con 10 Metros de Cable, Recepción 470-862MHz, 9-7dB de Ganancia, Antena para Canales Abiertos y HD, Resistente al Agua y Viento, Fácil Instalación</t>
        </is>
      </c>
      <c r="H3587" s="16" t="inlineStr">
        <is>
          <t>1</t>
        </is>
      </c>
      <c r="I3587" s="16" t="n">
        <v>1</v>
      </c>
      <c r="J3587" s="17" t="n">
        <v>75</v>
      </c>
      <c r="K3587" s="17" t="n">
        <v>92.66</v>
      </c>
      <c r="L3587" s="17" t="n">
        <v>25.86</v>
      </c>
      <c r="M3587" s="17" t="n">
        <v>0</v>
      </c>
      <c r="N3587" s="17">
        <f>K3587*0.08+L3587*0.08</f>
        <v/>
      </c>
      <c r="O3587" s="17">
        <f>-(K3587*0.025+L3587*0.025)</f>
        <v/>
      </c>
      <c r="P3587" s="17">
        <f>32</f>
        <v/>
      </c>
      <c r="Q3587" s="17">
        <f>J3587+L3587+N3587+O3587-P3587-M3587</f>
        <v/>
      </c>
    </row>
    <row r="3588">
      <c r="A3588" s="16" t="inlineStr">
        <is>
          <t>5.29-6.4</t>
        </is>
      </c>
      <c r="B3588" s="16" t="inlineStr">
        <is>
          <t>PO-128-08114382753910371</t>
        </is>
      </c>
      <c r="C3588" s="16" t="inlineStr">
        <is>
          <t>Shipped</t>
        </is>
      </c>
      <c r="D3588" s="16" t="inlineStr">
        <is>
          <t>128-08114361782390371</t>
        </is>
      </c>
      <c r="E3588" s="16" t="inlineStr">
        <is>
          <t>Shipped</t>
        </is>
      </c>
      <c r="F3588" s="16" t="inlineStr">
        <is>
          <t>MB-185A</t>
        </is>
      </c>
      <c r="G3588" s="16" t="inlineStr">
        <is>
          <t>Bocina Radio FM/Reproductor, Compatible con Tarjeta TF, USB, Bluetooth, Aplicable para celular, computadora, Ipad y consola.</t>
        </is>
      </c>
      <c r="H3588" s="16" t="inlineStr">
        <is>
          <t>AZUL/MB-185</t>
        </is>
      </c>
      <c r="I3588" s="16" t="n">
        <v>1</v>
      </c>
      <c r="J3588" s="17" t="n">
        <v>73</v>
      </c>
      <c r="K3588" s="17" t="n">
        <v>85.94</v>
      </c>
      <c r="L3588" s="17" t="n">
        <v>25.86</v>
      </c>
      <c r="M3588" s="17" t="n">
        <v>0</v>
      </c>
      <c r="N3588" s="17">
        <f>K3588*0.08+L3588*0.08</f>
        <v/>
      </c>
      <c r="O3588" s="17">
        <f>-(K3588*0.025+L3588*0.025)</f>
        <v/>
      </c>
      <c r="P3588" s="17">
        <f>32</f>
        <v/>
      </c>
      <c r="Q3588" s="17">
        <f>J3588+L3588+N3588+O3588-P3588-M3588</f>
        <v/>
      </c>
    </row>
    <row r="3589">
      <c r="A3589" s="16" t="inlineStr">
        <is>
          <t>5.29-6.4</t>
        </is>
      </c>
      <c r="B3589" s="16" t="inlineStr">
        <is>
          <t>PO-128-07681464561273911</t>
        </is>
      </c>
      <c r="C3589" s="16" t="inlineStr">
        <is>
          <t>Shipped</t>
        </is>
      </c>
      <c r="D3589" s="16" t="inlineStr">
        <is>
          <t>128-07681516990073911</t>
        </is>
      </c>
      <c r="E3589" s="16" t="inlineStr">
        <is>
          <t>Shipped</t>
        </is>
      </c>
      <c r="F3589" s="16" t="inlineStr">
        <is>
          <t>LB02235-negro</t>
        </is>
      </c>
      <c r="G3589" s="16" t="inlineStr">
        <is>
          <t>Audífonos Inalámbricos para la Cabeza, Recargables y Multifuncionales - Conectan a Varios Dispositivos, soportan Radio FM, Tarjeta TF y AUX - 4 Horas de Reproducción Musical - Ideal para Trabajo Cotidiano, Juegos y Estudio</t>
        </is>
      </c>
      <c r="H3589" s="16" t="inlineStr">
        <is>
          <t>NEGRO</t>
        </is>
      </c>
      <c r="I3589" s="16" t="n">
        <v>1</v>
      </c>
      <c r="J3589" s="17" t="n">
        <v>36.8</v>
      </c>
      <c r="K3589" s="17" t="n">
        <v>49.91</v>
      </c>
      <c r="L3589" s="17" t="n">
        <v>25.86</v>
      </c>
      <c r="M3589" s="17" t="n">
        <v>0</v>
      </c>
      <c r="N3589" s="17">
        <f>K3589*0.08+L3589*0.08</f>
        <v/>
      </c>
      <c r="O3589" s="17">
        <f>-(K3589*0.025+L3589*0.025)</f>
        <v/>
      </c>
      <c r="P3589" s="17">
        <f>32</f>
        <v/>
      </c>
      <c r="Q3589" s="17">
        <f>J3589+L3589+N3589+O3589-P3589-M3589</f>
        <v/>
      </c>
    </row>
    <row r="3590">
      <c r="A3590" s="16" t="inlineStr">
        <is>
          <t>5.29-6.4</t>
        </is>
      </c>
      <c r="B3590" s="16" t="inlineStr">
        <is>
          <t>PO-128-08111005991030327</t>
        </is>
      </c>
      <c r="C3590" s="16" t="inlineStr">
        <is>
          <t>Shipped</t>
        </is>
      </c>
      <c r="D3590" s="16" t="inlineStr">
        <is>
          <t>128-08110995505270327</t>
        </is>
      </c>
      <c r="E3590" s="16" t="inlineStr">
        <is>
          <t>Shipped</t>
        </is>
      </c>
      <c r="F3590" s="16" t="inlineStr">
        <is>
          <t>SA8056T</t>
        </is>
      </c>
      <c r="G359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590" s="16" t="inlineStr">
        <is>
          <t>SA8056T</t>
        </is>
      </c>
      <c r="I3590" s="16" t="n">
        <v>1</v>
      </c>
      <c r="J3590" s="17" t="n">
        <v>123.9</v>
      </c>
      <c r="K3590" s="17" t="n">
        <v>144.07</v>
      </c>
      <c r="L3590" s="17" t="n">
        <v>0</v>
      </c>
      <c r="M3590" s="17" t="n">
        <v>0</v>
      </c>
      <c r="N3590" s="17">
        <f>K3590*0.08+L3590*0.08</f>
        <v/>
      </c>
      <c r="O3590" s="17">
        <f>-(K3590*0.025+L3590*0.025)</f>
        <v/>
      </c>
      <c r="P3590" s="17">
        <f>32</f>
        <v/>
      </c>
      <c r="Q3590" s="17">
        <f>J3590+L3590+N3590+O3590-P3590-M3590</f>
        <v/>
      </c>
    </row>
    <row r="3591">
      <c r="A3591" s="16" t="inlineStr">
        <is>
          <t>5.29-6.4</t>
        </is>
      </c>
      <c r="B3591" s="16" t="inlineStr">
        <is>
          <t>PO-128-08111005991030327</t>
        </is>
      </c>
      <c r="C3591" s="16" t="inlineStr">
        <is>
          <t>Shipped</t>
        </is>
      </c>
      <c r="D3591" s="16" t="inlineStr">
        <is>
          <t>128-08111016476790327</t>
        </is>
      </c>
      <c r="E3591" s="16" t="inlineStr">
        <is>
          <t>Shipped</t>
        </is>
      </c>
      <c r="F3591" s="16" t="inlineStr">
        <is>
          <t>SA8058T</t>
        </is>
      </c>
      <c r="G3591"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3591" s="16" t="inlineStr">
        <is>
          <t>SA8058T</t>
        </is>
      </c>
      <c r="I3591" s="16" t="n">
        <v>1</v>
      </c>
      <c r="J3591" s="17" t="n">
        <v>210</v>
      </c>
      <c r="K3591" s="17" t="n">
        <v>174.5</v>
      </c>
      <c r="L3591" s="17" t="n">
        <v>0</v>
      </c>
      <c r="M3591" s="17" t="n">
        <v>0</v>
      </c>
      <c r="N3591" s="17">
        <f>K3591*0.08+L3591*0.08</f>
        <v/>
      </c>
      <c r="O3591" s="17">
        <f>-(K3591*0.025+L3591*0.025)</f>
        <v/>
      </c>
      <c r="P3591" s="17">
        <f>32</f>
        <v/>
      </c>
      <c r="Q3591" s="17">
        <f>J3591+L3591+N3591+O3591-P3591-M3591</f>
        <v/>
      </c>
    </row>
    <row r="3592">
      <c r="A3592" s="16" t="inlineStr">
        <is>
          <t>5.29-6.4</t>
        </is>
      </c>
      <c r="B3592" s="16" t="inlineStr">
        <is>
          <t>PO-128-07864342093432693</t>
        </is>
      </c>
      <c r="C3592" s="16" t="inlineStr">
        <is>
          <t>Shipped</t>
        </is>
      </c>
      <c r="D3592" s="16" t="inlineStr">
        <is>
          <t>128-07864350613112693</t>
        </is>
      </c>
      <c r="E3592" s="16" t="inlineStr">
        <is>
          <t>Shipped</t>
        </is>
      </c>
      <c r="F3592" s="16" t="inlineStr">
        <is>
          <t>LMC02</t>
        </is>
      </c>
      <c r="G3592" s="16" t="inlineStr">
        <is>
          <t>Tira de poder 16 en 1 montable en pared con 10 tomas CA, 4 USB, 2 Tipo‑C, interruptor mecánico y protección contra sobrecarga. 125V 15A 1850W, color blanco, ideal para hogar, oficina y estudio. Carga segura y múltiple.</t>
        </is>
      </c>
      <c r="H3592" s="16" t="inlineStr">
        <is>
          <t>NEGRO/11EN1</t>
        </is>
      </c>
      <c r="I3592" s="16" t="n">
        <v>2</v>
      </c>
      <c r="J3592" s="17" t="n">
        <v>158</v>
      </c>
      <c r="K3592" s="17" t="n">
        <v>214.38</v>
      </c>
      <c r="L3592" s="17" t="n">
        <v>25.86</v>
      </c>
      <c r="M3592" s="17" t="n">
        <v>0</v>
      </c>
      <c r="N3592" s="17">
        <f>K3592*0.08+L3592*0.08</f>
        <v/>
      </c>
      <c r="O3592" s="17">
        <f>-(K3592*0.025+L3592*0.025)</f>
        <v/>
      </c>
      <c r="P3592" s="17">
        <f>32</f>
        <v/>
      </c>
      <c r="Q3592" s="17">
        <f>J3592+L3592+N3592+O3592-P3592-M3592</f>
        <v/>
      </c>
    </row>
    <row r="3593">
      <c r="A3593" s="16" t="inlineStr">
        <is>
          <t>5.29-6.4</t>
        </is>
      </c>
      <c r="B3593" s="16" t="inlineStr">
        <is>
          <t>PO-128-07706417513593827</t>
        </is>
      </c>
      <c r="C3593" s="16" t="inlineStr">
        <is>
          <t>Shipped</t>
        </is>
      </c>
      <c r="D3593" s="16" t="inlineStr">
        <is>
          <t>128-07706375570553827</t>
        </is>
      </c>
      <c r="E3593" s="16" t="inlineStr">
        <is>
          <t>Shipped</t>
        </is>
      </c>
      <c r="F3593" s="16" t="inlineStr">
        <is>
          <t>SA325T</t>
        </is>
      </c>
      <c r="G3593" s="16" t="inlineStr">
        <is>
          <t>Subwoofer Portátil Inalámbrico con Luces RGB, Sonido de Alta Potencia y Batería Duradera, TWS TF USB, Perfecto para Campamento Fiestas y Entretenimiento en Casa</t>
        </is>
      </c>
      <c r="H3593" s="16" t="inlineStr">
        <is>
          <t>NEGRO</t>
        </is>
      </c>
      <c r="I3593" s="16" t="n">
        <v>1</v>
      </c>
      <c r="J3593" s="17" t="n">
        <v>38</v>
      </c>
      <c r="K3593" s="17" t="n">
        <v>47.04</v>
      </c>
      <c r="L3593" s="17" t="n">
        <v>25.86</v>
      </c>
      <c r="M3593" s="17" t="n">
        <v>0</v>
      </c>
      <c r="N3593" s="17">
        <f>K3593*0.08+L3593*0.08</f>
        <v/>
      </c>
      <c r="O3593" s="17">
        <f>-(K3593*0.025+L3593*0.025)</f>
        <v/>
      </c>
      <c r="P3593" s="17">
        <f>32</f>
        <v/>
      </c>
      <c r="Q3593" s="17">
        <f>J3593+L3593+N3593+O3593-P3593-M3593</f>
        <v/>
      </c>
    </row>
    <row r="3594">
      <c r="A3594" s="16" t="inlineStr">
        <is>
          <t>5.29-6.4</t>
        </is>
      </c>
      <c r="B3594" s="16" t="inlineStr">
        <is>
          <t>PO-128-08214893576310730</t>
        </is>
      </c>
      <c r="C3594" s="16" t="inlineStr">
        <is>
          <t>Shipped</t>
        </is>
      </c>
      <c r="D3594" s="16" t="inlineStr">
        <is>
          <t>128-08214946005110730</t>
        </is>
      </c>
      <c r="E3594" s="16" t="inlineStr">
        <is>
          <t>Shipped</t>
        </is>
      </c>
      <c r="F3594" s="16" t="inlineStr">
        <is>
          <t>LB02235-azul</t>
        </is>
      </c>
      <c r="G3594" s="16" t="inlineStr">
        <is>
          <t>Audífonos Inalámbricos para la Cabeza, Recargables y Multifuncionales - Conectan a Varios Dispositivos, soportan Radio FM, Tarjeta TF y AUX - 4 Horas de Reproducción Musical - Ideal para Trabajo Cotidiano, Juegos y Estudio</t>
        </is>
      </c>
      <c r="H3594" s="16" t="inlineStr">
        <is>
          <t>AZUL</t>
        </is>
      </c>
      <c r="I3594" s="16" t="n">
        <v>1</v>
      </c>
      <c r="J3594" s="17" t="n">
        <v>29</v>
      </c>
      <c r="K3594" s="17" t="n">
        <v>42.11</v>
      </c>
      <c r="L3594" s="17" t="n">
        <v>25.86</v>
      </c>
      <c r="M3594" s="17" t="n">
        <v>0</v>
      </c>
      <c r="N3594" s="17">
        <f>K3594*0.08+L3594*0.08</f>
        <v/>
      </c>
      <c r="O3594" s="17">
        <f>-(K3594*0.025+L3594*0.025)</f>
        <v/>
      </c>
      <c r="P3594" s="17">
        <f>32</f>
        <v/>
      </c>
      <c r="Q3594" s="17">
        <f>J3594+L3594+N3594+O3594-P3594-M3594</f>
        <v/>
      </c>
    </row>
    <row r="3595">
      <c r="A3595" s="16" t="inlineStr">
        <is>
          <t>5.29-6.4</t>
        </is>
      </c>
      <c r="B3595" s="16" t="inlineStr">
        <is>
          <t>PO-128-07841073124472830</t>
        </is>
      </c>
      <c r="C3595" s="16" t="inlineStr">
        <is>
          <t>Shipped</t>
        </is>
      </c>
      <c r="D3595" s="16" t="inlineStr">
        <is>
          <t>128-07841094095992830</t>
        </is>
      </c>
      <c r="E3595" s="16" t="inlineStr">
        <is>
          <t>Shipped</t>
        </is>
      </c>
      <c r="F3595" s="16" t="inlineStr">
        <is>
          <t>LB02235-azul</t>
        </is>
      </c>
      <c r="G3595" s="16" t="inlineStr">
        <is>
          <t>Audífonos Inalámbricos para la Cabeza, Recargables y Multifuncionales - Conectan a Varios Dispositivos, soportan Radio FM, Tarjeta TF y AUX - 4 Horas de Reproducción Musical - Ideal para Trabajo Cotidiano, Juegos y Estudio</t>
        </is>
      </c>
      <c r="H3595" s="16" t="inlineStr">
        <is>
          <t>AZUL</t>
        </is>
      </c>
      <c r="I3595" s="16" t="n">
        <v>1</v>
      </c>
      <c r="J3595" s="17" t="n">
        <v>29</v>
      </c>
      <c r="K3595" s="17" t="n">
        <v>42.11</v>
      </c>
      <c r="L3595" s="17" t="n">
        <v>25.86</v>
      </c>
      <c r="M3595" s="17" t="n">
        <v>0</v>
      </c>
      <c r="N3595" s="17">
        <f>K3595*0.08+L3595*0.08</f>
        <v/>
      </c>
      <c r="O3595" s="17">
        <f>-(K3595*0.025+L3595*0.025)</f>
        <v/>
      </c>
      <c r="P3595" s="17">
        <f>32</f>
        <v/>
      </c>
      <c r="Q3595" s="17">
        <f>J3595+L3595+N3595+O3595-P3595-M3595</f>
        <v/>
      </c>
    </row>
    <row r="3596">
      <c r="A3596" s="16" t="inlineStr">
        <is>
          <t>5.29-6.4</t>
        </is>
      </c>
      <c r="B3596" s="16" t="inlineStr">
        <is>
          <t>PO-128-07857063473272929</t>
        </is>
      </c>
      <c r="C3596" s="16" t="inlineStr">
        <is>
          <t>Shipped</t>
        </is>
      </c>
      <c r="D3596" s="16" t="inlineStr">
        <is>
          <t>128-07856979587192929</t>
        </is>
      </c>
      <c r="E3596" s="16" t="inlineStr">
        <is>
          <t>Shipped</t>
        </is>
      </c>
      <c r="F3596" s="16" t="inlineStr">
        <is>
          <t>KTS-1678N</t>
        </is>
      </c>
      <c r="G3596" s="16" t="inlineStr">
        <is>
          <t>Bocina portátil Inalámbrico, de 3 pulgadas, tamaño de bolsillo, 170 g, con asa, compatible con TF, USB y Micro SD, con radio FM y función TWS (True Wireless Stereo), adecuada para relajarse en casa o viajar al aire libre.</t>
        </is>
      </c>
      <c r="H3596" s="16" t="inlineStr">
        <is>
          <t>KTS-1678N</t>
        </is>
      </c>
      <c r="I3596" s="16" t="n">
        <v>1</v>
      </c>
      <c r="J3596" s="17" t="n">
        <v>43</v>
      </c>
      <c r="K3596" s="17" t="n">
        <v>56.89</v>
      </c>
      <c r="L3596" s="17" t="n">
        <v>25.86</v>
      </c>
      <c r="M3596" s="17" t="n">
        <v>0</v>
      </c>
      <c r="N3596" s="17">
        <f>K3596*0.08+L3596*0.08</f>
        <v/>
      </c>
      <c r="O3596" s="17">
        <f>-(K3596*0.025+L3596*0.025)</f>
        <v/>
      </c>
      <c r="P3596" s="17">
        <f>32</f>
        <v/>
      </c>
      <c r="Q3596" s="17">
        <f>J3596+L3596+N3596+O3596-P3596-M3596</f>
        <v/>
      </c>
    </row>
    <row r="3597">
      <c r="A3597" s="16" t="inlineStr">
        <is>
          <t>5.29-6.4</t>
        </is>
      </c>
      <c r="B3597" s="16" t="inlineStr">
        <is>
          <t>PO-128-08041788055671698</t>
        </is>
      </c>
      <c r="C3597" s="16" t="inlineStr">
        <is>
          <t>Shipped</t>
        </is>
      </c>
      <c r="D3597" s="16" t="inlineStr">
        <is>
          <t>128-08041746112631698</t>
        </is>
      </c>
      <c r="E3597" s="16" t="inlineStr">
        <is>
          <t>Shipped</t>
        </is>
      </c>
      <c r="F3597" s="16" t="inlineStr">
        <is>
          <t>LB02235-negro</t>
        </is>
      </c>
      <c r="G3597" s="16" t="inlineStr">
        <is>
          <t>Audífonos Inalámbricos para la Cabeza, Recargables y Multifuncionales - Conectan a Varios Dispositivos, soportan Radio FM, Tarjeta TF y AUX - 4 Horas de Reproducción Musical - Ideal para Trabajo Cotidiano, Juegos y Estudio</t>
        </is>
      </c>
      <c r="H3597" s="16" t="inlineStr">
        <is>
          <t>NEGRO</t>
        </is>
      </c>
      <c r="I3597" s="16" t="n">
        <v>1</v>
      </c>
      <c r="J3597" s="17" t="n">
        <v>36.8</v>
      </c>
      <c r="K3597" s="17" t="n">
        <v>49.91</v>
      </c>
      <c r="L3597" s="17" t="n">
        <v>25.86</v>
      </c>
      <c r="M3597" s="17" t="n">
        <v>0</v>
      </c>
      <c r="N3597" s="17">
        <f>K3597*0.08+L3597*0.08</f>
        <v/>
      </c>
      <c r="O3597" s="17">
        <f>-(K3597*0.025+L3597*0.025)</f>
        <v/>
      </c>
      <c r="P3597" s="17">
        <f>32</f>
        <v/>
      </c>
      <c r="Q3597" s="17">
        <f>J3597+L3597+N3597+O3597-P3597-M3597</f>
        <v/>
      </c>
    </row>
    <row r="3598">
      <c r="A3598" s="16" t="inlineStr">
        <is>
          <t>5.29-6.4</t>
        </is>
      </c>
      <c r="B3598" s="16" t="inlineStr">
        <is>
          <t>PO-128-07859590812792912</t>
        </is>
      </c>
      <c r="C3598" s="16" t="inlineStr">
        <is>
          <t>Shipped</t>
        </is>
      </c>
      <c r="D3598" s="16" t="inlineStr">
        <is>
          <t>128-07859617027192912</t>
        </is>
      </c>
      <c r="E3598" s="16" t="inlineStr">
        <is>
          <t>Shipped</t>
        </is>
      </c>
      <c r="F3598" s="16" t="inlineStr">
        <is>
          <t>LV34W04</t>
        </is>
      </c>
      <c r="G359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598" s="16" t="inlineStr">
        <is>
          <t>LV34W04</t>
        </is>
      </c>
      <c r="I3598" s="16" t="n">
        <v>1</v>
      </c>
      <c r="J3598" s="17" t="n">
        <v>230.3</v>
      </c>
      <c r="K3598" s="17" t="n">
        <v>257.65</v>
      </c>
      <c r="L3598" s="17" t="n">
        <v>25.86</v>
      </c>
      <c r="M3598" s="17" t="n">
        <v>0</v>
      </c>
      <c r="N3598" s="17">
        <f>K3598*0.08+L3598*0.08</f>
        <v/>
      </c>
      <c r="O3598" s="17">
        <f>-(K3598*0.025+L3598*0.025)</f>
        <v/>
      </c>
      <c r="P3598" s="17">
        <f>32</f>
        <v/>
      </c>
      <c r="Q3598" s="17">
        <f>J3598+L3598+N3598+O3598-P3598-M3598</f>
        <v/>
      </c>
    </row>
    <row r="3599">
      <c r="A3599" s="16" t="inlineStr">
        <is>
          <t>5.29-6.4</t>
        </is>
      </c>
      <c r="B3599" s="16" t="inlineStr">
        <is>
          <t>PO-128-07998200978551958</t>
        </is>
      </c>
      <c r="C3599" s="16" t="inlineStr">
        <is>
          <t>Shipped</t>
        </is>
      </c>
      <c r="D3599" s="16" t="inlineStr">
        <is>
          <t>128-07998180007031958</t>
        </is>
      </c>
      <c r="E3599" s="16" t="inlineStr">
        <is>
          <t>Shipped</t>
        </is>
      </c>
      <c r="F3599" s="16" t="inlineStr">
        <is>
          <t>LB02235-negro</t>
        </is>
      </c>
      <c r="G3599" s="16" t="inlineStr">
        <is>
          <t>Audífonos Inalámbricos para la Cabeza, Recargables y Multifuncionales - Conectan a Varios Dispositivos, soportan Radio FM, Tarjeta TF y AUX - 4 Horas de Reproducción Musical - Ideal para Trabajo Cotidiano, Juegos y Estudio</t>
        </is>
      </c>
      <c r="H3599" s="16" t="inlineStr">
        <is>
          <t>NEGRO</t>
        </is>
      </c>
      <c r="I3599" s="16" t="n">
        <v>1</v>
      </c>
      <c r="J3599" s="17" t="n">
        <v>36.8</v>
      </c>
      <c r="K3599" s="17" t="n">
        <v>39.93</v>
      </c>
      <c r="L3599" s="17" t="n">
        <v>25.86</v>
      </c>
      <c r="M3599" s="17" t="n">
        <v>0</v>
      </c>
      <c r="N3599" s="17">
        <f>K3599*0.08+L3599*0.08</f>
        <v/>
      </c>
      <c r="O3599" s="17">
        <f>-(K3599*0.025+L3599*0.025)</f>
        <v/>
      </c>
      <c r="P3599" s="17">
        <f>32</f>
        <v/>
      </c>
      <c r="Q3599" s="17">
        <f>J3599+L3599+N3599+O3599-P3599-M3599</f>
        <v/>
      </c>
    </row>
    <row r="3600">
      <c r="A3600" s="16" t="inlineStr">
        <is>
          <t>5.29-6.4</t>
        </is>
      </c>
      <c r="B3600" s="16" t="inlineStr">
        <is>
          <t>PO-128-07813384256632165</t>
        </is>
      </c>
      <c r="C3600" s="16" t="inlineStr">
        <is>
          <t>Shipped</t>
        </is>
      </c>
      <c r="D3600" s="16" t="inlineStr">
        <is>
          <t>128-07813426199672165</t>
        </is>
      </c>
      <c r="E3600" s="16" t="inlineStr">
        <is>
          <t>Shipped</t>
        </is>
      </c>
      <c r="F3600" s="16" t="inlineStr">
        <is>
          <t>LB02235-blanco</t>
        </is>
      </c>
      <c r="G3600" s="16" t="inlineStr">
        <is>
          <t>Audífonos Inalámbricos para la Cabeza, Recargables y Multifuncionales - Conectan a Varios Dispositivos, soportan Radio FM, Tarjeta TF y AUX - 4 Horas de Reproducción Musical - Ideal para Trabajo Cotidiano, Juegos y Estudio</t>
        </is>
      </c>
      <c r="H3600" s="16" t="inlineStr">
        <is>
          <t>BLANCO</t>
        </is>
      </c>
      <c r="I3600" s="16" t="n">
        <v>1</v>
      </c>
      <c r="J3600" s="17" t="n">
        <v>36.8</v>
      </c>
      <c r="K3600" s="17" t="n">
        <v>24.96</v>
      </c>
      <c r="L3600" s="17" t="n">
        <v>25.86</v>
      </c>
      <c r="M3600" s="17" t="n">
        <v>0</v>
      </c>
      <c r="N3600" s="17">
        <f>K3600*0.08+L3600*0.08</f>
        <v/>
      </c>
      <c r="O3600" s="17">
        <f>-(K3600*0.025+L3600*0.025)</f>
        <v/>
      </c>
      <c r="P3600" s="17">
        <f>32</f>
        <v/>
      </c>
      <c r="Q3600" s="17">
        <f>J3600+L3600+N3600+O3600-P3600-M3600</f>
        <v/>
      </c>
    </row>
    <row r="3601">
      <c r="A3601" s="16" t="inlineStr">
        <is>
          <t>5.29-6.4</t>
        </is>
      </c>
      <c r="B3601" s="16" t="inlineStr">
        <is>
          <t>PO-128-07559838385273482</t>
        </is>
      </c>
      <c r="C3601" s="16" t="inlineStr">
        <is>
          <t>Shipped</t>
        </is>
      </c>
      <c r="D3601" s="16" t="inlineStr">
        <is>
          <t>128-07559943242873482</t>
        </is>
      </c>
      <c r="E3601" s="16" t="inlineStr">
        <is>
          <t>Shipped</t>
        </is>
      </c>
      <c r="F3601" s="16" t="inlineStr">
        <is>
          <t>MB-185A</t>
        </is>
      </c>
      <c r="G3601" s="16" t="inlineStr">
        <is>
          <t>Bocina Radio FM/Reproductor, Compatible con Tarjeta TF, USB, Bluetooth, Aplicable para celular, computadora, Ipad y consola.</t>
        </is>
      </c>
      <c r="H3601" s="16" t="inlineStr">
        <is>
          <t>AZUL/MB-185</t>
        </is>
      </c>
      <c r="I3601" s="16" t="n">
        <v>1</v>
      </c>
      <c r="J3601" s="17" t="n">
        <v>73</v>
      </c>
      <c r="K3601" s="17" t="n">
        <v>85.94</v>
      </c>
      <c r="L3601" s="17" t="n">
        <v>25.86</v>
      </c>
      <c r="M3601" s="17" t="n">
        <v>0</v>
      </c>
      <c r="N3601" s="17">
        <f>K3601*0.08+L3601*0.08</f>
        <v/>
      </c>
      <c r="O3601" s="17">
        <f>-(K3601*0.025+L3601*0.025)</f>
        <v/>
      </c>
      <c r="P3601" s="17">
        <f>32</f>
        <v/>
      </c>
      <c r="Q3601" s="17">
        <f>J3601+L3601+N3601+O3601-P3601-M3601</f>
        <v/>
      </c>
    </row>
    <row r="3602">
      <c r="A3602" s="16" t="inlineStr">
        <is>
          <t>5.29-6.4</t>
        </is>
      </c>
      <c r="B3602" s="16" t="inlineStr">
        <is>
          <t>PO-128-08070592719991654</t>
        </is>
      </c>
      <c r="C3602" s="16" t="inlineStr">
        <is>
          <t>Shipped</t>
        </is>
      </c>
      <c r="D3602" s="16" t="inlineStr">
        <is>
          <t>128-08070540291191654</t>
        </is>
      </c>
      <c r="E3602" s="16" t="inlineStr">
        <is>
          <t>Shipped</t>
        </is>
      </c>
      <c r="F3602" s="16" t="inlineStr">
        <is>
          <t>KTS-1678R</t>
        </is>
      </c>
      <c r="G3602" s="16" t="inlineStr">
        <is>
          <t>Bocina portátil Inalámbrico, de 3 pulgadas, tamaño de bolsillo, 170 g, con asa, compatible con TF, USB y Micro SD, con radio FM y función TWS (True Wireless Stereo), adecuada para relajarse en casa o viajar al aire libre.</t>
        </is>
      </c>
      <c r="H3602" s="16" t="inlineStr">
        <is>
          <t>KTS-1678R</t>
        </is>
      </c>
      <c r="I3602" s="16" t="n">
        <v>1</v>
      </c>
      <c r="J3602" s="17" t="n">
        <v>42.5</v>
      </c>
      <c r="K3602" s="17" t="n">
        <v>71.91</v>
      </c>
      <c r="L3602" s="17" t="n">
        <v>25.86</v>
      </c>
      <c r="M3602" s="17" t="n">
        <v>0</v>
      </c>
      <c r="N3602" s="17">
        <f>K3602*0.08+L3602*0.08</f>
        <v/>
      </c>
      <c r="O3602" s="17">
        <f>-(K3602*0.025+L3602*0.025)</f>
        <v/>
      </c>
      <c r="P3602" s="17">
        <f>32</f>
        <v/>
      </c>
      <c r="Q3602" s="17">
        <f>J3602+L3602+N3602+O3602-P3602-M3602</f>
        <v/>
      </c>
    </row>
    <row r="3603">
      <c r="A3603" s="16" t="inlineStr">
        <is>
          <t>5.29-6.4</t>
        </is>
      </c>
      <c r="B3603" s="16" t="inlineStr">
        <is>
          <t>PO-128-07605156631673212</t>
        </is>
      </c>
      <c r="C3603" s="16" t="inlineStr">
        <is>
          <t>Shipped</t>
        </is>
      </c>
      <c r="D3603" s="16" t="inlineStr">
        <is>
          <t>128-07605206439033212</t>
        </is>
      </c>
      <c r="E3603" s="16" t="inlineStr">
        <is>
          <t>Shipped</t>
        </is>
      </c>
      <c r="F3603" s="16" t="inlineStr">
        <is>
          <t>LB02235-negro</t>
        </is>
      </c>
      <c r="G3603" s="16" t="inlineStr">
        <is>
          <t>Audífonos Inalámbricos para la Cabeza, Recargables y Multifuncionales - Conectan a Varios Dispositivos, soportan Radio FM, Tarjeta TF y AUX - 4 Horas de Reproducción Musical - Ideal para Trabajo Cotidiano, Juegos y Estudio</t>
        </is>
      </c>
      <c r="H3603" s="16" t="inlineStr">
        <is>
          <t>NEGRO</t>
        </is>
      </c>
      <c r="I3603" s="16" t="n">
        <v>1</v>
      </c>
      <c r="J3603" s="17" t="n">
        <v>36.8</v>
      </c>
      <c r="K3603" s="17" t="n">
        <v>46.19</v>
      </c>
      <c r="L3603" s="17" t="n">
        <v>25.86</v>
      </c>
      <c r="M3603" s="17" t="n">
        <v>0</v>
      </c>
      <c r="N3603" s="17">
        <f>K3603*0.08+L3603*0.08</f>
        <v/>
      </c>
      <c r="O3603" s="17">
        <f>-(K3603*0.025+L3603*0.025)</f>
        <v/>
      </c>
      <c r="P3603" s="17">
        <f>32</f>
        <v/>
      </c>
      <c r="Q3603" s="17">
        <f>J3603+L3603+N3603+O3603-P3603-M3603</f>
        <v/>
      </c>
    </row>
    <row r="3604">
      <c r="A3604" s="16" t="inlineStr">
        <is>
          <t>5.29-6.4</t>
        </is>
      </c>
      <c r="B3604" s="16" t="inlineStr">
        <is>
          <t>PO-128-07767627374712372</t>
        </is>
      </c>
      <c r="C3604" s="16" t="inlineStr">
        <is>
          <t>Shipped</t>
        </is>
      </c>
      <c r="D3604" s="16" t="inlineStr">
        <is>
          <t>128-07767648346232372</t>
        </is>
      </c>
      <c r="E3604" s="16" t="inlineStr">
        <is>
          <t>Shipped</t>
        </is>
      </c>
      <c r="F3604" s="16" t="inlineStr">
        <is>
          <t>MB-185R</t>
        </is>
      </c>
      <c r="G3604" s="16" t="inlineStr">
        <is>
          <t>Bocina Radio FM/Reproductor, Compatible con Tarjeta TF, USB, Bluetooth, Aplicable para celular, computadora, Ipad y consola.</t>
        </is>
      </c>
      <c r="H3604" s="16" t="inlineStr">
        <is>
          <t>ROJO/MB-185</t>
        </is>
      </c>
      <c r="I3604" s="16" t="n">
        <v>1</v>
      </c>
      <c r="J3604" s="17" t="n">
        <v>75.59999999999999</v>
      </c>
      <c r="K3604" s="17" t="n">
        <v>71.5</v>
      </c>
      <c r="L3604" s="17" t="n">
        <v>10.23</v>
      </c>
      <c r="M3604" s="17" t="n">
        <v>0</v>
      </c>
      <c r="N3604" s="17">
        <f>K3604*0.08+L3604*0.08</f>
        <v/>
      </c>
      <c r="O3604" s="17">
        <f>-(K3604*0.025+L3604*0.025)</f>
        <v/>
      </c>
      <c r="P3604" s="17">
        <f>32</f>
        <v/>
      </c>
      <c r="Q3604" s="17">
        <f>J3604+L3604+N3604+O3604-P3604-M3604</f>
        <v/>
      </c>
    </row>
    <row r="3605">
      <c r="A3605" s="16" t="inlineStr">
        <is>
          <t>5.29-6.4</t>
        </is>
      </c>
      <c r="B3605" s="16" t="inlineStr">
        <is>
          <t>PO-128-07767627374712372</t>
        </is>
      </c>
      <c r="C3605" s="16" t="inlineStr">
        <is>
          <t>Shipped</t>
        </is>
      </c>
      <c r="D3605" s="16" t="inlineStr">
        <is>
          <t>128-07767564460152372</t>
        </is>
      </c>
      <c r="E3605" s="16" t="inlineStr">
        <is>
          <t>Shipped</t>
        </is>
      </c>
      <c r="F3605" s="16" t="inlineStr">
        <is>
          <t>SA325T</t>
        </is>
      </c>
      <c r="G3605" s="16" t="inlineStr">
        <is>
          <t>Subwoofer Portátil Inalámbrico con Luces RGB, Sonido de Alta Potencia y Batería Duradera, TWS TF USB, Perfecto para Campamento Fiestas y Entretenimiento en Casa</t>
        </is>
      </c>
      <c r="H3605" s="16" t="inlineStr">
        <is>
          <t>NEGRO</t>
        </is>
      </c>
      <c r="I3605" s="16" t="n">
        <v>1</v>
      </c>
      <c r="J3605" s="17" t="n">
        <v>38</v>
      </c>
      <c r="K3605" s="17" t="n">
        <v>37.98</v>
      </c>
      <c r="L3605" s="17" t="n">
        <v>5.42</v>
      </c>
      <c r="M3605" s="17" t="n">
        <v>0</v>
      </c>
      <c r="N3605" s="17">
        <f>K3605*0.08+L3605*0.08</f>
        <v/>
      </c>
      <c r="O3605" s="17">
        <f>-(K3605*0.025+L3605*0.025)</f>
        <v/>
      </c>
      <c r="P3605" s="17">
        <f>32</f>
        <v/>
      </c>
      <c r="Q3605" s="17">
        <f>J3605+L3605+N3605+O3605-P3605-M3605</f>
        <v/>
      </c>
    </row>
    <row r="3606">
      <c r="A3606" s="16" t="inlineStr">
        <is>
          <t>5.29-6.4</t>
        </is>
      </c>
      <c r="B3606" s="16" t="inlineStr">
        <is>
          <t>PO-128-07767627374712372</t>
        </is>
      </c>
      <c r="C3606" s="16" t="inlineStr">
        <is>
          <t>Shipped</t>
        </is>
      </c>
      <c r="D3606" s="16" t="inlineStr">
        <is>
          <t>128-07767606403192372</t>
        </is>
      </c>
      <c r="E3606" s="16" t="inlineStr">
        <is>
          <t>Shipped</t>
        </is>
      </c>
      <c r="F3606" s="16" t="inlineStr">
        <is>
          <t>MB-185N</t>
        </is>
      </c>
      <c r="G3606" s="16" t="inlineStr">
        <is>
          <t>Bocina Radio FM/Reproductor, Compatible con Tarjeta TF, USB, Bluetooth, Aplicable para celular, computadora, Ipad y consola.</t>
        </is>
      </c>
      <c r="H3606" s="16" t="inlineStr">
        <is>
          <t>NEGRO/MB-185</t>
        </is>
      </c>
      <c r="I3606" s="16" t="n">
        <v>1</v>
      </c>
      <c r="J3606" s="17" t="n">
        <v>75.5</v>
      </c>
      <c r="K3606" s="17" t="n">
        <v>71.43000000000001</v>
      </c>
      <c r="L3606" s="17" t="n">
        <v>10.21</v>
      </c>
      <c r="M3606" s="17" t="n">
        <v>0</v>
      </c>
      <c r="N3606" s="17">
        <f>K3606*0.08+L3606*0.08</f>
        <v/>
      </c>
      <c r="O3606" s="17">
        <f>-(K3606*0.025+L3606*0.025)</f>
        <v/>
      </c>
      <c r="P3606" s="17">
        <f>32</f>
        <v/>
      </c>
      <c r="Q3606" s="17">
        <f>J3606+L3606+N3606+O3606-P3606-M3606</f>
        <v/>
      </c>
    </row>
    <row r="3607">
      <c r="A3607" s="16" t="inlineStr">
        <is>
          <t>5.29-6.4</t>
        </is>
      </c>
      <c r="B3607" s="16" t="inlineStr">
        <is>
          <t>PO-128-07916205432951486</t>
        </is>
      </c>
      <c r="C3607" s="16" t="inlineStr">
        <is>
          <t>Shipped</t>
        </is>
      </c>
      <c r="D3607" s="16" t="inlineStr">
        <is>
          <t>128-07916201500791486</t>
        </is>
      </c>
      <c r="E3607" s="16" t="inlineStr">
        <is>
          <t>Shipped</t>
        </is>
      </c>
      <c r="F3607" s="16" t="inlineStr">
        <is>
          <t>LB02235-rojo</t>
        </is>
      </c>
      <c r="G3607" s="16" t="inlineStr">
        <is>
          <t>Audífonos Inalámbricos para la Cabeza, Recargables y Multifuncionales - Conectan a Varios Dispositivos, soportan Radio FM, Tarjeta TF y AUX - 4 Horas de Reproducción Musical - Ideal para Trabajo Cotidiano, Juegos y Estudio</t>
        </is>
      </c>
      <c r="H3607" s="16" t="inlineStr">
        <is>
          <t>ROJO</t>
        </is>
      </c>
      <c r="I3607" s="16" t="n">
        <v>4</v>
      </c>
      <c r="J3607" s="17" t="n">
        <v>147.2</v>
      </c>
      <c r="K3607" s="17" t="n">
        <v>199.64</v>
      </c>
      <c r="L3607" s="17" t="n">
        <v>25.88</v>
      </c>
      <c r="M3607" s="17" t="n">
        <v>0</v>
      </c>
      <c r="N3607" s="17">
        <f>K3607*0.08+L3607*0.08</f>
        <v/>
      </c>
      <c r="O3607" s="17">
        <f>-(K3607*0.025+L3607*0.025)</f>
        <v/>
      </c>
      <c r="P3607" s="17">
        <f>32</f>
        <v/>
      </c>
      <c r="Q3607" s="17">
        <f>J3607+L3607+N3607+O3607-P3607-M3607</f>
        <v/>
      </c>
    </row>
    <row r="3608">
      <c r="A3608" s="16" t="inlineStr">
        <is>
          <t>5.29-6.4</t>
        </is>
      </c>
      <c r="B3608" s="16" t="inlineStr">
        <is>
          <t>PO-128-08040988946551702</t>
        </is>
      </c>
      <c r="C3608" s="16" t="inlineStr">
        <is>
          <t>Shipped</t>
        </is>
      </c>
      <c r="D3608" s="16" t="inlineStr">
        <is>
          <t>128-08041148854391702</t>
        </is>
      </c>
      <c r="E3608" s="16" t="inlineStr">
        <is>
          <t>Shipped</t>
        </is>
      </c>
      <c r="F3608" s="16" t="inlineStr">
        <is>
          <t>SA325T</t>
        </is>
      </c>
      <c r="G3608" s="16" t="inlineStr">
        <is>
          <t>Subwoofer Portátil Inalámbrico con Luces RGB, Sonido de Alta Potencia y Batería Duradera, TWS TF USB, Perfecto para Campamento Fiestas y Entretenimiento en Casa</t>
        </is>
      </c>
      <c r="H3608" s="16" t="inlineStr">
        <is>
          <t>NEGRO</t>
        </is>
      </c>
      <c r="I3608" s="16" t="n">
        <v>1</v>
      </c>
      <c r="J3608" s="17" t="n">
        <v>38</v>
      </c>
      <c r="K3608" s="17" t="n">
        <v>3.94</v>
      </c>
      <c r="L3608" s="17" t="n">
        <v>25.86</v>
      </c>
      <c r="M3608" s="17" t="n">
        <v>0</v>
      </c>
      <c r="N3608" s="17">
        <f>K3608*0.08+L3608*0.08</f>
        <v/>
      </c>
      <c r="O3608" s="17">
        <f>-(K3608*0.025+L3608*0.025)</f>
        <v/>
      </c>
      <c r="P3608" s="17">
        <f>32</f>
        <v/>
      </c>
      <c r="Q3608" s="17">
        <f>J3608+L3608+N3608+O3608-P3608-M3608</f>
        <v/>
      </c>
    </row>
    <row r="3609">
      <c r="A3609" s="16" t="inlineStr">
        <is>
          <t>5.29-6.4</t>
        </is>
      </c>
      <c r="B3609" s="16" t="inlineStr">
        <is>
          <t>PO-128-07846758633592860</t>
        </is>
      </c>
      <c r="C3609" s="16" t="inlineStr">
        <is>
          <t>Shipped</t>
        </is>
      </c>
      <c r="D3609" s="16" t="inlineStr">
        <is>
          <t>128-07846727176312860</t>
        </is>
      </c>
      <c r="E3609" s="16" t="inlineStr">
        <is>
          <t>Shipped</t>
        </is>
      </c>
      <c r="F3609" s="16" t="inlineStr">
        <is>
          <t>HD005</t>
        </is>
      </c>
      <c r="G3609" s="16" t="inlineStr">
        <is>
          <t>Link bits HD005 Antena UHF para Exteriores, Antena de TV Digital HD con 10 Metros de Cable, Recepción 470-862MHz, 9-7dB de Ganancia, Antena para Canales Abiertos y HD, Resistente al Agua y Viento, Fácil Instalación</t>
        </is>
      </c>
      <c r="H3609" s="16" t="inlineStr">
        <is>
          <t>1</t>
        </is>
      </c>
      <c r="I3609" s="16" t="n">
        <v>1</v>
      </c>
      <c r="J3609" s="17" t="n">
        <v>75</v>
      </c>
      <c r="K3609" s="17" t="n">
        <v>92.66</v>
      </c>
      <c r="L3609" s="17" t="n">
        <v>25.86</v>
      </c>
      <c r="M3609" s="17" t="n">
        <v>0</v>
      </c>
      <c r="N3609" s="17">
        <f>K3609*0.08+L3609*0.08</f>
        <v/>
      </c>
      <c r="O3609" s="17">
        <f>-(K3609*0.025+L3609*0.025)</f>
        <v/>
      </c>
      <c r="P3609" s="17">
        <f>32</f>
        <v/>
      </c>
      <c r="Q3609" s="17">
        <f>J3609+L3609+N3609+O3609-P3609-M3609</f>
        <v/>
      </c>
    </row>
    <row r="3610">
      <c r="A3610" s="16" t="inlineStr">
        <is>
          <t>5.29-6.4</t>
        </is>
      </c>
      <c r="B3610" s="16" t="inlineStr">
        <is>
          <t>PO-128-07812516913272168</t>
        </is>
      </c>
      <c r="C3610" s="16" t="inlineStr">
        <is>
          <t>Shipped</t>
        </is>
      </c>
      <c r="D3610" s="16" t="inlineStr">
        <is>
          <t>128-07812621770872168</t>
        </is>
      </c>
      <c r="E3610" s="16" t="inlineStr">
        <is>
          <t>Shipped</t>
        </is>
      </c>
      <c r="F3610" s="16" t="inlineStr">
        <is>
          <t>SA8058T</t>
        </is>
      </c>
      <c r="G3610"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3610" s="16" t="inlineStr">
        <is>
          <t>SA8058T</t>
        </is>
      </c>
      <c r="I3610" s="16" t="n">
        <v>1</v>
      </c>
      <c r="J3610" s="17" t="n">
        <v>210</v>
      </c>
      <c r="K3610" s="17" t="n">
        <v>232.66</v>
      </c>
      <c r="L3610" s="17" t="n">
        <v>25.86</v>
      </c>
      <c r="M3610" s="17" t="n">
        <v>0</v>
      </c>
      <c r="N3610" s="17">
        <f>K3610*0.08+L3610*0.08</f>
        <v/>
      </c>
      <c r="O3610" s="17">
        <f>-(K3610*0.025+L3610*0.025)</f>
        <v/>
      </c>
      <c r="P3610" s="17">
        <f>32</f>
        <v/>
      </c>
      <c r="Q3610" s="17">
        <f>J3610+L3610+N3610+O3610-P3610-M3610</f>
        <v/>
      </c>
    </row>
    <row r="3611">
      <c r="A3611" s="16" t="inlineStr">
        <is>
          <t>5.29-6.4</t>
        </is>
      </c>
      <c r="B3611" s="16" t="inlineStr">
        <is>
          <t>PO-128-07765949852792382</t>
        </is>
      </c>
      <c r="C3611" s="16" t="inlineStr">
        <is>
          <t>Shipped</t>
        </is>
      </c>
      <c r="D3611" s="16" t="inlineStr">
        <is>
          <t>128-07765913152632382</t>
        </is>
      </c>
      <c r="E3611" s="16" t="inlineStr">
        <is>
          <t>Shipped</t>
        </is>
      </c>
      <c r="F3611" s="16" t="inlineStr">
        <is>
          <t>LB02235-azul</t>
        </is>
      </c>
      <c r="G3611" s="16" t="inlineStr">
        <is>
          <t>Audífonos Inalámbricos para la Cabeza, Recargables y Multifuncionales - Conectan a Varios Dispositivos, soportan Radio FM, Tarjeta TF y AUX - 4 Horas de Reproducción Musical - Ideal para Trabajo Cotidiano, Juegos y Estudio</t>
        </is>
      </c>
      <c r="H3611" s="16" t="inlineStr">
        <is>
          <t>AZUL</t>
        </is>
      </c>
      <c r="I3611" s="16" t="n">
        <v>1</v>
      </c>
      <c r="J3611" s="17" t="n">
        <v>29</v>
      </c>
      <c r="K3611" s="17" t="n">
        <v>0</v>
      </c>
      <c r="L3611" s="17" t="n">
        <v>0</v>
      </c>
      <c r="M3611" s="17" t="n">
        <v>0</v>
      </c>
      <c r="N3611" s="17">
        <f>K3611*0.08+L3611*0.08</f>
        <v/>
      </c>
      <c r="O3611" s="17">
        <f>-(K3611*0.025+L3611*0.025)</f>
        <v/>
      </c>
      <c r="P3611" s="17">
        <f>32</f>
        <v/>
      </c>
      <c r="Q3611" s="17">
        <f>J3611+L3611+N3611+O3611-P3611-M3611</f>
        <v/>
      </c>
    </row>
    <row r="3612">
      <c r="A3612" s="16" t="inlineStr">
        <is>
          <t>5.29-6.4</t>
        </is>
      </c>
      <c r="B3612" s="16" t="inlineStr">
        <is>
          <t>PO-128-07819881403512956</t>
        </is>
      </c>
      <c r="C3612" s="16" t="inlineStr">
        <is>
          <t>Shipped</t>
        </is>
      </c>
      <c r="D3612" s="16" t="inlineStr">
        <is>
          <t>128-07819902375032956</t>
        </is>
      </c>
      <c r="E3612" s="16" t="inlineStr">
        <is>
          <t>Shipped</t>
        </is>
      </c>
      <c r="F3612" s="16" t="inlineStr">
        <is>
          <t>MB-185N</t>
        </is>
      </c>
      <c r="G3612" s="16" t="inlineStr">
        <is>
          <t>Bocina Radio FM/Reproductor, Compatible con Tarjeta TF, USB, Bluetooth, Aplicable para celular, computadora, Ipad y consola.</t>
        </is>
      </c>
      <c r="H3612" s="16" t="inlineStr">
        <is>
          <t>NEGRO/MB-185</t>
        </is>
      </c>
      <c r="I3612" s="16" t="n">
        <v>1</v>
      </c>
      <c r="J3612" s="17" t="n">
        <v>75.5</v>
      </c>
      <c r="K3612" s="17" t="n">
        <v>88.44</v>
      </c>
      <c r="L3612" s="17" t="n">
        <v>25.86</v>
      </c>
      <c r="M3612" s="17" t="n">
        <v>0</v>
      </c>
      <c r="N3612" s="17">
        <f>K3612*0.08+L3612*0.08</f>
        <v/>
      </c>
      <c r="O3612" s="17">
        <f>-(K3612*0.025+L3612*0.025)</f>
        <v/>
      </c>
      <c r="P3612" s="17">
        <f>32</f>
        <v/>
      </c>
      <c r="Q3612" s="17">
        <f>J3612+L3612+N3612+O3612-P3612-M3612</f>
        <v/>
      </c>
    </row>
    <row r="3613">
      <c r="A3613" s="16" t="inlineStr">
        <is>
          <t>5.29-6.4</t>
        </is>
      </c>
      <c r="B3613" s="16" t="inlineStr">
        <is>
          <t>PO-128-08058235794551536</t>
        </is>
      </c>
      <c r="C3613" s="16" t="inlineStr">
        <is>
          <t>Shipped</t>
        </is>
      </c>
      <c r="D3613" s="16" t="inlineStr">
        <is>
          <t>128-08058193851511536</t>
        </is>
      </c>
      <c r="E3613" s="16" t="inlineStr">
        <is>
          <t>Shipped</t>
        </is>
      </c>
      <c r="F3613" s="16" t="inlineStr">
        <is>
          <t>MCM-001N</t>
        </is>
      </c>
      <c r="G3613" s="16" t="inlineStr">
        <is>
          <t>Musicord Altavoz Inalámbrico BT Portátil: ¡Sonido impactante, luces LED multicolores y 4 horas de autonomía! Compatible con TWS, FM, TF y USB – Imprescindible para fiestas y viajes</t>
        </is>
      </c>
      <c r="H3613" s="16" t="inlineStr">
        <is>
          <t>NEGRO</t>
        </is>
      </c>
      <c r="I3613" s="16" t="n">
        <v>1</v>
      </c>
      <c r="J3613" s="17" t="n">
        <v>52</v>
      </c>
      <c r="K3613" s="17" t="n">
        <v>63.28</v>
      </c>
      <c r="L3613" s="17" t="n">
        <v>25.86</v>
      </c>
      <c r="M3613" s="17" t="n">
        <v>0</v>
      </c>
      <c r="N3613" s="17">
        <f>K3613*0.08+L3613*0.08</f>
        <v/>
      </c>
      <c r="O3613" s="17">
        <f>-(K3613*0.025+L3613*0.025)</f>
        <v/>
      </c>
      <c r="P3613" s="17">
        <f>32</f>
        <v/>
      </c>
      <c r="Q3613" s="17">
        <f>J3613+L3613+N3613+O3613-P3613-M3613</f>
        <v/>
      </c>
    </row>
    <row r="3614">
      <c r="A3614" s="16" t="inlineStr">
        <is>
          <t>5.29-6.4</t>
        </is>
      </c>
      <c r="B3614" s="16" t="inlineStr">
        <is>
          <t>PO-128-07879172508792797</t>
        </is>
      </c>
      <c r="C3614" s="16" t="inlineStr">
        <is>
          <t>Shipped</t>
        </is>
      </c>
      <c r="D3614" s="16" t="inlineStr">
        <is>
          <t>128-07879154158712797</t>
        </is>
      </c>
      <c r="E3614" s="16" t="inlineStr">
        <is>
          <t>Shipped</t>
        </is>
      </c>
      <c r="F3614" s="16" t="inlineStr">
        <is>
          <t>LB02235-negro</t>
        </is>
      </c>
      <c r="G3614" s="16" t="inlineStr">
        <is>
          <t>Audífonos Inalámbricos para la Cabeza, Recargables y Multifuncionales - Conectan a Varios Dispositivos, soportan Radio FM, Tarjeta TF y AUX - 4 Horas de Reproducción Musical - Ideal para Trabajo Cotidiano, Juegos y Estudio</t>
        </is>
      </c>
      <c r="H3614" s="16" t="inlineStr">
        <is>
          <t>NEGRO</t>
        </is>
      </c>
      <c r="I3614" s="16" t="n">
        <v>1</v>
      </c>
      <c r="J3614" s="17" t="n">
        <v>36.8</v>
      </c>
      <c r="K3614" s="17" t="n">
        <v>49.91</v>
      </c>
      <c r="L3614" s="17" t="n">
        <v>25.86</v>
      </c>
      <c r="M3614" s="17" t="n">
        <v>0</v>
      </c>
      <c r="N3614" s="17">
        <f>K3614*0.08+L3614*0.08</f>
        <v/>
      </c>
      <c r="O3614" s="17">
        <f>-(K3614*0.025+L3614*0.025)</f>
        <v/>
      </c>
      <c r="P3614" s="17">
        <f>32</f>
        <v/>
      </c>
      <c r="Q3614" s="17">
        <f>J3614+L3614+N3614+O3614-P3614-M3614</f>
        <v/>
      </c>
    </row>
    <row r="3615">
      <c r="A3615" s="16" t="inlineStr">
        <is>
          <t>5.29-6.4</t>
        </is>
      </c>
      <c r="B3615" s="16" t="inlineStr">
        <is>
          <t>PO-128-08110517752950328</t>
        </is>
      </c>
      <c r="C3615" s="16" t="inlineStr">
        <is>
          <t>Shipped</t>
        </is>
      </c>
      <c r="D3615" s="16" t="inlineStr">
        <is>
          <t>128-08110496781430328</t>
        </is>
      </c>
      <c r="E3615" s="16" t="inlineStr">
        <is>
          <t>Shipped</t>
        </is>
      </c>
      <c r="F3615" s="16" t="inlineStr">
        <is>
          <t>LB02235-negro</t>
        </is>
      </c>
      <c r="G3615" s="16" t="inlineStr">
        <is>
          <t>Audífonos Inalámbricos para la Cabeza, Recargables y Multifuncionales - Conectan a Varios Dispositivos, soportan Radio FM, Tarjeta TF y AUX - 4 Horas de Reproducción Musical - Ideal para Trabajo Cotidiano, Juegos y Estudio</t>
        </is>
      </c>
      <c r="H3615" s="16" t="inlineStr">
        <is>
          <t>NEGRO</t>
        </is>
      </c>
      <c r="I3615" s="16" t="n">
        <v>1</v>
      </c>
      <c r="J3615" s="17" t="n">
        <v>36.8</v>
      </c>
      <c r="K3615" s="17" t="n">
        <v>49.91</v>
      </c>
      <c r="L3615" s="17" t="n">
        <v>25.86</v>
      </c>
      <c r="M3615" s="17" t="n">
        <v>0</v>
      </c>
      <c r="N3615" s="17">
        <f>K3615*0.08+L3615*0.08</f>
        <v/>
      </c>
      <c r="O3615" s="17">
        <f>-(K3615*0.025+L3615*0.025)</f>
        <v/>
      </c>
      <c r="P3615" s="17">
        <f>32</f>
        <v/>
      </c>
      <c r="Q3615" s="17">
        <f>J3615+L3615+N3615+O3615-P3615-M3615</f>
        <v/>
      </c>
    </row>
    <row r="3616">
      <c r="A3616" s="16" t="inlineStr">
        <is>
          <t>5.29-6.4</t>
        </is>
      </c>
      <c r="B3616" s="16" t="inlineStr">
        <is>
          <t>PO-128-07786110899832262</t>
        </is>
      </c>
      <c r="C3616" s="16" t="inlineStr">
        <is>
          <t>Shipped</t>
        </is>
      </c>
      <c r="D3616" s="16" t="inlineStr">
        <is>
          <t>128-07786121385592262</t>
        </is>
      </c>
      <c r="E3616" s="16" t="inlineStr">
        <is>
          <t>Shipped</t>
        </is>
      </c>
      <c r="F3616" s="16" t="inlineStr">
        <is>
          <t>SA8056T</t>
        </is>
      </c>
      <c r="G361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616" s="16" t="inlineStr">
        <is>
          <t>SA8056T</t>
        </is>
      </c>
      <c r="I3616" s="16" t="n">
        <v>1</v>
      </c>
      <c r="J3616" s="17" t="n">
        <v>123.9</v>
      </c>
      <c r="K3616" s="17" t="n">
        <v>145.52</v>
      </c>
      <c r="L3616" s="17" t="n">
        <v>25.86</v>
      </c>
      <c r="M3616" s="17" t="n">
        <v>0</v>
      </c>
      <c r="N3616" s="17">
        <f>K3616*0.08+L3616*0.08</f>
        <v/>
      </c>
      <c r="O3616" s="17">
        <f>-(K3616*0.025+L3616*0.025)</f>
        <v/>
      </c>
      <c r="P3616" s="17">
        <f>32</f>
        <v/>
      </c>
      <c r="Q3616" s="17">
        <f>J3616+L3616+N3616+O3616-P3616-M3616</f>
        <v/>
      </c>
    </row>
    <row r="3617">
      <c r="A3617" s="16" t="inlineStr">
        <is>
          <t>5.29-6.4</t>
        </is>
      </c>
      <c r="B3617" s="16" t="inlineStr">
        <is>
          <t>PO-128-07687253422713941</t>
        </is>
      </c>
      <c r="C3617" s="16" t="inlineStr">
        <is>
          <t>Shipped</t>
        </is>
      </c>
      <c r="D3617" s="16" t="inlineStr">
        <is>
          <t>128-07687305851513941</t>
        </is>
      </c>
      <c r="E3617" s="16" t="inlineStr">
        <is>
          <t>Shipped</t>
        </is>
      </c>
      <c r="F3617" s="16" t="inlineStr">
        <is>
          <t>FA028</t>
        </is>
      </c>
      <c r="G3617" s="16" t="inlineStr">
        <is>
          <t>Extractor de agua para garrafas de agua, compatible con carga USB, extractor de agua automático, práctico, con dos modos de toma de agua: manual y programado, ideal para dormitorios, salones, oficinas, uso al aire libre y otros escenarios.</t>
        </is>
      </c>
      <c r="H3617" s="16" t="inlineStr">
        <is>
          <t>FA028</t>
        </is>
      </c>
      <c r="I3617" s="16" t="n">
        <v>1</v>
      </c>
      <c r="J3617" s="17" t="n">
        <v>35</v>
      </c>
      <c r="K3617" s="17" t="n">
        <v>44.58</v>
      </c>
      <c r="L3617" s="17" t="n">
        <v>25.86</v>
      </c>
      <c r="M3617" s="17" t="n">
        <v>0</v>
      </c>
      <c r="N3617" s="17">
        <f>K3617*0.08+L3617*0.08</f>
        <v/>
      </c>
      <c r="O3617" s="17">
        <f>-(K3617*0.025+L3617*0.025)</f>
        <v/>
      </c>
      <c r="P3617" s="17">
        <f>32</f>
        <v/>
      </c>
      <c r="Q3617" s="17">
        <f>J3617+L3617+N3617+O3617-P3617-M3617</f>
        <v/>
      </c>
    </row>
    <row r="3618">
      <c r="A3618" s="16" t="inlineStr">
        <is>
          <t>5.29-6.4</t>
        </is>
      </c>
      <c r="B3618" s="16" t="inlineStr">
        <is>
          <t>PO-128-08209873884790696</t>
        </is>
      </c>
      <c r="C3618" s="16" t="inlineStr">
        <is>
          <t>Shipped</t>
        </is>
      </c>
      <c r="D3618" s="16" t="inlineStr">
        <is>
          <t>128-08209894856310696</t>
        </is>
      </c>
      <c r="E3618" s="16" t="inlineStr">
        <is>
          <t>Shipped</t>
        </is>
      </c>
      <c r="F3618" s="16" t="inlineStr">
        <is>
          <t>LB02235-azul</t>
        </is>
      </c>
      <c r="G3618" s="16" t="inlineStr">
        <is>
          <t>Audífonos Inalámbricos para la Cabeza, Recargables y Multifuncionales - Conectan a Varios Dispositivos, soportan Radio FM, Tarjeta TF y AUX - 4 Horas de Reproducción Musical - Ideal para Trabajo Cotidiano, Juegos y Estudio</t>
        </is>
      </c>
      <c r="H3618" s="16" t="inlineStr">
        <is>
          <t>AZUL</t>
        </is>
      </c>
      <c r="I3618" s="16" t="n">
        <v>1</v>
      </c>
      <c r="J3618" s="17" t="n">
        <v>29</v>
      </c>
      <c r="K3618" s="17" t="n">
        <v>42.11</v>
      </c>
      <c r="L3618" s="17" t="n">
        <v>12.93</v>
      </c>
      <c r="M3618" s="17" t="n">
        <v>0</v>
      </c>
      <c r="N3618" s="17">
        <f>K3618*0.08+L3618*0.08</f>
        <v/>
      </c>
      <c r="O3618" s="17">
        <f>-(K3618*0.025+L3618*0.025)</f>
        <v/>
      </c>
      <c r="P3618" s="17">
        <f>32</f>
        <v/>
      </c>
      <c r="Q3618" s="17">
        <f>J3618+L3618+N3618+O3618-P3618-M3618</f>
        <v/>
      </c>
    </row>
    <row r="3619">
      <c r="A3619" s="16" t="inlineStr">
        <is>
          <t>5.29-6.4</t>
        </is>
      </c>
      <c r="B3619" s="16" t="inlineStr">
        <is>
          <t>PO-128-08209873884790696</t>
        </is>
      </c>
      <c r="C3619" s="16" t="inlineStr">
        <is>
          <t>Shipped</t>
        </is>
      </c>
      <c r="D3619" s="16" t="inlineStr">
        <is>
          <t>128-08209850166390696</t>
        </is>
      </c>
      <c r="E3619" s="16" t="inlineStr">
        <is>
          <t>Shipped</t>
        </is>
      </c>
      <c r="F3619" s="16" t="inlineStr">
        <is>
          <t>LB02235-azul</t>
        </is>
      </c>
      <c r="G3619" s="16" t="inlineStr">
        <is>
          <t>Audífonos Inalámbricos para la Cabeza, Recargables y Multifuncionales - Conectan a Varios Dispositivos, soportan Radio FM, Tarjeta TF y AUX - 4 Horas de Reproducción Musical - Ideal para Trabajo Cotidiano, Juegos y Estudio</t>
        </is>
      </c>
      <c r="H3619" s="16" t="inlineStr">
        <is>
          <t>AZUL</t>
        </is>
      </c>
      <c r="I3619" s="16" t="n">
        <v>1</v>
      </c>
      <c r="J3619" s="17" t="n">
        <v>29</v>
      </c>
      <c r="K3619" s="17" t="n">
        <v>42.11</v>
      </c>
      <c r="L3619" s="17" t="n">
        <v>12.93</v>
      </c>
      <c r="M3619" s="17" t="n">
        <v>0</v>
      </c>
      <c r="N3619" s="17">
        <f>K3619*0.08+L3619*0.08</f>
        <v/>
      </c>
      <c r="O3619" s="17">
        <f>-(K3619*0.025+L3619*0.025)</f>
        <v/>
      </c>
      <c r="P3619" s="17">
        <f>32</f>
        <v/>
      </c>
      <c r="Q3619" s="17">
        <f>J3619+L3619+N3619+O3619-P3619-M3619</f>
        <v/>
      </c>
    </row>
    <row r="3620">
      <c r="A3620" s="16" t="inlineStr">
        <is>
          <t>5.29-6.4</t>
        </is>
      </c>
      <c r="B3620" s="16" t="inlineStr">
        <is>
          <t>PO-128-07905625221751423</t>
        </is>
      </c>
      <c r="C3620" s="16" t="inlineStr">
        <is>
          <t>Shipped</t>
        </is>
      </c>
      <c r="D3620" s="16" t="inlineStr">
        <is>
          <t>128-07905730079351423</t>
        </is>
      </c>
      <c r="E3620" s="16" t="inlineStr">
        <is>
          <t>Shipped</t>
        </is>
      </c>
      <c r="F3620" s="16" t="inlineStr">
        <is>
          <t>LB02235-negro</t>
        </is>
      </c>
      <c r="G3620" s="16" t="inlineStr">
        <is>
          <t>Audífonos Inalámbricos para la Cabeza, Recargables y Multifuncionales - Conectan a Varios Dispositivos, soportan Radio FM, Tarjeta TF y AUX - 4 Horas de Reproducción Musical - Ideal para Trabajo Cotidiano, Juegos y Estudio</t>
        </is>
      </c>
      <c r="H3620" s="16" t="inlineStr">
        <is>
          <t>NEGRO</t>
        </is>
      </c>
      <c r="I3620" s="16" t="n">
        <v>1</v>
      </c>
      <c r="J3620" s="17" t="n">
        <v>36.8</v>
      </c>
      <c r="K3620" s="17" t="n">
        <v>0</v>
      </c>
      <c r="L3620" s="17" t="n">
        <v>0</v>
      </c>
      <c r="M3620" s="17" t="n">
        <v>0</v>
      </c>
      <c r="N3620" s="17">
        <f>K3620*0.08+L3620*0.08</f>
        <v/>
      </c>
      <c r="O3620" s="17">
        <f>-(K3620*0.025+L3620*0.025)</f>
        <v/>
      </c>
      <c r="P3620" s="17">
        <f>32</f>
        <v/>
      </c>
      <c r="Q3620" s="17">
        <f>J3620+L3620+N3620+O3620-P3620-M3620</f>
        <v/>
      </c>
    </row>
    <row r="3621">
      <c r="A3621" s="16" t="inlineStr">
        <is>
          <t>5.29-6.4</t>
        </is>
      </c>
      <c r="B3621" s="16" t="inlineStr">
        <is>
          <t>PO-128-07989354486391946</t>
        </is>
      </c>
      <c r="C3621" s="16" t="inlineStr">
        <is>
          <t>Shipped</t>
        </is>
      </c>
      <c r="D3621" s="16" t="inlineStr">
        <is>
          <t>128-07989396429431946</t>
        </is>
      </c>
      <c r="E3621" s="16" t="inlineStr">
        <is>
          <t>Shipped</t>
        </is>
      </c>
      <c r="F3621" s="16" t="inlineStr">
        <is>
          <t>MCM-001R</t>
        </is>
      </c>
      <c r="G3621" s="16" t="inlineStr">
        <is>
          <t>Musicord Altavoz Inalámbrico BT Portátil: ¡Sonido impactante, luces LED multicolores y 4 horas de autonomía! Compatible con TWS, FM, TF y USB – Imprescindible para fiestas y viajes</t>
        </is>
      </c>
      <c r="H3621" s="16" t="inlineStr">
        <is>
          <t>ROJO</t>
        </is>
      </c>
      <c r="I3621" s="16" t="n">
        <v>1</v>
      </c>
      <c r="J3621" s="17" t="n">
        <v>59</v>
      </c>
      <c r="K3621" s="17" t="n">
        <v>70.28</v>
      </c>
      <c r="L3621" s="17" t="n">
        <v>25.86</v>
      </c>
      <c r="M3621" s="17" t="n">
        <v>0</v>
      </c>
      <c r="N3621" s="17">
        <f>K3621*0.08+L3621*0.08</f>
        <v/>
      </c>
      <c r="O3621" s="17">
        <f>-(K3621*0.025+L3621*0.025)</f>
        <v/>
      </c>
      <c r="P3621" s="17">
        <f>32</f>
        <v/>
      </c>
      <c r="Q3621" s="17">
        <f>J3621+L3621+N3621+O3621-P3621-M3621</f>
        <v/>
      </c>
    </row>
    <row r="3622">
      <c r="A3622" s="16" t="inlineStr">
        <is>
          <t>5.29-6.4</t>
        </is>
      </c>
      <c r="B3622" s="16" t="inlineStr">
        <is>
          <t>PO-128-07960027126391227</t>
        </is>
      </c>
      <c r="C3622" s="16" t="inlineStr">
        <is>
          <t>Shipped</t>
        </is>
      </c>
      <c r="D3622" s="16" t="inlineStr">
        <is>
          <t>128-07960006154871227</t>
        </is>
      </c>
      <c r="E3622" s="16" t="inlineStr">
        <is>
          <t>Shipped</t>
        </is>
      </c>
      <c r="F3622" s="16" t="inlineStr">
        <is>
          <t>MB-185A</t>
        </is>
      </c>
      <c r="G3622" s="16" t="inlineStr">
        <is>
          <t>Bocina Radio FM/Reproductor, Compatible con Tarjeta TF, USB, Bluetooth, Aplicable para celular, computadora, Ipad y consola.</t>
        </is>
      </c>
      <c r="H3622" s="16" t="inlineStr">
        <is>
          <t>AZUL/MB-185</t>
        </is>
      </c>
      <c r="I3622" s="16" t="n">
        <v>1</v>
      </c>
      <c r="J3622" s="17" t="n">
        <v>73</v>
      </c>
      <c r="K3622" s="17" t="n">
        <v>68.76000000000001</v>
      </c>
      <c r="L3622" s="17" t="n">
        <v>25.86</v>
      </c>
      <c r="M3622" s="17" t="n">
        <v>0</v>
      </c>
      <c r="N3622" s="17">
        <f>K3622*0.08+L3622*0.08</f>
        <v/>
      </c>
      <c r="O3622" s="17">
        <f>-(K3622*0.025+L3622*0.025)</f>
        <v/>
      </c>
      <c r="P3622" s="17">
        <f>32</f>
        <v/>
      </c>
      <c r="Q3622" s="17">
        <f>J3622+L3622+N3622+O3622-P3622-M3622</f>
        <v/>
      </c>
    </row>
    <row r="3623">
      <c r="A3623" s="16" t="inlineStr">
        <is>
          <t>5.29-6.4</t>
        </is>
      </c>
      <c r="B3623" s="16" t="inlineStr">
        <is>
          <t>PO-128-07825641237112986</t>
        </is>
      </c>
      <c r="C3623" s="16" t="inlineStr">
        <is>
          <t>Shipped</t>
        </is>
      </c>
      <c r="D3623" s="16" t="inlineStr">
        <is>
          <t>128-07825683180152986</t>
        </is>
      </c>
      <c r="E3623" s="16" t="inlineStr">
        <is>
          <t>Shipped</t>
        </is>
      </c>
      <c r="F3623" s="16" t="inlineStr">
        <is>
          <t>LB02235-negro</t>
        </is>
      </c>
      <c r="G3623" s="16" t="inlineStr">
        <is>
          <t>Audífonos Inalámbricos para la Cabeza, Recargables y Multifuncionales - Conectan a Varios Dispositivos, soportan Radio FM, Tarjeta TF y AUX - 4 Horas de Reproducción Musical - Ideal para Trabajo Cotidiano, Juegos y Estudio</t>
        </is>
      </c>
      <c r="H3623" s="16" t="inlineStr">
        <is>
          <t>NEGRO</t>
        </is>
      </c>
      <c r="I3623" s="16" t="n">
        <v>1</v>
      </c>
      <c r="J3623" s="17" t="n">
        <v>36.8</v>
      </c>
      <c r="K3623" s="17" t="n">
        <v>49.91</v>
      </c>
      <c r="L3623" s="17" t="n">
        <v>25.86</v>
      </c>
      <c r="M3623" s="17" t="n">
        <v>0</v>
      </c>
      <c r="N3623" s="17">
        <f>K3623*0.08+L3623*0.08</f>
        <v/>
      </c>
      <c r="O3623" s="17">
        <f>-(K3623*0.025+L3623*0.025)</f>
        <v/>
      </c>
      <c r="P3623" s="17">
        <f>32</f>
        <v/>
      </c>
      <c r="Q3623" s="17">
        <f>J3623+L3623+N3623+O3623-P3623-M3623</f>
        <v/>
      </c>
    </row>
    <row r="3624">
      <c r="A3624" s="16" t="inlineStr">
        <is>
          <t>5.29-6.4</t>
        </is>
      </c>
      <c r="B3624" s="16" t="inlineStr">
        <is>
          <t>PO-128-08196238725750843</t>
        </is>
      </c>
      <c r="C3624" s="16" t="inlineStr">
        <is>
          <t>Shipped</t>
        </is>
      </c>
      <c r="D3624" s="16" t="inlineStr">
        <is>
          <t>128-08196217754230843</t>
        </is>
      </c>
      <c r="E3624" s="16" t="inlineStr">
        <is>
          <t>Shipped</t>
        </is>
      </c>
      <c r="F3624" s="16" t="inlineStr">
        <is>
          <t>LB02235-negro</t>
        </is>
      </c>
      <c r="G3624" s="16" t="inlineStr">
        <is>
          <t>Audífonos Inalámbricos para la Cabeza, Recargables y Multifuncionales - Conectan a Varios Dispositivos, soportan Radio FM, Tarjeta TF y AUX - 4 Horas de Reproducción Musical - Ideal para Trabajo Cotidiano, Juegos y Estudio</t>
        </is>
      </c>
      <c r="H3624" s="16" t="inlineStr">
        <is>
          <t>NEGRO</t>
        </is>
      </c>
      <c r="I3624" s="16" t="n">
        <v>1</v>
      </c>
      <c r="J3624" s="17" t="n">
        <v>36.8</v>
      </c>
      <c r="K3624" s="17" t="n">
        <v>49.91</v>
      </c>
      <c r="L3624" s="17" t="n">
        <v>25.86</v>
      </c>
      <c r="M3624" s="17" t="n">
        <v>0</v>
      </c>
      <c r="N3624" s="17">
        <f>K3624*0.08+L3624*0.08</f>
        <v/>
      </c>
      <c r="O3624" s="17">
        <f>-(K3624*0.025+L3624*0.025)</f>
        <v/>
      </c>
      <c r="P3624" s="17">
        <f>32</f>
        <v/>
      </c>
      <c r="Q3624" s="17">
        <f>J3624+L3624+N3624+O3624-P3624-M3624</f>
        <v/>
      </c>
    </row>
    <row r="3625">
      <c r="A3625" s="16" t="inlineStr">
        <is>
          <t>5.29-6.4</t>
        </is>
      </c>
      <c r="B3625" s="16" t="inlineStr">
        <is>
          <t>PO-128-08115854546550360</t>
        </is>
      </c>
      <c r="C3625" s="16" t="inlineStr">
        <is>
          <t>Shipped</t>
        </is>
      </c>
      <c r="D3625" s="16" t="inlineStr">
        <is>
          <t>128-08115850614390360</t>
        </is>
      </c>
      <c r="E3625" s="16" t="inlineStr">
        <is>
          <t>Shipped</t>
        </is>
      </c>
      <c r="F3625" s="16" t="inlineStr">
        <is>
          <t>LB02235-azul</t>
        </is>
      </c>
      <c r="G3625" s="16" t="inlineStr">
        <is>
          <t>Audífonos Inalámbricos para la Cabeza, Recargables y Multifuncionales - Conectan a Varios Dispositivos, soportan Radio FM, Tarjeta TF y AUX - 4 Horas de Reproducción Musical - Ideal para Trabajo Cotidiano, Juegos y Estudio</t>
        </is>
      </c>
      <c r="H3625" s="16" t="inlineStr">
        <is>
          <t>AZUL</t>
        </is>
      </c>
      <c r="I3625" s="16" t="n">
        <v>1</v>
      </c>
      <c r="J3625" s="17" t="n">
        <v>29</v>
      </c>
      <c r="K3625" s="17" t="n">
        <v>42.11</v>
      </c>
      <c r="L3625" s="17" t="n">
        <v>25.86</v>
      </c>
      <c r="M3625" s="17" t="n">
        <v>0</v>
      </c>
      <c r="N3625" s="17">
        <f>K3625*0.08+L3625*0.08</f>
        <v/>
      </c>
      <c r="O3625" s="17">
        <f>-(K3625*0.025+L3625*0.025)</f>
        <v/>
      </c>
      <c r="P3625" s="17">
        <f>32</f>
        <v/>
      </c>
      <c r="Q3625" s="17">
        <f>J3625+L3625+N3625+O3625-P3625-M3625</f>
        <v/>
      </c>
    </row>
    <row r="3626">
      <c r="A3626" s="16" t="inlineStr">
        <is>
          <t>5.29-6.4</t>
        </is>
      </c>
      <c r="B3626" s="16" t="inlineStr">
        <is>
          <t>PO-128-07724261827193654</t>
        </is>
      </c>
      <c r="C3626" s="16" t="inlineStr">
        <is>
          <t>Shipped</t>
        </is>
      </c>
      <c r="D3626" s="16" t="inlineStr">
        <is>
          <t>128-07724251341433654</t>
        </is>
      </c>
      <c r="E3626" s="16" t="inlineStr">
        <is>
          <t>Shipped</t>
        </is>
      </c>
      <c r="F3626" s="16" t="inlineStr">
        <is>
          <t>LB02235-negro</t>
        </is>
      </c>
      <c r="G3626" s="16" t="inlineStr">
        <is>
          <t>Audífonos Inalámbricos para la Cabeza, Recargables y Multifuncionales - Conectan a Varios Dispositivos, soportan Radio FM, Tarjeta TF y AUX - 4 Horas de Reproducción Musical - Ideal para Trabajo Cotidiano, Juegos y Estudio</t>
        </is>
      </c>
      <c r="H3626" s="16" t="inlineStr">
        <is>
          <t>NEGRO</t>
        </is>
      </c>
      <c r="I3626" s="16" t="n">
        <v>1</v>
      </c>
      <c r="J3626" s="17" t="n">
        <v>36.8</v>
      </c>
      <c r="K3626" s="17" t="n">
        <v>49.91</v>
      </c>
      <c r="L3626" s="17" t="n">
        <v>25.86</v>
      </c>
      <c r="M3626" s="17" t="n">
        <v>0</v>
      </c>
      <c r="N3626" s="17">
        <f>K3626*0.08+L3626*0.08</f>
        <v/>
      </c>
      <c r="O3626" s="17">
        <f>-(K3626*0.025+L3626*0.025)</f>
        <v/>
      </c>
      <c r="P3626" s="17">
        <f>32</f>
        <v/>
      </c>
      <c r="Q3626" s="17">
        <f>J3626+L3626+N3626+O3626-P3626-M3626</f>
        <v/>
      </c>
    </row>
    <row r="3627">
      <c r="A3627" s="16" t="inlineStr">
        <is>
          <t>5.29-6.4</t>
        </is>
      </c>
      <c r="B3627" s="16" t="inlineStr">
        <is>
          <t>PO-128-08151990856310083</t>
        </is>
      </c>
      <c r="C3627" s="16" t="inlineStr">
        <is>
          <t>Shipped</t>
        </is>
      </c>
      <c r="D3627" s="16" t="inlineStr">
        <is>
          <t>128-08152011827830083</t>
        </is>
      </c>
      <c r="E3627" s="16" t="inlineStr">
        <is>
          <t>Shipped</t>
        </is>
      </c>
      <c r="F3627" s="16" t="inlineStr">
        <is>
          <t>VB347T</t>
        </is>
      </c>
      <c r="G362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27" s="16" t="inlineStr">
        <is>
          <t>1 pieza</t>
        </is>
      </c>
      <c r="I3627" s="16" t="n">
        <v>1</v>
      </c>
      <c r="J3627" s="17" t="n">
        <v>79.90000000000001</v>
      </c>
      <c r="K3627" s="17" t="n">
        <v>94.5</v>
      </c>
      <c r="L3627" s="17" t="n">
        <v>25.86</v>
      </c>
      <c r="M3627" s="17" t="n">
        <v>0</v>
      </c>
      <c r="N3627" s="17">
        <f>K3627*0.08+L3627*0.08</f>
        <v/>
      </c>
      <c r="O3627" s="17">
        <f>-(K3627*0.025+L3627*0.025)</f>
        <v/>
      </c>
      <c r="P3627" s="17">
        <f>32</f>
        <v/>
      </c>
      <c r="Q3627" s="17">
        <f>J3627+L3627+N3627+O3627-P3627-M3627</f>
        <v/>
      </c>
    </row>
    <row r="3628">
      <c r="A3628" s="16" t="inlineStr">
        <is>
          <t>5.29-6.4</t>
        </is>
      </c>
      <c r="B3628" s="16" t="inlineStr">
        <is>
          <t>PO-128-07783192499832217</t>
        </is>
      </c>
      <c r="C3628" s="16" t="inlineStr">
        <is>
          <t>Shipped</t>
        </is>
      </c>
      <c r="D3628" s="16" t="inlineStr">
        <is>
          <t>128-07783213471352217</t>
        </is>
      </c>
      <c r="E3628" s="16" t="inlineStr">
        <is>
          <t>Shipped</t>
        </is>
      </c>
      <c r="F3628" s="16" t="inlineStr">
        <is>
          <t>LB02235-azul</t>
        </is>
      </c>
      <c r="G3628" s="16" t="inlineStr">
        <is>
          <t>Audífonos Inalámbricos para la Cabeza, Recargables y Multifuncionales - Conectan a Varios Dispositivos, soportan Radio FM, Tarjeta TF y AUX - 4 Horas de Reproducción Musical - Ideal para Trabajo Cotidiano, Juegos y Estudio</t>
        </is>
      </c>
      <c r="H3628" s="16" t="inlineStr">
        <is>
          <t>AZUL</t>
        </is>
      </c>
      <c r="I3628" s="16" t="n">
        <v>1</v>
      </c>
      <c r="J3628" s="17" t="n">
        <v>29</v>
      </c>
      <c r="K3628" s="17" t="n">
        <v>42.11</v>
      </c>
      <c r="L3628" s="17" t="n">
        <v>25.86</v>
      </c>
      <c r="M3628" s="17" t="n">
        <v>0</v>
      </c>
      <c r="N3628" s="17">
        <f>K3628*0.08+L3628*0.08</f>
        <v/>
      </c>
      <c r="O3628" s="17">
        <f>-(K3628*0.025+L3628*0.025)</f>
        <v/>
      </c>
      <c r="P3628" s="17">
        <f>32</f>
        <v/>
      </c>
      <c r="Q3628" s="17">
        <f>J3628+L3628+N3628+O3628-P3628-M3628</f>
        <v/>
      </c>
    </row>
    <row r="3629">
      <c r="A3629" s="16" t="inlineStr">
        <is>
          <t>5.29-6.4</t>
        </is>
      </c>
      <c r="B3629" s="16" t="inlineStr">
        <is>
          <t>PO-128-07593483244153410</t>
        </is>
      </c>
      <c r="C3629" s="16" t="inlineStr">
        <is>
          <t>Shipped</t>
        </is>
      </c>
      <c r="D3629" s="16" t="inlineStr">
        <is>
          <t>128-07593462272633410</t>
        </is>
      </c>
      <c r="E3629" s="16" t="inlineStr">
        <is>
          <t>Shipped</t>
        </is>
      </c>
      <c r="F3629" s="16" t="inlineStr">
        <is>
          <t>SA325T</t>
        </is>
      </c>
      <c r="G3629" s="16" t="inlineStr">
        <is>
          <t>Subwoofer Portátil Inalámbrico con Luces RGB, Sonido de Alta Potencia y Batería Duradera, TWS TF USB, Perfecto para Campamento Fiestas y Entretenimiento en Casa</t>
        </is>
      </c>
      <c r="H3629" s="16" t="inlineStr">
        <is>
          <t>NEGRO</t>
        </is>
      </c>
      <c r="I3629" s="16" t="n">
        <v>1</v>
      </c>
      <c r="J3629" s="17" t="n">
        <v>38</v>
      </c>
      <c r="K3629" s="17" t="n">
        <v>47.04</v>
      </c>
      <c r="L3629" s="17" t="n">
        <v>25.86</v>
      </c>
      <c r="M3629" s="17" t="n">
        <v>0</v>
      </c>
      <c r="N3629" s="17">
        <f>K3629*0.08+L3629*0.08</f>
        <v/>
      </c>
      <c r="O3629" s="17">
        <f>-(K3629*0.025+L3629*0.025)</f>
        <v/>
      </c>
      <c r="P3629" s="17">
        <f>32</f>
        <v/>
      </c>
      <c r="Q3629" s="17">
        <f>J3629+L3629+N3629+O3629-P3629-M3629</f>
        <v/>
      </c>
    </row>
    <row r="3630">
      <c r="A3630" s="16" t="inlineStr">
        <is>
          <t>5.29-6.4</t>
        </is>
      </c>
      <c r="B3630" s="16" t="inlineStr">
        <is>
          <t>PO-128-08090549130870449</t>
        </is>
      </c>
      <c r="C3630" s="16" t="inlineStr">
        <is>
          <t>Shipped</t>
        </is>
      </c>
      <c r="D3630" s="16" t="inlineStr">
        <is>
          <t>128-08090507187830449</t>
        </is>
      </c>
      <c r="E3630" s="16" t="inlineStr">
        <is>
          <t>Shipped</t>
        </is>
      </c>
      <c r="F3630" s="16" t="inlineStr">
        <is>
          <t>LB02235-azul</t>
        </is>
      </c>
      <c r="G3630" s="16" t="inlineStr">
        <is>
          <t>Audífonos Inalámbricos para la Cabeza, Recargables y Multifuncionales - Conectan a Varios Dispositivos, soportan Radio FM, Tarjeta TF y AUX - 4 Horas de Reproducción Musical - Ideal para Trabajo Cotidiano, Juegos y Estudio</t>
        </is>
      </c>
      <c r="H3630" s="16" t="inlineStr">
        <is>
          <t>AZUL</t>
        </is>
      </c>
      <c r="I3630" s="16" t="n">
        <v>1</v>
      </c>
      <c r="J3630" s="17" t="n">
        <v>29</v>
      </c>
      <c r="K3630" s="17" t="n">
        <v>42.11</v>
      </c>
      <c r="L3630" s="17" t="n">
        <v>25.86</v>
      </c>
      <c r="M3630" s="17" t="n">
        <v>0</v>
      </c>
      <c r="N3630" s="17">
        <f>K3630*0.08+L3630*0.08</f>
        <v/>
      </c>
      <c r="O3630" s="17">
        <f>-(K3630*0.025+L3630*0.025)</f>
        <v/>
      </c>
      <c r="P3630" s="17">
        <f>32</f>
        <v/>
      </c>
      <c r="Q3630" s="17">
        <f>J3630+L3630+N3630+O3630-P3630-M3630</f>
        <v/>
      </c>
    </row>
    <row r="3631">
      <c r="A3631" s="16" t="inlineStr">
        <is>
          <t>5.29-6.4</t>
        </is>
      </c>
      <c r="B3631" s="16" t="inlineStr">
        <is>
          <t>PO-128-07983089162871088</t>
        </is>
      </c>
      <c r="C3631" s="16" t="inlineStr">
        <is>
          <t>Shipped</t>
        </is>
      </c>
      <c r="D3631" s="16" t="inlineStr">
        <is>
          <t>128-07983047219831088</t>
        </is>
      </c>
      <c r="E3631" s="16" t="inlineStr">
        <is>
          <t>Shipped</t>
        </is>
      </c>
      <c r="F3631" s="16" t="inlineStr">
        <is>
          <t>SA325T</t>
        </is>
      </c>
      <c r="G3631" s="16" t="inlineStr">
        <is>
          <t>Subwoofer Portátil Inalámbrico con Luces RGB, Sonido de Alta Potencia y Batería Duradera, TWS TF USB, Perfecto para Campamento Fiestas y Entretenimiento en Casa</t>
        </is>
      </c>
      <c r="H3631" s="16" t="inlineStr">
        <is>
          <t>NEGRO</t>
        </is>
      </c>
      <c r="I3631" s="16" t="n">
        <v>1</v>
      </c>
      <c r="J3631" s="17" t="n">
        <v>38</v>
      </c>
      <c r="K3631" s="17" t="n">
        <v>47.04</v>
      </c>
      <c r="L3631" s="17" t="n">
        <v>25.86</v>
      </c>
      <c r="M3631" s="17" t="n">
        <v>0</v>
      </c>
      <c r="N3631" s="17">
        <f>K3631*0.08+L3631*0.08</f>
        <v/>
      </c>
      <c r="O3631" s="17">
        <f>-(K3631*0.025+L3631*0.025)</f>
        <v/>
      </c>
      <c r="P3631" s="17">
        <f>32</f>
        <v/>
      </c>
      <c r="Q3631" s="17">
        <f>J3631+L3631+N3631+O3631-P3631-M3631</f>
        <v/>
      </c>
    </row>
    <row r="3632">
      <c r="A3632" s="16" t="inlineStr">
        <is>
          <t>5.29-6.4</t>
        </is>
      </c>
      <c r="B3632" s="16" t="inlineStr">
        <is>
          <t>PO-128-08080645018230442</t>
        </is>
      </c>
      <c r="C3632" s="16" t="inlineStr">
        <is>
          <t>Shipped</t>
        </is>
      </c>
      <c r="D3632" s="16" t="inlineStr">
        <is>
          <t>128-08080603075190442</t>
        </is>
      </c>
      <c r="E3632" s="16" t="inlineStr">
        <is>
          <t>Shipped</t>
        </is>
      </c>
      <c r="F3632" s="16" t="inlineStr">
        <is>
          <t>LB02235-azul</t>
        </is>
      </c>
      <c r="G3632" s="16" t="inlineStr">
        <is>
          <t>Audífonos Inalámbricos para la Cabeza, Recargables y Multifuncionales - Conectan a Varios Dispositivos, soportan Radio FM, Tarjeta TF y AUX - 4 Horas de Reproducción Musical - Ideal para Trabajo Cotidiano, Juegos y Estudio</t>
        </is>
      </c>
      <c r="H3632" s="16" t="inlineStr">
        <is>
          <t>AZUL</t>
        </is>
      </c>
      <c r="I3632" s="16" t="n">
        <v>1</v>
      </c>
      <c r="J3632" s="17" t="n">
        <v>29</v>
      </c>
      <c r="K3632" s="17" t="n">
        <v>33.69</v>
      </c>
      <c r="L3632" s="17" t="n">
        <v>25.86</v>
      </c>
      <c r="M3632" s="17" t="n">
        <v>0</v>
      </c>
      <c r="N3632" s="17">
        <f>K3632*0.08+L3632*0.08</f>
        <v/>
      </c>
      <c r="O3632" s="17">
        <f>-(K3632*0.025+L3632*0.025)</f>
        <v/>
      </c>
      <c r="P3632" s="17">
        <f>32</f>
        <v/>
      </c>
      <c r="Q3632" s="17">
        <f>J3632+L3632+N3632+O3632-P3632-M3632</f>
        <v/>
      </c>
    </row>
    <row r="3633">
      <c r="A3633" s="16" t="inlineStr">
        <is>
          <t>5.29-6.4</t>
        </is>
      </c>
      <c r="B3633" s="16" t="inlineStr">
        <is>
          <t>PO-128-07997204977271965</t>
        </is>
      </c>
      <c r="C3633" s="16" t="inlineStr">
        <is>
          <t>Shipped</t>
        </is>
      </c>
      <c r="D3633" s="16" t="inlineStr">
        <is>
          <t>128-07997252163191965</t>
        </is>
      </c>
      <c r="E3633" s="16" t="inlineStr">
        <is>
          <t>Shipped</t>
        </is>
      </c>
      <c r="F3633" s="16" t="inlineStr">
        <is>
          <t>MCM-001G</t>
        </is>
      </c>
      <c r="G3633" s="16" t="inlineStr">
        <is>
          <t>Musicord Altavoz Inalámbrico BT Portátil: ¡Sonido impactante, luces LED multicolores y 4 horas de autonomía! Compatible con TWS, FM, TF y USB – Imprescindible para fiestas y viajes</t>
        </is>
      </c>
      <c r="H3633" s="16" t="inlineStr">
        <is>
          <t>GRIS</t>
        </is>
      </c>
      <c r="I3633" s="16" t="n">
        <v>1</v>
      </c>
      <c r="J3633" s="17" t="n">
        <v>51.07</v>
      </c>
      <c r="K3633" s="17" t="n">
        <v>62.34</v>
      </c>
      <c r="L3633" s="17" t="n">
        <v>25.86</v>
      </c>
      <c r="M3633" s="17" t="n">
        <v>0</v>
      </c>
      <c r="N3633" s="17">
        <f>K3633*0.08+L3633*0.08</f>
        <v/>
      </c>
      <c r="O3633" s="17">
        <f>-(K3633*0.025+L3633*0.025)</f>
        <v/>
      </c>
      <c r="P3633" s="17">
        <f>32</f>
        <v/>
      </c>
      <c r="Q3633" s="17">
        <f>J3633+L3633+N3633+O3633-P3633-M3633</f>
        <v/>
      </c>
    </row>
    <row r="3634">
      <c r="A3634" s="16" t="inlineStr">
        <is>
          <t>5.29-6.4</t>
        </is>
      </c>
      <c r="B3634" s="16" t="inlineStr">
        <is>
          <t>PO-128-07658816082554044</t>
        </is>
      </c>
      <c r="C3634" s="16" t="inlineStr">
        <is>
          <t>Shipped</t>
        </is>
      </c>
      <c r="D3634" s="16" t="inlineStr">
        <is>
          <t>128-07658952397434044</t>
        </is>
      </c>
      <c r="E3634" s="16" t="inlineStr">
        <is>
          <t>Shipped</t>
        </is>
      </c>
      <c r="F3634" s="16" t="inlineStr">
        <is>
          <t>MB-185A</t>
        </is>
      </c>
      <c r="G3634" s="16" t="inlineStr">
        <is>
          <t>Bocina Radio FM/Reproductor, Compatible con Tarjeta TF, USB, Bluetooth, Aplicable para celular, computadora, Ipad y consola.</t>
        </is>
      </c>
      <c r="H3634" s="16" t="inlineStr">
        <is>
          <t>AZUL/MB-185</t>
        </is>
      </c>
      <c r="I3634" s="16" t="n">
        <v>1</v>
      </c>
      <c r="J3634" s="17" t="n">
        <v>73</v>
      </c>
      <c r="K3634" s="17" t="n">
        <v>85.94</v>
      </c>
      <c r="L3634" s="17" t="n">
        <v>25.86</v>
      </c>
      <c r="M3634" s="17" t="n">
        <v>0</v>
      </c>
      <c r="N3634" s="17">
        <f>K3634*0.08+L3634*0.08</f>
        <v/>
      </c>
      <c r="O3634" s="17">
        <f>-(K3634*0.025+L3634*0.025)</f>
        <v/>
      </c>
      <c r="P3634" s="17">
        <f>32</f>
        <v/>
      </c>
      <c r="Q3634" s="17">
        <f>J3634+L3634+N3634+O3634-P3634-M3634</f>
        <v/>
      </c>
    </row>
    <row r="3635">
      <c r="A3635" s="16" t="inlineStr">
        <is>
          <t>5.29-6.4</t>
        </is>
      </c>
      <c r="B3635" s="16" t="inlineStr">
        <is>
          <t>PO-128-07770424842872421</t>
        </is>
      </c>
      <c r="C3635" s="16" t="inlineStr">
        <is>
          <t>Shipped</t>
        </is>
      </c>
      <c r="D3635" s="16" t="inlineStr">
        <is>
          <t>128-07770382899832421</t>
        </is>
      </c>
      <c r="E3635" s="16" t="inlineStr">
        <is>
          <t>Shipped</t>
        </is>
      </c>
      <c r="F3635" s="16" t="inlineStr">
        <is>
          <t>LB02235-negro</t>
        </is>
      </c>
      <c r="G3635" s="16" t="inlineStr">
        <is>
          <t>Audífonos Inalámbricos para la Cabeza, Recargables y Multifuncionales - Conectan a Varios Dispositivos, soportan Radio FM, Tarjeta TF y AUX - 4 Horas de Reproducción Musical - Ideal para Trabajo Cotidiano, Juegos y Estudio</t>
        </is>
      </c>
      <c r="H3635" s="16" t="inlineStr">
        <is>
          <t>NEGRO</t>
        </is>
      </c>
      <c r="I3635" s="16" t="n">
        <v>1</v>
      </c>
      <c r="J3635" s="17" t="n">
        <v>36.8</v>
      </c>
      <c r="K3635" s="17" t="n">
        <v>49.91</v>
      </c>
      <c r="L3635" s="17" t="n">
        <v>25.86</v>
      </c>
      <c r="M3635" s="17" t="n">
        <v>0</v>
      </c>
      <c r="N3635" s="17">
        <f>K3635*0.08+L3635*0.08</f>
        <v/>
      </c>
      <c r="O3635" s="17">
        <f>-(K3635*0.025+L3635*0.025)</f>
        <v/>
      </c>
      <c r="P3635" s="17">
        <f>32</f>
        <v/>
      </c>
      <c r="Q3635" s="17">
        <f>J3635+L3635+N3635+O3635-P3635-M3635</f>
        <v/>
      </c>
    </row>
    <row r="3636">
      <c r="A3636" s="16" t="inlineStr">
        <is>
          <t>5.29-6.4</t>
        </is>
      </c>
      <c r="B3636" s="16" t="inlineStr">
        <is>
          <t>PO-128-07608340255353259</t>
        </is>
      </c>
      <c r="C3636" s="16" t="inlineStr">
        <is>
          <t>Shipped</t>
        </is>
      </c>
      <c r="D3636" s="16" t="inlineStr">
        <is>
          <t>128-07608314040953259</t>
        </is>
      </c>
      <c r="E3636" s="16" t="inlineStr">
        <is>
          <t>Shipped</t>
        </is>
      </c>
      <c r="F3636" s="16" t="inlineStr">
        <is>
          <t>LB02235-azul</t>
        </is>
      </c>
      <c r="G3636" s="16" t="inlineStr">
        <is>
          <t>Audífonos Inalámbricos para la Cabeza, Recargables y Multifuncionales - Conectan a Varios Dispositivos, soportan Radio FM, Tarjeta TF y AUX - 4 Horas de Reproducción Musical - Ideal para Trabajo Cotidiano, Juegos y Estudio</t>
        </is>
      </c>
      <c r="H3636" s="16" t="inlineStr">
        <is>
          <t>AZUL</t>
        </is>
      </c>
      <c r="I3636" s="16" t="n">
        <v>1</v>
      </c>
      <c r="J3636" s="17" t="n">
        <v>29</v>
      </c>
      <c r="K3636" s="17" t="n">
        <v>42.11</v>
      </c>
      <c r="L3636" s="17" t="n">
        <v>25.86</v>
      </c>
      <c r="M3636" s="17" t="n">
        <v>0</v>
      </c>
      <c r="N3636" s="17">
        <f>K3636*0.08+L3636*0.08</f>
        <v/>
      </c>
      <c r="O3636" s="17">
        <f>-(K3636*0.025+L3636*0.025)</f>
        <v/>
      </c>
      <c r="P3636" s="17">
        <f>32</f>
        <v/>
      </c>
      <c r="Q3636" s="17">
        <f>J3636+L3636+N3636+O3636-P3636-M3636</f>
        <v/>
      </c>
    </row>
    <row r="3637">
      <c r="A3637" s="16" t="inlineStr">
        <is>
          <t>5.29-6.4</t>
        </is>
      </c>
      <c r="B3637" s="16" t="inlineStr">
        <is>
          <t>PO-128-07759553342072356</t>
        </is>
      </c>
      <c r="C3637" s="16" t="inlineStr">
        <is>
          <t>Shipped</t>
        </is>
      </c>
      <c r="D3637" s="16" t="inlineStr">
        <is>
          <t>128-07759621499512356</t>
        </is>
      </c>
      <c r="E3637" s="16" t="inlineStr">
        <is>
          <t>Shipped</t>
        </is>
      </c>
      <c r="F3637" s="16" t="inlineStr">
        <is>
          <t>LB02235-negro</t>
        </is>
      </c>
      <c r="G3637" s="16" t="inlineStr">
        <is>
          <t>Audífonos Inalámbricos para la Cabeza, Recargables y Multifuncionales - Conectan a Varios Dispositivos, soportan Radio FM, Tarjeta TF y AUX - 4 Horas de Reproducción Musical - Ideal para Trabajo Cotidiano, Juegos y Estudio</t>
        </is>
      </c>
      <c r="H3637" s="16" t="inlineStr">
        <is>
          <t>NEGRO</t>
        </is>
      </c>
      <c r="I3637" s="16" t="n">
        <v>1</v>
      </c>
      <c r="J3637" s="17" t="n">
        <v>36.8</v>
      </c>
      <c r="K3637" s="17" t="n">
        <v>49.91</v>
      </c>
      <c r="L3637" s="17" t="n">
        <v>25.86</v>
      </c>
      <c r="M3637" s="17" t="n">
        <v>0</v>
      </c>
      <c r="N3637" s="17">
        <f>K3637*0.08+L3637*0.08</f>
        <v/>
      </c>
      <c r="O3637" s="17">
        <f>-(K3637*0.025+L3637*0.025)</f>
        <v/>
      </c>
      <c r="P3637" s="17">
        <f>32</f>
        <v/>
      </c>
      <c r="Q3637" s="17">
        <f>J3637+L3637+N3637+O3637-P3637-M3637</f>
        <v/>
      </c>
    </row>
    <row r="3638">
      <c r="A3638" s="16" t="inlineStr">
        <is>
          <t>5.29-6.4</t>
        </is>
      </c>
      <c r="B3638" s="16" t="inlineStr">
        <is>
          <t>PO-128-08119015680630151</t>
        </is>
      </c>
      <c r="C3638" s="16" t="inlineStr">
        <is>
          <t>Shipped</t>
        </is>
      </c>
      <c r="D3638" s="16" t="inlineStr">
        <is>
          <t>128-08119026166390151</t>
        </is>
      </c>
      <c r="E3638" s="16" t="inlineStr">
        <is>
          <t>Shipped</t>
        </is>
      </c>
      <c r="F3638" s="16" t="inlineStr">
        <is>
          <t>LB02235-negro</t>
        </is>
      </c>
      <c r="G3638" s="16" t="inlineStr">
        <is>
          <t>Audífonos Inalámbricos para la Cabeza, Recargables y Multifuncionales - Conectan a Varios Dispositivos, soportan Radio FM, Tarjeta TF y AUX - 4 Horas de Reproducción Musical - Ideal para Trabajo Cotidiano, Juegos y Estudio</t>
        </is>
      </c>
      <c r="H3638" s="16" t="inlineStr">
        <is>
          <t>NEGRO</t>
        </is>
      </c>
      <c r="I3638" s="16" t="n">
        <v>1</v>
      </c>
      <c r="J3638" s="17" t="n">
        <v>36.8</v>
      </c>
      <c r="K3638" s="17" t="n">
        <v>49.91</v>
      </c>
      <c r="L3638" s="17" t="n">
        <v>25.86</v>
      </c>
      <c r="M3638" s="17" t="n">
        <v>0</v>
      </c>
      <c r="N3638" s="17">
        <f>K3638*0.08+L3638*0.08</f>
        <v/>
      </c>
      <c r="O3638" s="17">
        <f>-(K3638*0.025+L3638*0.025)</f>
        <v/>
      </c>
      <c r="P3638" s="17">
        <f>32</f>
        <v/>
      </c>
      <c r="Q3638" s="17">
        <f>J3638+L3638+N3638+O3638-P3638-M3638</f>
        <v/>
      </c>
    </row>
    <row r="3639">
      <c r="A3639" s="16" t="inlineStr">
        <is>
          <t>5.29-6.4</t>
        </is>
      </c>
      <c r="B3639" s="16" t="inlineStr">
        <is>
          <t>PO-128-07603654764153223</t>
        </is>
      </c>
      <c r="C3639" s="16" t="inlineStr">
        <is>
          <t>Shipped</t>
        </is>
      </c>
      <c r="D3639" s="16" t="inlineStr">
        <is>
          <t>128-07603696707193223</t>
        </is>
      </c>
      <c r="E3639" s="16" t="inlineStr">
        <is>
          <t>Shipped</t>
        </is>
      </c>
      <c r="F3639" s="16" t="inlineStr">
        <is>
          <t>LV34W04</t>
        </is>
      </c>
      <c r="G363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639" s="16" t="inlineStr">
        <is>
          <t>LV34W04</t>
        </is>
      </c>
      <c r="I3639" s="16" t="n">
        <v>2</v>
      </c>
      <c r="J3639" s="17" t="n">
        <v>460.6</v>
      </c>
      <c r="K3639" s="17" t="n">
        <v>515.3</v>
      </c>
      <c r="L3639" s="17" t="n">
        <v>0</v>
      </c>
      <c r="M3639" s="17" t="n">
        <v>0</v>
      </c>
      <c r="N3639" s="17">
        <f>K3639*0.08+L3639*0.08</f>
        <v/>
      </c>
      <c r="O3639" s="17">
        <f>-(K3639*0.025+L3639*0.025)</f>
        <v/>
      </c>
      <c r="P3639" s="17">
        <f>32</f>
        <v/>
      </c>
      <c r="Q3639" s="17">
        <f>J3639+L3639+N3639+O3639-P3639-M3639</f>
        <v/>
      </c>
    </row>
    <row r="3640">
      <c r="A3640" s="16" t="inlineStr">
        <is>
          <t>5.29-6.4</t>
        </is>
      </c>
      <c r="B3640" s="16" t="inlineStr">
        <is>
          <t>PO-128-08227381432950529</t>
        </is>
      </c>
      <c r="C3640" s="16" t="inlineStr">
        <is>
          <t>Shipped</t>
        </is>
      </c>
      <c r="D3640" s="16" t="inlineStr">
        <is>
          <t>128-08227545272950529</t>
        </is>
      </c>
      <c r="E3640" s="16" t="inlineStr">
        <is>
          <t>Shipped</t>
        </is>
      </c>
      <c r="F3640" s="16" t="inlineStr">
        <is>
          <t>MCM-001N</t>
        </is>
      </c>
      <c r="G3640" s="16" t="inlineStr">
        <is>
          <t>Musicord Altavoz Inalámbrico BT Portátil: ¡Sonido impactante, luces LED multicolores y 4 horas de autonomía! Compatible con TWS, FM, TF y USB – Imprescindible para fiestas y viajes</t>
        </is>
      </c>
      <c r="H3640" s="16" t="inlineStr">
        <is>
          <t>NEGRO</t>
        </is>
      </c>
      <c r="I3640" s="16" t="n">
        <v>1</v>
      </c>
      <c r="J3640" s="17" t="n">
        <v>52</v>
      </c>
      <c r="K3640" s="17" t="n">
        <v>11.56</v>
      </c>
      <c r="L3640" s="17" t="n">
        <v>25.86</v>
      </c>
      <c r="M3640" s="17" t="n">
        <v>0</v>
      </c>
      <c r="N3640" s="17">
        <f>K3640*0.08+L3640*0.08</f>
        <v/>
      </c>
      <c r="O3640" s="17">
        <f>-(K3640*0.025+L3640*0.025)</f>
        <v/>
      </c>
      <c r="P3640" s="17">
        <f>32</f>
        <v/>
      </c>
      <c r="Q3640" s="17">
        <f>J3640+L3640+N3640+O3640-P3640-M3640</f>
        <v/>
      </c>
    </row>
    <row r="3641">
      <c r="A3641" s="16" t="inlineStr">
        <is>
          <t>5.29-6.4</t>
        </is>
      </c>
      <c r="B3641" s="16" t="inlineStr">
        <is>
          <t>PO-128-07894632684152641</t>
        </is>
      </c>
      <c r="C3641" s="16" t="inlineStr">
        <is>
          <t>Shipped</t>
        </is>
      </c>
      <c r="D3641" s="16" t="inlineStr">
        <is>
          <t>128-07894653655672641</t>
        </is>
      </c>
      <c r="E3641" s="16" t="inlineStr">
        <is>
          <t>Shipped</t>
        </is>
      </c>
      <c r="F3641" s="16" t="inlineStr">
        <is>
          <t>FA028</t>
        </is>
      </c>
      <c r="G3641" s="16" t="inlineStr">
        <is>
          <t>Extractor de agua para garrafas de agua, compatible con carga USB, extractor de agua automático, práctico, con dos modos de toma de agua: manual y programado, ideal para dormitorios, salones, oficinas, uso al aire libre y otros escenarios.</t>
        </is>
      </c>
      <c r="H3641" s="16" t="inlineStr">
        <is>
          <t>FA028</t>
        </is>
      </c>
      <c r="I3641" s="16" t="n">
        <v>1</v>
      </c>
      <c r="J3641" s="17" t="n">
        <v>35</v>
      </c>
      <c r="K3641" s="17" t="n">
        <v>1.48</v>
      </c>
      <c r="L3641" s="17" t="n">
        <v>25.86</v>
      </c>
      <c r="M3641" s="17" t="n">
        <v>0</v>
      </c>
      <c r="N3641" s="17">
        <f>K3641*0.08+L3641*0.08</f>
        <v/>
      </c>
      <c r="O3641" s="17">
        <f>-(K3641*0.025+L3641*0.025)</f>
        <v/>
      </c>
      <c r="P3641" s="17">
        <f>32</f>
        <v/>
      </c>
      <c r="Q3641" s="17">
        <f>J3641+L3641+N3641+O3641-P3641-M3641</f>
        <v/>
      </c>
    </row>
    <row r="3642">
      <c r="A3642" s="16" t="inlineStr">
        <is>
          <t>5.29-6.4</t>
        </is>
      </c>
      <c r="B3642" s="16" t="inlineStr">
        <is>
          <t>PO-128-07664550462074074</t>
        </is>
      </c>
      <c r="C3642" s="16" t="inlineStr">
        <is>
          <t>Shipped</t>
        </is>
      </c>
      <c r="D3642" s="16" t="inlineStr">
        <is>
          <t>128-07664521626234074</t>
        </is>
      </c>
      <c r="E3642" s="16" t="inlineStr">
        <is>
          <t>Shipped</t>
        </is>
      </c>
      <c r="F3642" s="16" t="inlineStr">
        <is>
          <t>FA028</t>
        </is>
      </c>
      <c r="G3642" s="16" t="inlineStr">
        <is>
          <t>Extractor de agua para garrafas de agua, compatible con carga USB, extractor de agua automático, práctico, con dos modos de toma de agua: manual y programado, ideal para dormitorios, salones, oficinas, uso al aire libre y otros escenarios.</t>
        </is>
      </c>
      <c r="H3642" s="16" t="inlineStr">
        <is>
          <t>FA028</t>
        </is>
      </c>
      <c r="I3642" s="16" t="n">
        <v>1</v>
      </c>
      <c r="J3642" s="17" t="n">
        <v>35</v>
      </c>
      <c r="K3642" s="17" t="n">
        <v>44.58</v>
      </c>
      <c r="L3642" s="17" t="n">
        <v>25.86</v>
      </c>
      <c r="M3642" s="17" t="n">
        <v>0</v>
      </c>
      <c r="N3642" s="17">
        <f>K3642*0.08+L3642*0.08</f>
        <v/>
      </c>
      <c r="O3642" s="17">
        <f>-(K3642*0.025+L3642*0.025)</f>
        <v/>
      </c>
      <c r="P3642" s="17">
        <f>32</f>
        <v/>
      </c>
      <c r="Q3642" s="17">
        <f>J3642+L3642+N3642+O3642-P3642-M3642</f>
        <v/>
      </c>
    </row>
    <row r="3643">
      <c r="A3643" s="16" t="inlineStr">
        <is>
          <t>5.29-6.4</t>
        </is>
      </c>
      <c r="B3643" s="16" t="inlineStr">
        <is>
          <t>PO-128-07905033544311427</t>
        </is>
      </c>
      <c r="C3643" s="16" t="inlineStr">
        <is>
          <t>Shipped</t>
        </is>
      </c>
      <c r="D3643" s="16" t="inlineStr">
        <is>
          <t>128-07905038787191427</t>
        </is>
      </c>
      <c r="E3643" s="16" t="inlineStr">
        <is>
          <t>Shipped</t>
        </is>
      </c>
      <c r="F3643" s="16" t="inlineStr">
        <is>
          <t>SA325T</t>
        </is>
      </c>
      <c r="G3643" s="16" t="inlineStr">
        <is>
          <t>Subwoofer Portátil Inalámbrico con Luces RGB, Sonido de Alta Potencia y Batería Duradera, TWS TF USB, Perfecto para Campamento Fiestas y Entretenimiento en Casa</t>
        </is>
      </c>
      <c r="H3643" s="16" t="inlineStr">
        <is>
          <t>NEGRO</t>
        </is>
      </c>
      <c r="I3643" s="16" t="n">
        <v>3</v>
      </c>
      <c r="J3643" s="17" t="n">
        <v>114</v>
      </c>
      <c r="K3643" s="17" t="n">
        <v>133.54</v>
      </c>
      <c r="L3643" s="17" t="n">
        <v>0</v>
      </c>
      <c r="M3643" s="17" t="n">
        <v>0</v>
      </c>
      <c r="N3643" s="17">
        <f>K3643*0.08+L3643*0.08</f>
        <v/>
      </c>
      <c r="O3643" s="17">
        <f>-(K3643*0.025+L3643*0.025)</f>
        <v/>
      </c>
      <c r="P3643" s="17">
        <f>32</f>
        <v/>
      </c>
      <c r="Q3643" s="17">
        <f>J3643+L3643+N3643+O3643-P3643-M3643</f>
        <v/>
      </c>
    </row>
    <row r="3644">
      <c r="A3644" s="16" t="inlineStr">
        <is>
          <t>5.29-6.4</t>
        </is>
      </c>
      <c r="B3644" s="16" t="inlineStr">
        <is>
          <t>PO-128-07905033544311427</t>
        </is>
      </c>
      <c r="C3644" s="16" t="inlineStr">
        <is>
          <t>Shipped</t>
        </is>
      </c>
      <c r="D3644" s="16" t="inlineStr">
        <is>
          <t>128-07904996844151427</t>
        </is>
      </c>
      <c r="E3644" s="16" t="inlineStr">
        <is>
          <t>Shipped</t>
        </is>
      </c>
      <c r="F3644" s="16" t="inlineStr">
        <is>
          <t>SA323T</t>
        </is>
      </c>
      <c r="G3644" s="16" t="inlineStr">
        <is>
          <t>Linkbits Bocina Portátil Parlantes BT Portátiles con Iluminación de Ambiente | 1 Hora de Duración, FM, TWS, TF/Micro SD | Ideal para Hogar, Fiestas y Viajes</t>
        </is>
      </c>
      <c r="H3644" s="16" t="inlineStr">
        <is>
          <t>SA323T</t>
        </is>
      </c>
      <c r="I3644" s="16" t="n">
        <v>1</v>
      </c>
      <c r="J3644" s="17" t="n">
        <v>48.8</v>
      </c>
      <c r="K3644" s="17" t="n">
        <v>83.43000000000001</v>
      </c>
      <c r="L3644" s="17" t="n">
        <v>0</v>
      </c>
      <c r="M3644" s="17" t="n">
        <v>0</v>
      </c>
      <c r="N3644" s="17">
        <f>K3644*0.08+L3644*0.08</f>
        <v/>
      </c>
      <c r="O3644" s="17">
        <f>-(K3644*0.025+L3644*0.025)</f>
        <v/>
      </c>
      <c r="P3644" s="17">
        <f>32</f>
        <v/>
      </c>
      <c r="Q3644" s="17">
        <f>J3644+L3644+N3644+O3644-P3644-M3644</f>
        <v/>
      </c>
    </row>
    <row r="3645">
      <c r="A3645" s="16" t="inlineStr">
        <is>
          <t>5.29-6.4</t>
        </is>
      </c>
      <c r="B3645" s="16" t="inlineStr">
        <is>
          <t>PO-128-07905033544311427</t>
        </is>
      </c>
      <c r="C3645" s="16" t="inlineStr">
        <is>
          <t>Shipped</t>
        </is>
      </c>
      <c r="D3645" s="16" t="inlineStr">
        <is>
          <t>128-07905012572791427</t>
        </is>
      </c>
      <c r="E3645" s="16" t="inlineStr">
        <is>
          <t>Shipped</t>
        </is>
      </c>
      <c r="F3645" s="16" t="inlineStr">
        <is>
          <t>KTS-1678V</t>
        </is>
      </c>
      <c r="G3645" s="16" t="inlineStr">
        <is>
          <t>Bocina portátil Inalámbrico, de 3 pulgadas, tamaño de bolsillo, 170 g, con asa, compatible con TF, USB y Micro SD, con radio FM y función TWS (True Wireless Stereo), adecuada para relajarse en casa o viajar al aire libre.</t>
        </is>
      </c>
      <c r="H3645" s="16" t="inlineStr">
        <is>
          <t>KTS-1678V</t>
        </is>
      </c>
      <c r="I3645" s="16" t="n">
        <v>1</v>
      </c>
      <c r="J3645" s="17" t="n">
        <v>42.5</v>
      </c>
      <c r="K3645" s="17" t="n">
        <v>53.36</v>
      </c>
      <c r="L3645" s="17" t="n">
        <v>0</v>
      </c>
      <c r="M3645" s="17" t="n">
        <v>0</v>
      </c>
      <c r="N3645" s="17">
        <f>K3645*0.08+L3645*0.08</f>
        <v/>
      </c>
      <c r="O3645" s="17">
        <f>-(K3645*0.025+L3645*0.025)</f>
        <v/>
      </c>
      <c r="P3645" s="17">
        <f>32</f>
        <v/>
      </c>
      <c r="Q3645" s="17">
        <f>J3645+L3645+N3645+O3645-P3645-M3645</f>
        <v/>
      </c>
    </row>
    <row r="3646">
      <c r="A3646" s="16" t="inlineStr">
        <is>
          <t>5.29-6.4</t>
        </is>
      </c>
      <c r="B3646" s="16" t="inlineStr">
        <is>
          <t>PO-128-07918085857911477</t>
        </is>
      </c>
      <c r="C3646" s="16" t="inlineStr">
        <is>
          <t>Shipped</t>
        </is>
      </c>
      <c r="D3646" s="16" t="inlineStr">
        <is>
          <t>128-07918033429111477</t>
        </is>
      </c>
      <c r="E3646" s="16" t="inlineStr">
        <is>
          <t>Shipped</t>
        </is>
      </c>
      <c r="F3646" s="16" t="inlineStr">
        <is>
          <t>LB02235-negro</t>
        </is>
      </c>
      <c r="G3646" s="16" t="inlineStr">
        <is>
          <t>Audífonos Inalámbricos para la Cabeza, Recargables y Multifuncionales - Conectan a Varios Dispositivos, soportan Radio FM, Tarjeta TF y AUX - 4 Horas de Reproducción Musical - Ideal para Trabajo Cotidiano, Juegos y Estudio</t>
        </is>
      </c>
      <c r="H3646" s="16" t="inlineStr">
        <is>
          <t>NEGRO</t>
        </is>
      </c>
      <c r="I3646" s="16" t="n">
        <v>1</v>
      </c>
      <c r="J3646" s="17" t="n">
        <v>36.8</v>
      </c>
      <c r="K3646" s="17" t="n">
        <v>49.91</v>
      </c>
      <c r="L3646" s="17" t="n">
        <v>25.86</v>
      </c>
      <c r="M3646" s="17" t="n">
        <v>0</v>
      </c>
      <c r="N3646" s="17">
        <f>K3646*0.08+L3646*0.08</f>
        <v/>
      </c>
      <c r="O3646" s="17">
        <f>-(K3646*0.025+L3646*0.025)</f>
        <v/>
      </c>
      <c r="P3646" s="17">
        <f>32</f>
        <v/>
      </c>
      <c r="Q3646" s="17">
        <f>J3646+L3646+N3646+O3646-P3646-M3646</f>
        <v/>
      </c>
    </row>
    <row r="3647">
      <c r="A3647" s="16" t="inlineStr">
        <is>
          <t>5.29-6.4</t>
        </is>
      </c>
      <c r="B3647" s="16" t="inlineStr">
        <is>
          <t>PO-128-08194947123830851</t>
        </is>
      </c>
      <c r="C3647" s="16" t="inlineStr">
        <is>
          <t>Shipped</t>
        </is>
      </c>
      <c r="D3647" s="16" t="inlineStr">
        <is>
          <t>128-08194968095350851</t>
        </is>
      </c>
      <c r="E3647" s="16" t="inlineStr">
        <is>
          <t>Shipped</t>
        </is>
      </c>
      <c r="F3647" s="16" t="inlineStr">
        <is>
          <t>MCM-001G</t>
        </is>
      </c>
      <c r="G3647" s="16" t="inlineStr">
        <is>
          <t>Musicord Altavoz Inalámbrico BT Portátil: ¡Sonido impactante, luces LED multicolores y 4 horas de autonomía! Compatible con TWS, FM, TF y USB – Imprescindible para fiestas y viajes</t>
        </is>
      </c>
      <c r="H3647" s="16" t="inlineStr">
        <is>
          <t>GRIS</t>
        </is>
      </c>
      <c r="I3647" s="16" t="n">
        <v>1</v>
      </c>
      <c r="J3647" s="17" t="n">
        <v>51.07</v>
      </c>
      <c r="K3647" s="17" t="n">
        <v>62.34</v>
      </c>
      <c r="L3647" s="17" t="n">
        <v>25.86</v>
      </c>
      <c r="M3647" s="17" t="n">
        <v>0</v>
      </c>
      <c r="N3647" s="17">
        <f>K3647*0.08+L3647*0.08</f>
        <v/>
      </c>
      <c r="O3647" s="17">
        <f>-(K3647*0.025+L3647*0.025)</f>
        <v/>
      </c>
      <c r="P3647" s="17">
        <f>32</f>
        <v/>
      </c>
      <c r="Q3647" s="17">
        <f>J3647+L3647+N3647+O3647-P3647-M3647</f>
        <v/>
      </c>
    </row>
    <row r="3648">
      <c r="A3648" s="16" t="inlineStr">
        <is>
          <t>5.29-6.4</t>
        </is>
      </c>
      <c r="B3648" s="16" t="inlineStr">
        <is>
          <t>PO-128-07809831916152120</t>
        </is>
      </c>
      <c r="C3648" s="16" t="inlineStr">
        <is>
          <t>Shipped</t>
        </is>
      </c>
      <c r="D3648" s="16" t="inlineStr">
        <is>
          <t>128-07809936773752120</t>
        </is>
      </c>
      <c r="E3648" s="16" t="inlineStr">
        <is>
          <t>Shipped</t>
        </is>
      </c>
      <c r="F3648" s="16" t="inlineStr">
        <is>
          <t>SA325T</t>
        </is>
      </c>
      <c r="G3648" s="16" t="inlineStr">
        <is>
          <t>Subwoofer Portátil Inalámbrico con Luces RGB, Sonido de Alta Potencia y Batería Duradera, TWS TF USB, Perfecto para Campamento Fiestas y Entretenimiento en Casa</t>
        </is>
      </c>
      <c r="H3648" s="16" t="inlineStr">
        <is>
          <t>NEGRO</t>
        </is>
      </c>
      <c r="I3648" s="16" t="n">
        <v>1</v>
      </c>
      <c r="J3648" s="17" t="n">
        <v>38</v>
      </c>
      <c r="K3648" s="17" t="n">
        <v>47.04</v>
      </c>
      <c r="L3648" s="17" t="n">
        <v>25.86</v>
      </c>
      <c r="M3648" s="17" t="n">
        <v>0</v>
      </c>
      <c r="N3648" s="17">
        <f>K3648*0.08+L3648*0.08</f>
        <v/>
      </c>
      <c r="O3648" s="17">
        <f>-(K3648*0.025+L3648*0.025)</f>
        <v/>
      </c>
      <c r="P3648" s="17">
        <f>32</f>
        <v/>
      </c>
      <c r="Q3648" s="17">
        <f>J3648+L3648+N3648+O3648-P3648-M3648</f>
        <v/>
      </c>
    </row>
    <row r="3649">
      <c r="A3649" s="16" t="inlineStr">
        <is>
          <t>5.29-6.4</t>
        </is>
      </c>
      <c r="B3649" s="16" t="inlineStr">
        <is>
          <t>PO-128-07848178693752852</t>
        </is>
      </c>
      <c r="C3649" s="16" t="inlineStr">
        <is>
          <t>Shipped</t>
        </is>
      </c>
      <c r="D3649" s="16" t="inlineStr">
        <is>
          <t>128-07848204908152852</t>
        </is>
      </c>
      <c r="E3649" s="16" t="inlineStr">
        <is>
          <t>Shipped</t>
        </is>
      </c>
      <c r="F3649" s="16" t="inlineStr">
        <is>
          <t>VB347T</t>
        </is>
      </c>
      <c r="G364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49" s="16" t="inlineStr">
        <is>
          <t>1 pieza</t>
        </is>
      </c>
      <c r="I3649" s="16" t="n">
        <v>1</v>
      </c>
      <c r="J3649" s="17" t="n">
        <v>79.90000000000001</v>
      </c>
      <c r="K3649" s="17" t="n">
        <v>94.5</v>
      </c>
      <c r="L3649" s="17" t="n">
        <v>25.86</v>
      </c>
      <c r="M3649" s="17" t="n">
        <v>0</v>
      </c>
      <c r="N3649" s="17">
        <f>K3649*0.08+L3649*0.08</f>
        <v/>
      </c>
      <c r="O3649" s="17">
        <f>-(K3649*0.025+L3649*0.025)</f>
        <v/>
      </c>
      <c r="P3649" s="17">
        <f>32</f>
        <v/>
      </c>
      <c r="Q3649" s="17">
        <f>J3649+L3649+N3649+O3649-P3649-M3649</f>
        <v/>
      </c>
    </row>
    <row r="3650">
      <c r="A3650" s="16" t="inlineStr">
        <is>
          <t>5.29-6.4</t>
        </is>
      </c>
      <c r="B3650" s="16" t="inlineStr">
        <is>
          <t>PO-128-07678168924793931</t>
        </is>
      </c>
      <c r="C3650" s="16" t="inlineStr">
        <is>
          <t>Shipped</t>
        </is>
      </c>
      <c r="D3650" s="16" t="inlineStr">
        <is>
          <t>128-07678147953273931</t>
        </is>
      </c>
      <c r="E3650" s="16" t="inlineStr">
        <is>
          <t>Shipped</t>
        </is>
      </c>
      <c r="F3650" s="16" t="inlineStr">
        <is>
          <t>LB02235-azul</t>
        </is>
      </c>
      <c r="G3650" s="16" t="inlineStr">
        <is>
          <t>Audífonos Inalámbricos para la Cabeza, Recargables y Multifuncionales - Conectan a Varios Dispositivos, soportan Radio FM, Tarjeta TF y AUX - 4 Horas de Reproducción Musical - Ideal para Trabajo Cotidiano, Juegos y Estudio</t>
        </is>
      </c>
      <c r="H3650" s="16" t="inlineStr">
        <is>
          <t>AZUL</t>
        </is>
      </c>
      <c r="I3650" s="16" t="n">
        <v>1</v>
      </c>
      <c r="J3650" s="17" t="n">
        <v>29</v>
      </c>
      <c r="K3650" s="17" t="n">
        <v>33.69</v>
      </c>
      <c r="L3650" s="17" t="n">
        <v>25.86</v>
      </c>
      <c r="M3650" s="17" t="n">
        <v>0</v>
      </c>
      <c r="N3650" s="17">
        <f>K3650*0.08+L3650*0.08</f>
        <v/>
      </c>
      <c r="O3650" s="17">
        <f>-(K3650*0.025+L3650*0.025)</f>
        <v/>
      </c>
      <c r="P3650" s="17">
        <f>32</f>
        <v/>
      </c>
      <c r="Q3650" s="17">
        <f>J3650+L3650+N3650+O3650-P3650-M3650</f>
        <v/>
      </c>
    </row>
    <row r="3651">
      <c r="A3651" s="16" t="inlineStr">
        <is>
          <t>5.29-6.4</t>
        </is>
      </c>
      <c r="B3651" s="16" t="inlineStr">
        <is>
          <t>PO-128-07951308493431215</t>
        </is>
      </c>
      <c r="C3651" s="16" t="inlineStr">
        <is>
          <t>Shipped</t>
        </is>
      </c>
      <c r="D3651" s="16" t="inlineStr">
        <is>
          <t>128-07951287521911215</t>
        </is>
      </c>
      <c r="E3651" s="16" t="inlineStr">
        <is>
          <t>Shipped</t>
        </is>
      </c>
      <c r="F3651" s="16" t="inlineStr">
        <is>
          <t>LB02235-blanco</t>
        </is>
      </c>
      <c r="G3651" s="16" t="inlineStr">
        <is>
          <t>Audífonos Inalámbricos para la Cabeza, Recargables y Multifuncionales - Conectan a Varios Dispositivos, soportan Radio FM, Tarjeta TF y AUX - 4 Horas de Reproducción Musical - Ideal para Trabajo Cotidiano, Juegos y Estudio</t>
        </is>
      </c>
      <c r="H3651" s="16" t="inlineStr">
        <is>
          <t>BLANCO</t>
        </is>
      </c>
      <c r="I3651" s="16" t="n">
        <v>1</v>
      </c>
      <c r="J3651" s="17" t="n">
        <v>36.8</v>
      </c>
      <c r="K3651" s="17" t="n">
        <v>49.91</v>
      </c>
      <c r="L3651" s="17" t="n">
        <v>8.619999999999999</v>
      </c>
      <c r="M3651" s="17" t="n">
        <v>0</v>
      </c>
      <c r="N3651" s="17">
        <f>K3651*0.08+L3651*0.08</f>
        <v/>
      </c>
      <c r="O3651" s="17">
        <f>-(K3651*0.025+L3651*0.025)</f>
        <v/>
      </c>
      <c r="P3651" s="17">
        <f>32</f>
        <v/>
      </c>
      <c r="Q3651" s="17">
        <f>J3651+L3651+N3651+O3651-P3651-M3651</f>
        <v/>
      </c>
    </row>
    <row r="3652">
      <c r="A3652" s="16" t="inlineStr">
        <is>
          <t>5.29-6.4</t>
        </is>
      </c>
      <c r="B3652" s="16" t="inlineStr">
        <is>
          <t>PO-128-07951308493431215</t>
        </is>
      </c>
      <c r="C3652" s="16" t="inlineStr">
        <is>
          <t>Shipped</t>
        </is>
      </c>
      <c r="D3652" s="16" t="inlineStr">
        <is>
          <t>128-07951371407991215</t>
        </is>
      </c>
      <c r="E3652" s="16" t="inlineStr">
        <is>
          <t>Shipped</t>
        </is>
      </c>
      <c r="F3652" s="16" t="inlineStr">
        <is>
          <t>LB02235-negro</t>
        </is>
      </c>
      <c r="G3652" s="16" t="inlineStr">
        <is>
          <t>Audífonos Inalámbricos para la Cabeza, Recargables y Multifuncionales - Conectan a Varios Dispositivos, soportan Radio FM, Tarjeta TF y AUX - 4 Horas de Reproducción Musical - Ideal para Trabajo Cotidiano, Juegos y Estudio</t>
        </is>
      </c>
      <c r="H3652" s="16" t="inlineStr">
        <is>
          <t>NEGRO</t>
        </is>
      </c>
      <c r="I3652" s="16" t="n">
        <v>1</v>
      </c>
      <c r="J3652" s="17" t="n">
        <v>36.8</v>
      </c>
      <c r="K3652" s="17" t="n">
        <v>49.91</v>
      </c>
      <c r="L3652" s="17" t="n">
        <v>8.619999999999999</v>
      </c>
      <c r="M3652" s="17" t="n">
        <v>0</v>
      </c>
      <c r="N3652" s="17">
        <f>K3652*0.08+L3652*0.08</f>
        <v/>
      </c>
      <c r="O3652" s="17">
        <f>-(K3652*0.025+L3652*0.025)</f>
        <v/>
      </c>
      <c r="P3652" s="17">
        <f>32</f>
        <v/>
      </c>
      <c r="Q3652" s="17">
        <f>J3652+L3652+N3652+O3652-P3652-M3652</f>
        <v/>
      </c>
    </row>
    <row r="3653">
      <c r="A3653" s="16" t="inlineStr">
        <is>
          <t>5.29-6.4</t>
        </is>
      </c>
      <c r="B3653" s="16" t="inlineStr">
        <is>
          <t>PO-128-07951308493431215</t>
        </is>
      </c>
      <c r="C3653" s="16" t="inlineStr">
        <is>
          <t>Shipped</t>
        </is>
      </c>
      <c r="D3653" s="16" t="inlineStr">
        <is>
          <t>128-07951350436471215</t>
        </is>
      </c>
      <c r="E3653" s="16" t="inlineStr">
        <is>
          <t>Shipped</t>
        </is>
      </c>
      <c r="F3653" s="16" t="inlineStr">
        <is>
          <t>LB02235-rojo</t>
        </is>
      </c>
      <c r="G3653" s="16" t="inlineStr">
        <is>
          <t>Audífonos Inalámbricos para la Cabeza, Recargables y Multifuncionales - Conectan a Varios Dispositivos, soportan Radio FM, Tarjeta TF y AUX - 4 Horas de Reproducción Musical - Ideal para Trabajo Cotidiano, Juegos y Estudio</t>
        </is>
      </c>
      <c r="H3653" s="16" t="inlineStr">
        <is>
          <t>ROJO</t>
        </is>
      </c>
      <c r="I3653" s="16" t="n">
        <v>1</v>
      </c>
      <c r="J3653" s="17" t="n">
        <v>36.8</v>
      </c>
      <c r="K3653" s="17" t="n">
        <v>49.91</v>
      </c>
      <c r="L3653" s="17" t="n">
        <v>8.619999999999999</v>
      </c>
      <c r="M3653" s="17" t="n">
        <v>0</v>
      </c>
      <c r="N3653" s="17">
        <f>K3653*0.08+L3653*0.08</f>
        <v/>
      </c>
      <c r="O3653" s="17">
        <f>-(K3653*0.025+L3653*0.025)</f>
        <v/>
      </c>
      <c r="P3653" s="17">
        <f>32</f>
        <v/>
      </c>
      <c r="Q3653" s="17">
        <f>J3653+L3653+N3653+O3653-P3653-M3653</f>
        <v/>
      </c>
    </row>
    <row r="3654">
      <c r="A3654" s="16" t="inlineStr">
        <is>
          <t>5.29-6.4</t>
        </is>
      </c>
      <c r="B3654" s="16" t="inlineStr">
        <is>
          <t>PO-128-07704159442553838</t>
        </is>
      </c>
      <c r="C3654" s="16" t="inlineStr">
        <is>
          <t>Shipped</t>
        </is>
      </c>
      <c r="D3654" s="16" t="inlineStr">
        <is>
          <t>128-07704117499513838</t>
        </is>
      </c>
      <c r="E3654" s="16" t="inlineStr">
        <is>
          <t>Shipped</t>
        </is>
      </c>
      <c r="F3654" s="16" t="inlineStr">
        <is>
          <t>VB347T</t>
        </is>
      </c>
      <c r="G365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54" s="16" t="inlineStr">
        <is>
          <t>1 pieza</t>
        </is>
      </c>
      <c r="I3654" s="16" t="n">
        <v>1</v>
      </c>
      <c r="J3654" s="17" t="n">
        <v>79.90000000000001</v>
      </c>
      <c r="K3654" s="17" t="n">
        <v>80.33</v>
      </c>
      <c r="L3654" s="17" t="n">
        <v>25.86</v>
      </c>
      <c r="M3654" s="17" t="n">
        <v>0</v>
      </c>
      <c r="N3654" s="17">
        <f>K3654*0.08+L3654*0.08</f>
        <v/>
      </c>
      <c r="O3654" s="17">
        <f>-(K3654*0.025+L3654*0.025)</f>
        <v/>
      </c>
      <c r="P3654" s="17">
        <f>32</f>
        <v/>
      </c>
      <c r="Q3654" s="17">
        <f>J3654+L3654+N3654+O3654-P3654-M3654</f>
        <v/>
      </c>
    </row>
    <row r="3655">
      <c r="A3655" s="16" t="inlineStr">
        <is>
          <t>5.29-6.4</t>
        </is>
      </c>
      <c r="B3655" s="16" t="inlineStr">
        <is>
          <t>PO-128-07946413558391178</t>
        </is>
      </c>
      <c r="C3655" s="16" t="inlineStr">
        <is>
          <t>Shipped</t>
        </is>
      </c>
      <c r="D3655" s="16" t="inlineStr">
        <is>
          <t>128-07946371615351178</t>
        </is>
      </c>
      <c r="E3655" s="16" t="inlineStr">
        <is>
          <t>Shipped</t>
        </is>
      </c>
      <c r="F3655" s="16" t="inlineStr">
        <is>
          <t>MCM-001N</t>
        </is>
      </c>
      <c r="G3655" s="16" t="inlineStr">
        <is>
          <t>Musicord Altavoz Inalámbrico BT Portátil: ¡Sonido impactante, luces LED multicolores y 4 horas de autonomía! Compatible con TWS, FM, TF y USB – Imprescindible para fiestas y viajes</t>
        </is>
      </c>
      <c r="H3655" s="16" t="inlineStr">
        <is>
          <t>NEGRO</t>
        </is>
      </c>
      <c r="I3655" s="16" t="n">
        <v>1</v>
      </c>
      <c r="J3655" s="17" t="n">
        <v>52</v>
      </c>
      <c r="K3655" s="17" t="n">
        <v>54.41</v>
      </c>
      <c r="L3655" s="17" t="n">
        <v>25.86</v>
      </c>
      <c r="M3655" s="17" t="n">
        <v>0</v>
      </c>
      <c r="N3655" s="17">
        <f>K3655*0.08+L3655*0.08</f>
        <v/>
      </c>
      <c r="O3655" s="17">
        <f>-(K3655*0.025+L3655*0.025)</f>
        <v/>
      </c>
      <c r="P3655" s="17">
        <f>32</f>
        <v/>
      </c>
      <c r="Q3655" s="17">
        <f>J3655+L3655+N3655+O3655-P3655-M3655</f>
        <v/>
      </c>
    </row>
    <row r="3656">
      <c r="A3656" s="16" t="inlineStr">
        <is>
          <t>5.29-6.4</t>
        </is>
      </c>
      <c r="B3656" s="16" t="inlineStr">
        <is>
          <t>PO-128-08131520031350205</t>
        </is>
      </c>
      <c r="C3656" s="16" t="inlineStr">
        <is>
          <t>Shipped</t>
        </is>
      </c>
      <c r="D3656" s="16" t="inlineStr">
        <is>
          <t>128-08131547556470205</t>
        </is>
      </c>
      <c r="E3656" s="16" t="inlineStr">
        <is>
          <t>Shipped</t>
        </is>
      </c>
      <c r="F3656" s="16" t="inlineStr">
        <is>
          <t>MB-185N</t>
        </is>
      </c>
      <c r="G3656" s="16" t="inlineStr">
        <is>
          <t>Bocina Radio FM/Reproductor, Compatible con Tarjeta TF, USB, Bluetooth, Aplicable para celular, computadora, Ipad y consola.</t>
        </is>
      </c>
      <c r="H3656" s="16" t="inlineStr">
        <is>
          <t>NEGRO/MB-185</t>
        </is>
      </c>
      <c r="I3656" s="16" t="n">
        <v>2</v>
      </c>
      <c r="J3656" s="17" t="n">
        <v>151</v>
      </c>
      <c r="K3656" s="17" t="n">
        <v>157.84</v>
      </c>
      <c r="L3656" s="17" t="n">
        <v>0</v>
      </c>
      <c r="M3656" s="17" t="n">
        <v>0</v>
      </c>
      <c r="N3656" s="17">
        <f>K3656*0.08+L3656*0.08</f>
        <v/>
      </c>
      <c r="O3656" s="17">
        <f>-(K3656*0.025+L3656*0.025)</f>
        <v/>
      </c>
      <c r="P3656" s="17">
        <f>32</f>
        <v/>
      </c>
      <c r="Q3656" s="17">
        <f>J3656+L3656+N3656+O3656-P3656-M3656</f>
        <v/>
      </c>
    </row>
    <row r="3657">
      <c r="A3657" s="16" t="inlineStr">
        <is>
          <t>5.29-6.4</t>
        </is>
      </c>
      <c r="B3657" s="16" t="inlineStr">
        <is>
          <t>PO-128-08131520031350205</t>
        </is>
      </c>
      <c r="C3657" s="16" t="inlineStr">
        <is>
          <t>Shipped</t>
        </is>
      </c>
      <c r="D3657" s="16" t="inlineStr">
        <is>
          <t>128-08131552799350205</t>
        </is>
      </c>
      <c r="E3657" s="16" t="inlineStr">
        <is>
          <t>Shipped</t>
        </is>
      </c>
      <c r="F3657" s="16" t="inlineStr">
        <is>
          <t>MB-185A</t>
        </is>
      </c>
      <c r="G3657" s="16" t="inlineStr">
        <is>
          <t>Bocina Radio FM/Reproductor, Compatible con Tarjeta TF, USB, Bluetooth, Aplicable para celular, computadora, Ipad y consola.</t>
        </is>
      </c>
      <c r="H3657" s="16" t="inlineStr">
        <is>
          <t>AZUL/MB-185</t>
        </is>
      </c>
      <c r="I3657" s="16" t="n">
        <v>1</v>
      </c>
      <c r="J3657" s="17" t="n">
        <v>73</v>
      </c>
      <c r="K3657" s="17" t="n">
        <v>76.69</v>
      </c>
      <c r="L3657" s="17" t="n">
        <v>0</v>
      </c>
      <c r="M3657" s="17" t="n">
        <v>0</v>
      </c>
      <c r="N3657" s="17">
        <f>K3657*0.08+L3657*0.08</f>
        <v/>
      </c>
      <c r="O3657" s="17">
        <f>-(K3657*0.025+L3657*0.025)</f>
        <v/>
      </c>
      <c r="P3657" s="17">
        <f>32</f>
        <v/>
      </c>
      <c r="Q3657" s="17">
        <f>J3657+L3657+N3657+O3657-P3657-M3657</f>
        <v/>
      </c>
    </row>
    <row r="3658">
      <c r="A3658" s="16" t="inlineStr">
        <is>
          <t>5.29-6.4</t>
        </is>
      </c>
      <c r="B3658" s="16" t="inlineStr">
        <is>
          <t>PO-128-07692703079033714</t>
        </is>
      </c>
      <c r="C3658" s="16" t="inlineStr">
        <is>
          <t>Shipped</t>
        </is>
      </c>
      <c r="D3658" s="16" t="inlineStr">
        <is>
          <t>128-07692839393913714</t>
        </is>
      </c>
      <c r="E3658" s="16" t="inlineStr">
        <is>
          <t>Shipped</t>
        </is>
      </c>
      <c r="F3658" s="16" t="inlineStr">
        <is>
          <t>LB02235-rojo</t>
        </is>
      </c>
      <c r="G3658" s="16" t="inlineStr">
        <is>
          <t>Audífonos Inalámbricos para la Cabeza, Recargables y Multifuncionales - Conectan a Varios Dispositivos, soportan Radio FM, Tarjeta TF y AUX - 4 Horas de Reproducción Musical - Ideal para Trabajo Cotidiano, Juegos y Estudio</t>
        </is>
      </c>
      <c r="H3658" s="16" t="inlineStr">
        <is>
          <t>ROJO</t>
        </is>
      </c>
      <c r="I3658" s="16" t="n">
        <v>1</v>
      </c>
      <c r="J3658" s="17" t="n">
        <v>36.8</v>
      </c>
      <c r="K3658" s="17" t="n">
        <v>49.91</v>
      </c>
      <c r="L3658" s="17" t="n">
        <v>25.86</v>
      </c>
      <c r="M3658" s="17" t="n">
        <v>0</v>
      </c>
      <c r="N3658" s="17">
        <f>K3658*0.08+L3658*0.08</f>
        <v/>
      </c>
      <c r="O3658" s="17">
        <f>-(K3658*0.025+L3658*0.025)</f>
        <v/>
      </c>
      <c r="P3658" s="17">
        <f>32</f>
        <v/>
      </c>
      <c r="Q3658" s="17">
        <f>J3658+L3658+N3658+O3658-P3658-M3658</f>
        <v/>
      </c>
    </row>
    <row r="3659">
      <c r="A3659" s="16" t="inlineStr">
        <is>
          <t>5.29-6.4</t>
        </is>
      </c>
      <c r="B3659" s="16" t="inlineStr">
        <is>
          <t>PO-128-07898231491192683</t>
        </is>
      </c>
      <c r="C3659" s="16" t="inlineStr">
        <is>
          <t>Shipped</t>
        </is>
      </c>
      <c r="D3659" s="16" t="inlineStr">
        <is>
          <t>128-07898336348792683</t>
        </is>
      </c>
      <c r="E3659" s="16" t="inlineStr">
        <is>
          <t>Shipped</t>
        </is>
      </c>
      <c r="F3659" s="16" t="inlineStr">
        <is>
          <t>LB02235-rojo</t>
        </is>
      </c>
      <c r="G3659" s="16" t="inlineStr">
        <is>
          <t>Audífonos Inalámbricos para la Cabeza, Recargables y Multifuncionales - Conectan a Varios Dispositivos, soportan Radio FM, Tarjeta TF y AUX - 4 Horas de Reproducción Musical - Ideal para Trabajo Cotidiano, Juegos y Estudio</t>
        </is>
      </c>
      <c r="H3659" s="16" t="inlineStr">
        <is>
          <t>ROJO</t>
        </is>
      </c>
      <c r="I3659" s="16" t="n">
        <v>1</v>
      </c>
      <c r="J3659" s="17" t="n">
        <v>36.8</v>
      </c>
      <c r="K3659" s="17" t="n">
        <v>49.91</v>
      </c>
      <c r="L3659" s="17" t="n">
        <v>25.86</v>
      </c>
      <c r="M3659" s="17" t="n">
        <v>0</v>
      </c>
      <c r="N3659" s="17">
        <f>K3659*0.08+L3659*0.08</f>
        <v/>
      </c>
      <c r="O3659" s="17">
        <f>-(K3659*0.025+L3659*0.025)</f>
        <v/>
      </c>
      <c r="P3659" s="17">
        <f>32</f>
        <v/>
      </c>
      <c r="Q3659" s="17">
        <f>J3659+L3659+N3659+O3659-P3659-M3659</f>
        <v/>
      </c>
    </row>
    <row r="3660">
      <c r="A3660" s="16" t="inlineStr">
        <is>
          <t>5.29-6.4</t>
        </is>
      </c>
      <c r="B3660" s="16" t="inlineStr">
        <is>
          <t>PO-128-07683447050873962</t>
        </is>
      </c>
      <c r="C3660" s="16" t="inlineStr">
        <is>
          <t>Shipped</t>
        </is>
      </c>
      <c r="D3660" s="16" t="inlineStr">
        <is>
          <t>128-07683405107833962</t>
        </is>
      </c>
      <c r="E3660" s="16" t="inlineStr">
        <is>
          <t>Shipped</t>
        </is>
      </c>
      <c r="F3660" s="16" t="inlineStr">
        <is>
          <t>SA325T</t>
        </is>
      </c>
      <c r="G3660" s="16" t="inlineStr">
        <is>
          <t>Subwoofer Portátil Inalámbrico con Luces RGB, Sonido de Alta Potencia y Batería Duradera, TWS TF USB, Perfecto para Campamento Fiestas y Entretenimiento en Casa</t>
        </is>
      </c>
      <c r="H3660" s="16" t="inlineStr">
        <is>
          <t>NEGRO</t>
        </is>
      </c>
      <c r="I3660" s="16" t="n">
        <v>1</v>
      </c>
      <c r="J3660" s="17" t="n">
        <v>38</v>
      </c>
      <c r="K3660" s="17" t="n">
        <v>3.94</v>
      </c>
      <c r="L3660" s="17" t="n">
        <v>25.86</v>
      </c>
      <c r="M3660" s="17" t="n">
        <v>0</v>
      </c>
      <c r="N3660" s="17">
        <f>K3660*0.08+L3660*0.08</f>
        <v/>
      </c>
      <c r="O3660" s="17">
        <f>-(K3660*0.025+L3660*0.025)</f>
        <v/>
      </c>
      <c r="P3660" s="17">
        <f>32</f>
        <v/>
      </c>
      <c r="Q3660" s="17">
        <f>J3660+L3660+N3660+O3660-P3660-M3660</f>
        <v/>
      </c>
    </row>
    <row r="3661">
      <c r="A3661" s="16" t="inlineStr">
        <is>
          <t>5.29-6.4</t>
        </is>
      </c>
      <c r="B3661" s="16" t="inlineStr">
        <is>
          <t>PO-128-08218655626870709</t>
        </is>
      </c>
      <c r="C3661" s="16" t="inlineStr">
        <is>
          <t>Shipped</t>
        </is>
      </c>
      <c r="D3661" s="16" t="inlineStr">
        <is>
          <t>128-08218695603830709</t>
        </is>
      </c>
      <c r="E3661" s="16" t="inlineStr">
        <is>
          <t>Shipped</t>
        </is>
      </c>
      <c r="F3661" s="16" t="inlineStr">
        <is>
          <t>LB02235-azul</t>
        </is>
      </c>
      <c r="G3661" s="16" t="inlineStr">
        <is>
          <t>Audífonos Inalámbricos para la Cabeza, Recargables y Multifuncionales - Conectan a Varios Dispositivos, soportan Radio FM, Tarjeta TF y AUX - 4 Horas de Reproducción Musical - Ideal para Trabajo Cotidiano, Juegos y Estudio</t>
        </is>
      </c>
      <c r="H3661" s="16" t="inlineStr">
        <is>
          <t>AZUL</t>
        </is>
      </c>
      <c r="I3661" s="16" t="n">
        <v>1</v>
      </c>
      <c r="J3661" s="17" t="n">
        <v>29</v>
      </c>
      <c r="K3661" s="17" t="n">
        <v>42.11</v>
      </c>
      <c r="L3661" s="17" t="n">
        <v>25.86</v>
      </c>
      <c r="M3661" s="17" t="n">
        <v>0</v>
      </c>
      <c r="N3661" s="17">
        <f>K3661*0.08+L3661*0.08</f>
        <v/>
      </c>
      <c r="O3661" s="17">
        <f>-(K3661*0.025+L3661*0.025)</f>
        <v/>
      </c>
      <c r="P3661" s="17">
        <f>32</f>
        <v/>
      </c>
      <c r="Q3661" s="17">
        <f>J3661+L3661+N3661+O3661-P3661-M3661</f>
        <v/>
      </c>
    </row>
    <row r="3662">
      <c r="A3662" s="16" t="inlineStr">
        <is>
          <t>5.29-6.4</t>
        </is>
      </c>
      <c r="B3662" s="16" t="inlineStr">
        <is>
          <t>PO-128-07959531525751228</t>
        </is>
      </c>
      <c r="C3662" s="16" t="inlineStr">
        <is>
          <t>Shipped</t>
        </is>
      </c>
      <c r="D3662" s="16" t="inlineStr">
        <is>
          <t>128-07959613445751228</t>
        </is>
      </c>
      <c r="E3662" s="16" t="inlineStr">
        <is>
          <t>Shipped</t>
        </is>
      </c>
      <c r="F3662" s="16" t="inlineStr">
        <is>
          <t>SA325T</t>
        </is>
      </c>
      <c r="G3662" s="16" t="inlineStr">
        <is>
          <t>Subwoofer Portátil Inalámbrico con Luces RGB, Sonido de Alta Potencia y Batería Duradera, TWS TF USB, Perfecto para Campamento Fiestas y Entretenimiento en Casa</t>
        </is>
      </c>
      <c r="H3662" s="16" t="inlineStr">
        <is>
          <t>NEGRO</t>
        </is>
      </c>
      <c r="I3662" s="16" t="n">
        <v>1</v>
      </c>
      <c r="J3662" s="17" t="n">
        <v>38</v>
      </c>
      <c r="K3662" s="17" t="n">
        <v>47.04</v>
      </c>
      <c r="L3662" s="17" t="n">
        <v>25.86</v>
      </c>
      <c r="M3662" s="17" t="n">
        <v>0</v>
      </c>
      <c r="N3662" s="17">
        <f>K3662*0.08+L3662*0.08</f>
        <v/>
      </c>
      <c r="O3662" s="17">
        <f>-(K3662*0.025+L3662*0.025)</f>
        <v/>
      </c>
      <c r="P3662" s="17">
        <f>32</f>
        <v/>
      </c>
      <c r="Q3662" s="17">
        <f>J3662+L3662+N3662+O3662-P3662-M3662</f>
        <v/>
      </c>
    </row>
    <row r="3663">
      <c r="A3663" s="16" t="inlineStr">
        <is>
          <t>5.29-6.4</t>
        </is>
      </c>
      <c r="B3663" s="16" t="inlineStr">
        <is>
          <t>PO-128-08235917568630607</t>
        </is>
      </c>
      <c r="C3663" s="16" t="inlineStr">
        <is>
          <t>Shipped</t>
        </is>
      </c>
      <c r="D3663" s="16" t="inlineStr">
        <is>
          <t>128-08235896597110607</t>
        </is>
      </c>
      <c r="E3663" s="16" t="inlineStr">
        <is>
          <t>Shipped</t>
        </is>
      </c>
      <c r="F3663" s="16" t="inlineStr">
        <is>
          <t>MB-185N</t>
        </is>
      </c>
      <c r="G3663" s="16" t="inlineStr">
        <is>
          <t>Bocina Radio FM/Reproductor, Compatible con Tarjeta TF, USB, Bluetooth, Aplicable para celular, computadora, Ipad y consola.</t>
        </is>
      </c>
      <c r="H3663" s="16" t="inlineStr">
        <is>
          <t>NEGRO/MB-185</t>
        </is>
      </c>
      <c r="I3663" s="16" t="n">
        <v>1</v>
      </c>
      <c r="J3663" s="17" t="n">
        <v>75.5</v>
      </c>
      <c r="K3663" s="17" t="n">
        <v>88.44</v>
      </c>
      <c r="L3663" s="17" t="n">
        <v>25.86</v>
      </c>
      <c r="M3663" s="17" t="n">
        <v>0</v>
      </c>
      <c r="N3663" s="17">
        <f>K3663*0.08+L3663*0.08</f>
        <v/>
      </c>
      <c r="O3663" s="17">
        <f>-(K3663*0.025+L3663*0.025)</f>
        <v/>
      </c>
      <c r="P3663" s="17">
        <f>32</f>
        <v/>
      </c>
      <c r="Q3663" s="17">
        <f>J3663+L3663+N3663+O3663-P3663-M3663</f>
        <v/>
      </c>
    </row>
    <row r="3664">
      <c r="A3664" s="16" t="inlineStr">
        <is>
          <t>5.29-6.4</t>
        </is>
      </c>
      <c r="B3664" s="16" t="inlineStr">
        <is>
          <t>PO-128-07913934541431500</t>
        </is>
      </c>
      <c r="C3664" s="16" t="inlineStr">
        <is>
          <t>Shipped</t>
        </is>
      </c>
      <c r="D3664" s="16" t="inlineStr">
        <is>
          <t>128-07913871626871500</t>
        </is>
      </c>
      <c r="E3664" s="16" t="inlineStr">
        <is>
          <t>Shipped</t>
        </is>
      </c>
      <c r="F3664" s="16" t="inlineStr">
        <is>
          <t>MB-178-B</t>
        </is>
      </c>
      <c r="G3664" s="16" t="inlineStr">
        <is>
          <t>Bocina de Barra Bluetooth LINK BITS con dos altavoces, sonido de alta calidad y multifuncional (Bluetooth, Radio FM, USB, TF, AUX, TWS), ideal para juegos, reuniones, oficina y cine en casa.</t>
        </is>
      </c>
      <c r="H3664" s="16" t="inlineStr">
        <is>
          <t>BLANCO</t>
        </is>
      </c>
      <c r="I3664" s="16" t="n">
        <v>1</v>
      </c>
      <c r="J3664" s="17" t="n">
        <v>129</v>
      </c>
      <c r="K3664" s="17" t="n">
        <v>148.34</v>
      </c>
      <c r="L3664" s="17" t="n">
        <v>0</v>
      </c>
      <c r="M3664" s="17" t="n">
        <v>0</v>
      </c>
      <c r="N3664" s="17">
        <f>K3664*0.08+L3664*0.08</f>
        <v/>
      </c>
      <c r="O3664" s="17">
        <f>-(K3664*0.025+L3664*0.025)</f>
        <v/>
      </c>
      <c r="P3664" s="17">
        <f>32</f>
        <v/>
      </c>
      <c r="Q3664" s="17">
        <f>J3664+L3664+N3664+O3664-P3664-M3664</f>
        <v/>
      </c>
    </row>
    <row r="3665">
      <c r="A3665" s="16" t="inlineStr">
        <is>
          <t>5.29-6.4</t>
        </is>
      </c>
      <c r="B3665" s="16" t="inlineStr">
        <is>
          <t>PO-128-07913934541431500</t>
        </is>
      </c>
      <c r="C3665" s="16" t="inlineStr">
        <is>
          <t>Shipped</t>
        </is>
      </c>
      <c r="D3665" s="16" t="inlineStr">
        <is>
          <t>128-07913955512951500</t>
        </is>
      </c>
      <c r="E3665" s="16" t="inlineStr">
        <is>
          <t>Shipped</t>
        </is>
      </c>
      <c r="F3665" s="16" t="inlineStr">
        <is>
          <t>MB-178-N</t>
        </is>
      </c>
      <c r="G3665" s="16" t="inlineStr">
        <is>
          <t>Bocina de Barra Bluetooth LINK BITS con dos altavoces, sonido de alta calidad y multifuncional (Bluetooth, Radio FM, USB, TF, AUX, TWS), ideal para juegos, reuniones, oficina y cine en casa.</t>
        </is>
      </c>
      <c r="H3665" s="16" t="inlineStr">
        <is>
          <t>NEGRO</t>
        </is>
      </c>
      <c r="I3665" s="16" t="n">
        <v>1</v>
      </c>
      <c r="J3665" s="17" t="n">
        <v>135</v>
      </c>
      <c r="K3665" s="17" t="n">
        <v>154.34</v>
      </c>
      <c r="L3665" s="17" t="n">
        <v>0</v>
      </c>
      <c r="M3665" s="17" t="n">
        <v>0</v>
      </c>
      <c r="N3665" s="17">
        <f>K3665*0.08+L3665*0.08</f>
        <v/>
      </c>
      <c r="O3665" s="17">
        <f>-(K3665*0.025+L3665*0.025)</f>
        <v/>
      </c>
      <c r="P3665" s="17">
        <f>32</f>
        <v/>
      </c>
      <c r="Q3665" s="17">
        <f>J3665+L3665+N3665+O3665-P3665-M3665</f>
        <v/>
      </c>
    </row>
    <row r="3666">
      <c r="A3666" s="16" t="inlineStr">
        <is>
          <t>5.29-6.4</t>
        </is>
      </c>
      <c r="B3666" s="16" t="inlineStr">
        <is>
          <t>PO-128-07735611397752437</t>
        </is>
      </c>
      <c r="C3666" s="16" t="inlineStr">
        <is>
          <t>Shipped</t>
        </is>
      </c>
      <c r="D3666" s="16" t="inlineStr">
        <is>
          <t>128-07735569454712437</t>
        </is>
      </c>
      <c r="E3666" s="16" t="inlineStr">
        <is>
          <t>Shipped</t>
        </is>
      </c>
      <c r="F3666" s="16" t="inlineStr">
        <is>
          <t>SA325T</t>
        </is>
      </c>
      <c r="G3666" s="16" t="inlineStr">
        <is>
          <t>Subwoofer Portátil Inalámbrico con Luces RGB, Sonido de Alta Potencia y Batería Duradera, TWS TF USB, Perfecto para Campamento Fiestas y Entretenimiento en Casa</t>
        </is>
      </c>
      <c r="H3666" s="16" t="inlineStr">
        <is>
          <t>NEGRO</t>
        </is>
      </c>
      <c r="I3666" s="16" t="n">
        <v>2</v>
      </c>
      <c r="J3666" s="17" t="n">
        <v>76</v>
      </c>
      <c r="K3666" s="17" t="n">
        <v>94.08</v>
      </c>
      <c r="L3666" s="17" t="n">
        <v>25.86</v>
      </c>
      <c r="M3666" s="17" t="n">
        <v>47.04</v>
      </c>
      <c r="N3666" s="17">
        <f>K3666*0.08+L3666*0.08</f>
        <v/>
      </c>
      <c r="O3666" s="17">
        <f>-(K3666*0.025+L3666*0.025)</f>
        <v/>
      </c>
      <c r="P3666" s="17">
        <f>32</f>
        <v/>
      </c>
      <c r="Q3666" s="17">
        <f>J3666+L3666+N3666+O3666-P3666-M3666</f>
        <v/>
      </c>
    </row>
    <row r="3667">
      <c r="A3667" s="16" t="inlineStr">
        <is>
          <t>5.29-6.4</t>
        </is>
      </c>
      <c r="B3667" s="16" t="inlineStr">
        <is>
          <t>PO-128-07996600361591969</t>
        </is>
      </c>
      <c r="C3667" s="16" t="inlineStr">
        <is>
          <t>Shipped</t>
        </is>
      </c>
      <c r="D3667" s="16" t="inlineStr">
        <is>
          <t>128-07996621333111969</t>
        </is>
      </c>
      <c r="E3667" s="16" t="inlineStr">
        <is>
          <t>Shipped</t>
        </is>
      </c>
      <c r="F3667" s="16" t="inlineStr">
        <is>
          <t>LB02235-azul</t>
        </is>
      </c>
      <c r="G3667" s="16" t="inlineStr">
        <is>
          <t>Audífonos Inalámbricos para la Cabeza, Recargables y Multifuncionales - Conectan a Varios Dispositivos, soportan Radio FM, Tarjeta TF y AUX - 4 Horas de Reproducción Musical - Ideal para Trabajo Cotidiano, Juegos y Estudio</t>
        </is>
      </c>
      <c r="H3667" s="16" t="inlineStr">
        <is>
          <t>AZUL</t>
        </is>
      </c>
      <c r="I3667" s="16" t="n">
        <v>1</v>
      </c>
      <c r="J3667" s="17" t="n">
        <v>36.8</v>
      </c>
      <c r="K3667" s="17" t="n">
        <v>49.91</v>
      </c>
      <c r="L3667" s="17" t="n">
        <v>25.86</v>
      </c>
      <c r="M3667" s="17" t="n">
        <v>0</v>
      </c>
      <c r="N3667" s="17">
        <f>K3667*0.08+L3667*0.08</f>
        <v/>
      </c>
      <c r="O3667" s="17">
        <f>-(K3667*0.025+L3667*0.025)</f>
        <v/>
      </c>
      <c r="P3667" s="17">
        <f>32</f>
        <v/>
      </c>
      <c r="Q3667" s="17">
        <f>J3667+L3667+N3667+O3667-P3667-M3667</f>
        <v/>
      </c>
    </row>
    <row r="3668">
      <c r="A3668" s="16" t="inlineStr">
        <is>
          <t>5.29-6.4</t>
        </is>
      </c>
      <c r="B3668" s="16" t="inlineStr">
        <is>
          <t>PO-128-07846997361272861</t>
        </is>
      </c>
      <c r="C3668" s="16" t="inlineStr">
        <is>
          <t>Shipped</t>
        </is>
      </c>
      <c r="D3668" s="16" t="inlineStr">
        <is>
          <t>128-07846986875512861</t>
        </is>
      </c>
      <c r="E3668" s="16" t="inlineStr">
        <is>
          <t>Shipped</t>
        </is>
      </c>
      <c r="F3668" s="16" t="inlineStr">
        <is>
          <t>VA880T</t>
        </is>
      </c>
      <c r="G366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668" s="16" t="inlineStr">
        <is>
          <t>1 pieza</t>
        </is>
      </c>
      <c r="I3668" s="16" t="n">
        <v>1</v>
      </c>
      <c r="J3668" s="17" t="n">
        <v>114.98</v>
      </c>
      <c r="K3668" s="17" t="n">
        <v>161.3</v>
      </c>
      <c r="L3668" s="17" t="n">
        <v>0</v>
      </c>
      <c r="M3668" s="17" t="n">
        <v>0</v>
      </c>
      <c r="N3668" s="17">
        <f>K3668*0.08+L3668*0.08</f>
        <v/>
      </c>
      <c r="O3668" s="17">
        <f>-(K3668*0.025+L3668*0.025)</f>
        <v/>
      </c>
      <c r="P3668" s="17">
        <f>32</f>
        <v/>
      </c>
      <c r="Q3668" s="17">
        <f>J3668+L3668+N3668+O3668-P3668-M3668</f>
        <v/>
      </c>
    </row>
    <row r="3669">
      <c r="A3669" s="16" t="inlineStr">
        <is>
          <t>5.29-6.4</t>
        </is>
      </c>
      <c r="B3669" s="16" t="inlineStr">
        <is>
          <t>PO-128-07846997361272861</t>
        </is>
      </c>
      <c r="C3669" s="16" t="inlineStr">
        <is>
          <t>Shipped</t>
        </is>
      </c>
      <c r="D3669" s="16" t="inlineStr">
        <is>
          <t>128-07846976389752861</t>
        </is>
      </c>
      <c r="E3669" s="16" t="inlineStr">
        <is>
          <t>Shipped</t>
        </is>
      </c>
      <c r="F3669" s="16" t="inlineStr">
        <is>
          <t>SA8056T</t>
        </is>
      </c>
      <c r="G366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669" s="16" t="inlineStr">
        <is>
          <t>SA8056T</t>
        </is>
      </c>
      <c r="I3669" s="16" t="n">
        <v>1</v>
      </c>
      <c r="J3669" s="17" t="n">
        <v>123.9</v>
      </c>
      <c r="K3669" s="17" t="n">
        <v>192.09</v>
      </c>
      <c r="L3669" s="17" t="n">
        <v>0</v>
      </c>
      <c r="M3669" s="17" t="n">
        <v>0</v>
      </c>
      <c r="N3669" s="17">
        <f>K3669*0.08+L3669*0.08</f>
        <v/>
      </c>
      <c r="O3669" s="17">
        <f>-(K3669*0.025+L3669*0.025)</f>
        <v/>
      </c>
      <c r="P3669" s="17">
        <f>32</f>
        <v/>
      </c>
      <c r="Q3669" s="17">
        <f>J3669+L3669+N3669+O3669-P3669-M3669</f>
        <v/>
      </c>
    </row>
    <row r="3670">
      <c r="A3670" s="16" t="inlineStr">
        <is>
          <t>5.29-6.4</t>
        </is>
      </c>
      <c r="B3670" s="16" t="inlineStr">
        <is>
          <t>PO-128-07772754350712407</t>
        </is>
      </c>
      <c r="C3670" s="16" t="inlineStr">
        <is>
          <t>Shipped</t>
        </is>
      </c>
      <c r="D3670" s="16" t="inlineStr">
        <is>
          <t>128-07772733379192407</t>
        </is>
      </c>
      <c r="E3670" s="16" t="inlineStr">
        <is>
          <t>Shipped</t>
        </is>
      </c>
      <c r="F3670" s="16" t="inlineStr">
        <is>
          <t>LB02235-rojo</t>
        </is>
      </c>
      <c r="G3670" s="16" t="inlineStr">
        <is>
          <t>Audífonos Inalámbricos para la Cabeza, Recargables y Multifuncionales - Conectan a Varios Dispositivos, soportan Radio FM, Tarjeta TF y AUX - 4 Horas de Reproducción Musical - Ideal para Trabajo Cotidiano, Juegos y Estudio</t>
        </is>
      </c>
      <c r="H3670" s="16" t="inlineStr">
        <is>
          <t>ROJO</t>
        </is>
      </c>
      <c r="I3670" s="16" t="n">
        <v>1</v>
      </c>
      <c r="J3670" s="17" t="n">
        <v>37.71</v>
      </c>
      <c r="K3670" s="17" t="n">
        <v>45.74</v>
      </c>
      <c r="L3670" s="17" t="n">
        <v>25.86</v>
      </c>
      <c r="M3670" s="17" t="n">
        <v>0</v>
      </c>
      <c r="N3670" s="17">
        <f>K3670*0.08+L3670*0.08</f>
        <v/>
      </c>
      <c r="O3670" s="17">
        <f>-(K3670*0.025+L3670*0.025)</f>
        <v/>
      </c>
      <c r="P3670" s="17">
        <f>32</f>
        <v/>
      </c>
      <c r="Q3670" s="17">
        <f>J3670+L3670+N3670+O3670-P3670-M3670</f>
        <v/>
      </c>
    </row>
    <row r="3671">
      <c r="A3671" s="16" t="inlineStr">
        <is>
          <t>5.29-6.4</t>
        </is>
      </c>
      <c r="B3671" s="16" t="inlineStr">
        <is>
          <t>PO-128-07967679949431053</t>
        </is>
      </c>
      <c r="C3671" s="16" t="inlineStr">
        <is>
          <t>Shipped</t>
        </is>
      </c>
      <c r="D3671" s="16" t="inlineStr">
        <is>
          <t>128-07967690435191053</t>
        </is>
      </c>
      <c r="E3671" s="16" t="inlineStr">
        <is>
          <t>Shipped</t>
        </is>
      </c>
      <c r="F3671" s="16" t="inlineStr">
        <is>
          <t>MB-185A</t>
        </is>
      </c>
      <c r="G3671" s="16" t="inlineStr">
        <is>
          <t>Bocina Radio FM/Reproductor, Compatible con Tarjeta TF, USB, Bluetooth, Aplicable para celular, computadora, Ipad y consola.</t>
        </is>
      </c>
      <c r="H3671" s="16" t="inlineStr">
        <is>
          <t>AZUL/MB-185</t>
        </is>
      </c>
      <c r="I3671" s="16" t="n">
        <v>1</v>
      </c>
      <c r="J3671" s="17" t="n">
        <v>73</v>
      </c>
      <c r="K3671" s="17" t="n">
        <v>71.66</v>
      </c>
      <c r="L3671" s="17" t="n">
        <v>25.86</v>
      </c>
      <c r="M3671" s="17" t="n">
        <v>0</v>
      </c>
      <c r="N3671" s="17">
        <f>K3671*0.08+L3671*0.08</f>
        <v/>
      </c>
      <c r="O3671" s="17">
        <f>-(K3671*0.025+L3671*0.025)</f>
        <v/>
      </c>
      <c r="P3671" s="17">
        <f>32</f>
        <v/>
      </c>
      <c r="Q3671" s="17">
        <f>J3671+L3671+N3671+O3671-P3671-M3671</f>
        <v/>
      </c>
    </row>
    <row r="3672">
      <c r="A3672" s="16" t="inlineStr">
        <is>
          <t>5.29-6.4</t>
        </is>
      </c>
      <c r="B3672" s="16" t="inlineStr">
        <is>
          <t>PO-128-07971076065911033</t>
        </is>
      </c>
      <c r="C3672" s="16" t="inlineStr">
        <is>
          <t>Shipped</t>
        </is>
      </c>
      <c r="D3672" s="16" t="inlineStr">
        <is>
          <t>128-07971086551671033</t>
        </is>
      </c>
      <c r="E3672" s="16" t="inlineStr">
        <is>
          <t>Shipped</t>
        </is>
      </c>
      <c r="F3672" s="16" t="inlineStr">
        <is>
          <t>LB02235-blanco</t>
        </is>
      </c>
      <c r="G3672" s="16" t="inlineStr">
        <is>
          <t>Audífonos Inalámbricos para la Cabeza, Recargables y Multifuncionales - Conectan a Varios Dispositivos, soportan Radio FM, Tarjeta TF y AUX - 4 Horas de Reproducción Musical - Ideal para Trabajo Cotidiano, Juegos y Estudio</t>
        </is>
      </c>
      <c r="H3672" s="16" t="inlineStr">
        <is>
          <t>BLANCO</t>
        </is>
      </c>
      <c r="I3672" s="16" t="n">
        <v>1</v>
      </c>
      <c r="J3672" s="17" t="n">
        <v>37.71</v>
      </c>
      <c r="K3672" s="17" t="n">
        <v>50.82</v>
      </c>
      <c r="L3672" s="17" t="n">
        <v>25.86</v>
      </c>
      <c r="M3672" s="17" t="n">
        <v>0</v>
      </c>
      <c r="N3672" s="17">
        <f>K3672*0.08+L3672*0.08</f>
        <v/>
      </c>
      <c r="O3672" s="17">
        <f>-(K3672*0.025+L3672*0.025)</f>
        <v/>
      </c>
      <c r="P3672" s="17">
        <f>32</f>
        <v/>
      </c>
      <c r="Q3672" s="17">
        <f>J3672+L3672+N3672+O3672-P3672-M3672</f>
        <v/>
      </c>
    </row>
    <row r="3673">
      <c r="A3673" s="16" t="inlineStr">
        <is>
          <t>5.29-6.4</t>
        </is>
      </c>
      <c r="B3673" s="16" t="inlineStr">
        <is>
          <t>PO-128-08014622167671796</t>
        </is>
      </c>
      <c r="C3673" s="16" t="inlineStr">
        <is>
          <t>Shipped</t>
        </is>
      </c>
      <c r="D3673" s="16" t="inlineStr">
        <is>
          <t>128-08014580224631796</t>
        </is>
      </c>
      <c r="E3673" s="16" t="inlineStr">
        <is>
          <t>Shipped</t>
        </is>
      </c>
      <c r="F3673" s="16" t="inlineStr">
        <is>
          <t>VA880T</t>
        </is>
      </c>
      <c r="G367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673" s="16" t="inlineStr">
        <is>
          <t>1 pieza</t>
        </is>
      </c>
      <c r="I3673" s="16" t="n">
        <v>3</v>
      </c>
      <c r="J3673" s="17" t="n">
        <v>344.94</v>
      </c>
      <c r="K3673" s="17" t="n">
        <v>440.8</v>
      </c>
      <c r="L3673" s="17" t="n">
        <v>0</v>
      </c>
      <c r="M3673" s="17" t="n">
        <v>0</v>
      </c>
      <c r="N3673" s="17">
        <f>K3673*0.08+L3673*0.08</f>
        <v/>
      </c>
      <c r="O3673" s="17">
        <f>-(K3673*0.025+L3673*0.025)</f>
        <v/>
      </c>
      <c r="P3673" s="17">
        <f>32</f>
        <v/>
      </c>
      <c r="Q3673" s="17">
        <f>J3673+L3673+N3673+O3673-P3673-M3673</f>
        <v/>
      </c>
    </row>
    <row r="3674">
      <c r="A3674" s="16" t="inlineStr">
        <is>
          <t>5.29-6.4</t>
        </is>
      </c>
      <c r="B3674" s="16" t="inlineStr">
        <is>
          <t>PO-128-08174729810550971</t>
        </is>
      </c>
      <c r="C3674" s="16" t="inlineStr">
        <is>
          <t>Shipped</t>
        </is>
      </c>
      <c r="D3674" s="16" t="inlineStr">
        <is>
          <t>128-08174714081910971</t>
        </is>
      </c>
      <c r="E3674" s="16" t="inlineStr">
        <is>
          <t>Shipped</t>
        </is>
      </c>
      <c r="F3674" s="16" t="inlineStr">
        <is>
          <t>LB02235-negro</t>
        </is>
      </c>
      <c r="G3674" s="16" t="inlineStr">
        <is>
          <t>Audífonos Inalámbricos para la Cabeza, Recargables y Multifuncionales - Conectan a Varios Dispositivos, soportan Radio FM, Tarjeta TF y AUX - 4 Horas de Reproducción Musical - Ideal para Trabajo Cotidiano, Juegos y Estudio</t>
        </is>
      </c>
      <c r="H3674" s="16" t="inlineStr">
        <is>
          <t>NEGRO</t>
        </is>
      </c>
      <c r="I3674" s="16" t="n">
        <v>1</v>
      </c>
      <c r="J3674" s="17" t="n">
        <v>37.71</v>
      </c>
      <c r="K3674" s="17" t="n">
        <v>50.82</v>
      </c>
      <c r="L3674" s="17" t="n">
        <v>25.86</v>
      </c>
      <c r="M3674" s="17" t="n">
        <v>0</v>
      </c>
      <c r="N3674" s="17">
        <f>K3674*0.08+L3674*0.08</f>
        <v/>
      </c>
      <c r="O3674" s="17">
        <f>-(K3674*0.025+L3674*0.025)</f>
        <v/>
      </c>
      <c r="P3674" s="17">
        <f>32</f>
        <v/>
      </c>
      <c r="Q3674" s="17">
        <f>J3674+L3674+N3674+O3674-P3674-M3674</f>
        <v/>
      </c>
    </row>
    <row r="3675">
      <c r="A3675" s="16" t="inlineStr">
        <is>
          <t>5.29-6.4</t>
        </is>
      </c>
      <c r="B3675" s="16" t="inlineStr">
        <is>
          <t>PO-128-07714453525113587</t>
        </is>
      </c>
      <c r="C3675" s="16" t="inlineStr">
        <is>
          <t>Shipped</t>
        </is>
      </c>
      <c r="D3675" s="16" t="inlineStr">
        <is>
          <t>128-07714474496633587</t>
        </is>
      </c>
      <c r="E3675" s="16" t="inlineStr">
        <is>
          <t>Shipped</t>
        </is>
      </c>
      <c r="F3675" s="16" t="inlineStr">
        <is>
          <t>LB02235-azul</t>
        </is>
      </c>
      <c r="G3675" s="16" t="inlineStr">
        <is>
          <t>Audífonos Inalámbricos para la Cabeza, Recargables y Multifuncionales - Conectan a Varios Dispositivos, soportan Radio FM, Tarjeta TF y AUX - 4 Horas de Reproducción Musical - Ideal para Trabajo Cotidiano, Juegos y Estudio</t>
        </is>
      </c>
      <c r="H3675" s="16" t="inlineStr">
        <is>
          <t>AZUL</t>
        </is>
      </c>
      <c r="I3675" s="16" t="n">
        <v>5</v>
      </c>
      <c r="J3675" s="17" t="n">
        <v>184</v>
      </c>
      <c r="K3675" s="17" t="n">
        <v>249.55</v>
      </c>
      <c r="L3675" s="17" t="n">
        <v>0</v>
      </c>
      <c r="M3675" s="17" t="n">
        <v>0</v>
      </c>
      <c r="N3675" s="17">
        <f>K3675*0.08+L3675*0.08</f>
        <v/>
      </c>
      <c r="O3675" s="17">
        <f>-(K3675*0.025+L3675*0.025)</f>
        <v/>
      </c>
      <c r="P3675" s="17">
        <f>32</f>
        <v/>
      </c>
      <c r="Q3675" s="17">
        <f>J3675+L3675+N3675+O3675-P3675-M3675</f>
        <v/>
      </c>
    </row>
    <row r="3676">
      <c r="A3676" s="16" t="inlineStr">
        <is>
          <t>5.29-6.4</t>
        </is>
      </c>
      <c r="B3676" s="16" t="inlineStr">
        <is>
          <t>PO-128-07714453525113587</t>
        </is>
      </c>
      <c r="C3676" s="16" t="inlineStr">
        <is>
          <t>Shipped</t>
        </is>
      </c>
      <c r="D3676" s="16" t="inlineStr">
        <is>
          <t>128-07714464010873587</t>
        </is>
      </c>
      <c r="E3676" s="16" t="inlineStr">
        <is>
          <t>Shipped</t>
        </is>
      </c>
      <c r="F3676" s="16" t="inlineStr">
        <is>
          <t>SA325T</t>
        </is>
      </c>
      <c r="G3676" s="16" t="inlineStr">
        <is>
          <t>Subwoofer Portátil Inalámbrico con Luces RGB, Sonido de Alta Potencia y Batería Duradera, TWS TF USB, Perfecto para Campamento Fiestas y Entretenimiento en Casa</t>
        </is>
      </c>
      <c r="H3676" s="16" t="inlineStr">
        <is>
          <t>NEGRO</t>
        </is>
      </c>
      <c r="I3676" s="16" t="n">
        <v>5</v>
      </c>
      <c r="J3676" s="17" t="n">
        <v>190</v>
      </c>
      <c r="K3676" s="17" t="n">
        <v>235.2</v>
      </c>
      <c r="L3676" s="17" t="n">
        <v>0</v>
      </c>
      <c r="M3676" s="17" t="n">
        <v>0</v>
      </c>
      <c r="N3676" s="17">
        <f>K3676*0.08+L3676*0.08</f>
        <v/>
      </c>
      <c r="O3676" s="17">
        <f>-(K3676*0.025+L3676*0.025)</f>
        <v/>
      </c>
      <c r="P3676" s="17">
        <f>32</f>
        <v/>
      </c>
      <c r="Q3676" s="17">
        <f>J3676+L3676+N3676+O3676-P3676-M3676</f>
        <v/>
      </c>
    </row>
    <row r="3677">
      <c r="A3677" s="16" t="inlineStr">
        <is>
          <t>5.29-6.4</t>
        </is>
      </c>
      <c r="B3677" s="16" t="inlineStr">
        <is>
          <t>PO-128-08033603359351682</t>
        </is>
      </c>
      <c r="C3677" s="16" t="inlineStr">
        <is>
          <t>Shipped</t>
        </is>
      </c>
      <c r="D3677" s="16" t="inlineStr">
        <is>
          <t>128-08033643336311682</t>
        </is>
      </c>
      <c r="E3677" s="16" t="inlineStr">
        <is>
          <t>Shipped</t>
        </is>
      </c>
      <c r="F3677" s="16" t="inlineStr">
        <is>
          <t>LB02235-rojo</t>
        </is>
      </c>
      <c r="G3677" s="16" t="inlineStr">
        <is>
          <t>Audífonos Inalámbricos para la Cabeza, Recargables y Multifuncionales - Conectan a Varios Dispositivos, soportan Radio FM, Tarjeta TF y AUX - 4 Horas de Reproducción Musical - Ideal para Trabajo Cotidiano, Juegos y Estudio</t>
        </is>
      </c>
      <c r="H3677" s="16" t="inlineStr">
        <is>
          <t>ROJO</t>
        </is>
      </c>
      <c r="I3677" s="16" t="n">
        <v>1</v>
      </c>
      <c r="J3677" s="17" t="n">
        <v>37.71</v>
      </c>
      <c r="K3677" s="17" t="n">
        <v>43.2</v>
      </c>
      <c r="L3677" s="17" t="n">
        <v>25.86</v>
      </c>
      <c r="M3677" s="17" t="n">
        <v>0</v>
      </c>
      <c r="N3677" s="17">
        <f>K3677*0.08+L3677*0.08</f>
        <v/>
      </c>
      <c r="O3677" s="17">
        <f>-(K3677*0.025+L3677*0.025)</f>
        <v/>
      </c>
      <c r="P3677" s="17">
        <f>32</f>
        <v/>
      </c>
      <c r="Q3677" s="17">
        <f>J3677+L3677+N3677+O3677-P3677-M3677</f>
        <v/>
      </c>
    </row>
    <row r="3678">
      <c r="A3678" s="16" t="inlineStr">
        <is>
          <t>5.29-6.4</t>
        </is>
      </c>
      <c r="B3678" s="16" t="inlineStr">
        <is>
          <t>PO-128-07569281454713490</t>
        </is>
      </c>
      <c r="C3678" s="16" t="inlineStr">
        <is>
          <t>Shipped</t>
        </is>
      </c>
      <c r="D3678" s="16" t="inlineStr">
        <is>
          <t>128-07569260483193490</t>
        </is>
      </c>
      <c r="E3678" s="16" t="inlineStr">
        <is>
          <t>Shipped</t>
        </is>
      </c>
      <c r="F3678" s="16" t="inlineStr">
        <is>
          <t>SA325T</t>
        </is>
      </c>
      <c r="G3678" s="16" t="inlineStr">
        <is>
          <t>Subwoofer Portátil Inalámbrico con Luces RGB, Sonido de Alta Potencia y Batería Duradera, TWS TF USB, Perfecto para Campamento Fiestas y Entretenimiento en Casa</t>
        </is>
      </c>
      <c r="H3678" s="16" t="inlineStr">
        <is>
          <t>NEGRO</t>
        </is>
      </c>
      <c r="I3678" s="16" t="n">
        <v>1</v>
      </c>
      <c r="J3678" s="17" t="n">
        <v>38</v>
      </c>
      <c r="K3678" s="17" t="n">
        <v>42.33</v>
      </c>
      <c r="L3678" s="17" t="n">
        <v>25.86</v>
      </c>
      <c r="M3678" s="17" t="n">
        <v>0</v>
      </c>
      <c r="N3678" s="17">
        <f>K3678*0.08+L3678*0.08</f>
        <v/>
      </c>
      <c r="O3678" s="17">
        <f>-(K3678*0.025+L3678*0.025)</f>
        <v/>
      </c>
      <c r="P3678" s="17">
        <f>32</f>
        <v/>
      </c>
      <c r="Q3678" s="17">
        <f>J3678+L3678+N3678+O3678-P3678-M3678</f>
        <v/>
      </c>
    </row>
    <row r="3679">
      <c r="A3679" s="16" t="inlineStr">
        <is>
          <t>5.29-6.4</t>
        </is>
      </c>
      <c r="B3679" s="16" t="inlineStr">
        <is>
          <t>PO-128-08099850701430264</t>
        </is>
      </c>
      <c r="C3679" s="16" t="inlineStr">
        <is>
          <t>Shipped</t>
        </is>
      </c>
      <c r="D3679" s="16" t="inlineStr">
        <is>
          <t>128-08099808758390264</t>
        </is>
      </c>
      <c r="E3679" s="16" t="inlineStr">
        <is>
          <t>Shipped</t>
        </is>
      </c>
      <c r="F3679" s="16" t="inlineStr">
        <is>
          <t>FA028</t>
        </is>
      </c>
      <c r="G3679" s="16" t="inlineStr">
        <is>
          <t>Extractor de agua para garrafas de agua, compatible con carga USB, extractor de agua automático, práctico, con dos modos de toma de agua: manual y programado, ideal para dormitorios, salones, oficinas, uso al aire libre y otros escenarios.</t>
        </is>
      </c>
      <c r="H3679" s="16" t="inlineStr">
        <is>
          <t>FA028</t>
        </is>
      </c>
      <c r="I3679" s="16" t="n">
        <v>1</v>
      </c>
      <c r="J3679" s="17" t="n">
        <v>35</v>
      </c>
      <c r="K3679" s="17" t="n">
        <v>44.58</v>
      </c>
      <c r="L3679" s="17" t="n">
        <v>25.86</v>
      </c>
      <c r="M3679" s="17" t="n">
        <v>0</v>
      </c>
      <c r="N3679" s="17">
        <f>K3679*0.08+L3679*0.08</f>
        <v/>
      </c>
      <c r="O3679" s="17">
        <f>-(K3679*0.025+L3679*0.025)</f>
        <v/>
      </c>
      <c r="P3679" s="17">
        <f>32</f>
        <v/>
      </c>
      <c r="Q3679" s="17">
        <f>J3679+L3679+N3679+O3679-P3679-M3679</f>
        <v/>
      </c>
    </row>
    <row r="3680">
      <c r="A3680" s="16" t="inlineStr">
        <is>
          <t>5.29-6.4</t>
        </is>
      </c>
      <c r="B3680" s="16" t="inlineStr">
        <is>
          <t>PO-128-08014587351671796</t>
        </is>
      </c>
      <c r="C3680" s="16" t="inlineStr">
        <is>
          <t>Shipped</t>
        </is>
      </c>
      <c r="D3680" s="16" t="inlineStr">
        <is>
          <t>128-08014608323191796</t>
        </is>
      </c>
      <c r="E3680" s="16" t="inlineStr">
        <is>
          <t>Shipped</t>
        </is>
      </c>
      <c r="F3680" s="16" t="inlineStr">
        <is>
          <t>VA880T</t>
        </is>
      </c>
      <c r="G368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680" s="16" t="inlineStr">
        <is>
          <t>1 pieza</t>
        </is>
      </c>
      <c r="I3680" s="16" t="n">
        <v>1</v>
      </c>
      <c r="J3680" s="17" t="n">
        <v>114.98</v>
      </c>
      <c r="K3680" s="17" t="n">
        <v>161.3</v>
      </c>
      <c r="L3680" s="17" t="n">
        <v>25.86</v>
      </c>
      <c r="M3680" s="17" t="n">
        <v>0</v>
      </c>
      <c r="N3680" s="17">
        <f>K3680*0.08+L3680*0.08</f>
        <v/>
      </c>
      <c r="O3680" s="17">
        <f>-(K3680*0.025+L3680*0.025)</f>
        <v/>
      </c>
      <c r="P3680" s="17">
        <f>32</f>
        <v/>
      </c>
      <c r="Q3680" s="17">
        <f>J3680+L3680+N3680+O3680-P3680-M3680</f>
        <v/>
      </c>
    </row>
    <row r="3681">
      <c r="A3681" s="16" t="inlineStr">
        <is>
          <t>5.29-6.4</t>
        </is>
      </c>
      <c r="B3681" s="16" t="inlineStr">
        <is>
          <t>PO-128-08122202122870130</t>
        </is>
      </c>
      <c r="C3681" s="16" t="inlineStr">
        <is>
          <t>Shipped</t>
        </is>
      </c>
      <c r="D3681" s="16" t="inlineStr">
        <is>
          <t>128-08122233580150130</t>
        </is>
      </c>
      <c r="E3681" s="16" t="inlineStr">
        <is>
          <t>Shipped</t>
        </is>
      </c>
      <c r="F3681" s="16" t="inlineStr">
        <is>
          <t>LV64W25</t>
        </is>
      </c>
      <c r="G3681" s="16" t="inlineStr">
        <is>
          <t>Ventilador de Techo LED TIANLAI con 5 Aspas, Control Remoto, 3 Colores Luz, 3 Velocidades, Temporizador, Fácil Instalación, E27 para Baño Cocina Dormitorio Salón</t>
        </is>
      </c>
      <c r="H3681" s="16" t="inlineStr">
        <is>
          <t>LV64W25</t>
        </is>
      </c>
      <c r="I3681" s="16" t="n">
        <v>1</v>
      </c>
      <c r="J3681" s="17" t="n">
        <v>125</v>
      </c>
      <c r="K3681" s="17" t="n">
        <v>158.2</v>
      </c>
      <c r="L3681" s="17" t="n">
        <v>25.86</v>
      </c>
      <c r="M3681" s="17" t="n">
        <v>0</v>
      </c>
      <c r="N3681" s="17">
        <f>K3681*0.08+L3681*0.08</f>
        <v/>
      </c>
      <c r="O3681" s="17">
        <f>-(K3681*0.025+L3681*0.025)</f>
        <v/>
      </c>
      <c r="P3681" s="17">
        <f>32</f>
        <v/>
      </c>
      <c r="Q3681" s="17">
        <f>J3681+L3681+N3681+O3681-P3681-M3681</f>
        <v/>
      </c>
    </row>
    <row r="3682">
      <c r="A3682" s="16" t="inlineStr">
        <is>
          <t>5.29-6.4</t>
        </is>
      </c>
      <c r="B3682" s="16" t="inlineStr">
        <is>
          <t>PO-128-08049510175351780</t>
        </is>
      </c>
      <c r="C3682" s="16" t="inlineStr">
        <is>
          <t>Shipped</t>
        </is>
      </c>
      <c r="D3682" s="16" t="inlineStr">
        <is>
          <t>128-08049468232311780</t>
        </is>
      </c>
      <c r="E3682" s="16" t="inlineStr">
        <is>
          <t>Shipped</t>
        </is>
      </c>
      <c r="F3682" s="16" t="inlineStr">
        <is>
          <t>LB02235-negro</t>
        </is>
      </c>
      <c r="G3682" s="16" t="inlineStr">
        <is>
          <t>Audífonos Inalámbricos para la Cabeza, Recargables y Multifuncionales - Conectan a Varios Dispositivos, soportan Radio FM, Tarjeta TF y AUX - 4 Horas de Reproducción Musical - Ideal para Trabajo Cotidiano, Juegos y Estudio</t>
        </is>
      </c>
      <c r="H3682" s="16" t="inlineStr">
        <is>
          <t>NEGRO</t>
        </is>
      </c>
      <c r="I3682" s="16" t="n">
        <v>1</v>
      </c>
      <c r="J3682" s="17" t="n">
        <v>37.71</v>
      </c>
      <c r="K3682" s="17" t="n">
        <v>50.82</v>
      </c>
      <c r="L3682" s="17" t="n">
        <v>25.86</v>
      </c>
      <c r="M3682" s="17" t="n">
        <v>0</v>
      </c>
      <c r="N3682" s="17">
        <f>K3682*0.08+L3682*0.08</f>
        <v/>
      </c>
      <c r="O3682" s="17">
        <f>-(K3682*0.025+L3682*0.025)</f>
        <v/>
      </c>
      <c r="P3682" s="17">
        <f>32</f>
        <v/>
      </c>
      <c r="Q3682" s="17">
        <f>J3682+L3682+N3682+O3682-P3682-M3682</f>
        <v/>
      </c>
    </row>
    <row r="3683">
      <c r="A3683" s="16" t="inlineStr">
        <is>
          <t>5.29-6.4</t>
        </is>
      </c>
      <c r="B3683" s="16" t="inlineStr">
        <is>
          <t>PO-128-07620848435833313</t>
        </is>
      </c>
      <c r="C3683" s="16" t="inlineStr">
        <is>
          <t>Shipped</t>
        </is>
      </c>
      <c r="D3683" s="16" t="inlineStr">
        <is>
          <t>128-07620806492793313</t>
        </is>
      </c>
      <c r="E3683" s="16" t="inlineStr">
        <is>
          <t>Shipped</t>
        </is>
      </c>
      <c r="F3683" s="16" t="inlineStr">
        <is>
          <t>VB347T</t>
        </is>
      </c>
      <c r="G368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83" s="16" t="inlineStr">
        <is>
          <t>1 pieza</t>
        </is>
      </c>
      <c r="I3683" s="16" t="n">
        <v>1</v>
      </c>
      <c r="J3683" s="17" t="n">
        <v>79.90000000000001</v>
      </c>
      <c r="K3683" s="17" t="n">
        <v>94.5</v>
      </c>
      <c r="L3683" s="17" t="n">
        <v>25.86</v>
      </c>
      <c r="M3683" s="17" t="n">
        <v>0</v>
      </c>
      <c r="N3683" s="17">
        <f>K3683*0.08+L3683*0.08</f>
        <v/>
      </c>
      <c r="O3683" s="17">
        <f>-(K3683*0.025+L3683*0.025)</f>
        <v/>
      </c>
      <c r="P3683" s="17">
        <f>32</f>
        <v/>
      </c>
      <c r="Q3683" s="17">
        <f>J3683+L3683+N3683+O3683-P3683-M3683</f>
        <v/>
      </c>
    </row>
    <row r="3684">
      <c r="A3684" s="16" t="inlineStr">
        <is>
          <t>5.29-6.4</t>
        </is>
      </c>
      <c r="B3684" s="16" t="inlineStr">
        <is>
          <t>PO-128-07975733699191069</t>
        </is>
      </c>
      <c r="C3684" s="16" t="inlineStr">
        <is>
          <t>Shipped</t>
        </is>
      </c>
      <c r="D3684" s="16" t="inlineStr">
        <is>
          <t>128-07975744184951069</t>
        </is>
      </c>
      <c r="E3684" s="16" t="inlineStr">
        <is>
          <t>Shipped</t>
        </is>
      </c>
      <c r="F3684" s="16" t="inlineStr">
        <is>
          <t>SA325T</t>
        </is>
      </c>
      <c r="G3684" s="16" t="inlineStr">
        <is>
          <t>Subwoofer Portátil Inalámbrico con Luces RGB, Sonido de Alta Potencia y Batería Duradera, TWS TF USB, Perfecto para Campamento Fiestas y Entretenimiento en Casa</t>
        </is>
      </c>
      <c r="H3684" s="16" t="inlineStr">
        <is>
          <t>NEGRO</t>
        </is>
      </c>
      <c r="I3684" s="16" t="n">
        <v>4</v>
      </c>
      <c r="J3684" s="17" t="n">
        <v>152</v>
      </c>
      <c r="K3684" s="17" t="n">
        <v>188.16</v>
      </c>
      <c r="L3684" s="17" t="n">
        <v>25.88</v>
      </c>
      <c r="M3684" s="17" t="n">
        <v>0</v>
      </c>
      <c r="N3684" s="17">
        <f>K3684*0.08+L3684*0.08</f>
        <v/>
      </c>
      <c r="O3684" s="17">
        <f>-(K3684*0.025+L3684*0.025)</f>
        <v/>
      </c>
      <c r="P3684" s="17">
        <f>32</f>
        <v/>
      </c>
      <c r="Q3684" s="17">
        <f>J3684+L3684+N3684+O3684-P3684-M3684</f>
        <v/>
      </c>
    </row>
    <row r="3685">
      <c r="A3685" s="16" t="inlineStr">
        <is>
          <t>5.29-6.4</t>
        </is>
      </c>
      <c r="B3685" s="16" t="inlineStr">
        <is>
          <t>PO-128-07969201070711042</t>
        </is>
      </c>
      <c r="C3685" s="16" t="inlineStr">
        <is>
          <t>Shipped</t>
        </is>
      </c>
      <c r="D3685" s="16" t="inlineStr">
        <is>
          <t>128-07969218110071042</t>
        </is>
      </c>
      <c r="E3685" s="16" t="inlineStr">
        <is>
          <t>Shipped</t>
        </is>
      </c>
      <c r="F3685" s="16" t="inlineStr">
        <is>
          <t>MB-185A</t>
        </is>
      </c>
      <c r="G3685" s="16" t="inlineStr">
        <is>
          <t>Bocina Radio FM/Reproductor, Compatible con Tarjeta TF, USB, Bluetooth, Aplicable para celular, computadora, Ipad y consola.</t>
        </is>
      </c>
      <c r="H3685" s="16" t="inlineStr">
        <is>
          <t>AZUL/MB-185</t>
        </is>
      </c>
      <c r="I3685" s="16" t="n">
        <v>1</v>
      </c>
      <c r="J3685" s="17" t="n">
        <v>73</v>
      </c>
      <c r="K3685" s="17" t="n">
        <v>85.94</v>
      </c>
      <c r="L3685" s="17" t="n">
        <v>25.86</v>
      </c>
      <c r="M3685" s="17" t="n">
        <v>0</v>
      </c>
      <c r="N3685" s="17">
        <f>K3685*0.08+L3685*0.08</f>
        <v/>
      </c>
      <c r="O3685" s="17">
        <f>-(K3685*0.025+L3685*0.025)</f>
        <v/>
      </c>
      <c r="P3685" s="17">
        <f>32</f>
        <v/>
      </c>
      <c r="Q3685" s="17">
        <f>J3685+L3685+N3685+O3685-P3685-M3685</f>
        <v/>
      </c>
    </row>
    <row r="3686">
      <c r="A3686" s="16" t="inlineStr">
        <is>
          <t>5.29-6.4</t>
        </is>
      </c>
      <c r="B3686" s="16" t="inlineStr">
        <is>
          <t>PO-128-08208562094710640</t>
        </is>
      </c>
      <c r="C3686" s="16" t="inlineStr">
        <is>
          <t>Shipped</t>
        </is>
      </c>
      <c r="D3686" s="16" t="inlineStr">
        <is>
          <t>128-08208520151670640</t>
        </is>
      </c>
      <c r="E3686" s="16" t="inlineStr">
        <is>
          <t>Shipped</t>
        </is>
      </c>
      <c r="F3686" s="16" t="inlineStr">
        <is>
          <t>LB02235-negro</t>
        </is>
      </c>
      <c r="G3686" s="16" t="inlineStr">
        <is>
          <t>Audífonos Inalámbricos para la Cabeza, Recargables y Multifuncionales - Conectan a Varios Dispositivos, soportan Radio FM, Tarjeta TF y AUX - 4 Horas de Reproducción Musical - Ideal para Trabajo Cotidiano, Juegos y Estudio</t>
        </is>
      </c>
      <c r="H3686" s="16" t="inlineStr">
        <is>
          <t>NEGRO</t>
        </is>
      </c>
      <c r="I3686" s="16" t="n">
        <v>1</v>
      </c>
      <c r="J3686" s="17" t="n">
        <v>37.71</v>
      </c>
      <c r="K3686" s="17" t="n">
        <v>50.82</v>
      </c>
      <c r="L3686" s="17" t="n">
        <v>25.86</v>
      </c>
      <c r="M3686" s="17" t="n">
        <v>0</v>
      </c>
      <c r="N3686" s="17">
        <f>K3686*0.08+L3686*0.08</f>
        <v/>
      </c>
      <c r="O3686" s="17">
        <f>-(K3686*0.025+L3686*0.025)</f>
        <v/>
      </c>
      <c r="P3686" s="17">
        <f>32</f>
        <v/>
      </c>
      <c r="Q3686" s="17">
        <f>J3686+L3686+N3686+O3686-P3686-M3686</f>
        <v/>
      </c>
    </row>
    <row r="3687">
      <c r="A3687" s="16" t="inlineStr">
        <is>
          <t>5.29-6.4</t>
        </is>
      </c>
      <c r="B3687" s="16" t="inlineStr">
        <is>
          <t>PO-128-13510307902071809</t>
        </is>
      </c>
      <c r="C3687" s="16" t="inlineStr">
        <is>
          <t>Shipped</t>
        </is>
      </c>
      <c r="D3687" s="16" t="inlineStr">
        <is>
          <t>128-13510339359351809</t>
        </is>
      </c>
      <c r="E3687" s="16" t="inlineStr">
        <is>
          <t>Shipped</t>
        </is>
      </c>
      <c r="F3687" s="16" t="inlineStr">
        <is>
          <t>EM04W36</t>
        </is>
      </c>
      <c r="G368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687" s="16" t="inlineStr">
        <is>
          <t>1 pieza</t>
        </is>
      </c>
      <c r="I3687" s="16" t="n">
        <v>1</v>
      </c>
      <c r="J3687" s="17" t="n">
        <v>85</v>
      </c>
      <c r="K3687" s="17" t="n">
        <v>94.29000000000001</v>
      </c>
      <c r="L3687" s="17" t="n">
        <v>25.86</v>
      </c>
      <c r="M3687" s="17" t="n">
        <v>0</v>
      </c>
      <c r="N3687" s="17">
        <f>K3687*0.08+L3687*0.08</f>
        <v/>
      </c>
      <c r="O3687" s="17">
        <f>-(K3687*0.025+L3687*0.025)</f>
        <v/>
      </c>
      <c r="P3687" s="17">
        <f>32</f>
        <v/>
      </c>
      <c r="Q3687" s="17">
        <f>J3687+L3687+N3687+O3687-P3687-M3687</f>
        <v/>
      </c>
    </row>
    <row r="3688">
      <c r="A3688" s="16" t="inlineStr">
        <is>
          <t>5.29-6.4</t>
        </is>
      </c>
      <c r="B3688" s="16" t="inlineStr">
        <is>
          <t>PO-128-13212349911673585</t>
        </is>
      </c>
      <c r="C3688" s="16" t="inlineStr">
        <is>
          <t>Shipped</t>
        </is>
      </c>
      <c r="D3688" s="16" t="inlineStr">
        <is>
          <t>128-13212370883193585</t>
        </is>
      </c>
      <c r="E3688" s="16" t="inlineStr">
        <is>
          <t>Shipped</t>
        </is>
      </c>
      <c r="F3688" s="16" t="inlineStr">
        <is>
          <t>LV34W04</t>
        </is>
      </c>
      <c r="G3688"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688" s="16" t="inlineStr">
        <is>
          <t>LV34W04</t>
        </is>
      </c>
      <c r="I3688" s="16" t="n">
        <v>1</v>
      </c>
      <c r="J3688" s="17" t="n">
        <v>230.3</v>
      </c>
      <c r="K3688" s="17" t="n">
        <v>257.65</v>
      </c>
      <c r="L3688" s="17" t="n">
        <v>25.86</v>
      </c>
      <c r="M3688" s="17" t="n">
        <v>0</v>
      </c>
      <c r="N3688" s="17">
        <f>K3688*0.08+L3688*0.08</f>
        <v/>
      </c>
      <c r="O3688" s="17">
        <f>-(K3688*0.025+L3688*0.025)</f>
        <v/>
      </c>
      <c r="P3688" s="17">
        <f>32</f>
        <v/>
      </c>
      <c r="Q3688" s="17">
        <f>J3688+L3688+N3688+O3688-P3688-M3688</f>
        <v/>
      </c>
    </row>
    <row r="3689">
      <c r="A3689" s="16" t="inlineStr">
        <is>
          <t>5.29-6.4</t>
        </is>
      </c>
      <c r="B3689" s="16" t="inlineStr">
        <is>
          <t>PO-128-13344792986232859</t>
        </is>
      </c>
      <c r="C3689" s="16" t="inlineStr">
        <is>
          <t>Shipped</t>
        </is>
      </c>
      <c r="D3689" s="16" t="inlineStr">
        <is>
          <t>128-13344897843832859</t>
        </is>
      </c>
      <c r="E3689" s="16" t="inlineStr">
        <is>
          <t>Shipped</t>
        </is>
      </c>
      <c r="F3689" s="16" t="inlineStr">
        <is>
          <t>HD005</t>
        </is>
      </c>
      <c r="G3689" s="16" t="inlineStr">
        <is>
          <t>Link bits HD005 Antena UHF para Exteriores, Antena de TV Digital HD con 10 Metros de Cable, Recepción 470-862MHz, 9-7dB de Ganancia, Antena para Canales Abiertos y HD, Resistente al Agua y Viento, Fácil Instalación</t>
        </is>
      </c>
      <c r="H3689" s="16" t="inlineStr">
        <is>
          <t>1</t>
        </is>
      </c>
      <c r="I3689" s="16" t="n">
        <v>1</v>
      </c>
      <c r="J3689" s="17" t="n">
        <v>75</v>
      </c>
      <c r="K3689" s="17" t="n">
        <v>92.66</v>
      </c>
      <c r="L3689" s="17" t="n">
        <v>25.86</v>
      </c>
      <c r="M3689" s="17" t="n">
        <v>0</v>
      </c>
      <c r="N3689" s="17">
        <f>K3689*0.08+L3689*0.08</f>
        <v/>
      </c>
      <c r="O3689" s="17">
        <f>-(K3689*0.025+L3689*0.025)</f>
        <v/>
      </c>
      <c r="P3689" s="17">
        <f>32</f>
        <v/>
      </c>
      <c r="Q3689" s="17">
        <f>J3689+L3689+N3689+O3689-P3689-M3689</f>
        <v/>
      </c>
    </row>
    <row r="3690">
      <c r="A3690" s="16" t="inlineStr">
        <is>
          <t>5.29-6.4</t>
        </is>
      </c>
      <c r="B3690" s="16" t="inlineStr">
        <is>
          <t>PO-128-13303176356472083</t>
        </is>
      </c>
      <c r="C3690" s="16" t="inlineStr">
        <is>
          <t>Shipped</t>
        </is>
      </c>
      <c r="D3690" s="16" t="inlineStr">
        <is>
          <t>128-13303312671352083</t>
        </is>
      </c>
      <c r="E3690" s="16" t="inlineStr">
        <is>
          <t>Shipped</t>
        </is>
      </c>
      <c r="F3690" s="16" t="inlineStr">
        <is>
          <t>EM04W36</t>
        </is>
      </c>
      <c r="G3690"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690" s="16" t="inlineStr">
        <is>
          <t>1 pieza</t>
        </is>
      </c>
      <c r="I3690" s="16" t="n">
        <v>2</v>
      </c>
      <c r="J3690" s="17" t="n">
        <v>170</v>
      </c>
      <c r="K3690" s="17" t="n">
        <v>188.58</v>
      </c>
      <c r="L3690" s="17" t="n">
        <v>0</v>
      </c>
      <c r="M3690" s="17" t="n">
        <v>0</v>
      </c>
      <c r="N3690" s="17">
        <f>K3690*0.08+L3690*0.08</f>
        <v/>
      </c>
      <c r="O3690" s="17">
        <f>-(K3690*0.025+L3690*0.025)</f>
        <v/>
      </c>
      <c r="P3690" s="17">
        <f>32</f>
        <v/>
      </c>
      <c r="Q3690" s="17">
        <f>J3690+L3690+N3690+O3690-P3690-M3690</f>
        <v/>
      </c>
    </row>
    <row r="3691">
      <c r="A3691" s="16" t="inlineStr">
        <is>
          <t>5.29-6.4</t>
        </is>
      </c>
      <c r="B3691" s="16" t="inlineStr">
        <is>
          <t>PO-128-13303176356472083</t>
        </is>
      </c>
      <c r="C3691" s="16" t="inlineStr">
        <is>
          <t>Shipped</t>
        </is>
      </c>
      <c r="D3691" s="16" t="inlineStr">
        <is>
          <t>128-13303270728312083</t>
        </is>
      </c>
      <c r="E3691" s="16" t="inlineStr">
        <is>
          <t>Shipped</t>
        </is>
      </c>
      <c r="F3691" s="16" t="inlineStr">
        <is>
          <t>EM04W36-2PZS</t>
        </is>
      </c>
      <c r="G369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691" s="16" t="inlineStr">
        <is>
          <t>2 piezas</t>
        </is>
      </c>
      <c r="I3691" s="16" t="n">
        <v>1</v>
      </c>
      <c r="J3691" s="17" t="n">
        <v>170</v>
      </c>
      <c r="K3691" s="17" t="n">
        <v>187.55</v>
      </c>
      <c r="L3691" s="17" t="n">
        <v>0</v>
      </c>
      <c r="M3691" s="17" t="n">
        <v>0</v>
      </c>
      <c r="N3691" s="17">
        <f>K3691*0.08+L3691*0.08</f>
        <v/>
      </c>
      <c r="O3691" s="17">
        <f>-(K3691*0.025+L3691*0.025)</f>
        <v/>
      </c>
      <c r="P3691" s="17">
        <f>32</f>
        <v/>
      </c>
      <c r="Q3691" s="17">
        <f>J3691+L3691+N3691+O3691-P3691-M3691</f>
        <v/>
      </c>
    </row>
    <row r="3692">
      <c r="A3692" s="16" t="inlineStr">
        <is>
          <t>5.29-6.4</t>
        </is>
      </c>
      <c r="B3692" s="16" t="inlineStr">
        <is>
          <t>PO-128-13350027899512890</t>
        </is>
      </c>
      <c r="C3692" s="16" t="inlineStr">
        <is>
          <t>Shipped</t>
        </is>
      </c>
      <c r="D3692" s="16" t="inlineStr">
        <is>
          <t>128-13350069842552890</t>
        </is>
      </c>
      <c r="E3692" s="16" t="inlineStr">
        <is>
          <t>Shipped</t>
        </is>
      </c>
      <c r="F3692" s="16" t="inlineStr">
        <is>
          <t>SA325T</t>
        </is>
      </c>
      <c r="G3692" s="16" t="inlineStr">
        <is>
          <t>Subwoofer Portátil Inalámbrico con Luces RGB, Sonido de Alta Potencia y Batería Duradera, TWS TF USB, Perfecto para Campamento Fiestas y Entretenimiento en Casa</t>
        </is>
      </c>
      <c r="H3692" s="16" t="inlineStr">
        <is>
          <t>NEGRO</t>
        </is>
      </c>
      <c r="I3692" s="16" t="n">
        <v>1</v>
      </c>
      <c r="J3692" s="17" t="n">
        <v>38</v>
      </c>
      <c r="K3692" s="17" t="n">
        <v>37.63</v>
      </c>
      <c r="L3692" s="17" t="n">
        <v>25.86</v>
      </c>
      <c r="M3692" s="17" t="n">
        <v>0</v>
      </c>
      <c r="N3692" s="17">
        <f>K3692*0.08+L3692*0.08</f>
        <v/>
      </c>
      <c r="O3692" s="17">
        <f>-(K3692*0.025+L3692*0.025)</f>
        <v/>
      </c>
      <c r="P3692" s="17">
        <f>32</f>
        <v/>
      </c>
      <c r="Q3692" s="17">
        <f>J3692+L3692+N3692+O3692-P3692-M3692</f>
        <v/>
      </c>
    </row>
    <row r="3693">
      <c r="A3693" s="16" t="inlineStr">
        <is>
          <t>5.29-6.4</t>
        </is>
      </c>
      <c r="B3693" s="16" t="inlineStr">
        <is>
          <t>PO-128-13608834949750324</t>
        </is>
      </c>
      <c r="C3693" s="16" t="inlineStr">
        <is>
          <t>Shipped</t>
        </is>
      </c>
      <c r="D3693" s="16" t="inlineStr">
        <is>
          <t>128-13608793006710324</t>
        </is>
      </c>
      <c r="E3693" s="16" t="inlineStr">
        <is>
          <t>Shipped</t>
        </is>
      </c>
      <c r="F3693" s="16" t="inlineStr">
        <is>
          <t>LV34W04</t>
        </is>
      </c>
      <c r="G3693"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693" s="16" t="inlineStr">
        <is>
          <t>LV34W04</t>
        </is>
      </c>
      <c r="I3693" s="16" t="n">
        <v>3</v>
      </c>
      <c r="J3693" s="17" t="n">
        <v>690.9</v>
      </c>
      <c r="K3693" s="17" t="n">
        <v>772.95</v>
      </c>
      <c r="L3693" s="17" t="n">
        <v>0</v>
      </c>
      <c r="M3693" s="17" t="n">
        <v>0</v>
      </c>
      <c r="N3693" s="17">
        <f>K3693*0.08+L3693*0.08</f>
        <v/>
      </c>
      <c r="O3693" s="17">
        <f>-(K3693*0.025+L3693*0.025)</f>
        <v/>
      </c>
      <c r="P3693" s="17">
        <f>32</f>
        <v/>
      </c>
      <c r="Q3693" s="17">
        <f>J3693+L3693+N3693+O3693-P3693-M3693</f>
        <v/>
      </c>
    </row>
    <row r="3694">
      <c r="A3694" s="16" t="inlineStr">
        <is>
          <t>5.29-6.4</t>
        </is>
      </c>
      <c r="B3694" s="16" t="inlineStr">
        <is>
          <t>PO-128-13704808254070649</t>
        </is>
      </c>
      <c r="C3694" s="16" t="inlineStr">
        <is>
          <t>Shipped</t>
        </is>
      </c>
      <c r="D3694" s="16" t="inlineStr">
        <is>
          <t>128-13704968161910649</t>
        </is>
      </c>
      <c r="E3694" s="16" t="inlineStr">
        <is>
          <t>Shipped</t>
        </is>
      </c>
      <c r="F3694" s="16" t="inlineStr">
        <is>
          <t>SA325T</t>
        </is>
      </c>
      <c r="G3694" s="16" t="inlineStr">
        <is>
          <t>Subwoofer Portátil Inalámbrico con Luces RGB, Sonido de Alta Potencia y Batería Duradera, TWS TF USB, Perfecto para Campamento Fiestas y Entretenimiento en Casa</t>
        </is>
      </c>
      <c r="H3694" s="16" t="inlineStr">
        <is>
          <t>NEGRO</t>
        </is>
      </c>
      <c r="I3694" s="16" t="n">
        <v>5</v>
      </c>
      <c r="J3694" s="17" t="n">
        <v>190</v>
      </c>
      <c r="K3694" s="17" t="n">
        <v>235.2</v>
      </c>
      <c r="L3694" s="17" t="n">
        <v>25.85</v>
      </c>
      <c r="M3694" s="17" t="n">
        <v>0</v>
      </c>
      <c r="N3694" s="17">
        <f>K3694*0.08+L3694*0.08</f>
        <v/>
      </c>
      <c r="O3694" s="17">
        <f>-(K3694*0.025+L3694*0.025)</f>
        <v/>
      </c>
      <c r="P3694" s="17">
        <f>32</f>
        <v/>
      </c>
      <c r="Q3694" s="17">
        <f>J3694+L3694+N3694+O3694-P3694-M3694</f>
        <v/>
      </c>
    </row>
    <row r="3695">
      <c r="A3695" s="16" t="inlineStr">
        <is>
          <t>5.29-6.4</t>
        </is>
      </c>
      <c r="B3695" s="16" t="inlineStr">
        <is>
          <t>PO-128-13403992924791416</t>
        </is>
      </c>
      <c r="C3695" s="16" t="inlineStr">
        <is>
          <t>Shipped</t>
        </is>
      </c>
      <c r="D3695" s="16" t="inlineStr">
        <is>
          <t>128-13404152832631416</t>
        </is>
      </c>
      <c r="E3695" s="16" t="inlineStr">
        <is>
          <t>Shipped</t>
        </is>
      </c>
      <c r="F3695" s="16" t="inlineStr">
        <is>
          <t>LB02235-negro</t>
        </is>
      </c>
      <c r="G3695" s="16" t="inlineStr">
        <is>
          <t>Audífonos Inalámbricos para la Cabeza, Recargables y Multifuncionales - Conectan a Varios Dispositivos, soportan Radio FM, Tarjeta TF y AUX - 4 Horas de Reproducción Musical - Ideal para Trabajo Cotidiano, Juegos y Estudio</t>
        </is>
      </c>
      <c r="H3695" s="16" t="inlineStr">
        <is>
          <t>NEGRO</t>
        </is>
      </c>
      <c r="I3695" s="16" t="n">
        <v>1</v>
      </c>
      <c r="J3695" s="17" t="n">
        <v>37.71</v>
      </c>
      <c r="K3695" s="17" t="n">
        <v>50.82</v>
      </c>
      <c r="L3695" s="17" t="n">
        <v>25.86</v>
      </c>
      <c r="M3695" s="17" t="n">
        <v>0</v>
      </c>
      <c r="N3695" s="17">
        <f>K3695*0.08+L3695*0.08</f>
        <v/>
      </c>
      <c r="O3695" s="17">
        <f>-(K3695*0.025+L3695*0.025)</f>
        <v/>
      </c>
      <c r="P3695" s="17">
        <f>32</f>
        <v/>
      </c>
      <c r="Q3695" s="17">
        <f>J3695+L3695+N3695+O3695-P3695-M3695</f>
        <v/>
      </c>
    </row>
    <row r="3696">
      <c r="A3696" s="16" t="inlineStr">
        <is>
          <t>5.29-6.4</t>
        </is>
      </c>
      <c r="B3696" s="16" t="inlineStr">
        <is>
          <t>PO-128-13589225124470504</t>
        </is>
      </c>
      <c r="C3696" s="16" t="inlineStr">
        <is>
          <t>Shipped</t>
        </is>
      </c>
      <c r="D3696" s="16" t="inlineStr">
        <is>
          <t>128-13589361439350504</t>
        </is>
      </c>
      <c r="E3696" s="16" t="inlineStr">
        <is>
          <t>Shipped</t>
        </is>
      </c>
      <c r="F3696" s="16" t="inlineStr">
        <is>
          <t>MB-178-B</t>
        </is>
      </c>
      <c r="G3696" s="16" t="inlineStr">
        <is>
          <t>Bocina de Barra Bluetooth LINK BITS con dos altavoces, sonido de alta calidad y multifuncional (Bluetooth, Radio FM, USB, TF, AUX, TWS), ideal para juegos, reuniones, oficina y cine en casa.</t>
        </is>
      </c>
      <c r="H3696" s="16" t="inlineStr">
        <is>
          <t>BLANCO</t>
        </is>
      </c>
      <c r="I3696" s="16" t="n">
        <v>1</v>
      </c>
      <c r="J3696" s="17" t="n">
        <v>129</v>
      </c>
      <c r="K3696" s="17" t="n">
        <v>148.34</v>
      </c>
      <c r="L3696" s="17" t="n">
        <v>25.86</v>
      </c>
      <c r="M3696" s="17" t="n">
        <v>0</v>
      </c>
      <c r="N3696" s="17">
        <f>K3696*0.08+L3696*0.08</f>
        <v/>
      </c>
      <c r="O3696" s="17">
        <f>-(K3696*0.025+L3696*0.025)</f>
        <v/>
      </c>
      <c r="P3696" s="17">
        <f>32</f>
        <v/>
      </c>
      <c r="Q3696" s="17">
        <f>J3696+L3696+N3696+O3696-P3696-M3696</f>
        <v/>
      </c>
    </row>
    <row r="3697">
      <c r="A3697" s="16" t="inlineStr">
        <is>
          <t>5.29-6.4</t>
        </is>
      </c>
      <c r="B3697" s="16" t="inlineStr">
        <is>
          <t>PO-128-13300997028472094</t>
        </is>
      </c>
      <c r="C3697" s="16" t="inlineStr">
        <is>
          <t>Shipped</t>
        </is>
      </c>
      <c r="D3697" s="16" t="inlineStr">
        <is>
          <t>128-13301007514232094</t>
        </is>
      </c>
      <c r="E3697" s="16" t="inlineStr">
        <is>
          <t>Shipped</t>
        </is>
      </c>
      <c r="F3697" s="16" t="inlineStr">
        <is>
          <t>VB347T</t>
        </is>
      </c>
      <c r="G369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697" s="16" t="inlineStr">
        <is>
          <t>1 pieza</t>
        </is>
      </c>
      <c r="I3697" s="16" t="n">
        <v>3</v>
      </c>
      <c r="J3697" s="17" t="n">
        <v>239.7</v>
      </c>
      <c r="K3697" s="17" t="n">
        <v>283.5</v>
      </c>
      <c r="L3697" s="17" t="n">
        <v>0</v>
      </c>
      <c r="M3697" s="17" t="n">
        <v>0</v>
      </c>
      <c r="N3697" s="17">
        <f>K3697*0.08+L3697*0.08</f>
        <v/>
      </c>
      <c r="O3697" s="17">
        <f>-(K3697*0.025+L3697*0.025)</f>
        <v/>
      </c>
      <c r="P3697" s="17">
        <f>32</f>
        <v/>
      </c>
      <c r="Q3697" s="17">
        <f>J3697+L3697+N3697+O3697-P3697-M3697</f>
        <v/>
      </c>
    </row>
    <row r="3698">
      <c r="A3698" s="16" t="inlineStr">
        <is>
          <t>5.29-6.4</t>
        </is>
      </c>
      <c r="B3698" s="16" t="inlineStr">
        <is>
          <t>PO-128-13741157233270625</t>
        </is>
      </c>
      <c r="C3698" s="16" t="inlineStr">
        <is>
          <t>Shipped</t>
        </is>
      </c>
      <c r="D3698" s="16" t="inlineStr">
        <is>
          <t>128-13741178204790625</t>
        </is>
      </c>
      <c r="E3698" s="16" t="inlineStr">
        <is>
          <t>Shipped</t>
        </is>
      </c>
      <c r="F3698" s="16" t="inlineStr">
        <is>
          <t>VA880T</t>
        </is>
      </c>
      <c r="G369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698" s="16" t="inlineStr">
        <is>
          <t>1 pieza</t>
        </is>
      </c>
      <c r="I3698" s="16" t="n">
        <v>3</v>
      </c>
      <c r="J3698" s="17" t="n">
        <v>344.94</v>
      </c>
      <c r="K3698" s="17" t="n">
        <v>381.81</v>
      </c>
      <c r="L3698" s="17" t="n">
        <v>0</v>
      </c>
      <c r="M3698" s="17" t="n">
        <v>0</v>
      </c>
      <c r="N3698" s="17">
        <f>K3698*0.08+L3698*0.08</f>
        <v/>
      </c>
      <c r="O3698" s="17">
        <f>-(K3698*0.025+L3698*0.025)</f>
        <v/>
      </c>
      <c r="P3698" s="17">
        <f>32</f>
        <v/>
      </c>
      <c r="Q3698" s="17">
        <f>J3698+L3698+N3698+O3698-P3698-M3698</f>
        <v/>
      </c>
    </row>
    <row r="3699">
      <c r="A3699" s="16" t="inlineStr">
        <is>
          <t>5.29-6.4</t>
        </is>
      </c>
      <c r="B3699" s="16" t="inlineStr">
        <is>
          <t>PO-128-13090475817593415</t>
        </is>
      </c>
      <c r="C3699" s="16" t="inlineStr">
        <is>
          <t>Shipped</t>
        </is>
      </c>
      <c r="D3699" s="16" t="inlineStr">
        <is>
          <t>128-13090486303353415</t>
        </is>
      </c>
      <c r="E3699" s="16" t="inlineStr">
        <is>
          <t>Shipped</t>
        </is>
      </c>
      <c r="F3699" s="16" t="inlineStr">
        <is>
          <t>LB02235-negro</t>
        </is>
      </c>
      <c r="G3699" s="16" t="inlineStr">
        <is>
          <t>Audífonos Inalámbricos para la Cabeza, Recargables y Multifuncionales - Conectan a Varios Dispositivos, soportan Radio FM, Tarjeta TF y AUX - 4 Horas de Reproducción Musical - Ideal para Trabajo Cotidiano, Juegos y Estudio</t>
        </is>
      </c>
      <c r="H3699" s="16" t="inlineStr">
        <is>
          <t>NEGRO</t>
        </is>
      </c>
      <c r="I3699" s="16" t="n">
        <v>1</v>
      </c>
      <c r="J3699" s="17" t="n">
        <v>37.71</v>
      </c>
      <c r="K3699" s="17" t="n">
        <v>50.82</v>
      </c>
      <c r="L3699" s="17" t="n">
        <v>25.86</v>
      </c>
      <c r="M3699" s="17" t="n">
        <v>0</v>
      </c>
      <c r="N3699" s="17">
        <f>K3699*0.08+L3699*0.08</f>
        <v/>
      </c>
      <c r="O3699" s="17">
        <f>-(K3699*0.025+L3699*0.025)</f>
        <v/>
      </c>
      <c r="P3699" s="17">
        <f>32</f>
        <v/>
      </c>
      <c r="Q3699" s="17">
        <f>J3699+L3699+N3699+O3699-P3699-M3699</f>
        <v/>
      </c>
    </row>
    <row r="3700">
      <c r="A3700" s="16" t="inlineStr">
        <is>
          <t>5.29-6.4</t>
        </is>
      </c>
      <c r="B3700" s="16" t="inlineStr">
        <is>
          <t>PO-128-13400121037432656</t>
        </is>
      </c>
      <c r="C3700" s="16" t="inlineStr">
        <is>
          <t>Shipped</t>
        </is>
      </c>
      <c r="D3700" s="16" t="inlineStr">
        <is>
          <t>128-13400127591032656</t>
        </is>
      </c>
      <c r="E3700" s="16" t="inlineStr">
        <is>
          <t>Shipped</t>
        </is>
      </c>
      <c r="F3700" s="16" t="inlineStr">
        <is>
          <t>MB-178-N</t>
        </is>
      </c>
      <c r="G3700" s="16" t="inlineStr">
        <is>
          <t>Bocina de Barra Bluetooth LINK BITS con dos altavoces, sonido de alta calidad y multifuncional (Bluetooth, Radio FM, USB, TF, AUX, TWS), ideal para juegos, reuniones, oficina y cine en casa.</t>
        </is>
      </c>
      <c r="H3700" s="16" t="inlineStr">
        <is>
          <t>NEGRO</t>
        </is>
      </c>
      <c r="I3700" s="16" t="n">
        <v>1</v>
      </c>
      <c r="J3700" s="17" t="n">
        <v>135</v>
      </c>
      <c r="K3700" s="17" t="n">
        <v>154.34</v>
      </c>
      <c r="L3700" s="17" t="n">
        <v>25.86</v>
      </c>
      <c r="M3700" s="17" t="n">
        <v>0</v>
      </c>
      <c r="N3700" s="17">
        <f>K3700*0.08+L3700*0.08</f>
        <v/>
      </c>
      <c r="O3700" s="17">
        <f>-(K3700*0.025+L3700*0.025)</f>
        <v/>
      </c>
      <c r="P3700" s="17">
        <f>32</f>
        <v/>
      </c>
      <c r="Q3700" s="17">
        <f>J3700+L3700+N3700+O3700-P3700-M3700</f>
        <v/>
      </c>
    </row>
    <row r="3701">
      <c r="A3701" s="16" t="inlineStr">
        <is>
          <t>5.29-6.4</t>
        </is>
      </c>
      <c r="B3701" s="16" t="inlineStr">
        <is>
          <t>PO-128-13324083256952983</t>
        </is>
      </c>
      <c r="C3701" s="16" t="inlineStr">
        <is>
          <t>Shipped</t>
        </is>
      </c>
      <c r="D3701" s="16" t="inlineStr">
        <is>
          <t>128-13324104228472983</t>
        </is>
      </c>
      <c r="E3701" s="16" t="inlineStr">
        <is>
          <t>Shipped</t>
        </is>
      </c>
      <c r="F3701" s="16" t="inlineStr">
        <is>
          <t>VA880T</t>
        </is>
      </c>
      <c r="G370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701" s="16" t="inlineStr">
        <is>
          <t>1 pieza</t>
        </is>
      </c>
      <c r="I3701" s="16" t="n">
        <v>1</v>
      </c>
      <c r="J3701" s="17" t="n">
        <v>114.98</v>
      </c>
      <c r="K3701" s="17" t="n">
        <v>127.27</v>
      </c>
      <c r="L3701" s="17" t="n">
        <v>25.86</v>
      </c>
      <c r="M3701" s="17" t="n">
        <v>0</v>
      </c>
      <c r="N3701" s="17">
        <f>K3701*0.08+L3701*0.08</f>
        <v/>
      </c>
      <c r="O3701" s="17">
        <f>-(K3701*0.025+L3701*0.025)</f>
        <v/>
      </c>
      <c r="P3701" s="17">
        <f>32</f>
        <v/>
      </c>
      <c r="Q3701" s="17">
        <f>J3701+L3701+N3701+O3701-P3701-M3701</f>
        <v/>
      </c>
    </row>
    <row r="3702">
      <c r="A3702" s="16" t="inlineStr">
        <is>
          <t>5.29-6.4</t>
        </is>
      </c>
      <c r="B3702" s="16" t="inlineStr">
        <is>
          <t>PO-128-13596190853750273</t>
        </is>
      </c>
      <c r="C3702" s="16" t="inlineStr">
        <is>
          <t>Shipped</t>
        </is>
      </c>
      <c r="D3702" s="16" t="inlineStr">
        <is>
          <t>128-13596243282550273</t>
        </is>
      </c>
      <c r="E3702" s="16" t="inlineStr">
        <is>
          <t>Shipped</t>
        </is>
      </c>
      <c r="F3702" s="16" t="inlineStr">
        <is>
          <t>LB02235-negro</t>
        </is>
      </c>
      <c r="G3702" s="16" t="inlineStr">
        <is>
          <t>Audífonos Inalámbricos para la Cabeza, Recargables y Multifuncionales - Conectan a Varios Dispositivos, soportan Radio FM, Tarjeta TF y AUX - 4 Horas de Reproducción Musical - Ideal para Trabajo Cotidiano, Juegos y Estudio</t>
        </is>
      </c>
      <c r="H3702" s="16" t="inlineStr">
        <is>
          <t>NEGRO</t>
        </is>
      </c>
      <c r="I3702" s="16" t="n">
        <v>2</v>
      </c>
      <c r="J3702" s="17" t="n">
        <v>75.42</v>
      </c>
      <c r="K3702" s="17" t="n">
        <v>91.62</v>
      </c>
      <c r="L3702" s="17" t="n">
        <v>13</v>
      </c>
      <c r="M3702" s="17" t="n">
        <v>0</v>
      </c>
      <c r="N3702" s="17">
        <f>K3702*0.08+L3702*0.08</f>
        <v/>
      </c>
      <c r="O3702" s="17">
        <f>-(K3702*0.025+L3702*0.025)</f>
        <v/>
      </c>
      <c r="P3702" s="17">
        <f>32</f>
        <v/>
      </c>
      <c r="Q3702" s="17">
        <f>J3702+L3702+N3702+O3702-P3702-M3702</f>
        <v/>
      </c>
    </row>
    <row r="3703">
      <c r="A3703" s="16" t="inlineStr">
        <is>
          <t>5.29-6.4</t>
        </is>
      </c>
      <c r="B3703" s="16" t="inlineStr">
        <is>
          <t>PO-128-13596190853750273</t>
        </is>
      </c>
      <c r="C3703" s="16" t="inlineStr">
        <is>
          <t>Shipped</t>
        </is>
      </c>
      <c r="D3703" s="16" t="inlineStr">
        <is>
          <t>128-13596159396470273</t>
        </is>
      </c>
      <c r="E3703" s="16" t="inlineStr">
        <is>
          <t>Shipped</t>
        </is>
      </c>
      <c r="F3703" s="16" t="inlineStr">
        <is>
          <t>LB02235-rojo</t>
        </is>
      </c>
      <c r="G3703" s="16" t="inlineStr">
        <is>
          <t>Audífonos Inalámbricos para la Cabeza, Recargables y Multifuncionales - Conectan a Varios Dispositivos, soportan Radio FM, Tarjeta TF y AUX - 4 Horas de Reproducción Musical - Ideal para Trabajo Cotidiano, Juegos y Estudio</t>
        </is>
      </c>
      <c r="H3703" s="16" t="inlineStr">
        <is>
          <t>ROJO</t>
        </is>
      </c>
      <c r="I3703" s="16" t="n">
        <v>1</v>
      </c>
      <c r="J3703" s="17" t="n">
        <v>37.71</v>
      </c>
      <c r="K3703" s="17" t="n">
        <v>45.81</v>
      </c>
      <c r="L3703" s="17" t="n">
        <v>6.49</v>
      </c>
      <c r="M3703" s="17" t="n">
        <v>0</v>
      </c>
      <c r="N3703" s="17">
        <f>K3703*0.08+L3703*0.08</f>
        <v/>
      </c>
      <c r="O3703" s="17">
        <f>-(K3703*0.025+L3703*0.025)</f>
        <v/>
      </c>
      <c r="P3703" s="17">
        <f>32</f>
        <v/>
      </c>
      <c r="Q3703" s="17">
        <f>J3703+L3703+N3703+O3703-P3703-M3703</f>
        <v/>
      </c>
    </row>
    <row r="3704">
      <c r="A3704" s="16" t="inlineStr">
        <is>
          <t>5.29-6.4</t>
        </is>
      </c>
      <c r="B3704" s="16" t="inlineStr">
        <is>
          <t>PO-128-13596190853750273</t>
        </is>
      </c>
      <c r="C3704" s="16" t="inlineStr">
        <is>
          <t>Shipped</t>
        </is>
      </c>
      <c r="D3704" s="16" t="inlineStr">
        <is>
          <t>128-13596201339510273</t>
        </is>
      </c>
      <c r="E3704" s="16" t="inlineStr">
        <is>
          <t>Shipped</t>
        </is>
      </c>
      <c r="F3704" s="16" t="inlineStr">
        <is>
          <t>LB02235-azul</t>
        </is>
      </c>
      <c r="G3704" s="16" t="inlineStr">
        <is>
          <t>Audífonos Inalámbricos para la Cabeza, Recargables y Multifuncionales - Conectan a Varios Dispositivos, soportan Radio FM, Tarjeta TF y AUX - 4 Horas de Reproducción Musical - Ideal para Trabajo Cotidiano, Juegos y Estudio</t>
        </is>
      </c>
      <c r="H3704" s="16" t="inlineStr">
        <is>
          <t>AZUL</t>
        </is>
      </c>
      <c r="I3704" s="16" t="n">
        <v>1</v>
      </c>
      <c r="J3704" s="17" t="n">
        <v>36.8</v>
      </c>
      <c r="K3704" s="17" t="n">
        <v>44.98</v>
      </c>
      <c r="L3704" s="17" t="n">
        <v>6.37</v>
      </c>
      <c r="M3704" s="17" t="n">
        <v>0</v>
      </c>
      <c r="N3704" s="17">
        <f>K3704*0.08+L3704*0.08</f>
        <v/>
      </c>
      <c r="O3704" s="17">
        <f>-(K3704*0.025+L3704*0.025)</f>
        <v/>
      </c>
      <c r="P3704" s="17">
        <f>32</f>
        <v/>
      </c>
      <c r="Q3704" s="17">
        <f>J3704+L3704+N3704+O3704-P3704-M3704</f>
        <v/>
      </c>
    </row>
    <row r="3705">
      <c r="A3705" s="16" t="inlineStr">
        <is>
          <t>5.29-6.4</t>
        </is>
      </c>
      <c r="B3705" s="16" t="inlineStr">
        <is>
          <t>PO-128-13470882919031082</t>
        </is>
      </c>
      <c r="C3705" s="16" t="inlineStr">
        <is>
          <t>Shipped</t>
        </is>
      </c>
      <c r="D3705" s="16" t="inlineStr">
        <is>
          <t>128-13470903890551082</t>
        </is>
      </c>
      <c r="E3705" s="16" t="inlineStr">
        <is>
          <t>Shipped</t>
        </is>
      </c>
      <c r="F3705" s="16" t="inlineStr">
        <is>
          <t>LV34W04</t>
        </is>
      </c>
      <c r="G370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05" s="16" t="inlineStr">
        <is>
          <t>LV34W04</t>
        </is>
      </c>
      <c r="I3705" s="16" t="n">
        <v>2</v>
      </c>
      <c r="J3705" s="17" t="n">
        <v>460.6</v>
      </c>
      <c r="K3705" s="17" t="n">
        <v>515.3</v>
      </c>
      <c r="L3705" s="17" t="n">
        <v>0</v>
      </c>
      <c r="M3705" s="17" t="n">
        <v>0</v>
      </c>
      <c r="N3705" s="17">
        <f>K3705*0.08+L3705*0.08</f>
        <v/>
      </c>
      <c r="O3705" s="17">
        <f>-(K3705*0.025+L3705*0.025)</f>
        <v/>
      </c>
      <c r="P3705" s="17">
        <f>32</f>
        <v/>
      </c>
      <c r="Q3705" s="17">
        <f>J3705+L3705+N3705+O3705-P3705-M3705</f>
        <v/>
      </c>
    </row>
    <row r="3706">
      <c r="A3706" s="16" t="inlineStr">
        <is>
          <t>5.29-6.4</t>
        </is>
      </c>
      <c r="B3706" s="16" t="inlineStr">
        <is>
          <t>PO-128-13742939679350612</t>
        </is>
      </c>
      <c r="C3706" s="16" t="inlineStr">
        <is>
          <t>Shipped</t>
        </is>
      </c>
      <c r="D3706" s="16" t="inlineStr">
        <is>
          <t>128-13742981622390612</t>
        </is>
      </c>
      <c r="E3706" s="16" t="inlineStr">
        <is>
          <t>Shipped</t>
        </is>
      </c>
      <c r="F3706" s="16" t="inlineStr">
        <is>
          <t>LB02235-blanco</t>
        </is>
      </c>
      <c r="G3706" s="16" t="inlineStr">
        <is>
          <t>Audífonos Inalámbricos para la Cabeza, Recargables y Multifuncionales - Conectan a Varios Dispositivos, soportan Radio FM, Tarjeta TF y AUX - 4 Horas de Reproducción Musical - Ideal para Trabajo Cotidiano, Juegos y Estudio</t>
        </is>
      </c>
      <c r="H3706" s="16" t="inlineStr">
        <is>
          <t>BLANCO</t>
        </is>
      </c>
      <c r="I3706" s="16" t="n">
        <v>1</v>
      </c>
      <c r="J3706" s="17" t="n">
        <v>37.71</v>
      </c>
      <c r="K3706" s="17" t="n">
        <v>50.82</v>
      </c>
      <c r="L3706" s="17" t="n">
        <v>25.86</v>
      </c>
      <c r="M3706" s="17" t="n">
        <v>0</v>
      </c>
      <c r="N3706" s="17">
        <f>K3706*0.08+L3706*0.08</f>
        <v/>
      </c>
      <c r="O3706" s="17">
        <f>-(K3706*0.025+L3706*0.025)</f>
        <v/>
      </c>
      <c r="P3706" s="17">
        <f>32</f>
        <v/>
      </c>
      <c r="Q3706" s="17">
        <f>J3706+L3706+N3706+O3706-P3706-M3706</f>
        <v/>
      </c>
    </row>
    <row r="3707">
      <c r="A3707" s="16" t="inlineStr">
        <is>
          <t>5.29-6.4</t>
        </is>
      </c>
      <c r="B3707" s="16" t="inlineStr">
        <is>
          <t>PO-128-13227695012473685</t>
        </is>
      </c>
      <c r="C3707" s="16" t="inlineStr">
        <is>
          <t>Shipped</t>
        </is>
      </c>
      <c r="D3707" s="16" t="inlineStr">
        <is>
          <t>128-13227799870073685</t>
        </is>
      </c>
      <c r="E3707" s="16" t="inlineStr">
        <is>
          <t>Shipped</t>
        </is>
      </c>
      <c r="F3707" s="16" t="inlineStr">
        <is>
          <t>LB02235-rojo</t>
        </is>
      </c>
      <c r="G3707" s="16" t="inlineStr">
        <is>
          <t>Audífonos Inalámbricos para la Cabeza, Recargables y Multifuncionales - Conectan a Varios Dispositivos, soportan Radio FM, Tarjeta TF y AUX - 4 Horas de Reproducción Musical - Ideal para Trabajo Cotidiano, Juegos y Estudio</t>
        </is>
      </c>
      <c r="H3707" s="16" t="inlineStr">
        <is>
          <t>ROJO</t>
        </is>
      </c>
      <c r="I3707" s="16" t="n">
        <v>3</v>
      </c>
      <c r="J3707" s="17" t="n">
        <v>113.13</v>
      </c>
      <c r="K3707" s="17" t="n">
        <v>132.12</v>
      </c>
      <c r="L3707" s="17" t="n">
        <v>25.86</v>
      </c>
      <c r="M3707" s="17" t="n">
        <v>0</v>
      </c>
      <c r="N3707" s="17">
        <f>K3707*0.08+L3707*0.08</f>
        <v/>
      </c>
      <c r="O3707" s="17">
        <f>-(K3707*0.025+L3707*0.025)</f>
        <v/>
      </c>
      <c r="P3707" s="17">
        <f>32</f>
        <v/>
      </c>
      <c r="Q3707" s="17">
        <f>J3707+L3707+N3707+O3707-P3707-M3707</f>
        <v/>
      </c>
    </row>
    <row r="3708">
      <c r="A3708" s="16" t="inlineStr">
        <is>
          <t>5.29-6.4</t>
        </is>
      </c>
      <c r="B3708" s="16" t="inlineStr">
        <is>
          <t>PO-128-13273287967352196</t>
        </is>
      </c>
      <c r="C3708" s="16" t="inlineStr">
        <is>
          <t>Shipped</t>
        </is>
      </c>
      <c r="D3708" s="16" t="inlineStr">
        <is>
          <t>128-13273246024312196</t>
        </is>
      </c>
      <c r="E3708" s="16" t="inlineStr">
        <is>
          <t>Shipped</t>
        </is>
      </c>
      <c r="F3708" s="16" t="inlineStr">
        <is>
          <t>MB-185A</t>
        </is>
      </c>
      <c r="G3708" s="16" t="inlineStr">
        <is>
          <t>Bocina Radio FM/Reproductor, Compatible con Tarjeta TF, USB, Bluetooth, Aplicable para celular, computadora, Ipad y consola.</t>
        </is>
      </c>
      <c r="H3708" s="16" t="inlineStr">
        <is>
          <t>AZUL/MB-185</t>
        </is>
      </c>
      <c r="I3708" s="16" t="n">
        <v>1</v>
      </c>
      <c r="J3708" s="17" t="n">
        <v>73</v>
      </c>
      <c r="K3708" s="17" t="n">
        <v>85.94</v>
      </c>
      <c r="L3708" s="17" t="n">
        <v>25.86</v>
      </c>
      <c r="M3708" s="17" t="n">
        <v>0</v>
      </c>
      <c r="N3708" s="17">
        <f>K3708*0.08+L3708*0.08</f>
        <v/>
      </c>
      <c r="O3708" s="17">
        <f>-(K3708*0.025+L3708*0.025)</f>
        <v/>
      </c>
      <c r="P3708" s="17">
        <f>32</f>
        <v/>
      </c>
      <c r="Q3708" s="17">
        <f>J3708+L3708+N3708+O3708-P3708-M3708</f>
        <v/>
      </c>
    </row>
    <row r="3709">
      <c r="A3709" s="16" t="inlineStr">
        <is>
          <t>5.29-6.4</t>
        </is>
      </c>
      <c r="B3709" s="16" t="inlineStr">
        <is>
          <t>PO-128-13704130663030652</t>
        </is>
      </c>
      <c r="C3709" s="16" t="inlineStr">
        <is>
          <t>Shipped</t>
        </is>
      </c>
      <c r="D3709" s="16" t="inlineStr">
        <is>
          <t>128-13704109691510652</t>
        </is>
      </c>
      <c r="E3709" s="16" t="inlineStr">
        <is>
          <t>Shipped</t>
        </is>
      </c>
      <c r="F3709" s="16" t="inlineStr">
        <is>
          <t>VB347T</t>
        </is>
      </c>
      <c r="G370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09" s="16" t="inlineStr">
        <is>
          <t>1 pieza</t>
        </is>
      </c>
      <c r="I3709" s="16" t="n">
        <v>1</v>
      </c>
      <c r="J3709" s="17" t="n">
        <v>79.90000000000001</v>
      </c>
      <c r="K3709" s="17" t="n">
        <v>94.5</v>
      </c>
      <c r="L3709" s="17" t="n">
        <v>25.86</v>
      </c>
      <c r="M3709" s="17" t="n">
        <v>0</v>
      </c>
      <c r="N3709" s="17">
        <f>K3709*0.08+L3709*0.08</f>
        <v/>
      </c>
      <c r="O3709" s="17">
        <f>-(K3709*0.025+L3709*0.025)</f>
        <v/>
      </c>
      <c r="P3709" s="17">
        <f>32</f>
        <v/>
      </c>
      <c r="Q3709" s="17">
        <f>J3709+L3709+N3709+O3709-P3709-M3709</f>
        <v/>
      </c>
    </row>
    <row r="3710">
      <c r="A3710" s="16" t="inlineStr">
        <is>
          <t>5.29-6.4</t>
        </is>
      </c>
      <c r="B3710" s="16" t="inlineStr">
        <is>
          <t>PO-128-13279189571192224</t>
        </is>
      </c>
      <c r="C3710" s="16" t="inlineStr">
        <is>
          <t>Shipped</t>
        </is>
      </c>
      <c r="D3710" s="16" t="inlineStr">
        <is>
          <t>128-13279227582072224</t>
        </is>
      </c>
      <c r="E3710" s="16" t="inlineStr">
        <is>
          <t>Shipped</t>
        </is>
      </c>
      <c r="F3710" s="16" t="inlineStr">
        <is>
          <t>LB02235-negro</t>
        </is>
      </c>
      <c r="G3710" s="16" t="inlineStr">
        <is>
          <t>Audífonos Inalámbricos para la Cabeza, Recargables y Multifuncionales - Conectan a Varios Dispositivos, soportan Radio FM, Tarjeta TF y AUX - 4 Horas de Reproducción Musical - Ideal para Trabajo Cotidiano, Juegos y Estudio</t>
        </is>
      </c>
      <c r="H3710" s="16" t="inlineStr">
        <is>
          <t>NEGRO</t>
        </is>
      </c>
      <c r="I3710" s="16" t="n">
        <v>1</v>
      </c>
      <c r="J3710" s="17" t="n">
        <v>37.71</v>
      </c>
      <c r="K3710" s="17" t="n">
        <v>50.82</v>
      </c>
      <c r="L3710" s="17" t="n">
        <v>6.52</v>
      </c>
      <c r="M3710" s="17" t="n">
        <v>0</v>
      </c>
      <c r="N3710" s="17">
        <f>K3710*0.08+L3710*0.08</f>
        <v/>
      </c>
      <c r="O3710" s="17">
        <f>-(K3710*0.025+L3710*0.025)</f>
        <v/>
      </c>
      <c r="P3710" s="17">
        <f>32</f>
        <v/>
      </c>
      <c r="Q3710" s="17">
        <f>J3710+L3710+N3710+O3710-P3710-M3710</f>
        <v/>
      </c>
    </row>
    <row r="3711">
      <c r="A3711" s="16" t="inlineStr">
        <is>
          <t>5.29-6.4</t>
        </is>
      </c>
      <c r="B3711" s="16" t="inlineStr">
        <is>
          <t>PO-128-13279189571192224</t>
        </is>
      </c>
      <c r="C3711" s="16" t="inlineStr">
        <is>
          <t>Shipped</t>
        </is>
      </c>
      <c r="D3711" s="16" t="inlineStr">
        <is>
          <t>128-13279210542712224</t>
        </is>
      </c>
      <c r="E3711" s="16" t="inlineStr">
        <is>
          <t>Shipped</t>
        </is>
      </c>
      <c r="F3711" s="16" t="inlineStr">
        <is>
          <t>LB02235-blanco</t>
        </is>
      </c>
      <c r="G3711" s="16" t="inlineStr">
        <is>
          <t>Audífonos Inalámbricos para la Cabeza, Recargables y Multifuncionales - Conectan a Varios Dispositivos, soportan Radio FM, Tarjeta TF y AUX - 4 Horas de Reproducción Musical - Ideal para Trabajo Cotidiano, Juegos y Estudio</t>
        </is>
      </c>
      <c r="H3711" s="16" t="inlineStr">
        <is>
          <t>BLANCO</t>
        </is>
      </c>
      <c r="I3711" s="16" t="n">
        <v>1</v>
      </c>
      <c r="J3711" s="17" t="n">
        <v>37.71</v>
      </c>
      <c r="K3711" s="17" t="n">
        <v>50.82</v>
      </c>
      <c r="L3711" s="17" t="n">
        <v>6.52</v>
      </c>
      <c r="M3711" s="17" t="n">
        <v>0</v>
      </c>
      <c r="N3711" s="17">
        <f>K3711*0.08+L3711*0.08</f>
        <v/>
      </c>
      <c r="O3711" s="17">
        <f>-(K3711*0.025+L3711*0.025)</f>
        <v/>
      </c>
      <c r="P3711" s="17">
        <f>32</f>
        <v/>
      </c>
      <c r="Q3711" s="17">
        <f>J3711+L3711+N3711+O3711-P3711-M3711</f>
        <v/>
      </c>
    </row>
    <row r="3712">
      <c r="A3712" s="16" t="inlineStr">
        <is>
          <t>5.29-6.4</t>
        </is>
      </c>
      <c r="B3712" s="16" t="inlineStr">
        <is>
          <t>PO-128-13279189571192224</t>
        </is>
      </c>
      <c r="C3712" s="16" t="inlineStr">
        <is>
          <t>Shipped</t>
        </is>
      </c>
      <c r="D3712" s="16" t="inlineStr">
        <is>
          <t>128-13279206610552224</t>
        </is>
      </c>
      <c r="E3712" s="16" t="inlineStr">
        <is>
          <t>Shipped</t>
        </is>
      </c>
      <c r="F3712" s="16" t="inlineStr">
        <is>
          <t>LB02235-azul</t>
        </is>
      </c>
      <c r="G3712" s="16" t="inlineStr">
        <is>
          <t>Audífonos Inalámbricos para la Cabeza, Recargables y Multifuncionales - Conectan a Varios Dispositivos, soportan Radio FM, Tarjeta TF y AUX - 4 Horas de Reproducción Musical - Ideal para Trabajo Cotidiano, Juegos y Estudio</t>
        </is>
      </c>
      <c r="H3712" s="16" t="inlineStr">
        <is>
          <t>AZUL</t>
        </is>
      </c>
      <c r="I3712" s="16" t="n">
        <v>2</v>
      </c>
      <c r="J3712" s="17" t="n">
        <v>73.59999999999999</v>
      </c>
      <c r="K3712" s="17" t="n">
        <v>99.81999999999999</v>
      </c>
      <c r="L3712" s="17" t="n">
        <v>12.82</v>
      </c>
      <c r="M3712" s="17" t="n">
        <v>0</v>
      </c>
      <c r="N3712" s="17">
        <f>K3712*0.08+L3712*0.08</f>
        <v/>
      </c>
      <c r="O3712" s="17">
        <f>-(K3712*0.025+L3712*0.025)</f>
        <v/>
      </c>
      <c r="P3712" s="17">
        <f>32</f>
        <v/>
      </c>
      <c r="Q3712" s="17">
        <f>J3712+L3712+N3712+O3712-P3712-M3712</f>
        <v/>
      </c>
    </row>
    <row r="3713">
      <c r="A3713" s="16" t="inlineStr">
        <is>
          <t>5.29-6.4</t>
        </is>
      </c>
      <c r="B3713" s="16" t="inlineStr">
        <is>
          <t>PO-128-13464943872631055</t>
        </is>
      </c>
      <c r="C3713" s="16" t="inlineStr">
        <is>
          <t>Shipped</t>
        </is>
      </c>
      <c r="D3713" s="16" t="inlineStr">
        <is>
          <t>128-13464985815671055</t>
        </is>
      </c>
      <c r="E3713" s="16" t="inlineStr">
        <is>
          <t>Shipped</t>
        </is>
      </c>
      <c r="F3713" s="16" t="inlineStr">
        <is>
          <t>LB02235-azul</t>
        </is>
      </c>
      <c r="G3713" s="16" t="inlineStr">
        <is>
          <t>Audífonos Inalámbricos para la Cabeza, Recargables y Multifuncionales - Conectan a Varios Dispositivos, soportan Radio FM, Tarjeta TF y AUX - 4 Horas de Reproducción Musical - Ideal para Trabajo Cotidiano, Juegos y Estudio</t>
        </is>
      </c>
      <c r="H3713" s="16" t="inlineStr">
        <is>
          <t>AZUL</t>
        </is>
      </c>
      <c r="I3713" s="16" t="n">
        <v>1</v>
      </c>
      <c r="J3713" s="17" t="n">
        <v>36.8</v>
      </c>
      <c r="K3713" s="17" t="n">
        <v>41.03</v>
      </c>
      <c r="L3713" s="17" t="n">
        <v>25.86</v>
      </c>
      <c r="M3713" s="17" t="n">
        <v>0</v>
      </c>
      <c r="N3713" s="17">
        <f>K3713*0.08+L3713*0.08</f>
        <v/>
      </c>
      <c r="O3713" s="17">
        <f>-(K3713*0.025+L3713*0.025)</f>
        <v/>
      </c>
      <c r="P3713" s="17">
        <f>32</f>
        <v/>
      </c>
      <c r="Q3713" s="17">
        <f>J3713+L3713+N3713+O3713-P3713-M3713</f>
        <v/>
      </c>
    </row>
    <row r="3714">
      <c r="A3714" s="16" t="inlineStr">
        <is>
          <t>5.29-6.4</t>
        </is>
      </c>
      <c r="B3714" s="16" t="inlineStr">
        <is>
          <t>PO-128-13128296663673124</t>
        </is>
      </c>
      <c r="C3714" s="16" t="inlineStr">
        <is>
          <t>Shipped</t>
        </is>
      </c>
      <c r="D3714" s="16" t="inlineStr">
        <is>
          <t>128-13128317635193124</t>
        </is>
      </c>
      <c r="E3714" s="16" t="inlineStr">
        <is>
          <t>Shipped</t>
        </is>
      </c>
      <c r="F3714" s="16" t="inlineStr">
        <is>
          <t>MCM-001N</t>
        </is>
      </c>
      <c r="G3714" s="16" t="inlineStr">
        <is>
          <t>Musicord Altavoz Inalámbrico BT Portátil: ¡Sonido impactante, luces LED multicolores y 4 horas de autonomía! Compatible con TWS, FM, TF y USB – Imprescindible para fiestas y viajes</t>
        </is>
      </c>
      <c r="H3714" s="16" t="inlineStr">
        <is>
          <t>NEGRO</t>
        </is>
      </c>
      <c r="I3714" s="16" t="n">
        <v>1</v>
      </c>
      <c r="J3714" s="17" t="n">
        <v>52</v>
      </c>
      <c r="K3714" s="17" t="n">
        <v>63.28</v>
      </c>
      <c r="L3714" s="17" t="n">
        <v>25.86</v>
      </c>
      <c r="M3714" s="17" t="n">
        <v>0</v>
      </c>
      <c r="N3714" s="17">
        <f>K3714*0.08+L3714*0.08</f>
        <v/>
      </c>
      <c r="O3714" s="17">
        <f>-(K3714*0.025+L3714*0.025)</f>
        <v/>
      </c>
      <c r="P3714" s="17">
        <f>32</f>
        <v/>
      </c>
      <c r="Q3714" s="17">
        <f>J3714+L3714+N3714+O3714-P3714-M3714</f>
        <v/>
      </c>
    </row>
    <row r="3715">
      <c r="A3715" s="16" t="inlineStr">
        <is>
          <t>5.29-6.4</t>
        </is>
      </c>
      <c r="B3715" s="16" t="inlineStr">
        <is>
          <t>PO-128-13260678738552337</t>
        </is>
      </c>
      <c r="C3715" s="16" t="inlineStr">
        <is>
          <t>Shipped</t>
        </is>
      </c>
      <c r="D3715" s="16" t="inlineStr">
        <is>
          <t>128-13260636795512337</t>
        </is>
      </c>
      <c r="E3715" s="16" t="inlineStr">
        <is>
          <t>Shipped</t>
        </is>
      </c>
      <c r="F3715" s="16" t="inlineStr">
        <is>
          <t>LB02235-rojo</t>
        </is>
      </c>
      <c r="G3715" s="16" t="inlineStr">
        <is>
          <t>Audífonos Inalámbricos para la Cabeza, Recargables y Multifuncionales - Conectan a Varios Dispositivos, soportan Radio FM, Tarjeta TF y AUX - 4 Horas de Reproducción Musical - Ideal para Trabajo Cotidiano, Juegos y Estudio</t>
        </is>
      </c>
      <c r="H3715" s="16" t="inlineStr">
        <is>
          <t>ROJO</t>
        </is>
      </c>
      <c r="I3715" s="16" t="n">
        <v>1</v>
      </c>
      <c r="J3715" s="17" t="n">
        <v>37.71</v>
      </c>
      <c r="K3715" s="17" t="n">
        <v>7.72</v>
      </c>
      <c r="L3715" s="17" t="n">
        <v>25.86</v>
      </c>
      <c r="M3715" s="17" t="n">
        <v>0</v>
      </c>
      <c r="N3715" s="17">
        <f>K3715*0.08+L3715*0.08</f>
        <v/>
      </c>
      <c r="O3715" s="17">
        <f>-(K3715*0.025+L3715*0.025)</f>
        <v/>
      </c>
      <c r="P3715" s="17">
        <f>32</f>
        <v/>
      </c>
      <c r="Q3715" s="17">
        <f>J3715+L3715+N3715+O3715-P3715-M3715</f>
        <v/>
      </c>
    </row>
    <row r="3716">
      <c r="A3716" s="16" t="inlineStr">
        <is>
          <t>5.29-6.4</t>
        </is>
      </c>
      <c r="B3716" s="16" t="inlineStr">
        <is>
          <t>PO-128-13418377247351525</t>
        </is>
      </c>
      <c r="C3716" s="16" t="inlineStr">
        <is>
          <t>Shipped</t>
        </is>
      </c>
      <c r="D3716" s="16" t="inlineStr">
        <is>
          <t>128-13418415258231525</t>
        </is>
      </c>
      <c r="E3716" s="16" t="inlineStr">
        <is>
          <t>Shipped</t>
        </is>
      </c>
      <c r="F3716" s="16" t="inlineStr">
        <is>
          <t>LB02235-rojo</t>
        </is>
      </c>
      <c r="G3716" s="16" t="inlineStr">
        <is>
          <t>Audífonos Inalámbricos para la Cabeza, Recargables y Multifuncionales - Conectan a Varios Dispositivos, soportan Radio FM, Tarjeta TF y AUX - 4 Horas de Reproducción Musical - Ideal para Trabajo Cotidiano, Juegos y Estudio</t>
        </is>
      </c>
      <c r="H3716" s="16" t="inlineStr">
        <is>
          <t>ROJO</t>
        </is>
      </c>
      <c r="I3716" s="16" t="n">
        <v>1</v>
      </c>
      <c r="J3716" s="17" t="n">
        <v>37.71</v>
      </c>
      <c r="K3716" s="17" t="n">
        <v>50.82</v>
      </c>
      <c r="L3716" s="17" t="n">
        <v>25.86</v>
      </c>
      <c r="M3716" s="17" t="n">
        <v>0</v>
      </c>
      <c r="N3716" s="17">
        <f>K3716*0.08+L3716*0.08</f>
        <v/>
      </c>
      <c r="O3716" s="17">
        <f>-(K3716*0.025+L3716*0.025)</f>
        <v/>
      </c>
      <c r="P3716" s="17">
        <f>32</f>
        <v/>
      </c>
      <c r="Q3716" s="17">
        <f>J3716+L3716+N3716+O3716-P3716-M3716</f>
        <v/>
      </c>
    </row>
    <row r="3717">
      <c r="A3717" s="16" t="inlineStr">
        <is>
          <t>5.29-6.4</t>
        </is>
      </c>
      <c r="B3717" s="16" t="inlineStr">
        <is>
          <t>PO-128-13526138808951904</t>
        </is>
      </c>
      <c r="C3717" s="16" t="inlineStr">
        <is>
          <t>Shipped</t>
        </is>
      </c>
      <c r="D3717" s="16" t="inlineStr">
        <is>
          <t>128-13526149294711904</t>
        </is>
      </c>
      <c r="E3717" s="16" t="inlineStr">
        <is>
          <t>Shipped</t>
        </is>
      </c>
      <c r="F3717" s="16" t="inlineStr">
        <is>
          <t>LB02235-rojo</t>
        </is>
      </c>
      <c r="G3717" s="16" t="inlineStr">
        <is>
          <t>Audífonos Inalámbricos para la Cabeza, Recargables y Multifuncionales - Conectan a Varios Dispositivos, soportan Radio FM, Tarjeta TF y AUX - 4 Horas de Reproducción Musical - Ideal para Trabajo Cotidiano, Juegos y Estudio</t>
        </is>
      </c>
      <c r="H3717" s="16" t="inlineStr">
        <is>
          <t>ROJO</t>
        </is>
      </c>
      <c r="I3717" s="16" t="n">
        <v>1</v>
      </c>
      <c r="J3717" s="17" t="n">
        <v>37.71</v>
      </c>
      <c r="K3717" s="17" t="n">
        <v>50.82</v>
      </c>
      <c r="L3717" s="17" t="n">
        <v>25.86</v>
      </c>
      <c r="M3717" s="17" t="n">
        <v>0</v>
      </c>
      <c r="N3717" s="17">
        <f>K3717*0.08+L3717*0.08</f>
        <v/>
      </c>
      <c r="O3717" s="17">
        <f>-(K3717*0.025+L3717*0.025)</f>
        <v/>
      </c>
      <c r="P3717" s="17">
        <f>32</f>
        <v/>
      </c>
      <c r="Q3717" s="17">
        <f>J3717+L3717+N3717+O3717-P3717-M3717</f>
        <v/>
      </c>
    </row>
    <row r="3718">
      <c r="A3718" s="16" t="inlineStr">
        <is>
          <t>5.29-6.4</t>
        </is>
      </c>
      <c r="B3718" s="16" t="inlineStr">
        <is>
          <t>PO-128-13170066145913901</t>
        </is>
      </c>
      <c r="C3718" s="16" t="inlineStr">
        <is>
          <t>Shipped</t>
        </is>
      </c>
      <c r="D3718" s="16" t="inlineStr">
        <is>
          <t>128-13170087117433901</t>
        </is>
      </c>
      <c r="E3718" s="16" t="inlineStr">
        <is>
          <t>Shipped</t>
        </is>
      </c>
      <c r="F3718" s="16" t="inlineStr">
        <is>
          <t>FA028</t>
        </is>
      </c>
      <c r="G3718" s="16" t="inlineStr">
        <is>
          <t>Extractor de agua para garrafas de agua, compatible con carga USB, extractor de agua automático, práctico, con dos modos de toma de agua: manual y programado, ideal para dormitorios, salones, oficinas, uso al aire libre y otros escenarios.</t>
        </is>
      </c>
      <c r="H3718" s="16" t="inlineStr">
        <is>
          <t>FA028</t>
        </is>
      </c>
      <c r="I3718" s="16" t="n">
        <v>1</v>
      </c>
      <c r="J3718" s="17" t="n">
        <v>35</v>
      </c>
      <c r="K3718" s="17" t="n">
        <v>44.58</v>
      </c>
      <c r="L3718" s="17" t="n">
        <v>25.86</v>
      </c>
      <c r="M3718" s="17" t="n">
        <v>0</v>
      </c>
      <c r="N3718" s="17">
        <f>K3718*0.08+L3718*0.08</f>
        <v/>
      </c>
      <c r="O3718" s="17">
        <f>-(K3718*0.025+L3718*0.025)</f>
        <v/>
      </c>
      <c r="P3718" s="17">
        <f>32</f>
        <v/>
      </c>
      <c r="Q3718" s="17">
        <f>J3718+L3718+N3718+O3718-P3718-M3718</f>
        <v/>
      </c>
    </row>
    <row r="3719">
      <c r="A3719" s="16" t="inlineStr">
        <is>
          <t>5.29-6.4</t>
        </is>
      </c>
      <c r="B3719" s="16" t="inlineStr">
        <is>
          <t>PO-128-13377008671352795</t>
        </is>
      </c>
      <c r="C3719" s="16" t="inlineStr">
        <is>
          <t>Shipped</t>
        </is>
      </c>
      <c r="D3719" s="16" t="inlineStr">
        <is>
          <t>128-13377029642872795</t>
        </is>
      </c>
      <c r="E3719" s="16" t="inlineStr">
        <is>
          <t>Shipped</t>
        </is>
      </c>
      <c r="F3719" s="16" t="inlineStr">
        <is>
          <t>MCM-001N</t>
        </is>
      </c>
      <c r="G3719" s="16" t="inlineStr">
        <is>
          <t>Musicord Altavoz Inalámbrico BT Portátil: ¡Sonido impactante, luces LED multicolores y 4 horas de autonomía! Compatible con TWS, FM, TF y USB – Imprescindible para fiestas y viajes</t>
        </is>
      </c>
      <c r="H3719" s="16" t="inlineStr">
        <is>
          <t>NEGRO</t>
        </is>
      </c>
      <c r="I3719" s="16" t="n">
        <v>1</v>
      </c>
      <c r="J3719" s="17" t="n">
        <v>52</v>
      </c>
      <c r="K3719" s="17" t="n">
        <v>63.28</v>
      </c>
      <c r="L3719" s="17" t="n">
        <v>25.86</v>
      </c>
      <c r="M3719" s="17" t="n">
        <v>0</v>
      </c>
      <c r="N3719" s="17">
        <f>K3719*0.08+L3719*0.08</f>
        <v/>
      </c>
      <c r="O3719" s="17">
        <f>-(K3719*0.025+L3719*0.025)</f>
        <v/>
      </c>
      <c r="P3719" s="17">
        <f>32</f>
        <v/>
      </c>
      <c r="Q3719" s="17">
        <f>J3719+L3719+N3719+O3719-P3719-M3719</f>
        <v/>
      </c>
    </row>
    <row r="3720">
      <c r="A3720" s="16" t="inlineStr">
        <is>
          <t>5.29-6.4</t>
        </is>
      </c>
      <c r="B3720" s="16" t="inlineStr">
        <is>
          <t>PO-128-13060703375993465</t>
        </is>
      </c>
      <c r="C3720" s="16" t="inlineStr">
        <is>
          <t>Shipped</t>
        </is>
      </c>
      <c r="D3720" s="16" t="inlineStr">
        <is>
          <t>128-13060719104633465</t>
        </is>
      </c>
      <c r="E3720" s="16" t="inlineStr">
        <is>
          <t>Shipped</t>
        </is>
      </c>
      <c r="F3720" s="16" t="inlineStr">
        <is>
          <t>SA325T</t>
        </is>
      </c>
      <c r="G3720" s="16" t="inlineStr">
        <is>
          <t>Subwoofer Portátil Inalámbrico con Luces RGB, Sonido de Alta Potencia y Batería Duradera, TWS TF USB, Perfecto para Campamento Fiestas y Entretenimiento en Casa</t>
        </is>
      </c>
      <c r="H3720" s="16" t="inlineStr">
        <is>
          <t>NEGRO</t>
        </is>
      </c>
      <c r="I3720" s="16" t="n">
        <v>1</v>
      </c>
      <c r="J3720" s="17" t="n">
        <v>38</v>
      </c>
      <c r="K3720" s="17" t="n">
        <v>47.04</v>
      </c>
      <c r="L3720" s="17" t="n">
        <v>25.86</v>
      </c>
      <c r="M3720" s="17" t="n">
        <v>0</v>
      </c>
      <c r="N3720" s="17">
        <f>K3720*0.08+L3720*0.08</f>
        <v/>
      </c>
      <c r="O3720" s="17">
        <f>-(K3720*0.025+L3720*0.025)</f>
        <v/>
      </c>
      <c r="P3720" s="17">
        <f>32</f>
        <v/>
      </c>
      <c r="Q3720" s="17">
        <f>J3720+L3720+N3720+O3720-P3720-M3720</f>
        <v/>
      </c>
    </row>
    <row r="3721">
      <c r="A3721" s="16" t="inlineStr">
        <is>
          <t>5.29-6.4</t>
        </is>
      </c>
      <c r="B3721" s="16" t="inlineStr">
        <is>
          <t>PO-128-13440403999351393</t>
        </is>
      </c>
      <c r="C3721" s="16" t="inlineStr">
        <is>
          <t>Shipped</t>
        </is>
      </c>
      <c r="D3721" s="16" t="inlineStr">
        <is>
          <t>128-13440556042871393</t>
        </is>
      </c>
      <c r="E3721" s="16" t="inlineStr">
        <is>
          <t>Shipped</t>
        </is>
      </c>
      <c r="F3721" s="16" t="inlineStr">
        <is>
          <t>LV34W04</t>
        </is>
      </c>
      <c r="G372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21" s="16" t="inlineStr">
        <is>
          <t>LV34W04</t>
        </is>
      </c>
      <c r="I3721" s="16" t="n">
        <v>1</v>
      </c>
      <c r="J3721" s="17" t="n">
        <v>230.3</v>
      </c>
      <c r="K3721" s="17" t="n">
        <v>257.65</v>
      </c>
      <c r="L3721" s="17" t="n">
        <v>25.86</v>
      </c>
      <c r="M3721" s="17" t="n">
        <v>0</v>
      </c>
      <c r="N3721" s="17">
        <f>K3721*0.08+L3721*0.08</f>
        <v/>
      </c>
      <c r="O3721" s="17">
        <f>-(K3721*0.025+L3721*0.025)</f>
        <v/>
      </c>
      <c r="P3721" s="17">
        <f>32</f>
        <v/>
      </c>
      <c r="Q3721" s="17">
        <f>J3721+L3721+N3721+O3721-P3721-M3721</f>
        <v/>
      </c>
    </row>
    <row r="3722">
      <c r="A3722" s="16" t="inlineStr">
        <is>
          <t>5.29-6.4</t>
        </is>
      </c>
      <c r="B3722" s="16" t="inlineStr">
        <is>
          <t>PO-128-13163145928314068</t>
        </is>
      </c>
      <c r="C3722" s="16" t="inlineStr">
        <is>
          <t>Shipped</t>
        </is>
      </c>
      <c r="D3722" s="16" t="inlineStr">
        <is>
          <t>128-13163124956794068</t>
        </is>
      </c>
      <c r="E3722" s="16" t="inlineStr">
        <is>
          <t>Shipped</t>
        </is>
      </c>
      <c r="F3722" s="16" t="inlineStr">
        <is>
          <t>VA880T</t>
        </is>
      </c>
      <c r="G372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722" s="16" t="inlineStr">
        <is>
          <t>1 pieza</t>
        </is>
      </c>
      <c r="I3722" s="16" t="n">
        <v>2</v>
      </c>
      <c r="J3722" s="17" t="n">
        <v>229.96</v>
      </c>
      <c r="K3722" s="17" t="n">
        <v>254.54</v>
      </c>
      <c r="L3722" s="17" t="n">
        <v>25.86</v>
      </c>
      <c r="M3722" s="17" t="n">
        <v>0</v>
      </c>
      <c r="N3722" s="17">
        <f>K3722*0.08+L3722*0.08</f>
        <v/>
      </c>
      <c r="O3722" s="17">
        <f>-(K3722*0.025+L3722*0.025)</f>
        <v/>
      </c>
      <c r="P3722" s="17">
        <f>32</f>
        <v/>
      </c>
      <c r="Q3722" s="17">
        <f>J3722+L3722+N3722+O3722-P3722-M3722</f>
        <v/>
      </c>
    </row>
    <row r="3723">
      <c r="A3723" s="16" t="inlineStr">
        <is>
          <t>5.29-6.4</t>
        </is>
      </c>
      <c r="B3723" s="16" t="inlineStr">
        <is>
          <t>PO-128-13329224361593014</t>
        </is>
      </c>
      <c r="C3723" s="16" t="inlineStr">
        <is>
          <t>Shipped</t>
        </is>
      </c>
      <c r="D3723" s="16" t="inlineStr">
        <is>
          <t>128-13329266304633014</t>
        </is>
      </c>
      <c r="E3723" s="16" t="inlineStr">
        <is>
          <t>Shipped</t>
        </is>
      </c>
      <c r="F3723" s="16" t="inlineStr">
        <is>
          <t>LB02235-azul</t>
        </is>
      </c>
      <c r="G3723" s="16" t="inlineStr">
        <is>
          <t>Audífonos Inalámbricos para la Cabeza, Recargables y Multifuncionales - Conectan a Varios Dispositivos, soportan Radio FM, Tarjeta TF y AUX - 4 Horas de Reproducción Musical - Ideal para Trabajo Cotidiano, Juegos y Estudio</t>
        </is>
      </c>
      <c r="H3723" s="16" t="inlineStr">
        <is>
          <t>AZUL</t>
        </is>
      </c>
      <c r="I3723" s="16" t="n">
        <v>1</v>
      </c>
      <c r="J3723" s="17" t="n">
        <v>36.8</v>
      </c>
      <c r="K3723" s="17" t="n">
        <v>49.91</v>
      </c>
      <c r="L3723" s="17" t="n">
        <v>25.86</v>
      </c>
      <c r="M3723" s="17" t="n">
        <v>0</v>
      </c>
      <c r="N3723" s="17">
        <f>K3723*0.08+L3723*0.08</f>
        <v/>
      </c>
      <c r="O3723" s="17">
        <f>-(K3723*0.025+L3723*0.025)</f>
        <v/>
      </c>
      <c r="P3723" s="17">
        <f>32</f>
        <v/>
      </c>
      <c r="Q3723" s="17">
        <f>J3723+L3723+N3723+O3723-P3723-M3723</f>
        <v/>
      </c>
    </row>
    <row r="3724">
      <c r="A3724" s="16" t="inlineStr">
        <is>
          <t>5.29-6.4</t>
        </is>
      </c>
      <c r="B3724" s="16" t="inlineStr">
        <is>
          <t>PO-128-13249977636472334</t>
        </is>
      </c>
      <c r="C3724" s="16" t="inlineStr">
        <is>
          <t>Shipped</t>
        </is>
      </c>
      <c r="D3724" s="16" t="inlineStr">
        <is>
          <t>128-13250137544312334</t>
        </is>
      </c>
      <c r="E3724" s="16" t="inlineStr">
        <is>
          <t>Shipped</t>
        </is>
      </c>
      <c r="F3724" s="16" t="inlineStr">
        <is>
          <t>MB-185A</t>
        </is>
      </c>
      <c r="G3724" s="16" t="inlineStr">
        <is>
          <t>Bocina Radio FM/Reproductor, Compatible con Tarjeta TF, USB, Bluetooth, Aplicable para celular, computadora, Ipad y consola.</t>
        </is>
      </c>
      <c r="H3724" s="16" t="inlineStr">
        <is>
          <t>AZUL/MB-185</t>
        </is>
      </c>
      <c r="I3724" s="16" t="n">
        <v>1</v>
      </c>
      <c r="J3724" s="17" t="n">
        <v>73</v>
      </c>
      <c r="K3724" s="17" t="n">
        <v>85.94</v>
      </c>
      <c r="L3724" s="17" t="n">
        <v>25.86</v>
      </c>
      <c r="M3724" s="17" t="n">
        <v>0</v>
      </c>
      <c r="N3724" s="17">
        <f>K3724*0.08+L3724*0.08</f>
        <v/>
      </c>
      <c r="O3724" s="17">
        <f>-(K3724*0.025+L3724*0.025)</f>
        <v/>
      </c>
      <c r="P3724" s="17">
        <f>32</f>
        <v/>
      </c>
      <c r="Q3724" s="17">
        <f>J3724+L3724+N3724+O3724-P3724-M3724</f>
        <v/>
      </c>
    </row>
    <row r="3725">
      <c r="A3725" s="16" t="inlineStr">
        <is>
          <t>5.29-6.4</t>
        </is>
      </c>
      <c r="B3725" s="16" t="inlineStr">
        <is>
          <t>PO-128-13061605294713459</t>
        </is>
      </c>
      <c r="C3725" s="16" t="inlineStr">
        <is>
          <t>Shipped</t>
        </is>
      </c>
      <c r="D3725" s="16" t="inlineStr">
        <is>
          <t>128-13061710152313459</t>
        </is>
      </c>
      <c r="E3725" s="16" t="inlineStr">
        <is>
          <t>Shipped</t>
        </is>
      </c>
      <c r="F3725" s="16" t="inlineStr">
        <is>
          <t>LB02235-blanco</t>
        </is>
      </c>
      <c r="G3725" s="16" t="inlineStr">
        <is>
          <t>Audífonos Inalámbricos para la Cabeza, Recargables y Multifuncionales - Conectan a Varios Dispositivos, soportan Radio FM, Tarjeta TF y AUX - 4 Horas de Reproducción Musical - Ideal para Trabajo Cotidiano, Juegos y Estudio</t>
        </is>
      </c>
      <c r="H3725" s="16" t="inlineStr">
        <is>
          <t>BLANCO</t>
        </is>
      </c>
      <c r="I3725" s="16" t="n">
        <v>1</v>
      </c>
      <c r="J3725" s="17" t="n">
        <v>37.71</v>
      </c>
      <c r="K3725" s="17" t="n">
        <v>50.82</v>
      </c>
      <c r="L3725" s="17" t="n">
        <v>25.86</v>
      </c>
      <c r="M3725" s="17" t="n">
        <v>0</v>
      </c>
      <c r="N3725" s="17">
        <f>K3725*0.08+L3725*0.08</f>
        <v/>
      </c>
      <c r="O3725" s="17">
        <f>-(K3725*0.025+L3725*0.025)</f>
        <v/>
      </c>
      <c r="P3725" s="17">
        <f>32</f>
        <v/>
      </c>
      <c r="Q3725" s="17">
        <f>J3725+L3725+N3725+O3725-P3725-M3725</f>
        <v/>
      </c>
    </row>
    <row r="3726">
      <c r="A3726" s="16" t="inlineStr">
        <is>
          <t>5.29-6.4</t>
        </is>
      </c>
      <c r="B3726" s="16" t="inlineStr">
        <is>
          <t>PO-128-13279790387832223</t>
        </is>
      </c>
      <c r="C3726" s="16" t="inlineStr">
        <is>
          <t>Shipped</t>
        </is>
      </c>
      <c r="D3726" s="16" t="inlineStr">
        <is>
          <t>128-13279811359352223</t>
        </is>
      </c>
      <c r="E3726" s="16" t="inlineStr">
        <is>
          <t>Shipped</t>
        </is>
      </c>
      <c r="F3726" s="16" t="inlineStr">
        <is>
          <t>LB02235-negro</t>
        </is>
      </c>
      <c r="G3726" s="16" t="inlineStr">
        <is>
          <t>Audífonos Inalámbricos para la Cabeza, Recargables y Multifuncionales - Conectan a Varios Dispositivos, soportan Radio FM, Tarjeta TF y AUX - 4 Horas de Reproducción Musical - Ideal para Trabajo Cotidiano, Juegos y Estudio</t>
        </is>
      </c>
      <c r="H3726" s="16" t="inlineStr">
        <is>
          <t>NEGRO</t>
        </is>
      </c>
      <c r="I3726" s="16" t="n">
        <v>1</v>
      </c>
      <c r="J3726" s="17" t="n">
        <v>37.71</v>
      </c>
      <c r="K3726" s="17" t="n">
        <v>50.82</v>
      </c>
      <c r="L3726" s="17" t="n">
        <v>25.86</v>
      </c>
      <c r="M3726" s="17" t="n">
        <v>0</v>
      </c>
      <c r="N3726" s="17">
        <f>K3726*0.08+L3726*0.08</f>
        <v/>
      </c>
      <c r="O3726" s="17">
        <f>-(K3726*0.025+L3726*0.025)</f>
        <v/>
      </c>
      <c r="P3726" s="17">
        <f>32</f>
        <v/>
      </c>
      <c r="Q3726" s="17">
        <f>J3726+L3726+N3726+O3726-P3726-M3726</f>
        <v/>
      </c>
    </row>
    <row r="3727">
      <c r="A3727" s="16" t="inlineStr">
        <is>
          <t>5.29-6.4</t>
        </is>
      </c>
      <c r="B3727" s="16" t="inlineStr">
        <is>
          <t>PO-128-13687663442550814</t>
        </is>
      </c>
      <c r="C3727" s="16" t="inlineStr">
        <is>
          <t>Shipped</t>
        </is>
      </c>
      <c r="D3727" s="16" t="inlineStr">
        <is>
          <t>128-13687621499510814</t>
        </is>
      </c>
      <c r="E3727" s="16" t="inlineStr">
        <is>
          <t>Shipped</t>
        </is>
      </c>
      <c r="F3727" s="16" t="inlineStr">
        <is>
          <t>MCM-001R</t>
        </is>
      </c>
      <c r="G3727" s="16" t="inlineStr">
        <is>
          <t>Musicord Altavoz Inalámbrico BT Portátil: ¡Sonido impactante, luces LED multicolores y 4 horas de autonomía! Compatible con TWS, FM, TF y USB – Imprescindible para fiestas y viajes</t>
        </is>
      </c>
      <c r="H3727" s="16" t="inlineStr">
        <is>
          <t>ROJO</t>
        </is>
      </c>
      <c r="I3727" s="16" t="n">
        <v>1</v>
      </c>
      <c r="J3727" s="17" t="n">
        <v>59</v>
      </c>
      <c r="K3727" s="17" t="n">
        <v>70.28</v>
      </c>
      <c r="L3727" s="17" t="n">
        <v>25.86</v>
      </c>
      <c r="M3727" s="17" t="n">
        <v>0</v>
      </c>
      <c r="N3727" s="17">
        <f>K3727*0.08+L3727*0.08</f>
        <v/>
      </c>
      <c r="O3727" s="17">
        <f>-(K3727*0.025+L3727*0.025)</f>
        <v/>
      </c>
      <c r="P3727" s="17">
        <f>32</f>
        <v/>
      </c>
      <c r="Q3727" s="17">
        <f>J3727+L3727+N3727+O3727-P3727-M3727</f>
        <v/>
      </c>
    </row>
    <row r="3728">
      <c r="A3728" s="16" t="inlineStr">
        <is>
          <t>5.29-6.4</t>
        </is>
      </c>
      <c r="B3728" s="16" t="inlineStr">
        <is>
          <t>PO-128-13719577851510753</t>
        </is>
      </c>
      <c r="C3728" s="16" t="inlineStr">
        <is>
          <t>Shipped</t>
        </is>
      </c>
      <c r="D3728" s="16" t="inlineStr">
        <is>
          <t>128-13719729895030753</t>
        </is>
      </c>
      <c r="E3728" s="16" t="inlineStr">
        <is>
          <t>Shipped</t>
        </is>
      </c>
      <c r="F3728" s="16" t="inlineStr">
        <is>
          <t>LB02235-rojo</t>
        </is>
      </c>
      <c r="G3728" s="16" t="inlineStr">
        <is>
          <t>Audífonos Inalámbricos para la Cabeza, Recargables y Multifuncionales - Conectan a Varios Dispositivos, soportan Radio FM, Tarjeta TF y AUX - 4 Horas de Reproducción Musical - Ideal para Trabajo Cotidiano, Juegos y Estudio</t>
        </is>
      </c>
      <c r="H3728" s="16" t="inlineStr">
        <is>
          <t>ROJO</t>
        </is>
      </c>
      <c r="I3728" s="16" t="n">
        <v>1</v>
      </c>
      <c r="J3728" s="17" t="n">
        <v>37.71</v>
      </c>
      <c r="K3728" s="17" t="n">
        <v>50.82</v>
      </c>
      <c r="L3728" s="17" t="n">
        <v>25.86</v>
      </c>
      <c r="M3728" s="17" t="n">
        <v>0.91</v>
      </c>
      <c r="N3728" s="17">
        <f>K3728*0.08+L3728*0.08</f>
        <v/>
      </c>
      <c r="O3728" s="17">
        <f>-(K3728*0.025+L3728*0.025)</f>
        <v/>
      </c>
      <c r="P3728" s="17">
        <f>32</f>
        <v/>
      </c>
      <c r="Q3728" s="17">
        <f>J3728+L3728+N3728+O3728-P3728-M3728</f>
        <v/>
      </c>
    </row>
    <row r="3729">
      <c r="A3729" s="16" t="inlineStr">
        <is>
          <t>5.29-6.4</t>
        </is>
      </c>
      <c r="B3729" s="16" t="inlineStr">
        <is>
          <t>PO-128-13436078541431355</t>
        </is>
      </c>
      <c r="C3729" s="16" t="inlineStr">
        <is>
          <t>Shipped</t>
        </is>
      </c>
      <c r="D3729" s="16" t="inlineStr">
        <is>
          <t>128-13436120484471355</t>
        </is>
      </c>
      <c r="E3729" s="16" t="inlineStr">
        <is>
          <t>Shipped</t>
        </is>
      </c>
      <c r="F3729" s="16" t="inlineStr">
        <is>
          <t>MB-178-N</t>
        </is>
      </c>
      <c r="G3729" s="16" t="inlineStr">
        <is>
          <t>Bocina de Barra Bluetooth LINK BITS con dos altavoces, sonido de alta calidad y multifuncional (Bluetooth, Radio FM, USB, TF, AUX, TWS), ideal para juegos, reuniones, oficina y cine en casa.</t>
        </is>
      </c>
      <c r="H3729" s="16" t="inlineStr">
        <is>
          <t>NEGRO</t>
        </is>
      </c>
      <c r="I3729" s="16" t="n">
        <v>1</v>
      </c>
      <c r="J3729" s="17" t="n">
        <v>135</v>
      </c>
      <c r="K3729" s="17" t="n">
        <v>154.34</v>
      </c>
      <c r="L3729" s="17" t="n">
        <v>25.86</v>
      </c>
      <c r="M3729" s="17" t="n">
        <v>0</v>
      </c>
      <c r="N3729" s="17">
        <f>K3729*0.08+L3729*0.08</f>
        <v/>
      </c>
      <c r="O3729" s="17">
        <f>-(K3729*0.025+L3729*0.025)</f>
        <v/>
      </c>
      <c r="P3729" s="17">
        <f>32</f>
        <v/>
      </c>
      <c r="Q3729" s="17">
        <f>J3729+L3729+N3729+O3729-P3729-M3729</f>
        <v/>
      </c>
    </row>
    <row r="3730">
      <c r="A3730" s="16" t="inlineStr">
        <is>
          <t>5.29-6.4</t>
        </is>
      </c>
      <c r="B3730" s="16" t="inlineStr">
        <is>
          <t>PO-128-13337697219192836</t>
        </is>
      </c>
      <c r="C3730" s="16" t="inlineStr">
        <is>
          <t>Shipped</t>
        </is>
      </c>
      <c r="D3730" s="16" t="inlineStr">
        <is>
          <t>128-13337707704952836</t>
        </is>
      </c>
      <c r="E3730" s="16" t="inlineStr">
        <is>
          <t>Shipped</t>
        </is>
      </c>
      <c r="F3730" s="16" t="inlineStr">
        <is>
          <t>MCM-001R</t>
        </is>
      </c>
      <c r="G3730" s="16" t="inlineStr">
        <is>
          <t>Musicord Altavoz Inalámbrico BT Portátil: ¡Sonido impactante, luces LED multicolores y 4 horas de autonomía! Compatible con TWS, FM, TF y USB – Imprescindible para fiestas y viajes</t>
        </is>
      </c>
      <c r="H3730" s="16" t="inlineStr">
        <is>
          <t>ROJO</t>
        </is>
      </c>
      <c r="I3730" s="16" t="n">
        <v>1</v>
      </c>
      <c r="J3730" s="17" t="n">
        <v>59</v>
      </c>
      <c r="K3730" s="17" t="n">
        <v>57.37</v>
      </c>
      <c r="L3730" s="17" t="n">
        <v>25.86</v>
      </c>
      <c r="M3730" s="17" t="n">
        <v>0</v>
      </c>
      <c r="N3730" s="17">
        <f>K3730*0.08+L3730*0.08</f>
        <v/>
      </c>
      <c r="O3730" s="17">
        <f>-(K3730*0.025+L3730*0.025)</f>
        <v/>
      </c>
      <c r="P3730" s="17">
        <f>32</f>
        <v/>
      </c>
      <c r="Q3730" s="17">
        <f>J3730+L3730+N3730+O3730-P3730-M3730</f>
        <v/>
      </c>
    </row>
    <row r="3731">
      <c r="A3731" s="16" t="inlineStr">
        <is>
          <t>5.29-6.4</t>
        </is>
      </c>
      <c r="B3731" s="16" t="inlineStr">
        <is>
          <t>PO-128-13414461563511482</t>
        </is>
      </c>
      <c r="C3731" s="16" t="inlineStr">
        <is>
          <t>Shipped</t>
        </is>
      </c>
      <c r="D3731" s="16" t="inlineStr">
        <is>
          <t>128-13414503506551482</t>
        </is>
      </c>
      <c r="E3731" s="16" t="inlineStr">
        <is>
          <t>Shipped</t>
        </is>
      </c>
      <c r="F3731" s="16" t="inlineStr">
        <is>
          <t>LV34W04</t>
        </is>
      </c>
      <c r="G373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31" s="16" t="inlineStr">
        <is>
          <t>LV34W04</t>
        </is>
      </c>
      <c r="I3731" s="16" t="n">
        <v>2</v>
      </c>
      <c r="J3731" s="17" t="n">
        <v>460.6</v>
      </c>
      <c r="K3731" s="17" t="n">
        <v>515.3</v>
      </c>
      <c r="L3731" s="17" t="n">
        <v>0</v>
      </c>
      <c r="M3731" s="17" t="n">
        <v>0</v>
      </c>
      <c r="N3731" s="17">
        <f>K3731*0.08+L3731*0.08</f>
        <v/>
      </c>
      <c r="O3731" s="17">
        <f>-(K3731*0.025+L3731*0.025)</f>
        <v/>
      </c>
      <c r="P3731" s="17">
        <f>32</f>
        <v/>
      </c>
      <c r="Q3731" s="17">
        <f>J3731+L3731+N3731+O3731-P3731-M3731</f>
        <v/>
      </c>
    </row>
    <row r="3732">
      <c r="A3732" s="16" t="inlineStr">
        <is>
          <t>5.29-6.4</t>
        </is>
      </c>
      <c r="B3732" s="16" t="inlineStr">
        <is>
          <t>PO-128-13365648394872735</t>
        </is>
      </c>
      <c r="C3732" s="16" t="inlineStr">
        <is>
          <t>Shipped</t>
        </is>
      </c>
      <c r="D3732" s="16" t="inlineStr">
        <is>
          <t>128-13365690337912735</t>
        </is>
      </c>
      <c r="E3732" s="16" t="inlineStr">
        <is>
          <t>Shipped</t>
        </is>
      </c>
      <c r="F3732" s="16" t="inlineStr">
        <is>
          <t>LB02235-blanco</t>
        </is>
      </c>
      <c r="G3732" s="16" t="inlineStr">
        <is>
          <t>Audífonos Inalámbricos para la Cabeza, Recargables y Multifuncionales - Conectan a Varios Dispositivos, soportan Radio FM, Tarjeta TF y AUX - 4 Horas de Reproducción Musical - Ideal para Trabajo Cotidiano, Juegos y Estudio</t>
        </is>
      </c>
      <c r="H3732" s="16" t="inlineStr">
        <is>
          <t>BLANCO</t>
        </is>
      </c>
      <c r="I3732" s="16" t="n">
        <v>1</v>
      </c>
      <c r="J3732" s="17" t="n">
        <v>37.71</v>
      </c>
      <c r="K3732" s="17" t="n">
        <v>7.72</v>
      </c>
      <c r="L3732" s="17" t="n">
        <v>25.86</v>
      </c>
      <c r="M3732" s="17" t="n">
        <v>0</v>
      </c>
      <c r="N3732" s="17">
        <f>K3732*0.08+L3732*0.08</f>
        <v/>
      </c>
      <c r="O3732" s="17">
        <f>-(K3732*0.025+L3732*0.025)</f>
        <v/>
      </c>
      <c r="P3732" s="17">
        <f>32</f>
        <v/>
      </c>
      <c r="Q3732" s="17">
        <f>J3732+L3732+N3732+O3732-P3732-M3732</f>
        <v/>
      </c>
    </row>
    <row r="3733">
      <c r="A3733" s="16" t="inlineStr">
        <is>
          <t>5.29-6.4</t>
        </is>
      </c>
      <c r="B3733" s="16" t="inlineStr">
        <is>
          <t>PO-128-13633710172790241</t>
        </is>
      </c>
      <c r="C3733" s="16" t="inlineStr">
        <is>
          <t>Shipped</t>
        </is>
      </c>
      <c r="D3733" s="16" t="inlineStr">
        <is>
          <t>128-13633731144310241</t>
        </is>
      </c>
      <c r="E3733" s="16" t="inlineStr">
        <is>
          <t>Shipped</t>
        </is>
      </c>
      <c r="F3733" s="16" t="inlineStr">
        <is>
          <t>LB02235-rojo</t>
        </is>
      </c>
      <c r="G3733" s="16" t="inlineStr">
        <is>
          <t>Audífonos Inalámbricos para la Cabeza, Recargables y Multifuncionales - Conectan a Varios Dispositivos, soportan Radio FM, Tarjeta TF y AUX - 4 Horas de Reproducción Musical - Ideal para Trabajo Cotidiano, Juegos y Estudio</t>
        </is>
      </c>
      <c r="H3733" s="16" t="inlineStr">
        <is>
          <t>ROJO</t>
        </is>
      </c>
      <c r="I3733" s="16" t="n">
        <v>1</v>
      </c>
      <c r="J3733" s="17" t="n">
        <v>37.71</v>
      </c>
      <c r="K3733" s="17" t="n">
        <v>50.82</v>
      </c>
      <c r="L3733" s="17" t="n">
        <v>25.86</v>
      </c>
      <c r="M3733" s="17" t="n">
        <v>0</v>
      </c>
      <c r="N3733" s="17">
        <f>K3733*0.08+L3733*0.08</f>
        <v/>
      </c>
      <c r="O3733" s="17">
        <f>-(K3733*0.025+L3733*0.025)</f>
        <v/>
      </c>
      <c r="P3733" s="17">
        <f>32</f>
        <v/>
      </c>
      <c r="Q3733" s="17">
        <f>J3733+L3733+N3733+O3733-P3733-M3733</f>
        <v/>
      </c>
    </row>
    <row r="3734">
      <c r="A3734" s="16" t="inlineStr">
        <is>
          <t>5.29-6.4</t>
        </is>
      </c>
      <c r="B3734" s="16" t="inlineStr">
        <is>
          <t>PO-128-13594836183670281</t>
        </is>
      </c>
      <c r="C3734" s="16" t="inlineStr">
        <is>
          <t>Shipped</t>
        </is>
      </c>
      <c r="D3734" s="16" t="inlineStr">
        <is>
          <t>128-13594904341110281</t>
        </is>
      </c>
      <c r="E3734" s="16" t="inlineStr">
        <is>
          <t>Shipped</t>
        </is>
      </c>
      <c r="F3734" s="16" t="inlineStr">
        <is>
          <t>HD005</t>
        </is>
      </c>
      <c r="G3734" s="16" t="inlineStr">
        <is>
          <t>Link bits HD005 Antena UHF para Exteriores, Antena de TV Digital HD con 10 Metros de Cable, Recepción 470-862MHz, 9-7dB de Ganancia, Antena para Canales Abiertos y HD, Resistente al Agua y Viento, Fácil Instalación</t>
        </is>
      </c>
      <c r="H3734" s="16" t="inlineStr">
        <is>
          <t>1</t>
        </is>
      </c>
      <c r="I3734" s="16" t="n">
        <v>1</v>
      </c>
      <c r="J3734" s="17" t="n">
        <v>75</v>
      </c>
      <c r="K3734" s="17" t="n">
        <v>92.66</v>
      </c>
      <c r="L3734" s="17" t="n">
        <v>25.86</v>
      </c>
      <c r="M3734" s="17" t="n">
        <v>0</v>
      </c>
      <c r="N3734" s="17">
        <f>K3734*0.08+L3734*0.08</f>
        <v/>
      </c>
      <c r="O3734" s="17">
        <f>-(K3734*0.025+L3734*0.025)</f>
        <v/>
      </c>
      <c r="P3734" s="17">
        <f>32</f>
        <v/>
      </c>
      <c r="Q3734" s="17">
        <f>J3734+L3734+N3734+O3734-P3734-M3734</f>
        <v/>
      </c>
    </row>
    <row r="3735">
      <c r="A3735" s="16" t="inlineStr">
        <is>
          <t>5.29-6.4</t>
        </is>
      </c>
      <c r="B3735" s="16" t="inlineStr">
        <is>
          <t>PO-128-13361967309432693</t>
        </is>
      </c>
      <c r="C3735" s="16" t="inlineStr">
        <is>
          <t>Shipped</t>
        </is>
      </c>
      <c r="D3735" s="16" t="inlineStr">
        <is>
          <t>128-13362035466872693</t>
        </is>
      </c>
      <c r="E3735" s="16" t="inlineStr">
        <is>
          <t>Shipped</t>
        </is>
      </c>
      <c r="F3735" s="16" t="inlineStr">
        <is>
          <t>LB02235-rojo</t>
        </is>
      </c>
      <c r="G3735" s="16" t="inlineStr">
        <is>
          <t>Audífonos Inalámbricos para la Cabeza, Recargables y Multifuncionales - Conectan a Varios Dispositivos, soportan Radio FM, Tarjeta TF y AUX - 4 Horas de Reproducción Musical - Ideal para Trabajo Cotidiano, Juegos y Estudio</t>
        </is>
      </c>
      <c r="H3735" s="16" t="inlineStr">
        <is>
          <t>ROJO</t>
        </is>
      </c>
      <c r="I3735" s="16" t="n">
        <v>1</v>
      </c>
      <c r="J3735" s="17" t="n">
        <v>37.71</v>
      </c>
      <c r="K3735" s="17" t="n">
        <v>50.82</v>
      </c>
      <c r="L3735" s="17" t="n">
        <v>25.86</v>
      </c>
      <c r="M3735" s="17" t="n">
        <v>0.91</v>
      </c>
      <c r="N3735" s="17">
        <f>K3735*0.08+L3735*0.08</f>
        <v/>
      </c>
      <c r="O3735" s="17">
        <f>-(K3735*0.025+L3735*0.025)</f>
        <v/>
      </c>
      <c r="P3735" s="17">
        <f>32</f>
        <v/>
      </c>
      <c r="Q3735" s="17">
        <f>J3735+L3735+N3735+O3735-P3735-M3735</f>
        <v/>
      </c>
    </row>
    <row r="3736">
      <c r="A3736" s="16" t="inlineStr">
        <is>
          <t>5.29-6.4</t>
        </is>
      </c>
      <c r="B3736" s="16" t="inlineStr">
        <is>
          <t>PO-128-13593224361590483</t>
        </is>
      </c>
      <c r="C3736" s="16" t="inlineStr">
        <is>
          <t>Shipped</t>
        </is>
      </c>
      <c r="D3736" s="16" t="inlineStr">
        <is>
          <t>128-13593229604470483</t>
        </is>
      </c>
      <c r="E3736" s="16" t="inlineStr">
        <is>
          <t>Shipped</t>
        </is>
      </c>
      <c r="F3736" s="16" t="inlineStr">
        <is>
          <t>LB02235-negro</t>
        </is>
      </c>
      <c r="G3736" s="16" t="inlineStr">
        <is>
          <t>Audífonos Inalámbricos para la Cabeza, Recargables y Multifuncionales - Conectan a Varios Dispositivos, soportan Radio FM, Tarjeta TF y AUX - 4 Horas de Reproducción Musical - Ideal para Trabajo Cotidiano, Juegos y Estudio</t>
        </is>
      </c>
      <c r="H3736" s="16" t="inlineStr">
        <is>
          <t>NEGRO</t>
        </is>
      </c>
      <c r="I3736" s="16" t="n">
        <v>1</v>
      </c>
      <c r="J3736" s="17" t="n">
        <v>37.71</v>
      </c>
      <c r="K3736" s="17" t="n">
        <v>50.82</v>
      </c>
      <c r="L3736" s="17" t="n">
        <v>25.86</v>
      </c>
      <c r="M3736" s="17" t="n">
        <v>0</v>
      </c>
      <c r="N3736" s="17">
        <f>K3736*0.08+L3736*0.08</f>
        <v/>
      </c>
      <c r="O3736" s="17">
        <f>-(K3736*0.025+L3736*0.025)</f>
        <v/>
      </c>
      <c r="P3736" s="17">
        <f>32</f>
        <v/>
      </c>
      <c r="Q3736" s="17">
        <f>J3736+L3736+N3736+O3736-P3736-M3736</f>
        <v/>
      </c>
    </row>
    <row r="3737">
      <c r="A3737" s="16" t="inlineStr">
        <is>
          <t>5.29-6.4</t>
        </is>
      </c>
      <c r="B3737" s="16" t="inlineStr">
        <is>
          <t>PO-128-13163225539194068</t>
        </is>
      </c>
      <c r="C3737" s="16" t="inlineStr">
        <is>
          <t>Shipped</t>
        </is>
      </c>
      <c r="D3737" s="16" t="inlineStr">
        <is>
          <t>128-13163183596154068</t>
        </is>
      </c>
      <c r="E3737" s="16" t="inlineStr">
        <is>
          <t>Shipped</t>
        </is>
      </c>
      <c r="F3737" s="16" t="inlineStr">
        <is>
          <t>LB02235-negro</t>
        </is>
      </c>
      <c r="G3737" s="16" t="inlineStr">
        <is>
          <t>Audífonos Inalámbricos para la Cabeza, Recargables y Multifuncionales - Conectan a Varios Dispositivos, soportan Radio FM, Tarjeta TF y AUX - 4 Horas de Reproducción Musical - Ideal para Trabajo Cotidiano, Juegos y Estudio</t>
        </is>
      </c>
      <c r="H3737" s="16" t="inlineStr">
        <is>
          <t>NEGRO</t>
        </is>
      </c>
      <c r="I3737" s="16" t="n">
        <v>1</v>
      </c>
      <c r="J3737" s="17" t="n">
        <v>37.71</v>
      </c>
      <c r="K3737" s="17" t="n">
        <v>50.82</v>
      </c>
      <c r="L3737" s="17" t="n">
        <v>25.86</v>
      </c>
      <c r="M3737" s="17" t="n">
        <v>0</v>
      </c>
      <c r="N3737" s="17">
        <f>K3737*0.08+L3737*0.08</f>
        <v/>
      </c>
      <c r="O3737" s="17">
        <f>-(K3737*0.025+L3737*0.025)</f>
        <v/>
      </c>
      <c r="P3737" s="17">
        <f>32</f>
        <v/>
      </c>
      <c r="Q3737" s="17">
        <f>J3737+L3737+N3737+O3737-P3737-M3737</f>
        <v/>
      </c>
    </row>
    <row r="3738">
      <c r="A3738" s="16" t="inlineStr">
        <is>
          <t>5.29-6.4</t>
        </is>
      </c>
      <c r="B3738" s="16" t="inlineStr">
        <is>
          <t>PO-128-13625292437110163</t>
        </is>
      </c>
      <c r="C3738" s="16" t="inlineStr">
        <is>
          <t>Shipped</t>
        </is>
      </c>
      <c r="D3738" s="16" t="inlineStr">
        <is>
          <t>128-13625428751990163</t>
        </is>
      </c>
      <c r="E3738" s="16" t="inlineStr">
        <is>
          <t>Shipped</t>
        </is>
      </c>
      <c r="F3738" s="16" t="inlineStr">
        <is>
          <t>SA8056T</t>
        </is>
      </c>
      <c r="G373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738" s="16" t="inlineStr">
        <is>
          <t>SA8056T</t>
        </is>
      </c>
      <c r="I3738" s="16" t="n">
        <v>1</v>
      </c>
      <c r="J3738" s="17" t="n">
        <v>123.9</v>
      </c>
      <c r="K3738" s="17" t="n">
        <v>192.09</v>
      </c>
      <c r="L3738" s="17" t="n">
        <v>0</v>
      </c>
      <c r="M3738" s="17" t="n">
        <v>0</v>
      </c>
      <c r="N3738" s="17">
        <f>K3738*0.08+L3738*0.08</f>
        <v/>
      </c>
      <c r="O3738" s="17">
        <f>-(K3738*0.025+L3738*0.025)</f>
        <v/>
      </c>
      <c r="P3738" s="17">
        <f>32</f>
        <v/>
      </c>
      <c r="Q3738" s="17">
        <f>J3738+L3738+N3738+O3738-P3738-M3738</f>
        <v/>
      </c>
    </row>
    <row r="3739">
      <c r="A3739" s="16" t="inlineStr">
        <is>
          <t>5.29-6.4</t>
        </is>
      </c>
      <c r="B3739" s="16" t="inlineStr">
        <is>
          <t>PO-128-13625292437110163</t>
        </is>
      </c>
      <c r="C3739" s="16" t="inlineStr">
        <is>
          <t>Shipped</t>
        </is>
      </c>
      <c r="D3739" s="16" t="inlineStr">
        <is>
          <t>128-13625386808950163</t>
        </is>
      </c>
      <c r="E3739" s="16" t="inlineStr">
        <is>
          <t>Shipped</t>
        </is>
      </c>
      <c r="F3739" s="16" t="inlineStr">
        <is>
          <t>VA880T</t>
        </is>
      </c>
      <c r="G373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739" s="16" t="inlineStr">
        <is>
          <t>1 pieza</t>
        </is>
      </c>
      <c r="I3739" s="16" t="n">
        <v>1</v>
      </c>
      <c r="J3739" s="17" t="n">
        <v>121.64</v>
      </c>
      <c r="K3739" s="17" t="n">
        <v>133.93</v>
      </c>
      <c r="L3739" s="17" t="n">
        <v>0</v>
      </c>
      <c r="M3739" s="17" t="n">
        <v>0</v>
      </c>
      <c r="N3739" s="17">
        <f>K3739*0.08+L3739*0.08</f>
        <v/>
      </c>
      <c r="O3739" s="17">
        <f>-(K3739*0.025+L3739*0.025)</f>
        <v/>
      </c>
      <c r="P3739" s="17">
        <f>32</f>
        <v/>
      </c>
      <c r="Q3739" s="17">
        <f>J3739+L3739+N3739+O3739-P3739-M3739</f>
        <v/>
      </c>
    </row>
    <row r="3740">
      <c r="A3740" s="16" t="inlineStr">
        <is>
          <t>5.29-6.4</t>
        </is>
      </c>
      <c r="B3740" s="16" t="inlineStr">
        <is>
          <t>PO-128-13301323397752092</t>
        </is>
      </c>
      <c r="C3740" s="16" t="inlineStr">
        <is>
          <t>Shipped</t>
        </is>
      </c>
      <c r="D3740" s="16" t="inlineStr">
        <is>
          <t>128-13301333883512092</t>
        </is>
      </c>
      <c r="E3740" s="16" t="inlineStr">
        <is>
          <t>Shipped</t>
        </is>
      </c>
      <c r="F3740" s="16" t="inlineStr">
        <is>
          <t>VA880T</t>
        </is>
      </c>
      <c r="G374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740" s="16" t="inlineStr">
        <is>
          <t>1 pieza</t>
        </is>
      </c>
      <c r="I3740" s="16" t="n">
        <v>1</v>
      </c>
      <c r="J3740" s="17" t="n">
        <v>121.64</v>
      </c>
      <c r="K3740" s="17" t="n">
        <v>133.93</v>
      </c>
      <c r="L3740" s="17" t="n">
        <v>25.86</v>
      </c>
      <c r="M3740" s="17" t="n">
        <v>0</v>
      </c>
      <c r="N3740" s="17">
        <f>K3740*0.08+L3740*0.08</f>
        <v/>
      </c>
      <c r="O3740" s="17">
        <f>-(K3740*0.025+L3740*0.025)</f>
        <v/>
      </c>
      <c r="P3740" s="17">
        <f>32</f>
        <v/>
      </c>
      <c r="Q3740" s="17">
        <f>J3740+L3740+N3740+O3740-P3740-M3740</f>
        <v/>
      </c>
    </row>
    <row r="3741">
      <c r="A3741" s="16" t="inlineStr">
        <is>
          <t>5.29-6.4</t>
        </is>
      </c>
      <c r="B3741" s="16" t="inlineStr">
        <is>
          <t>PO-128-13405249987191411</t>
        </is>
      </c>
      <c r="C3741" s="16" t="inlineStr">
        <is>
          <t>Shipped</t>
        </is>
      </c>
      <c r="D3741" s="16" t="inlineStr">
        <is>
          <t>128-13405221151351411</t>
        </is>
      </c>
      <c r="E3741" s="16" t="inlineStr">
        <is>
          <t>Shipped</t>
        </is>
      </c>
      <c r="F3741" s="16" t="inlineStr">
        <is>
          <t>MCM-001N</t>
        </is>
      </c>
      <c r="G3741" s="16" t="inlineStr">
        <is>
          <t>Musicord Altavoz Inalámbrico BT Portátil: ¡Sonido impactante, luces LED multicolores y 4 horas de autonomía! Compatible con TWS, FM, TF y USB – Imprescindible para fiestas y viajes</t>
        </is>
      </c>
      <c r="H3741" s="16" t="inlineStr">
        <is>
          <t>NEGRO</t>
        </is>
      </c>
      <c r="I3741" s="16" t="n">
        <v>1</v>
      </c>
      <c r="J3741" s="17" t="n">
        <v>52</v>
      </c>
      <c r="K3741" s="17" t="n">
        <v>47.87</v>
      </c>
      <c r="L3741" s="17" t="n">
        <v>25.86</v>
      </c>
      <c r="M3741" s="17" t="n">
        <v>0.71</v>
      </c>
      <c r="N3741" s="17">
        <f>K3741*0.08+L3741*0.08</f>
        <v/>
      </c>
      <c r="O3741" s="17">
        <f>-(K3741*0.025+L3741*0.025)</f>
        <v/>
      </c>
      <c r="P3741" s="17">
        <f>32</f>
        <v/>
      </c>
      <c r="Q3741" s="17">
        <f>J3741+L3741+N3741+O3741-P3741-M3741</f>
        <v/>
      </c>
    </row>
    <row r="3742">
      <c r="A3742" s="16" t="inlineStr">
        <is>
          <t>5.29-6.4</t>
        </is>
      </c>
      <c r="B3742" s="16" t="inlineStr">
        <is>
          <t>PO-128-13103482737273208</t>
        </is>
      </c>
      <c r="C3742" s="16" t="inlineStr">
        <is>
          <t>Shipped</t>
        </is>
      </c>
      <c r="D3742" s="16" t="inlineStr">
        <is>
          <t>128-13103409336953208</t>
        </is>
      </c>
      <c r="E3742" s="16" t="inlineStr">
        <is>
          <t>Shipped</t>
        </is>
      </c>
      <c r="F3742" s="16" t="inlineStr">
        <is>
          <t>S09W18IB</t>
        </is>
      </c>
      <c r="G374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742" s="16" t="inlineStr">
        <is>
          <t>1 pieza</t>
        </is>
      </c>
      <c r="I3742" s="16" t="n">
        <v>1</v>
      </c>
      <c r="J3742" s="17" t="n">
        <v>33</v>
      </c>
      <c r="K3742" s="17" t="n">
        <v>47.24</v>
      </c>
      <c r="L3742" s="17" t="n">
        <v>25.86</v>
      </c>
      <c r="M3742" s="17" t="n">
        <v>0</v>
      </c>
      <c r="N3742" s="17">
        <f>K3742*0.08+L3742*0.08</f>
        <v/>
      </c>
      <c r="O3742" s="17">
        <f>-(K3742*0.025+L3742*0.025)</f>
        <v/>
      </c>
      <c r="P3742" s="17">
        <f>32</f>
        <v/>
      </c>
      <c r="Q3742" s="17">
        <f>J3742+L3742+N3742+O3742-P3742-M3742</f>
        <v/>
      </c>
    </row>
    <row r="3743">
      <c r="A3743" s="16" t="inlineStr">
        <is>
          <t>5.29-6.4</t>
        </is>
      </c>
      <c r="B3743" s="16" t="inlineStr">
        <is>
          <t>PO-128-13570878935671638</t>
        </is>
      </c>
      <c r="C3743" s="16" t="inlineStr">
        <is>
          <t>Shipped</t>
        </is>
      </c>
      <c r="D3743" s="16" t="inlineStr">
        <is>
          <t>128-13570889421431638</t>
        </is>
      </c>
      <c r="E3743" s="16" t="inlineStr">
        <is>
          <t>Shipped</t>
        </is>
      </c>
      <c r="F3743" s="16" t="inlineStr">
        <is>
          <t>LB02235-azul</t>
        </is>
      </c>
      <c r="G3743" s="16" t="inlineStr">
        <is>
          <t>Audífonos Inalámbricos para la Cabeza, Recargables y Multifuncionales - Conectan a Varios Dispositivos, soportan Radio FM, Tarjeta TF y AUX - 4 Horas de Reproducción Musical - Ideal para Trabajo Cotidiano, Juegos y Estudio</t>
        </is>
      </c>
      <c r="H3743" s="16" t="inlineStr">
        <is>
          <t>AZUL</t>
        </is>
      </c>
      <c r="I3743" s="16" t="n">
        <v>1</v>
      </c>
      <c r="J3743" s="17" t="n">
        <v>36.8</v>
      </c>
      <c r="K3743" s="17" t="n">
        <v>17.48</v>
      </c>
      <c r="L3743" s="17" t="n">
        <v>25.86</v>
      </c>
      <c r="M3743" s="17" t="n">
        <v>0</v>
      </c>
      <c r="N3743" s="17">
        <f>K3743*0.08+L3743*0.08</f>
        <v/>
      </c>
      <c r="O3743" s="17">
        <f>-(K3743*0.025+L3743*0.025)</f>
        <v/>
      </c>
      <c r="P3743" s="17">
        <f>32</f>
        <v/>
      </c>
      <c r="Q3743" s="17">
        <f>J3743+L3743+N3743+O3743-P3743-M3743</f>
        <v/>
      </c>
    </row>
    <row r="3744">
      <c r="A3744" s="16" t="inlineStr">
        <is>
          <t>5.29-6.4</t>
        </is>
      </c>
      <c r="B3744" s="16" t="inlineStr">
        <is>
          <t>PO-128-13480203367031090</t>
        </is>
      </c>
      <c r="C3744" s="16" t="inlineStr">
        <is>
          <t>Shipped</t>
        </is>
      </c>
      <c r="D3744" s="16" t="inlineStr">
        <is>
          <t>128-13480237445751090</t>
        </is>
      </c>
      <c r="E3744" s="16" t="inlineStr">
        <is>
          <t>Shipped</t>
        </is>
      </c>
      <c r="F3744" s="16" t="inlineStr">
        <is>
          <t>MCM-001R</t>
        </is>
      </c>
      <c r="G3744" s="16" t="inlineStr">
        <is>
          <t>Musicord Altavoz Inalámbrico BT Portátil: ¡Sonido impactante, luces LED multicolores y 4 horas de autonomía! Compatible con TWS, FM, TF y USB – Imprescindible para fiestas y viajes</t>
        </is>
      </c>
      <c r="H3744" s="16" t="inlineStr">
        <is>
          <t>ROJO</t>
        </is>
      </c>
      <c r="I3744" s="16" t="n">
        <v>1</v>
      </c>
      <c r="J3744" s="17" t="n">
        <v>59</v>
      </c>
      <c r="K3744" s="17" t="n">
        <v>70.28</v>
      </c>
      <c r="L3744" s="17" t="n">
        <v>25.86</v>
      </c>
      <c r="M3744" s="17" t="n">
        <v>0</v>
      </c>
      <c r="N3744" s="17">
        <f>K3744*0.08+L3744*0.08</f>
        <v/>
      </c>
      <c r="O3744" s="17">
        <f>-(K3744*0.025+L3744*0.025)</f>
        <v/>
      </c>
      <c r="P3744" s="17">
        <f>32</f>
        <v/>
      </c>
      <c r="Q3744" s="17">
        <f>J3744+L3744+N3744+O3744-P3744-M3744</f>
        <v/>
      </c>
    </row>
    <row r="3745">
      <c r="A3745" s="16" t="inlineStr">
        <is>
          <t>5.29-6.4</t>
        </is>
      </c>
      <c r="B3745" s="16" t="inlineStr">
        <is>
          <t>PO-128-13446623887991162</t>
        </is>
      </c>
      <c r="C3745" s="16" t="inlineStr">
        <is>
          <t>Shipped</t>
        </is>
      </c>
      <c r="D3745" s="16" t="inlineStr">
        <is>
          <t>128-13446676316791162</t>
        </is>
      </c>
      <c r="E3745" s="16" t="inlineStr">
        <is>
          <t>Shipped</t>
        </is>
      </c>
      <c r="F3745" s="16" t="inlineStr">
        <is>
          <t>LB02235-negro</t>
        </is>
      </c>
      <c r="G3745" s="16" t="inlineStr">
        <is>
          <t>Audífonos Inalámbricos para la Cabeza, Recargables y Multifuncionales - Conectan a Varios Dispositivos, soportan Radio FM, Tarjeta TF y AUX - 4 Horas de Reproducción Musical - Ideal para Trabajo Cotidiano, Juegos y Estudio</t>
        </is>
      </c>
      <c r="H3745" s="16" t="inlineStr">
        <is>
          <t>NEGRO</t>
        </is>
      </c>
      <c r="I3745" s="16" t="n">
        <v>1</v>
      </c>
      <c r="J3745" s="17" t="n">
        <v>37.71</v>
      </c>
      <c r="K3745" s="17" t="n">
        <v>50.82</v>
      </c>
      <c r="L3745" s="17" t="n">
        <v>25.86</v>
      </c>
      <c r="M3745" s="17" t="n">
        <v>0</v>
      </c>
      <c r="N3745" s="17">
        <f>K3745*0.08+L3745*0.08</f>
        <v/>
      </c>
      <c r="O3745" s="17">
        <f>-(K3745*0.025+L3745*0.025)</f>
        <v/>
      </c>
      <c r="P3745" s="17">
        <f>32</f>
        <v/>
      </c>
      <c r="Q3745" s="17">
        <f>J3745+L3745+N3745+O3745-P3745-M3745</f>
        <v/>
      </c>
    </row>
    <row r="3746">
      <c r="A3746" s="16" t="inlineStr">
        <is>
          <t>5.29-6.4</t>
        </is>
      </c>
      <c r="B3746" s="16" t="inlineStr">
        <is>
          <t>PO-128-13731204147830554</t>
        </is>
      </c>
      <c r="C3746" s="16" t="inlineStr">
        <is>
          <t>Shipped</t>
        </is>
      </c>
      <c r="D3746" s="16" t="inlineStr">
        <is>
          <t>128-13731246090870554</t>
        </is>
      </c>
      <c r="E3746" s="16" t="inlineStr">
        <is>
          <t>Shipped</t>
        </is>
      </c>
      <c r="F3746" s="16" t="inlineStr">
        <is>
          <t>MCM-001R</t>
        </is>
      </c>
      <c r="G3746" s="16" t="inlineStr">
        <is>
          <t>Musicord Altavoz Inalámbrico BT Portátil: ¡Sonido impactante, luces LED multicolores y 4 horas de autonomía! Compatible con TWS, FM, TF y USB – Imprescindible para fiestas y viajes</t>
        </is>
      </c>
      <c r="H3746" s="16" t="inlineStr">
        <is>
          <t>ROJO</t>
        </is>
      </c>
      <c r="I3746" s="16" t="n">
        <v>1</v>
      </c>
      <c r="J3746" s="17" t="n">
        <v>51</v>
      </c>
      <c r="K3746" s="17" t="n">
        <v>1.94</v>
      </c>
      <c r="L3746" s="17" t="n">
        <v>25.86</v>
      </c>
      <c r="M3746" s="17" t="n">
        <v>0</v>
      </c>
      <c r="N3746" s="17">
        <f>K3746*0.08+L3746*0.08</f>
        <v/>
      </c>
      <c r="O3746" s="17">
        <f>-(K3746*0.025+L3746*0.025)</f>
        <v/>
      </c>
      <c r="P3746" s="17">
        <f>32</f>
        <v/>
      </c>
      <c r="Q3746" s="17">
        <f>J3746+L3746+N3746+O3746-P3746-M3746</f>
        <v/>
      </c>
    </row>
    <row r="3747">
      <c r="A3747" s="16" t="inlineStr">
        <is>
          <t>5.29-6.4</t>
        </is>
      </c>
      <c r="B3747" s="16" t="inlineStr">
        <is>
          <t>PO-128-13738814935670639</t>
        </is>
      </c>
      <c r="C3747" s="16" t="inlineStr">
        <is>
          <t>Shipped</t>
        </is>
      </c>
      <c r="D3747" s="16" t="inlineStr">
        <is>
          <t>128-13738741535350639</t>
        </is>
      </c>
      <c r="E3747" s="16" t="inlineStr">
        <is>
          <t>Shipped</t>
        </is>
      </c>
      <c r="F3747" s="16" t="inlineStr">
        <is>
          <t>LV34W04</t>
        </is>
      </c>
      <c r="G374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47" s="16" t="inlineStr">
        <is>
          <t>LV34W04</t>
        </is>
      </c>
      <c r="I3747" s="16" t="n">
        <v>3</v>
      </c>
      <c r="J3747" s="17" t="n">
        <v>660</v>
      </c>
      <c r="K3747" s="17" t="n">
        <v>742.02</v>
      </c>
      <c r="L3747" s="17" t="n">
        <v>0</v>
      </c>
      <c r="M3747" s="17" t="n">
        <v>0</v>
      </c>
      <c r="N3747" s="17">
        <f>K3747*0.08+L3747*0.08</f>
        <v/>
      </c>
      <c r="O3747" s="17">
        <f>-(K3747*0.025+L3747*0.025)</f>
        <v/>
      </c>
      <c r="P3747" s="17">
        <f>32</f>
        <v/>
      </c>
      <c r="Q3747" s="17">
        <f>J3747+L3747+N3747+O3747-P3747-M3747</f>
        <v/>
      </c>
    </row>
    <row r="3748">
      <c r="A3748" s="16" t="inlineStr">
        <is>
          <t>5.29-6.4</t>
        </is>
      </c>
      <c r="B3748" s="16" t="inlineStr">
        <is>
          <t>PO-128-13353153526392936</t>
        </is>
      </c>
      <c r="C3748" s="16" t="inlineStr">
        <is>
          <t>Shipped</t>
        </is>
      </c>
      <c r="D3748" s="16" t="inlineStr">
        <is>
          <t>128-13353111583352936</t>
        </is>
      </c>
      <c r="E3748" s="16" t="inlineStr">
        <is>
          <t>Shipped</t>
        </is>
      </c>
      <c r="F3748" s="16" t="inlineStr">
        <is>
          <t>LB02235-azul</t>
        </is>
      </c>
      <c r="G3748" s="16" t="inlineStr">
        <is>
          <t>Audífonos Inalámbricos para la Cabeza, Recargables y Multifuncionales - Conectan a Varios Dispositivos, soportan Radio FM, Tarjeta TF y AUX - 4 Horas de Reproducción Musical - Ideal para Trabajo Cotidiano, Juegos y Estudio</t>
        </is>
      </c>
      <c r="H3748" s="16" t="inlineStr">
        <is>
          <t>AZUL</t>
        </is>
      </c>
      <c r="I3748" s="16" t="n">
        <v>1</v>
      </c>
      <c r="J3748" s="17" t="n">
        <v>29.9</v>
      </c>
      <c r="K3748" s="17" t="n">
        <v>43.01</v>
      </c>
      <c r="L3748" s="17" t="n">
        <v>25.86</v>
      </c>
      <c r="M3748" s="17" t="n">
        <v>0.9</v>
      </c>
      <c r="N3748" s="17">
        <f>K3748*0.08+L3748*0.08</f>
        <v/>
      </c>
      <c r="O3748" s="17">
        <f>-(K3748*0.025+L3748*0.025)</f>
        <v/>
      </c>
      <c r="P3748" s="17">
        <f>32</f>
        <v/>
      </c>
      <c r="Q3748" s="17">
        <f>J3748+L3748+N3748+O3748-P3748-M3748</f>
        <v/>
      </c>
    </row>
    <row r="3749">
      <c r="A3749" s="16" t="inlineStr">
        <is>
          <t>5.29-6.4</t>
        </is>
      </c>
      <c r="B3749" s="16" t="inlineStr">
        <is>
          <t>PO-128-13417551263351528</t>
        </is>
      </c>
      <c r="C3749" s="16" t="inlineStr">
        <is>
          <t>Shipped</t>
        </is>
      </c>
      <c r="D3749" s="16" t="inlineStr">
        <is>
          <t>128-13417532913271528</t>
        </is>
      </c>
      <c r="E3749" s="16" t="inlineStr">
        <is>
          <t>Shipped</t>
        </is>
      </c>
      <c r="F3749" s="16" t="inlineStr">
        <is>
          <t>VB347T</t>
        </is>
      </c>
      <c r="G374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49" s="16" t="inlineStr">
        <is>
          <t>1 pieza</t>
        </is>
      </c>
      <c r="I3749" s="16" t="n">
        <v>2</v>
      </c>
      <c r="J3749" s="17" t="n">
        <v>155.8</v>
      </c>
      <c r="K3749" s="17" t="n">
        <v>121.79</v>
      </c>
      <c r="L3749" s="17" t="n">
        <v>0</v>
      </c>
      <c r="M3749" s="17" t="n">
        <v>0</v>
      </c>
      <c r="N3749" s="17">
        <f>K3749*0.08+L3749*0.08</f>
        <v/>
      </c>
      <c r="O3749" s="17">
        <f>-(K3749*0.025+L3749*0.025)</f>
        <v/>
      </c>
      <c r="P3749" s="17">
        <f>32</f>
        <v/>
      </c>
      <c r="Q3749" s="17">
        <f>J3749+L3749+N3749+O3749-P3749-M3749</f>
        <v/>
      </c>
    </row>
    <row r="3750">
      <c r="A3750" s="16" t="inlineStr">
        <is>
          <t>5.29-6.4</t>
        </is>
      </c>
      <c r="B3750" s="16" t="inlineStr">
        <is>
          <t>PO-128-13417551263351528</t>
        </is>
      </c>
      <c r="C3750" s="16" t="inlineStr">
        <is>
          <t>Shipped</t>
        </is>
      </c>
      <c r="D3750" s="16" t="inlineStr">
        <is>
          <t>128-13417522427511528</t>
        </is>
      </c>
      <c r="E3750" s="16" t="inlineStr">
        <is>
          <t>Shipped</t>
        </is>
      </c>
      <c r="F3750" s="16" t="inlineStr">
        <is>
          <t>LB02235-negro</t>
        </is>
      </c>
      <c r="G3750" s="16" t="inlineStr">
        <is>
          <t>Audífonos Inalámbricos para la Cabeza, Recargables y Multifuncionales - Conectan a Varios Dispositivos, soportan Radio FM, Tarjeta TF y AUX - 4 Horas de Reproducción Musical - Ideal para Trabajo Cotidiano, Juegos y Estudio</t>
        </is>
      </c>
      <c r="H3750" s="16" t="inlineStr">
        <is>
          <t>NEGRO</t>
        </is>
      </c>
      <c r="I3750" s="16" t="n">
        <v>2</v>
      </c>
      <c r="J3750" s="17" t="n">
        <v>70</v>
      </c>
      <c r="K3750" s="17" t="n">
        <v>56.1</v>
      </c>
      <c r="L3750" s="17" t="n">
        <v>0</v>
      </c>
      <c r="M3750" s="17" t="n">
        <v>0</v>
      </c>
      <c r="N3750" s="17">
        <f>K3750*0.08+L3750*0.08</f>
        <v/>
      </c>
      <c r="O3750" s="17">
        <f>-(K3750*0.025+L3750*0.025)</f>
        <v/>
      </c>
      <c r="P3750" s="17">
        <f>32</f>
        <v/>
      </c>
      <c r="Q3750" s="17">
        <f>J3750+L3750+N3750+O3750-P3750-M3750</f>
        <v/>
      </c>
    </row>
    <row r="3751">
      <c r="A3751" s="16" t="inlineStr">
        <is>
          <t>5.29-6.4</t>
        </is>
      </c>
      <c r="B3751" s="16" t="inlineStr">
        <is>
          <t>PO-128-13677964334711001</t>
        </is>
      </c>
      <c r="C3751" s="16" t="inlineStr">
        <is>
          <t>Shipped</t>
        </is>
      </c>
      <c r="D3751" s="16" t="inlineStr">
        <is>
          <t>128-13677977441911001</t>
        </is>
      </c>
      <c r="E3751" s="16" t="inlineStr">
        <is>
          <t>Shipped</t>
        </is>
      </c>
      <c r="F3751" s="16" t="inlineStr">
        <is>
          <t>HD005</t>
        </is>
      </c>
      <c r="G3751" s="16" t="inlineStr">
        <is>
          <t>Link bits HD005 Antena UHF para Exteriores, Antena de TV Digital HD con 10 Metros de Cable, Recepción 470-862MHz, 9-7dB de Ganancia, Antena para Canales Abiertos y HD, Resistente al Agua y Viento, Fácil Instalación</t>
        </is>
      </c>
      <c r="H3751" s="16" t="inlineStr">
        <is>
          <t>1</t>
        </is>
      </c>
      <c r="I3751" s="16" t="n">
        <v>3</v>
      </c>
      <c r="J3751" s="17" t="n">
        <v>210</v>
      </c>
      <c r="K3751" s="17" t="n">
        <v>262.98</v>
      </c>
      <c r="L3751" s="17" t="n">
        <v>0</v>
      </c>
      <c r="M3751" s="17" t="n">
        <v>0</v>
      </c>
      <c r="N3751" s="17">
        <f>K3751*0.08+L3751*0.08</f>
        <v/>
      </c>
      <c r="O3751" s="17">
        <f>-(K3751*0.025+L3751*0.025)</f>
        <v/>
      </c>
      <c r="P3751" s="17">
        <f>32</f>
        <v/>
      </c>
      <c r="Q3751" s="17">
        <f>J3751+L3751+N3751+O3751-P3751-M3751</f>
        <v/>
      </c>
    </row>
    <row r="3752">
      <c r="A3752" s="16" t="inlineStr">
        <is>
          <t>5.29-6.4</t>
        </is>
      </c>
      <c r="B3752" s="16" t="inlineStr">
        <is>
          <t>PO-128-13358360085112712</t>
        </is>
      </c>
      <c r="C3752" s="16" t="inlineStr">
        <is>
          <t>Shipped</t>
        </is>
      </c>
      <c r="D3752" s="16" t="inlineStr">
        <is>
          <t>128-13358394163832712</t>
        </is>
      </c>
      <c r="E3752" s="16" t="inlineStr">
        <is>
          <t>Shipped</t>
        </is>
      </c>
      <c r="F3752" s="16" t="inlineStr">
        <is>
          <t>LB02235-negro</t>
        </is>
      </c>
      <c r="G3752" s="16" t="inlineStr">
        <is>
          <t>Audífonos Inalámbricos para la Cabeza, Recargables y Multifuncionales - Conectan a Varios Dispositivos, soportan Radio FM, Tarjeta TF y AUX - 4 Horas de Reproducción Musical - Ideal para Trabajo Cotidiano, Juegos y Estudio</t>
        </is>
      </c>
      <c r="H3752" s="16" t="inlineStr">
        <is>
          <t>NEGRO</t>
        </is>
      </c>
      <c r="I3752" s="16" t="n">
        <v>1</v>
      </c>
      <c r="J3752" s="17" t="n">
        <v>35</v>
      </c>
      <c r="K3752" s="17" t="n">
        <v>48.11</v>
      </c>
      <c r="L3752" s="17" t="n">
        <v>25.86</v>
      </c>
      <c r="M3752" s="17" t="n">
        <v>0</v>
      </c>
      <c r="N3752" s="17">
        <f>K3752*0.08+L3752*0.08</f>
        <v/>
      </c>
      <c r="O3752" s="17">
        <f>-(K3752*0.025+L3752*0.025)</f>
        <v/>
      </c>
      <c r="P3752" s="17">
        <f>32</f>
        <v/>
      </c>
      <c r="Q3752" s="17">
        <f>J3752+L3752+N3752+O3752-P3752-M3752</f>
        <v/>
      </c>
    </row>
    <row r="3753">
      <c r="A3753" s="16" t="inlineStr">
        <is>
          <t>5.29-6.4</t>
        </is>
      </c>
      <c r="B3753" s="16" t="inlineStr">
        <is>
          <t>PO-128-13491304397431920</t>
        </is>
      </c>
      <c r="C3753" s="16" t="inlineStr">
        <is>
          <t>Shipped</t>
        </is>
      </c>
      <c r="D3753" s="16" t="inlineStr">
        <is>
          <t>128-13491262454391920</t>
        </is>
      </c>
      <c r="E3753" s="16" t="inlineStr">
        <is>
          <t>Shipped</t>
        </is>
      </c>
      <c r="F3753" s="16" t="inlineStr">
        <is>
          <t>HD005</t>
        </is>
      </c>
      <c r="G3753" s="16" t="inlineStr">
        <is>
          <t>Link bits HD005 Antena UHF para Exteriores, Antena de TV Digital HD con 10 Metros de Cable, Recepción 470-862MHz, 9-7dB de Ganancia, Antena para Canales Abiertos y HD, Resistente al Agua y Viento, Fácil Instalación</t>
        </is>
      </c>
      <c r="H3753" s="16" t="inlineStr">
        <is>
          <t>1</t>
        </is>
      </c>
      <c r="I3753" s="16" t="n">
        <v>1</v>
      </c>
      <c r="J3753" s="17" t="n">
        <v>70</v>
      </c>
      <c r="K3753" s="17" t="n">
        <v>87.66</v>
      </c>
      <c r="L3753" s="17" t="n">
        <v>25.86</v>
      </c>
      <c r="M3753" s="17" t="n">
        <v>0</v>
      </c>
      <c r="N3753" s="17">
        <f>K3753*0.08+L3753*0.08</f>
        <v/>
      </c>
      <c r="O3753" s="17">
        <f>-(K3753*0.025+L3753*0.025)</f>
        <v/>
      </c>
      <c r="P3753" s="17">
        <f>32</f>
        <v/>
      </c>
      <c r="Q3753" s="17">
        <f>J3753+L3753+N3753+O3753-P3753-M3753</f>
        <v/>
      </c>
    </row>
    <row r="3754">
      <c r="A3754" s="16" t="inlineStr">
        <is>
          <t>5.29-6.4</t>
        </is>
      </c>
      <c r="B3754" s="16" t="inlineStr">
        <is>
          <t>PO-128-13565458709111606</t>
        </is>
      </c>
      <c r="C3754" s="16" t="inlineStr">
        <is>
          <t>Shipped</t>
        </is>
      </c>
      <c r="D3754" s="16" t="inlineStr">
        <is>
          <t>128-13565432494711606</t>
        </is>
      </c>
      <c r="E3754" s="16" t="inlineStr">
        <is>
          <t>Shipped</t>
        </is>
      </c>
      <c r="F3754" s="16" t="inlineStr">
        <is>
          <t>MB-185A</t>
        </is>
      </c>
      <c r="G3754" s="16" t="inlineStr">
        <is>
          <t>Bocina Radio FM/Reproductor, Compatible con Tarjeta TF, USB, Bluetooth, Aplicable para celular, computadora, Ipad y consola.</t>
        </is>
      </c>
      <c r="H3754" s="16" t="inlineStr">
        <is>
          <t>AZUL/MB-185</t>
        </is>
      </c>
      <c r="I3754" s="16" t="n">
        <v>1</v>
      </c>
      <c r="J3754" s="17" t="n">
        <v>71.31</v>
      </c>
      <c r="K3754" s="17" t="n">
        <v>84.23999999999999</v>
      </c>
      <c r="L3754" s="17" t="n">
        <v>25.86</v>
      </c>
      <c r="M3754" s="17" t="n">
        <v>0</v>
      </c>
      <c r="N3754" s="17">
        <f>K3754*0.08+L3754*0.08</f>
        <v/>
      </c>
      <c r="O3754" s="17">
        <f>-(K3754*0.025+L3754*0.025)</f>
        <v/>
      </c>
      <c r="P3754" s="17">
        <f>32</f>
        <v/>
      </c>
      <c r="Q3754" s="17">
        <f>J3754+L3754+N3754+O3754-P3754-M3754</f>
        <v/>
      </c>
    </row>
    <row r="3755">
      <c r="A3755" s="16" t="inlineStr">
        <is>
          <t>5.29-6.4</t>
        </is>
      </c>
      <c r="B3755" s="16" t="inlineStr">
        <is>
          <t>PO-128-13559754240631576</t>
        </is>
      </c>
      <c r="C3755" s="16" t="inlineStr">
        <is>
          <t>Shipped</t>
        </is>
      </c>
      <c r="D3755" s="16" t="inlineStr">
        <is>
          <t>128-13559712297591576</t>
        </is>
      </c>
      <c r="E3755" s="16" t="inlineStr">
        <is>
          <t>Shipped</t>
        </is>
      </c>
      <c r="F3755" s="16" t="inlineStr">
        <is>
          <t>MB-185N</t>
        </is>
      </c>
      <c r="G3755" s="16" t="inlineStr">
        <is>
          <t>Bocina Radio FM/Reproductor, Compatible con Tarjeta TF, USB, Bluetooth, Aplicable para celular, computadora, Ipad y consola.</t>
        </is>
      </c>
      <c r="H3755" s="16" t="inlineStr">
        <is>
          <t>NEGRO/MB-185</t>
        </is>
      </c>
      <c r="I3755" s="16" t="n">
        <v>1</v>
      </c>
      <c r="J3755" s="17" t="n">
        <v>71.31</v>
      </c>
      <c r="K3755" s="17" t="n">
        <v>60.23</v>
      </c>
      <c r="L3755" s="17" t="n">
        <v>25.86</v>
      </c>
      <c r="M3755" s="17" t="n">
        <v>0</v>
      </c>
      <c r="N3755" s="17">
        <f>K3755*0.08+L3755*0.08</f>
        <v/>
      </c>
      <c r="O3755" s="17">
        <f>-(K3755*0.025+L3755*0.025)</f>
        <v/>
      </c>
      <c r="P3755" s="17">
        <f>32</f>
        <v/>
      </c>
      <c r="Q3755" s="17">
        <f>J3755+L3755+N3755+O3755-P3755-M3755</f>
        <v/>
      </c>
    </row>
    <row r="3756">
      <c r="A3756" s="16" t="inlineStr">
        <is>
          <t>5.29-6.4</t>
        </is>
      </c>
      <c r="B3756" s="16" t="inlineStr">
        <is>
          <t>PO-128-13303242291832083</t>
        </is>
      </c>
      <c r="C3756" s="16" t="inlineStr">
        <is>
          <t>Shipped</t>
        </is>
      </c>
      <c r="D3756" s="16" t="inlineStr">
        <is>
          <t>128-13303325194872083</t>
        </is>
      </c>
      <c r="E3756" s="16" t="inlineStr">
        <is>
          <t>Shipped</t>
        </is>
      </c>
      <c r="F3756" s="16" t="inlineStr">
        <is>
          <t>EM04W36-2PZS</t>
        </is>
      </c>
      <c r="G375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756" s="16" t="inlineStr">
        <is>
          <t>2 piezas</t>
        </is>
      </c>
      <c r="I3756" s="16" t="n">
        <v>1</v>
      </c>
      <c r="J3756" s="17" t="n">
        <v>124.8</v>
      </c>
      <c r="K3756" s="17" t="n">
        <v>142.34</v>
      </c>
      <c r="L3756" s="17" t="n">
        <v>25.86</v>
      </c>
      <c r="M3756" s="17" t="n">
        <v>0</v>
      </c>
      <c r="N3756" s="17">
        <f>K3756*0.08+L3756*0.08</f>
        <v/>
      </c>
      <c r="O3756" s="17">
        <f>-(K3756*0.025+L3756*0.025)</f>
        <v/>
      </c>
      <c r="P3756" s="17">
        <f>32</f>
        <v/>
      </c>
      <c r="Q3756" s="17">
        <f>J3756+L3756+N3756+O3756-P3756-M3756</f>
        <v/>
      </c>
    </row>
    <row r="3757">
      <c r="A3757" s="16" t="inlineStr">
        <is>
          <t>5.29-6.4</t>
        </is>
      </c>
      <c r="B3757" s="16" t="inlineStr">
        <is>
          <t>PO-128-13492284815991978</t>
        </is>
      </c>
      <c r="C3757" s="16" t="inlineStr">
        <is>
          <t>Shipped</t>
        </is>
      </c>
      <c r="D3757" s="16" t="inlineStr">
        <is>
          <t>128-13492269087351978</t>
        </is>
      </c>
      <c r="E3757" s="16" t="inlineStr">
        <is>
          <t>Shipped</t>
        </is>
      </c>
      <c r="F3757" s="16" t="inlineStr">
        <is>
          <t>LB02235-azul</t>
        </is>
      </c>
      <c r="G3757" s="16" t="inlineStr">
        <is>
          <t>Audífonos Inalámbricos para la Cabeza, Recargables y Multifuncionales - Conectan a Varios Dispositivos, soportan Radio FM, Tarjeta TF y AUX - 4 Horas de Reproducción Musical - Ideal para Trabajo Cotidiano, Juegos y Estudio</t>
        </is>
      </c>
      <c r="H3757" s="16" t="inlineStr">
        <is>
          <t>AZUL</t>
        </is>
      </c>
      <c r="I3757" s="16" t="n">
        <v>1</v>
      </c>
      <c r="J3757" s="17" t="n">
        <v>29.9</v>
      </c>
      <c r="K3757" s="17" t="n">
        <v>43.01</v>
      </c>
      <c r="L3757" s="17" t="n">
        <v>25.86</v>
      </c>
      <c r="M3757" s="17" t="n">
        <v>0</v>
      </c>
      <c r="N3757" s="17">
        <f>K3757*0.08+L3757*0.08</f>
        <v/>
      </c>
      <c r="O3757" s="17">
        <f>-(K3757*0.025+L3757*0.025)</f>
        <v/>
      </c>
      <c r="P3757" s="17">
        <f>32</f>
        <v/>
      </c>
      <c r="Q3757" s="17">
        <f>J3757+L3757+N3757+O3757-P3757-M3757</f>
        <v/>
      </c>
    </row>
    <row r="3758">
      <c r="A3758" s="16" t="inlineStr">
        <is>
          <t>5.29-6.4</t>
        </is>
      </c>
      <c r="B3758" s="16" t="inlineStr">
        <is>
          <t>PO-128-13366764626552726</t>
        </is>
      </c>
      <c r="C3758" s="16" t="inlineStr">
        <is>
          <t>Shipped</t>
        </is>
      </c>
      <c r="D3758" s="16" t="inlineStr">
        <is>
          <t>128-13366869484152726</t>
        </is>
      </c>
      <c r="E3758" s="16" t="inlineStr">
        <is>
          <t>Shipped</t>
        </is>
      </c>
      <c r="F3758" s="16" t="inlineStr">
        <is>
          <t>SA325T</t>
        </is>
      </c>
      <c r="G3758" s="16" t="inlineStr">
        <is>
          <t>Subwoofer Portátil Inalámbrico con Luces RGB, Sonido de Alta Potencia y Batería Duradera, TWS TF USB, Perfecto para Campamento Fiestas y Entretenimiento en Casa</t>
        </is>
      </c>
      <c r="H3758" s="16" t="inlineStr">
        <is>
          <t>NEGRO</t>
        </is>
      </c>
      <c r="I3758" s="16" t="n">
        <v>15</v>
      </c>
      <c r="J3758" s="17" t="n">
        <v>540</v>
      </c>
      <c r="K3758" s="17" t="n">
        <v>540.45</v>
      </c>
      <c r="L3758" s="17" t="n">
        <v>0</v>
      </c>
      <c r="M3758" s="17" t="n">
        <v>0</v>
      </c>
      <c r="N3758" s="17">
        <f>K3758*0.08+L3758*0.08</f>
        <v/>
      </c>
      <c r="O3758" s="17">
        <f>-(K3758*0.025+L3758*0.025)</f>
        <v/>
      </c>
      <c r="P3758" s="17">
        <f>32</f>
        <v/>
      </c>
      <c r="Q3758" s="17">
        <f>J3758+L3758+N3758+O3758-P3758-M3758</f>
        <v/>
      </c>
    </row>
    <row r="3759">
      <c r="A3759" s="16" t="inlineStr">
        <is>
          <t>5.29-6.4</t>
        </is>
      </c>
      <c r="B3759" s="16" t="inlineStr">
        <is>
          <t>PO-128-13348333701752900</t>
        </is>
      </c>
      <c r="C3759" s="16" t="inlineStr">
        <is>
          <t>Shipped</t>
        </is>
      </c>
      <c r="D3759" s="16" t="inlineStr">
        <is>
          <t>128-13348409723512900</t>
        </is>
      </c>
      <c r="E3759" s="16" t="inlineStr">
        <is>
          <t>Shipped</t>
        </is>
      </c>
      <c r="F3759" s="16" t="inlineStr">
        <is>
          <t>LB02235-azul</t>
        </is>
      </c>
      <c r="G3759" s="16" t="inlineStr">
        <is>
          <t>Audífonos Inalámbricos para la Cabeza, Recargables y Multifuncionales - Conectan a Varios Dispositivos, soportan Radio FM, Tarjeta TF y AUX - 4 Horas de Reproducción Musical - Ideal para Trabajo Cotidiano, Juegos y Estudio</t>
        </is>
      </c>
      <c r="H3759" s="16" t="inlineStr">
        <is>
          <t>AZUL</t>
        </is>
      </c>
      <c r="I3759" s="16" t="n">
        <v>1</v>
      </c>
      <c r="J3759" s="17" t="n">
        <v>29.9</v>
      </c>
      <c r="K3759" s="17" t="n">
        <v>43.01</v>
      </c>
      <c r="L3759" s="17" t="n">
        <v>25.86</v>
      </c>
      <c r="M3759" s="17" t="n">
        <v>0</v>
      </c>
      <c r="N3759" s="17">
        <f>K3759*0.08+L3759*0.08</f>
        <v/>
      </c>
      <c r="O3759" s="17">
        <f>-(K3759*0.025+L3759*0.025)</f>
        <v/>
      </c>
      <c r="P3759" s="17">
        <f>32</f>
        <v/>
      </c>
      <c r="Q3759" s="17">
        <f>J3759+L3759+N3759+O3759-P3759-M3759</f>
        <v/>
      </c>
    </row>
    <row r="3760">
      <c r="A3760" s="16" t="inlineStr">
        <is>
          <t>5.29-6.4</t>
        </is>
      </c>
      <c r="B3760" s="16" t="inlineStr">
        <is>
          <t>PO-128-13321196836472998</t>
        </is>
      </c>
      <c r="C3760" s="16" t="inlineStr">
        <is>
          <t>Shipped</t>
        </is>
      </c>
      <c r="D3760" s="16" t="inlineStr">
        <is>
          <t>128-13321188972152998</t>
        </is>
      </c>
      <c r="E3760" s="16" t="inlineStr">
        <is>
          <t>Shipped</t>
        </is>
      </c>
      <c r="F3760" s="16" t="inlineStr">
        <is>
          <t>LB02235-azul</t>
        </is>
      </c>
      <c r="G3760" s="16" t="inlineStr">
        <is>
          <t>Audífonos Inalámbricos para la Cabeza, Recargables y Multifuncionales - Conectan a Varios Dispositivos, soportan Radio FM, Tarjeta TF y AUX - 4 Horas de Reproducción Musical - Ideal para Trabajo Cotidiano, Juegos y Estudio</t>
        </is>
      </c>
      <c r="H3760" s="16" t="inlineStr">
        <is>
          <t>AZUL</t>
        </is>
      </c>
      <c r="I3760" s="16" t="n">
        <v>1</v>
      </c>
      <c r="J3760" s="17" t="n">
        <v>29.9</v>
      </c>
      <c r="K3760" s="17" t="n">
        <v>43.01</v>
      </c>
      <c r="L3760" s="17" t="n">
        <v>25.86</v>
      </c>
      <c r="M3760" s="17" t="n">
        <v>0</v>
      </c>
      <c r="N3760" s="17">
        <f>K3760*0.08+L3760*0.08</f>
        <v/>
      </c>
      <c r="O3760" s="17">
        <f>-(K3760*0.025+L3760*0.025)</f>
        <v/>
      </c>
      <c r="P3760" s="17">
        <f>32</f>
        <v/>
      </c>
      <c r="Q3760" s="17">
        <f>J3760+L3760+N3760+O3760-P3760-M3760</f>
        <v/>
      </c>
    </row>
    <row r="3761">
      <c r="A3761" s="16" t="inlineStr">
        <is>
          <t>5.29-6.4</t>
        </is>
      </c>
      <c r="B3761" s="16" t="inlineStr">
        <is>
          <t>PO-128-13066066176633497</t>
        </is>
      </c>
      <c r="C3761" s="16" t="inlineStr">
        <is>
          <t>Shipped</t>
        </is>
      </c>
      <c r="D3761" s="16" t="inlineStr">
        <is>
          <t>128-13066093701753497</t>
        </is>
      </c>
      <c r="E3761" s="16" t="inlineStr">
        <is>
          <t>Shipped</t>
        </is>
      </c>
      <c r="F3761" s="16" t="inlineStr">
        <is>
          <t>LV34W04</t>
        </is>
      </c>
      <c r="G376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61" s="16" t="inlineStr">
        <is>
          <t>LV34W04</t>
        </is>
      </c>
      <c r="I3761" s="16" t="n">
        <v>1</v>
      </c>
      <c r="J3761" s="17" t="n">
        <v>220</v>
      </c>
      <c r="K3761" s="17" t="n">
        <v>247.34</v>
      </c>
      <c r="L3761" s="17" t="n">
        <v>0</v>
      </c>
      <c r="M3761" s="17" t="n">
        <v>0</v>
      </c>
      <c r="N3761" s="17">
        <f>K3761*0.08+L3761*0.08</f>
        <v/>
      </c>
      <c r="O3761" s="17">
        <f>-(K3761*0.025+L3761*0.025)</f>
        <v/>
      </c>
      <c r="P3761" s="17">
        <f>32</f>
        <v/>
      </c>
      <c r="Q3761" s="17">
        <f>J3761+L3761+N3761+O3761-P3761-M3761</f>
        <v/>
      </c>
    </row>
    <row r="3762">
      <c r="A3762" s="16" t="inlineStr">
        <is>
          <t>5.29-6.4</t>
        </is>
      </c>
      <c r="B3762" s="16" t="inlineStr">
        <is>
          <t>PO-128-13066066176633497</t>
        </is>
      </c>
      <c r="C3762" s="16" t="inlineStr">
        <is>
          <t>Shipped</t>
        </is>
      </c>
      <c r="D3762" s="16" t="inlineStr">
        <is>
          <t>128-13066076662393497</t>
        </is>
      </c>
      <c r="E3762" s="16" t="inlineStr">
        <is>
          <t>Shipped</t>
        </is>
      </c>
      <c r="F3762" s="16" t="inlineStr">
        <is>
          <t>LB02235-azul</t>
        </is>
      </c>
      <c r="G3762" s="16" t="inlineStr">
        <is>
          <t>Audífonos Inalámbricos para la Cabeza, Recargables y Multifuncionales - Conectan a Varios Dispositivos, soportan Radio FM, Tarjeta TF y AUX - 4 Horas de Reproducción Musical - Ideal para Trabajo Cotidiano, Juegos y Estudio</t>
        </is>
      </c>
      <c r="H3762" s="16" t="inlineStr">
        <is>
          <t>AZUL</t>
        </is>
      </c>
      <c r="I3762" s="16" t="n">
        <v>1</v>
      </c>
      <c r="J3762" s="17" t="n">
        <v>29.9</v>
      </c>
      <c r="K3762" s="17" t="n">
        <v>43.01</v>
      </c>
      <c r="L3762" s="17" t="n">
        <v>0</v>
      </c>
      <c r="M3762" s="17" t="n">
        <v>0</v>
      </c>
      <c r="N3762" s="17">
        <f>K3762*0.08+L3762*0.08</f>
        <v/>
      </c>
      <c r="O3762" s="17">
        <f>-(K3762*0.025+L3762*0.025)</f>
        <v/>
      </c>
      <c r="P3762" s="17">
        <f>32</f>
        <v/>
      </c>
      <c r="Q3762" s="17">
        <f>J3762+L3762+N3762+O3762-P3762-M3762</f>
        <v/>
      </c>
    </row>
    <row r="3763">
      <c r="A3763" s="16" t="inlineStr">
        <is>
          <t>5.29-6.4</t>
        </is>
      </c>
      <c r="B3763" s="16" t="inlineStr">
        <is>
          <t>PO-128-13544636344951730</t>
        </is>
      </c>
      <c r="C3763" s="16" t="inlineStr">
        <is>
          <t>Shipped</t>
        </is>
      </c>
      <c r="D3763" s="16" t="inlineStr">
        <is>
          <t>128-13544646830711730</t>
        </is>
      </c>
      <c r="E3763" s="16" t="inlineStr">
        <is>
          <t>Shipped</t>
        </is>
      </c>
      <c r="F3763" s="16" t="inlineStr">
        <is>
          <t>VB347T</t>
        </is>
      </c>
      <c r="G376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63" s="16" t="inlineStr">
        <is>
          <t>1 pieza</t>
        </is>
      </c>
      <c r="I3763" s="16" t="n">
        <v>1</v>
      </c>
      <c r="J3763" s="17" t="n">
        <v>77.90000000000001</v>
      </c>
      <c r="K3763" s="17" t="n">
        <v>74</v>
      </c>
      <c r="L3763" s="17" t="n">
        <v>25.86</v>
      </c>
      <c r="M3763" s="17" t="n">
        <v>0</v>
      </c>
      <c r="N3763" s="17">
        <f>K3763*0.08+L3763*0.08</f>
        <v/>
      </c>
      <c r="O3763" s="17">
        <f>-(K3763*0.025+L3763*0.025)</f>
        <v/>
      </c>
      <c r="P3763" s="17">
        <f>32</f>
        <v/>
      </c>
      <c r="Q3763" s="17">
        <f>J3763+L3763+N3763+O3763-P3763-M3763</f>
        <v/>
      </c>
    </row>
    <row r="3764">
      <c r="A3764" s="16" t="inlineStr">
        <is>
          <t>5.29-6.4</t>
        </is>
      </c>
      <c r="B3764" s="16" t="inlineStr">
        <is>
          <t>PO-128-13477239388791108</t>
        </is>
      </c>
      <c r="C3764" s="16" t="inlineStr">
        <is>
          <t>Shipped</t>
        </is>
      </c>
      <c r="D3764" s="16" t="inlineStr">
        <is>
          <t>128-13477291817591108</t>
        </is>
      </c>
      <c r="E3764" s="16" t="inlineStr">
        <is>
          <t>Shipped</t>
        </is>
      </c>
      <c r="F3764" s="16" t="inlineStr">
        <is>
          <t>LB02235-negro</t>
        </is>
      </c>
      <c r="G3764" s="16" t="inlineStr">
        <is>
          <t>Audífonos Inalámbricos para la Cabeza, Recargables y Multifuncionales - Conectan a Varios Dispositivos, soportan Radio FM, Tarjeta TF y AUX - 4 Horas de Reproducción Musical - Ideal para Trabajo Cotidiano, Juegos y Estudio</t>
        </is>
      </c>
      <c r="H3764" s="16" t="inlineStr">
        <is>
          <t>NEGRO</t>
        </is>
      </c>
      <c r="I3764" s="16" t="n">
        <v>1</v>
      </c>
      <c r="J3764" s="17" t="n">
        <v>35</v>
      </c>
      <c r="K3764" s="17" t="n">
        <v>48.11</v>
      </c>
      <c r="L3764" s="17" t="n">
        <v>8.619999999999999</v>
      </c>
      <c r="M3764" s="17" t="n">
        <v>0</v>
      </c>
      <c r="N3764" s="17">
        <f>K3764*0.08+L3764*0.08</f>
        <v/>
      </c>
      <c r="O3764" s="17">
        <f>-(K3764*0.025+L3764*0.025)</f>
        <v/>
      </c>
      <c r="P3764" s="17">
        <f>32</f>
        <v/>
      </c>
      <c r="Q3764" s="17">
        <f>J3764+L3764+N3764+O3764-P3764-M3764</f>
        <v/>
      </c>
    </row>
    <row r="3765">
      <c r="A3765" s="16" t="inlineStr">
        <is>
          <t>5.29-6.4</t>
        </is>
      </c>
      <c r="B3765" s="16" t="inlineStr">
        <is>
          <t>PO-128-13477239388791108</t>
        </is>
      </c>
      <c r="C3765" s="16" t="inlineStr">
        <is>
          <t>Shipped</t>
        </is>
      </c>
      <c r="D3765" s="16" t="inlineStr">
        <is>
          <t>128-13477297060471108</t>
        </is>
      </c>
      <c r="E3765" s="16" t="inlineStr">
        <is>
          <t>Shipped</t>
        </is>
      </c>
      <c r="F3765" s="16" t="inlineStr">
        <is>
          <t>LB02235-rojo</t>
        </is>
      </c>
      <c r="G3765" s="16" t="inlineStr">
        <is>
          <t>Audífonos Inalámbricos para la Cabeza, Recargables y Multifuncionales - Conectan a Varios Dispositivos, soportan Radio FM, Tarjeta TF y AUX - 4 Horas de Reproducción Musical - Ideal para Trabajo Cotidiano, Juegos y Estudio</t>
        </is>
      </c>
      <c r="H3765" s="16" t="inlineStr">
        <is>
          <t>ROJO</t>
        </is>
      </c>
      <c r="I3765" s="16" t="n">
        <v>1</v>
      </c>
      <c r="J3765" s="17" t="n">
        <v>35</v>
      </c>
      <c r="K3765" s="17" t="n">
        <v>48.11</v>
      </c>
      <c r="L3765" s="17" t="n">
        <v>8.619999999999999</v>
      </c>
      <c r="M3765" s="17" t="n">
        <v>0</v>
      </c>
      <c r="N3765" s="17">
        <f>K3765*0.08+L3765*0.08</f>
        <v/>
      </c>
      <c r="O3765" s="17">
        <f>-(K3765*0.025+L3765*0.025)</f>
        <v/>
      </c>
      <c r="P3765" s="17">
        <f>32</f>
        <v/>
      </c>
      <c r="Q3765" s="17">
        <f>J3765+L3765+N3765+O3765-P3765-M3765</f>
        <v/>
      </c>
    </row>
    <row r="3766">
      <c r="A3766" s="16" t="inlineStr">
        <is>
          <t>5.29-6.4</t>
        </is>
      </c>
      <c r="B3766" s="16" t="inlineStr">
        <is>
          <t>PO-128-13477239388791108</t>
        </is>
      </c>
      <c r="C3766" s="16" t="inlineStr">
        <is>
          <t>Shipped</t>
        </is>
      </c>
      <c r="D3766" s="16" t="inlineStr">
        <is>
          <t>128-13477270846071108</t>
        </is>
      </c>
      <c r="E3766" s="16" t="inlineStr">
        <is>
          <t>Shipped</t>
        </is>
      </c>
      <c r="F3766" s="16" t="inlineStr">
        <is>
          <t>LB02235-blanco</t>
        </is>
      </c>
      <c r="G3766" s="16" t="inlineStr">
        <is>
          <t>Audífonos Inalámbricos para la Cabeza, Recargables y Multifuncionales - Conectan a Varios Dispositivos, soportan Radio FM, Tarjeta TF y AUX - 4 Horas de Reproducción Musical - Ideal para Trabajo Cotidiano, Juegos y Estudio</t>
        </is>
      </c>
      <c r="H3766" s="16" t="inlineStr">
        <is>
          <t>BLANCO</t>
        </is>
      </c>
      <c r="I3766" s="16" t="n">
        <v>1</v>
      </c>
      <c r="J3766" s="17" t="n">
        <v>35</v>
      </c>
      <c r="K3766" s="17" t="n">
        <v>48.11</v>
      </c>
      <c r="L3766" s="17" t="n">
        <v>8.619999999999999</v>
      </c>
      <c r="M3766" s="17" t="n">
        <v>0</v>
      </c>
      <c r="N3766" s="17">
        <f>K3766*0.08+L3766*0.08</f>
        <v/>
      </c>
      <c r="O3766" s="17">
        <f>-(K3766*0.025+L3766*0.025)</f>
        <v/>
      </c>
      <c r="P3766" s="17">
        <f>32</f>
        <v/>
      </c>
      <c r="Q3766" s="17">
        <f>J3766+L3766+N3766+O3766-P3766-M3766</f>
        <v/>
      </c>
    </row>
    <row r="3767">
      <c r="A3767" s="16" t="inlineStr">
        <is>
          <t>5.29-6.4</t>
        </is>
      </c>
      <c r="B3767" s="16" t="inlineStr">
        <is>
          <t>PO-128-13510258407031809</t>
        </is>
      </c>
      <c r="C3767" s="16" t="inlineStr">
        <is>
          <t>Shipped</t>
        </is>
      </c>
      <c r="D3767" s="16" t="inlineStr">
        <is>
          <t>128-13510221706871809</t>
        </is>
      </c>
      <c r="E3767" s="16" t="inlineStr">
        <is>
          <t>Shipped</t>
        </is>
      </c>
      <c r="F3767" s="16" t="inlineStr">
        <is>
          <t>LV34W04</t>
        </is>
      </c>
      <c r="G376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67" s="16" t="inlineStr">
        <is>
          <t>LV34W04</t>
        </is>
      </c>
      <c r="I3767" s="16" t="n">
        <v>1</v>
      </c>
      <c r="J3767" s="17" t="n">
        <v>220</v>
      </c>
      <c r="K3767" s="17" t="n">
        <v>247.34</v>
      </c>
      <c r="L3767" s="17" t="n">
        <v>25.86</v>
      </c>
      <c r="M3767" s="17" t="n">
        <v>0</v>
      </c>
      <c r="N3767" s="17">
        <f>K3767*0.08+L3767*0.08</f>
        <v/>
      </c>
      <c r="O3767" s="17">
        <f>-(K3767*0.025+L3767*0.025)</f>
        <v/>
      </c>
      <c r="P3767" s="17">
        <f>32</f>
        <v/>
      </c>
      <c r="Q3767" s="17">
        <f>J3767+L3767+N3767+O3767-P3767-M3767</f>
        <v/>
      </c>
    </row>
    <row r="3768">
      <c r="A3768" s="16" t="inlineStr">
        <is>
          <t>5.29-6.4</t>
        </is>
      </c>
      <c r="B3768" s="16" t="inlineStr">
        <is>
          <t>PO-128-13187909519993728</t>
        </is>
      </c>
      <c r="C3768" s="16" t="inlineStr">
        <is>
          <t>Shipped</t>
        </is>
      </c>
      <c r="D3768" s="16" t="inlineStr">
        <is>
          <t>128-13187961948793728</t>
        </is>
      </c>
      <c r="E3768" s="16" t="inlineStr">
        <is>
          <t>Shipped</t>
        </is>
      </c>
      <c r="F3768" s="16" t="inlineStr">
        <is>
          <t>MB-178-N</t>
        </is>
      </c>
      <c r="G3768" s="16" t="inlineStr">
        <is>
          <t>Bocina de Barra Bluetooth LINK BITS con dos altavoces, sonido de alta calidad y multifuncional (Bluetooth, Radio FM, USB, TF, AUX, TWS), ideal para juegos, reuniones, oficina y cine en casa.</t>
        </is>
      </c>
      <c r="H3768" s="16" t="inlineStr">
        <is>
          <t>NEGRO</t>
        </is>
      </c>
      <c r="I3768" s="16" t="n">
        <v>1</v>
      </c>
      <c r="J3768" s="17" t="n">
        <v>120</v>
      </c>
      <c r="K3768" s="17" t="n">
        <v>61.68</v>
      </c>
      <c r="L3768" s="17" t="n">
        <v>25.86</v>
      </c>
      <c r="M3768" s="17" t="n">
        <v>0</v>
      </c>
      <c r="N3768" s="17">
        <f>K3768*0.08+L3768*0.08</f>
        <v/>
      </c>
      <c r="O3768" s="17">
        <f>-(K3768*0.025+L3768*0.025)</f>
        <v/>
      </c>
      <c r="P3768" s="17">
        <f>32</f>
        <v/>
      </c>
      <c r="Q3768" s="17">
        <f>J3768+L3768+N3768+O3768-P3768-M3768</f>
        <v/>
      </c>
    </row>
    <row r="3769">
      <c r="A3769" s="16" t="inlineStr">
        <is>
          <t>5.29-6.4</t>
        </is>
      </c>
      <c r="B3769" s="16" t="inlineStr">
        <is>
          <t>PO-128-13618722212470139</t>
        </is>
      </c>
      <c r="C3769" s="16" t="inlineStr">
        <is>
          <t>Shipped</t>
        </is>
      </c>
      <c r="D3769" s="16" t="inlineStr">
        <is>
          <t>128-13618680269430139</t>
        </is>
      </c>
      <c r="E3769" s="16" t="inlineStr">
        <is>
          <t>Shipped</t>
        </is>
      </c>
      <c r="F3769" s="16" t="inlineStr">
        <is>
          <t>LB02235-negro</t>
        </is>
      </c>
      <c r="G3769" s="16" t="inlineStr">
        <is>
          <t>Audífonos Inalámbricos para la Cabeza, Recargables y Multifuncionales - Conectan a Varios Dispositivos, soportan Radio FM, Tarjeta TF y AUX - 4 Horas de Reproducción Musical - Ideal para Trabajo Cotidiano, Juegos y Estudio</t>
        </is>
      </c>
      <c r="H3769" s="16" t="inlineStr">
        <is>
          <t>NEGRO</t>
        </is>
      </c>
      <c r="I3769" s="16" t="n">
        <v>1</v>
      </c>
      <c r="J3769" s="17" t="n">
        <v>35</v>
      </c>
      <c r="K3769" s="17" t="n">
        <v>48.11</v>
      </c>
      <c r="L3769" s="17" t="n">
        <v>25.86</v>
      </c>
      <c r="M3769" s="17" t="n">
        <v>0</v>
      </c>
      <c r="N3769" s="17">
        <f>K3769*0.08+L3769*0.08</f>
        <v/>
      </c>
      <c r="O3769" s="17">
        <f>-(K3769*0.025+L3769*0.025)</f>
        <v/>
      </c>
      <c r="P3769" s="17">
        <f>32</f>
        <v/>
      </c>
      <c r="Q3769" s="17">
        <f>J3769+L3769+N3769+O3769-P3769-M3769</f>
        <v/>
      </c>
    </row>
    <row r="3770">
      <c r="A3770" s="16" t="inlineStr">
        <is>
          <t>5.29-6.4</t>
        </is>
      </c>
      <c r="B3770" s="16" t="inlineStr">
        <is>
          <t>PO-128-13312450888312154</t>
        </is>
      </c>
      <c r="C3770" s="16" t="inlineStr">
        <is>
          <t>Shipped</t>
        </is>
      </c>
      <c r="D3770" s="16" t="inlineStr">
        <is>
          <t>128-13312408945272154</t>
        </is>
      </c>
      <c r="E3770" s="16" t="inlineStr">
        <is>
          <t>Shipped</t>
        </is>
      </c>
      <c r="F3770" s="16" t="inlineStr">
        <is>
          <t>VA384T-N</t>
        </is>
      </c>
      <c r="G3770" s="16" t="inlineStr">
        <is>
          <t>Bocina Portátil Bluetooth de 3 Pulgadas con Radio FM, USB TF TWS, Sonido Estéreo 5W, Bocina Recargable para Hogar Exterior Viaje Fiesta Camping</t>
        </is>
      </c>
      <c r="H3770" s="16" t="inlineStr">
        <is>
          <t>NEGRO</t>
        </is>
      </c>
      <c r="I3770" s="16" t="n">
        <v>1</v>
      </c>
      <c r="J3770" s="17" t="n">
        <v>48</v>
      </c>
      <c r="K3770" s="17" t="n">
        <v>58.72</v>
      </c>
      <c r="L3770" s="17" t="n">
        <v>25.86</v>
      </c>
      <c r="M3770" s="17" t="n">
        <v>0</v>
      </c>
      <c r="N3770" s="17">
        <f>K3770*0.08+L3770*0.08</f>
        <v/>
      </c>
      <c r="O3770" s="17">
        <f>-(K3770*0.025+L3770*0.025)</f>
        <v/>
      </c>
      <c r="P3770" s="17">
        <f>32</f>
        <v/>
      </c>
      <c r="Q3770" s="17">
        <f>J3770+L3770+N3770+O3770-P3770-M3770</f>
        <v/>
      </c>
    </row>
    <row r="3771">
      <c r="A3771" s="16" t="inlineStr">
        <is>
          <t>5.29-6.4</t>
        </is>
      </c>
      <c r="B3771" s="16" t="inlineStr">
        <is>
          <t>PO-128-13612297708150369</t>
        </is>
      </c>
      <c r="C3771" s="16" t="inlineStr">
        <is>
          <t>Shipped</t>
        </is>
      </c>
      <c r="D3771" s="16" t="inlineStr">
        <is>
          <t>128-13612355379830369</t>
        </is>
      </c>
      <c r="E3771" s="16" t="inlineStr">
        <is>
          <t>Shipped</t>
        </is>
      </c>
      <c r="F3771" s="16" t="inlineStr">
        <is>
          <t>LV34W04</t>
        </is>
      </c>
      <c r="G377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3771" s="16" t="inlineStr">
        <is>
          <t>LV34W04</t>
        </is>
      </c>
      <c r="I3771" s="16" t="n">
        <v>4</v>
      </c>
      <c r="J3771" s="17" t="n">
        <v>880</v>
      </c>
      <c r="K3771" s="17" t="n">
        <v>989.36</v>
      </c>
      <c r="L3771" s="17" t="n">
        <v>0</v>
      </c>
      <c r="M3771" s="17" t="n">
        <v>0</v>
      </c>
      <c r="N3771" s="17">
        <f>K3771*0.08+L3771*0.08</f>
        <v/>
      </c>
      <c r="O3771" s="17">
        <f>-(K3771*0.025+L3771*0.025)</f>
        <v/>
      </c>
      <c r="P3771" s="17">
        <f>32</f>
        <v/>
      </c>
      <c r="Q3771" s="17">
        <f>J3771+L3771+N3771+O3771-P3771-M3771</f>
        <v/>
      </c>
    </row>
    <row r="3772">
      <c r="A3772" s="16" t="inlineStr">
        <is>
          <t>5.29-6.4</t>
        </is>
      </c>
      <c r="B3772" s="16" t="inlineStr">
        <is>
          <t>PO-128-13284752753272257</t>
        </is>
      </c>
      <c r="C3772" s="16" t="inlineStr">
        <is>
          <t>Shipped</t>
        </is>
      </c>
      <c r="D3772" s="16" t="inlineStr">
        <is>
          <t>128-13284737024632257</t>
        </is>
      </c>
      <c r="E3772" s="16" t="inlineStr">
        <is>
          <t>Shipped</t>
        </is>
      </c>
      <c r="F3772" s="16" t="inlineStr">
        <is>
          <t>KTS-1678Y</t>
        </is>
      </c>
      <c r="G3772" s="16" t="inlineStr">
        <is>
          <t>Bocina portátil Inalámbrico, de 3 pulgadas, tamaño de bolsillo, 170 g, con asa, compatible con TF, USB y Micro SD, con radio FM y función TWS (True Wireless Stereo), adecuada para relajarse en casa o viajar al aire libre.</t>
        </is>
      </c>
      <c r="H3772" s="16" t="inlineStr">
        <is>
          <t>KTS-1678Y</t>
        </is>
      </c>
      <c r="I3772" s="16" t="n">
        <v>1</v>
      </c>
      <c r="J3772" s="17" t="n">
        <v>40</v>
      </c>
      <c r="K3772" s="17" t="n">
        <v>46.89</v>
      </c>
      <c r="L3772" s="17" t="n">
        <v>25.86</v>
      </c>
      <c r="M3772" s="17" t="n">
        <v>0</v>
      </c>
      <c r="N3772" s="17">
        <f>K3772*0.08+L3772*0.08</f>
        <v/>
      </c>
      <c r="O3772" s="17">
        <f>-(K3772*0.025+L3772*0.025)</f>
        <v/>
      </c>
      <c r="P3772" s="17">
        <f>32</f>
        <v/>
      </c>
      <c r="Q3772" s="17">
        <f>J3772+L3772+N3772+O3772-P3772-M3772</f>
        <v/>
      </c>
    </row>
    <row r="3773">
      <c r="A3773" s="16" t="inlineStr">
        <is>
          <t>5.29-6.4</t>
        </is>
      </c>
      <c r="B3773" s="16" t="inlineStr">
        <is>
          <t>PO-128-13286619218552244</t>
        </is>
      </c>
      <c r="C3773" s="16" t="inlineStr">
        <is>
          <t>Shipped</t>
        </is>
      </c>
      <c r="D3773" s="16" t="inlineStr">
        <is>
          <t>128-13286577275512244</t>
        </is>
      </c>
      <c r="E3773" s="16" t="inlineStr">
        <is>
          <t>Shipped</t>
        </is>
      </c>
      <c r="F3773" s="16" t="inlineStr">
        <is>
          <t>LB02235-azul</t>
        </is>
      </c>
      <c r="G3773" s="16" t="inlineStr">
        <is>
          <t>Audífonos Inalámbricos para la Cabeza, Recargables y Multifuncionales - Conectan a Varios Dispositivos, soportan Radio FM, Tarjeta TF y AUX - 4 Horas de Reproducción Musical - Ideal para Trabajo Cotidiano, Juegos y Estudio</t>
        </is>
      </c>
      <c r="H3773" s="16" t="inlineStr">
        <is>
          <t>AZUL</t>
        </is>
      </c>
      <c r="I3773" s="16" t="n">
        <v>1</v>
      </c>
      <c r="J3773" s="17" t="n">
        <v>29.9</v>
      </c>
      <c r="K3773" s="17" t="n">
        <v>43.01</v>
      </c>
      <c r="L3773" s="17" t="n">
        <v>25.86</v>
      </c>
      <c r="M3773" s="17" t="n">
        <v>0</v>
      </c>
      <c r="N3773" s="17">
        <f>K3773*0.08+L3773*0.08</f>
        <v/>
      </c>
      <c r="O3773" s="17">
        <f>-(K3773*0.025+L3773*0.025)</f>
        <v/>
      </c>
      <c r="P3773" s="17">
        <f>32</f>
        <v/>
      </c>
      <c r="Q3773" s="17">
        <f>J3773+L3773+N3773+O3773-P3773-M3773</f>
        <v/>
      </c>
    </row>
    <row r="3774">
      <c r="A3774" s="16" t="inlineStr">
        <is>
          <t>5.29-6.4</t>
        </is>
      </c>
      <c r="B3774" s="16" t="inlineStr">
        <is>
          <t>PO-128-13596449075830271</t>
        </is>
      </c>
      <c r="C3774" s="16" t="inlineStr">
        <is>
          <t>Shipped</t>
        </is>
      </c>
      <c r="D3774" s="16" t="inlineStr">
        <is>
          <t>128-13596553933430271</t>
        </is>
      </c>
      <c r="E3774" s="16" t="inlineStr">
        <is>
          <t>Shipped</t>
        </is>
      </c>
      <c r="F3774" s="16" t="inlineStr">
        <is>
          <t>SA325T</t>
        </is>
      </c>
      <c r="G3774" s="16" t="inlineStr">
        <is>
          <t>Subwoofer Portátil Inalámbrico con Luces RGB, Sonido de Alta Potencia y Batería Duradera, TWS TF USB, Perfecto para Campamento Fiestas y Entretenimiento en Casa</t>
        </is>
      </c>
      <c r="H3774" s="16" t="inlineStr">
        <is>
          <t>NEGRO</t>
        </is>
      </c>
      <c r="I3774" s="16" t="n">
        <v>1</v>
      </c>
      <c r="J3774" s="17" t="n">
        <v>36</v>
      </c>
      <c r="K3774" s="17" t="n">
        <v>45.04</v>
      </c>
      <c r="L3774" s="17" t="n">
        <v>25.86</v>
      </c>
      <c r="M3774" s="17" t="n">
        <v>0</v>
      </c>
      <c r="N3774" s="17">
        <f>K3774*0.08+L3774*0.08</f>
        <v/>
      </c>
      <c r="O3774" s="17">
        <f>-(K3774*0.025+L3774*0.025)</f>
        <v/>
      </c>
      <c r="P3774" s="17">
        <f>32</f>
        <v/>
      </c>
      <c r="Q3774" s="17">
        <f>J3774+L3774+N3774+O3774-P3774-M3774</f>
        <v/>
      </c>
    </row>
    <row r="3775">
      <c r="A3775" s="16" t="inlineStr">
        <is>
          <t>5.29-6.4</t>
        </is>
      </c>
      <c r="B3775" s="16" t="inlineStr">
        <is>
          <t>PO-128-13522046433911867</t>
        </is>
      </c>
      <c r="C3775" s="16" t="inlineStr">
        <is>
          <t>Shipped</t>
        </is>
      </c>
      <c r="D3775" s="16" t="inlineStr">
        <is>
          <t>128-13522067405431867</t>
        </is>
      </c>
      <c r="E3775" s="16" t="inlineStr">
        <is>
          <t>Shipped</t>
        </is>
      </c>
      <c r="F3775" s="16" t="inlineStr">
        <is>
          <t>LB02235-blanco</t>
        </is>
      </c>
      <c r="G3775" s="16" t="inlineStr">
        <is>
          <t>Audífonos Inalámbricos para la Cabeza, Recargables y Multifuncionales - Conectan a Varios Dispositivos, soportan Radio FM, Tarjeta TF y AUX - 4 Horas de Reproducción Musical - Ideal para Trabajo Cotidiano, Juegos y Estudio</t>
        </is>
      </c>
      <c r="H3775" s="16" t="inlineStr">
        <is>
          <t>BLANCO</t>
        </is>
      </c>
      <c r="I3775" s="16" t="n">
        <v>1</v>
      </c>
      <c r="J3775" s="17" t="n">
        <v>35</v>
      </c>
      <c r="K3775" s="17" t="n">
        <v>48.11</v>
      </c>
      <c r="L3775" s="17" t="n">
        <v>25.86</v>
      </c>
      <c r="M3775" s="17" t="n">
        <v>0</v>
      </c>
      <c r="N3775" s="17">
        <f>K3775*0.08+L3775*0.08</f>
        <v/>
      </c>
      <c r="O3775" s="17">
        <f>-(K3775*0.025+L3775*0.025)</f>
        <v/>
      </c>
      <c r="P3775" s="17">
        <f>32</f>
        <v/>
      </c>
      <c r="Q3775" s="17">
        <f>J3775+L3775+N3775+O3775-P3775-M3775</f>
        <v/>
      </c>
    </row>
    <row r="3776">
      <c r="A3776" s="16" t="inlineStr">
        <is>
          <t>5.29-6.4</t>
        </is>
      </c>
      <c r="B3776" s="16" t="inlineStr">
        <is>
          <t>PO-128-13343652199032864</t>
        </is>
      </c>
      <c r="C3776" s="16" t="inlineStr">
        <is>
          <t>Shipped</t>
        </is>
      </c>
      <c r="D3776" s="16" t="inlineStr">
        <is>
          <t>128-13343683656312864</t>
        </is>
      </c>
      <c r="E3776" s="16" t="inlineStr">
        <is>
          <t>Shipped</t>
        </is>
      </c>
      <c r="F3776" s="16" t="inlineStr">
        <is>
          <t>LB02235-rojo</t>
        </is>
      </c>
      <c r="G3776" s="16" t="inlineStr">
        <is>
          <t>Audífonos Inalámbricos para la Cabeza, Recargables y Multifuncionales - Conectan a Varios Dispositivos, soportan Radio FM, Tarjeta TF y AUX - 4 Horas de Reproducción Musical - Ideal para Trabajo Cotidiano, Juegos y Estudio</t>
        </is>
      </c>
      <c r="H3776" s="16" t="inlineStr">
        <is>
          <t>ROJO</t>
        </is>
      </c>
      <c r="I3776" s="16" t="n">
        <v>1</v>
      </c>
      <c r="J3776" s="17" t="n">
        <v>35</v>
      </c>
      <c r="K3776" s="17" t="n">
        <v>48.11</v>
      </c>
      <c r="L3776" s="17" t="n">
        <v>25.86</v>
      </c>
      <c r="M3776" s="17" t="n">
        <v>0</v>
      </c>
      <c r="N3776" s="17">
        <f>K3776*0.08+L3776*0.08</f>
        <v/>
      </c>
      <c r="O3776" s="17">
        <f>-(K3776*0.025+L3776*0.025)</f>
        <v/>
      </c>
      <c r="P3776" s="17">
        <f>32</f>
        <v/>
      </c>
      <c r="Q3776" s="17">
        <f>J3776+L3776+N3776+O3776-P3776-M3776</f>
        <v/>
      </c>
    </row>
    <row r="3777">
      <c r="A3777" s="16" t="inlineStr">
        <is>
          <t>5.29-6.4</t>
        </is>
      </c>
      <c r="B3777" s="16" t="inlineStr">
        <is>
          <t>PO-128-13435668931191356</t>
        </is>
      </c>
      <c r="C3777" s="16" t="inlineStr">
        <is>
          <t>Shipped</t>
        </is>
      </c>
      <c r="D3777" s="16" t="inlineStr">
        <is>
          <t>128-13435679416951356</t>
        </is>
      </c>
      <c r="E3777" s="16" t="inlineStr">
        <is>
          <t>Shipped</t>
        </is>
      </c>
      <c r="F3777" s="16" t="inlineStr">
        <is>
          <t>LB02235-blanco</t>
        </is>
      </c>
      <c r="G3777" s="16" t="inlineStr">
        <is>
          <t>Audífonos Inalámbricos para la Cabeza, Recargables y Multifuncionales - Conectan a Varios Dispositivos, soportan Radio FM, Tarjeta TF y AUX - 4 Horas de Reproducción Musical - Ideal para Trabajo Cotidiano, Juegos y Estudio</t>
        </is>
      </c>
      <c r="H3777" s="16" t="inlineStr">
        <is>
          <t>BLANCO</t>
        </is>
      </c>
      <c r="I3777" s="16" t="n">
        <v>1</v>
      </c>
      <c r="J3777" s="17" t="n">
        <v>35</v>
      </c>
      <c r="K3777" s="17" t="n">
        <v>48.11</v>
      </c>
      <c r="L3777" s="17" t="n">
        <v>25.86</v>
      </c>
      <c r="M3777" s="17" t="n">
        <v>0</v>
      </c>
      <c r="N3777" s="17">
        <f>K3777*0.08+L3777*0.08</f>
        <v/>
      </c>
      <c r="O3777" s="17">
        <f>-(K3777*0.025+L3777*0.025)</f>
        <v/>
      </c>
      <c r="P3777" s="17">
        <f>32</f>
        <v/>
      </c>
      <c r="Q3777" s="17">
        <f>J3777+L3777+N3777+O3777-P3777-M3777</f>
        <v/>
      </c>
    </row>
    <row r="3778">
      <c r="A3778" s="16" t="inlineStr">
        <is>
          <t>5.29-6.4</t>
        </is>
      </c>
      <c r="B3778" s="16" t="inlineStr">
        <is>
          <t>PO-128-13191337022073772</t>
        </is>
      </c>
      <c r="C3778" s="16" t="inlineStr">
        <is>
          <t>Shipped</t>
        </is>
      </c>
      <c r="D3778" s="16" t="inlineStr">
        <is>
          <t>128-13191295079033772</t>
        </is>
      </c>
      <c r="E3778" s="16" t="inlineStr">
        <is>
          <t>Shipped</t>
        </is>
      </c>
      <c r="F3778" s="16" t="inlineStr">
        <is>
          <t>SA325T</t>
        </is>
      </c>
      <c r="G3778" s="16" t="inlineStr">
        <is>
          <t>Subwoofer Portátil Inalámbrico con Luces RGB, Sonido de Alta Potencia y Batería Duradera, TWS TF USB, Perfecto para Campamento Fiestas y Entretenimiento en Casa</t>
        </is>
      </c>
      <c r="H3778" s="16" t="inlineStr">
        <is>
          <t>NEGRO</t>
        </is>
      </c>
      <c r="I3778" s="16" t="n">
        <v>1</v>
      </c>
      <c r="J3778" s="17" t="n">
        <v>36</v>
      </c>
      <c r="K3778" s="17" t="n">
        <v>40.03</v>
      </c>
      <c r="L3778" s="17" t="n">
        <v>11.22</v>
      </c>
      <c r="M3778" s="17" t="n">
        <v>0</v>
      </c>
      <c r="N3778" s="17">
        <f>K3778*0.08+L3778*0.08</f>
        <v/>
      </c>
      <c r="O3778" s="17">
        <f>-(K3778*0.025+L3778*0.025)</f>
        <v/>
      </c>
      <c r="P3778" s="17">
        <f>32</f>
        <v/>
      </c>
      <c r="Q3778" s="17">
        <f>J3778+L3778+N3778+O3778-P3778-M3778</f>
        <v/>
      </c>
    </row>
    <row r="3779">
      <c r="A3779" s="16" t="inlineStr">
        <is>
          <t>5.29-6.4</t>
        </is>
      </c>
      <c r="B3779" s="16" t="inlineStr">
        <is>
          <t>PO-128-13191337022073772</t>
        </is>
      </c>
      <c r="C3779" s="16" t="inlineStr">
        <is>
          <t>Shipped</t>
        </is>
      </c>
      <c r="D3779" s="16" t="inlineStr">
        <is>
          <t>128-13191316050553772</t>
        </is>
      </c>
      <c r="E3779" s="16" t="inlineStr">
        <is>
          <t>Shipped</t>
        </is>
      </c>
      <c r="F3779" s="16" t="inlineStr">
        <is>
          <t>VA384T-R</t>
        </is>
      </c>
      <c r="G3779" s="16" t="inlineStr">
        <is>
          <t>Bocina Portátil Bluetooth de 3 Pulgadas con Radio FM, USB TF TWS, Sonido Estéreo 5W, Bocina Recargable para Hogar Exterior Viaje Fiesta Camping</t>
        </is>
      </c>
      <c r="H3779" s="16" t="inlineStr">
        <is>
          <t>ROJO</t>
        </is>
      </c>
      <c r="I3779" s="16" t="n">
        <v>1</v>
      </c>
      <c r="J3779" s="17" t="n">
        <v>48</v>
      </c>
      <c r="K3779" s="17" t="n">
        <v>52.19</v>
      </c>
      <c r="L3779" s="17" t="n">
        <v>14.64</v>
      </c>
      <c r="M3779" s="17" t="n">
        <v>0</v>
      </c>
      <c r="N3779" s="17">
        <f>K3779*0.08+L3779*0.08</f>
        <v/>
      </c>
      <c r="O3779" s="17">
        <f>-(K3779*0.025+L3779*0.025)</f>
        <v/>
      </c>
      <c r="P3779" s="17">
        <f>32</f>
        <v/>
      </c>
      <c r="Q3779" s="17">
        <f>J3779+L3779+N3779+O3779-P3779-M3779</f>
        <v/>
      </c>
    </row>
    <row r="3780">
      <c r="A3780" s="16" t="inlineStr">
        <is>
          <t>5.29-6.4</t>
        </is>
      </c>
      <c r="B3780" s="16" t="inlineStr">
        <is>
          <t>PO-128-13312952791672153</t>
        </is>
      </c>
      <c r="C3780" s="16" t="inlineStr">
        <is>
          <t>Shipped</t>
        </is>
      </c>
      <c r="D3780" s="16" t="inlineStr">
        <is>
          <t>128-13312994734712153</t>
        </is>
      </c>
      <c r="E3780" s="16" t="inlineStr">
        <is>
          <t>Shipped</t>
        </is>
      </c>
      <c r="F3780" s="16" t="inlineStr">
        <is>
          <t>MB-185N</t>
        </is>
      </c>
      <c r="G3780" s="16" t="inlineStr">
        <is>
          <t>Bocina Radio FM/Reproductor, Compatible con Tarjeta TF, USB, Bluetooth, Aplicable para celular, computadora, Ipad y consola.</t>
        </is>
      </c>
      <c r="H3780" s="16" t="inlineStr">
        <is>
          <t>NEGRO/MB-185</t>
        </is>
      </c>
      <c r="I3780" s="16" t="n">
        <v>1</v>
      </c>
      <c r="J3780" s="17" t="n">
        <v>71.31</v>
      </c>
      <c r="K3780" s="17" t="n">
        <v>84.23999999999999</v>
      </c>
      <c r="L3780" s="17" t="n">
        <v>25.86</v>
      </c>
      <c r="M3780" s="17" t="n">
        <v>0</v>
      </c>
      <c r="N3780" s="17">
        <f>K3780*0.08+L3780*0.08</f>
        <v/>
      </c>
      <c r="O3780" s="17">
        <f>-(K3780*0.025+L3780*0.025)</f>
        <v/>
      </c>
      <c r="P3780" s="17">
        <f>32</f>
        <v/>
      </c>
      <c r="Q3780" s="17">
        <f>J3780+L3780+N3780+O3780-P3780-M3780</f>
        <v/>
      </c>
    </row>
    <row r="3781">
      <c r="A3781" s="16" t="inlineStr">
        <is>
          <t>5.29-6.4</t>
        </is>
      </c>
      <c r="B3781" s="16" t="inlineStr">
        <is>
          <t>PO-128-02533636129911891</t>
        </is>
      </c>
      <c r="C3781" s="16" t="inlineStr">
        <is>
          <t>Shipped</t>
        </is>
      </c>
      <c r="D3781" s="16" t="inlineStr">
        <is>
          <t>128-02533657101431891</t>
        </is>
      </c>
      <c r="E3781" s="16" t="inlineStr">
        <is>
          <t>Shipped</t>
        </is>
      </c>
      <c r="F3781" s="16" t="inlineStr">
        <is>
          <t>VB347T</t>
        </is>
      </c>
      <c r="G378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81" s="16" t="inlineStr">
        <is>
          <t>1 pieza</t>
        </is>
      </c>
      <c r="I3781" s="16" t="n">
        <v>1</v>
      </c>
      <c r="J3781" s="17" t="n">
        <v>77.90000000000001</v>
      </c>
      <c r="K3781" s="17" t="n">
        <v>92.5</v>
      </c>
      <c r="L3781" s="17" t="n">
        <v>25.86</v>
      </c>
      <c r="M3781" s="17" t="n">
        <v>0</v>
      </c>
      <c r="N3781" s="17">
        <f>K3781*0.08+L3781*0.08</f>
        <v/>
      </c>
      <c r="O3781" s="17">
        <f>-(K3781*0.025+L3781*0.025)</f>
        <v/>
      </c>
      <c r="P3781" s="17">
        <f>32</f>
        <v/>
      </c>
      <c r="Q3781" s="17">
        <f>J3781+L3781+N3781+O3781-P3781-M3781</f>
        <v/>
      </c>
    </row>
    <row r="3782">
      <c r="A3782" s="16" t="inlineStr">
        <is>
          <t>5.29-6.4</t>
        </is>
      </c>
      <c r="B3782" s="16" t="inlineStr">
        <is>
          <t>PO-128-02447177674871380</t>
        </is>
      </c>
      <c r="C3782" s="16" t="inlineStr">
        <is>
          <t>Shipped</t>
        </is>
      </c>
      <c r="D3782" s="16" t="inlineStr">
        <is>
          <t>128-02447219617911380</t>
        </is>
      </c>
      <c r="E3782" s="16" t="inlineStr">
        <is>
          <t>Shipped</t>
        </is>
      </c>
      <c r="F3782" s="16" t="inlineStr">
        <is>
          <t>LB02235-negro</t>
        </is>
      </c>
      <c r="G3782" s="16" t="inlineStr">
        <is>
          <t>Audífonos Inalámbricos para la Cabeza, Recargables y Multifuncionales - Conectan a Varios Dispositivos, soportan Radio FM, Tarjeta TF y AUX - 4 Horas de Reproducción Musical - Ideal para Trabajo Cotidiano, Juegos y Estudio</t>
        </is>
      </c>
      <c r="H3782" s="16" t="inlineStr">
        <is>
          <t>NEGRO</t>
        </is>
      </c>
      <c r="I3782" s="16" t="n">
        <v>1</v>
      </c>
      <c r="J3782" s="17" t="n">
        <v>35</v>
      </c>
      <c r="K3782" s="17" t="n">
        <v>5.01</v>
      </c>
      <c r="L3782" s="17" t="n">
        <v>25.86</v>
      </c>
      <c r="M3782" s="17" t="n">
        <v>0</v>
      </c>
      <c r="N3782" s="17">
        <f>K3782*0.08+L3782*0.08</f>
        <v/>
      </c>
      <c r="O3782" s="17">
        <f>-(K3782*0.025+L3782*0.025)</f>
        <v/>
      </c>
      <c r="P3782" s="17">
        <f>32</f>
        <v/>
      </c>
      <c r="Q3782" s="17">
        <f>J3782+L3782+N3782+O3782-P3782-M3782</f>
        <v/>
      </c>
    </row>
    <row r="3783">
      <c r="A3783" s="16" t="inlineStr">
        <is>
          <t>5.29-6.4</t>
        </is>
      </c>
      <c r="B3783" s="16" t="inlineStr">
        <is>
          <t>PO-128-02668707704950956</t>
        </is>
      </c>
      <c r="C3783" s="16" t="inlineStr">
        <is>
          <t>Shipped</t>
        </is>
      </c>
      <c r="D3783" s="16" t="inlineStr">
        <is>
          <t>128-02668728676470956</t>
        </is>
      </c>
      <c r="E3783" s="16" t="inlineStr">
        <is>
          <t>Shipped</t>
        </is>
      </c>
      <c r="F3783" s="16" t="inlineStr">
        <is>
          <t>VB347T</t>
        </is>
      </c>
      <c r="G378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783" s="16" t="inlineStr">
        <is>
          <t>1 pieza</t>
        </is>
      </c>
      <c r="I3783" s="16" t="n">
        <v>1</v>
      </c>
      <c r="J3783" s="17" t="n">
        <v>77.90000000000001</v>
      </c>
      <c r="K3783" s="17" t="n">
        <v>92.5</v>
      </c>
      <c r="L3783" s="17" t="n">
        <v>25.86</v>
      </c>
      <c r="M3783" s="17" t="n">
        <v>0</v>
      </c>
      <c r="N3783" s="17">
        <f>K3783*0.08+L3783*0.08</f>
        <v/>
      </c>
      <c r="O3783" s="17">
        <f>-(K3783*0.025+L3783*0.025)</f>
        <v/>
      </c>
      <c r="P3783" s="17">
        <f>32</f>
        <v/>
      </c>
      <c r="Q3783" s="17">
        <f>J3783+L3783+N3783+O3783-P3783-M3783</f>
        <v/>
      </c>
    </row>
    <row r="3784">
      <c r="A3784" s="16" t="inlineStr">
        <is>
          <t>5.29-6.4</t>
        </is>
      </c>
      <c r="B3784" s="16" t="inlineStr">
        <is>
          <t>PO-128-02498757169271971</t>
        </is>
      </c>
      <c r="C3784" s="16" t="inlineStr">
        <is>
          <t>Shipped</t>
        </is>
      </c>
      <c r="D3784" s="16" t="inlineStr">
        <is>
          <t>128-02498756186231971</t>
        </is>
      </c>
      <c r="E3784" s="16" t="inlineStr">
        <is>
          <t>Shipped</t>
        </is>
      </c>
      <c r="F3784" s="16" t="inlineStr">
        <is>
          <t>MCM-001G</t>
        </is>
      </c>
      <c r="G3784" s="16" t="inlineStr">
        <is>
          <t>Musicord Altavoz Inalámbrico BT Portátil: ¡Sonido impactante, luces LED multicolores y 4 horas de autonomía! Compatible con TWS, FM, TF y USB – Imprescindible para fiestas y viajes</t>
        </is>
      </c>
      <c r="H3784" s="16" t="inlineStr">
        <is>
          <t>GRIS</t>
        </is>
      </c>
      <c r="I3784" s="16" t="n">
        <v>2</v>
      </c>
      <c r="J3784" s="17" t="n">
        <v>102</v>
      </c>
      <c r="K3784" s="17" t="n">
        <v>124.56</v>
      </c>
      <c r="L3784" s="17" t="n">
        <v>0</v>
      </c>
      <c r="M3784" s="17" t="n">
        <v>0</v>
      </c>
      <c r="N3784" s="17">
        <f>K3784*0.08+L3784*0.08</f>
        <v/>
      </c>
      <c r="O3784" s="17">
        <f>-(K3784*0.025+L3784*0.025)</f>
        <v/>
      </c>
      <c r="P3784" s="17">
        <f>32</f>
        <v/>
      </c>
      <c r="Q3784" s="17">
        <f>J3784+L3784+N3784+O3784-P3784-M3784</f>
        <v/>
      </c>
    </row>
    <row r="3785">
      <c r="A3785" s="16" t="inlineStr">
        <is>
          <t>5.29-6.4</t>
        </is>
      </c>
      <c r="B3785" s="16" t="inlineStr">
        <is>
          <t>PO-128-02498757169271971</t>
        </is>
      </c>
      <c r="C3785" s="16" t="inlineStr">
        <is>
          <t>Shipped</t>
        </is>
      </c>
      <c r="D3785" s="16" t="inlineStr">
        <is>
          <t>128-02498798129271971</t>
        </is>
      </c>
      <c r="E3785" s="16" t="inlineStr">
        <is>
          <t>Shipped</t>
        </is>
      </c>
      <c r="F3785" s="16" t="inlineStr">
        <is>
          <t>MCM-001R</t>
        </is>
      </c>
      <c r="G3785" s="16" t="inlineStr">
        <is>
          <t>Musicord Altavoz Inalámbrico BT Portátil: ¡Sonido impactante, luces LED multicolores y 4 horas de autonomía! Compatible con TWS, FM, TF y USB – Imprescindible para fiestas y viajes</t>
        </is>
      </c>
      <c r="H3785" s="16" t="inlineStr">
        <is>
          <t>ROJO</t>
        </is>
      </c>
      <c r="I3785" s="16" t="n">
        <v>3</v>
      </c>
      <c r="J3785" s="17" t="n">
        <v>153</v>
      </c>
      <c r="K3785" s="17" t="n">
        <v>186.84</v>
      </c>
      <c r="L3785" s="17" t="n">
        <v>0</v>
      </c>
      <c r="M3785" s="17" t="n">
        <v>0</v>
      </c>
      <c r="N3785" s="17">
        <f>K3785*0.08+L3785*0.08</f>
        <v/>
      </c>
      <c r="O3785" s="17">
        <f>-(K3785*0.025+L3785*0.025)</f>
        <v/>
      </c>
      <c r="P3785" s="17">
        <f>32</f>
        <v/>
      </c>
      <c r="Q3785" s="17">
        <f>J3785+L3785+N3785+O3785-P3785-M3785</f>
        <v/>
      </c>
    </row>
    <row r="3786">
      <c r="A3786" s="16" t="inlineStr">
        <is>
          <t>5.29-6.4</t>
        </is>
      </c>
      <c r="B3786" s="16" t="inlineStr">
        <is>
          <t>PO-128-02468743652471252</t>
        </is>
      </c>
      <c r="C3786" s="16" t="inlineStr">
        <is>
          <t>Shipped</t>
        </is>
      </c>
      <c r="D3786" s="16" t="inlineStr">
        <is>
          <t>128-02468759381111252</t>
        </is>
      </c>
      <c r="E3786" s="16" t="inlineStr">
        <is>
          <t>Shipped</t>
        </is>
      </c>
      <c r="F3786" s="16" t="inlineStr">
        <is>
          <t>LB02235-negro</t>
        </is>
      </c>
      <c r="G3786" s="16" t="inlineStr">
        <is>
          <t>Audífonos Inalámbricos para la Cabeza, Recargables y Multifuncionales - Conectan a Varios Dispositivos, soportan Radio FM, Tarjeta TF y AUX - 4 Horas de Reproducción Musical - Ideal para Trabajo Cotidiano, Juegos y Estudio</t>
        </is>
      </c>
      <c r="H3786" s="16" t="inlineStr">
        <is>
          <t>NEGRO</t>
        </is>
      </c>
      <c r="I3786" s="16" t="n">
        <v>1</v>
      </c>
      <c r="J3786" s="17" t="n">
        <v>35</v>
      </c>
      <c r="K3786" s="17" t="n">
        <v>48.11</v>
      </c>
      <c r="L3786" s="17" t="n">
        <v>25.86</v>
      </c>
      <c r="M3786" s="17" t="n">
        <v>0</v>
      </c>
      <c r="N3786" s="17">
        <f>K3786*0.08+L3786*0.08</f>
        <v/>
      </c>
      <c r="O3786" s="17">
        <f>-(K3786*0.025+L3786*0.025)</f>
        <v/>
      </c>
      <c r="P3786" s="17">
        <f>32</f>
        <v/>
      </c>
      <c r="Q3786" s="17">
        <f>J3786+L3786+N3786+O3786-P3786-M3786</f>
        <v/>
      </c>
    </row>
    <row r="3787">
      <c r="A3787" s="16" t="inlineStr">
        <is>
          <t>5.29-6.4</t>
        </is>
      </c>
      <c r="B3787" s="16" t="inlineStr">
        <is>
          <t>PO-128-02149858250873984</t>
        </is>
      </c>
      <c r="C3787" s="16" t="inlineStr">
        <is>
          <t>Shipped</t>
        </is>
      </c>
      <c r="D3787" s="16" t="inlineStr">
        <is>
          <t>128-02149963108473984</t>
        </is>
      </c>
      <c r="E3787" s="16" t="inlineStr">
        <is>
          <t>Shipped</t>
        </is>
      </c>
      <c r="F3787" s="16" t="inlineStr">
        <is>
          <t>LB02235-rojo</t>
        </is>
      </c>
      <c r="G3787" s="16" t="inlineStr">
        <is>
          <t>Audífonos Inalámbricos para la Cabeza, Recargables y Multifuncionales - Conectan a Varios Dispositivos, soportan Radio FM, Tarjeta TF y AUX - 4 Horas de Reproducción Musical - Ideal para Trabajo Cotidiano, Juegos y Estudio</t>
        </is>
      </c>
      <c r="H3787" s="16" t="inlineStr">
        <is>
          <t>ROJO</t>
        </is>
      </c>
      <c r="I3787" s="16" t="n">
        <v>1</v>
      </c>
      <c r="J3787" s="17" t="n">
        <v>35</v>
      </c>
      <c r="K3787" s="17" t="n">
        <v>13.63</v>
      </c>
      <c r="L3787" s="17" t="n">
        <v>25.86</v>
      </c>
      <c r="M3787" s="17" t="n">
        <v>0</v>
      </c>
      <c r="N3787" s="17">
        <f>K3787*0.08+L3787*0.08</f>
        <v/>
      </c>
      <c r="O3787" s="17">
        <f>-(K3787*0.025+L3787*0.025)</f>
        <v/>
      </c>
      <c r="P3787" s="17">
        <f>32</f>
        <v/>
      </c>
      <c r="Q3787" s="17">
        <f>J3787+L3787+N3787+O3787-P3787-M3787</f>
        <v/>
      </c>
    </row>
    <row r="3788">
      <c r="A3788" s="16" t="inlineStr">
        <is>
          <t>5.29-6.4</t>
        </is>
      </c>
      <c r="B3788" s="16" t="inlineStr">
        <is>
          <t>PO-128-02351451881592849</t>
        </is>
      </c>
      <c r="C3788" s="16" t="inlineStr">
        <is>
          <t>Shipped</t>
        </is>
      </c>
      <c r="D3788" s="16" t="inlineStr">
        <is>
          <t>128-02351399452792849</t>
        </is>
      </c>
      <c r="E3788" s="16" t="inlineStr">
        <is>
          <t>Shipped</t>
        </is>
      </c>
      <c r="F3788" s="16" t="inlineStr">
        <is>
          <t>KTS-1678V</t>
        </is>
      </c>
      <c r="G3788" s="16" t="inlineStr">
        <is>
          <t>Bocina portátil Inalámbrico, de 3 pulgadas, tamaño de bolsillo, 170 g, con asa, compatible con TF, USB y Micro SD, con radio FM y función TWS (True Wireless Stereo), adecuada para relajarse en casa o viajar al aire libre.</t>
        </is>
      </c>
      <c r="H3788" s="16" t="inlineStr">
        <is>
          <t>KTS-1678V</t>
        </is>
      </c>
      <c r="I3788" s="16" t="n">
        <v>1</v>
      </c>
      <c r="J3788" s="17" t="n">
        <v>40</v>
      </c>
      <c r="K3788" s="17" t="n">
        <v>53.89</v>
      </c>
      <c r="L3788" s="17" t="n">
        <v>11.99</v>
      </c>
      <c r="M3788" s="17" t="n">
        <v>0</v>
      </c>
      <c r="N3788" s="17">
        <f>K3788*0.08+L3788*0.08</f>
        <v/>
      </c>
      <c r="O3788" s="17">
        <f>-(K3788*0.025+L3788*0.025)</f>
        <v/>
      </c>
      <c r="P3788" s="17">
        <f>32</f>
        <v/>
      </c>
      <c r="Q3788" s="17">
        <f>J3788+L3788+N3788+O3788-P3788-M3788</f>
        <v/>
      </c>
    </row>
    <row r="3789">
      <c r="A3789" s="16" t="inlineStr">
        <is>
          <t>5.29-6.4</t>
        </is>
      </c>
      <c r="B3789" s="16" t="inlineStr">
        <is>
          <t>PO-128-02351451881592849</t>
        </is>
      </c>
      <c r="C3789" s="16" t="inlineStr">
        <is>
          <t>Shipped</t>
        </is>
      </c>
      <c r="D3789" s="16" t="inlineStr">
        <is>
          <t>128-02351430910072849</t>
        </is>
      </c>
      <c r="E3789" s="16" t="inlineStr">
        <is>
          <t>Shipped</t>
        </is>
      </c>
      <c r="F3789" s="16" t="inlineStr">
        <is>
          <t>MCM-001G</t>
        </is>
      </c>
      <c r="G3789" s="16" t="inlineStr">
        <is>
          <t>Musicord Altavoz Inalámbrico BT Portátil: ¡Sonido impactante, luces LED multicolores y 4 horas de autonomía! Compatible con TWS, FM, TF y USB – Imprescindible para fiestas y viajes</t>
        </is>
      </c>
      <c r="H3789" s="16" t="inlineStr">
        <is>
          <t>GRIS</t>
        </is>
      </c>
      <c r="I3789" s="16" t="n">
        <v>1</v>
      </c>
      <c r="J3789" s="17" t="n">
        <v>51</v>
      </c>
      <c r="K3789" s="17" t="n">
        <v>62.28</v>
      </c>
      <c r="L3789" s="17" t="n">
        <v>13.87</v>
      </c>
      <c r="M3789" s="17" t="n">
        <v>0</v>
      </c>
      <c r="N3789" s="17">
        <f>K3789*0.08+L3789*0.08</f>
        <v/>
      </c>
      <c r="O3789" s="17">
        <f>-(K3789*0.025+L3789*0.025)</f>
        <v/>
      </c>
      <c r="P3789" s="17">
        <f>32</f>
        <v/>
      </c>
      <c r="Q3789" s="17">
        <f>J3789+L3789+N3789+O3789-P3789-M3789</f>
        <v/>
      </c>
    </row>
    <row r="3790">
      <c r="A3790" s="16" t="inlineStr">
        <is>
          <t>5.29-6.4</t>
        </is>
      </c>
      <c r="B3790" s="16" t="inlineStr">
        <is>
          <t>PO-128-02544217572471698</t>
        </is>
      </c>
      <c r="C3790" s="16" t="inlineStr">
        <is>
          <t>Shipped</t>
        </is>
      </c>
      <c r="D3790" s="16" t="inlineStr">
        <is>
          <t>128-02544238543991698</t>
        </is>
      </c>
      <c r="E3790" s="16" t="inlineStr">
        <is>
          <t>Shipped</t>
        </is>
      </c>
      <c r="F3790" s="16" t="inlineStr">
        <is>
          <t>MCM-001G</t>
        </is>
      </c>
      <c r="G3790" s="16" t="inlineStr">
        <is>
          <t>Musicord Altavoz Inalámbrico BT Portátil: ¡Sonido impactante, luces LED multicolores y 4 horas de autonomía! Compatible con TWS, FM, TF y USB – Imprescindible para fiestas y viajes</t>
        </is>
      </c>
      <c r="H3790" s="16" t="inlineStr">
        <is>
          <t>GRIS</t>
        </is>
      </c>
      <c r="I3790" s="16" t="n">
        <v>1</v>
      </c>
      <c r="J3790" s="17" t="n">
        <v>51</v>
      </c>
      <c r="K3790" s="17" t="n">
        <v>62.28</v>
      </c>
      <c r="L3790" s="17" t="n">
        <v>25.86</v>
      </c>
      <c r="M3790" s="17" t="n">
        <v>0</v>
      </c>
      <c r="N3790" s="17">
        <f>K3790*0.08+L3790*0.08</f>
        <v/>
      </c>
      <c r="O3790" s="17">
        <f>-(K3790*0.025+L3790*0.025)</f>
        <v/>
      </c>
      <c r="P3790" s="17">
        <f>32</f>
        <v/>
      </c>
      <c r="Q3790" s="17">
        <f>J3790+L3790+N3790+O3790-P3790-M3790</f>
        <v/>
      </c>
    </row>
    <row r="3791">
      <c r="A3791" s="16" t="inlineStr">
        <is>
          <t>5.29-6.4</t>
        </is>
      </c>
      <c r="B3791" s="16" t="inlineStr">
        <is>
          <t>PO-128-02678056476790964</t>
        </is>
      </c>
      <c r="C3791" s="16" t="inlineStr">
        <is>
          <t>Shipped</t>
        </is>
      </c>
      <c r="D3791" s="16" t="inlineStr">
        <is>
          <t>128-02678017155190964</t>
        </is>
      </c>
      <c r="E3791" s="16" t="inlineStr">
        <is>
          <t>Shipped</t>
        </is>
      </c>
      <c r="F3791" s="16" t="inlineStr">
        <is>
          <t>HD005</t>
        </is>
      </c>
      <c r="G3791" s="16" t="inlineStr">
        <is>
          <t>Link bits HD005 Antena UHF para Exteriores, Antena de TV Digital HD con 10 Metros de Cable, Recepción 470-862MHz, 9-7dB de Ganancia, Antena para Canales Abiertos y HD, Resistente al Agua y Viento, Fácil Instalación</t>
        </is>
      </c>
      <c r="H3791" s="16" t="inlineStr">
        <is>
          <t>1</t>
        </is>
      </c>
      <c r="I3791" s="16" t="n">
        <v>1</v>
      </c>
      <c r="J3791" s="17" t="n">
        <v>70</v>
      </c>
      <c r="K3791" s="17" t="n">
        <v>87.66</v>
      </c>
      <c r="L3791" s="17" t="n">
        <v>25.86</v>
      </c>
      <c r="M3791" s="17" t="n">
        <v>0</v>
      </c>
      <c r="N3791" s="17">
        <f>K3791*0.08+L3791*0.08</f>
        <v/>
      </c>
      <c r="O3791" s="17">
        <f>-(K3791*0.025+L3791*0.025)</f>
        <v/>
      </c>
      <c r="P3791" s="17">
        <f>32</f>
        <v/>
      </c>
      <c r="Q3791" s="17">
        <f>J3791+L3791+N3791+O3791-P3791-M3791</f>
        <v/>
      </c>
    </row>
    <row r="3792">
      <c r="A3792" s="16" t="inlineStr">
        <is>
          <t>5.29-6.4</t>
        </is>
      </c>
      <c r="B3792" s="16" t="inlineStr">
        <is>
          <t>PO-128-02595112405110498</t>
        </is>
      </c>
      <c r="C3792" s="16" t="inlineStr">
        <is>
          <t>Shipped</t>
        </is>
      </c>
      <c r="D3792" s="16" t="inlineStr">
        <is>
          <t>128-02595164833910498</t>
        </is>
      </c>
      <c r="E3792" s="16" t="inlineStr">
        <is>
          <t>Shipped</t>
        </is>
      </c>
      <c r="F3792" s="16" t="inlineStr">
        <is>
          <t>MCM-001A</t>
        </is>
      </c>
      <c r="G3792" s="16" t="inlineStr">
        <is>
          <t>Musicord Altavoz Inalámbrico BT Portátil: ¡Sonido impactante, luces LED multicolores y 4 horas de autonomía! Compatible con TWS, FM, TF y USB – Imprescindible para fiestas y viajes</t>
        </is>
      </c>
      <c r="H3792" s="16" t="inlineStr">
        <is>
          <t>AZUL</t>
        </is>
      </c>
      <c r="I3792" s="16" t="n">
        <v>1</v>
      </c>
      <c r="J3792" s="17" t="n">
        <v>66</v>
      </c>
      <c r="K3792" s="17" t="n">
        <v>77.28</v>
      </c>
      <c r="L3792" s="17" t="n">
        <v>25.86</v>
      </c>
      <c r="M3792" s="17" t="n">
        <v>0</v>
      </c>
      <c r="N3792" s="17">
        <f>K3792*0.08+L3792*0.08</f>
        <v/>
      </c>
      <c r="O3792" s="17">
        <f>-(K3792*0.025+L3792*0.025)</f>
        <v/>
      </c>
      <c r="P3792" s="17">
        <f>32</f>
        <v/>
      </c>
      <c r="Q3792" s="17">
        <f>J3792+L3792+N3792+O3792-P3792-M3792</f>
        <v/>
      </c>
    </row>
    <row r="3793">
      <c r="A3793" s="16" t="inlineStr">
        <is>
          <t>5.29-6.4</t>
        </is>
      </c>
      <c r="B3793" s="16" t="inlineStr">
        <is>
          <t>PO-128-02585455445110428</t>
        </is>
      </c>
      <c r="C3793" s="16" t="inlineStr">
        <is>
          <t>Shipped</t>
        </is>
      </c>
      <c r="D3793" s="16" t="inlineStr">
        <is>
          <t>128-02585535399030428</t>
        </is>
      </c>
      <c r="E3793" s="16" t="inlineStr">
        <is>
          <t>Shipped</t>
        </is>
      </c>
      <c r="F3793" s="16" t="inlineStr">
        <is>
          <t>LB02235-negro</t>
        </is>
      </c>
      <c r="G3793" s="16" t="inlineStr">
        <is>
          <t>Audífonos Inalámbricos para la Cabeza, Recargables y Multifuncionales - Conectan a Varios Dispositivos, soportan Radio FM, Tarjeta TF y AUX - 4 Horas de Reproducción Musical - Ideal para Trabajo Cotidiano, Juegos y Estudio</t>
        </is>
      </c>
      <c r="H3793" s="16" t="inlineStr">
        <is>
          <t>NEGRO</t>
        </is>
      </c>
      <c r="I3793" s="16" t="n">
        <v>1</v>
      </c>
      <c r="J3793" s="17" t="n">
        <v>35</v>
      </c>
      <c r="K3793" s="17" t="n">
        <v>5.01</v>
      </c>
      <c r="L3793" s="17" t="n">
        <v>25.86</v>
      </c>
      <c r="M3793" s="17" t="n">
        <v>0</v>
      </c>
      <c r="N3793" s="17">
        <f>K3793*0.08+L3793*0.08</f>
        <v/>
      </c>
      <c r="O3793" s="17">
        <f>-(K3793*0.025+L3793*0.025)</f>
        <v/>
      </c>
      <c r="P3793" s="17">
        <f>32</f>
        <v/>
      </c>
      <c r="Q3793" s="17">
        <f>J3793+L3793+N3793+O3793-P3793-M3793</f>
        <v/>
      </c>
    </row>
    <row r="3794">
      <c r="A3794" s="16" t="inlineStr">
        <is>
          <t>5.29-6.4</t>
        </is>
      </c>
      <c r="B3794" s="16" t="inlineStr">
        <is>
          <t>PO-128-02210816172153815</t>
        </is>
      </c>
      <c r="C3794" s="16" t="inlineStr">
        <is>
          <t>Shipped</t>
        </is>
      </c>
      <c r="D3794" s="16" t="inlineStr">
        <is>
          <t>128-02210774229113815</t>
        </is>
      </c>
      <c r="E3794" s="16" t="inlineStr">
        <is>
          <t>Shipped</t>
        </is>
      </c>
      <c r="F3794" s="16" t="inlineStr">
        <is>
          <t>MB-185N</t>
        </is>
      </c>
      <c r="G3794" s="16" t="inlineStr">
        <is>
          <t>Bocina Radio FM/Reproductor, Compatible con Tarjeta TF, USB, Bluetooth, Aplicable para celular, computadora, Ipad y consola.</t>
        </is>
      </c>
      <c r="H3794" s="16" t="inlineStr">
        <is>
          <t>NEGRO/MB-185</t>
        </is>
      </c>
      <c r="I3794" s="16" t="n">
        <v>1</v>
      </c>
      <c r="J3794" s="17" t="n">
        <v>71.31</v>
      </c>
      <c r="K3794" s="17" t="n">
        <v>84.23999999999999</v>
      </c>
      <c r="L3794" s="17" t="n">
        <v>25.86</v>
      </c>
      <c r="M3794" s="17" t="n">
        <v>0</v>
      </c>
      <c r="N3794" s="17">
        <f>K3794*0.08+L3794*0.08</f>
        <v/>
      </c>
      <c r="O3794" s="17">
        <f>-(K3794*0.025+L3794*0.025)</f>
        <v/>
      </c>
      <c r="P3794" s="17">
        <f>32</f>
        <v/>
      </c>
      <c r="Q3794" s="17">
        <f>J3794+L3794+N3794+O3794-P3794-M3794</f>
        <v/>
      </c>
    </row>
    <row r="3795">
      <c r="A3795" s="16" t="inlineStr">
        <is>
          <t>5.29-6.4</t>
        </is>
      </c>
      <c r="B3795" s="16" t="inlineStr">
        <is>
          <t>PO-128-02602937454710260</t>
        </is>
      </c>
      <c r="C3795" s="16" t="inlineStr">
        <is>
          <t>Shipped</t>
        </is>
      </c>
      <c r="D3795" s="16" t="inlineStr">
        <is>
          <t>128-02602958426230260</t>
        </is>
      </c>
      <c r="E3795" s="16" t="inlineStr">
        <is>
          <t>Shipped</t>
        </is>
      </c>
      <c r="F3795" s="16" t="inlineStr">
        <is>
          <t>MB-185A</t>
        </is>
      </c>
      <c r="G3795" s="16" t="inlineStr">
        <is>
          <t>Bocina Radio FM/Reproductor, Compatible con Tarjeta TF, USB, Bluetooth, Aplicable para celular, computadora, Ipad y consola.</t>
        </is>
      </c>
      <c r="H3795" s="16" t="inlineStr">
        <is>
          <t>AZUL/MB-185</t>
        </is>
      </c>
      <c r="I3795" s="16" t="n">
        <v>1</v>
      </c>
      <c r="J3795" s="17" t="n">
        <v>71.31</v>
      </c>
      <c r="K3795" s="17" t="n">
        <v>67.40000000000001</v>
      </c>
      <c r="L3795" s="17" t="n">
        <v>25.86</v>
      </c>
      <c r="M3795" s="17" t="n">
        <v>0</v>
      </c>
      <c r="N3795" s="17">
        <f>K3795*0.08+L3795*0.08</f>
        <v/>
      </c>
      <c r="O3795" s="17">
        <f>-(K3795*0.025+L3795*0.025)</f>
        <v/>
      </c>
      <c r="P3795" s="17">
        <f>32</f>
        <v/>
      </c>
      <c r="Q3795" s="17">
        <f>J3795+L3795+N3795+O3795-P3795-M3795</f>
        <v/>
      </c>
    </row>
    <row r="3796">
      <c r="A3796" s="16" t="inlineStr">
        <is>
          <t>5.29-6.4</t>
        </is>
      </c>
      <c r="B3796" s="16" t="inlineStr">
        <is>
          <t>PO-128-02394464428152654</t>
        </is>
      </c>
      <c r="C3796" s="16" t="inlineStr">
        <is>
          <t>Shipped</t>
        </is>
      </c>
      <c r="D3796" s="16" t="inlineStr">
        <is>
          <t>128-02394600743032654</t>
        </is>
      </c>
      <c r="E3796" s="16" t="inlineStr">
        <is>
          <t>Shipped</t>
        </is>
      </c>
      <c r="F3796" s="16" t="inlineStr">
        <is>
          <t>LB02235-blanco</t>
        </is>
      </c>
      <c r="G3796" s="16" t="inlineStr">
        <is>
          <t>Audífonos Inalámbricos para la Cabeza, Recargables y Multifuncionales - Conectan a Varios Dispositivos, soportan Radio FM, Tarjeta TF y AUX - 4 Horas de Reproducción Musical - Ideal para Trabajo Cotidiano, Juegos y Estudio</t>
        </is>
      </c>
      <c r="H3796" s="16" t="inlineStr">
        <is>
          <t>BLANCO</t>
        </is>
      </c>
      <c r="I3796" s="16" t="n">
        <v>2</v>
      </c>
      <c r="J3796" s="17" t="n">
        <v>70</v>
      </c>
      <c r="K3796" s="17" t="n">
        <v>13.46</v>
      </c>
      <c r="L3796" s="17" t="n">
        <v>25.86</v>
      </c>
      <c r="M3796" s="17" t="n">
        <v>0</v>
      </c>
      <c r="N3796" s="17">
        <f>K3796*0.08+L3796*0.08</f>
        <v/>
      </c>
      <c r="O3796" s="17">
        <f>-(K3796*0.025+L3796*0.025)</f>
        <v/>
      </c>
      <c r="P3796" s="17">
        <f>32</f>
        <v/>
      </c>
      <c r="Q3796" s="17">
        <f>J3796+L3796+N3796+O3796-P3796-M3796</f>
        <v/>
      </c>
    </row>
    <row r="3797">
      <c r="A3797" s="16" t="inlineStr">
        <is>
          <t>5.29-6.4</t>
        </is>
      </c>
      <c r="B3797" s="16" t="inlineStr">
        <is>
          <t>PO-128-02572337037431658</t>
        </is>
      </c>
      <c r="C3797" s="16" t="inlineStr">
        <is>
          <t>Shipped</t>
        </is>
      </c>
      <c r="D3797" s="16" t="inlineStr">
        <is>
          <t>128-02572378980471658</t>
        </is>
      </c>
      <c r="E3797" s="16" t="inlineStr">
        <is>
          <t>Shipped</t>
        </is>
      </c>
      <c r="F3797" s="16" t="inlineStr">
        <is>
          <t>LB02235-rojo</t>
        </is>
      </c>
      <c r="G3797" s="16" t="inlineStr">
        <is>
          <t>Audífonos Inalámbricos para la Cabeza, Recargables y Multifuncionales - Conectan a Varios Dispositivos, soportan Radio FM, Tarjeta TF y AUX - 4 Horas de Reproducción Musical - Ideal para Trabajo Cotidiano, Juegos y Estudio</t>
        </is>
      </c>
      <c r="H3797" s="16" t="inlineStr">
        <is>
          <t>ROJO</t>
        </is>
      </c>
      <c r="I3797" s="16" t="n">
        <v>1</v>
      </c>
      <c r="J3797" s="17" t="n">
        <v>35</v>
      </c>
      <c r="K3797" s="17" t="n">
        <v>48.11</v>
      </c>
      <c r="L3797" s="17" t="n">
        <v>25.86</v>
      </c>
      <c r="M3797" s="17" t="n">
        <v>0</v>
      </c>
      <c r="N3797" s="17">
        <f>K3797*0.08+L3797*0.08</f>
        <v/>
      </c>
      <c r="O3797" s="17">
        <f>-(K3797*0.025+L3797*0.025)</f>
        <v/>
      </c>
      <c r="P3797" s="17">
        <f>32</f>
        <v/>
      </c>
      <c r="Q3797" s="17">
        <f>J3797+L3797+N3797+O3797-P3797-M3797</f>
        <v/>
      </c>
    </row>
    <row r="3798">
      <c r="A3798" s="16" t="inlineStr">
        <is>
          <t>5.29-6.4</t>
        </is>
      </c>
      <c r="B3798" s="16" t="inlineStr">
        <is>
          <t>PO-128-02673582974070929</t>
        </is>
      </c>
      <c r="C3798" s="16" t="inlineStr">
        <is>
          <t>Shipped</t>
        </is>
      </c>
      <c r="D3798" s="16" t="inlineStr">
        <is>
          <t>128-02673609188470929</t>
        </is>
      </c>
      <c r="E3798" s="16" t="inlineStr">
        <is>
          <t>Shipped</t>
        </is>
      </c>
      <c r="F3798" s="16" t="inlineStr">
        <is>
          <t>VA880T</t>
        </is>
      </c>
      <c r="G379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798" s="16" t="inlineStr">
        <is>
          <t>1 pieza</t>
        </is>
      </c>
      <c r="I3798" s="16" t="n">
        <v>1</v>
      </c>
      <c r="J3798" s="17" t="n">
        <v>113</v>
      </c>
      <c r="K3798" s="17" t="n">
        <v>125.29</v>
      </c>
      <c r="L3798" s="17" t="n">
        <v>25.86</v>
      </c>
      <c r="M3798" s="17" t="n">
        <v>0</v>
      </c>
      <c r="N3798" s="17">
        <f>K3798*0.08+L3798*0.08</f>
        <v/>
      </c>
      <c r="O3798" s="17">
        <f>-(K3798*0.025+L3798*0.025)</f>
        <v/>
      </c>
      <c r="P3798" s="17">
        <f>32</f>
        <v/>
      </c>
      <c r="Q3798" s="17">
        <f>J3798+L3798+N3798+O3798-P3798-M3798</f>
        <v/>
      </c>
    </row>
    <row r="3799">
      <c r="A3799" s="16" t="inlineStr">
        <is>
          <t>5.29-6.4</t>
        </is>
      </c>
      <c r="B3799" s="16" t="inlineStr">
        <is>
          <t>PO-128-02738515791990604</t>
        </is>
      </c>
      <c r="C3799" s="16" t="inlineStr">
        <is>
          <t>Shipped</t>
        </is>
      </c>
      <c r="D3799" s="16" t="inlineStr">
        <is>
          <t>128-02738473848950604</t>
        </is>
      </c>
      <c r="E3799" s="16" t="inlineStr">
        <is>
          <t>Shipped</t>
        </is>
      </c>
      <c r="F3799" s="16" t="inlineStr">
        <is>
          <t>LB02235-negro</t>
        </is>
      </c>
      <c r="G3799" s="16" t="inlineStr">
        <is>
          <t>Audífonos Inalámbricos para la Cabeza, Recargables y Multifuncionales - Conectan a Varios Dispositivos, soportan Radio FM, Tarjeta TF y AUX - 4 Horas de Reproducción Musical - Ideal para Trabajo Cotidiano, Juegos y Estudio</t>
        </is>
      </c>
      <c r="H3799" s="16" t="inlineStr">
        <is>
          <t>NEGRO</t>
        </is>
      </c>
      <c r="I3799" s="16" t="n">
        <v>1</v>
      </c>
      <c r="J3799" s="17" t="n">
        <v>35</v>
      </c>
      <c r="K3799" s="17" t="n">
        <v>48.11</v>
      </c>
      <c r="L3799" s="17" t="n">
        <v>25.86</v>
      </c>
      <c r="M3799" s="17" t="n">
        <v>0</v>
      </c>
      <c r="N3799" s="17">
        <f>K3799*0.08+L3799*0.08</f>
        <v/>
      </c>
      <c r="O3799" s="17">
        <f>-(K3799*0.025+L3799*0.025)</f>
        <v/>
      </c>
      <c r="P3799" s="17">
        <f>32</f>
        <v/>
      </c>
      <c r="Q3799" s="17">
        <f>J3799+L3799+N3799+O3799-P3799-M3799</f>
        <v/>
      </c>
    </row>
    <row r="3800">
      <c r="A3800" s="16" t="inlineStr">
        <is>
          <t>5.29-6.4</t>
        </is>
      </c>
      <c r="B3800" s="16" t="inlineStr">
        <is>
          <t>PO-128-02234624090232457</t>
        </is>
      </c>
      <c r="C3800" s="16" t="inlineStr">
        <is>
          <t>Shipped</t>
        </is>
      </c>
      <c r="D3800" s="16" t="inlineStr">
        <is>
          <t>128-02234637197432457</t>
        </is>
      </c>
      <c r="E3800" s="16" t="inlineStr">
        <is>
          <t>Shipped</t>
        </is>
      </c>
      <c r="F3800" s="16" t="inlineStr">
        <is>
          <t>MCM-001A</t>
        </is>
      </c>
      <c r="G3800" s="16" t="inlineStr">
        <is>
          <t>Musicord Altavoz Inalámbrico BT Portátil: ¡Sonido impactante, luces LED multicolores y 4 horas de autonomía! Compatible con TWS, FM, TF y USB – Imprescindible para fiestas y viajes</t>
        </is>
      </c>
      <c r="H3800" s="16" t="inlineStr">
        <is>
          <t>AZUL</t>
        </is>
      </c>
      <c r="I3800" s="16" t="n">
        <v>1</v>
      </c>
      <c r="J3800" s="17" t="n">
        <v>66</v>
      </c>
      <c r="K3800" s="17" t="n">
        <v>62.05</v>
      </c>
      <c r="L3800" s="17" t="n">
        <v>25.86</v>
      </c>
      <c r="M3800" s="17" t="n">
        <v>0</v>
      </c>
      <c r="N3800" s="17">
        <f>K3800*0.08+L3800*0.08</f>
        <v/>
      </c>
      <c r="O3800" s="17">
        <f>-(K3800*0.025+L3800*0.025)</f>
        <v/>
      </c>
      <c r="P3800" s="17">
        <f>32</f>
        <v/>
      </c>
      <c r="Q3800" s="17">
        <f>J3800+L3800+N3800+O3800-P3800-M3800</f>
        <v/>
      </c>
    </row>
    <row r="3801">
      <c r="A3801" s="16" t="inlineStr">
        <is>
          <t>5.29-6.4</t>
        </is>
      </c>
      <c r="B3801" s="16" t="inlineStr">
        <is>
          <t>PO-128-02355083717752891</t>
        </is>
      </c>
      <c r="C3801" s="16" t="inlineStr">
        <is>
          <t>Shipped</t>
        </is>
      </c>
      <c r="D3801" s="16" t="inlineStr">
        <is>
          <t>128-02355041774712891</t>
        </is>
      </c>
      <c r="E3801" s="16" t="inlineStr">
        <is>
          <t>Shipped</t>
        </is>
      </c>
      <c r="F3801" s="16" t="inlineStr">
        <is>
          <t>MCM-001G</t>
        </is>
      </c>
      <c r="G3801" s="16" t="inlineStr">
        <is>
          <t>Musicord Altavoz Inalámbrico BT Portátil: ¡Sonido impactante, luces LED multicolores y 4 horas de autonomía! Compatible con TWS, FM, TF y USB – Imprescindible para fiestas y viajes</t>
        </is>
      </c>
      <c r="H3801" s="16" t="inlineStr">
        <is>
          <t>GRIS</t>
        </is>
      </c>
      <c r="I3801" s="16" t="n">
        <v>1</v>
      </c>
      <c r="J3801" s="17" t="n">
        <v>51</v>
      </c>
      <c r="K3801" s="17" t="n">
        <v>40.49</v>
      </c>
      <c r="L3801" s="17" t="n">
        <v>25.86</v>
      </c>
      <c r="M3801" s="17" t="n">
        <v>0</v>
      </c>
      <c r="N3801" s="17">
        <f>K3801*0.08+L3801*0.08</f>
        <v/>
      </c>
      <c r="O3801" s="17">
        <f>-(K3801*0.025+L3801*0.025)</f>
        <v/>
      </c>
      <c r="P3801" s="17">
        <f>32</f>
        <v/>
      </c>
      <c r="Q3801" s="17">
        <f>J3801+L3801+N3801+O3801-P3801-M3801</f>
        <v/>
      </c>
    </row>
    <row r="3802">
      <c r="A3802" s="16" t="inlineStr">
        <is>
          <t>5.29-6.4</t>
        </is>
      </c>
      <c r="B3802" s="16" t="inlineStr">
        <is>
          <t>PO-128-02355340117112888</t>
        </is>
      </c>
      <c r="C3802" s="16" t="inlineStr">
        <is>
          <t>Shipped</t>
        </is>
      </c>
      <c r="D3802" s="16" t="inlineStr">
        <is>
          <t>128-02355298174072888</t>
        </is>
      </c>
      <c r="E3802" s="16" t="inlineStr">
        <is>
          <t>Shipped</t>
        </is>
      </c>
      <c r="F3802" s="16" t="inlineStr">
        <is>
          <t>VA880T</t>
        </is>
      </c>
      <c r="G380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02" s="16" t="inlineStr">
        <is>
          <t>1 pieza</t>
        </is>
      </c>
      <c r="I3802" s="16" t="n">
        <v>1</v>
      </c>
      <c r="J3802" s="17" t="n">
        <v>113</v>
      </c>
      <c r="K3802" s="17" t="n">
        <v>42.53</v>
      </c>
      <c r="L3802" s="17" t="n">
        <v>25.86</v>
      </c>
      <c r="M3802" s="17" t="n">
        <v>0</v>
      </c>
      <c r="N3802" s="17">
        <f>K3802*0.08+L3802*0.08</f>
        <v/>
      </c>
      <c r="O3802" s="17">
        <f>-(K3802*0.025+L3802*0.025)</f>
        <v/>
      </c>
      <c r="P3802" s="17">
        <f>32</f>
        <v/>
      </c>
      <c r="Q3802" s="17">
        <f>J3802+L3802+N3802+O3802-P3802-M3802</f>
        <v/>
      </c>
    </row>
    <row r="3803">
      <c r="A3803" s="16" t="inlineStr">
        <is>
          <t>5.29-6.4</t>
        </is>
      </c>
      <c r="B3803" s="16" t="inlineStr">
        <is>
          <t>PO-128-02568651589751616</t>
        </is>
      </c>
      <c r="C3803" s="16" t="inlineStr">
        <is>
          <t>Shipped</t>
        </is>
      </c>
      <c r="D3803" s="16" t="inlineStr">
        <is>
          <t>128-02568620132471616</t>
        </is>
      </c>
      <c r="E3803" s="16" t="inlineStr">
        <is>
          <t>Shipped</t>
        </is>
      </c>
      <c r="F3803" s="16" t="inlineStr">
        <is>
          <t>LB02235-rojo</t>
        </is>
      </c>
      <c r="G3803" s="16" t="inlineStr">
        <is>
          <t>Audífonos Inalámbricos para la Cabeza, Recargables y Multifuncionales - Conectan a Varios Dispositivos, soportan Radio FM, Tarjeta TF y AUX - 4 Horas de Reproducción Musical - Ideal para Trabajo Cotidiano, Juegos y Estudio</t>
        </is>
      </c>
      <c r="H3803" s="16" t="inlineStr">
        <is>
          <t>ROJO</t>
        </is>
      </c>
      <c r="I3803" s="16" t="n">
        <v>1</v>
      </c>
      <c r="J3803" s="17" t="n">
        <v>35</v>
      </c>
      <c r="K3803" s="17" t="n">
        <v>40.89</v>
      </c>
      <c r="L3803" s="17" t="n">
        <v>25.86</v>
      </c>
      <c r="M3803" s="17" t="n">
        <v>0</v>
      </c>
      <c r="N3803" s="17">
        <f>K3803*0.08+L3803*0.08</f>
        <v/>
      </c>
      <c r="O3803" s="17">
        <f>-(K3803*0.025+L3803*0.025)</f>
        <v/>
      </c>
      <c r="P3803" s="17">
        <f>32</f>
        <v/>
      </c>
      <c r="Q3803" s="17">
        <f>J3803+L3803+N3803+O3803-P3803-M3803</f>
        <v/>
      </c>
    </row>
    <row r="3804">
      <c r="A3804" s="16" t="inlineStr">
        <is>
          <t>5.29-6.4</t>
        </is>
      </c>
      <c r="B3804" s="16" t="inlineStr">
        <is>
          <t>PO-128-02115967885433290</t>
        </is>
      </c>
      <c r="C3804" s="16" t="inlineStr">
        <is>
          <t>Shipped</t>
        </is>
      </c>
      <c r="D3804" s="16" t="inlineStr">
        <is>
          <t>128-02116072743033290</t>
        </is>
      </c>
      <c r="E3804" s="16" t="inlineStr">
        <is>
          <t>Shipped</t>
        </is>
      </c>
      <c r="F3804" s="16" t="inlineStr">
        <is>
          <t>EM04W36-2PZS</t>
        </is>
      </c>
      <c r="G380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804" s="16" t="inlineStr">
        <is>
          <t>2 piezas</t>
        </is>
      </c>
      <c r="I3804" s="16" t="n">
        <v>1</v>
      </c>
      <c r="J3804" s="17" t="n">
        <v>124.8</v>
      </c>
      <c r="K3804" s="17" t="n">
        <v>142.34</v>
      </c>
      <c r="L3804" s="17" t="n">
        <v>25.86</v>
      </c>
      <c r="M3804" s="17" t="n">
        <v>0</v>
      </c>
      <c r="N3804" s="17">
        <f>K3804*0.08+L3804*0.08</f>
        <v/>
      </c>
      <c r="O3804" s="17">
        <f>-(K3804*0.025+L3804*0.025)</f>
        <v/>
      </c>
      <c r="P3804" s="17">
        <f>32</f>
        <v/>
      </c>
      <c r="Q3804" s="17">
        <f>J3804+L3804+N3804+O3804-P3804-M3804</f>
        <v/>
      </c>
    </row>
    <row r="3805">
      <c r="A3805" s="16" t="inlineStr">
        <is>
          <t>5.29-6.4</t>
        </is>
      </c>
      <c r="B3805" s="16" t="inlineStr">
        <is>
          <t>PO-128-02500559496311958</t>
        </is>
      </c>
      <c r="C3805" s="16" t="inlineStr">
        <is>
          <t>Shipped</t>
        </is>
      </c>
      <c r="D3805" s="16" t="inlineStr">
        <is>
          <t>128-02500517553271958</t>
        </is>
      </c>
      <c r="E3805" s="16" t="inlineStr">
        <is>
          <t>Shipped</t>
        </is>
      </c>
      <c r="F3805" s="16" t="inlineStr">
        <is>
          <t>MCM-001R</t>
        </is>
      </c>
      <c r="G3805" s="16" t="inlineStr">
        <is>
          <t>Musicord Altavoz Inalámbrico BT Portátil: ¡Sonido impactante, luces LED multicolores y 4 horas de autonomía! Compatible con TWS, FM, TF y USB – Imprescindible para fiestas y viajes</t>
        </is>
      </c>
      <c r="H3805" s="16" t="inlineStr">
        <is>
          <t>ROJO</t>
        </is>
      </c>
      <c r="I3805" s="16" t="n">
        <v>1</v>
      </c>
      <c r="J3805" s="17" t="n">
        <v>51</v>
      </c>
      <c r="K3805" s="17" t="n">
        <v>62.28</v>
      </c>
      <c r="L3805" s="17" t="n">
        <v>25.86</v>
      </c>
      <c r="M3805" s="17" t="n">
        <v>0</v>
      </c>
      <c r="N3805" s="17">
        <f>K3805*0.08+L3805*0.08</f>
        <v/>
      </c>
      <c r="O3805" s="17">
        <f>-(K3805*0.025+L3805*0.025)</f>
        <v/>
      </c>
      <c r="P3805" s="17">
        <f>32</f>
        <v/>
      </c>
      <c r="Q3805" s="17">
        <f>J3805+L3805+N3805+O3805-P3805-M3805</f>
        <v/>
      </c>
    </row>
    <row r="3806">
      <c r="A3806" s="16" t="inlineStr">
        <is>
          <t>5.29-6.4</t>
        </is>
      </c>
      <c r="B3806" s="16" t="inlineStr">
        <is>
          <t>PO-128-02529049587831916</t>
        </is>
      </c>
      <c r="C3806" s="16" t="inlineStr">
        <is>
          <t>Shipped</t>
        </is>
      </c>
      <c r="D3806" s="16" t="inlineStr">
        <is>
          <t>128-02529091530871916</t>
        </is>
      </c>
      <c r="E3806" s="16" t="inlineStr">
        <is>
          <t>Shipped</t>
        </is>
      </c>
      <c r="F3806" s="16" t="inlineStr">
        <is>
          <t>VA377T</t>
        </is>
      </c>
      <c r="G3806" s="16" t="inlineStr">
        <is>
          <t>Bocina Inalámbrica 3 Pulgadas Bluetooth FM USB TF TWS Luz LED, Regalo Perfecto, Recargable para Fiesta Viaje y Uso Diario</t>
        </is>
      </c>
      <c r="H3806" s="16" t="inlineStr">
        <is>
          <t>NEGRO</t>
        </is>
      </c>
      <c r="I3806" s="16" t="n">
        <v>1</v>
      </c>
      <c r="J3806" s="17" t="n">
        <v>40</v>
      </c>
      <c r="K3806" s="17" t="n">
        <v>50.17</v>
      </c>
      <c r="L3806" s="17" t="n">
        <v>25.86</v>
      </c>
      <c r="M3806" s="17" t="n">
        <v>0</v>
      </c>
      <c r="N3806" s="17">
        <f>K3806*0.08+L3806*0.08</f>
        <v/>
      </c>
      <c r="O3806" s="17">
        <f>-(K3806*0.025+L3806*0.025)</f>
        <v/>
      </c>
      <c r="P3806" s="17">
        <f>32</f>
        <v/>
      </c>
      <c r="Q3806" s="17">
        <f>J3806+L3806+N3806+O3806-P3806-M3806</f>
        <v/>
      </c>
    </row>
    <row r="3807">
      <c r="A3807" s="16" t="inlineStr">
        <is>
          <t>5.29-6.4</t>
        </is>
      </c>
      <c r="B3807" s="16" t="inlineStr">
        <is>
          <t>PO-128-02325947262073001</t>
        </is>
      </c>
      <c r="C3807" s="16" t="inlineStr">
        <is>
          <t>Shipped</t>
        </is>
      </c>
      <c r="D3807" s="16" t="inlineStr">
        <is>
          <t>128-02325926290553001</t>
        </is>
      </c>
      <c r="E3807" s="16" t="inlineStr">
        <is>
          <t>Shipped</t>
        </is>
      </c>
      <c r="F3807" s="16" t="inlineStr">
        <is>
          <t>MCM-001N</t>
        </is>
      </c>
      <c r="G3807" s="16" t="inlineStr">
        <is>
          <t>Musicord Altavoz Inalámbrico BT Portátil: ¡Sonido impactante, luces LED multicolores y 4 horas de autonomía! Compatible con TWS, FM, TF y USB – Imprescindible para fiestas y viajes</t>
        </is>
      </c>
      <c r="H3807" s="16" t="inlineStr">
        <is>
          <t>NEGRO</t>
        </is>
      </c>
      <c r="I3807" s="16" t="n">
        <v>1</v>
      </c>
      <c r="J3807" s="17" t="n">
        <v>60.5</v>
      </c>
      <c r="K3807" s="17" t="n">
        <v>71.78</v>
      </c>
      <c r="L3807" s="17" t="n">
        <v>25.86</v>
      </c>
      <c r="M3807" s="17" t="n">
        <v>0</v>
      </c>
      <c r="N3807" s="17">
        <f>K3807*0.08+L3807*0.08</f>
        <v/>
      </c>
      <c r="O3807" s="17">
        <f>-(K3807*0.025+L3807*0.025)</f>
        <v/>
      </c>
      <c r="P3807" s="17">
        <f>32</f>
        <v/>
      </c>
      <c r="Q3807" s="17">
        <f>J3807+L3807+N3807+O3807-P3807-M3807</f>
        <v/>
      </c>
    </row>
    <row r="3808">
      <c r="A3808" s="16" t="inlineStr">
        <is>
          <t>5.29-6.4</t>
        </is>
      </c>
      <c r="B3808" s="16" t="inlineStr">
        <is>
          <t>PO-128-02399019011192629</t>
        </is>
      </c>
      <c r="C3808" s="16" t="inlineStr">
        <is>
          <t>Shipped</t>
        </is>
      </c>
      <c r="D3808" s="16" t="inlineStr">
        <is>
          <t>128-02399011146872629</t>
        </is>
      </c>
      <c r="E3808" s="16" t="inlineStr">
        <is>
          <t>Shipped</t>
        </is>
      </c>
      <c r="F3808" s="16" t="inlineStr">
        <is>
          <t>KTS-1678N</t>
        </is>
      </c>
      <c r="G3808" s="16" t="inlineStr">
        <is>
          <t>Bocina portátil Inalámbrico, de 3 pulgadas, tamaño de bolsillo, 170 g, con asa, compatible con TF, USB y Micro SD, con radio FM y función TWS (True Wireless Stereo), adecuada para relajarse en casa o viajar al aire libre.</t>
        </is>
      </c>
      <c r="H3808" s="16" t="inlineStr">
        <is>
          <t>KTS-1678N</t>
        </is>
      </c>
      <c r="I3808" s="16" t="n">
        <v>1</v>
      </c>
      <c r="J3808" s="17" t="n">
        <v>40</v>
      </c>
      <c r="K3808" s="17" t="n">
        <v>53.89</v>
      </c>
      <c r="L3808" s="17" t="n">
        <v>25.86</v>
      </c>
      <c r="M3808" s="17" t="n">
        <v>0</v>
      </c>
      <c r="N3808" s="17">
        <f>K3808*0.08+L3808*0.08</f>
        <v/>
      </c>
      <c r="O3808" s="17">
        <f>-(K3808*0.025+L3808*0.025)</f>
        <v/>
      </c>
      <c r="P3808" s="17">
        <f>32</f>
        <v/>
      </c>
      <c r="Q3808" s="17">
        <f>J3808+L3808+N3808+O3808-P3808-M3808</f>
        <v/>
      </c>
    </row>
    <row r="3809">
      <c r="A3809" s="16" t="inlineStr">
        <is>
          <t>5.29-6.4</t>
        </is>
      </c>
      <c r="B3809" s="16" t="inlineStr">
        <is>
          <t>PO-128-02733025436790572</t>
        </is>
      </c>
      <c r="C3809" s="16" t="inlineStr">
        <is>
          <t>Shipped</t>
        </is>
      </c>
      <c r="D3809" s="16" t="inlineStr">
        <is>
          <t>128-02733035922550572</t>
        </is>
      </c>
      <c r="E3809" s="16" t="inlineStr">
        <is>
          <t>Shipped</t>
        </is>
      </c>
      <c r="F3809" s="16" t="inlineStr">
        <is>
          <t>LB02235-blanco</t>
        </is>
      </c>
      <c r="G3809" s="16" t="inlineStr">
        <is>
          <t>Audífonos Inalámbricos para la Cabeza, Recargables y Multifuncionales - Conectan a Varios Dispositivos, soportan Radio FM, Tarjeta TF y AUX - 4 Horas de Reproducción Musical - Ideal para Trabajo Cotidiano, Juegos y Estudio</t>
        </is>
      </c>
      <c r="H3809" s="16" t="inlineStr">
        <is>
          <t>BLANCO</t>
        </is>
      </c>
      <c r="I3809" s="16" t="n">
        <v>2</v>
      </c>
      <c r="J3809" s="17" t="n">
        <v>70</v>
      </c>
      <c r="K3809" s="17" t="n">
        <v>96.22</v>
      </c>
      <c r="L3809" s="17" t="n">
        <v>12.94</v>
      </c>
      <c r="M3809" s="17" t="n">
        <v>0</v>
      </c>
      <c r="N3809" s="17">
        <f>K3809*0.08+L3809*0.08</f>
        <v/>
      </c>
      <c r="O3809" s="17">
        <f>-(K3809*0.025+L3809*0.025)</f>
        <v/>
      </c>
      <c r="P3809" s="17">
        <f>32</f>
        <v/>
      </c>
      <c r="Q3809" s="17">
        <f>J3809+L3809+N3809+O3809-P3809-M3809</f>
        <v/>
      </c>
    </row>
    <row r="3810">
      <c r="A3810" s="16" t="inlineStr">
        <is>
          <t>5.29-6.4</t>
        </is>
      </c>
      <c r="B3810" s="16" t="inlineStr">
        <is>
          <t>PO-128-02733025436790572</t>
        </is>
      </c>
      <c r="C3810" s="16" t="inlineStr">
        <is>
          <t>Shipped</t>
        </is>
      </c>
      <c r="D3810" s="16" t="inlineStr">
        <is>
          <t>128-02733056894070572</t>
        </is>
      </c>
      <c r="E3810" s="16" t="inlineStr">
        <is>
          <t>Shipped</t>
        </is>
      </c>
      <c r="F3810" s="16" t="inlineStr">
        <is>
          <t>LB02235-rojo</t>
        </is>
      </c>
      <c r="G3810" s="16" t="inlineStr">
        <is>
          <t>Audífonos Inalámbricos para la Cabeza, Recargables y Multifuncionales - Conectan a Varios Dispositivos, soportan Radio FM, Tarjeta TF y AUX - 4 Horas de Reproducción Musical - Ideal para Trabajo Cotidiano, Juegos y Estudio</t>
        </is>
      </c>
      <c r="H3810" s="16" t="inlineStr">
        <is>
          <t>ROJO</t>
        </is>
      </c>
      <c r="I3810" s="16" t="n">
        <v>2</v>
      </c>
      <c r="J3810" s="17" t="n">
        <v>70</v>
      </c>
      <c r="K3810" s="17" t="n">
        <v>96.22</v>
      </c>
      <c r="L3810" s="17" t="n">
        <v>12.94</v>
      </c>
      <c r="M3810" s="17" t="n">
        <v>0</v>
      </c>
      <c r="N3810" s="17">
        <f>K3810*0.08+L3810*0.08</f>
        <v/>
      </c>
      <c r="O3810" s="17">
        <f>-(K3810*0.025+L3810*0.025)</f>
        <v/>
      </c>
      <c r="P3810" s="17">
        <f>32</f>
        <v/>
      </c>
      <c r="Q3810" s="17">
        <f>J3810+L3810+N3810+O3810-P3810-M3810</f>
        <v/>
      </c>
    </row>
    <row r="3811">
      <c r="A3811" s="16" t="inlineStr">
        <is>
          <t>5.29-6.4</t>
        </is>
      </c>
      <c r="B3811" s="16" t="inlineStr">
        <is>
          <t>PO-128-02458572132471184</t>
        </is>
      </c>
      <c r="C3811" s="16" t="inlineStr">
        <is>
          <t>Shipped</t>
        </is>
      </c>
      <c r="D3811" s="16" t="inlineStr">
        <is>
          <t>128-02458676990071184</t>
        </is>
      </c>
      <c r="E3811" s="16" t="inlineStr">
        <is>
          <t>Shipped</t>
        </is>
      </c>
      <c r="F3811" s="16" t="inlineStr">
        <is>
          <t>MB-178-N</t>
        </is>
      </c>
      <c r="G3811" s="16" t="inlineStr">
        <is>
          <t>Bocina de Barra Bluetooth LINK BITS con dos altavoces, sonido de alta calidad y multifuncional (Bluetooth, Radio FM, USB, TF, AUX, TWS), ideal para juegos, reuniones, oficina y cine en casa.</t>
        </is>
      </c>
      <c r="H3811" s="16" t="inlineStr">
        <is>
          <t>NEGRO</t>
        </is>
      </c>
      <c r="I3811" s="16" t="n">
        <v>1</v>
      </c>
      <c r="J3811" s="17" t="n">
        <v>120</v>
      </c>
      <c r="K3811" s="17" t="n">
        <v>96.23999999999999</v>
      </c>
      <c r="L3811" s="17" t="n">
        <v>25.86</v>
      </c>
      <c r="M3811" s="17" t="n">
        <v>0</v>
      </c>
      <c r="N3811" s="17">
        <f>K3811*0.08+L3811*0.08</f>
        <v/>
      </c>
      <c r="O3811" s="17">
        <f>-(K3811*0.025+L3811*0.025)</f>
        <v/>
      </c>
      <c r="P3811" s="17">
        <f>32</f>
        <v/>
      </c>
      <c r="Q3811" s="17">
        <f>J3811+L3811+N3811+O3811-P3811-M3811</f>
        <v/>
      </c>
    </row>
    <row r="3812">
      <c r="A3812" s="16" t="inlineStr">
        <is>
          <t>5.29-6.4</t>
        </is>
      </c>
      <c r="B3812" s="16" t="inlineStr">
        <is>
          <t>PO-128-02320502147192969</t>
        </is>
      </c>
      <c r="C3812" s="16" t="inlineStr">
        <is>
          <t>Shipped</t>
        </is>
      </c>
      <c r="D3812" s="16" t="inlineStr">
        <is>
          <t>128-02320504768632969</t>
        </is>
      </c>
      <c r="E3812" s="16" t="inlineStr">
        <is>
          <t>Shipped</t>
        </is>
      </c>
      <c r="F3812" s="16" t="inlineStr">
        <is>
          <t>MB-185R</t>
        </is>
      </c>
      <c r="G3812" s="16" t="inlineStr">
        <is>
          <t>Bocina Radio FM/Reproductor, Compatible con Tarjeta TF, USB, Bluetooth, Aplicable para celular, computadora, Ipad y consola.</t>
        </is>
      </c>
      <c r="H3812" s="16" t="inlineStr">
        <is>
          <t>ROJO/MB-185</t>
        </is>
      </c>
      <c r="I3812" s="16" t="n">
        <v>1</v>
      </c>
      <c r="J3812" s="17" t="n">
        <v>71.31</v>
      </c>
      <c r="K3812" s="17" t="n">
        <v>84.23999999999999</v>
      </c>
      <c r="L3812" s="17" t="n">
        <v>25.86</v>
      </c>
      <c r="M3812" s="17" t="n">
        <v>0</v>
      </c>
      <c r="N3812" s="17">
        <f>K3812*0.08+L3812*0.08</f>
        <v/>
      </c>
      <c r="O3812" s="17">
        <f>-(K3812*0.025+L3812*0.025)</f>
        <v/>
      </c>
      <c r="P3812" s="17">
        <f>32</f>
        <v/>
      </c>
      <c r="Q3812" s="17">
        <f>J3812+L3812+N3812+O3812-P3812-M3812</f>
        <v/>
      </c>
    </row>
    <row r="3813">
      <c r="A3813" s="16" t="inlineStr">
        <is>
          <t>5.29-6.4</t>
        </is>
      </c>
      <c r="B3813" s="16" t="inlineStr">
        <is>
          <t>PO-128-02337362952313061</t>
        </is>
      </c>
      <c r="C3813" s="16" t="inlineStr">
        <is>
          <t>Shipped</t>
        </is>
      </c>
      <c r="D3813" s="16" t="inlineStr">
        <is>
          <t>128-02337321009273061</t>
        </is>
      </c>
      <c r="E3813" s="16" t="inlineStr">
        <is>
          <t>Shipped</t>
        </is>
      </c>
      <c r="F3813" s="16" t="inlineStr">
        <is>
          <t>LB02235-rojo</t>
        </is>
      </c>
      <c r="G3813" s="16" t="inlineStr">
        <is>
          <t>Audífonos Inalámbricos para la Cabeza, Recargables y Multifuncionales - Conectan a Varios Dispositivos, soportan Radio FM, Tarjeta TF y AUX - 4 Horas de Reproducción Musical - Ideal para Trabajo Cotidiano, Juegos y Estudio</t>
        </is>
      </c>
      <c r="H3813" s="16" t="inlineStr">
        <is>
          <t>ROJO</t>
        </is>
      </c>
      <c r="I3813" s="16" t="n">
        <v>1</v>
      </c>
      <c r="J3813" s="17" t="n">
        <v>35</v>
      </c>
      <c r="K3813" s="17" t="n">
        <v>38.49</v>
      </c>
      <c r="L3813" s="17" t="n">
        <v>25.86</v>
      </c>
      <c r="M3813" s="17" t="n">
        <v>0</v>
      </c>
      <c r="N3813" s="17">
        <f>K3813*0.08+L3813*0.08</f>
        <v/>
      </c>
      <c r="O3813" s="17">
        <f>-(K3813*0.025+L3813*0.025)</f>
        <v/>
      </c>
      <c r="P3813" s="17">
        <f>32</f>
        <v/>
      </c>
      <c r="Q3813" s="17">
        <f>J3813+L3813+N3813+O3813-P3813-M3813</f>
        <v/>
      </c>
    </row>
    <row r="3814">
      <c r="A3814" s="16" t="inlineStr">
        <is>
          <t>5.29-6.4</t>
        </is>
      </c>
      <c r="B3814" s="16" t="inlineStr">
        <is>
          <t>PO-128-02289952228472255</t>
        </is>
      </c>
      <c r="C3814" s="16" t="inlineStr">
        <is>
          <t>Shipped</t>
        </is>
      </c>
      <c r="D3814" s="16" t="inlineStr">
        <is>
          <t>128-02290057086072255</t>
        </is>
      </c>
      <c r="E3814" s="16" t="inlineStr">
        <is>
          <t>Shipped</t>
        </is>
      </c>
      <c r="F3814" s="16" t="inlineStr">
        <is>
          <t>LB02235-blanco</t>
        </is>
      </c>
      <c r="G3814" s="16" t="inlineStr">
        <is>
          <t>Audífonos Inalámbricos para la Cabeza, Recargables y Multifuncionales - Conectan a Varios Dispositivos, soportan Radio FM, Tarjeta TF y AUX - 4 Horas de Reproducción Musical - Ideal para Trabajo Cotidiano, Juegos y Estudio</t>
        </is>
      </c>
      <c r="H3814" s="16" t="inlineStr">
        <is>
          <t>BLANCO</t>
        </is>
      </c>
      <c r="I3814" s="16" t="n">
        <v>1</v>
      </c>
      <c r="J3814" s="17" t="n">
        <v>35</v>
      </c>
      <c r="K3814" s="17" t="n">
        <v>5.01</v>
      </c>
      <c r="L3814" s="17" t="n">
        <v>25.86</v>
      </c>
      <c r="M3814" s="17" t="n">
        <v>0</v>
      </c>
      <c r="N3814" s="17">
        <f>K3814*0.08+L3814*0.08</f>
        <v/>
      </c>
      <c r="O3814" s="17">
        <f>-(K3814*0.025+L3814*0.025)</f>
        <v/>
      </c>
      <c r="P3814" s="17">
        <f>32</f>
        <v/>
      </c>
      <c r="Q3814" s="17">
        <f>J3814+L3814+N3814+O3814-P3814-M3814</f>
        <v/>
      </c>
    </row>
    <row r="3815">
      <c r="A3815" s="16" t="inlineStr">
        <is>
          <t>5.29-6.4</t>
        </is>
      </c>
      <c r="B3815" s="16" t="inlineStr">
        <is>
          <t>PO-128-02619819922550353</t>
        </is>
      </c>
      <c r="C3815" s="16" t="inlineStr">
        <is>
          <t>Shipped</t>
        </is>
      </c>
      <c r="D3815" s="16" t="inlineStr">
        <is>
          <t>128-02619780600950353</t>
        </is>
      </c>
      <c r="E3815" s="16" t="inlineStr">
        <is>
          <t>Shipped</t>
        </is>
      </c>
      <c r="F3815" s="16" t="inlineStr">
        <is>
          <t>LB02235-rojo</t>
        </is>
      </c>
      <c r="G3815" s="16" t="inlineStr">
        <is>
          <t>Audífonos Inalámbricos para la Cabeza, Recargables y Multifuncionales - Conectan a Varios Dispositivos, soportan Radio FM, Tarjeta TF y AUX - 4 Horas de Reproducción Musical - Ideal para Trabajo Cotidiano, Juegos y Estudio</t>
        </is>
      </c>
      <c r="H3815" s="16" t="inlineStr">
        <is>
          <t>ROJO</t>
        </is>
      </c>
      <c r="I3815" s="16" t="n">
        <v>1</v>
      </c>
      <c r="J3815" s="17" t="n">
        <v>35</v>
      </c>
      <c r="K3815" s="17" t="n">
        <v>48.11</v>
      </c>
      <c r="L3815" s="17" t="n">
        <v>12.93</v>
      </c>
      <c r="M3815" s="17" t="n">
        <v>0</v>
      </c>
      <c r="N3815" s="17">
        <f>K3815*0.08+L3815*0.08</f>
        <v/>
      </c>
      <c r="O3815" s="17">
        <f>-(K3815*0.025+L3815*0.025)</f>
        <v/>
      </c>
      <c r="P3815" s="17">
        <f>32</f>
        <v/>
      </c>
      <c r="Q3815" s="17">
        <f>J3815+L3815+N3815+O3815-P3815-M3815</f>
        <v/>
      </c>
    </row>
    <row r="3816">
      <c r="A3816" s="16" t="inlineStr">
        <is>
          <t>5.29-6.4</t>
        </is>
      </c>
      <c r="B3816" s="16" t="inlineStr">
        <is>
          <t>PO-128-02619819922550353</t>
        </is>
      </c>
      <c r="C3816" s="16" t="inlineStr">
        <is>
          <t>Shipped</t>
        </is>
      </c>
      <c r="D3816" s="16" t="inlineStr">
        <is>
          <t>128-02619788465270353</t>
        </is>
      </c>
      <c r="E3816" s="16" t="inlineStr">
        <is>
          <t>Shipped</t>
        </is>
      </c>
      <c r="F3816" s="16" t="inlineStr">
        <is>
          <t>LB02235-blanco</t>
        </is>
      </c>
      <c r="G3816" s="16" t="inlineStr">
        <is>
          <t>Audífonos Inalámbricos para la Cabeza, Recargables y Multifuncionales - Conectan a Varios Dispositivos, soportan Radio FM, Tarjeta TF y AUX - 4 Horas de Reproducción Musical - Ideal para Trabajo Cotidiano, Juegos y Estudio</t>
        </is>
      </c>
      <c r="H3816" s="16" t="inlineStr">
        <is>
          <t>BLANCO</t>
        </is>
      </c>
      <c r="I3816" s="16" t="n">
        <v>1</v>
      </c>
      <c r="J3816" s="17" t="n">
        <v>35</v>
      </c>
      <c r="K3816" s="17" t="n">
        <v>48.11</v>
      </c>
      <c r="L3816" s="17" t="n">
        <v>12.93</v>
      </c>
      <c r="M3816" s="17" t="n">
        <v>0</v>
      </c>
      <c r="N3816" s="17">
        <f>K3816*0.08+L3816*0.08</f>
        <v/>
      </c>
      <c r="O3816" s="17">
        <f>-(K3816*0.025+L3816*0.025)</f>
        <v/>
      </c>
      <c r="P3816" s="17">
        <f>32</f>
        <v/>
      </c>
      <c r="Q3816" s="17">
        <f>J3816+L3816+N3816+O3816-P3816-M3816</f>
        <v/>
      </c>
    </row>
    <row r="3817">
      <c r="A3817" s="16" t="inlineStr">
        <is>
          <t>5.29-6.4</t>
        </is>
      </c>
      <c r="B3817" s="16" t="inlineStr">
        <is>
          <t>PO-128-02233553930872463</t>
        </is>
      </c>
      <c r="C3817" s="16" t="inlineStr">
        <is>
          <t>Shipped</t>
        </is>
      </c>
      <c r="D3817" s="16" t="inlineStr">
        <is>
          <t>128-02233588009592463</t>
        </is>
      </c>
      <c r="E3817" s="16" t="inlineStr">
        <is>
          <t>Shipped</t>
        </is>
      </c>
      <c r="F3817" s="16" t="inlineStr">
        <is>
          <t>LB02235-negro</t>
        </is>
      </c>
      <c r="G3817" s="16" t="inlineStr">
        <is>
          <t>Audífonos Inalámbricos para la Cabeza, Recargables y Multifuncionales - Conectan a Varios Dispositivos, soportan Radio FM, Tarjeta TF y AUX - 4 Horas de Reproducción Musical - Ideal para Trabajo Cotidiano, Juegos y Estudio</t>
        </is>
      </c>
      <c r="H3817" s="16" t="inlineStr">
        <is>
          <t>NEGRO</t>
        </is>
      </c>
      <c r="I3817" s="16" t="n">
        <v>1</v>
      </c>
      <c r="J3817" s="17" t="n">
        <v>35</v>
      </c>
      <c r="K3817" s="17" t="n">
        <v>48.11</v>
      </c>
      <c r="L3817" s="17" t="n">
        <v>25.86</v>
      </c>
      <c r="M3817" s="17" t="n">
        <v>0</v>
      </c>
      <c r="N3817" s="17">
        <f>K3817*0.08+L3817*0.08</f>
        <v/>
      </c>
      <c r="O3817" s="17">
        <f>-(K3817*0.025+L3817*0.025)</f>
        <v/>
      </c>
      <c r="P3817" s="17">
        <f>32</f>
        <v/>
      </c>
      <c r="Q3817" s="17">
        <f>J3817+L3817+N3817+O3817-P3817-M3817</f>
        <v/>
      </c>
    </row>
    <row r="3818">
      <c r="A3818" s="16" t="inlineStr">
        <is>
          <t>5.29-6.4</t>
        </is>
      </c>
      <c r="B3818" s="16" t="inlineStr">
        <is>
          <t>PO-128-02372332462712722</t>
        </is>
      </c>
      <c r="C3818" s="16" t="inlineStr">
        <is>
          <t>Shipped</t>
        </is>
      </c>
      <c r="D3818" s="16" t="inlineStr">
        <is>
          <t>128-02372311491192722</t>
        </is>
      </c>
      <c r="E3818" s="16" t="inlineStr">
        <is>
          <t>Shipped</t>
        </is>
      </c>
      <c r="F3818" s="16" t="inlineStr">
        <is>
          <t>MCM-001G</t>
        </is>
      </c>
      <c r="G3818" s="16" t="inlineStr">
        <is>
          <t>Musicord Altavoz Inalámbrico BT Portátil: ¡Sonido impactante, luces LED multicolores y 4 horas de autonomía! Compatible con TWS, FM, TF y USB – Imprescindible para fiestas y viajes</t>
        </is>
      </c>
      <c r="H3818" s="16" t="inlineStr">
        <is>
          <t>GRIS</t>
        </is>
      </c>
      <c r="I3818" s="16" t="n">
        <v>1</v>
      </c>
      <c r="J3818" s="17" t="n">
        <v>51</v>
      </c>
      <c r="K3818" s="17" t="n">
        <v>46.71</v>
      </c>
      <c r="L3818" s="17" t="n">
        <v>25.86</v>
      </c>
      <c r="M3818" s="17" t="n">
        <v>0</v>
      </c>
      <c r="N3818" s="17">
        <f>K3818*0.08+L3818*0.08</f>
        <v/>
      </c>
      <c r="O3818" s="17">
        <f>-(K3818*0.025+L3818*0.025)</f>
        <v/>
      </c>
      <c r="P3818" s="17">
        <f>32</f>
        <v/>
      </c>
      <c r="Q3818" s="17">
        <f>J3818+L3818+N3818+O3818-P3818-M3818</f>
        <v/>
      </c>
    </row>
    <row r="3819">
      <c r="A3819" s="16" t="inlineStr">
        <is>
          <t>5.29-6.4</t>
        </is>
      </c>
      <c r="B3819" s="16" t="inlineStr">
        <is>
          <t>PO-128-02191050527353741</t>
        </is>
      </c>
      <c r="C3819" s="16" t="inlineStr">
        <is>
          <t>Shipped</t>
        </is>
      </c>
      <c r="D3819" s="16" t="inlineStr">
        <is>
          <t>128-02191097713273741</t>
        </is>
      </c>
      <c r="E3819" s="16" t="inlineStr">
        <is>
          <t>Shipped</t>
        </is>
      </c>
      <c r="F3819" s="16" t="inlineStr">
        <is>
          <t>SA8058T</t>
        </is>
      </c>
      <c r="G3819"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3819" s="16" t="inlineStr">
        <is>
          <t>SA8058T</t>
        </is>
      </c>
      <c r="I3819" s="16" t="n">
        <v>1</v>
      </c>
      <c r="J3819" s="17" t="n">
        <v>200</v>
      </c>
      <c r="K3819" s="17" t="n">
        <v>189.26</v>
      </c>
      <c r="L3819" s="17" t="n">
        <v>25.86</v>
      </c>
      <c r="M3819" s="17" t="n">
        <v>0</v>
      </c>
      <c r="N3819" s="17">
        <f>K3819*0.08+L3819*0.08</f>
        <v/>
      </c>
      <c r="O3819" s="17">
        <f>-(K3819*0.025+L3819*0.025)</f>
        <v/>
      </c>
      <c r="P3819" s="17">
        <f>32</f>
        <v/>
      </c>
      <c r="Q3819" s="17">
        <f>J3819+L3819+N3819+O3819-P3819-M3819</f>
        <v/>
      </c>
    </row>
    <row r="3820">
      <c r="A3820" s="16" t="inlineStr">
        <is>
          <t>5.29-6.4</t>
        </is>
      </c>
      <c r="B3820" s="16" t="inlineStr">
        <is>
          <t>PO-128-02204306063993788</t>
        </is>
      </c>
      <c r="C3820" s="16" t="inlineStr">
        <is>
          <t>Shipped</t>
        </is>
      </c>
      <c r="D3820" s="16" t="inlineStr">
        <is>
          <t>128-02204327035513788</t>
        </is>
      </c>
      <c r="E3820" s="16" t="inlineStr">
        <is>
          <t>Shipped</t>
        </is>
      </c>
      <c r="F3820" s="16" t="inlineStr">
        <is>
          <t>LB02235-azul</t>
        </is>
      </c>
      <c r="G3820" s="16" t="inlineStr">
        <is>
          <t>Audífonos Inalámbricos para la Cabeza, Recargables y Multifuncionales - Conectan a Varios Dispositivos, soportan Radio FM, Tarjeta TF y AUX - 4 Horas de Reproducción Musical - Ideal para Trabajo Cotidiano, Juegos y Estudio</t>
        </is>
      </c>
      <c r="H3820" s="16" t="inlineStr">
        <is>
          <t>AZUL</t>
        </is>
      </c>
      <c r="I3820" s="16" t="n">
        <v>1</v>
      </c>
      <c r="J3820" s="17" t="n">
        <v>29.9</v>
      </c>
      <c r="K3820" s="17" t="n">
        <v>43.01</v>
      </c>
      <c r="L3820" s="17" t="n">
        <v>25.86</v>
      </c>
      <c r="M3820" s="17" t="n">
        <v>0</v>
      </c>
      <c r="N3820" s="17">
        <f>K3820*0.08+L3820*0.08</f>
        <v/>
      </c>
      <c r="O3820" s="17">
        <f>-(K3820*0.025+L3820*0.025)</f>
        <v/>
      </c>
      <c r="P3820" s="17">
        <f>32</f>
        <v/>
      </c>
      <c r="Q3820" s="17">
        <f>J3820+L3820+N3820+O3820-P3820-M3820</f>
        <v/>
      </c>
    </row>
    <row r="3821">
      <c r="A3821" s="16" t="inlineStr">
        <is>
          <t>5.29-6.4</t>
        </is>
      </c>
      <c r="B3821" s="16" t="inlineStr">
        <is>
          <t>PO-128-02148268431993994</t>
        </is>
      </c>
      <c r="C3821" s="16" t="inlineStr">
        <is>
          <t>Shipped</t>
        </is>
      </c>
      <c r="D3821" s="16" t="inlineStr">
        <is>
          <t>128-02148289403513994</t>
        </is>
      </c>
      <c r="E3821" s="16" t="inlineStr">
        <is>
          <t>Shipped</t>
        </is>
      </c>
      <c r="F3821" s="16" t="inlineStr">
        <is>
          <t>SA325T</t>
        </is>
      </c>
      <c r="G3821" s="16" t="inlineStr">
        <is>
          <t>Subwoofer Portátil Inalámbrico con Luces RGB, Sonido de Alta Potencia y Batería Duradera, TWS TF USB, Perfecto para Campamento Fiestas y Entretenimiento en Casa</t>
        </is>
      </c>
      <c r="H3821" s="16" t="inlineStr">
        <is>
          <t>NEGRO</t>
        </is>
      </c>
      <c r="I3821" s="16" t="n">
        <v>1</v>
      </c>
      <c r="J3821" s="17" t="n">
        <v>36</v>
      </c>
      <c r="K3821" s="17" t="n">
        <v>29.45</v>
      </c>
      <c r="L3821" s="17" t="n">
        <v>25.86</v>
      </c>
      <c r="M3821" s="17" t="n">
        <v>0</v>
      </c>
      <c r="N3821" s="17">
        <f>K3821*0.08+L3821*0.08</f>
        <v/>
      </c>
      <c r="O3821" s="17">
        <f>-(K3821*0.025+L3821*0.025)</f>
        <v/>
      </c>
      <c r="P3821" s="17">
        <f>32</f>
        <v/>
      </c>
      <c r="Q3821" s="17">
        <f>J3821+L3821+N3821+O3821-P3821-M3821</f>
        <v/>
      </c>
    </row>
    <row r="3822">
      <c r="A3822" s="16" t="inlineStr">
        <is>
          <t>5.29-6.4</t>
        </is>
      </c>
      <c r="B3822" s="16" t="inlineStr">
        <is>
          <t>PO-128-02633104732790208</t>
        </is>
      </c>
      <c r="C3822" s="16" t="inlineStr">
        <is>
          <t>Shipped</t>
        </is>
      </c>
      <c r="D3822" s="16" t="inlineStr">
        <is>
          <t>128-02633180754550208</t>
        </is>
      </c>
      <c r="E3822" s="16" t="inlineStr">
        <is>
          <t>Shipped</t>
        </is>
      </c>
      <c r="F3822" s="16" t="inlineStr">
        <is>
          <t>MCM-001A</t>
        </is>
      </c>
      <c r="G3822" s="16" t="inlineStr">
        <is>
          <t>Musicord Altavoz Inalámbrico BT Portátil: ¡Sonido impactante, luces LED multicolores y 4 horas de autonomía! Compatible con TWS, FM, TF y USB – Imprescindible para fiestas y viajes</t>
        </is>
      </c>
      <c r="H3822" s="16" t="inlineStr">
        <is>
          <t>AZUL</t>
        </is>
      </c>
      <c r="I3822" s="16" t="n">
        <v>1</v>
      </c>
      <c r="J3822" s="17" t="n">
        <v>66</v>
      </c>
      <c r="K3822" s="17" t="n">
        <v>34.18</v>
      </c>
      <c r="L3822" s="17" t="n">
        <v>25.86</v>
      </c>
      <c r="M3822" s="17" t="n">
        <v>0</v>
      </c>
      <c r="N3822" s="17">
        <f>K3822*0.08+L3822*0.08</f>
        <v/>
      </c>
      <c r="O3822" s="17">
        <f>-(K3822*0.025+L3822*0.025)</f>
        <v/>
      </c>
      <c r="P3822" s="17">
        <f>32</f>
        <v/>
      </c>
      <c r="Q3822" s="17">
        <f>J3822+L3822+N3822+O3822-P3822-M3822</f>
        <v/>
      </c>
    </row>
    <row r="3823">
      <c r="A3823" s="16" t="inlineStr">
        <is>
          <t>5.29-6.4</t>
        </is>
      </c>
      <c r="B3823" s="16" t="inlineStr">
        <is>
          <t>PO-128-02548332524151739</t>
        </is>
      </c>
      <c r="C3823" s="16" t="inlineStr">
        <is>
          <t>Shipped</t>
        </is>
      </c>
      <c r="D3823" s="16" t="inlineStr">
        <is>
          <t>128-02548353495671739</t>
        </is>
      </c>
      <c r="E3823" s="16" t="inlineStr">
        <is>
          <t>Shipped</t>
        </is>
      </c>
      <c r="F3823" s="16" t="inlineStr">
        <is>
          <t>HD005</t>
        </is>
      </c>
      <c r="G3823" s="16" t="inlineStr">
        <is>
          <t>Link bits HD005 Antena UHF para Exteriores, Antena de TV Digital HD con 10 Metros de Cable, Recepción 470-862MHz, 9-7dB de Ganancia, Antena para Canales Abiertos y HD, Resistente al Agua y Viento, Fácil Instalación</t>
        </is>
      </c>
      <c r="H3823" s="16" t="inlineStr">
        <is>
          <t>1</t>
        </is>
      </c>
      <c r="I3823" s="16" t="n">
        <v>1</v>
      </c>
      <c r="J3823" s="17" t="n">
        <v>70</v>
      </c>
      <c r="K3823" s="17" t="n">
        <v>87.66</v>
      </c>
      <c r="L3823" s="17" t="n">
        <v>25.86</v>
      </c>
      <c r="M3823" s="17" t="n">
        <v>0</v>
      </c>
      <c r="N3823" s="17">
        <f>K3823*0.08+L3823*0.08</f>
        <v/>
      </c>
      <c r="O3823" s="17">
        <f>-(K3823*0.025+L3823*0.025)</f>
        <v/>
      </c>
      <c r="P3823" s="17">
        <f>32</f>
        <v/>
      </c>
      <c r="Q3823" s="17">
        <f>J3823+L3823+N3823+O3823-P3823-M3823</f>
        <v/>
      </c>
    </row>
    <row r="3824">
      <c r="A3824" s="16" t="inlineStr">
        <is>
          <t>5.29-6.4</t>
        </is>
      </c>
      <c r="B3824" s="16" t="inlineStr">
        <is>
          <t>PO-128-02345571113592818</t>
        </is>
      </c>
      <c r="C3824" s="16" t="inlineStr">
        <is>
          <t>Shipped</t>
        </is>
      </c>
      <c r="D3824" s="16" t="inlineStr">
        <is>
          <t>128-02345592085112818</t>
        </is>
      </c>
      <c r="E3824" s="16" t="inlineStr">
        <is>
          <t>Shipped</t>
        </is>
      </c>
      <c r="F3824" s="16" t="inlineStr">
        <is>
          <t>MCM-001N</t>
        </is>
      </c>
      <c r="G3824" s="16" t="inlineStr">
        <is>
          <t>Musicord Altavoz Inalámbrico BT Portátil: ¡Sonido impactante, luces LED multicolores y 4 horas de autonomía! Compatible con TWS, FM, TF y USB – Imprescindible para fiestas y viajes</t>
        </is>
      </c>
      <c r="H3824" s="16" t="inlineStr">
        <is>
          <t>NEGRO</t>
        </is>
      </c>
      <c r="I3824" s="16" t="n">
        <v>1</v>
      </c>
      <c r="J3824" s="17" t="n">
        <v>60.5</v>
      </c>
      <c r="K3824" s="17" t="n">
        <v>25.19</v>
      </c>
      <c r="L3824" s="17" t="n">
        <v>25.86</v>
      </c>
      <c r="M3824" s="17" t="n">
        <v>0</v>
      </c>
      <c r="N3824" s="17">
        <f>K3824*0.08+L3824*0.08</f>
        <v/>
      </c>
      <c r="O3824" s="17">
        <f>-(K3824*0.025+L3824*0.025)</f>
        <v/>
      </c>
      <c r="P3824" s="17">
        <f>32</f>
        <v/>
      </c>
      <c r="Q3824" s="17">
        <f>J3824+L3824+N3824+O3824-P3824-M3824</f>
        <v/>
      </c>
    </row>
    <row r="3825">
      <c r="A3825" s="16" t="inlineStr">
        <is>
          <t>5.29-6.4</t>
        </is>
      </c>
      <c r="B3825" s="16" t="inlineStr">
        <is>
          <t>PO-128-02077334538873523</t>
        </is>
      </c>
      <c r="C3825" s="16" t="inlineStr">
        <is>
          <t>Shipped</t>
        </is>
      </c>
      <c r="D3825" s="16" t="inlineStr">
        <is>
          <t>128-02077313567353523</t>
        </is>
      </c>
      <c r="E3825" s="16" t="inlineStr">
        <is>
          <t>Shipped</t>
        </is>
      </c>
      <c r="F3825" s="16" t="inlineStr">
        <is>
          <t>LB02235-negro</t>
        </is>
      </c>
      <c r="G3825" s="16" t="inlineStr">
        <is>
          <t>Audífonos Inalámbricos para la Cabeza, Recargables y Multifuncionales - Conectan a Varios Dispositivos, soportan Radio FM, Tarjeta TF y AUX - 4 Horas de Reproducción Musical - Ideal para Trabajo Cotidiano, Juegos y Estudio</t>
        </is>
      </c>
      <c r="H3825" s="16" t="inlineStr">
        <is>
          <t>NEGRO</t>
        </is>
      </c>
      <c r="I3825" s="16" t="n">
        <v>1</v>
      </c>
      <c r="J3825" s="17" t="n">
        <v>35</v>
      </c>
      <c r="K3825" s="17" t="n">
        <v>48.11</v>
      </c>
      <c r="L3825" s="17" t="n">
        <v>25.86</v>
      </c>
      <c r="M3825" s="17" t="n">
        <v>0</v>
      </c>
      <c r="N3825" s="17">
        <f>K3825*0.08+L3825*0.08</f>
        <v/>
      </c>
      <c r="O3825" s="17">
        <f>-(K3825*0.025+L3825*0.025)</f>
        <v/>
      </c>
      <c r="P3825" s="17">
        <f>32</f>
        <v/>
      </c>
      <c r="Q3825" s="17">
        <f>J3825+L3825+N3825+O3825-P3825-M3825</f>
        <v/>
      </c>
    </row>
    <row r="3826">
      <c r="A3826" s="16" t="inlineStr">
        <is>
          <t>5.29-6.4</t>
        </is>
      </c>
      <c r="B3826" s="16" t="inlineStr">
        <is>
          <t>PO-128-02265726403192398</t>
        </is>
      </c>
      <c r="C3826" s="16" t="inlineStr">
        <is>
          <t>Shipped</t>
        </is>
      </c>
      <c r="D3826" s="16" t="inlineStr">
        <is>
          <t>128-02265752617592398</t>
        </is>
      </c>
      <c r="E3826" s="16" t="inlineStr">
        <is>
          <t>Shipped</t>
        </is>
      </c>
      <c r="F3826" s="16" t="inlineStr">
        <is>
          <t>MB-185N</t>
        </is>
      </c>
      <c r="G3826" s="16" t="inlineStr">
        <is>
          <t>Bocina Radio FM/Reproductor, Compatible con Tarjeta TF, USB, Bluetooth, Aplicable para celular, computadora, Ipad y consola.</t>
        </is>
      </c>
      <c r="H3826" s="16" t="inlineStr">
        <is>
          <t>NEGRO/MB-185</t>
        </is>
      </c>
      <c r="I3826" s="16" t="n">
        <v>1</v>
      </c>
      <c r="J3826" s="17" t="n">
        <v>71.31</v>
      </c>
      <c r="K3826" s="17" t="n">
        <v>67.40000000000001</v>
      </c>
      <c r="L3826" s="17" t="n">
        <v>25.86</v>
      </c>
      <c r="M3826" s="17" t="n">
        <v>0</v>
      </c>
      <c r="N3826" s="17">
        <f>K3826*0.08+L3826*0.08</f>
        <v/>
      </c>
      <c r="O3826" s="17">
        <f>-(K3826*0.025+L3826*0.025)</f>
        <v/>
      </c>
      <c r="P3826" s="17">
        <f>32</f>
        <v/>
      </c>
      <c r="Q3826" s="17">
        <f>J3826+L3826+N3826+O3826-P3826-M3826</f>
        <v/>
      </c>
    </row>
    <row r="3827">
      <c r="A3827" s="16" t="inlineStr">
        <is>
          <t>5.29-6.4</t>
        </is>
      </c>
      <c r="B3827" s="16" t="inlineStr">
        <is>
          <t>PO-128-02524701891191878</t>
        </is>
      </c>
      <c r="C3827" s="16" t="inlineStr">
        <is>
          <t>Shipped</t>
        </is>
      </c>
      <c r="D3827" s="16" t="inlineStr">
        <is>
          <t>128-02524680919671878</t>
        </is>
      </c>
      <c r="E3827" s="16" t="inlineStr">
        <is>
          <t>Shipped</t>
        </is>
      </c>
      <c r="F3827" s="16" t="inlineStr">
        <is>
          <t>LB02235-negro</t>
        </is>
      </c>
      <c r="G3827" s="16" t="inlineStr">
        <is>
          <t>Audífonos Inalámbricos para la Cabeza, Recargables y Multifuncionales - Conectan a Varios Dispositivos, soportan Radio FM, Tarjeta TF y AUX - 4 Horas de Reproducción Musical - Ideal para Trabajo Cotidiano, Juegos y Estudio</t>
        </is>
      </c>
      <c r="H3827" s="16" t="inlineStr">
        <is>
          <t>NEGRO</t>
        </is>
      </c>
      <c r="I3827" s="16" t="n">
        <v>1</v>
      </c>
      <c r="J3827" s="17" t="n">
        <v>35</v>
      </c>
      <c r="K3827" s="17" t="n">
        <v>48.11</v>
      </c>
      <c r="L3827" s="17" t="n">
        <v>25.86</v>
      </c>
      <c r="M3827" s="17" t="n">
        <v>0</v>
      </c>
      <c r="N3827" s="17">
        <f>K3827*0.08+L3827*0.08</f>
        <v/>
      </c>
      <c r="O3827" s="17">
        <f>-(K3827*0.025+L3827*0.025)</f>
        <v/>
      </c>
      <c r="P3827" s="17">
        <f>32</f>
        <v/>
      </c>
      <c r="Q3827" s="17">
        <f>J3827+L3827+N3827+O3827-P3827-M3827</f>
        <v/>
      </c>
    </row>
    <row r="3828">
      <c r="A3828" s="16" t="inlineStr">
        <is>
          <t>5.29-6.4</t>
        </is>
      </c>
      <c r="B3828" s="16" t="inlineStr">
        <is>
          <t>PO-128-02690852731510824</t>
        </is>
      </c>
      <c r="C3828" s="16" t="inlineStr">
        <is>
          <t>Shipped</t>
        </is>
      </c>
      <c r="D3828" s="16" t="inlineStr">
        <is>
          <t>128-02690873703030824</t>
        </is>
      </c>
      <c r="E3828" s="16" t="inlineStr">
        <is>
          <t>Shipped</t>
        </is>
      </c>
      <c r="F3828" s="16" t="inlineStr">
        <is>
          <t>SA325T</t>
        </is>
      </c>
      <c r="G3828" s="16" t="inlineStr">
        <is>
          <t>Subwoofer Portátil Inalámbrico con Luces RGB, Sonido de Alta Potencia y Batería Duradera, TWS TF USB, Perfecto para Campamento Fiestas y Entretenimiento en Casa</t>
        </is>
      </c>
      <c r="H3828" s="16" t="inlineStr">
        <is>
          <t>NEGRO</t>
        </is>
      </c>
      <c r="I3828" s="16" t="n">
        <v>1</v>
      </c>
      <c r="J3828" s="17" t="n">
        <v>36</v>
      </c>
      <c r="K3828" s="17" t="n">
        <v>45.04</v>
      </c>
      <c r="L3828" s="17" t="n">
        <v>25.86</v>
      </c>
      <c r="M3828" s="17" t="n">
        <v>0</v>
      </c>
      <c r="N3828" s="17">
        <f>K3828*0.08+L3828*0.08</f>
        <v/>
      </c>
      <c r="O3828" s="17">
        <f>-(K3828*0.025+L3828*0.025)</f>
        <v/>
      </c>
      <c r="P3828" s="17">
        <f>32</f>
        <v/>
      </c>
      <c r="Q3828" s="17">
        <f>J3828+L3828+N3828+O3828-P3828-M3828</f>
        <v/>
      </c>
    </row>
    <row r="3829">
      <c r="A3829" s="16" t="inlineStr">
        <is>
          <t>5.29-6.4</t>
        </is>
      </c>
      <c r="B3829" s="16" t="inlineStr">
        <is>
          <t>PO-128-02701329316470891</t>
        </is>
      </c>
      <c r="C3829" s="16" t="inlineStr">
        <is>
          <t>Shipped</t>
        </is>
      </c>
      <c r="D3829" s="16" t="inlineStr">
        <is>
          <t>128-02701434174070891</t>
        </is>
      </c>
      <c r="E3829" s="16" t="inlineStr">
        <is>
          <t>Shipped</t>
        </is>
      </c>
      <c r="F3829" s="16" t="inlineStr">
        <is>
          <t>VA880T</t>
        </is>
      </c>
      <c r="G3829"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29" s="16" t="inlineStr">
        <is>
          <t>1 pieza</t>
        </is>
      </c>
      <c r="I3829" s="16" t="n">
        <v>1</v>
      </c>
      <c r="J3829" s="17" t="n">
        <v>113</v>
      </c>
      <c r="K3829" s="17" t="n">
        <v>100.24</v>
      </c>
      <c r="L3829" s="17" t="n">
        <v>25.86</v>
      </c>
      <c r="M3829" s="17" t="n">
        <v>0</v>
      </c>
      <c r="N3829" s="17">
        <f>K3829*0.08+L3829*0.08</f>
        <v/>
      </c>
      <c r="O3829" s="17">
        <f>-(K3829*0.025+L3829*0.025)</f>
        <v/>
      </c>
      <c r="P3829" s="17">
        <f>32</f>
        <v/>
      </c>
      <c r="Q3829" s="17">
        <f>J3829+L3829+N3829+O3829-P3829-M3829</f>
        <v/>
      </c>
    </row>
    <row r="3830">
      <c r="A3830" s="16" t="inlineStr">
        <is>
          <t>5.29-6.4</t>
        </is>
      </c>
      <c r="B3830" s="16" t="inlineStr">
        <is>
          <t>PO-128-02451682734711163</t>
        </is>
      </c>
      <c r="C3830" s="16" t="inlineStr">
        <is>
          <t>Shipped</t>
        </is>
      </c>
      <c r="D3830" s="16" t="inlineStr">
        <is>
          <t>128-02451787592311163</t>
        </is>
      </c>
      <c r="E3830" s="16" t="inlineStr">
        <is>
          <t>Shipped</t>
        </is>
      </c>
      <c r="F3830" s="16" t="inlineStr">
        <is>
          <t>VA384T-A</t>
        </is>
      </c>
      <c r="G3830" s="16" t="inlineStr">
        <is>
          <t>Bocina Portátil Bluetooth de 3 Pulgadas con Radio FM, USB TF TWS, Sonido Estéreo 5W, Bocina Recargable para Hogar Exterior Viaje Fiesta Camping</t>
        </is>
      </c>
      <c r="H3830" s="16" t="inlineStr">
        <is>
          <t>AZUL</t>
        </is>
      </c>
      <c r="I3830" s="16" t="n">
        <v>1</v>
      </c>
      <c r="J3830" s="17" t="n">
        <v>45</v>
      </c>
      <c r="K3830" s="17" t="n">
        <v>55.72</v>
      </c>
      <c r="L3830" s="17" t="n">
        <v>25.86</v>
      </c>
      <c r="M3830" s="17" t="n">
        <v>0</v>
      </c>
      <c r="N3830" s="17">
        <f>K3830*0.08+L3830*0.08</f>
        <v/>
      </c>
      <c r="O3830" s="17">
        <f>-(K3830*0.025+L3830*0.025)</f>
        <v/>
      </c>
      <c r="P3830" s="17">
        <f>32</f>
        <v/>
      </c>
      <c r="Q3830" s="17">
        <f>J3830+L3830+N3830+O3830-P3830-M3830</f>
        <v/>
      </c>
    </row>
    <row r="3831">
      <c r="A3831" s="16" t="inlineStr">
        <is>
          <t>5.29-6.4</t>
        </is>
      </c>
      <c r="B3831" s="16" t="inlineStr">
        <is>
          <t>PO-128-02166854948474077</t>
        </is>
      </c>
      <c r="C3831" s="16" t="inlineStr">
        <is>
          <t>Shipped</t>
        </is>
      </c>
      <c r="D3831" s="16" t="inlineStr">
        <is>
          <t>128-02166896891514077</t>
        </is>
      </c>
      <c r="E3831" s="16" t="inlineStr">
        <is>
          <t>Shipped</t>
        </is>
      </c>
      <c r="F3831" s="16" t="inlineStr">
        <is>
          <t>SA8056T</t>
        </is>
      </c>
      <c r="G383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3831" s="16" t="inlineStr">
        <is>
          <t>SA8056T</t>
        </is>
      </c>
      <c r="I3831" s="16" t="n">
        <v>2</v>
      </c>
      <c r="J3831" s="17" t="n">
        <v>246</v>
      </c>
      <c r="K3831" s="17" t="n">
        <v>214.14</v>
      </c>
      <c r="L3831" s="17" t="n">
        <v>0</v>
      </c>
      <c r="M3831" s="17" t="n">
        <v>0</v>
      </c>
      <c r="N3831" s="17">
        <f>K3831*0.08+L3831*0.08</f>
        <v/>
      </c>
      <c r="O3831" s="17">
        <f>-(K3831*0.025+L3831*0.025)</f>
        <v/>
      </c>
      <c r="P3831" s="17">
        <f>32</f>
        <v/>
      </c>
      <c r="Q3831" s="17">
        <f>J3831+L3831+N3831+O3831-P3831-M3831</f>
        <v/>
      </c>
    </row>
    <row r="3832">
      <c r="A3832" s="16" t="inlineStr">
        <is>
          <t>5.29-6.4</t>
        </is>
      </c>
      <c r="B3832" s="16" t="inlineStr">
        <is>
          <t>PO-128-02282108590712236</t>
        </is>
      </c>
      <c r="C3832" s="16" t="inlineStr">
        <is>
          <t>Shipped</t>
        </is>
      </c>
      <c r="D3832" s="16" t="inlineStr">
        <is>
          <t>128-02282071890552236</t>
        </is>
      </c>
      <c r="E3832" s="16" t="inlineStr">
        <is>
          <t>Shipped</t>
        </is>
      </c>
      <c r="F3832" s="16" t="inlineStr">
        <is>
          <t>LB02235-rojo</t>
        </is>
      </c>
      <c r="G3832" s="16" t="inlineStr">
        <is>
          <t>Audífonos Inalámbricos para la Cabeza, Recargables y Multifuncionales - Conectan a Varios Dispositivos, soportan Radio FM, Tarjeta TF y AUX - 4 Horas de Reproducción Musical - Ideal para Trabajo Cotidiano, Juegos y Estudio</t>
        </is>
      </c>
      <c r="H3832" s="16" t="inlineStr">
        <is>
          <t>ROJO</t>
        </is>
      </c>
      <c r="I3832" s="16" t="n">
        <v>1</v>
      </c>
      <c r="J3832" s="17" t="n">
        <v>35</v>
      </c>
      <c r="K3832" s="17" t="n">
        <v>48.11</v>
      </c>
      <c r="L3832" s="17" t="n">
        <v>25.86</v>
      </c>
      <c r="M3832" s="17" t="n">
        <v>0</v>
      </c>
      <c r="N3832" s="17">
        <f>K3832*0.08+L3832*0.08</f>
        <v/>
      </c>
      <c r="O3832" s="17">
        <f>-(K3832*0.025+L3832*0.025)</f>
        <v/>
      </c>
      <c r="P3832" s="17">
        <f>32</f>
        <v/>
      </c>
      <c r="Q3832" s="17">
        <f>J3832+L3832+N3832+O3832-P3832-M3832</f>
        <v/>
      </c>
    </row>
    <row r="3833">
      <c r="A3833" s="16" t="inlineStr">
        <is>
          <t>5.29-6.4</t>
        </is>
      </c>
      <c r="B3833" s="16" t="inlineStr">
        <is>
          <t>PO-128-02674469069430987</t>
        </is>
      </c>
      <c r="C3833" s="16" t="inlineStr">
        <is>
          <t>Shipped</t>
        </is>
      </c>
      <c r="D3833" s="16" t="inlineStr">
        <is>
          <t>128-02674486108790987</t>
        </is>
      </c>
      <c r="E3833" s="16" t="inlineStr">
        <is>
          <t>Shipped</t>
        </is>
      </c>
      <c r="F3833" s="16" t="inlineStr">
        <is>
          <t>LB02235-negro</t>
        </is>
      </c>
      <c r="G3833" s="16" t="inlineStr">
        <is>
          <t>Audífonos Inalámbricos para la Cabeza, Recargables y Multifuncionales - Conectan a Varios Dispositivos, soportan Radio FM, Tarjeta TF y AUX - 4 Horas de Reproducción Musical - Ideal para Trabajo Cotidiano, Juegos y Estudio</t>
        </is>
      </c>
      <c r="H3833" s="16" t="inlineStr">
        <is>
          <t>NEGRO</t>
        </is>
      </c>
      <c r="I3833" s="16" t="n">
        <v>1</v>
      </c>
      <c r="J3833" s="17" t="n">
        <v>35</v>
      </c>
      <c r="K3833" s="17" t="n">
        <v>48.11</v>
      </c>
      <c r="L3833" s="17" t="n">
        <v>25.86</v>
      </c>
      <c r="M3833" s="17" t="n">
        <v>0</v>
      </c>
      <c r="N3833" s="17">
        <f>K3833*0.08+L3833*0.08</f>
        <v/>
      </c>
      <c r="O3833" s="17">
        <f>-(K3833*0.025+L3833*0.025)</f>
        <v/>
      </c>
      <c r="P3833" s="17">
        <f>32</f>
        <v/>
      </c>
      <c r="Q3833" s="17">
        <f>J3833+L3833+N3833+O3833-P3833-M3833</f>
        <v/>
      </c>
    </row>
    <row r="3834">
      <c r="A3834" s="16" t="inlineStr">
        <is>
          <t>5.29-6.4</t>
        </is>
      </c>
      <c r="B3834" s="16" t="inlineStr">
        <is>
          <t>PO-128-02197872210553762</t>
        </is>
      </c>
      <c r="C3834" s="16" t="inlineStr">
        <is>
          <t>Shipped</t>
        </is>
      </c>
      <c r="D3834" s="16" t="inlineStr">
        <is>
          <t>128-02197840753273762</t>
        </is>
      </c>
      <c r="E3834" s="16" t="inlineStr">
        <is>
          <t>Shipped</t>
        </is>
      </c>
      <c r="F3834" s="16" t="inlineStr">
        <is>
          <t>HD005</t>
        </is>
      </c>
      <c r="G3834" s="16" t="inlineStr">
        <is>
          <t>Link bits HD005 Antena UHF para Exteriores, Antena de TV Digital HD con 10 Metros de Cable, Recepción 470-862MHz, 9-7dB de Ganancia, Antena para Canales Abiertos y HD, Resistente al Agua y Viento, Fácil Instalación</t>
        </is>
      </c>
      <c r="H3834" s="16" t="inlineStr">
        <is>
          <t>1</t>
        </is>
      </c>
      <c r="I3834" s="16" t="n">
        <v>1</v>
      </c>
      <c r="J3834" s="17" t="n">
        <v>70</v>
      </c>
      <c r="K3834" s="17" t="n">
        <v>78.90000000000001</v>
      </c>
      <c r="L3834" s="17" t="n">
        <v>25.86</v>
      </c>
      <c r="M3834" s="17" t="n">
        <v>0</v>
      </c>
      <c r="N3834" s="17">
        <f>K3834*0.08+L3834*0.08</f>
        <v/>
      </c>
      <c r="O3834" s="17">
        <f>-(K3834*0.025+L3834*0.025)</f>
        <v/>
      </c>
      <c r="P3834" s="17">
        <f>32</f>
        <v/>
      </c>
      <c r="Q3834" s="17">
        <f>J3834+L3834+N3834+O3834-P3834-M3834</f>
        <v/>
      </c>
    </row>
    <row r="3835">
      <c r="A3835" s="16" t="inlineStr">
        <is>
          <t>5.29-6.4</t>
        </is>
      </c>
      <c r="B3835" s="16" t="inlineStr">
        <is>
          <t>PO-128-02316744069752158</t>
        </is>
      </c>
      <c r="C3835" s="16" t="inlineStr">
        <is>
          <t>Shipped</t>
        </is>
      </c>
      <c r="D3835" s="16" t="inlineStr">
        <is>
          <t>128-02316702126712158</t>
        </is>
      </c>
      <c r="E3835" s="16" t="inlineStr">
        <is>
          <t>Shipped</t>
        </is>
      </c>
      <c r="F3835" s="16" t="inlineStr">
        <is>
          <t>LB02235-blanco</t>
        </is>
      </c>
      <c r="G3835" s="16" t="inlineStr">
        <is>
          <t>Audífonos Inalámbricos para la Cabeza, Recargables y Multifuncionales - Conectan a Varios Dispositivos, soportan Radio FM, Tarjeta TF y AUX - 4 Horas de Reproducción Musical - Ideal para Trabajo Cotidiano, Juegos y Estudio</t>
        </is>
      </c>
      <c r="H3835" s="16" t="inlineStr">
        <is>
          <t>BLANCO</t>
        </is>
      </c>
      <c r="I3835" s="16" t="n">
        <v>1</v>
      </c>
      <c r="J3835" s="17" t="n">
        <v>35</v>
      </c>
      <c r="K3835" s="17" t="n">
        <v>48.11</v>
      </c>
      <c r="L3835" s="17" t="n">
        <v>25.86</v>
      </c>
      <c r="M3835" s="17" t="n">
        <v>0</v>
      </c>
      <c r="N3835" s="17">
        <f>K3835*0.08+L3835*0.08</f>
        <v/>
      </c>
      <c r="O3835" s="17">
        <f>-(K3835*0.025+L3835*0.025)</f>
        <v/>
      </c>
      <c r="P3835" s="17">
        <f>32</f>
        <v/>
      </c>
      <c r="Q3835" s="17">
        <f>J3835+L3835+N3835+O3835-P3835-M3835</f>
        <v/>
      </c>
    </row>
    <row r="3836">
      <c r="A3836" s="16" t="inlineStr">
        <is>
          <t>5.29-6.4</t>
        </is>
      </c>
      <c r="B3836" s="16" t="inlineStr">
        <is>
          <t>PO-128-02332870451833022</t>
        </is>
      </c>
      <c r="C3836" s="16" t="inlineStr">
        <is>
          <t>Shipped</t>
        </is>
      </c>
      <c r="D3836" s="16" t="inlineStr">
        <is>
          <t>128-02332828508793022</t>
        </is>
      </c>
      <c r="E3836" s="16" t="inlineStr">
        <is>
          <t>Shipped</t>
        </is>
      </c>
      <c r="F3836" s="16" t="inlineStr">
        <is>
          <t>LB02235-azul</t>
        </is>
      </c>
      <c r="G3836" s="16" t="inlineStr">
        <is>
          <t>Audífonos Inalámbricos para la Cabeza, Recargables y Multifuncionales - Conectan a Varios Dispositivos, soportan Radio FM, Tarjeta TF y AUX - 4 Horas de Reproducción Musical - Ideal para Trabajo Cotidiano, Juegos y Estudio</t>
        </is>
      </c>
      <c r="H3836" s="16" t="inlineStr">
        <is>
          <t>AZUL</t>
        </is>
      </c>
      <c r="I3836" s="16" t="n">
        <v>1</v>
      </c>
      <c r="J3836" s="17" t="n">
        <v>29.9</v>
      </c>
      <c r="K3836" s="17" t="n">
        <v>43.01</v>
      </c>
      <c r="L3836" s="17" t="n">
        <v>25.86</v>
      </c>
      <c r="M3836" s="17" t="n">
        <v>0</v>
      </c>
      <c r="N3836" s="17">
        <f>K3836*0.08+L3836*0.08</f>
        <v/>
      </c>
      <c r="O3836" s="17">
        <f>-(K3836*0.025+L3836*0.025)</f>
        <v/>
      </c>
      <c r="P3836" s="17">
        <f>32</f>
        <v/>
      </c>
      <c r="Q3836" s="17">
        <f>J3836+L3836+N3836+O3836-P3836-M3836</f>
        <v/>
      </c>
    </row>
    <row r="3837">
      <c r="A3837" s="16" t="inlineStr">
        <is>
          <t>5.29-6.4</t>
        </is>
      </c>
      <c r="B3837" s="16" t="inlineStr">
        <is>
          <t>PO-128-02715620977270676</t>
        </is>
      </c>
      <c r="C3837" s="16" t="inlineStr">
        <is>
          <t>Shipped</t>
        </is>
      </c>
      <c r="D3837" s="16" t="inlineStr">
        <is>
          <t>128-02715579034230676</t>
        </is>
      </c>
      <c r="E3837" s="16" t="inlineStr">
        <is>
          <t>Shipped</t>
        </is>
      </c>
      <c r="F3837" s="16" t="inlineStr">
        <is>
          <t>MB-185A</t>
        </is>
      </c>
      <c r="G3837" s="16" t="inlineStr">
        <is>
          <t>Bocina Radio FM/Reproductor, Compatible con Tarjeta TF, USB, Bluetooth, Aplicable para celular, computadora, Ipad y consola.</t>
        </is>
      </c>
      <c r="H3837" s="16" t="inlineStr">
        <is>
          <t>AZUL/MB-185</t>
        </is>
      </c>
      <c r="I3837" s="16" t="n">
        <v>1</v>
      </c>
      <c r="J3837" s="17" t="n">
        <v>71.31</v>
      </c>
      <c r="K3837" s="17" t="n">
        <v>84.23999999999999</v>
      </c>
      <c r="L3837" s="17" t="n">
        <v>25.86</v>
      </c>
      <c r="M3837" s="17" t="n">
        <v>0</v>
      </c>
      <c r="N3837" s="17">
        <f>K3837*0.08+L3837*0.08</f>
        <v/>
      </c>
      <c r="O3837" s="17">
        <f>-(K3837*0.025+L3837*0.025)</f>
        <v/>
      </c>
      <c r="P3837" s="17">
        <f>32</f>
        <v/>
      </c>
      <c r="Q3837" s="17">
        <f>J3837+L3837+N3837+O3837-P3837-M3837</f>
        <v/>
      </c>
    </row>
    <row r="3838">
      <c r="A3838" s="16" t="inlineStr">
        <is>
          <t>5.29-6.4</t>
        </is>
      </c>
      <c r="B3838" s="16" t="inlineStr">
        <is>
          <t>PO-128-02574000092791648</t>
        </is>
      </c>
      <c r="C3838" s="16" t="inlineStr">
        <is>
          <t>Shipped</t>
        </is>
      </c>
      <c r="D3838" s="16" t="inlineStr">
        <is>
          <t>128-02573989607031648</t>
        </is>
      </c>
      <c r="E3838" s="16" t="inlineStr">
        <is>
          <t>Shipped</t>
        </is>
      </c>
      <c r="F3838" s="16" t="inlineStr">
        <is>
          <t>LB02235-azul</t>
        </is>
      </c>
      <c r="G3838" s="16" t="inlineStr">
        <is>
          <t>Audífonos Inalámbricos para la Cabeza, Recargables y Multifuncionales - Conectan a Varios Dispositivos, soportan Radio FM, Tarjeta TF y AUX - 4 Horas de Reproducción Musical - Ideal para Trabajo Cotidiano, Juegos y Estudio</t>
        </is>
      </c>
      <c r="H3838" s="16" t="inlineStr">
        <is>
          <t>AZUL</t>
        </is>
      </c>
      <c r="I3838" s="16" t="n">
        <v>1</v>
      </c>
      <c r="J3838" s="17" t="n">
        <v>29.9</v>
      </c>
      <c r="K3838" s="17" t="n">
        <v>36.83</v>
      </c>
      <c r="L3838" s="17" t="n">
        <v>25.86</v>
      </c>
      <c r="M3838" s="17" t="n">
        <v>0</v>
      </c>
      <c r="N3838" s="17">
        <f>K3838*0.08+L3838*0.08</f>
        <v/>
      </c>
      <c r="O3838" s="17">
        <f>-(K3838*0.025+L3838*0.025)</f>
        <v/>
      </c>
      <c r="P3838" s="17">
        <f>32</f>
        <v/>
      </c>
      <c r="Q3838" s="17">
        <f>J3838+L3838+N3838+O3838-P3838-M3838</f>
        <v/>
      </c>
    </row>
    <row r="3839">
      <c r="A3839" s="16" t="inlineStr">
        <is>
          <t>5.29-6.4</t>
        </is>
      </c>
      <c r="B3839" s="16" t="inlineStr">
        <is>
          <t>PO-128-02473271158391035</t>
        </is>
      </c>
      <c r="C3839" s="16" t="inlineStr">
        <is>
          <t>Shipped</t>
        </is>
      </c>
      <c r="D3839" s="16" t="inlineStr">
        <is>
          <t>128-02473229215351035</t>
        </is>
      </c>
      <c r="E3839" s="16" t="inlineStr">
        <is>
          <t>Shipped</t>
        </is>
      </c>
      <c r="F3839" s="16" t="inlineStr">
        <is>
          <t>HD005</t>
        </is>
      </c>
      <c r="G3839" s="16" t="inlineStr">
        <is>
          <t>Link bits HD005 Antena UHF para Exteriores, Antena de TV Digital HD con 10 Metros de Cable, Recepción 470-862MHz, 9-7dB de Ganancia, Antena para Canales Abiertos y HD, Resistente al Agua y Viento, Fácil Instalación</t>
        </is>
      </c>
      <c r="H3839" s="16" t="inlineStr">
        <is>
          <t>1</t>
        </is>
      </c>
      <c r="I3839" s="16" t="n">
        <v>1</v>
      </c>
      <c r="J3839" s="17" t="n">
        <v>70</v>
      </c>
      <c r="K3839" s="17" t="n">
        <v>87.66</v>
      </c>
      <c r="L3839" s="17" t="n">
        <v>25.86</v>
      </c>
      <c r="M3839" s="17" t="n">
        <v>0</v>
      </c>
      <c r="N3839" s="17">
        <f>K3839*0.08+L3839*0.08</f>
        <v/>
      </c>
      <c r="O3839" s="17">
        <f>-(K3839*0.025+L3839*0.025)</f>
        <v/>
      </c>
      <c r="P3839" s="17">
        <f>32</f>
        <v/>
      </c>
      <c r="Q3839" s="17">
        <f>J3839+L3839+N3839+O3839-P3839-M3839</f>
        <v/>
      </c>
    </row>
    <row r="3840">
      <c r="A3840" s="16" t="inlineStr">
        <is>
          <t>5.29-6.4</t>
        </is>
      </c>
      <c r="B3840" s="16" t="inlineStr">
        <is>
          <t>PO-128-02162868757114037</t>
        </is>
      </c>
      <c r="C3840" s="16" t="inlineStr">
        <is>
          <t>Shipped</t>
        </is>
      </c>
      <c r="D3840" s="16" t="inlineStr">
        <is>
          <t>128-02162889728634037</t>
        </is>
      </c>
      <c r="E3840" s="16" t="inlineStr">
        <is>
          <t>Shipped</t>
        </is>
      </c>
      <c r="F3840" s="16" t="inlineStr">
        <is>
          <t>VB347T</t>
        </is>
      </c>
      <c r="G384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40" s="16" t="inlineStr">
        <is>
          <t>1 pieza</t>
        </is>
      </c>
      <c r="I3840" s="16" t="n">
        <v>1</v>
      </c>
      <c r="J3840" s="17" t="n">
        <v>77.90000000000001</v>
      </c>
      <c r="K3840" s="17" t="n">
        <v>92.5</v>
      </c>
      <c r="L3840" s="17" t="n">
        <v>25.86</v>
      </c>
      <c r="M3840" s="17" t="n">
        <v>0</v>
      </c>
      <c r="N3840" s="17">
        <f>K3840*0.08+L3840*0.08</f>
        <v/>
      </c>
      <c r="O3840" s="17">
        <f>-(K3840*0.025+L3840*0.025)</f>
        <v/>
      </c>
      <c r="P3840" s="17">
        <f>32</f>
        <v/>
      </c>
      <c r="Q3840" s="17">
        <f>J3840+L3840+N3840+O3840-P3840-M3840</f>
        <v/>
      </c>
    </row>
    <row r="3841">
      <c r="A3841" s="16" t="inlineStr">
        <is>
          <t>5.29-6.4</t>
        </is>
      </c>
      <c r="B3841" s="16" t="inlineStr">
        <is>
          <t>PO-128-02159398984314057</t>
        </is>
      </c>
      <c r="C3841" s="16" t="inlineStr">
        <is>
          <t>Shipped</t>
        </is>
      </c>
      <c r="D3841" s="16" t="inlineStr">
        <is>
          <t>128-02159454034554057</t>
        </is>
      </c>
      <c r="E3841" s="16" t="inlineStr">
        <is>
          <t>Shipped</t>
        </is>
      </c>
      <c r="F3841" s="16" t="inlineStr">
        <is>
          <t>MB-178-B</t>
        </is>
      </c>
      <c r="G3841" s="16" t="inlineStr">
        <is>
          <t>Bocina de Barra Bluetooth LINK BITS con dos altavoces, sonido de alta calidad y multifuncional (Bluetooth, Radio FM, USB, TF, AUX, TWS), ideal para juegos, reuniones, oficina y cine en casa.</t>
        </is>
      </c>
      <c r="H3841" s="16" t="inlineStr">
        <is>
          <t>BLANCO</t>
        </is>
      </c>
      <c r="I3841" s="16" t="n">
        <v>2</v>
      </c>
      <c r="J3841" s="17" t="n">
        <v>238</v>
      </c>
      <c r="K3841" s="17" t="n">
        <v>290.54</v>
      </c>
      <c r="L3841" s="17" t="n">
        <v>0</v>
      </c>
      <c r="M3841" s="17" t="n">
        <v>0</v>
      </c>
      <c r="N3841" s="17">
        <f>K3841*0.08+L3841*0.08</f>
        <v/>
      </c>
      <c r="O3841" s="17">
        <f>-(K3841*0.025+L3841*0.025)</f>
        <v/>
      </c>
      <c r="P3841" s="17">
        <f>32</f>
        <v/>
      </c>
      <c r="Q3841" s="17">
        <f>J3841+L3841+N3841+O3841-P3841-M3841</f>
        <v/>
      </c>
    </row>
    <row r="3842">
      <c r="A3842" s="16" t="inlineStr">
        <is>
          <t>5.29-6.4</t>
        </is>
      </c>
      <c r="B3842" s="16" t="inlineStr">
        <is>
          <t>PO-128-02294200484472292</t>
        </is>
      </c>
      <c r="C3842" s="16" t="inlineStr">
        <is>
          <t>Shipped</t>
        </is>
      </c>
      <c r="D3842" s="16" t="inlineStr">
        <is>
          <t>128-02294189752952292</t>
        </is>
      </c>
      <c r="E3842" s="16" t="inlineStr">
        <is>
          <t>Shipped</t>
        </is>
      </c>
      <c r="F3842" s="16" t="inlineStr">
        <is>
          <t>MCM-001G</t>
        </is>
      </c>
      <c r="G3842" s="16" t="inlineStr">
        <is>
          <t>Musicord Altavoz Inalámbrico BT Portátil: ¡Sonido impactante, luces LED multicolores y 4 horas de autonomía! Compatible con TWS, FM, TF y USB – Imprescindible para fiestas y viajes</t>
        </is>
      </c>
      <c r="H3842" s="16" t="inlineStr">
        <is>
          <t>GRIS</t>
        </is>
      </c>
      <c r="I3842" s="16" t="n">
        <v>1</v>
      </c>
      <c r="J3842" s="17" t="n">
        <v>51</v>
      </c>
      <c r="K3842" s="17" t="n">
        <v>58.79</v>
      </c>
      <c r="L3842" s="17" t="n">
        <v>25.86</v>
      </c>
      <c r="M3842" s="17" t="n">
        <v>0</v>
      </c>
      <c r="N3842" s="17">
        <f>K3842*0.08+L3842*0.08</f>
        <v/>
      </c>
      <c r="O3842" s="17">
        <f>-(K3842*0.025+L3842*0.025)</f>
        <v/>
      </c>
      <c r="P3842" s="17">
        <f>32</f>
        <v/>
      </c>
      <c r="Q3842" s="17">
        <f>J3842+L3842+N3842+O3842-P3842-M3842</f>
        <v/>
      </c>
    </row>
    <row r="3843">
      <c r="A3843" s="16" t="inlineStr">
        <is>
          <t>5.29-6.4</t>
        </is>
      </c>
      <c r="B3843" s="16" t="inlineStr">
        <is>
          <t>PO-128-02364292465272706</t>
        </is>
      </c>
      <c r="C3843" s="16" t="inlineStr">
        <is>
          <t>Shipped</t>
        </is>
      </c>
      <c r="D3843" s="16" t="inlineStr">
        <is>
          <t>128-02364255765112706</t>
        </is>
      </c>
      <c r="E3843" s="16" t="inlineStr">
        <is>
          <t>Shipped</t>
        </is>
      </c>
      <c r="F3843" s="16" t="inlineStr">
        <is>
          <t>MB-185A</t>
        </is>
      </c>
      <c r="G3843" s="16" t="inlineStr">
        <is>
          <t>Bocina Radio FM/Reproductor, Compatible con Tarjeta TF, USB, Bluetooth, Aplicable para celular, computadora, Ipad y consola.</t>
        </is>
      </c>
      <c r="H3843" s="16" t="inlineStr">
        <is>
          <t>AZUL/MB-185</t>
        </is>
      </c>
      <c r="I3843" s="16" t="n">
        <v>1</v>
      </c>
      <c r="J3843" s="17" t="n">
        <v>71.31</v>
      </c>
      <c r="K3843" s="17" t="n">
        <v>77.20999999999999</v>
      </c>
      <c r="L3843" s="17" t="n">
        <v>25.86</v>
      </c>
      <c r="M3843" s="17" t="n">
        <v>0</v>
      </c>
      <c r="N3843" s="17">
        <f>K3843*0.08+L3843*0.08</f>
        <v/>
      </c>
      <c r="O3843" s="17">
        <f>-(K3843*0.025+L3843*0.025)</f>
        <v/>
      </c>
      <c r="P3843" s="17">
        <f>32</f>
        <v/>
      </c>
      <c r="Q3843" s="17">
        <f>J3843+L3843+N3843+O3843-P3843-M3843</f>
        <v/>
      </c>
    </row>
    <row r="3844">
      <c r="A3844" s="16" t="inlineStr">
        <is>
          <t>5.29-6.4</t>
        </is>
      </c>
      <c r="B3844" s="16" t="inlineStr">
        <is>
          <t>PO-128-21308476508793518</t>
        </is>
      </c>
      <c r="C3844" s="16" t="inlineStr">
        <is>
          <t>Shipped</t>
        </is>
      </c>
      <c r="D3844" s="16" t="inlineStr">
        <is>
          <t>128-21308518451833518</t>
        </is>
      </c>
      <c r="E3844" s="16" t="inlineStr">
        <is>
          <t>Shipped</t>
        </is>
      </c>
      <c r="F3844" s="16" t="inlineStr">
        <is>
          <t>HD005</t>
        </is>
      </c>
      <c r="G3844" s="16" t="inlineStr">
        <is>
          <t>Link bits HD005 Antena UHF para Exteriores, Antena de TV Digital HD con 10 Metros de Cable, Recepción 470-862MHz, 9-7dB de Ganancia, Antena para Canales Abiertos y HD, Resistente al Agua y Viento, Fácil Instalación</t>
        </is>
      </c>
      <c r="H3844" s="16" t="inlineStr">
        <is>
          <t>1</t>
        </is>
      </c>
      <c r="I3844" s="16" t="n">
        <v>1</v>
      </c>
      <c r="J3844" s="17" t="n">
        <v>70</v>
      </c>
      <c r="K3844" s="17" t="n">
        <v>87.66</v>
      </c>
      <c r="L3844" s="17" t="n">
        <v>25.86</v>
      </c>
      <c r="M3844" s="17" t="n">
        <v>0</v>
      </c>
      <c r="N3844" s="17">
        <f>K3844*0.08+L3844*0.08</f>
        <v/>
      </c>
      <c r="O3844" s="17">
        <f>-(K3844*0.025+L3844*0.025)</f>
        <v/>
      </c>
      <c r="P3844" s="17">
        <f>32</f>
        <v/>
      </c>
      <c r="Q3844" s="17">
        <f>J3844+L3844+N3844+O3844-P3844-M3844</f>
        <v/>
      </c>
    </row>
    <row r="3845">
      <c r="A3845" s="16" t="inlineStr">
        <is>
          <t>5.29-6.4</t>
        </is>
      </c>
      <c r="B3845" s="16" t="inlineStr">
        <is>
          <t>PO-128-21959037461110728</t>
        </is>
      </c>
      <c r="C3845" s="16" t="inlineStr">
        <is>
          <t>Shipped</t>
        </is>
      </c>
      <c r="D3845" s="16" t="inlineStr">
        <is>
          <t>128-21959047823990728</t>
        </is>
      </c>
      <c r="E3845" s="16" t="inlineStr">
        <is>
          <t>Shipped</t>
        </is>
      </c>
      <c r="F3845" s="16" t="inlineStr">
        <is>
          <t>FA028</t>
        </is>
      </c>
      <c r="G3845" s="16" t="inlineStr">
        <is>
          <t>Extractor de agua para garrafas de agua, compatible con carga USB, extractor de agua automático, práctico, con dos modos de toma de agua: manual y programado, ideal para dormitorios, salones, oficinas, uso al aire libre y otros escenarios.</t>
        </is>
      </c>
      <c r="H3845" s="16" t="inlineStr">
        <is>
          <t>FA028</t>
        </is>
      </c>
      <c r="I3845" s="16" t="n">
        <v>1</v>
      </c>
      <c r="J3845" s="17" t="n">
        <v>30.99</v>
      </c>
      <c r="K3845" s="17" t="n">
        <v>40.56</v>
      </c>
      <c r="L3845" s="17" t="n">
        <v>25.86</v>
      </c>
      <c r="M3845" s="17" t="n">
        <v>0</v>
      </c>
      <c r="N3845" s="17">
        <f>K3845*0.08+L3845*0.08</f>
        <v/>
      </c>
      <c r="O3845" s="17">
        <f>-(K3845*0.025+L3845*0.025)</f>
        <v/>
      </c>
      <c r="P3845" s="17">
        <f>32</f>
        <v/>
      </c>
      <c r="Q3845" s="17">
        <f>J3845+L3845+N3845+O3845-P3845-M3845</f>
        <v/>
      </c>
    </row>
    <row r="3846">
      <c r="A3846" s="16" t="inlineStr">
        <is>
          <t>5.29-6.4</t>
        </is>
      </c>
      <c r="B3846" s="16" t="inlineStr">
        <is>
          <t>PO-128-21796427822711762</t>
        </is>
      </c>
      <c r="C3846" s="16" t="inlineStr">
        <is>
          <t>Shipped</t>
        </is>
      </c>
      <c r="D3846" s="16" t="inlineStr">
        <is>
          <t>128-21796385879671762</t>
        </is>
      </c>
      <c r="E3846" s="16" t="inlineStr">
        <is>
          <t>Shipped</t>
        </is>
      </c>
      <c r="F3846" s="16" t="inlineStr">
        <is>
          <t>MB-185N</t>
        </is>
      </c>
      <c r="G3846" s="16" t="inlineStr">
        <is>
          <t>Bocina Radio FM/Reproductor, Compatible con Tarjeta TF, USB, Bluetooth, Aplicable para celular, computadora, Ipad y consola.</t>
        </is>
      </c>
      <c r="H3846" s="16" t="inlineStr">
        <is>
          <t>NEGRO/MB-185</t>
        </is>
      </c>
      <c r="I3846" s="16" t="n">
        <v>1</v>
      </c>
      <c r="J3846" s="17" t="n">
        <v>71.31</v>
      </c>
      <c r="K3846" s="17" t="n">
        <v>84.23999999999999</v>
      </c>
      <c r="L3846" s="17" t="n">
        <v>25.86</v>
      </c>
      <c r="M3846" s="17" t="n">
        <v>0</v>
      </c>
      <c r="N3846" s="17">
        <f>K3846*0.08+L3846*0.08</f>
        <v/>
      </c>
      <c r="O3846" s="17">
        <f>-(K3846*0.025+L3846*0.025)</f>
        <v/>
      </c>
      <c r="P3846" s="17">
        <f>32</f>
        <v/>
      </c>
      <c r="Q3846" s="17">
        <f>J3846+L3846+N3846+O3846-P3846-M3846</f>
        <v/>
      </c>
    </row>
    <row r="3847">
      <c r="A3847" s="16" t="inlineStr">
        <is>
          <t>5.29-6.4</t>
        </is>
      </c>
      <c r="B3847" s="16" t="inlineStr">
        <is>
          <t>PO-128-21924696412790999</t>
        </is>
      </c>
      <c r="C3847" s="16" t="inlineStr">
        <is>
          <t>Shipped</t>
        </is>
      </c>
      <c r="D3847" s="16" t="inlineStr">
        <is>
          <t>128-21924727870070999</t>
        </is>
      </c>
      <c r="E3847" s="16" t="inlineStr">
        <is>
          <t>Shipped</t>
        </is>
      </c>
      <c r="F3847" s="16" t="inlineStr">
        <is>
          <t>LB02235-rojo</t>
        </is>
      </c>
      <c r="G3847" s="16" t="inlineStr">
        <is>
          <t>Audífonos Inalámbricos para la Cabeza, Recargables y Multifuncionales - Conectan a Varios Dispositivos, soportan Radio FM, Tarjeta TF y AUX - 4 Horas de Reproducción Musical - Ideal para Trabajo Cotidiano, Juegos y Estudio</t>
        </is>
      </c>
      <c r="H3847" s="16" t="inlineStr">
        <is>
          <t>ROJO</t>
        </is>
      </c>
      <c r="I3847" s="16" t="n">
        <v>1</v>
      </c>
      <c r="J3847" s="17" t="n">
        <v>35</v>
      </c>
      <c r="K3847" s="17" t="n">
        <v>48.11</v>
      </c>
      <c r="L3847" s="17" t="n">
        <v>25.86</v>
      </c>
      <c r="M3847" s="17" t="n">
        <v>0</v>
      </c>
      <c r="N3847" s="17">
        <f>K3847*0.08+L3847*0.08</f>
        <v/>
      </c>
      <c r="O3847" s="17">
        <f>-(K3847*0.025+L3847*0.025)</f>
        <v/>
      </c>
      <c r="P3847" s="17">
        <f>32</f>
        <v/>
      </c>
      <c r="Q3847" s="17">
        <f>J3847+L3847+N3847+O3847-P3847-M3847</f>
        <v/>
      </c>
    </row>
    <row r="3848">
      <c r="A3848" s="16" t="inlineStr">
        <is>
          <t>5.29-6.4</t>
        </is>
      </c>
      <c r="B3848" s="16" t="inlineStr">
        <is>
          <t>PO-128-21411083715193866</t>
        </is>
      </c>
      <c r="C3848" s="16" t="inlineStr">
        <is>
          <t>Shipped</t>
        </is>
      </c>
      <c r="D3848" s="16" t="inlineStr">
        <is>
          <t>128-21411249521273866</t>
        </is>
      </c>
      <c r="E3848" s="16" t="inlineStr">
        <is>
          <t>Shipped</t>
        </is>
      </c>
      <c r="F3848" s="16" t="inlineStr">
        <is>
          <t>VA880T</t>
        </is>
      </c>
      <c r="G3848"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48" s="16" t="inlineStr">
        <is>
          <t>1 pieza</t>
        </is>
      </c>
      <c r="I3848" s="16" t="n">
        <v>1</v>
      </c>
      <c r="J3848" s="17" t="n">
        <v>113</v>
      </c>
      <c r="K3848" s="17" t="n">
        <v>125.29</v>
      </c>
      <c r="L3848" s="17" t="n">
        <v>25.86</v>
      </c>
      <c r="M3848" s="17" t="n">
        <v>0</v>
      </c>
      <c r="N3848" s="17">
        <f>K3848*0.08+L3848*0.08</f>
        <v/>
      </c>
      <c r="O3848" s="17">
        <f>-(K3848*0.025+L3848*0.025)</f>
        <v/>
      </c>
      <c r="P3848" s="17">
        <f>32</f>
        <v/>
      </c>
      <c r="Q3848" s="17">
        <f>J3848+L3848+N3848+O3848-P3848-M3848</f>
        <v/>
      </c>
    </row>
    <row r="3849">
      <c r="A3849" s="16" t="inlineStr">
        <is>
          <t>5.29-6.4</t>
        </is>
      </c>
      <c r="B3849" s="16" t="inlineStr">
        <is>
          <t>PO-128-21346238101113231</t>
        </is>
      </c>
      <c r="C3849" s="16" t="inlineStr">
        <is>
          <t>Shipped</t>
        </is>
      </c>
      <c r="D3849" s="16" t="inlineStr">
        <is>
          <t>128-21346217129593231</t>
        </is>
      </c>
      <c r="E3849" s="16" t="inlineStr">
        <is>
          <t>Shipped</t>
        </is>
      </c>
      <c r="F3849" s="16" t="inlineStr">
        <is>
          <t>LB02235-negro</t>
        </is>
      </c>
      <c r="G3849" s="16" t="inlineStr">
        <is>
          <t>Audífonos Inalámbricos para la Cabeza, Recargables y Multifuncionales - Conectan a Varios Dispositivos, soportan Radio FM, Tarjeta TF y AUX - 4 Horas de Reproducción Musical - Ideal para Trabajo Cotidiano, Juegos y Estudio</t>
        </is>
      </c>
      <c r="H3849" s="16" t="inlineStr">
        <is>
          <t>NEGRO</t>
        </is>
      </c>
      <c r="I3849" s="16" t="n">
        <v>1</v>
      </c>
      <c r="J3849" s="17" t="n">
        <v>35</v>
      </c>
      <c r="K3849" s="17" t="n">
        <v>48.11</v>
      </c>
      <c r="L3849" s="17" t="n">
        <v>25.86</v>
      </c>
      <c r="M3849" s="17" t="n">
        <v>0</v>
      </c>
      <c r="N3849" s="17">
        <f>K3849*0.08+L3849*0.08</f>
        <v/>
      </c>
      <c r="O3849" s="17">
        <f>-(K3849*0.025+L3849*0.025)</f>
        <v/>
      </c>
      <c r="P3849" s="17">
        <f>32</f>
        <v/>
      </c>
      <c r="Q3849" s="17">
        <f>J3849+L3849+N3849+O3849-P3849-M3849</f>
        <v/>
      </c>
    </row>
    <row r="3850">
      <c r="A3850" s="16" t="inlineStr">
        <is>
          <t>5.29-6.4</t>
        </is>
      </c>
      <c r="B3850" s="16" t="inlineStr">
        <is>
          <t>PO-128-21471710997113699</t>
        </is>
      </c>
      <c r="C3850" s="16" t="inlineStr">
        <is>
          <t>Shipped</t>
        </is>
      </c>
      <c r="D3850" s="16" t="inlineStr">
        <is>
          <t>128-21471752940153699</t>
        </is>
      </c>
      <c r="E3850" s="16" t="inlineStr">
        <is>
          <t>Shipped</t>
        </is>
      </c>
      <c r="F3850" s="16" t="inlineStr">
        <is>
          <t>LB02235-blanco</t>
        </is>
      </c>
      <c r="G3850" s="16" t="inlineStr">
        <is>
          <t>Audífonos Inalámbricos para la Cabeza, Recargables y Multifuncionales - Conectan a Varios Dispositivos, soportan Radio FM, Tarjeta TF y AUX - 4 Horas de Reproducción Musical - Ideal para Trabajo Cotidiano, Juegos y Estudio</t>
        </is>
      </c>
      <c r="H3850" s="16" t="inlineStr">
        <is>
          <t>BLANCO</t>
        </is>
      </c>
      <c r="I3850" s="16" t="n">
        <v>1</v>
      </c>
      <c r="J3850" s="17" t="n">
        <v>35</v>
      </c>
      <c r="K3850" s="17" t="n">
        <v>5.01</v>
      </c>
      <c r="L3850" s="17" t="n">
        <v>25.86</v>
      </c>
      <c r="M3850" s="17" t="n">
        <v>0</v>
      </c>
      <c r="N3850" s="17">
        <f>K3850*0.08+L3850*0.08</f>
        <v/>
      </c>
      <c r="O3850" s="17">
        <f>-(K3850*0.025+L3850*0.025)</f>
        <v/>
      </c>
      <c r="P3850" s="17">
        <f>32</f>
        <v/>
      </c>
      <c r="Q3850" s="17">
        <f>J3850+L3850+N3850+O3850-P3850-M3850</f>
        <v/>
      </c>
    </row>
    <row r="3851">
      <c r="A3851" s="16" t="inlineStr">
        <is>
          <t>5.29-6.4</t>
        </is>
      </c>
      <c r="B3851" s="16" t="inlineStr">
        <is>
          <t>PO-128-21583914660472836</t>
        </is>
      </c>
      <c r="C3851" s="16" t="inlineStr">
        <is>
          <t>Shipped</t>
        </is>
      </c>
      <c r="D3851" s="16" t="inlineStr">
        <is>
          <t>128-21583935631992836</t>
        </is>
      </c>
      <c r="E3851" s="16" t="inlineStr">
        <is>
          <t>Shipped</t>
        </is>
      </c>
      <c r="F3851" s="16" t="inlineStr">
        <is>
          <t>MCM-001A</t>
        </is>
      </c>
      <c r="G3851" s="16" t="inlineStr">
        <is>
          <t>Musicord Altavoz Inalámbrico BT Portátil: ¡Sonido impactante, luces LED multicolores y 4 horas de autonomía! Compatible con TWS, FM, TF y USB – Imprescindible para fiestas y viajes</t>
        </is>
      </c>
      <c r="H3851" s="16" t="inlineStr">
        <is>
          <t>AZUL</t>
        </is>
      </c>
      <c r="I3851" s="16" t="n">
        <v>1</v>
      </c>
      <c r="J3851" s="17" t="n">
        <v>66</v>
      </c>
      <c r="K3851" s="17" t="n">
        <v>61.83</v>
      </c>
      <c r="L3851" s="17" t="n">
        <v>25.86</v>
      </c>
      <c r="M3851" s="17" t="n">
        <v>0</v>
      </c>
      <c r="N3851" s="17">
        <f>K3851*0.08+L3851*0.08</f>
        <v/>
      </c>
      <c r="O3851" s="17">
        <f>-(K3851*0.025+L3851*0.025)</f>
        <v/>
      </c>
      <c r="P3851" s="17">
        <f>32</f>
        <v/>
      </c>
      <c r="Q3851" s="17">
        <f>J3851+L3851+N3851+O3851-P3851-M3851</f>
        <v/>
      </c>
    </row>
    <row r="3852">
      <c r="A3852" s="16" t="inlineStr">
        <is>
          <t>5.29-6.4</t>
        </is>
      </c>
      <c r="B3852" s="16" t="inlineStr">
        <is>
          <t>PO-128-21785965230711696</t>
        </is>
      </c>
      <c r="C3852" s="16" t="inlineStr">
        <is>
          <t>Shipped</t>
        </is>
      </c>
      <c r="D3852" s="16" t="inlineStr">
        <is>
          <t>128-21786007173751696</t>
        </is>
      </c>
      <c r="E3852" s="16" t="inlineStr">
        <is>
          <t>Shipped</t>
        </is>
      </c>
      <c r="F3852" s="16" t="inlineStr">
        <is>
          <t>HD005</t>
        </is>
      </c>
      <c r="G3852" s="16" t="inlineStr">
        <is>
          <t>Link bits HD005 Antena UHF para Exteriores, Antena de TV Digital HD con 10 Metros de Cable, Recepción 470-862MHz, 9-7dB de Ganancia, Antena para Canales Abiertos y HD, Resistente al Agua y Viento, Fácil Instalación</t>
        </is>
      </c>
      <c r="H3852" s="16" t="inlineStr">
        <is>
          <t>1</t>
        </is>
      </c>
      <c r="I3852" s="16" t="n">
        <v>1</v>
      </c>
      <c r="J3852" s="17" t="n">
        <v>70</v>
      </c>
      <c r="K3852" s="17" t="n">
        <v>87.66</v>
      </c>
      <c r="L3852" s="17" t="n">
        <v>25.86</v>
      </c>
      <c r="M3852" s="17" t="n">
        <v>0</v>
      </c>
      <c r="N3852" s="17">
        <f>K3852*0.08+L3852*0.08</f>
        <v/>
      </c>
      <c r="O3852" s="17">
        <f>-(K3852*0.025+L3852*0.025)</f>
        <v/>
      </c>
      <c r="P3852" s="17">
        <f>32</f>
        <v/>
      </c>
      <c r="Q3852" s="17">
        <f>J3852+L3852+N3852+O3852-P3852-M3852</f>
        <v/>
      </c>
    </row>
    <row r="3853">
      <c r="A3853" s="16" t="inlineStr">
        <is>
          <t>5.29-6.4</t>
        </is>
      </c>
      <c r="B3853" s="16" t="inlineStr">
        <is>
          <t>PO-128-21474976282232462</t>
        </is>
      </c>
      <c r="C3853" s="16" t="inlineStr">
        <is>
          <t>Shipped</t>
        </is>
      </c>
      <c r="D3853" s="16" t="inlineStr">
        <is>
          <t>128-21474986767992462</t>
        </is>
      </c>
      <c r="E3853" s="16" t="inlineStr">
        <is>
          <t>Shipped</t>
        </is>
      </c>
      <c r="F3853" s="16" t="inlineStr">
        <is>
          <t>LB02235-negro</t>
        </is>
      </c>
      <c r="G3853" s="16" t="inlineStr">
        <is>
          <t>Audífonos Inalámbricos para la Cabeza, Recargables y Multifuncionales - Conectan a Varios Dispositivos, soportan Radio FM, Tarjeta TF y AUX - 4 Horas de Reproducción Musical - Ideal para Trabajo Cotidiano, Juegos y Estudio</t>
        </is>
      </c>
      <c r="H3853" s="16" t="inlineStr">
        <is>
          <t>NEGRO</t>
        </is>
      </c>
      <c r="I3853" s="16" t="n">
        <v>1</v>
      </c>
      <c r="J3853" s="17" t="n">
        <v>35</v>
      </c>
      <c r="K3853" s="17" t="n">
        <v>48.11</v>
      </c>
      <c r="L3853" s="17" t="n">
        <v>25.86</v>
      </c>
      <c r="M3853" s="17" t="n">
        <v>0</v>
      </c>
      <c r="N3853" s="17">
        <f>K3853*0.08+L3853*0.08</f>
        <v/>
      </c>
      <c r="O3853" s="17">
        <f>-(K3853*0.025+L3853*0.025)</f>
        <v/>
      </c>
      <c r="P3853" s="17">
        <f>32</f>
        <v/>
      </c>
      <c r="Q3853" s="17">
        <f>J3853+L3853+N3853+O3853-P3853-M3853</f>
        <v/>
      </c>
    </row>
    <row r="3854">
      <c r="A3854" s="16" t="inlineStr">
        <is>
          <t>5.29-6.4</t>
        </is>
      </c>
      <c r="B3854" s="16" t="inlineStr">
        <is>
          <t>PO-128-21758443116151796</t>
        </is>
      </c>
      <c r="C3854" s="16" t="inlineStr">
        <is>
          <t>Shipped</t>
        </is>
      </c>
      <c r="D3854" s="16" t="inlineStr">
        <is>
          <t>128-21758401173111796</t>
        </is>
      </c>
      <c r="E3854" s="16" t="inlineStr">
        <is>
          <t>Shipped</t>
        </is>
      </c>
      <c r="F3854" s="16" t="inlineStr">
        <is>
          <t>VA880T</t>
        </is>
      </c>
      <c r="G385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54" s="16" t="inlineStr">
        <is>
          <t>1 pieza</t>
        </is>
      </c>
      <c r="I3854" s="16" t="n">
        <v>2</v>
      </c>
      <c r="J3854" s="17" t="n">
        <v>226</v>
      </c>
      <c r="K3854" s="17" t="n">
        <v>206.9</v>
      </c>
      <c r="L3854" s="17" t="n">
        <v>25.86</v>
      </c>
      <c r="M3854" s="17" t="n">
        <v>0</v>
      </c>
      <c r="N3854" s="17">
        <f>K3854*0.08+L3854*0.08</f>
        <v/>
      </c>
      <c r="O3854" s="17">
        <f>-(K3854*0.025+L3854*0.025)</f>
        <v/>
      </c>
      <c r="P3854" s="17">
        <f>32</f>
        <v/>
      </c>
      <c r="Q3854" s="17">
        <f>J3854+L3854+N3854+O3854-P3854-M3854</f>
        <v/>
      </c>
    </row>
    <row r="3855">
      <c r="A3855" s="16" t="inlineStr">
        <is>
          <t>5.29-6.4</t>
        </is>
      </c>
      <c r="B3855" s="16" t="inlineStr">
        <is>
          <t>PO-128-21432462735993741</t>
        </is>
      </c>
      <c r="C3855" s="16" t="inlineStr">
        <is>
          <t>Shipped</t>
        </is>
      </c>
      <c r="D3855" s="16" t="inlineStr">
        <is>
          <t>128-21432504679033741</t>
        </is>
      </c>
      <c r="E3855" s="16" t="inlineStr">
        <is>
          <t>Shipped</t>
        </is>
      </c>
      <c r="F3855" s="16" t="inlineStr">
        <is>
          <t>LB02235-rojo</t>
        </is>
      </c>
      <c r="G3855" s="16" t="inlineStr">
        <is>
          <t>Audífonos Inalámbricos para la Cabeza, Recargables y Multifuncionales - Conectan a Varios Dispositivos, soportan Radio FM, Tarjeta TF y AUX - 4 Horas de Reproducción Musical - Ideal para Trabajo Cotidiano, Juegos y Estudio</t>
        </is>
      </c>
      <c r="H3855" s="16" t="inlineStr">
        <is>
          <t>ROJO</t>
        </is>
      </c>
      <c r="I3855" s="16" t="n">
        <v>1</v>
      </c>
      <c r="J3855" s="17" t="n">
        <v>35</v>
      </c>
      <c r="K3855" s="17" t="n">
        <v>48.11</v>
      </c>
      <c r="L3855" s="17" t="n">
        <v>25.86</v>
      </c>
      <c r="M3855" s="17" t="n">
        <v>0</v>
      </c>
      <c r="N3855" s="17">
        <f>K3855*0.08+L3855*0.08</f>
        <v/>
      </c>
      <c r="O3855" s="17">
        <f>-(K3855*0.025+L3855*0.025)</f>
        <v/>
      </c>
      <c r="P3855" s="17">
        <f>32</f>
        <v/>
      </c>
      <c r="Q3855" s="17">
        <f>J3855+L3855+N3855+O3855-P3855-M3855</f>
        <v/>
      </c>
    </row>
    <row r="3856">
      <c r="A3856" s="16" t="inlineStr">
        <is>
          <t>5.29-6.4</t>
        </is>
      </c>
      <c r="B3856" s="16" t="inlineStr">
        <is>
          <t>PO-128-21670665953911297</t>
        </is>
      </c>
      <c r="C3856" s="16" t="inlineStr">
        <is>
          <t>Shipped</t>
        </is>
      </c>
      <c r="D3856" s="16" t="inlineStr">
        <is>
          <t>128-21670639739511297</t>
        </is>
      </c>
      <c r="E3856" s="16" t="inlineStr">
        <is>
          <t>Shipped</t>
        </is>
      </c>
      <c r="F3856" s="16" t="inlineStr">
        <is>
          <t>VB347T</t>
        </is>
      </c>
      <c r="G385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56" s="16" t="inlineStr">
        <is>
          <t>1 pieza</t>
        </is>
      </c>
      <c r="I3856" s="16" t="n">
        <v>3</v>
      </c>
      <c r="J3856" s="17" t="n">
        <v>233.7</v>
      </c>
      <c r="K3856" s="17" t="n">
        <v>277.5</v>
      </c>
      <c r="L3856" s="17" t="n">
        <v>0</v>
      </c>
      <c r="M3856" s="17" t="n">
        <v>0</v>
      </c>
      <c r="N3856" s="17">
        <f>K3856*0.08+L3856*0.08</f>
        <v/>
      </c>
      <c r="O3856" s="17">
        <f>-(K3856*0.025+L3856*0.025)</f>
        <v/>
      </c>
      <c r="P3856" s="17">
        <f>32</f>
        <v/>
      </c>
      <c r="Q3856" s="17">
        <f>J3856+L3856+N3856+O3856-P3856-M3856</f>
        <v/>
      </c>
    </row>
    <row r="3857">
      <c r="A3857" s="16" t="inlineStr">
        <is>
          <t>5.29-6.4</t>
        </is>
      </c>
      <c r="B3857" s="16" t="inlineStr">
        <is>
          <t>PO-128-21632219510392612</t>
        </is>
      </c>
      <c r="C3857" s="16" t="inlineStr">
        <is>
          <t>Shipped</t>
        </is>
      </c>
      <c r="D3857" s="16" t="inlineStr">
        <is>
          <t>128-21632229996152612</t>
        </is>
      </c>
      <c r="E3857" s="16" t="inlineStr">
        <is>
          <t>Shipped</t>
        </is>
      </c>
      <c r="F3857" s="16" t="inlineStr">
        <is>
          <t>VB347T</t>
        </is>
      </c>
      <c r="G385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57" s="16" t="inlineStr">
        <is>
          <t>1 pieza</t>
        </is>
      </c>
      <c r="I3857" s="16" t="n">
        <v>1</v>
      </c>
      <c r="J3857" s="17" t="n">
        <v>77.90000000000001</v>
      </c>
      <c r="K3857" s="17" t="n">
        <v>92.5</v>
      </c>
      <c r="L3857" s="17" t="n">
        <v>25.86</v>
      </c>
      <c r="M3857" s="17" t="n">
        <v>0</v>
      </c>
      <c r="N3857" s="17">
        <f>K3857*0.08+L3857*0.08</f>
        <v/>
      </c>
      <c r="O3857" s="17">
        <f>-(K3857*0.025+L3857*0.025)</f>
        <v/>
      </c>
      <c r="P3857" s="17">
        <f>32</f>
        <v/>
      </c>
      <c r="Q3857" s="17">
        <f>J3857+L3857+N3857+O3857-P3857-M3857</f>
        <v/>
      </c>
    </row>
    <row r="3858">
      <c r="A3858" s="16" t="inlineStr">
        <is>
          <t>5.29-6.4</t>
        </is>
      </c>
      <c r="B3858" s="16" t="inlineStr">
        <is>
          <t>PO-128-21510294180472381</t>
        </is>
      </c>
      <c r="C3858" s="16" t="inlineStr">
        <is>
          <t>Shipped</t>
        </is>
      </c>
      <c r="D3858" s="16" t="inlineStr">
        <is>
          <t>128-21510336123512381</t>
        </is>
      </c>
      <c r="E3858" s="16" t="inlineStr">
        <is>
          <t>Shipped</t>
        </is>
      </c>
      <c r="F3858" s="16" t="inlineStr">
        <is>
          <t>MCM-001R</t>
        </is>
      </c>
      <c r="G3858" s="16" t="inlineStr">
        <is>
          <t>Musicord Altavoz Inalámbrico BT Portátil: ¡Sonido impactante, luces LED multicolores y 4 horas de autonomía! Compatible con TWS, FM, TF y USB – Imprescindible para fiestas y viajes</t>
        </is>
      </c>
      <c r="H3858" s="16" t="inlineStr">
        <is>
          <t>ROJO</t>
        </is>
      </c>
      <c r="I3858" s="16" t="n">
        <v>1</v>
      </c>
      <c r="J3858" s="17" t="n">
        <v>51</v>
      </c>
      <c r="K3858" s="17" t="n">
        <v>47.03</v>
      </c>
      <c r="L3858" s="17" t="n">
        <v>25.86</v>
      </c>
      <c r="M3858" s="17" t="n">
        <v>0</v>
      </c>
      <c r="N3858" s="17">
        <f>K3858*0.08+L3858*0.08</f>
        <v/>
      </c>
      <c r="O3858" s="17">
        <f>-(K3858*0.025+L3858*0.025)</f>
        <v/>
      </c>
      <c r="P3858" s="17">
        <f>32</f>
        <v/>
      </c>
      <c r="Q3858" s="17">
        <f>J3858+L3858+N3858+O3858-P3858-M3858</f>
        <v/>
      </c>
    </row>
    <row r="3859">
      <c r="A3859" s="16" t="inlineStr">
        <is>
          <t>5.29-6.4</t>
        </is>
      </c>
      <c r="B3859" s="16" t="inlineStr">
        <is>
          <t>PO-128-21709402788471256</t>
        </is>
      </c>
      <c r="C3859" s="16" t="inlineStr">
        <is>
          <t>Shipped</t>
        </is>
      </c>
      <c r="D3859" s="16" t="inlineStr">
        <is>
          <t>128-21709434245751256</t>
        </is>
      </c>
      <c r="E3859" s="16" t="inlineStr">
        <is>
          <t>Shipped</t>
        </is>
      </c>
      <c r="F3859" s="16" t="inlineStr">
        <is>
          <t>FA028</t>
        </is>
      </c>
      <c r="G3859" s="16" t="inlineStr">
        <is>
          <t>Extractor de agua para garrafas de agua, compatible con carga USB, extractor de agua automático, práctico, con dos modos de toma de agua: manual y programado, ideal para dormitorios, salones, oficinas, uso al aire libre y otros escenarios.</t>
        </is>
      </c>
      <c r="H3859" s="16" t="inlineStr">
        <is>
          <t>FA028</t>
        </is>
      </c>
      <c r="I3859" s="16" t="n">
        <v>2</v>
      </c>
      <c r="J3859" s="17" t="n">
        <v>61.98</v>
      </c>
      <c r="K3859" s="17" t="n">
        <v>81.12</v>
      </c>
      <c r="L3859" s="17" t="n">
        <v>25.86</v>
      </c>
      <c r="M3859" s="17" t="n">
        <v>0</v>
      </c>
      <c r="N3859" s="17">
        <f>K3859*0.08+L3859*0.08</f>
        <v/>
      </c>
      <c r="O3859" s="17">
        <f>-(K3859*0.025+L3859*0.025)</f>
        <v/>
      </c>
      <c r="P3859" s="17">
        <f>32</f>
        <v/>
      </c>
      <c r="Q3859" s="17">
        <f>J3859+L3859+N3859+O3859-P3859-M3859</f>
        <v/>
      </c>
    </row>
    <row r="3860">
      <c r="A3860" s="16" t="inlineStr">
        <is>
          <t>5.29-6.4</t>
        </is>
      </c>
      <c r="B3860" s="16" t="inlineStr">
        <is>
          <t>PO-128-21773406213751901</t>
        </is>
      </c>
      <c r="C3860" s="16" t="inlineStr">
        <is>
          <t>Shipped</t>
        </is>
      </c>
      <c r="D3860" s="16" t="inlineStr">
        <is>
          <t>128-21773458642551901</t>
        </is>
      </c>
      <c r="E3860" s="16" t="inlineStr">
        <is>
          <t>Shipped</t>
        </is>
      </c>
      <c r="F3860" s="16" t="inlineStr">
        <is>
          <t>HD005</t>
        </is>
      </c>
      <c r="G3860" s="16" t="inlineStr">
        <is>
          <t>Link bits HD005 Antena UHF para Exteriores, Antena de TV Digital HD con 10 Metros de Cable, Recepción 470-862MHz, 9-7dB de Ganancia, Antena para Canales Abiertos y HD, Resistente al Agua y Viento, Fácil Instalación</t>
        </is>
      </c>
      <c r="H3860" s="16" t="inlineStr">
        <is>
          <t>1</t>
        </is>
      </c>
      <c r="I3860" s="16" t="n">
        <v>1</v>
      </c>
      <c r="J3860" s="17" t="n">
        <v>70</v>
      </c>
      <c r="K3860" s="17" t="n">
        <v>87.66</v>
      </c>
      <c r="L3860" s="17" t="n">
        <v>25.86</v>
      </c>
      <c r="M3860" s="17" t="n">
        <v>0</v>
      </c>
      <c r="N3860" s="17">
        <f>K3860*0.08+L3860*0.08</f>
        <v/>
      </c>
      <c r="O3860" s="17">
        <f>-(K3860*0.025+L3860*0.025)</f>
        <v/>
      </c>
      <c r="P3860" s="17">
        <f>32</f>
        <v/>
      </c>
      <c r="Q3860" s="17">
        <f>J3860+L3860+N3860+O3860-P3860-M3860</f>
        <v/>
      </c>
    </row>
    <row r="3861">
      <c r="A3861" s="16" t="inlineStr">
        <is>
          <t>5.29-6.4</t>
        </is>
      </c>
      <c r="B3861" s="16" t="inlineStr">
        <is>
          <t>PO-128-21772057482871909</t>
        </is>
      </c>
      <c r="C3861" s="16" t="inlineStr">
        <is>
          <t>Shipped</t>
        </is>
      </c>
      <c r="D3861" s="16" t="inlineStr">
        <is>
          <t>128-21772109911671909</t>
        </is>
      </c>
      <c r="E3861" s="16" t="inlineStr">
        <is>
          <t>Shipped</t>
        </is>
      </c>
      <c r="F3861" s="16" t="inlineStr">
        <is>
          <t>MCM-001N</t>
        </is>
      </c>
      <c r="G3861" s="16" t="inlineStr">
        <is>
          <t>Musicord Altavoz Inalámbrico BT Portátil: ¡Sonido impactante, luces LED multicolores y 4 horas de autonomía! Compatible con TWS, FM, TF y USB – Imprescindible para fiestas y viajes</t>
        </is>
      </c>
      <c r="H3861" s="16" t="inlineStr">
        <is>
          <t>NEGRO</t>
        </is>
      </c>
      <c r="I3861" s="16" t="n">
        <v>1</v>
      </c>
      <c r="J3861" s="17" t="n">
        <v>60.5</v>
      </c>
      <c r="K3861" s="17" t="n">
        <v>68.29000000000001</v>
      </c>
      <c r="L3861" s="17" t="n">
        <v>25.86</v>
      </c>
      <c r="M3861" s="17" t="n">
        <v>0</v>
      </c>
      <c r="N3861" s="17">
        <f>K3861*0.08+L3861*0.08</f>
        <v/>
      </c>
      <c r="O3861" s="17">
        <f>-(K3861*0.025+L3861*0.025)</f>
        <v/>
      </c>
      <c r="P3861" s="17">
        <f>32</f>
        <v/>
      </c>
      <c r="Q3861" s="17">
        <f>J3861+L3861+N3861+O3861-P3861-M3861</f>
        <v/>
      </c>
    </row>
    <row r="3862">
      <c r="A3862" s="16" t="inlineStr">
        <is>
          <t>5.29-6.4</t>
        </is>
      </c>
      <c r="B3862" s="16" t="inlineStr">
        <is>
          <t>PO-128-21534685246072298</t>
        </is>
      </c>
      <c r="C3862" s="16" t="inlineStr">
        <is>
          <t>Shipped</t>
        </is>
      </c>
      <c r="D3862" s="16" t="inlineStr">
        <is>
          <t>128-21534611845752298</t>
        </is>
      </c>
      <c r="E3862" s="16" t="inlineStr">
        <is>
          <t>Shipped</t>
        </is>
      </c>
      <c r="F3862" s="16" t="inlineStr">
        <is>
          <t>FA028</t>
        </is>
      </c>
      <c r="G3862" s="16" t="inlineStr">
        <is>
          <t>Extractor de agua para garrafas de agua, compatible con carga USB, extractor de agua automático, práctico, con dos modos de toma de agua: manual y programado, ideal para dormitorios, salones, oficinas, uso al aire libre y otros escenarios.</t>
        </is>
      </c>
      <c r="H3862" s="16" t="inlineStr">
        <is>
          <t>FA028</t>
        </is>
      </c>
      <c r="I3862" s="16" t="n">
        <v>1</v>
      </c>
      <c r="J3862" s="17" t="n">
        <v>30.99</v>
      </c>
      <c r="K3862" s="17" t="n">
        <v>40.56</v>
      </c>
      <c r="L3862" s="17" t="n">
        <v>25.86</v>
      </c>
      <c r="M3862" s="17" t="n">
        <v>0</v>
      </c>
      <c r="N3862" s="17">
        <f>K3862*0.08+L3862*0.08</f>
        <v/>
      </c>
      <c r="O3862" s="17">
        <f>-(K3862*0.025+L3862*0.025)</f>
        <v/>
      </c>
      <c r="P3862" s="17">
        <f>32</f>
        <v/>
      </c>
      <c r="Q3862" s="17">
        <f>J3862+L3862+N3862+O3862-P3862-M3862</f>
        <v/>
      </c>
    </row>
    <row r="3863">
      <c r="A3863" s="16" t="inlineStr">
        <is>
          <t>5.29-6.4</t>
        </is>
      </c>
      <c r="B3863" s="16" t="inlineStr">
        <is>
          <t>PO-128-21949031424630660</t>
        </is>
      </c>
      <c r="C3863" s="16" t="inlineStr">
        <is>
          <t>Shipped</t>
        </is>
      </c>
      <c r="D3863" s="16" t="inlineStr">
        <is>
          <t>128-21949036667510660</t>
        </is>
      </c>
      <c r="E3863" s="16" t="inlineStr">
        <is>
          <t>Shipped</t>
        </is>
      </c>
      <c r="F3863" s="16" t="inlineStr">
        <is>
          <t>LB02235-rojo</t>
        </is>
      </c>
      <c r="G3863" s="16" t="inlineStr">
        <is>
          <t>Audífonos Inalámbricos para la Cabeza, Recargables y Multifuncionales - Conectan a Varios Dispositivos, soportan Radio FM, Tarjeta TF y AUX - 4 Horas de Reproducción Musical - Ideal para Trabajo Cotidiano, Juegos y Estudio</t>
        </is>
      </c>
      <c r="H3863" s="16" t="inlineStr">
        <is>
          <t>ROJO</t>
        </is>
      </c>
      <c r="I3863" s="16" t="n">
        <v>1</v>
      </c>
      <c r="J3863" s="17" t="n">
        <v>35</v>
      </c>
      <c r="K3863" s="17" t="n">
        <v>48.11</v>
      </c>
      <c r="L3863" s="17" t="n">
        <v>25.86</v>
      </c>
      <c r="M3863" s="17" t="n">
        <v>0</v>
      </c>
      <c r="N3863" s="17">
        <f>K3863*0.08+L3863*0.08</f>
        <v/>
      </c>
      <c r="O3863" s="17">
        <f>-(K3863*0.025+L3863*0.025)</f>
        <v/>
      </c>
      <c r="P3863" s="17">
        <f>32</f>
        <v/>
      </c>
      <c r="Q3863" s="17">
        <f>J3863+L3863+N3863+O3863-P3863-M3863</f>
        <v/>
      </c>
    </row>
    <row r="3864">
      <c r="A3864" s="16" t="inlineStr">
        <is>
          <t>5.29-6.4</t>
        </is>
      </c>
      <c r="B3864" s="16" t="inlineStr">
        <is>
          <t>PO-128-21315469261433540</t>
        </is>
      </c>
      <c r="C3864" s="16" t="inlineStr">
        <is>
          <t>Shipped</t>
        </is>
      </c>
      <c r="D3864" s="16" t="inlineStr">
        <is>
          <t>128-21315521690233540</t>
        </is>
      </c>
      <c r="E3864" s="16" t="inlineStr">
        <is>
          <t>Shipped</t>
        </is>
      </c>
      <c r="F3864" s="16" t="inlineStr">
        <is>
          <t>MCM-001N</t>
        </is>
      </c>
      <c r="G3864" s="16" t="inlineStr">
        <is>
          <t>Musicord Altavoz Inalámbrico BT Portátil: ¡Sonido impactante, luces LED multicolores y 4 horas de autonomía! Compatible con TWS, FM, TF y USB – Imprescindible para fiestas y viajes</t>
        </is>
      </c>
      <c r="H3864" s="16" t="inlineStr">
        <is>
          <t>NEGRO</t>
        </is>
      </c>
      <c r="I3864" s="16" t="n">
        <v>1</v>
      </c>
      <c r="J3864" s="17" t="n">
        <v>60.5</v>
      </c>
      <c r="K3864" s="17" t="n">
        <v>68.29000000000001</v>
      </c>
      <c r="L3864" s="17" t="n">
        <v>25.86</v>
      </c>
      <c r="M3864" s="17" t="n">
        <v>0</v>
      </c>
      <c r="N3864" s="17">
        <f>K3864*0.08+L3864*0.08</f>
        <v/>
      </c>
      <c r="O3864" s="17">
        <f>-(K3864*0.025+L3864*0.025)</f>
        <v/>
      </c>
      <c r="P3864" s="17">
        <f>32</f>
        <v/>
      </c>
      <c r="Q3864" s="17">
        <f>J3864+L3864+N3864+O3864-P3864-M3864</f>
        <v/>
      </c>
    </row>
    <row r="3865">
      <c r="A3865" s="16" t="inlineStr">
        <is>
          <t>5.29-6.4</t>
        </is>
      </c>
      <c r="B3865" s="16" t="inlineStr">
        <is>
          <t>PO-128-21588173025912877</t>
        </is>
      </c>
      <c r="C3865" s="16" t="inlineStr">
        <is>
          <t>Shipped</t>
        </is>
      </c>
      <c r="D3865" s="16" t="inlineStr">
        <is>
          <t>128-21588241183352877</t>
        </is>
      </c>
      <c r="E3865" s="16" t="inlineStr">
        <is>
          <t>Shipped</t>
        </is>
      </c>
      <c r="F3865" s="16" t="inlineStr">
        <is>
          <t>LB02235-rojo</t>
        </is>
      </c>
      <c r="G3865" s="16" t="inlineStr">
        <is>
          <t>Audífonos Inalámbricos para la Cabeza, Recargables y Multifuncionales - Conectan a Varios Dispositivos, soportan Radio FM, Tarjeta TF y AUX - 4 Horas de Reproducción Musical - Ideal para Trabajo Cotidiano, Juegos y Estudio</t>
        </is>
      </c>
      <c r="H3865" s="16" t="inlineStr">
        <is>
          <t>ROJO</t>
        </is>
      </c>
      <c r="I3865" s="16" t="n">
        <v>1</v>
      </c>
      <c r="J3865" s="17" t="n">
        <v>35</v>
      </c>
      <c r="K3865" s="17" t="n">
        <v>48.11</v>
      </c>
      <c r="L3865" s="17" t="n">
        <v>25.86</v>
      </c>
      <c r="M3865" s="17" t="n">
        <v>0</v>
      </c>
      <c r="N3865" s="17">
        <f>K3865*0.08+L3865*0.08</f>
        <v/>
      </c>
      <c r="O3865" s="17">
        <f>-(K3865*0.025+L3865*0.025)</f>
        <v/>
      </c>
      <c r="P3865" s="17">
        <f>32</f>
        <v/>
      </c>
      <c r="Q3865" s="17">
        <f>J3865+L3865+N3865+O3865-P3865-M3865</f>
        <v/>
      </c>
    </row>
    <row r="3866">
      <c r="A3866" s="16" t="inlineStr">
        <is>
          <t>5.29-6.4</t>
        </is>
      </c>
      <c r="B3866" s="16" t="inlineStr">
        <is>
          <t>PO-128-21465835848313668</t>
        </is>
      </c>
      <c r="C3866" s="16" t="inlineStr">
        <is>
          <t>Shipped</t>
        </is>
      </c>
      <c r="D3866" s="16" t="inlineStr">
        <is>
          <t>128-21465846334073668</t>
        </is>
      </c>
      <c r="E3866" s="16" t="inlineStr">
        <is>
          <t>Shipped</t>
        </is>
      </c>
      <c r="F3866" s="16" t="inlineStr">
        <is>
          <t>LB02235-rojo</t>
        </is>
      </c>
      <c r="G3866" s="16" t="inlineStr">
        <is>
          <t>Audífonos Inalámbricos para la Cabeza, Recargables y Multifuncionales - Conectan a Varios Dispositivos, soportan Radio FM, Tarjeta TF y AUX - 4 Horas de Reproducción Musical - Ideal para Trabajo Cotidiano, Juegos y Estudio</t>
        </is>
      </c>
      <c r="H3866" s="16" t="inlineStr">
        <is>
          <t>ROJO</t>
        </is>
      </c>
      <c r="I3866" s="16" t="n">
        <v>1</v>
      </c>
      <c r="J3866" s="17" t="n">
        <v>35</v>
      </c>
      <c r="K3866" s="17" t="n">
        <v>48.11</v>
      </c>
      <c r="L3866" s="17" t="n">
        <v>25.86</v>
      </c>
      <c r="M3866" s="17" t="n">
        <v>0</v>
      </c>
      <c r="N3866" s="17">
        <f>K3866*0.08+L3866*0.08</f>
        <v/>
      </c>
      <c r="O3866" s="17">
        <f>-(K3866*0.025+L3866*0.025)</f>
        <v/>
      </c>
      <c r="P3866" s="17">
        <f>32</f>
        <v/>
      </c>
      <c r="Q3866" s="17">
        <f>J3866+L3866+N3866+O3866-P3866-M3866</f>
        <v/>
      </c>
    </row>
    <row r="3867">
      <c r="A3867" s="16" t="inlineStr">
        <is>
          <t>5.29-6.4</t>
        </is>
      </c>
      <c r="B3867" s="16" t="inlineStr">
        <is>
          <t>PO-128-21897461105270073</t>
        </is>
      </c>
      <c r="C3867" s="16" t="inlineStr">
        <is>
          <t>Shipped</t>
        </is>
      </c>
      <c r="D3867" s="16" t="inlineStr">
        <is>
          <t>128-21897476833910073</t>
        </is>
      </c>
      <c r="E3867" s="16" t="inlineStr">
        <is>
          <t>Shipped</t>
        </is>
      </c>
      <c r="F3867" s="16" t="inlineStr">
        <is>
          <t>HD005</t>
        </is>
      </c>
      <c r="G3867" s="16" t="inlineStr">
        <is>
          <t>Link bits HD005 Antena UHF para Exteriores, Antena de TV Digital HD con 10 Metros de Cable, Recepción 470-862MHz, 9-7dB de Ganancia, Antena para Canales Abiertos y HD, Resistente al Agua y Viento, Fácil Instalación</t>
        </is>
      </c>
      <c r="H3867" s="16" t="inlineStr">
        <is>
          <t>1</t>
        </is>
      </c>
      <c r="I3867" s="16" t="n">
        <v>1</v>
      </c>
      <c r="J3867" s="17" t="n">
        <v>70</v>
      </c>
      <c r="K3867" s="17" t="n">
        <v>87.66</v>
      </c>
      <c r="L3867" s="17" t="n">
        <v>25.86</v>
      </c>
      <c r="M3867" s="17" t="n">
        <v>0</v>
      </c>
      <c r="N3867" s="17">
        <f>K3867*0.08+L3867*0.08</f>
        <v/>
      </c>
      <c r="O3867" s="17">
        <f>-(K3867*0.025+L3867*0.025)</f>
        <v/>
      </c>
      <c r="P3867" s="17">
        <f>32</f>
        <v/>
      </c>
      <c r="Q3867" s="17">
        <f>J3867+L3867+N3867+O3867-P3867-M3867</f>
        <v/>
      </c>
    </row>
    <row r="3868">
      <c r="A3868" s="16" t="inlineStr">
        <is>
          <t>5.29-6.4</t>
        </is>
      </c>
      <c r="B3868" s="16" t="inlineStr">
        <is>
          <t>PO-128-21378595635833164</t>
        </is>
      </c>
      <c r="C3868" s="16" t="inlineStr">
        <is>
          <t>Shipped</t>
        </is>
      </c>
      <c r="D3868" s="16" t="inlineStr">
        <is>
          <t>128-21378590392953164</t>
        </is>
      </c>
      <c r="E3868" s="16" t="inlineStr">
        <is>
          <t>Shipped</t>
        </is>
      </c>
      <c r="F3868" s="16" t="inlineStr">
        <is>
          <t>EM04W36</t>
        </is>
      </c>
      <c r="G386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3868" s="16" t="inlineStr">
        <is>
          <t>1 pieza</t>
        </is>
      </c>
      <c r="I3868" s="16" t="n">
        <v>1</v>
      </c>
      <c r="J3868" s="17" t="n">
        <v>63.6</v>
      </c>
      <c r="K3868" s="17" t="n">
        <v>72.89</v>
      </c>
      <c r="L3868" s="17" t="n">
        <v>25.86</v>
      </c>
      <c r="M3868" s="17" t="n">
        <v>0</v>
      </c>
      <c r="N3868" s="17">
        <f>K3868*0.08+L3868*0.08</f>
        <v/>
      </c>
      <c r="O3868" s="17">
        <f>-(K3868*0.025+L3868*0.025)</f>
        <v/>
      </c>
      <c r="P3868" s="17">
        <f>32</f>
        <v/>
      </c>
      <c r="Q3868" s="17">
        <f>J3868+L3868+N3868+O3868-P3868-M3868</f>
        <v/>
      </c>
    </row>
    <row r="3869">
      <c r="A3869" s="16" t="inlineStr">
        <is>
          <t>5.29-6.4</t>
        </is>
      </c>
      <c r="B3869" s="16" t="inlineStr">
        <is>
          <t>PO-128-21956759327350678</t>
        </is>
      </c>
      <c r="C3869" s="16" t="inlineStr">
        <is>
          <t>Shipped</t>
        </is>
      </c>
      <c r="D3869" s="16" t="inlineStr">
        <is>
          <t>128-21956801270390678</t>
        </is>
      </c>
      <c r="E3869" s="16" t="inlineStr">
        <is>
          <t>Shipped</t>
        </is>
      </c>
      <c r="F3869" s="16" t="inlineStr">
        <is>
          <t>SA325T</t>
        </is>
      </c>
      <c r="G3869" s="16" t="inlineStr">
        <is>
          <t>Subwoofer Portátil Inalámbrico con Luces RGB, Sonido de Alta Potencia y Batería Duradera, TWS TF USB, Perfecto para Campamento Fiestas y Entretenimiento en Casa</t>
        </is>
      </c>
      <c r="H3869" s="16" t="inlineStr">
        <is>
          <t>NEGRO</t>
        </is>
      </c>
      <c r="I3869" s="16" t="n">
        <v>1</v>
      </c>
      <c r="J3869" s="17" t="n">
        <v>36</v>
      </c>
      <c r="K3869" s="17" t="n">
        <v>1.94</v>
      </c>
      <c r="L3869" s="17" t="n">
        <v>25.86</v>
      </c>
      <c r="M3869" s="17" t="n">
        <v>0</v>
      </c>
      <c r="N3869" s="17">
        <f>K3869*0.08+L3869*0.08</f>
        <v/>
      </c>
      <c r="O3869" s="17">
        <f>-(K3869*0.025+L3869*0.025)</f>
        <v/>
      </c>
      <c r="P3869" s="17">
        <f>32</f>
        <v/>
      </c>
      <c r="Q3869" s="17">
        <f>J3869+L3869+N3869+O3869-P3869-M3869</f>
        <v/>
      </c>
    </row>
    <row r="3870">
      <c r="A3870" s="16" t="inlineStr">
        <is>
          <t>5.29-6.4</t>
        </is>
      </c>
      <c r="B3870" s="16" t="inlineStr">
        <is>
          <t>PO-128-21868226785910182</t>
        </is>
      </c>
      <c r="C3870" s="16" t="inlineStr">
        <is>
          <t>Shipped</t>
        </is>
      </c>
      <c r="D3870" s="16" t="inlineStr">
        <is>
          <t>128-21868253000310182</t>
        </is>
      </c>
      <c r="E3870" s="16" t="inlineStr">
        <is>
          <t>Shipped</t>
        </is>
      </c>
      <c r="F3870" s="16" t="inlineStr">
        <is>
          <t>VA880T</t>
        </is>
      </c>
      <c r="G387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70" s="16" t="inlineStr">
        <is>
          <t>1 pieza</t>
        </is>
      </c>
      <c r="I3870" s="16" t="n">
        <v>3</v>
      </c>
      <c r="J3870" s="17" t="n">
        <v>339</v>
      </c>
      <c r="K3870" s="17" t="n">
        <v>375.87</v>
      </c>
      <c r="L3870" s="17" t="n">
        <v>0</v>
      </c>
      <c r="M3870" s="17" t="n">
        <v>0</v>
      </c>
      <c r="N3870" s="17">
        <f>K3870*0.08+L3870*0.08</f>
        <v/>
      </c>
      <c r="O3870" s="17">
        <f>-(K3870*0.025+L3870*0.025)</f>
        <v/>
      </c>
      <c r="P3870" s="17">
        <f>32</f>
        <v/>
      </c>
      <c r="Q3870" s="17">
        <f>J3870+L3870+N3870+O3870-P3870-M3870</f>
        <v/>
      </c>
    </row>
    <row r="3871">
      <c r="A3871" s="16" t="inlineStr">
        <is>
          <t>5.29-6.4</t>
        </is>
      </c>
      <c r="B3871" s="16" t="inlineStr">
        <is>
          <t>PO-128-21869537080950174</t>
        </is>
      </c>
      <c r="C3871" s="16" t="inlineStr">
        <is>
          <t>Shipped</t>
        </is>
      </c>
      <c r="D3871" s="16" t="inlineStr">
        <is>
          <t>128-21869568538230174</t>
        </is>
      </c>
      <c r="E3871" s="16" t="inlineStr">
        <is>
          <t>Shipped</t>
        </is>
      </c>
      <c r="F3871" s="16" t="inlineStr">
        <is>
          <t>VA377T</t>
        </is>
      </c>
      <c r="G3871" s="16" t="inlineStr">
        <is>
          <t>Bocina Inalámbrica 3 Pulgadas Bluetooth FM USB TF TWS Luz LED, Regalo Perfecto, Recargable para Fiesta Viaje y Uso Diario</t>
        </is>
      </c>
      <c r="H3871" s="16" t="inlineStr">
        <is>
          <t>NEGRO</t>
        </is>
      </c>
      <c r="I3871" s="16" t="n">
        <v>1</v>
      </c>
      <c r="J3871" s="17" t="n">
        <v>40</v>
      </c>
      <c r="K3871" s="17" t="n">
        <v>42.51</v>
      </c>
      <c r="L3871" s="17" t="n">
        <v>25.86</v>
      </c>
      <c r="M3871" s="17" t="n">
        <v>0</v>
      </c>
      <c r="N3871" s="17">
        <f>K3871*0.08+L3871*0.08</f>
        <v/>
      </c>
      <c r="O3871" s="17">
        <f>-(K3871*0.025+L3871*0.025)</f>
        <v/>
      </c>
      <c r="P3871" s="17">
        <f>32</f>
        <v/>
      </c>
      <c r="Q3871" s="17">
        <f>J3871+L3871+N3871+O3871-P3871-M3871</f>
        <v/>
      </c>
    </row>
    <row r="3872">
      <c r="A3872" s="16" t="inlineStr">
        <is>
          <t>5.29-6.4</t>
        </is>
      </c>
      <c r="B3872" s="16" t="inlineStr">
        <is>
          <t>PO-128-21422665206393927</t>
        </is>
      </c>
      <c r="C3872" s="16" t="inlineStr">
        <is>
          <t>Shipped</t>
        </is>
      </c>
      <c r="D3872" s="16" t="inlineStr">
        <is>
          <t>128-21422817249913927</t>
        </is>
      </c>
      <c r="E3872" s="16" t="inlineStr">
        <is>
          <t>Shipped</t>
        </is>
      </c>
      <c r="F3872" s="16" t="inlineStr">
        <is>
          <t>VA880T</t>
        </is>
      </c>
      <c r="G387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72" s="16" t="inlineStr">
        <is>
          <t>1 pieza</t>
        </is>
      </c>
      <c r="I3872" s="16" t="n">
        <v>1</v>
      </c>
      <c r="J3872" s="17" t="n">
        <v>113</v>
      </c>
      <c r="K3872" s="17" t="n">
        <v>125.29</v>
      </c>
      <c r="L3872" s="17" t="n">
        <v>25.86</v>
      </c>
      <c r="M3872" s="17" t="n">
        <v>0</v>
      </c>
      <c r="N3872" s="17">
        <f>K3872*0.08+L3872*0.08</f>
        <v/>
      </c>
      <c r="O3872" s="17">
        <f>-(K3872*0.025+L3872*0.025)</f>
        <v/>
      </c>
      <c r="P3872" s="17">
        <f>32</f>
        <v/>
      </c>
      <c r="Q3872" s="17">
        <f>J3872+L3872+N3872+O3872-P3872-M3872</f>
        <v/>
      </c>
    </row>
    <row r="3873">
      <c r="A3873" s="16" t="inlineStr">
        <is>
          <t>5.29-6.4</t>
        </is>
      </c>
      <c r="B3873" s="16" t="inlineStr">
        <is>
          <t>PO-128-21375038198393123</t>
        </is>
      </c>
      <c r="C3873" s="16" t="inlineStr">
        <is>
          <t>Shipped</t>
        </is>
      </c>
      <c r="D3873" s="16" t="inlineStr">
        <is>
          <t>128-21375059169913123</t>
        </is>
      </c>
      <c r="E3873" s="16" t="inlineStr">
        <is>
          <t>Shipped</t>
        </is>
      </c>
      <c r="F3873" s="16" t="inlineStr">
        <is>
          <t>LB02235-negro</t>
        </is>
      </c>
      <c r="G3873" s="16" t="inlineStr">
        <is>
          <t>Audífonos Inalámbricos para la Cabeza, Recargables y Multifuncionales - Conectan a Varios Dispositivos, soportan Radio FM, Tarjeta TF y AUX - 4 Horas de Reproducción Musical - Ideal para Trabajo Cotidiano, Juegos y Estudio</t>
        </is>
      </c>
      <c r="H3873" s="16" t="inlineStr">
        <is>
          <t>NEGRO</t>
        </is>
      </c>
      <c r="I3873" s="16" t="n">
        <v>1</v>
      </c>
      <c r="J3873" s="17" t="n">
        <v>35</v>
      </c>
      <c r="K3873" s="17" t="n">
        <v>38.49</v>
      </c>
      <c r="L3873" s="17" t="n">
        <v>25.86</v>
      </c>
      <c r="M3873" s="17" t="n">
        <v>0</v>
      </c>
      <c r="N3873" s="17">
        <f>K3873*0.08+L3873*0.08</f>
        <v/>
      </c>
      <c r="O3873" s="17">
        <f>-(K3873*0.025+L3873*0.025)</f>
        <v/>
      </c>
      <c r="P3873" s="17">
        <f>32</f>
        <v/>
      </c>
      <c r="Q3873" s="17">
        <f>J3873+L3873+N3873+O3873-P3873-M3873</f>
        <v/>
      </c>
    </row>
    <row r="3874">
      <c r="A3874" s="16" t="inlineStr">
        <is>
          <t>5.29-6.4</t>
        </is>
      </c>
      <c r="B3874" s="16" t="inlineStr">
        <is>
          <t>PO-128-21734730266231939</t>
        </is>
      </c>
      <c r="C3874" s="16" t="inlineStr">
        <is>
          <t>Shipped</t>
        </is>
      </c>
      <c r="D3874" s="16" t="inlineStr">
        <is>
          <t>128-21734866581111939</t>
        </is>
      </c>
      <c r="E3874" s="16" t="inlineStr">
        <is>
          <t>Shipped</t>
        </is>
      </c>
      <c r="F3874" s="16" t="inlineStr">
        <is>
          <t>SA325T</t>
        </is>
      </c>
      <c r="G3874" s="16" t="inlineStr">
        <is>
          <t>Subwoofer Portátil Inalámbrico con Luces RGB, Sonido de Alta Potencia y Batería Duradera, TWS TF USB, Perfecto para Campamento Fiestas y Entretenimiento en Casa</t>
        </is>
      </c>
      <c r="H3874" s="16" t="inlineStr">
        <is>
          <t>NEGRO</t>
        </is>
      </c>
      <c r="I3874" s="16" t="n">
        <v>1</v>
      </c>
      <c r="J3874" s="17" t="n">
        <v>36</v>
      </c>
      <c r="K3874" s="17" t="n">
        <v>1.94</v>
      </c>
      <c r="L3874" s="17" t="n">
        <v>25.86</v>
      </c>
      <c r="M3874" s="17" t="n">
        <v>0</v>
      </c>
      <c r="N3874" s="17">
        <f>K3874*0.08+L3874*0.08</f>
        <v/>
      </c>
      <c r="O3874" s="17">
        <f>-(K3874*0.025+L3874*0.025)</f>
        <v/>
      </c>
      <c r="P3874" s="17">
        <f>32</f>
        <v/>
      </c>
      <c r="Q3874" s="17">
        <f>J3874+L3874+N3874+O3874-P3874-M3874</f>
        <v/>
      </c>
    </row>
    <row r="3875">
      <c r="A3875" s="16" t="inlineStr">
        <is>
          <t>5.29-6.4</t>
        </is>
      </c>
      <c r="B3875" s="16" t="inlineStr">
        <is>
          <t>PO-128-21516224512632408</t>
        </is>
      </c>
      <c r="C3875" s="16" t="inlineStr">
        <is>
          <t>Shipped</t>
        </is>
      </c>
      <c r="D3875" s="16" t="inlineStr">
        <is>
          <t>128-21516122931832408</t>
        </is>
      </c>
      <c r="E3875" s="16" t="inlineStr">
        <is>
          <t>Shipped</t>
        </is>
      </c>
      <c r="F3875" s="16" t="inlineStr">
        <is>
          <t>LB02235-rojo</t>
        </is>
      </c>
      <c r="G3875" s="16" t="inlineStr">
        <is>
          <t>Audífonos Inalámbricos para la Cabeza, Recargables y Multifuncionales - Conectan a Varios Dispositivos, soportan Radio FM, Tarjeta TF y AUX - 4 Horas de Reproducción Musical - Ideal para Trabajo Cotidiano, Juegos y Estudio</t>
        </is>
      </c>
      <c r="H3875" s="16" t="inlineStr">
        <is>
          <t>ROJO</t>
        </is>
      </c>
      <c r="I3875" s="16" t="n">
        <v>1</v>
      </c>
      <c r="J3875" s="17" t="n">
        <v>35</v>
      </c>
      <c r="K3875" s="17" t="n">
        <v>37.97</v>
      </c>
      <c r="L3875" s="17" t="n">
        <v>25.86</v>
      </c>
      <c r="M3875" s="17" t="n">
        <v>0</v>
      </c>
      <c r="N3875" s="17">
        <f>K3875*0.08+L3875*0.08</f>
        <v/>
      </c>
      <c r="O3875" s="17">
        <f>-(K3875*0.025+L3875*0.025)</f>
        <v/>
      </c>
      <c r="P3875" s="17">
        <f>32</f>
        <v/>
      </c>
      <c r="Q3875" s="17">
        <f>J3875+L3875+N3875+O3875-P3875-M3875</f>
        <v/>
      </c>
    </row>
    <row r="3876">
      <c r="A3876" s="16" t="inlineStr">
        <is>
          <t>5.29-6.4</t>
        </is>
      </c>
      <c r="B3876" s="16" t="inlineStr">
        <is>
          <t>PO-128-21548584182392089</t>
        </is>
      </c>
      <c r="C3876" s="16" t="inlineStr">
        <is>
          <t>Shipped</t>
        </is>
      </c>
      <c r="D3876" s="16" t="inlineStr">
        <is>
          <t>128-21548636611192089</t>
        </is>
      </c>
      <c r="E3876" s="16" t="inlineStr">
        <is>
          <t>Shipped</t>
        </is>
      </c>
      <c r="F3876" s="16" t="inlineStr">
        <is>
          <t>LB02235-negro</t>
        </is>
      </c>
      <c r="G3876" s="16" t="inlineStr">
        <is>
          <t>Audífonos Inalámbricos para la Cabeza, Recargables y Multifuncionales - Conectan a Varios Dispositivos, soportan Radio FM, Tarjeta TF y AUX - 4 Horas de Reproducción Musical - Ideal para Trabajo Cotidiano, Juegos y Estudio</t>
        </is>
      </c>
      <c r="H3876" s="16" t="inlineStr">
        <is>
          <t>NEGRO</t>
        </is>
      </c>
      <c r="I3876" s="16" t="n">
        <v>1</v>
      </c>
      <c r="J3876" s="17" t="n">
        <v>35</v>
      </c>
      <c r="K3876" s="17" t="n">
        <v>48.11</v>
      </c>
      <c r="L3876" s="17" t="n">
        <v>25.86</v>
      </c>
      <c r="M3876" s="17" t="n">
        <v>0</v>
      </c>
      <c r="N3876" s="17">
        <f>K3876*0.08+L3876*0.08</f>
        <v/>
      </c>
      <c r="O3876" s="17">
        <f>-(K3876*0.025+L3876*0.025)</f>
        <v/>
      </c>
      <c r="P3876" s="17">
        <f>32</f>
        <v/>
      </c>
      <c r="Q3876" s="17">
        <f>J3876+L3876+N3876+O3876-P3876-M3876</f>
        <v/>
      </c>
    </row>
    <row r="3877">
      <c r="A3877" s="16" t="inlineStr">
        <is>
          <t>5.29-6.4</t>
        </is>
      </c>
      <c r="B3877" s="16" t="inlineStr">
        <is>
          <t>PO-128-21480032092792432</t>
        </is>
      </c>
      <c r="C3877" s="16" t="inlineStr">
        <is>
          <t>Shipped</t>
        </is>
      </c>
      <c r="D3877" s="16" t="inlineStr">
        <is>
          <t>128-21480011121272432</t>
        </is>
      </c>
      <c r="E3877" s="16" t="inlineStr">
        <is>
          <t>Shipped</t>
        </is>
      </c>
      <c r="F3877" s="16" t="inlineStr">
        <is>
          <t>MB-185A</t>
        </is>
      </c>
      <c r="G3877" s="16" t="inlineStr">
        <is>
          <t>Bocina Radio FM/Reproductor, Compatible con Tarjeta TF, USB, Bluetooth, Aplicable para celular, computadora, Ipad y consola.</t>
        </is>
      </c>
      <c r="H3877" s="16" t="inlineStr">
        <is>
          <t>AZUL/MB-185</t>
        </is>
      </c>
      <c r="I3877" s="16" t="n">
        <v>1</v>
      </c>
      <c r="J3877" s="17" t="n">
        <v>71.31</v>
      </c>
      <c r="K3877" s="17" t="n">
        <v>84.23999999999999</v>
      </c>
      <c r="L3877" s="17" t="n">
        <v>25.86</v>
      </c>
      <c r="M3877" s="17" t="n">
        <v>0</v>
      </c>
      <c r="N3877" s="17">
        <f>K3877*0.08+L3877*0.08</f>
        <v/>
      </c>
      <c r="O3877" s="17">
        <f>-(K3877*0.025+L3877*0.025)</f>
        <v/>
      </c>
      <c r="P3877" s="17">
        <f>32</f>
        <v/>
      </c>
      <c r="Q3877" s="17">
        <f>J3877+L3877+N3877+O3877-P3877-M3877</f>
        <v/>
      </c>
    </row>
    <row r="3878">
      <c r="A3878" s="16" t="inlineStr">
        <is>
          <t>5.29-6.4</t>
        </is>
      </c>
      <c r="B3878" s="16" t="inlineStr">
        <is>
          <t>PO-128-21743827221112013</t>
        </is>
      </c>
      <c r="C3878" s="16" t="inlineStr">
        <is>
          <t>Shipped</t>
        </is>
      </c>
      <c r="D3878" s="16" t="inlineStr">
        <is>
          <t>128-21743811492472013</t>
        </is>
      </c>
      <c r="E3878" s="16" t="inlineStr">
        <is>
          <t>Shipped</t>
        </is>
      </c>
      <c r="F3878" s="16" t="inlineStr">
        <is>
          <t>LB02235-negro</t>
        </is>
      </c>
      <c r="G3878" s="16" t="inlineStr">
        <is>
          <t>Audífonos Inalámbricos para la Cabeza, Recargables y Multifuncionales - Conectan a Varios Dispositivos, soportan Radio FM, Tarjeta TF y AUX - 4 Horas de Reproducción Musical - Ideal para Trabajo Cotidiano, Juegos y Estudio</t>
        </is>
      </c>
      <c r="H3878" s="16" t="inlineStr">
        <is>
          <t>NEGRO</t>
        </is>
      </c>
      <c r="I3878" s="16" t="n">
        <v>1</v>
      </c>
      <c r="J3878" s="17" t="n">
        <v>35</v>
      </c>
      <c r="K3878" s="17" t="n">
        <v>48.11</v>
      </c>
      <c r="L3878" s="17" t="n">
        <v>25.86</v>
      </c>
      <c r="M3878" s="17" t="n">
        <v>0</v>
      </c>
      <c r="N3878" s="17">
        <f>K3878*0.08+L3878*0.08</f>
        <v/>
      </c>
      <c r="O3878" s="17">
        <f>-(K3878*0.025+L3878*0.025)</f>
        <v/>
      </c>
      <c r="P3878" s="17">
        <f>32</f>
        <v/>
      </c>
      <c r="Q3878" s="17">
        <f>J3878+L3878+N3878+O3878-P3878-M3878</f>
        <v/>
      </c>
    </row>
    <row r="3879">
      <c r="A3879" s="16" t="inlineStr">
        <is>
          <t>5.29-6.4</t>
        </is>
      </c>
      <c r="B3879" s="16" t="inlineStr">
        <is>
          <t>PO-128-21382940882553138</t>
        </is>
      </c>
      <c r="C3879" s="16" t="inlineStr">
        <is>
          <t>Shipped</t>
        </is>
      </c>
      <c r="D3879" s="16" t="inlineStr">
        <is>
          <t>128-21382978893433138</t>
        </is>
      </c>
      <c r="E3879" s="16" t="inlineStr">
        <is>
          <t>Shipped</t>
        </is>
      </c>
      <c r="F3879" s="16" t="inlineStr">
        <is>
          <t>VB347T</t>
        </is>
      </c>
      <c r="G387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879" s="16" t="inlineStr">
        <is>
          <t>1 pieza</t>
        </is>
      </c>
      <c r="I3879" s="16" t="n">
        <v>1</v>
      </c>
      <c r="J3879" s="17" t="n">
        <v>77.90000000000001</v>
      </c>
      <c r="K3879" s="17" t="n">
        <v>92.5</v>
      </c>
      <c r="L3879" s="17" t="n">
        <v>25.86</v>
      </c>
      <c r="M3879" s="17" t="n">
        <v>0</v>
      </c>
      <c r="N3879" s="17">
        <f>K3879*0.08+L3879*0.08</f>
        <v/>
      </c>
      <c r="O3879" s="17">
        <f>-(K3879*0.025+L3879*0.025)</f>
        <v/>
      </c>
      <c r="P3879" s="17">
        <f>32</f>
        <v/>
      </c>
      <c r="Q3879" s="17">
        <f>J3879+L3879+N3879+O3879-P3879-M3879</f>
        <v/>
      </c>
    </row>
    <row r="3880">
      <c r="A3880" s="16" t="inlineStr">
        <is>
          <t>5.29-6.4</t>
        </is>
      </c>
      <c r="B3880" s="16" t="inlineStr">
        <is>
          <t>PO-128-21710149356151252</t>
        </is>
      </c>
      <c r="C3880" s="16" t="inlineStr">
        <is>
          <t>Shipped</t>
        </is>
      </c>
      <c r="D3880" s="16" t="inlineStr">
        <is>
          <t>128-21710092995191252</t>
        </is>
      </c>
      <c r="E3880" s="16" t="inlineStr">
        <is>
          <t>Shipped</t>
        </is>
      </c>
      <c r="F3880" s="16" t="inlineStr">
        <is>
          <t>KTS-1678R</t>
        </is>
      </c>
      <c r="G3880" s="16" t="inlineStr">
        <is>
          <t>Bocina portátil Inalámbrico, de 3 pulgadas, tamaño de bolsillo, 170 g, con asa, compatible con TF, USB y Micro SD, con radio FM y función TWS (True Wireless Stereo), adecuada para relajarse en casa o viajar al aire libre.</t>
        </is>
      </c>
      <c r="H3880" s="16" t="inlineStr">
        <is>
          <t>KTS-1678R</t>
        </is>
      </c>
      <c r="I3880" s="16" t="n">
        <v>1</v>
      </c>
      <c r="J3880" s="17" t="n">
        <v>40</v>
      </c>
      <c r="K3880" s="17" t="n">
        <v>69.41</v>
      </c>
      <c r="L3880" s="17" t="n">
        <v>25.86</v>
      </c>
      <c r="M3880" s="17" t="n">
        <v>0</v>
      </c>
      <c r="N3880" s="17">
        <f>K3880*0.08+L3880*0.08</f>
        <v/>
      </c>
      <c r="O3880" s="17">
        <f>-(K3880*0.025+L3880*0.025)</f>
        <v/>
      </c>
      <c r="P3880" s="17">
        <f>32</f>
        <v/>
      </c>
      <c r="Q3880" s="17">
        <f>J3880+L3880+N3880+O3880-P3880-M3880</f>
        <v/>
      </c>
    </row>
    <row r="3881">
      <c r="A3881" s="16" t="inlineStr">
        <is>
          <t>5.29-6.4</t>
        </is>
      </c>
      <c r="B3881" s="16" t="inlineStr">
        <is>
          <t>PO-128-21658328003191499</t>
        </is>
      </c>
      <c r="C3881" s="16" t="inlineStr">
        <is>
          <t>Shipped</t>
        </is>
      </c>
      <c r="D3881" s="16" t="inlineStr">
        <is>
          <t>128-21658348974711499</t>
        </is>
      </c>
      <c r="E3881" s="16" t="inlineStr">
        <is>
          <t>Shipped</t>
        </is>
      </c>
      <c r="F3881" s="16" t="inlineStr">
        <is>
          <t>MCM-001N</t>
        </is>
      </c>
      <c r="G3881" s="16" t="inlineStr">
        <is>
          <t>Musicord Altavoz Inalámbrico BT Portátil: ¡Sonido impactante, luces LED multicolores y 4 horas de autonomía! Compatible con TWS, FM, TF y USB – Imprescindible para fiestas y viajes</t>
        </is>
      </c>
      <c r="H3881" s="16" t="inlineStr">
        <is>
          <t>NEGRO</t>
        </is>
      </c>
      <c r="I3881" s="16" t="n">
        <v>1</v>
      </c>
      <c r="J3881" s="17" t="n">
        <v>60.5</v>
      </c>
      <c r="K3881" s="17" t="n">
        <v>68.29000000000001</v>
      </c>
      <c r="L3881" s="17" t="n">
        <v>25.86</v>
      </c>
      <c r="M3881" s="17" t="n">
        <v>0</v>
      </c>
      <c r="N3881" s="17">
        <f>K3881*0.08+L3881*0.08</f>
        <v/>
      </c>
      <c r="O3881" s="17">
        <f>-(K3881*0.025+L3881*0.025)</f>
        <v/>
      </c>
      <c r="P3881" s="17">
        <f>32</f>
        <v/>
      </c>
      <c r="Q3881" s="17">
        <f>J3881+L3881+N3881+O3881-P3881-M3881</f>
        <v/>
      </c>
    </row>
    <row r="3882">
      <c r="A3882" s="16" t="inlineStr">
        <is>
          <t>5.29-6.4</t>
        </is>
      </c>
      <c r="B3882" s="16" t="inlineStr">
        <is>
          <t>PO-128-21441639957113748</t>
        </is>
      </c>
      <c r="C3882" s="16" t="inlineStr">
        <is>
          <t>Shipped</t>
        </is>
      </c>
      <c r="D3882" s="16" t="inlineStr">
        <is>
          <t>128-21441641267833748</t>
        </is>
      </c>
      <c r="E3882" s="16" t="inlineStr">
        <is>
          <t>Shipped</t>
        </is>
      </c>
      <c r="F3882" s="16" t="inlineStr">
        <is>
          <t>SA325T</t>
        </is>
      </c>
      <c r="G3882" s="16" t="inlineStr">
        <is>
          <t>Subwoofer Portátil Inalámbrico con Luces RGB, Sonido de Alta Potencia y Batería Duradera, TWS TF USB, Perfecto para Campamento Fiestas y Entretenimiento en Casa</t>
        </is>
      </c>
      <c r="H3882" s="16" t="inlineStr">
        <is>
          <t>NEGRO</t>
        </is>
      </c>
      <c r="I3882" s="16" t="n">
        <v>1</v>
      </c>
      <c r="J3882" s="17" t="n">
        <v>36</v>
      </c>
      <c r="K3882" s="17" t="n">
        <v>45.04</v>
      </c>
      <c r="L3882" s="17" t="n">
        <v>25.86</v>
      </c>
      <c r="M3882" s="17" t="n">
        <v>0</v>
      </c>
      <c r="N3882" s="17">
        <f>K3882*0.08+L3882*0.08</f>
        <v/>
      </c>
      <c r="O3882" s="17">
        <f>-(K3882*0.025+L3882*0.025)</f>
        <v/>
      </c>
      <c r="P3882" s="17">
        <f>32</f>
        <v/>
      </c>
      <c r="Q3882" s="17">
        <f>J3882+L3882+N3882+O3882-P3882-M3882</f>
        <v/>
      </c>
    </row>
    <row r="3883">
      <c r="A3883" s="16" t="inlineStr">
        <is>
          <t>5.29-6.4</t>
        </is>
      </c>
      <c r="B3883" s="16" t="inlineStr">
        <is>
          <t>PO-128-21869794427510172</t>
        </is>
      </c>
      <c r="C3883" s="16" t="inlineStr">
        <is>
          <t>Shipped</t>
        </is>
      </c>
      <c r="D3883" s="16" t="inlineStr">
        <is>
          <t>128-21869899285110172</t>
        </is>
      </c>
      <c r="E3883" s="16" t="inlineStr">
        <is>
          <t>Shipped</t>
        </is>
      </c>
      <c r="F3883" s="16" t="inlineStr">
        <is>
          <t>MCM-001R</t>
        </is>
      </c>
      <c r="G3883" s="16" t="inlineStr">
        <is>
          <t>Musicord Altavoz Inalámbrico BT Portátil: ¡Sonido impactante, luces LED multicolores y 4 horas de autonomía! Compatible con TWS, FM, TF y USB – Imprescindible para fiestas y viajes</t>
        </is>
      </c>
      <c r="H3883" s="16" t="inlineStr">
        <is>
          <t>ROJO</t>
        </is>
      </c>
      <c r="I3883" s="16" t="n">
        <v>1</v>
      </c>
      <c r="J3883" s="17" t="n">
        <v>51</v>
      </c>
      <c r="K3883" s="17" t="n">
        <v>58.79</v>
      </c>
      <c r="L3883" s="17" t="n">
        <v>25.86</v>
      </c>
      <c r="M3883" s="17" t="n">
        <v>0</v>
      </c>
      <c r="N3883" s="17">
        <f>K3883*0.08+L3883*0.08</f>
        <v/>
      </c>
      <c r="O3883" s="17">
        <f>-(K3883*0.025+L3883*0.025)</f>
        <v/>
      </c>
      <c r="P3883" s="17">
        <f>32</f>
        <v/>
      </c>
      <c r="Q3883" s="17">
        <f>J3883+L3883+N3883+O3883-P3883-M3883</f>
        <v/>
      </c>
    </row>
    <row r="3884">
      <c r="A3884" s="16" t="inlineStr">
        <is>
          <t>5.29-6.4</t>
        </is>
      </c>
      <c r="B3884" s="16" t="inlineStr">
        <is>
          <t>PO-128-21617480725112764</t>
        </is>
      </c>
      <c r="C3884" s="16" t="inlineStr">
        <is>
          <t>Shipped</t>
        </is>
      </c>
      <c r="D3884" s="16" t="inlineStr">
        <is>
          <t>128-21617459753592764</t>
        </is>
      </c>
      <c r="E3884" s="16" t="inlineStr">
        <is>
          <t>Shipped</t>
        </is>
      </c>
      <c r="F3884" s="16" t="inlineStr">
        <is>
          <t>VA880T</t>
        </is>
      </c>
      <c r="G3884"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884" s="16" t="inlineStr">
        <is>
          <t>1 pieza</t>
        </is>
      </c>
      <c r="I3884" s="16" t="n">
        <v>1</v>
      </c>
      <c r="J3884" s="17" t="n">
        <v>113</v>
      </c>
      <c r="K3884" s="17" t="n">
        <v>125.29</v>
      </c>
      <c r="L3884" s="17" t="n">
        <v>25.86</v>
      </c>
      <c r="M3884" s="17" t="n">
        <v>0</v>
      </c>
      <c r="N3884" s="17">
        <f>K3884*0.08+L3884*0.08</f>
        <v/>
      </c>
      <c r="O3884" s="17">
        <f>-(K3884*0.025+L3884*0.025)</f>
        <v/>
      </c>
      <c r="P3884" s="17">
        <f>32</f>
        <v/>
      </c>
      <c r="Q3884" s="17">
        <f>J3884+L3884+N3884+O3884-P3884-M3884</f>
        <v/>
      </c>
    </row>
    <row r="3885">
      <c r="A3885" s="16" t="inlineStr">
        <is>
          <t>5.29-6.4</t>
        </is>
      </c>
      <c r="B3885" s="16" t="inlineStr">
        <is>
          <t>PO-128-21511126323832374</t>
        </is>
      </c>
      <c r="C3885" s="16" t="inlineStr">
        <is>
          <t>Shipped</t>
        </is>
      </c>
      <c r="D3885" s="16" t="inlineStr">
        <is>
          <t>128-21511110595192374</t>
        </is>
      </c>
      <c r="E3885" s="16" t="inlineStr">
        <is>
          <t>Shipped</t>
        </is>
      </c>
      <c r="F3885" s="16" t="inlineStr">
        <is>
          <t>LB02235-negro</t>
        </is>
      </c>
      <c r="G3885" s="16" t="inlineStr">
        <is>
          <t>Audífonos Inalámbricos para la Cabeza, Recargables y Multifuncionales - Conectan a Varios Dispositivos, soportan Radio FM, Tarjeta TF y AUX - 4 Horas de Reproducción Musical - Ideal para Trabajo Cotidiano, Juegos y Estudio</t>
        </is>
      </c>
      <c r="H3885" s="16" t="inlineStr">
        <is>
          <t>NEGRO</t>
        </is>
      </c>
      <c r="I3885" s="16" t="n">
        <v>1</v>
      </c>
      <c r="J3885" s="17" t="n">
        <v>35</v>
      </c>
      <c r="K3885" s="17" t="n">
        <v>48.11</v>
      </c>
      <c r="L3885" s="17" t="n">
        <v>25.86</v>
      </c>
      <c r="M3885" s="17" t="n">
        <v>0</v>
      </c>
      <c r="N3885" s="17">
        <f>K3885*0.08+L3885*0.08</f>
        <v/>
      </c>
      <c r="O3885" s="17">
        <f>-(K3885*0.025+L3885*0.025)</f>
        <v/>
      </c>
      <c r="P3885" s="17">
        <f>32</f>
        <v/>
      </c>
      <c r="Q3885" s="17">
        <f>J3885+L3885+N3885+O3885-P3885-M3885</f>
        <v/>
      </c>
    </row>
    <row r="3886">
      <c r="A3886" s="16" t="inlineStr">
        <is>
          <t>5.29-6.4</t>
        </is>
      </c>
      <c r="B3886" s="16" t="inlineStr">
        <is>
          <t>PO-128-21755114189431816</t>
        </is>
      </c>
      <c r="C3886" s="16" t="inlineStr">
        <is>
          <t>Shipped</t>
        </is>
      </c>
      <c r="D3886" s="16" t="inlineStr">
        <is>
          <t>128-21755095839351816</t>
        </is>
      </c>
      <c r="E3886" s="16" t="inlineStr">
        <is>
          <t>Shipped</t>
        </is>
      </c>
      <c r="F3886" s="16" t="inlineStr">
        <is>
          <t>HD005</t>
        </is>
      </c>
      <c r="G3886" s="16" t="inlineStr">
        <is>
          <t>Link bits HD005 Antena UHF para Exteriores, Antena de TV Digital HD con 10 Metros de Cable, Recepción 470-862MHz, 9-7dB de Ganancia, Antena para Canales Abiertos y HD, Resistente al Agua y Viento, Fácil Instalación</t>
        </is>
      </c>
      <c r="H3886" s="16" t="inlineStr">
        <is>
          <t>1</t>
        </is>
      </c>
      <c r="I3886" s="16" t="n">
        <v>1</v>
      </c>
      <c r="J3886" s="17" t="n">
        <v>70</v>
      </c>
      <c r="K3886" s="17" t="n">
        <v>87.66</v>
      </c>
      <c r="L3886" s="17" t="n">
        <v>25.86</v>
      </c>
      <c r="M3886" s="17" t="n">
        <v>0</v>
      </c>
      <c r="N3886" s="17">
        <f>K3886*0.08+L3886*0.08</f>
        <v/>
      </c>
      <c r="O3886" s="17">
        <f>-(K3886*0.025+L3886*0.025)</f>
        <v/>
      </c>
      <c r="P3886" s="17">
        <f>32</f>
        <v/>
      </c>
      <c r="Q3886" s="17">
        <f>J3886+L3886+N3886+O3886-P3886-M3886</f>
        <v/>
      </c>
    </row>
    <row r="3887">
      <c r="A3887" s="16" t="inlineStr">
        <is>
          <t>5.29-6.4</t>
        </is>
      </c>
      <c r="B3887" s="16" t="inlineStr">
        <is>
          <t>PO-128-21649216871031425</t>
        </is>
      </c>
      <c r="C3887" s="16" t="inlineStr">
        <is>
          <t>Shipped</t>
        </is>
      </c>
      <c r="D3887" s="16" t="inlineStr">
        <is>
          <t>128-21649174927991425</t>
        </is>
      </c>
      <c r="E3887" s="16" t="inlineStr">
        <is>
          <t>Shipped</t>
        </is>
      </c>
      <c r="F3887" s="16" t="inlineStr">
        <is>
          <t>LB02235-azul</t>
        </is>
      </c>
      <c r="G3887" s="16" t="inlineStr">
        <is>
          <t>Audífonos Inalámbricos para la Cabeza, Recargables y Multifuncionales - Conectan a Varios Dispositivos, soportan Radio FM, Tarjeta TF y AUX - 4 Horas de Reproducción Musical - Ideal para Trabajo Cotidiano, Juegos y Estudio</t>
        </is>
      </c>
      <c r="H3887" s="16" t="inlineStr">
        <is>
          <t>AZUL</t>
        </is>
      </c>
      <c r="I3887" s="16" t="n">
        <v>1</v>
      </c>
      <c r="J3887" s="17" t="n">
        <v>29.9</v>
      </c>
      <c r="K3887" s="17" t="n">
        <v>43.01</v>
      </c>
      <c r="L3887" s="17" t="n">
        <v>25.86</v>
      </c>
      <c r="M3887" s="17" t="n">
        <v>0</v>
      </c>
      <c r="N3887" s="17">
        <f>K3887*0.08+L3887*0.08</f>
        <v/>
      </c>
      <c r="O3887" s="17">
        <f>-(K3887*0.025+L3887*0.025)</f>
        <v/>
      </c>
      <c r="P3887" s="17">
        <f>32</f>
        <v/>
      </c>
      <c r="Q3887" s="17">
        <f>J3887+L3887+N3887+O3887-P3887-M3887</f>
        <v/>
      </c>
    </row>
    <row r="3888">
      <c r="A3888" s="16" t="inlineStr">
        <is>
          <t>5.29-6.4</t>
        </is>
      </c>
      <c r="B3888" s="16" t="inlineStr">
        <is>
          <t>PO-128-21344618609273433</t>
        </is>
      </c>
      <c r="C3888" s="16" t="inlineStr">
        <is>
          <t>Shipped</t>
        </is>
      </c>
      <c r="D3888" s="16" t="inlineStr">
        <is>
          <t>128-21344576666233433</t>
        </is>
      </c>
      <c r="E3888" s="16" t="inlineStr">
        <is>
          <t>Shipped</t>
        </is>
      </c>
      <c r="F3888" s="16" t="inlineStr">
        <is>
          <t>MCM-001A</t>
        </is>
      </c>
      <c r="G3888" s="16" t="inlineStr">
        <is>
          <t>Musicord Altavoz Inalámbrico BT Portátil: ¡Sonido impactante, luces LED multicolores y 4 horas de autonomía! Compatible con TWS, FM, TF y USB – Imprescindible para fiestas y viajes</t>
        </is>
      </c>
      <c r="H3888" s="16" t="inlineStr">
        <is>
          <t>AZUL</t>
        </is>
      </c>
      <c r="I3888" s="16" t="n">
        <v>1</v>
      </c>
      <c r="J3888" s="17" t="n">
        <v>66</v>
      </c>
      <c r="K3888" s="17" t="n">
        <v>77.28</v>
      </c>
      <c r="L3888" s="17" t="n">
        <v>25.86</v>
      </c>
      <c r="M3888" s="17" t="n">
        <v>0</v>
      </c>
      <c r="N3888" s="17">
        <f>K3888*0.08+L3888*0.08</f>
        <v/>
      </c>
      <c r="O3888" s="17">
        <f>-(K3888*0.025+L3888*0.025)</f>
        <v/>
      </c>
      <c r="P3888" s="17">
        <f>32</f>
        <v/>
      </c>
      <c r="Q3888" s="17">
        <f>J3888+L3888+N3888+O3888-P3888-M3888</f>
        <v/>
      </c>
    </row>
    <row r="3889">
      <c r="A3889" s="16" t="inlineStr">
        <is>
          <t>5.29-6.4</t>
        </is>
      </c>
      <c r="B3889" s="16" t="inlineStr">
        <is>
          <t>PO-128-21462657792633625</t>
        </is>
      </c>
      <c r="C3889" s="16" t="inlineStr">
        <is>
          <t>Shipped</t>
        </is>
      </c>
      <c r="D3889" s="16" t="inlineStr">
        <is>
          <t>128-21462636821113625</t>
        </is>
      </c>
      <c r="E3889" s="16" t="inlineStr">
        <is>
          <t>Shipped</t>
        </is>
      </c>
      <c r="F3889" s="16" t="inlineStr">
        <is>
          <t>MCM-001G</t>
        </is>
      </c>
      <c r="G3889" s="16" t="inlineStr">
        <is>
          <t>Musicord Altavoz Inalámbrico BT Portátil: ¡Sonido impactante, luces LED multicolores y 4 horas de autonomía! Compatible con TWS, FM, TF y USB – Imprescindible para fiestas y viajes</t>
        </is>
      </c>
      <c r="H3889" s="16" t="inlineStr">
        <is>
          <t>GRIS</t>
        </is>
      </c>
      <c r="I3889" s="16" t="n">
        <v>1</v>
      </c>
      <c r="J3889" s="17" t="n">
        <v>51</v>
      </c>
      <c r="K3889" s="17" t="n">
        <v>58.79</v>
      </c>
      <c r="L3889" s="17" t="n">
        <v>25.86</v>
      </c>
      <c r="M3889" s="17" t="n">
        <v>0</v>
      </c>
      <c r="N3889" s="17">
        <f>K3889*0.08+L3889*0.08</f>
        <v/>
      </c>
      <c r="O3889" s="17">
        <f>-(K3889*0.025+L3889*0.025)</f>
        <v/>
      </c>
      <c r="P3889" s="17">
        <f>32</f>
        <v/>
      </c>
      <c r="Q3889" s="17">
        <f>J3889+L3889+N3889+O3889-P3889-M3889</f>
        <v/>
      </c>
    </row>
    <row r="3890">
      <c r="A3890" s="16" t="inlineStr">
        <is>
          <t>5.29-6.4</t>
        </is>
      </c>
      <c r="B3890" s="16" t="inlineStr">
        <is>
          <t>PO-128-21550417961592140</t>
        </is>
      </c>
      <c r="C3890" s="16" t="inlineStr">
        <is>
          <t>Shipped</t>
        </is>
      </c>
      <c r="D3890" s="16" t="inlineStr">
        <is>
          <t>128-21550501601912140</t>
        </is>
      </c>
      <c r="E3890" s="16" t="inlineStr">
        <is>
          <t>Shipped</t>
        </is>
      </c>
      <c r="F3890" s="16" t="inlineStr">
        <is>
          <t>LB02235-negro</t>
        </is>
      </c>
      <c r="G3890" s="16" t="inlineStr">
        <is>
          <t>Audífonos Inalámbricos para la Cabeza, Recargables y Multifuncionales - Conectan a Varios Dispositivos, soportan Radio FM, Tarjeta TF y AUX - 4 Horas de Reproducción Musical - Ideal para Trabajo Cotidiano, Juegos y Estudio</t>
        </is>
      </c>
      <c r="H3890" s="16" t="inlineStr">
        <is>
          <t>NEGRO</t>
        </is>
      </c>
      <c r="I3890" s="16" t="n">
        <v>1</v>
      </c>
      <c r="J3890" s="17" t="n">
        <v>35</v>
      </c>
      <c r="K3890" s="17" t="n">
        <v>48.11</v>
      </c>
      <c r="L3890" s="17" t="n">
        <v>25.86</v>
      </c>
      <c r="M3890" s="17" t="n">
        <v>0</v>
      </c>
      <c r="N3890" s="17">
        <f>K3890*0.08+L3890*0.08</f>
        <v/>
      </c>
      <c r="O3890" s="17">
        <f>-(K3890*0.025+L3890*0.025)</f>
        <v/>
      </c>
      <c r="P3890" s="17">
        <f>32</f>
        <v/>
      </c>
      <c r="Q3890" s="17">
        <f>J3890+L3890+N3890+O3890-P3890-M3890</f>
        <v/>
      </c>
    </row>
    <row r="3891">
      <c r="A3891" s="16" t="inlineStr">
        <is>
          <t>5.29-6.4</t>
        </is>
      </c>
      <c r="B3891" s="16" t="inlineStr">
        <is>
          <t>PO-128-21444192471673799</t>
        </is>
      </c>
      <c r="C3891" s="16" t="inlineStr">
        <is>
          <t>Shipped</t>
        </is>
      </c>
      <c r="D3891" s="16" t="inlineStr">
        <is>
          <t>128-21444161014393799</t>
        </is>
      </c>
      <c r="E3891" s="16" t="inlineStr">
        <is>
          <t>Shipped</t>
        </is>
      </c>
      <c r="F3891" s="16" t="inlineStr">
        <is>
          <t>MCM-001A</t>
        </is>
      </c>
      <c r="G3891" s="16" t="inlineStr">
        <is>
          <t>Musicord Altavoz Inalámbrico BT Portátil: ¡Sonido impactante, luces LED multicolores y 4 horas de autonomía! Compatible con TWS, FM, TF y USB – Imprescindible para fiestas y viajes</t>
        </is>
      </c>
      <c r="H3891" s="16" t="inlineStr">
        <is>
          <t>AZUL</t>
        </is>
      </c>
      <c r="I3891" s="16" t="n">
        <v>1</v>
      </c>
      <c r="J3891" s="17" t="n">
        <v>66</v>
      </c>
      <c r="K3891" s="17" t="n">
        <v>77.28</v>
      </c>
      <c r="L3891" s="17" t="n">
        <v>25.86</v>
      </c>
      <c r="M3891" s="17" t="n">
        <v>0</v>
      </c>
      <c r="N3891" s="17">
        <f>K3891*0.08+L3891*0.08</f>
        <v/>
      </c>
      <c r="O3891" s="17">
        <f>-(K3891*0.025+L3891*0.025)</f>
        <v/>
      </c>
      <c r="P3891" s="17">
        <f>32</f>
        <v/>
      </c>
      <c r="Q3891" s="17">
        <f>J3891+L3891+N3891+O3891-P3891-M3891</f>
        <v/>
      </c>
    </row>
    <row r="3892">
      <c r="A3892" s="16" t="inlineStr">
        <is>
          <t>5.29-6.4</t>
        </is>
      </c>
      <c r="B3892" s="16" t="inlineStr">
        <is>
          <t>PO-128-21974316462710575</t>
        </is>
      </c>
      <c r="C3892" s="16" t="inlineStr">
        <is>
          <t>Shipped</t>
        </is>
      </c>
      <c r="D3892" s="16" t="inlineStr">
        <is>
          <t>128-21974335468150575</t>
        </is>
      </c>
      <c r="E3892" s="16" t="inlineStr">
        <is>
          <t>Shipped</t>
        </is>
      </c>
      <c r="F3892" s="16" t="inlineStr">
        <is>
          <t>LB02235-blanco</t>
        </is>
      </c>
      <c r="G3892" s="16" t="inlineStr">
        <is>
          <t>Audífonos Inalámbricos para la Cabeza, Recargables y Multifuncionales - Conectan a Varios Dispositivos, soportan Radio FM, Tarjeta TF y AUX - 4 Horas de Reproducción Musical - Ideal para Trabajo Cotidiano, Juegos y Estudio</t>
        </is>
      </c>
      <c r="H3892" s="16" t="inlineStr">
        <is>
          <t>BLANCO</t>
        </is>
      </c>
      <c r="I3892" s="16" t="n">
        <v>1</v>
      </c>
      <c r="J3892" s="17" t="n">
        <v>35</v>
      </c>
      <c r="K3892" s="17" t="n">
        <v>48.11</v>
      </c>
      <c r="L3892" s="17" t="n">
        <v>25.86</v>
      </c>
      <c r="M3892" s="17" t="n">
        <v>0</v>
      </c>
      <c r="N3892" s="17">
        <f>K3892*0.08+L3892*0.08</f>
        <v/>
      </c>
      <c r="O3892" s="17">
        <f>-(K3892*0.025+L3892*0.025)</f>
        <v/>
      </c>
      <c r="P3892" s="17">
        <f>32</f>
        <v/>
      </c>
      <c r="Q3892" s="17">
        <f>J3892+L3892+N3892+O3892-P3892-M3892</f>
        <v/>
      </c>
    </row>
    <row r="3893">
      <c r="A3893" s="16" t="inlineStr">
        <is>
          <t>5.29-6.4</t>
        </is>
      </c>
      <c r="B3893" s="16" t="inlineStr">
        <is>
          <t>PO-128-21797821338231563</t>
        </is>
      </c>
      <c r="C3893" s="16" t="inlineStr">
        <is>
          <t>Shipped</t>
        </is>
      </c>
      <c r="D3893" s="16" t="inlineStr">
        <is>
          <t>128-21797842309751563</t>
        </is>
      </c>
      <c r="E3893" s="16" t="inlineStr">
        <is>
          <t>Shipped</t>
        </is>
      </c>
      <c r="F3893" s="16" t="inlineStr">
        <is>
          <t>LB02235-negro</t>
        </is>
      </c>
      <c r="G3893" s="16" t="inlineStr">
        <is>
          <t>Audífonos Inalámbricos para la Cabeza, Recargables y Multifuncionales - Conectan a Varios Dispositivos, soportan Radio FM, Tarjeta TF y AUX - 4 Horas de Reproducción Musical - Ideal para Trabajo Cotidiano, Juegos y Estudio</t>
        </is>
      </c>
      <c r="H3893" s="16" t="inlineStr">
        <is>
          <t>NEGRO</t>
        </is>
      </c>
      <c r="I3893" s="16" t="n">
        <v>1</v>
      </c>
      <c r="J3893" s="17" t="n">
        <v>35</v>
      </c>
      <c r="K3893" s="17" t="n">
        <v>48.11</v>
      </c>
      <c r="L3893" s="17" t="n">
        <v>25.86</v>
      </c>
      <c r="M3893" s="17" t="n">
        <v>0</v>
      </c>
      <c r="N3893" s="17">
        <f>K3893*0.08+L3893*0.08</f>
        <v/>
      </c>
      <c r="O3893" s="17">
        <f>-(K3893*0.025+L3893*0.025)</f>
        <v/>
      </c>
      <c r="P3893" s="17">
        <f>32</f>
        <v/>
      </c>
      <c r="Q3893" s="17">
        <f>J3893+L3893+N3893+O3893-P3893-M3893</f>
        <v/>
      </c>
    </row>
    <row r="3894">
      <c r="A3894" s="16" t="inlineStr">
        <is>
          <t>5.29-6.4</t>
        </is>
      </c>
      <c r="B3894" s="16" t="inlineStr">
        <is>
          <t>PO-128-21524112271992235</t>
        </is>
      </c>
      <c r="C3894" s="16" t="inlineStr">
        <is>
          <t>Shipped</t>
        </is>
      </c>
      <c r="D3894" s="16" t="inlineStr">
        <is>
          <t>128-21524133243512235</t>
        </is>
      </c>
      <c r="E3894" s="16" t="inlineStr">
        <is>
          <t>Shipped</t>
        </is>
      </c>
      <c r="F3894" s="16" t="inlineStr">
        <is>
          <t>LB02235-negro</t>
        </is>
      </c>
      <c r="G3894" s="16" t="inlineStr">
        <is>
          <t>Audífonos Inalámbricos para la Cabeza, Recargables y Multifuncionales - Conectan a Varios Dispositivos, soportan Radio FM, Tarjeta TF y AUX - 4 Horas de Reproducción Musical - Ideal para Trabajo Cotidiano, Juegos y Estudio</t>
        </is>
      </c>
      <c r="H3894" s="16" t="inlineStr">
        <is>
          <t>NEGRO</t>
        </is>
      </c>
      <c r="I3894" s="16" t="n">
        <v>1</v>
      </c>
      <c r="J3894" s="17" t="n">
        <v>35</v>
      </c>
      <c r="K3894" s="17" t="n">
        <v>48.11</v>
      </c>
      <c r="L3894" s="17" t="n">
        <v>25.86</v>
      </c>
      <c r="M3894" s="17" t="n">
        <v>0</v>
      </c>
      <c r="N3894" s="17">
        <f>K3894*0.08+L3894*0.08</f>
        <v/>
      </c>
      <c r="O3894" s="17">
        <f>-(K3894*0.025+L3894*0.025)</f>
        <v/>
      </c>
      <c r="P3894" s="17">
        <f>32</f>
        <v/>
      </c>
      <c r="Q3894" s="17">
        <f>J3894+L3894+N3894+O3894-P3894-M3894</f>
        <v/>
      </c>
    </row>
    <row r="3895">
      <c r="A3895" s="16" t="inlineStr">
        <is>
          <t>5.29-6.4</t>
        </is>
      </c>
      <c r="B3895" s="16" t="inlineStr">
        <is>
          <t>PO-128-21512809559672428</t>
        </is>
      </c>
      <c r="C3895" s="16" t="inlineStr">
        <is>
          <t>Shipped</t>
        </is>
      </c>
      <c r="D3895" s="16" t="inlineStr">
        <is>
          <t>128-21512767616632428</t>
        </is>
      </c>
      <c r="E3895" s="16" t="inlineStr">
        <is>
          <t>Shipped</t>
        </is>
      </c>
      <c r="F3895" s="16" t="inlineStr">
        <is>
          <t>MCM-001N</t>
        </is>
      </c>
      <c r="G3895" s="16" t="inlineStr">
        <is>
          <t>Musicord Altavoz Inalámbrico BT Portátil: ¡Sonido impactante, luces LED multicolores y 4 horas de autonomía! Compatible con TWS, FM, TF y USB – Imprescindible para fiestas y viajes</t>
        </is>
      </c>
      <c r="H3895" s="16" t="inlineStr">
        <is>
          <t>NEGRO</t>
        </is>
      </c>
      <c r="I3895" s="16" t="n">
        <v>1</v>
      </c>
      <c r="J3895" s="17" t="n">
        <v>60.5</v>
      </c>
      <c r="K3895" s="17" t="n">
        <v>68.29000000000001</v>
      </c>
      <c r="L3895" s="17" t="n">
        <v>25.86</v>
      </c>
      <c r="M3895" s="17" t="n">
        <v>5.01</v>
      </c>
      <c r="N3895" s="17">
        <f>K3895*0.08+L3895*0.08</f>
        <v/>
      </c>
      <c r="O3895" s="17">
        <f>-(K3895*0.025+L3895*0.025)</f>
        <v/>
      </c>
      <c r="P3895" s="17">
        <f>32</f>
        <v/>
      </c>
      <c r="Q3895" s="17">
        <f>J3895+L3895+N3895+O3895-P3895-M3895</f>
        <v/>
      </c>
    </row>
    <row r="3896">
      <c r="A3896" s="16" t="inlineStr">
        <is>
          <t>5.29-6.4</t>
        </is>
      </c>
      <c r="B3896" s="16" t="inlineStr">
        <is>
          <t>PO-128-21509694659192385</t>
        </is>
      </c>
      <c r="C3896" s="16" t="inlineStr">
        <is>
          <t>Shipped</t>
        </is>
      </c>
      <c r="D3896" s="16" t="inlineStr">
        <is>
          <t>128-21509652716152385</t>
        </is>
      </c>
      <c r="E3896" s="16" t="inlineStr">
        <is>
          <t>Shipped</t>
        </is>
      </c>
      <c r="F3896" s="16" t="inlineStr">
        <is>
          <t>MCM-001A</t>
        </is>
      </c>
      <c r="G3896" s="16" t="inlineStr">
        <is>
          <t>Musicord Altavoz Inalámbrico BT Portátil: ¡Sonido impactante, luces LED multicolores y 4 horas de autonomía! Compatible con TWS, FM, TF y USB – Imprescindible para fiestas y viajes</t>
        </is>
      </c>
      <c r="H3896" s="16" t="inlineStr">
        <is>
          <t>AZUL</t>
        </is>
      </c>
      <c r="I3896" s="16" t="n">
        <v>1</v>
      </c>
      <c r="J3896" s="17" t="n">
        <v>51.07</v>
      </c>
      <c r="K3896" s="17" t="n">
        <v>59.47</v>
      </c>
      <c r="L3896" s="17" t="n">
        <v>25.86</v>
      </c>
      <c r="M3896" s="17" t="n">
        <v>0</v>
      </c>
      <c r="N3896" s="17">
        <f>K3896*0.08+L3896*0.08</f>
        <v/>
      </c>
      <c r="O3896" s="17">
        <f>-(K3896*0.025+L3896*0.025)</f>
        <v/>
      </c>
      <c r="P3896" s="17">
        <f>32</f>
        <v/>
      </c>
      <c r="Q3896" s="17">
        <f>J3896+L3896+N3896+O3896-P3896-M3896</f>
        <v/>
      </c>
    </row>
    <row r="3897">
      <c r="A3897" s="16" t="inlineStr">
        <is>
          <t>5.29-6.4</t>
        </is>
      </c>
      <c r="B3897" s="16" t="inlineStr">
        <is>
          <t>PO-128-10697844329591162</t>
        </is>
      </c>
      <c r="C3897" s="16" t="inlineStr">
        <is>
          <t>Shipped</t>
        </is>
      </c>
      <c r="D3897" s="16" t="inlineStr">
        <is>
          <t>128-10697854815351162</t>
        </is>
      </c>
      <c r="E3897" s="16" t="inlineStr">
        <is>
          <t>Shipped</t>
        </is>
      </c>
      <c r="F3897" s="16" t="inlineStr">
        <is>
          <t>LB02235-negro</t>
        </is>
      </c>
      <c r="G3897" s="16" t="inlineStr">
        <is>
          <t>Audífonos Inalámbricos para la Cabeza, Recargables y Multifuncionales - Conectan a Varios Dispositivos, soportan Radio FM, Tarjeta TF y AUX - 4 Horas de Reproducción Musical - Ideal para Trabajo Cotidiano, Juegos y Estudio</t>
        </is>
      </c>
      <c r="H3897" s="16" t="inlineStr">
        <is>
          <t>NEGRO</t>
        </is>
      </c>
      <c r="I3897" s="16" t="n">
        <v>1</v>
      </c>
      <c r="J3897" s="17" t="n">
        <v>36.8</v>
      </c>
      <c r="K3897" s="17" t="n">
        <v>45.59</v>
      </c>
      <c r="L3897" s="17" t="n">
        <v>25.86</v>
      </c>
      <c r="M3897" s="17" t="n">
        <v>0</v>
      </c>
      <c r="N3897" s="17">
        <f>K3897*0.08+L3897*0.08</f>
        <v/>
      </c>
      <c r="O3897" s="17">
        <f>-(K3897*0.025+L3897*0.025)</f>
        <v/>
      </c>
      <c r="P3897" s="17">
        <f>32</f>
        <v/>
      </c>
      <c r="Q3897" s="17">
        <f>J3897+L3897+N3897+O3897-P3897-M3897</f>
        <v/>
      </c>
    </row>
    <row r="3898">
      <c r="A3898" s="16" t="inlineStr">
        <is>
          <t>5.29-6.4</t>
        </is>
      </c>
      <c r="B3898" s="16" t="inlineStr">
        <is>
          <t>PO-128-10840562540150504</t>
        </is>
      </c>
      <c r="C3898" s="16" t="inlineStr">
        <is>
          <t>Shipped</t>
        </is>
      </c>
      <c r="D3898" s="16" t="inlineStr">
        <is>
          <t>128-10840520597110504</t>
        </is>
      </c>
      <c r="E3898" s="16" t="inlineStr">
        <is>
          <t>Shipped</t>
        </is>
      </c>
      <c r="F3898" s="16" t="inlineStr">
        <is>
          <t>MCM-001N</t>
        </is>
      </c>
      <c r="G3898" s="16" t="inlineStr">
        <is>
          <t>Musicord Altavoz Inalámbrico BT Portátil: ¡Sonido impactante, luces LED multicolores y 4 horas de autonomía! Compatible con TWS, FM, TF y USB – Imprescindible para fiestas y viajes</t>
        </is>
      </c>
      <c r="H3898" s="16" t="inlineStr">
        <is>
          <t>NEGRO</t>
        </is>
      </c>
      <c r="I3898" s="16" t="n">
        <v>1</v>
      </c>
      <c r="J3898" s="17" t="n">
        <v>61</v>
      </c>
      <c r="K3898" s="17" t="n">
        <v>25.69</v>
      </c>
      <c r="L3898" s="17" t="n">
        <v>25.86</v>
      </c>
      <c r="M3898" s="17" t="n">
        <v>0</v>
      </c>
      <c r="N3898" s="17">
        <f>K3898*0.08+L3898*0.08</f>
        <v/>
      </c>
      <c r="O3898" s="17">
        <f>-(K3898*0.025+L3898*0.025)</f>
        <v/>
      </c>
      <c r="P3898" s="17">
        <f>32</f>
        <v/>
      </c>
      <c r="Q3898" s="17">
        <f>J3898+L3898+N3898+O3898-P3898-M3898</f>
        <v/>
      </c>
    </row>
    <row r="3899">
      <c r="A3899" s="16" t="inlineStr">
        <is>
          <t>5.29-6.4</t>
        </is>
      </c>
      <c r="B3899" s="16" t="inlineStr">
        <is>
          <t>PO-128-10667911731831535</t>
        </is>
      </c>
      <c r="C3899" s="16" t="inlineStr">
        <is>
          <t>Shipped</t>
        </is>
      </c>
      <c r="D3899" s="16" t="inlineStr">
        <is>
          <t>128-10667932703351535</t>
        </is>
      </c>
      <c r="E3899" s="16" t="inlineStr">
        <is>
          <t>Shipped</t>
        </is>
      </c>
      <c r="F3899" s="16" t="inlineStr">
        <is>
          <t>LB02235-negro</t>
        </is>
      </c>
      <c r="G3899" s="16" t="inlineStr">
        <is>
          <t>Audífonos Inalámbricos para la Cabeza, Recargables y Multifuncionales - Conectan a Varios Dispositivos, soportan Radio FM, Tarjeta TF y AUX - 4 Horas de Reproducción Musical - Ideal para Trabajo Cotidiano, Juegos y Estudio</t>
        </is>
      </c>
      <c r="H3899" s="16" t="inlineStr">
        <is>
          <t>NEGRO</t>
        </is>
      </c>
      <c r="I3899" s="16" t="n">
        <v>1</v>
      </c>
      <c r="J3899" s="17" t="n">
        <v>36.8</v>
      </c>
      <c r="K3899" s="17" t="n">
        <v>49.91</v>
      </c>
      <c r="L3899" s="17" t="n">
        <v>12.93</v>
      </c>
      <c r="M3899" s="17" t="n">
        <v>0</v>
      </c>
      <c r="N3899" s="17">
        <f>K3899*0.08+L3899*0.08</f>
        <v/>
      </c>
      <c r="O3899" s="17">
        <f>-(K3899*0.025+L3899*0.025)</f>
        <v/>
      </c>
      <c r="P3899" s="17">
        <f>32</f>
        <v/>
      </c>
      <c r="Q3899" s="17">
        <f>J3899+L3899+N3899+O3899-P3899-M3899</f>
        <v/>
      </c>
    </row>
    <row r="3900">
      <c r="A3900" s="16" t="inlineStr">
        <is>
          <t>5.29-6.4</t>
        </is>
      </c>
      <c r="B3900" s="16" t="inlineStr">
        <is>
          <t>PO-128-10667911731831535</t>
        </is>
      </c>
      <c r="C3900" s="16" t="inlineStr">
        <is>
          <t>Shipped</t>
        </is>
      </c>
      <c r="D3900" s="16" t="inlineStr">
        <is>
          <t>128-10667943189111535</t>
        </is>
      </c>
      <c r="E3900" s="16" t="inlineStr">
        <is>
          <t>Shipped</t>
        </is>
      </c>
      <c r="F3900" s="16" t="inlineStr">
        <is>
          <t>LB02235-rojo</t>
        </is>
      </c>
      <c r="G3900" s="16" t="inlineStr">
        <is>
          <t>Audífonos Inalámbricos para la Cabeza, Recargables y Multifuncionales - Conectan a Varios Dispositivos, soportan Radio FM, Tarjeta TF y AUX - 4 Horas de Reproducción Musical - Ideal para Trabajo Cotidiano, Juegos y Estudio</t>
        </is>
      </c>
      <c r="H3900" s="16" t="inlineStr">
        <is>
          <t>ROJO</t>
        </is>
      </c>
      <c r="I3900" s="16" t="n">
        <v>1</v>
      </c>
      <c r="J3900" s="17" t="n">
        <v>36.8</v>
      </c>
      <c r="K3900" s="17" t="n">
        <v>49.91</v>
      </c>
      <c r="L3900" s="17" t="n">
        <v>12.93</v>
      </c>
      <c r="M3900" s="17" t="n">
        <v>0</v>
      </c>
      <c r="N3900" s="17">
        <f>K3900*0.08+L3900*0.08</f>
        <v/>
      </c>
      <c r="O3900" s="17">
        <f>-(K3900*0.025+L3900*0.025)</f>
        <v/>
      </c>
      <c r="P3900" s="17">
        <f>32</f>
        <v/>
      </c>
      <c r="Q3900" s="17">
        <f>J3900+L3900+N3900+O3900-P3900-M3900</f>
        <v/>
      </c>
    </row>
    <row r="3901">
      <c r="A3901" s="16" t="inlineStr">
        <is>
          <t>5.29-6.4</t>
        </is>
      </c>
      <c r="B3901" s="16" t="inlineStr">
        <is>
          <t>PO-128-10839771638390508</t>
        </is>
      </c>
      <c r="C3901" s="16" t="inlineStr">
        <is>
          <t>Shipped</t>
        </is>
      </c>
      <c r="D3901" s="16" t="inlineStr">
        <is>
          <t>128-10839907953270508</t>
        </is>
      </c>
      <c r="E3901" s="16" t="inlineStr">
        <is>
          <t>Shipped</t>
        </is>
      </c>
      <c r="F3901" s="16" t="inlineStr">
        <is>
          <t>LB02235-negro</t>
        </is>
      </c>
      <c r="G3901" s="16" t="inlineStr">
        <is>
          <t>Audífonos Inalámbricos para la Cabeza, Recargables y Multifuncionales - Conectan a Varios Dispositivos, soportan Radio FM, Tarjeta TF y AUX - 4 Horas de Reproducción Musical - Ideal para Trabajo Cotidiano, Juegos y Estudio</t>
        </is>
      </c>
      <c r="H3901" s="16" t="inlineStr">
        <is>
          <t>NEGRO</t>
        </is>
      </c>
      <c r="I3901" s="16" t="n">
        <v>1</v>
      </c>
      <c r="J3901" s="17" t="n">
        <v>36.8</v>
      </c>
      <c r="K3901" s="17" t="n">
        <v>49.91</v>
      </c>
      <c r="L3901" s="17" t="n">
        <v>25.86</v>
      </c>
      <c r="M3901" s="17" t="n">
        <v>0</v>
      </c>
      <c r="N3901" s="17">
        <f>K3901*0.08+L3901*0.08</f>
        <v/>
      </c>
      <c r="O3901" s="17">
        <f>-(K3901*0.025+L3901*0.025)</f>
        <v/>
      </c>
      <c r="P3901" s="17">
        <f>32</f>
        <v/>
      </c>
      <c r="Q3901" s="17">
        <f>J3901+L3901+N3901+O3901-P3901-M3901</f>
        <v/>
      </c>
    </row>
    <row r="3902">
      <c r="A3902" s="16" t="inlineStr">
        <is>
          <t>5.29-6.4</t>
        </is>
      </c>
      <c r="B3902" s="16" t="inlineStr">
        <is>
          <t>PO-128-10859229665910328</t>
        </is>
      </c>
      <c r="C3902" s="16" t="inlineStr">
        <is>
          <t>Shipped</t>
        </is>
      </c>
      <c r="D3902" s="16" t="inlineStr">
        <is>
          <t>128-10859276851830328</t>
        </is>
      </c>
      <c r="E3902" s="16" t="inlineStr">
        <is>
          <t>Shipped</t>
        </is>
      </c>
      <c r="F3902" s="16" t="inlineStr">
        <is>
          <t>MCM-001R</t>
        </is>
      </c>
      <c r="G3902" s="16" t="inlineStr">
        <is>
          <t>Musicord Altavoz Inalámbrico BT Portátil: ¡Sonido impactante, luces LED multicolores y 4 horas de autonomía! Compatible con TWS, FM, TF y USB – Imprescindible para fiestas y viajes</t>
        </is>
      </c>
      <c r="H3902" s="16" t="inlineStr">
        <is>
          <t>ROJO</t>
        </is>
      </c>
      <c r="I3902" s="16" t="n">
        <v>1</v>
      </c>
      <c r="J3902" s="17" t="n">
        <v>66.5</v>
      </c>
      <c r="K3902" s="17" t="n">
        <v>59.83</v>
      </c>
      <c r="L3902" s="17" t="n">
        <v>25.86</v>
      </c>
      <c r="M3902" s="17" t="n">
        <v>0</v>
      </c>
      <c r="N3902" s="17">
        <f>K3902*0.08+L3902*0.08</f>
        <v/>
      </c>
      <c r="O3902" s="17">
        <f>-(K3902*0.025+L3902*0.025)</f>
        <v/>
      </c>
      <c r="P3902" s="17">
        <f>32</f>
        <v/>
      </c>
      <c r="Q3902" s="17">
        <f>J3902+L3902+N3902+O3902-P3902-M3902</f>
        <v/>
      </c>
    </row>
    <row r="3903">
      <c r="A3903" s="16" t="inlineStr">
        <is>
          <t>5.29-6.4</t>
        </is>
      </c>
      <c r="B3903" s="16" t="inlineStr">
        <is>
          <t>PO-128-10677476936311284</t>
        </is>
      </c>
      <c r="C3903" s="16" t="inlineStr">
        <is>
          <t>Shipped</t>
        </is>
      </c>
      <c r="D3903" s="16" t="inlineStr">
        <is>
          <t>128-10677497907831284</t>
        </is>
      </c>
      <c r="E3903" s="16" t="inlineStr">
        <is>
          <t>Shipped</t>
        </is>
      </c>
      <c r="F3903" s="16" t="inlineStr">
        <is>
          <t>VB347T</t>
        </is>
      </c>
      <c r="G390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3903" s="16" t="inlineStr">
        <is>
          <t>1 pieza</t>
        </is>
      </c>
      <c r="I3903" s="16" t="n">
        <v>1</v>
      </c>
      <c r="J3903" s="17" t="n">
        <v>79.90000000000001</v>
      </c>
      <c r="K3903" s="17" t="n">
        <v>94.5</v>
      </c>
      <c r="L3903" s="17" t="n">
        <v>25.86</v>
      </c>
      <c r="M3903" s="17" t="n">
        <v>0</v>
      </c>
      <c r="N3903" s="17">
        <f>K3903*0.08+L3903*0.08</f>
        <v/>
      </c>
      <c r="O3903" s="17">
        <f>-(K3903*0.025+L3903*0.025)</f>
        <v/>
      </c>
      <c r="P3903" s="17">
        <f>32</f>
        <v/>
      </c>
      <c r="Q3903" s="17">
        <f>J3903+L3903+N3903+O3903-P3903-M3903</f>
        <v/>
      </c>
    </row>
    <row r="3904">
      <c r="A3904" s="16" t="inlineStr">
        <is>
          <t>5.29-6.4</t>
        </is>
      </c>
      <c r="B3904" s="16" t="inlineStr">
        <is>
          <t>PO-128-10325566362233575</t>
        </is>
      </c>
      <c r="C3904" s="16" t="inlineStr">
        <is>
          <t>Shipped</t>
        </is>
      </c>
      <c r="D3904" s="16" t="inlineStr">
        <is>
          <t>128-10325587333753575</t>
        </is>
      </c>
      <c r="E3904" s="16" t="inlineStr">
        <is>
          <t>Shipped</t>
        </is>
      </c>
      <c r="F3904" s="16" t="inlineStr">
        <is>
          <t>MB-185N</t>
        </is>
      </c>
      <c r="G3904" s="16" t="inlineStr">
        <is>
          <t>Bocina Radio FM/Reproductor, Compatible con Tarjeta TF, USB, Bluetooth, Aplicable para celular, computadora, Ipad y consola.</t>
        </is>
      </c>
      <c r="H3904" s="16" t="inlineStr">
        <is>
          <t>NEGRO/MB-185</t>
        </is>
      </c>
      <c r="I3904" s="16" t="n">
        <v>1</v>
      </c>
      <c r="J3904" s="17" t="n">
        <v>75.5</v>
      </c>
      <c r="K3904" s="17" t="n">
        <v>88.44</v>
      </c>
      <c r="L3904" s="17" t="n">
        <v>25.86</v>
      </c>
      <c r="M3904" s="17" t="n">
        <v>0</v>
      </c>
      <c r="N3904" s="17">
        <f>K3904*0.08+L3904*0.08</f>
        <v/>
      </c>
      <c r="O3904" s="17">
        <f>-(K3904*0.025+L3904*0.025)</f>
        <v/>
      </c>
      <c r="P3904" s="17">
        <f>32</f>
        <v/>
      </c>
      <c r="Q3904" s="17">
        <f>J3904+L3904+N3904+O3904-P3904-M3904</f>
        <v/>
      </c>
    </row>
    <row r="3905">
      <c r="A3905" s="16" t="inlineStr">
        <is>
          <t>5.29-6.4</t>
        </is>
      </c>
      <c r="B3905" s="16" t="inlineStr">
        <is>
          <t>PO-128-10604920300152932</t>
        </is>
      </c>
      <c r="C3905" s="16" t="inlineStr">
        <is>
          <t>Shipped</t>
        </is>
      </c>
      <c r="D3905" s="16" t="inlineStr">
        <is>
          <t>128-10604899082872932</t>
        </is>
      </c>
      <c r="E3905" s="16" t="inlineStr">
        <is>
          <t>Shipped</t>
        </is>
      </c>
      <c r="F3905" s="16" t="inlineStr">
        <is>
          <t>LB02235-blanco</t>
        </is>
      </c>
      <c r="G3905" s="16" t="inlineStr">
        <is>
          <t>Audífonos Inalámbricos para la Cabeza, Recargables y Multifuncionales - Conectan a Varios Dispositivos, soportan Radio FM, Tarjeta TF y AUX - 4 Horas de Reproducción Musical - Ideal para Trabajo Cotidiano, Juegos y Estudio</t>
        </is>
      </c>
      <c r="H3905" s="16" t="inlineStr">
        <is>
          <t>BLANCO</t>
        </is>
      </c>
      <c r="I3905" s="16" t="n">
        <v>1</v>
      </c>
      <c r="J3905" s="17" t="n">
        <v>36.8</v>
      </c>
      <c r="K3905" s="17" t="n">
        <v>49.91</v>
      </c>
      <c r="L3905" s="17" t="n">
        <v>25.86</v>
      </c>
      <c r="M3905" s="17" t="n">
        <v>0</v>
      </c>
      <c r="N3905" s="17">
        <f>K3905*0.08+L3905*0.08</f>
        <v/>
      </c>
      <c r="O3905" s="17">
        <f>-(K3905*0.025+L3905*0.025)</f>
        <v/>
      </c>
      <c r="P3905" s="17">
        <f>32</f>
        <v/>
      </c>
      <c r="Q3905" s="17">
        <f>J3905+L3905+N3905+O3905-P3905-M3905</f>
        <v/>
      </c>
    </row>
    <row r="3906">
      <c r="A3906" s="16" t="inlineStr">
        <is>
          <t>5.29-6.4</t>
        </is>
      </c>
      <c r="B3906" s="16" t="inlineStr">
        <is>
          <t>PO-128-10426384026233932</t>
        </is>
      </c>
      <c r="C3906" s="16" t="inlineStr">
        <is>
          <t>Shipped</t>
        </is>
      </c>
      <c r="D3906" s="16" t="inlineStr">
        <is>
          <t>128-10426436455033932</t>
        </is>
      </c>
      <c r="E3906" s="16" t="inlineStr">
        <is>
          <t>Shipped</t>
        </is>
      </c>
      <c r="F3906" s="16" t="inlineStr">
        <is>
          <t>VA880T</t>
        </is>
      </c>
      <c r="G390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3906" s="16" t="inlineStr">
        <is>
          <t>1 pieza</t>
        </is>
      </c>
      <c r="I3906" s="16" t="n">
        <v>1</v>
      </c>
      <c r="J3906" s="17" t="n">
        <v>114.98</v>
      </c>
      <c r="K3906" s="17" t="n">
        <v>127.27</v>
      </c>
      <c r="L3906" s="17" t="n">
        <v>25.86</v>
      </c>
      <c r="M3906" s="17" t="n">
        <v>0</v>
      </c>
      <c r="N3906" s="17">
        <f>K3906*0.08+L3906*0.08</f>
        <v/>
      </c>
      <c r="O3906" s="17">
        <f>-(K3906*0.025+L3906*0.025)</f>
        <v/>
      </c>
      <c r="P3906" s="17">
        <f>32</f>
        <v/>
      </c>
      <c r="Q3906" s="17">
        <f>J3906+L3906+N3906+O3906-P3906-M3906</f>
        <v/>
      </c>
    </row>
    <row r="3907">
      <c r="A3907" s="16" t="inlineStr">
        <is>
          <t>5.29-6.4</t>
        </is>
      </c>
      <c r="B3907" s="16" t="inlineStr">
        <is>
          <t>PO-128-17328013514873821</t>
        </is>
      </c>
      <c r="C3907" s="16" t="inlineStr">
        <is>
          <t>Shipped</t>
        </is>
      </c>
      <c r="D3907" s="16" t="inlineStr">
        <is>
          <t>128-17328041039993821</t>
        </is>
      </c>
      <c r="E3907" s="16" t="inlineStr">
        <is>
          <t>Shipped</t>
        </is>
      </c>
      <c r="F3907" s="16" t="inlineStr">
        <is>
          <t>MCM-001A</t>
        </is>
      </c>
      <c r="G3907" s="16" t="inlineStr">
        <is>
          <t>Musicord Altavoz Inalámbrico BT Portátil: ¡Sonido impactante, luces LED multicolores y 4 horas de autonomía! Compatible con TWS, FM, TF y USB – Imprescindible para fiestas y viajes</t>
        </is>
      </c>
      <c r="H3907" s="16" t="inlineStr">
        <is>
          <t>AZUL</t>
        </is>
      </c>
      <c r="I3907" s="16" t="n">
        <v>1</v>
      </c>
      <c r="J3907" s="17" t="n">
        <v>51.07</v>
      </c>
      <c r="K3907" s="17" t="n">
        <v>59.47</v>
      </c>
      <c r="L3907" s="17" t="n">
        <v>25.86</v>
      </c>
      <c r="M3907" s="17" t="n">
        <v>0</v>
      </c>
      <c r="N3907" s="17">
        <f>K3907*0.08+L3907*0.08</f>
        <v/>
      </c>
      <c r="O3907" s="17">
        <f>-(K3907*0.025+L3907*0.025)</f>
        <v/>
      </c>
      <c r="P3907" s="17">
        <f>32</f>
        <v/>
      </c>
      <c r="Q3907" s="17">
        <f>J3907+L3907+N3907+O3907-P3907-M3907</f>
        <v/>
      </c>
    </row>
    <row r="3908">
      <c r="A3908" s="16" t="inlineStr">
        <is>
          <t>5.29-6.4</t>
        </is>
      </c>
      <c r="B3908" s="16" t="inlineStr">
        <is>
          <t>PO-128-08114255905910370</t>
        </is>
      </c>
      <c r="C3908" s="16" t="inlineStr">
        <is>
          <t>Delivered</t>
        </is>
      </c>
      <c r="D3908" s="16" t="inlineStr">
        <is>
          <t>128-08114276877430370</t>
        </is>
      </c>
      <c r="E3908" s="16" t="inlineStr">
        <is>
          <t>Delivered</t>
        </is>
      </c>
      <c r="F3908" s="16" t="inlineStr">
        <is>
          <t>VA384T-N</t>
        </is>
      </c>
      <c r="G3908" s="16" t="inlineStr">
        <is>
          <t>Bocina Portátil Bluetooth de 3 Pulgadas con Radio FM, USB TF TWS, Sonido Estéreo 5W, Bocina Recargable para Hogar Exterior Viaje Fiesta Camping</t>
        </is>
      </c>
      <c r="H3908" s="16" t="inlineStr">
        <is>
          <t>NEGRO</t>
        </is>
      </c>
      <c r="I3908" s="16" t="n">
        <v>1</v>
      </c>
      <c r="J3908" s="17" t="n">
        <v>50</v>
      </c>
      <c r="K3908" s="17" t="n">
        <v>60.72</v>
      </c>
      <c r="L3908" s="17" t="n">
        <v>25.86</v>
      </c>
      <c r="M3908" s="17" t="n">
        <v>0</v>
      </c>
      <c r="N3908" s="17">
        <f>K3908*0.08+L3908*0.08</f>
        <v/>
      </c>
      <c r="O3908" s="17">
        <f>-(K3908*0.025+L3908*0.025)</f>
        <v/>
      </c>
      <c r="P3908" s="17">
        <f>32</f>
        <v/>
      </c>
      <c r="Q3908" s="17">
        <f>J3908+L3908+N3908+O3908-P3908-M3908</f>
        <v/>
      </c>
    </row>
    <row r="3909">
      <c r="A3909" s="16" t="inlineStr">
        <is>
          <t>5.29-6.4</t>
        </is>
      </c>
      <c r="B3909" s="16" t="inlineStr">
        <is>
          <t>PO-128-08115446039670365</t>
        </is>
      </c>
      <c r="C3909" s="16" t="inlineStr">
        <is>
          <t>Delivered</t>
        </is>
      </c>
      <c r="D3909" s="16" t="inlineStr">
        <is>
          <t>128-08115404096630365</t>
        </is>
      </c>
      <c r="E3909" s="16" t="inlineStr">
        <is>
          <t>Delivered</t>
        </is>
      </c>
      <c r="F3909" s="16" t="inlineStr">
        <is>
          <t>LB02235-negro</t>
        </is>
      </c>
      <c r="G3909" s="16" t="inlineStr">
        <is>
          <t>Audífonos Inalámbricos para la Cabeza, Recargables y Multifuncionales - Conectan a Varios Dispositivos, soportan Radio FM, Tarjeta TF y AUX - 4 Horas de Reproducción Musical - Ideal para Trabajo Cotidiano, Juegos y Estudio</t>
        </is>
      </c>
      <c r="H3909" s="16" t="inlineStr">
        <is>
          <t>NEGRO</t>
        </is>
      </c>
      <c r="I3909" s="16" t="n">
        <v>1</v>
      </c>
      <c r="J3909" s="17" t="n">
        <v>36.8</v>
      </c>
      <c r="K3909" s="17" t="n">
        <v>49.91</v>
      </c>
      <c r="L3909" s="17" t="n">
        <v>25.86</v>
      </c>
      <c r="M3909" s="17" t="n">
        <v>0</v>
      </c>
      <c r="N3909" s="17">
        <f>K3909*0.08+L3909*0.08</f>
        <v/>
      </c>
      <c r="O3909" s="17">
        <f>-(K3909*0.025+L3909*0.025)</f>
        <v/>
      </c>
      <c r="P3909" s="17">
        <f>32</f>
        <v/>
      </c>
      <c r="Q3909" s="17">
        <f>J3909+L3909+N3909+O3909-P3909-M3909</f>
        <v/>
      </c>
    </row>
    <row r="3910">
      <c r="A3910" s="16" t="inlineStr">
        <is>
          <t>5.29-6.4</t>
        </is>
      </c>
      <c r="B3910" s="16" t="inlineStr">
        <is>
          <t>PO-128-07702264714873787</t>
        </is>
      </c>
      <c r="C3910" s="16" t="inlineStr">
        <is>
          <t>Delivered</t>
        </is>
      </c>
      <c r="D3910" s="16" t="inlineStr">
        <is>
          <t>128-07702275200633787</t>
        </is>
      </c>
      <c r="E3910" s="16" t="inlineStr">
        <is>
          <t>Delivered</t>
        </is>
      </c>
      <c r="F3910" s="16" t="inlineStr">
        <is>
          <t>LB02235-azul</t>
        </is>
      </c>
      <c r="G3910" s="16" t="inlineStr">
        <is>
          <t>Audífonos Inalámbricos para la Cabeza, Recargables y Multifuncionales - Conectan a Varios Dispositivos, soportan Radio FM, Tarjeta TF y AUX - 4 Horas de Reproducción Musical - Ideal para Trabajo Cotidiano, Juegos y Estudio</t>
        </is>
      </c>
      <c r="H3910" s="16" t="inlineStr">
        <is>
          <t>AZUL</t>
        </is>
      </c>
      <c r="I3910" s="16" t="n">
        <v>1</v>
      </c>
      <c r="J3910" s="17" t="n">
        <v>29</v>
      </c>
      <c r="K3910" s="17" t="n">
        <v>42.11</v>
      </c>
      <c r="L3910" s="17" t="n">
        <v>25.86</v>
      </c>
      <c r="M3910" s="17" t="n">
        <v>0</v>
      </c>
      <c r="N3910" s="17">
        <f>K3910*0.08+L3910*0.08</f>
        <v/>
      </c>
      <c r="O3910" s="17">
        <f>-(K3910*0.025+L3910*0.025)</f>
        <v/>
      </c>
      <c r="P3910" s="17">
        <f>32</f>
        <v/>
      </c>
      <c r="Q3910" s="17">
        <f>J3910+L3910+N3910+O3910-P3910-M3910</f>
        <v/>
      </c>
    </row>
    <row r="3911">
      <c r="A3911" s="16" t="inlineStr">
        <is>
          <t>5.29-6.4</t>
        </is>
      </c>
      <c r="B3911" s="16" t="inlineStr">
        <is>
          <t>PO-128-07907997706871409</t>
        </is>
      </c>
      <c r="C3911" s="16" t="inlineStr">
        <is>
          <t>Delivered</t>
        </is>
      </c>
      <c r="D3911" s="16" t="inlineStr">
        <is>
          <t>128-07907966249591409</t>
        </is>
      </c>
      <c r="E3911" s="16" t="inlineStr">
        <is>
          <t>Delivered</t>
        </is>
      </c>
      <c r="F3911" s="16" t="inlineStr">
        <is>
          <t>LB02235-negro</t>
        </is>
      </c>
      <c r="G3911" s="16" t="inlineStr">
        <is>
          <t>Audífonos Inalámbricos para la Cabeza, Recargables y Multifuncionales - Conectan a Varios Dispositivos, soportan Radio FM, Tarjeta TF y AUX - 4 Horas de Reproducción Musical - Ideal para Trabajo Cotidiano, Juegos y Estudio</t>
        </is>
      </c>
      <c r="H3911" s="16" t="inlineStr">
        <is>
          <t>NEGRO</t>
        </is>
      </c>
      <c r="I3911" s="16" t="n">
        <v>1</v>
      </c>
      <c r="J3911" s="17" t="n">
        <v>36.8</v>
      </c>
      <c r="K3911" s="17" t="n">
        <v>49.91</v>
      </c>
      <c r="L3911" s="17" t="n">
        <v>25.86</v>
      </c>
      <c r="M3911" s="17" t="n">
        <v>0</v>
      </c>
      <c r="N3911" s="17">
        <f>K3911*0.08+L3911*0.08</f>
        <v/>
      </c>
      <c r="O3911" s="17">
        <f>-(K3911*0.025+L3911*0.025)</f>
        <v/>
      </c>
      <c r="P3911" s="17">
        <f>32</f>
        <v/>
      </c>
      <c r="Q3911" s="17">
        <f>J3911+L3911+N3911+O3911-P3911-M3911</f>
        <v/>
      </c>
    </row>
    <row r="3912">
      <c r="A3912" s="16" t="inlineStr">
        <is>
          <t>5.29-6.4</t>
        </is>
      </c>
      <c r="B3912" s="16" t="inlineStr">
        <is>
          <t>PO-128-07803136901752096</t>
        </is>
      </c>
      <c r="C3912" s="16" t="inlineStr">
        <is>
          <t>Delivered</t>
        </is>
      </c>
      <c r="D3912" s="16" t="inlineStr">
        <is>
          <t>128-07803105444472096</t>
        </is>
      </c>
      <c r="E3912" s="16" t="inlineStr">
        <is>
          <t>Delivered</t>
        </is>
      </c>
      <c r="F3912" s="16" t="inlineStr">
        <is>
          <t>LB02235-rojo</t>
        </is>
      </c>
      <c r="G3912" s="16" t="inlineStr">
        <is>
          <t>Audífonos Inalámbricos para la Cabeza, Recargables y Multifuncionales - Conectan a Varios Dispositivos, soportan Radio FM, Tarjeta TF y AUX - 4 Horas de Reproducción Musical - Ideal para Trabajo Cotidiano, Juegos y Estudio</t>
        </is>
      </c>
      <c r="H3912" s="16" t="inlineStr">
        <is>
          <t>ROJO</t>
        </is>
      </c>
      <c r="I3912" s="16" t="n">
        <v>2</v>
      </c>
      <c r="J3912" s="17" t="n">
        <v>73.59999999999999</v>
      </c>
      <c r="K3912" s="17" t="n">
        <v>62.66</v>
      </c>
      <c r="L3912" s="17" t="n">
        <v>25.86</v>
      </c>
      <c r="M3912" s="17" t="n">
        <v>0</v>
      </c>
      <c r="N3912" s="17">
        <f>K3912*0.08+L3912*0.08</f>
        <v/>
      </c>
      <c r="O3912" s="17">
        <f>-(K3912*0.025+L3912*0.025)</f>
        <v/>
      </c>
      <c r="P3912" s="17">
        <f>32</f>
        <v/>
      </c>
      <c r="Q3912" s="17">
        <f>J3912+L3912+N3912+O3912-P3912-M3912</f>
        <v/>
      </c>
    </row>
    <row r="3913">
      <c r="A3913" s="16" t="inlineStr">
        <is>
          <t>5.29-6.4</t>
        </is>
      </c>
      <c r="B3913" s="16" t="inlineStr">
        <is>
          <t>PO-128-08107103017590348</t>
        </is>
      </c>
      <c r="C3913" s="16" t="inlineStr">
        <is>
          <t>Delivered</t>
        </is>
      </c>
      <c r="D3913" s="16" t="inlineStr">
        <is>
          <t>128-08107239332470348</t>
        </is>
      </c>
      <c r="E3913" s="16" t="inlineStr">
        <is>
          <t>Delivered</t>
        </is>
      </c>
      <c r="F3913" s="16" t="inlineStr">
        <is>
          <t>LB02235-negro</t>
        </is>
      </c>
      <c r="G3913" s="16" t="inlineStr">
        <is>
          <t>Audífonos Inalámbricos para la Cabeza, Recargables y Multifuncionales - Conectan a Varios Dispositivos, soportan Radio FM, Tarjeta TF y AUX - 4 Horas de Reproducción Musical - Ideal para Trabajo Cotidiano, Juegos y Estudio</t>
        </is>
      </c>
      <c r="H3913" s="16" t="inlineStr">
        <is>
          <t>NEGRO</t>
        </is>
      </c>
      <c r="I3913" s="16" t="n">
        <v>1</v>
      </c>
      <c r="J3913" s="17" t="n">
        <v>36.8</v>
      </c>
      <c r="K3913" s="17" t="n">
        <v>6.81</v>
      </c>
      <c r="L3913" s="17" t="n">
        <v>25.86</v>
      </c>
      <c r="M3913" s="17" t="n">
        <v>0</v>
      </c>
      <c r="N3913" s="17">
        <f>K3913*0.08+L3913*0.08</f>
        <v/>
      </c>
      <c r="O3913" s="17">
        <f>-(K3913*0.025+L3913*0.025)</f>
        <v/>
      </c>
      <c r="P3913" s="17">
        <f>32</f>
        <v/>
      </c>
      <c r="Q3913" s="17">
        <f>J3913+L3913+N3913+O3913-P3913-M3913</f>
        <v/>
      </c>
    </row>
    <row r="3914">
      <c r="A3914" s="16" t="inlineStr">
        <is>
          <t>5.29-6.4</t>
        </is>
      </c>
      <c r="B3914" s="16" t="inlineStr">
        <is>
          <t>PO-128-08006173174392038</t>
        </is>
      </c>
      <c r="C3914" s="16" t="inlineStr">
        <is>
          <t>Delivered</t>
        </is>
      </c>
      <c r="D3914" s="16" t="inlineStr">
        <is>
          <t>128-08006253128312038</t>
        </is>
      </c>
      <c r="E3914" s="16" t="inlineStr">
        <is>
          <t>Delivered</t>
        </is>
      </c>
      <c r="F3914" s="16" t="inlineStr">
        <is>
          <t>LB02235-negro</t>
        </is>
      </c>
      <c r="G3914" s="16" t="inlineStr">
        <is>
          <t>Audífonos Inalámbricos para la Cabeza, Recargables y Multifuncionales - Conectan a Varios Dispositivos, soportan Radio FM, Tarjeta TF y AUX - 4 Horas de Reproducción Musical - Ideal para Trabajo Cotidiano, Juegos y Estudio</t>
        </is>
      </c>
      <c r="H3914" s="16" t="inlineStr">
        <is>
          <t>NEGRO</t>
        </is>
      </c>
      <c r="I3914" s="16" t="n">
        <v>1</v>
      </c>
      <c r="J3914" s="17" t="n">
        <v>36.8</v>
      </c>
      <c r="K3914" s="17" t="n">
        <v>49.91</v>
      </c>
      <c r="L3914" s="17" t="n">
        <v>25.86</v>
      </c>
      <c r="M3914" s="17" t="n">
        <v>0</v>
      </c>
      <c r="N3914" s="17">
        <f>K3914*0.08+L3914*0.08</f>
        <v/>
      </c>
      <c r="O3914" s="17">
        <f>-(K3914*0.025+L3914*0.025)</f>
        <v/>
      </c>
      <c r="P3914" s="17">
        <f>32</f>
        <v/>
      </c>
      <c r="Q3914" s="17">
        <f>J3914+L3914+N3914+O3914-P3914-M3914</f>
        <v/>
      </c>
    </row>
    <row r="3915">
      <c r="A3915" s="16" t="inlineStr">
        <is>
          <t>5.29-6.4</t>
        </is>
      </c>
      <c r="B3915" s="16" t="inlineStr">
        <is>
          <t>PO-128-07788737311352246</t>
        </is>
      </c>
      <c r="C3915" s="16" t="inlineStr">
        <is>
          <t>Delivered</t>
        </is>
      </c>
      <c r="D3915" s="16" t="inlineStr">
        <is>
          <t>128-07788800225912246</t>
        </is>
      </c>
      <c r="E3915" s="16" t="inlineStr">
        <is>
          <t>Delivered</t>
        </is>
      </c>
      <c r="F3915" s="16" t="inlineStr">
        <is>
          <t>LB02235-azul</t>
        </is>
      </c>
      <c r="G3915" s="16" t="inlineStr">
        <is>
          <t>Audífonos Inalámbricos para la Cabeza, Recargables y Multifuncionales - Conectan a Varios Dispositivos, soportan Radio FM, Tarjeta TF y AUX - 4 Horas de Reproducción Musical - Ideal para Trabajo Cotidiano, Juegos y Estudio</t>
        </is>
      </c>
      <c r="H3915" s="16" t="inlineStr">
        <is>
          <t>AZUL</t>
        </is>
      </c>
      <c r="I3915" s="16" t="n">
        <v>1</v>
      </c>
      <c r="J3915" s="17" t="n">
        <v>29</v>
      </c>
      <c r="K3915" s="17" t="n">
        <v>17.56</v>
      </c>
      <c r="L3915" s="17" t="n">
        <v>11.83</v>
      </c>
      <c r="M3915" s="17" t="n">
        <v>0</v>
      </c>
      <c r="N3915" s="17">
        <f>K3915*0.08+L3915*0.08</f>
        <v/>
      </c>
      <c r="O3915" s="17">
        <f>-(K3915*0.025+L3915*0.025)</f>
        <v/>
      </c>
      <c r="P3915" s="17">
        <f>32</f>
        <v/>
      </c>
      <c r="Q3915" s="17">
        <f>J3915+L3915+N3915+O3915-P3915-M3915</f>
        <v/>
      </c>
    </row>
    <row r="3916">
      <c r="A3916" s="16" t="inlineStr">
        <is>
          <t>5.29-6.4</t>
        </is>
      </c>
      <c r="B3916" s="16" t="inlineStr">
        <is>
          <t>PO-128-07788737311352246</t>
        </is>
      </c>
      <c r="C3916" s="16" t="inlineStr">
        <is>
          <t>Delivered</t>
        </is>
      </c>
      <c r="D3916" s="16" t="inlineStr">
        <is>
          <t>128-07788779254392246</t>
        </is>
      </c>
      <c r="E3916" s="16" t="inlineStr">
        <is>
          <t>Delivered</t>
        </is>
      </c>
      <c r="F3916" s="16" t="inlineStr">
        <is>
          <t>LB02235-rojo</t>
        </is>
      </c>
      <c r="G3916" s="16" t="inlineStr">
        <is>
          <t>Audífonos Inalámbricos para la Cabeza, Recargables y Multifuncionales - Conectan a Varios Dispositivos, soportan Radio FM, Tarjeta TF y AUX - 4 Horas de Reproducción Musical - Ideal para Trabajo Cotidiano, Juegos y Estudio</t>
        </is>
      </c>
      <c r="H3916" s="16" t="inlineStr">
        <is>
          <t>ROJO</t>
        </is>
      </c>
      <c r="I3916" s="16" t="n">
        <v>1</v>
      </c>
      <c r="J3916" s="17" t="n">
        <v>36.8</v>
      </c>
      <c r="K3916" s="17" t="n">
        <v>20.83</v>
      </c>
      <c r="L3916" s="17" t="n">
        <v>14.03</v>
      </c>
      <c r="M3916" s="17" t="n">
        <v>0</v>
      </c>
      <c r="N3916" s="17">
        <f>K3916*0.08+L3916*0.08</f>
        <v/>
      </c>
      <c r="O3916" s="17">
        <f>-(K3916*0.025+L3916*0.025)</f>
        <v/>
      </c>
      <c r="P3916" s="17">
        <f>32</f>
        <v/>
      </c>
      <c r="Q3916" s="17">
        <f>J3916+L3916+N3916+O3916-P3916-M3916</f>
        <v/>
      </c>
    </row>
    <row r="3917">
      <c r="A3917" s="16" t="inlineStr">
        <is>
          <t>5.29-6.4</t>
        </is>
      </c>
      <c r="B3917" s="16" t="inlineStr">
        <is>
          <t>PO-128-07899592341112675</t>
        </is>
      </c>
      <c r="C3917" s="16" t="inlineStr">
        <is>
          <t>Delivered</t>
        </is>
      </c>
      <c r="D3917" s="16" t="inlineStr">
        <is>
          <t>128-07899571369592675</t>
        </is>
      </c>
      <c r="E3917" s="16" t="inlineStr">
        <is>
          <t>Delivered</t>
        </is>
      </c>
      <c r="F3917" s="16" t="inlineStr">
        <is>
          <t>KTS-1678A</t>
        </is>
      </c>
      <c r="G3917" s="16" t="inlineStr">
        <is>
          <t>Bocina portátil Inalámbrico, de 3 pulgadas, tamaño de bolsillo, 170 g, con asa, compatible con TF, USB y Micro SD, con radio FM y función TWS (True Wireless Stereo), adecuada para relajarse en casa o viajar al aire libre.</t>
        </is>
      </c>
      <c r="H3917" s="16" t="inlineStr">
        <is>
          <t>KTS-1678A</t>
        </is>
      </c>
      <c r="I3917" s="16" t="n">
        <v>1</v>
      </c>
      <c r="J3917" s="17" t="n">
        <v>42.5</v>
      </c>
      <c r="K3917" s="17" t="n">
        <v>50.85</v>
      </c>
      <c r="L3917" s="17" t="n">
        <v>25.86</v>
      </c>
      <c r="M3917" s="17" t="n">
        <v>0</v>
      </c>
      <c r="N3917" s="17">
        <f>K3917*0.08+L3917*0.08</f>
        <v/>
      </c>
      <c r="O3917" s="17">
        <f>-(K3917*0.025+L3917*0.025)</f>
        <v/>
      </c>
      <c r="P3917" s="17">
        <f>32</f>
        <v/>
      </c>
      <c r="Q3917" s="17">
        <f>J3917+L3917+N3917+O3917-P3917-M3917</f>
        <v/>
      </c>
    </row>
    <row r="3918">
      <c r="A3918" s="16" t="inlineStr">
        <is>
          <t>5.29-6.4</t>
        </is>
      </c>
      <c r="B3918" s="16" t="inlineStr">
        <is>
          <t>PO-128-07620219331193314</t>
        </is>
      </c>
      <c r="C3918" s="16" t="inlineStr">
        <is>
          <t>Delivered</t>
        </is>
      </c>
      <c r="D3918" s="16" t="inlineStr">
        <is>
          <t>128-07620287488633314</t>
        </is>
      </c>
      <c r="E3918" s="16" t="inlineStr">
        <is>
          <t>Delivered</t>
        </is>
      </c>
      <c r="F3918" s="16" t="inlineStr">
        <is>
          <t>LB02235-negro</t>
        </is>
      </c>
      <c r="G3918" s="16" t="inlineStr">
        <is>
          <t>Audífonos Inalámbricos para la Cabeza, Recargables y Multifuncionales - Conectan a Varios Dispositivos, soportan Radio FM, Tarjeta TF y AUX - 4 Horas de Reproducción Musical - Ideal para Trabajo Cotidiano, Juegos y Estudio</t>
        </is>
      </c>
      <c r="H3918" s="16" t="inlineStr">
        <is>
          <t>NEGRO</t>
        </is>
      </c>
      <c r="I3918" s="16" t="n">
        <v>1</v>
      </c>
      <c r="J3918" s="17" t="n">
        <v>36.8</v>
      </c>
      <c r="K3918" s="17" t="n">
        <v>49.91</v>
      </c>
      <c r="L3918" s="17" t="n">
        <v>12.93</v>
      </c>
      <c r="M3918" s="17" t="n">
        <v>0</v>
      </c>
      <c r="N3918" s="17">
        <f>K3918*0.08+L3918*0.08</f>
        <v/>
      </c>
      <c r="O3918" s="17">
        <f>-(K3918*0.025+L3918*0.025)</f>
        <v/>
      </c>
      <c r="P3918" s="17">
        <f>32</f>
        <v/>
      </c>
      <c r="Q3918" s="17">
        <f>J3918+L3918+N3918+O3918-P3918-M3918</f>
        <v/>
      </c>
    </row>
    <row r="3919">
      <c r="A3919" s="16" t="inlineStr">
        <is>
          <t>5.29-6.4</t>
        </is>
      </c>
      <c r="B3919" s="16" t="inlineStr">
        <is>
          <t>PO-128-07620219331193314</t>
        </is>
      </c>
      <c r="C3919" s="16" t="inlineStr">
        <is>
          <t>Delivered</t>
        </is>
      </c>
      <c r="D3919" s="16" t="inlineStr">
        <is>
          <t>128-07620266517113314</t>
        </is>
      </c>
      <c r="E3919" s="16" t="inlineStr">
        <is>
          <t>Delivered</t>
        </is>
      </c>
      <c r="F3919" s="16" t="inlineStr">
        <is>
          <t>LB02235-rojo</t>
        </is>
      </c>
      <c r="G3919" s="16" t="inlineStr">
        <is>
          <t>Audífonos Inalámbricos para la Cabeza, Recargables y Multifuncionales - Conectan a Varios Dispositivos, soportan Radio FM, Tarjeta TF y AUX - 4 Horas de Reproducción Musical - Ideal para Trabajo Cotidiano, Juegos y Estudio</t>
        </is>
      </c>
      <c r="H3919" s="16" t="inlineStr">
        <is>
          <t>ROJO</t>
        </is>
      </c>
      <c r="I3919" s="16" t="n">
        <v>1</v>
      </c>
      <c r="J3919" s="17" t="n">
        <v>36.8</v>
      </c>
      <c r="K3919" s="17" t="n">
        <v>49.91</v>
      </c>
      <c r="L3919" s="17" t="n">
        <v>12.93</v>
      </c>
      <c r="M3919" s="17" t="n">
        <v>0</v>
      </c>
      <c r="N3919" s="17">
        <f>K3919*0.08+L3919*0.08</f>
        <v/>
      </c>
      <c r="O3919" s="17">
        <f>-(K3919*0.025+L3919*0.025)</f>
        <v/>
      </c>
      <c r="P3919" s="17">
        <f>32</f>
        <v/>
      </c>
      <c r="Q3919" s="17">
        <f>J3919+L3919+N3919+O3919-P3919-M3919</f>
        <v/>
      </c>
    </row>
    <row r="3920">
      <c r="A3920" s="16" t="inlineStr">
        <is>
          <t>5.29-6.4</t>
        </is>
      </c>
      <c r="B3920" s="16" t="inlineStr">
        <is>
          <t>PO-128-07936309863031366</t>
        </is>
      </c>
      <c r="C3920" s="16" t="inlineStr">
        <is>
          <t>Delivered</t>
        </is>
      </c>
      <c r="D3920" s="16" t="inlineStr">
        <is>
          <t>128-07936362291831366</t>
        </is>
      </c>
      <c r="E3920" s="16" t="inlineStr">
        <is>
          <t>Delivered</t>
        </is>
      </c>
      <c r="F3920" s="16" t="inlineStr">
        <is>
          <t>KTS-1678V</t>
        </is>
      </c>
      <c r="G3920" s="16" t="inlineStr">
        <is>
          <t>Bocina portátil Inalámbrico, de 3 pulgadas, tamaño de bolsillo, 170 g, con asa, compatible con TF, USB y Micro SD, con radio FM y función TWS (True Wireless Stereo), adecuada para relajarse en casa o viajar al aire libre.</t>
        </is>
      </c>
      <c r="H3920" s="16" t="inlineStr">
        <is>
          <t>KTS-1678V</t>
        </is>
      </c>
      <c r="I3920" s="16" t="n">
        <v>1</v>
      </c>
      <c r="J3920" s="17" t="n">
        <v>42.5</v>
      </c>
      <c r="K3920" s="17" t="n">
        <v>56.39</v>
      </c>
      <c r="L3920" s="17" t="n">
        <v>25.86</v>
      </c>
      <c r="M3920" s="17" t="n">
        <v>0</v>
      </c>
      <c r="N3920" s="17">
        <f>K3920*0.08+L3920*0.08</f>
        <v/>
      </c>
      <c r="O3920" s="17">
        <f>-(K3920*0.025+L3920*0.025)</f>
        <v/>
      </c>
      <c r="P3920" s="17">
        <f>32</f>
        <v/>
      </c>
      <c r="Q3920" s="17">
        <f>J3920+L3920+N3920+O3920-P3920-M3920</f>
        <v/>
      </c>
    </row>
    <row r="3921">
      <c r="A3921" s="16" t="inlineStr">
        <is>
          <t>5.29-6.4</t>
        </is>
      </c>
      <c r="B3921" s="16" t="inlineStr">
        <is>
          <t>PO-128-08216199783030722</t>
        </is>
      </c>
      <c r="C3921" s="16" t="inlineStr">
        <is>
          <t>Delivered</t>
        </is>
      </c>
      <c r="D3921" s="16" t="inlineStr">
        <is>
          <t>128-08216241726070722</t>
        </is>
      </c>
      <c r="E3921" s="16" t="inlineStr">
        <is>
          <t>Delivered</t>
        </is>
      </c>
      <c r="F3921" s="16" t="inlineStr">
        <is>
          <t>LB02235-negro</t>
        </is>
      </c>
      <c r="G3921" s="16" t="inlineStr">
        <is>
          <t>Audífonos Inalámbricos para la Cabeza, Recargables y Multifuncionales - Conectan a Varios Dispositivos, soportan Radio FM, Tarjeta TF y AUX - 4 Horas de Reproducción Musical - Ideal para Trabajo Cotidiano, Juegos y Estudio</t>
        </is>
      </c>
      <c r="H3921" s="16" t="inlineStr">
        <is>
          <t>NEGRO</t>
        </is>
      </c>
      <c r="I3921" s="16" t="n">
        <v>1</v>
      </c>
      <c r="J3921" s="17" t="n">
        <v>36.8</v>
      </c>
      <c r="K3921" s="17" t="n">
        <v>39.94</v>
      </c>
      <c r="L3921" s="17" t="n">
        <v>25.86</v>
      </c>
      <c r="M3921" s="17" t="n">
        <v>0</v>
      </c>
      <c r="N3921" s="17">
        <f>K3921*0.08+L3921*0.08</f>
        <v/>
      </c>
      <c r="O3921" s="17">
        <f>-(K3921*0.025+L3921*0.025)</f>
        <v/>
      </c>
      <c r="P3921" s="17">
        <f>32</f>
        <v/>
      </c>
      <c r="Q3921" s="17">
        <f>J3921+L3921+N3921+O3921-P3921-M3921</f>
        <v/>
      </c>
    </row>
    <row r="3922">
      <c r="A3922" s="16" t="inlineStr">
        <is>
          <t>5.29-6.4</t>
        </is>
      </c>
      <c r="B3922" s="16" t="inlineStr">
        <is>
          <t>PO-128-07635926620793159</t>
        </is>
      </c>
      <c r="C3922" s="16" t="inlineStr">
        <is>
          <t>Delivered</t>
        </is>
      </c>
      <c r="D3922" s="16" t="inlineStr">
        <is>
          <t>128-07635947592313159</t>
        </is>
      </c>
      <c r="E3922" s="16" t="inlineStr">
        <is>
          <t>Delivered</t>
        </is>
      </c>
      <c r="F3922" s="16" t="inlineStr">
        <is>
          <t>LB02235-rojo</t>
        </is>
      </c>
      <c r="G3922" s="16" t="inlineStr">
        <is>
          <t>Audífonos Inalámbricos para la Cabeza, Recargables y Multifuncionales - Conectan a Varios Dispositivos, soportan Radio FM, Tarjeta TF y AUX - 4 Horas de Reproducción Musical - Ideal para Trabajo Cotidiano, Juegos y Estudio</t>
        </is>
      </c>
      <c r="H3922" s="16" t="inlineStr">
        <is>
          <t>ROJO</t>
        </is>
      </c>
      <c r="I3922" s="16" t="n">
        <v>1</v>
      </c>
      <c r="J3922" s="17" t="n">
        <v>36.8</v>
      </c>
      <c r="K3922" s="17" t="n">
        <v>49.91</v>
      </c>
      <c r="L3922" s="17" t="n">
        <v>25.86</v>
      </c>
      <c r="M3922" s="17" t="n">
        <v>0</v>
      </c>
      <c r="N3922" s="17">
        <f>K3922*0.08+L3922*0.08</f>
        <v/>
      </c>
      <c r="O3922" s="17">
        <f>-(K3922*0.025+L3922*0.025)</f>
        <v/>
      </c>
      <c r="P3922" s="17">
        <f>32</f>
        <v/>
      </c>
      <c r="Q3922" s="17">
        <f>J3922+L3922+N3922+O3922-P3922-M3922</f>
        <v/>
      </c>
    </row>
    <row r="3923">
      <c r="A3923" s="16" t="inlineStr">
        <is>
          <t>5.29-6.4</t>
        </is>
      </c>
      <c r="B3923" s="16" t="inlineStr">
        <is>
          <t>PO-128-07652997479034017</t>
        </is>
      </c>
      <c r="C3923" s="16" t="inlineStr">
        <is>
          <t>Delivered</t>
        </is>
      </c>
      <c r="D3923" s="16" t="inlineStr">
        <is>
          <t>128-07653039422074017</t>
        </is>
      </c>
      <c r="E3923" s="16" t="inlineStr">
        <is>
          <t>Delivered</t>
        </is>
      </c>
      <c r="F3923" s="16" t="inlineStr">
        <is>
          <t>VA384T-N</t>
        </is>
      </c>
      <c r="G3923" s="16" t="inlineStr">
        <is>
          <t>Bocina Portátil Bluetooth de 3 Pulgadas con Radio FM, USB TF TWS, Sonido Estéreo 5W, Bocina Recargable para Hogar Exterior Viaje Fiesta Camping</t>
        </is>
      </c>
      <c r="H3923" s="16" t="inlineStr">
        <is>
          <t>NEGRO</t>
        </is>
      </c>
      <c r="I3923" s="16" t="n">
        <v>1</v>
      </c>
      <c r="J3923" s="17" t="n">
        <v>50</v>
      </c>
      <c r="K3923" s="17" t="n">
        <v>60.72</v>
      </c>
      <c r="L3923" s="17" t="n">
        <v>25.86</v>
      </c>
      <c r="M3923" s="17" t="n">
        <v>0</v>
      </c>
      <c r="N3923" s="17">
        <f>K3923*0.08+L3923*0.08</f>
        <v/>
      </c>
      <c r="O3923" s="17">
        <f>-(K3923*0.025+L3923*0.025)</f>
        <v/>
      </c>
      <c r="P3923" s="17">
        <f>32</f>
        <v/>
      </c>
      <c r="Q3923" s="17">
        <f>J3923+L3923+N3923+O3923-P3923-M3923</f>
        <v/>
      </c>
    </row>
    <row r="3924">
      <c r="A3924" s="16" t="inlineStr">
        <is>
          <t>5.29-6.4</t>
        </is>
      </c>
      <c r="B3924" s="16" t="inlineStr">
        <is>
          <t>PO-128-07620082381433317</t>
        </is>
      </c>
      <c r="C3924" s="16" t="inlineStr">
        <is>
          <t>Delivered</t>
        </is>
      </c>
      <c r="D3924" s="16" t="inlineStr">
        <is>
          <t>128-07620103352953317</t>
        </is>
      </c>
      <c r="E3924" s="16" t="inlineStr">
        <is>
          <t>Delivered</t>
        </is>
      </c>
      <c r="F3924" s="16" t="inlineStr">
        <is>
          <t>LB02235-rojo</t>
        </is>
      </c>
      <c r="G3924" s="16" t="inlineStr">
        <is>
          <t>Audífonos Inalámbricos para la Cabeza, Recargables y Multifuncionales - Conectan a Varios Dispositivos, soportan Radio FM, Tarjeta TF y AUX - 4 Horas de Reproducción Musical - Ideal para Trabajo Cotidiano, Juegos y Estudio</t>
        </is>
      </c>
      <c r="H3924" s="16" t="inlineStr">
        <is>
          <t>ROJO</t>
        </is>
      </c>
      <c r="I3924" s="16" t="n">
        <v>2</v>
      </c>
      <c r="J3924" s="17" t="n">
        <v>73.59999999999999</v>
      </c>
      <c r="K3924" s="17" t="n">
        <v>59.92</v>
      </c>
      <c r="L3924" s="17" t="n">
        <v>25.86</v>
      </c>
      <c r="M3924" s="17" t="n">
        <v>0</v>
      </c>
      <c r="N3924" s="17">
        <f>K3924*0.08+L3924*0.08</f>
        <v/>
      </c>
      <c r="O3924" s="17">
        <f>-(K3924*0.025+L3924*0.025)</f>
        <v/>
      </c>
      <c r="P3924" s="17">
        <f>32</f>
        <v/>
      </c>
      <c r="Q3924" s="17">
        <f>J3924+L3924+N3924+O3924-P3924-M3924</f>
        <v/>
      </c>
    </row>
    <row r="3925">
      <c r="A3925" s="16" t="inlineStr">
        <is>
          <t>5.29-6.4</t>
        </is>
      </c>
      <c r="B3925" s="16" t="inlineStr">
        <is>
          <t>PO-128-07996860631671967</t>
        </is>
      </c>
      <c r="C3925" s="16" t="inlineStr">
        <is>
          <t>Delivered</t>
        </is>
      </c>
      <c r="D3925" s="16" t="inlineStr">
        <is>
          <t>128-07996901591671967</t>
        </is>
      </c>
      <c r="E3925" s="16" t="inlineStr">
        <is>
          <t>Delivered</t>
        </is>
      </c>
      <c r="F3925" s="16" t="inlineStr">
        <is>
          <t>LB02235-azul</t>
        </is>
      </c>
      <c r="G3925" s="16" t="inlineStr">
        <is>
          <t>Audífonos Inalámbricos para la Cabeza, Recargables y Multifuncionales - Conectan a Varios Dispositivos, soportan Radio FM, Tarjeta TF y AUX - 4 Horas de Reproducción Musical - Ideal para Trabajo Cotidiano, Juegos y Estudio</t>
        </is>
      </c>
      <c r="H3925" s="16" t="inlineStr">
        <is>
          <t>AZUL</t>
        </is>
      </c>
      <c r="I3925" s="16" t="n">
        <v>1</v>
      </c>
      <c r="J3925" s="17" t="n">
        <v>29</v>
      </c>
      <c r="K3925" s="17" t="n">
        <v>35.79</v>
      </c>
      <c r="L3925" s="17" t="n">
        <v>25.86</v>
      </c>
      <c r="M3925" s="17" t="n">
        <v>0</v>
      </c>
      <c r="N3925" s="17">
        <f>K3925*0.08+L3925*0.08</f>
        <v/>
      </c>
      <c r="O3925" s="17">
        <f>-(K3925*0.025+L3925*0.025)</f>
        <v/>
      </c>
      <c r="P3925" s="17">
        <f>32</f>
        <v/>
      </c>
      <c r="Q3925" s="17">
        <f>J3925+L3925+N3925+O3925-P3925-M3925</f>
        <v/>
      </c>
    </row>
    <row r="3926">
      <c r="A3926" s="16" t="inlineStr">
        <is>
          <t>5.29-6.4</t>
        </is>
      </c>
      <c r="B3926" s="16" t="inlineStr">
        <is>
          <t>PO-128-08095895972470481</t>
        </is>
      </c>
      <c r="C3926" s="16" t="inlineStr">
        <is>
          <t>Delivered</t>
        </is>
      </c>
      <c r="D3926" s="16" t="inlineStr">
        <is>
          <t>128-08095880243830481</t>
        </is>
      </c>
      <c r="E3926" s="16" t="inlineStr">
        <is>
          <t>Delivered</t>
        </is>
      </c>
      <c r="F3926" s="16" t="inlineStr">
        <is>
          <t>LB02235-rojo</t>
        </is>
      </c>
      <c r="G3926" s="16" t="inlineStr">
        <is>
          <t>Audífonos Inalámbricos para la Cabeza, Recargables y Multifuncionales - Conectan a Varios Dispositivos, soportan Radio FM, Tarjeta TF y AUX - 4 Horas de Reproducción Musical - Ideal para Trabajo Cotidiano, Juegos y Estudio</t>
        </is>
      </c>
      <c r="H3926" s="16" t="inlineStr">
        <is>
          <t>ROJO</t>
        </is>
      </c>
      <c r="I3926" s="16" t="n">
        <v>1</v>
      </c>
      <c r="J3926" s="17" t="n">
        <v>36.8</v>
      </c>
      <c r="K3926" s="17" t="n">
        <v>39.94</v>
      </c>
      <c r="L3926" s="17" t="n">
        <v>25.86</v>
      </c>
      <c r="M3926" s="17" t="n">
        <v>0</v>
      </c>
      <c r="N3926" s="17">
        <f>K3926*0.08+L3926*0.08</f>
        <v/>
      </c>
      <c r="O3926" s="17">
        <f>-(K3926*0.025+L3926*0.025)</f>
        <v/>
      </c>
      <c r="P3926" s="17">
        <f>32</f>
        <v/>
      </c>
      <c r="Q3926" s="17">
        <f>J3926+L3926+N3926+O3926-P3926-M3926</f>
        <v/>
      </c>
    </row>
    <row r="3927">
      <c r="A3927" s="16" t="inlineStr">
        <is>
          <t>5.29-6.4</t>
        </is>
      </c>
      <c r="B3927" s="16" t="inlineStr">
        <is>
          <t>PO-128-07825441423992989</t>
        </is>
      </c>
      <c r="C3927" s="16" t="inlineStr">
        <is>
          <t>Delivered</t>
        </is>
      </c>
      <c r="D3927" s="16" t="inlineStr">
        <is>
          <t>128-07825475502712989</t>
        </is>
      </c>
      <c r="E3927" s="16" t="inlineStr">
        <is>
          <t>Delivered</t>
        </is>
      </c>
      <c r="F3927" s="16" t="inlineStr">
        <is>
          <t>S09W18IB-8PZS</t>
        </is>
      </c>
      <c r="G3927"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927" s="16" t="inlineStr">
        <is>
          <t>8 piezas</t>
        </is>
      </c>
      <c r="I3927" s="16" t="n">
        <v>1</v>
      </c>
      <c r="J3927" s="17" t="n">
        <v>265</v>
      </c>
      <c r="K3927" s="17" t="n">
        <v>294.91</v>
      </c>
      <c r="L3927" s="17" t="n">
        <v>0</v>
      </c>
      <c r="M3927" s="17" t="n">
        <v>0</v>
      </c>
      <c r="N3927" s="17">
        <f>K3927*0.08+L3927*0.08</f>
        <v/>
      </c>
      <c r="O3927" s="17">
        <f>-(K3927*0.025+L3927*0.025)</f>
        <v/>
      </c>
      <c r="P3927" s="17">
        <f>32</f>
        <v/>
      </c>
      <c r="Q3927" s="17">
        <f>J3927+L3927+N3927+O3927-P3927-M3927</f>
        <v/>
      </c>
    </row>
    <row r="3928">
      <c r="A3928" s="16" t="inlineStr">
        <is>
          <t>5.29-6.4</t>
        </is>
      </c>
      <c r="B3928" s="16" t="inlineStr">
        <is>
          <t>PO-128-07945210317431379</t>
        </is>
      </c>
      <c r="C3928" s="16" t="inlineStr">
        <is>
          <t>Delivered</t>
        </is>
      </c>
      <c r="D3928" s="16" t="inlineStr">
        <is>
          <t>128-07945202453111379</t>
        </is>
      </c>
      <c r="E3928" s="16" t="inlineStr">
        <is>
          <t>Delivered</t>
        </is>
      </c>
      <c r="F3928" s="16" t="inlineStr">
        <is>
          <t>SA325T</t>
        </is>
      </c>
      <c r="G3928" s="16" t="inlineStr">
        <is>
          <t>Subwoofer Portátil Inalámbrico con Luces RGB, Sonido de Alta Potencia y Batería Duradera, TWS TF USB, Perfecto para Campamento Fiestas y Entretenimiento en Casa</t>
        </is>
      </c>
      <c r="H3928" s="16" t="inlineStr">
        <is>
          <t>NEGRO</t>
        </is>
      </c>
      <c r="I3928" s="16" t="n">
        <v>1</v>
      </c>
      <c r="J3928" s="17" t="n">
        <v>38</v>
      </c>
      <c r="K3928" s="17" t="n">
        <v>47.04</v>
      </c>
      <c r="L3928" s="17" t="n">
        <v>25.86</v>
      </c>
      <c r="M3928" s="17" t="n">
        <v>0</v>
      </c>
      <c r="N3928" s="17">
        <f>K3928*0.08+L3928*0.08</f>
        <v/>
      </c>
      <c r="O3928" s="17">
        <f>-(K3928*0.025+L3928*0.025)</f>
        <v/>
      </c>
      <c r="P3928" s="17">
        <f>32</f>
        <v/>
      </c>
      <c r="Q3928" s="17">
        <f>J3928+L3928+N3928+O3928-P3928-M3928</f>
        <v/>
      </c>
    </row>
    <row r="3929">
      <c r="A3929" s="16" t="inlineStr">
        <is>
          <t>5.29-6.4</t>
        </is>
      </c>
      <c r="B3929" s="16" t="inlineStr">
        <is>
          <t>PO-128-08061258383991582</t>
        </is>
      </c>
      <c r="C3929" s="16" t="inlineStr">
        <is>
          <t>Delivered</t>
        </is>
      </c>
      <c r="D3929" s="16" t="inlineStr">
        <is>
          <t>128-08061253141111582</t>
        </is>
      </c>
      <c r="E3929" s="16" t="inlineStr">
        <is>
          <t>Delivered</t>
        </is>
      </c>
      <c r="F3929" s="16" t="inlineStr">
        <is>
          <t>SA325T</t>
        </is>
      </c>
      <c r="G3929" s="16" t="inlineStr">
        <is>
          <t>Subwoofer Portátil Inalámbrico con Luces RGB, Sonido de Alta Potencia y Batería Duradera, TWS TF USB, Perfecto para Campamento Fiestas y Entretenimiento en Casa</t>
        </is>
      </c>
      <c r="H3929" s="16" t="inlineStr">
        <is>
          <t>NEGRO</t>
        </is>
      </c>
      <c r="I3929" s="16" t="n">
        <v>3</v>
      </c>
      <c r="J3929" s="17" t="n">
        <v>114</v>
      </c>
      <c r="K3929" s="17" t="n">
        <v>127</v>
      </c>
      <c r="L3929" s="17" t="n">
        <v>25.86</v>
      </c>
      <c r="M3929" s="17" t="n">
        <v>0</v>
      </c>
      <c r="N3929" s="17">
        <f>K3929*0.08+L3929*0.08</f>
        <v/>
      </c>
      <c r="O3929" s="17">
        <f>-(K3929*0.025+L3929*0.025)</f>
        <v/>
      </c>
      <c r="P3929" s="17">
        <f>32</f>
        <v/>
      </c>
      <c r="Q3929" s="17">
        <f>J3929+L3929+N3929+O3929-P3929-M3929</f>
        <v/>
      </c>
    </row>
    <row r="3930">
      <c r="A3930" s="16" t="inlineStr">
        <is>
          <t>5.29-6.4</t>
        </is>
      </c>
      <c r="B3930" s="16" t="inlineStr">
        <is>
          <t>PO-128-07905596094071423</t>
        </is>
      </c>
      <c r="C3930" s="16" t="inlineStr">
        <is>
          <t>Delivered</t>
        </is>
      </c>
      <c r="D3930" s="16" t="inlineStr">
        <is>
          <t>128-07905756001911423</t>
        </is>
      </c>
      <c r="E3930" s="16" t="inlineStr">
        <is>
          <t>Delivered</t>
        </is>
      </c>
      <c r="F3930" s="16" t="inlineStr">
        <is>
          <t>SA325T</t>
        </is>
      </c>
      <c r="G3930" s="16" t="inlineStr">
        <is>
          <t>Subwoofer Portátil Inalámbrico con Luces RGB, Sonido de Alta Potencia y Batería Duradera, TWS TF USB, Perfecto para Campamento Fiestas y Entretenimiento en Casa</t>
        </is>
      </c>
      <c r="H3930" s="16" t="inlineStr">
        <is>
          <t>NEGRO</t>
        </is>
      </c>
      <c r="I3930" s="16" t="n">
        <v>1</v>
      </c>
      <c r="J3930" s="17" t="n">
        <v>38</v>
      </c>
      <c r="K3930" s="17" t="n">
        <v>3.94</v>
      </c>
      <c r="L3930" s="17" t="n">
        <v>25.86</v>
      </c>
      <c r="M3930" s="17" t="n">
        <v>0</v>
      </c>
      <c r="N3930" s="17">
        <f>K3930*0.08+L3930*0.08</f>
        <v/>
      </c>
      <c r="O3930" s="17">
        <f>-(K3930*0.025+L3930*0.025)</f>
        <v/>
      </c>
      <c r="P3930" s="17">
        <f>32</f>
        <v/>
      </c>
      <c r="Q3930" s="17">
        <f>J3930+L3930+N3930+O3930-P3930-M3930</f>
        <v/>
      </c>
    </row>
    <row r="3931">
      <c r="A3931" s="16" t="inlineStr">
        <is>
          <t>5.29-6.4</t>
        </is>
      </c>
      <c r="B3931" s="16" t="inlineStr">
        <is>
          <t>PO-128-07617066322553271</t>
        </is>
      </c>
      <c r="C3931" s="16" t="inlineStr">
        <is>
          <t>Delivered</t>
        </is>
      </c>
      <c r="D3931" s="16" t="inlineStr">
        <is>
          <t>128-07617108265593271</t>
        </is>
      </c>
      <c r="E3931" s="16" t="inlineStr">
        <is>
          <t>Delivered</t>
        </is>
      </c>
      <c r="F3931" s="16" t="inlineStr">
        <is>
          <t>MB-185A</t>
        </is>
      </c>
      <c r="G3931" s="16" t="inlineStr">
        <is>
          <t>Bocina Radio FM/Reproductor, Compatible con Tarjeta TF, USB, Bluetooth, Aplicable para celular, computadora, Ipad y consola.</t>
        </is>
      </c>
      <c r="H3931" s="16" t="inlineStr">
        <is>
          <t>AZUL/MB-185</t>
        </is>
      </c>
      <c r="I3931" s="16" t="n">
        <v>1</v>
      </c>
      <c r="J3931" s="17" t="n">
        <v>73</v>
      </c>
      <c r="K3931" s="17" t="n">
        <v>85.94</v>
      </c>
      <c r="L3931" s="17" t="n">
        <v>25.86</v>
      </c>
      <c r="M3931" s="17" t="n">
        <v>0</v>
      </c>
      <c r="N3931" s="17">
        <f>K3931*0.08+L3931*0.08</f>
        <v/>
      </c>
      <c r="O3931" s="17">
        <f>-(K3931*0.025+L3931*0.025)</f>
        <v/>
      </c>
      <c r="P3931" s="17">
        <f>32</f>
        <v/>
      </c>
      <c r="Q3931" s="17">
        <f>J3931+L3931+N3931+O3931-P3931-M3931</f>
        <v/>
      </c>
    </row>
    <row r="3932">
      <c r="A3932" s="16" t="inlineStr">
        <is>
          <t>5.29-6.4</t>
        </is>
      </c>
      <c r="B3932" s="16" t="inlineStr">
        <is>
          <t>PO-128-08051751608951766</t>
        </is>
      </c>
      <c r="C3932" s="16" t="inlineStr">
        <is>
          <t>Delivered</t>
        </is>
      </c>
      <c r="D3932" s="16" t="inlineStr">
        <is>
          <t>128-08051856466551766</t>
        </is>
      </c>
      <c r="E3932" s="16" t="inlineStr">
        <is>
          <t>Delivered</t>
        </is>
      </c>
      <c r="F3932" s="16" t="inlineStr">
        <is>
          <t>LB02235-negro</t>
        </is>
      </c>
      <c r="G3932" s="16" t="inlineStr">
        <is>
          <t>Audífonos Inalámbricos para la Cabeza, Recargables y Multifuncionales - Conectan a Varios Dispositivos, soportan Radio FM, Tarjeta TF y AUX - 4 Horas de Reproducción Musical - Ideal para Trabajo Cotidiano, Juegos y Estudio</t>
        </is>
      </c>
      <c r="H3932" s="16" t="inlineStr">
        <is>
          <t>NEGRO</t>
        </is>
      </c>
      <c r="I3932" s="16" t="n">
        <v>1</v>
      </c>
      <c r="J3932" s="17" t="n">
        <v>37.71</v>
      </c>
      <c r="K3932" s="17" t="n">
        <v>50.82</v>
      </c>
      <c r="L3932" s="17" t="n">
        <v>25.86</v>
      </c>
      <c r="M3932" s="17" t="n">
        <v>0</v>
      </c>
      <c r="N3932" s="17">
        <f>K3932*0.08+L3932*0.08</f>
        <v/>
      </c>
      <c r="O3932" s="17">
        <f>-(K3932*0.025+L3932*0.025)</f>
        <v/>
      </c>
      <c r="P3932" s="17">
        <f>32</f>
        <v/>
      </c>
      <c r="Q3932" s="17">
        <f>J3932+L3932+N3932+O3932-P3932-M3932</f>
        <v/>
      </c>
    </row>
    <row r="3933">
      <c r="A3933" s="16" t="inlineStr">
        <is>
          <t>5.29-6.4</t>
        </is>
      </c>
      <c r="B3933" s="16" t="inlineStr">
        <is>
          <t>PO-128-07805241109112084</t>
        </is>
      </c>
      <c r="C3933" s="16" t="inlineStr">
        <is>
          <t>Delivered</t>
        </is>
      </c>
      <c r="D3933" s="16" t="inlineStr">
        <is>
          <t>128-07805251594872084</t>
        </is>
      </c>
      <c r="E3933" s="16" t="inlineStr">
        <is>
          <t>Delivered</t>
        </is>
      </c>
      <c r="F3933" s="16" t="inlineStr">
        <is>
          <t>LB02235-negro</t>
        </is>
      </c>
      <c r="G3933" s="16" t="inlineStr">
        <is>
          <t>Audífonos Inalámbricos para la Cabeza, Recargables y Multifuncionales - Conectan a Varios Dispositivos, soportan Radio FM, Tarjeta TF y AUX - 4 Horas de Reproducción Musical - Ideal para Trabajo Cotidiano, Juegos y Estudio</t>
        </is>
      </c>
      <c r="H3933" s="16" t="inlineStr">
        <is>
          <t>NEGRO</t>
        </is>
      </c>
      <c r="I3933" s="16" t="n">
        <v>1</v>
      </c>
      <c r="J3933" s="17" t="n">
        <v>37.71</v>
      </c>
      <c r="K3933" s="17" t="n">
        <v>50.82</v>
      </c>
      <c r="L3933" s="17" t="n">
        <v>25.86</v>
      </c>
      <c r="M3933" s="17" t="n">
        <v>0</v>
      </c>
      <c r="N3933" s="17">
        <f>K3933*0.08+L3933*0.08</f>
        <v/>
      </c>
      <c r="O3933" s="17">
        <f>-(K3933*0.025+L3933*0.025)</f>
        <v/>
      </c>
      <c r="P3933" s="17">
        <f>32</f>
        <v/>
      </c>
      <c r="Q3933" s="17">
        <f>J3933+L3933+N3933+O3933-P3933-M3933</f>
        <v/>
      </c>
    </row>
    <row r="3934">
      <c r="A3934" s="16" t="inlineStr">
        <is>
          <t>5.29-6.4</t>
        </is>
      </c>
      <c r="B3934" s="16" t="inlineStr">
        <is>
          <t>PO-128-08139441690230028</t>
        </is>
      </c>
      <c r="C3934" s="16" t="inlineStr">
        <is>
          <t>Delivered</t>
        </is>
      </c>
      <c r="D3934" s="16" t="inlineStr">
        <is>
          <t>128-08139452175990028</t>
        </is>
      </c>
      <c r="E3934" s="16" t="inlineStr">
        <is>
          <t>Delivered</t>
        </is>
      </c>
      <c r="F3934" s="16" t="inlineStr">
        <is>
          <t>SA325T</t>
        </is>
      </c>
      <c r="G3934" s="16" t="inlineStr">
        <is>
          <t>Subwoofer Portátil Inalámbrico con Luces RGB, Sonido de Alta Potencia y Batería Duradera, TWS TF USB, Perfecto para Campamento Fiestas y Entretenimiento en Casa</t>
        </is>
      </c>
      <c r="H3934" s="16" t="inlineStr">
        <is>
          <t>NEGRO</t>
        </is>
      </c>
      <c r="I3934" s="16" t="n">
        <v>1</v>
      </c>
      <c r="J3934" s="17" t="n">
        <v>38</v>
      </c>
      <c r="K3934" s="17" t="n">
        <v>47.04</v>
      </c>
      <c r="L3934" s="17" t="n">
        <v>25.86</v>
      </c>
      <c r="M3934" s="17" t="n">
        <v>0</v>
      </c>
      <c r="N3934" s="17">
        <f>K3934*0.08+L3934*0.08</f>
        <v/>
      </c>
      <c r="O3934" s="17">
        <f>-(K3934*0.025+L3934*0.025)</f>
        <v/>
      </c>
      <c r="P3934" s="17">
        <f>32</f>
        <v/>
      </c>
      <c r="Q3934" s="17">
        <f>J3934+L3934+N3934+O3934-P3934-M3934</f>
        <v/>
      </c>
    </row>
    <row r="3935">
      <c r="A3935" s="16" t="inlineStr">
        <is>
          <t>5.29-6.4</t>
        </is>
      </c>
      <c r="B3935" s="16" t="inlineStr">
        <is>
          <t>PO-128-07749038838392549</t>
        </is>
      </c>
      <c r="C3935" s="16" t="inlineStr">
        <is>
          <t>Delivered</t>
        </is>
      </c>
      <c r="D3935" s="16" t="inlineStr">
        <is>
          <t>128-07748996895352549</t>
        </is>
      </c>
      <c r="E3935" s="16" t="inlineStr">
        <is>
          <t>Delivered</t>
        </is>
      </c>
      <c r="F3935" s="16" t="inlineStr">
        <is>
          <t>LB02235-azul</t>
        </is>
      </c>
      <c r="G3935" s="16" t="inlineStr">
        <is>
          <t>Audífonos Inalámbricos para la Cabeza, Recargables y Multifuncionales - Conectan a Varios Dispositivos, soportan Radio FM, Tarjeta TF y AUX - 4 Horas de Reproducción Musical - Ideal para Trabajo Cotidiano, Juegos y Estudio</t>
        </is>
      </c>
      <c r="H3935" s="16" t="inlineStr">
        <is>
          <t>AZUL</t>
        </is>
      </c>
      <c r="I3935" s="16" t="n">
        <v>1</v>
      </c>
      <c r="J3935" s="17" t="n">
        <v>36.8</v>
      </c>
      <c r="K3935" s="17" t="n">
        <v>49.91</v>
      </c>
      <c r="L3935" s="17" t="n">
        <v>25.86</v>
      </c>
      <c r="M3935" s="17" t="n">
        <v>0</v>
      </c>
      <c r="N3935" s="17">
        <f>K3935*0.08+L3935*0.08</f>
        <v/>
      </c>
      <c r="O3935" s="17">
        <f>-(K3935*0.025+L3935*0.025)</f>
        <v/>
      </c>
      <c r="P3935" s="17">
        <f>32</f>
        <v/>
      </c>
      <c r="Q3935" s="17">
        <f>J3935+L3935+N3935+O3935-P3935-M3935</f>
        <v/>
      </c>
    </row>
    <row r="3936">
      <c r="A3936" s="16" t="inlineStr">
        <is>
          <t>5.29-6.4</t>
        </is>
      </c>
      <c r="B3936" s="16" t="inlineStr">
        <is>
          <t>PO-128-07846720819832860</t>
        </is>
      </c>
      <c r="C3936" s="16" t="inlineStr">
        <is>
          <t>Delivered</t>
        </is>
      </c>
      <c r="D3936" s="16" t="inlineStr">
        <is>
          <t>128-07846731305592860</t>
        </is>
      </c>
      <c r="E3936" s="16" t="inlineStr">
        <is>
          <t>Delivered</t>
        </is>
      </c>
      <c r="F3936" s="16" t="inlineStr">
        <is>
          <t>SA325T</t>
        </is>
      </c>
      <c r="G3936" s="16" t="inlineStr">
        <is>
          <t>Subwoofer Portátil Inalámbrico con Luces RGB, Sonido de Alta Potencia y Batería Duradera, TWS TF USB, Perfecto para Campamento Fiestas y Entretenimiento en Casa</t>
        </is>
      </c>
      <c r="H3936" s="16" t="inlineStr">
        <is>
          <t>NEGRO</t>
        </is>
      </c>
      <c r="I3936" s="16" t="n">
        <v>1</v>
      </c>
      <c r="J3936" s="17" t="n">
        <v>38</v>
      </c>
      <c r="K3936" s="17" t="n">
        <v>39.3</v>
      </c>
      <c r="L3936" s="17" t="n">
        <v>25.86</v>
      </c>
      <c r="M3936" s="17" t="n">
        <v>0</v>
      </c>
      <c r="N3936" s="17">
        <f>K3936*0.08+L3936*0.08</f>
        <v/>
      </c>
      <c r="O3936" s="17">
        <f>-(K3936*0.025+L3936*0.025)</f>
        <v/>
      </c>
      <c r="P3936" s="17">
        <f>32</f>
        <v/>
      </c>
      <c r="Q3936" s="17">
        <f>J3936+L3936+N3936+O3936-P3936-M3936</f>
        <v/>
      </c>
    </row>
    <row r="3937">
      <c r="A3937" s="16" t="inlineStr">
        <is>
          <t>5.29-6.4</t>
        </is>
      </c>
      <c r="B3937" s="16" t="inlineStr">
        <is>
          <t>PO-128-08124871977590178</t>
        </is>
      </c>
      <c r="C3937" s="16" t="inlineStr">
        <is>
          <t>Delivered</t>
        </is>
      </c>
      <c r="D3937" s="16" t="inlineStr">
        <is>
          <t>128-08124909988470178</t>
        </is>
      </c>
      <c r="E3937" s="16" t="inlineStr">
        <is>
          <t>Delivered</t>
        </is>
      </c>
      <c r="F3937" s="16" t="inlineStr">
        <is>
          <t>LB02235-blanco</t>
        </is>
      </c>
      <c r="G3937" s="16" t="inlineStr">
        <is>
          <t>Audífonos Inalámbricos para la Cabeza, Recargables y Multifuncionales - Conectan a Varios Dispositivos, soportan Radio FM, Tarjeta TF y AUX - 4 Horas de Reproducción Musical - Ideal para Trabajo Cotidiano, Juegos y Estudio</t>
        </is>
      </c>
      <c r="H3937" s="16" t="inlineStr">
        <is>
          <t>BLANCO</t>
        </is>
      </c>
      <c r="I3937" s="16" t="n">
        <v>1</v>
      </c>
      <c r="J3937" s="17" t="n">
        <v>37.71</v>
      </c>
      <c r="K3937" s="17" t="n">
        <v>43.36</v>
      </c>
      <c r="L3937" s="17" t="n">
        <v>12.92</v>
      </c>
      <c r="M3937" s="17" t="n">
        <v>0</v>
      </c>
      <c r="N3937" s="17">
        <f>K3937*0.08+L3937*0.08</f>
        <v/>
      </c>
      <c r="O3937" s="17">
        <f>-(K3937*0.025+L3937*0.025)</f>
        <v/>
      </c>
      <c r="P3937" s="17">
        <f>32</f>
        <v/>
      </c>
      <c r="Q3937" s="17">
        <f>J3937+L3937+N3937+O3937-P3937-M3937</f>
        <v/>
      </c>
    </row>
    <row r="3938">
      <c r="A3938" s="16" t="inlineStr">
        <is>
          <t>5.29-6.4</t>
        </is>
      </c>
      <c r="B3938" s="16" t="inlineStr">
        <is>
          <t>PO-128-08124871977590178</t>
        </is>
      </c>
      <c r="C3938" s="16" t="inlineStr">
        <is>
          <t>Delivered</t>
        </is>
      </c>
      <c r="D3938" s="16" t="inlineStr">
        <is>
          <t>128-08124899502710178</t>
        </is>
      </c>
      <c r="E3938" s="16" t="inlineStr">
        <is>
          <t>Delivered</t>
        </is>
      </c>
      <c r="F3938" s="16" t="inlineStr">
        <is>
          <t>LB02235-negro</t>
        </is>
      </c>
      <c r="G3938" s="16" t="inlineStr">
        <is>
          <t>Audífonos Inalámbricos para la Cabeza, Recargables y Multifuncionales - Conectan a Varios Dispositivos, soportan Radio FM, Tarjeta TF y AUX - 4 Horas de Reproducción Musical - Ideal para Trabajo Cotidiano, Juegos y Estudio</t>
        </is>
      </c>
      <c r="H3938" s="16" t="inlineStr">
        <is>
          <t>NEGRO</t>
        </is>
      </c>
      <c r="I3938" s="16" t="n">
        <v>1</v>
      </c>
      <c r="J3938" s="17" t="n">
        <v>37.71</v>
      </c>
      <c r="K3938" s="17" t="n">
        <v>43.37</v>
      </c>
      <c r="L3938" s="17" t="n">
        <v>12.94</v>
      </c>
      <c r="M3938" s="17" t="n">
        <v>0</v>
      </c>
      <c r="N3938" s="17">
        <f>K3938*0.08+L3938*0.08</f>
        <v/>
      </c>
      <c r="O3938" s="17">
        <f>-(K3938*0.025+L3938*0.025)</f>
        <v/>
      </c>
      <c r="P3938" s="17">
        <f>32</f>
        <v/>
      </c>
      <c r="Q3938" s="17">
        <f>J3938+L3938+N3938+O3938-P3938-M3938</f>
        <v/>
      </c>
    </row>
    <row r="3939">
      <c r="A3939" s="16" t="inlineStr">
        <is>
          <t>5.29-6.4</t>
        </is>
      </c>
      <c r="B3939" s="16" t="inlineStr">
        <is>
          <t>PO-128-07898437366392680</t>
        </is>
      </c>
      <c r="C3939" s="16" t="inlineStr">
        <is>
          <t>Delivered</t>
        </is>
      </c>
      <c r="D3939" s="16" t="inlineStr">
        <is>
          <t>128-07898447852152680</t>
        </is>
      </c>
      <c r="E3939" s="16" t="inlineStr">
        <is>
          <t>Delivered</t>
        </is>
      </c>
      <c r="F3939" s="16" t="inlineStr">
        <is>
          <t>LB02235-blanco</t>
        </is>
      </c>
      <c r="G3939" s="16" t="inlineStr">
        <is>
          <t>Audífonos Inalámbricos para la Cabeza, Recargables y Multifuncionales - Conectan a Varios Dispositivos, soportan Radio FM, Tarjeta TF y AUX - 4 Horas de Reproducción Musical - Ideal para Trabajo Cotidiano, Juegos y Estudio</t>
        </is>
      </c>
      <c r="H3939" s="16" t="inlineStr">
        <is>
          <t>BLANCO</t>
        </is>
      </c>
      <c r="I3939" s="16" t="n">
        <v>1</v>
      </c>
      <c r="J3939" s="17" t="n">
        <v>37.71</v>
      </c>
      <c r="K3939" s="17" t="n">
        <v>50.82</v>
      </c>
      <c r="L3939" s="17" t="n">
        <v>25.86</v>
      </c>
      <c r="M3939" s="17" t="n">
        <v>0</v>
      </c>
      <c r="N3939" s="17">
        <f>K3939*0.08+L3939*0.08</f>
        <v/>
      </c>
      <c r="O3939" s="17">
        <f>-(K3939*0.025+L3939*0.025)</f>
        <v/>
      </c>
      <c r="P3939" s="17">
        <f>32</f>
        <v/>
      </c>
      <c r="Q3939" s="17">
        <f>J3939+L3939+N3939+O3939-P3939-M3939</f>
        <v/>
      </c>
    </row>
    <row r="3940">
      <c r="A3940" s="16" t="inlineStr">
        <is>
          <t>5.29-6.4</t>
        </is>
      </c>
      <c r="B3940" s="16" t="inlineStr">
        <is>
          <t>PO-128-07708421612153815</t>
        </is>
      </c>
      <c r="C3940" s="16" t="inlineStr">
        <is>
          <t>Delivered</t>
        </is>
      </c>
      <c r="D3940" s="16" t="inlineStr">
        <is>
          <t>128-07708379669113815</t>
        </is>
      </c>
      <c r="E3940" s="16" t="inlineStr">
        <is>
          <t>Delivered</t>
        </is>
      </c>
      <c r="F3940" s="16" t="inlineStr">
        <is>
          <t>LB02235-blanco</t>
        </is>
      </c>
      <c r="G3940" s="16" t="inlineStr">
        <is>
          <t>Audífonos Inalámbricos para la Cabeza, Recargables y Multifuncionales - Conectan a Varios Dispositivos, soportan Radio FM, Tarjeta TF y AUX - 4 Horas de Reproducción Musical - Ideal para Trabajo Cotidiano, Juegos y Estudio</t>
        </is>
      </c>
      <c r="H3940" s="16" t="inlineStr">
        <is>
          <t>BLANCO</t>
        </is>
      </c>
      <c r="I3940" s="16" t="n">
        <v>1</v>
      </c>
      <c r="J3940" s="17" t="n">
        <v>37.71</v>
      </c>
      <c r="K3940" s="17" t="n">
        <v>50.82</v>
      </c>
      <c r="L3940" s="17" t="n">
        <v>25.86</v>
      </c>
      <c r="M3940" s="17" t="n">
        <v>0</v>
      </c>
      <c r="N3940" s="17">
        <f>K3940*0.08+L3940*0.08</f>
        <v/>
      </c>
      <c r="O3940" s="17">
        <f>-(K3940*0.025+L3940*0.025)</f>
        <v/>
      </c>
      <c r="P3940" s="17">
        <f>32</f>
        <v/>
      </c>
      <c r="Q3940" s="17">
        <f>J3940+L3940+N3940+O3940-P3940-M3940</f>
        <v/>
      </c>
    </row>
    <row r="3941">
      <c r="A3941" s="16" t="inlineStr">
        <is>
          <t>5.29-6.4</t>
        </is>
      </c>
      <c r="B3941" s="16" t="inlineStr">
        <is>
          <t>PO-128-08135146046070247</t>
        </is>
      </c>
      <c r="C3941" s="16" t="inlineStr">
        <is>
          <t>Delivered</t>
        </is>
      </c>
      <c r="D3941" s="16" t="inlineStr">
        <is>
          <t>128-08135135560310247</t>
        </is>
      </c>
      <c r="E3941" s="16" t="inlineStr">
        <is>
          <t>Delivered</t>
        </is>
      </c>
      <c r="F3941" s="16" t="inlineStr">
        <is>
          <t>LB02235-negro</t>
        </is>
      </c>
      <c r="G3941" s="16" t="inlineStr">
        <is>
          <t>Audífonos Inalámbricos para la Cabeza, Recargables y Multifuncionales - Conectan a Varios Dispositivos, soportan Radio FM, Tarjeta TF y AUX - 4 Horas de Reproducción Musical - Ideal para Trabajo Cotidiano, Juegos y Estudio</t>
        </is>
      </c>
      <c r="H3941" s="16" t="inlineStr">
        <is>
          <t>NEGRO</t>
        </is>
      </c>
      <c r="I3941" s="16" t="n">
        <v>1</v>
      </c>
      <c r="J3941" s="17" t="n">
        <v>37.71</v>
      </c>
      <c r="K3941" s="17" t="n">
        <v>50.82</v>
      </c>
      <c r="L3941" s="17" t="n">
        <v>25.86</v>
      </c>
      <c r="M3941" s="17" t="n">
        <v>0</v>
      </c>
      <c r="N3941" s="17">
        <f>K3941*0.08+L3941*0.08</f>
        <v/>
      </c>
      <c r="O3941" s="17">
        <f>-(K3941*0.025+L3941*0.025)</f>
        <v/>
      </c>
      <c r="P3941" s="17">
        <f>32</f>
        <v/>
      </c>
      <c r="Q3941" s="17">
        <f>J3941+L3941+N3941+O3941-P3941-M3941</f>
        <v/>
      </c>
    </row>
    <row r="3942">
      <c r="A3942" s="16" t="inlineStr">
        <is>
          <t>5.29-6.4</t>
        </is>
      </c>
      <c r="B3942" s="16" t="inlineStr">
        <is>
          <t>PO-128-08014781338231797</t>
        </is>
      </c>
      <c r="C3942" s="16" t="inlineStr">
        <is>
          <t>Delivered</t>
        </is>
      </c>
      <c r="D3942" s="16" t="inlineStr">
        <is>
          <t>128-08014739395191797</t>
        </is>
      </c>
      <c r="E3942" s="16" t="inlineStr">
        <is>
          <t>Delivered</t>
        </is>
      </c>
      <c r="F3942" s="16" t="inlineStr">
        <is>
          <t>LB02235-negro</t>
        </is>
      </c>
      <c r="G3942" s="16" t="inlineStr">
        <is>
          <t>Audífonos Inalámbricos para la Cabeza, Recargables y Multifuncionales - Conectan a Varios Dispositivos, soportan Radio FM, Tarjeta TF y AUX - 4 Horas de Reproducción Musical - Ideal para Trabajo Cotidiano, Juegos y Estudio</t>
        </is>
      </c>
      <c r="H3942" s="16" t="inlineStr">
        <is>
          <t>NEGRO</t>
        </is>
      </c>
      <c r="I3942" s="16" t="n">
        <v>1</v>
      </c>
      <c r="J3942" s="17" t="n">
        <v>37.71</v>
      </c>
      <c r="K3942" s="17" t="n">
        <v>50.82</v>
      </c>
      <c r="L3942" s="17" t="n">
        <v>25.86</v>
      </c>
      <c r="M3942" s="17" t="n">
        <v>0</v>
      </c>
      <c r="N3942" s="17">
        <f>K3942*0.08+L3942*0.08</f>
        <v/>
      </c>
      <c r="O3942" s="17">
        <f>-(K3942*0.025+L3942*0.025)</f>
        <v/>
      </c>
      <c r="P3942" s="17">
        <f>32</f>
        <v/>
      </c>
      <c r="Q3942" s="17">
        <f>J3942+L3942+N3942+O3942-P3942-M3942</f>
        <v/>
      </c>
    </row>
    <row r="3943">
      <c r="A3943" s="16" t="inlineStr">
        <is>
          <t>5.29-6.4</t>
        </is>
      </c>
      <c r="B3943" s="16" t="inlineStr">
        <is>
          <t>PO-128-13344837550712859</t>
        </is>
      </c>
      <c r="C3943" s="16" t="inlineStr">
        <is>
          <t>Delivered</t>
        </is>
      </c>
      <c r="D3943" s="16" t="inlineStr">
        <is>
          <t>128-13344800850552859</t>
        </is>
      </c>
      <c r="E3943" s="16" t="inlineStr">
        <is>
          <t>Delivered</t>
        </is>
      </c>
      <c r="F3943" s="16" t="inlineStr">
        <is>
          <t>VA384T-G</t>
        </is>
      </c>
      <c r="G3943" s="16" t="inlineStr">
        <is>
          <t>Bocina Portátil Bluetooth de 3 Pulgadas con Radio FM, USB TF TWS, Sonido Estéreo 5W, Bocina Recargable para Hogar Exterior Viaje Fiesta Camping</t>
        </is>
      </c>
      <c r="H3943" s="16" t="inlineStr">
        <is>
          <t>GRIS</t>
        </is>
      </c>
      <c r="I3943" s="16" t="n">
        <v>1</v>
      </c>
      <c r="J3943" s="17" t="n">
        <v>49</v>
      </c>
      <c r="K3943" s="17" t="n">
        <v>56.74</v>
      </c>
      <c r="L3943" s="17" t="n">
        <v>25.86</v>
      </c>
      <c r="M3943" s="17" t="n">
        <v>0</v>
      </c>
      <c r="N3943" s="17">
        <f>K3943*0.08+L3943*0.08</f>
        <v/>
      </c>
      <c r="O3943" s="17">
        <f>-(K3943*0.025+L3943*0.025)</f>
        <v/>
      </c>
      <c r="P3943" s="17">
        <f>32</f>
        <v/>
      </c>
      <c r="Q3943" s="17">
        <f>J3943+L3943+N3943+O3943-P3943-M3943</f>
        <v/>
      </c>
    </row>
    <row r="3944">
      <c r="A3944" s="16" t="inlineStr">
        <is>
          <t>5.29-6.4</t>
        </is>
      </c>
      <c r="B3944" s="16" t="inlineStr">
        <is>
          <t>PO-128-13627511337590212</t>
        </is>
      </c>
      <c r="C3944" s="16" t="inlineStr">
        <is>
          <t>Delivered</t>
        </is>
      </c>
      <c r="D3944" s="16" t="inlineStr">
        <is>
          <t>128-13627537551990212</t>
        </is>
      </c>
      <c r="E3944" s="16" t="inlineStr">
        <is>
          <t>Delivered</t>
        </is>
      </c>
      <c r="F3944" s="16" t="inlineStr">
        <is>
          <t>MB-185A</t>
        </is>
      </c>
      <c r="G3944" s="16" t="inlineStr">
        <is>
          <t>Bocina Radio FM/Reproductor, Compatible con Tarjeta TF, USB, Bluetooth, Aplicable para celular, computadora, Ipad y consola.</t>
        </is>
      </c>
      <c r="H3944" s="16" t="inlineStr">
        <is>
          <t>AZUL/MB-185</t>
        </is>
      </c>
      <c r="I3944" s="16" t="n">
        <v>1</v>
      </c>
      <c r="J3944" s="17" t="n">
        <v>73</v>
      </c>
      <c r="K3944" s="17" t="n">
        <v>85.94</v>
      </c>
      <c r="L3944" s="17" t="n">
        <v>25.86</v>
      </c>
      <c r="M3944" s="17" t="n">
        <v>0</v>
      </c>
      <c r="N3944" s="17">
        <f>K3944*0.08+L3944*0.08</f>
        <v/>
      </c>
      <c r="O3944" s="17">
        <f>-(K3944*0.025+L3944*0.025)</f>
        <v/>
      </c>
      <c r="P3944" s="17">
        <f>32</f>
        <v/>
      </c>
      <c r="Q3944" s="17">
        <f>J3944+L3944+N3944+O3944-P3944-M3944</f>
        <v/>
      </c>
    </row>
    <row r="3945">
      <c r="A3945" s="16" t="inlineStr">
        <is>
          <t>5.29-6.4</t>
        </is>
      </c>
      <c r="B3945" s="16" t="inlineStr">
        <is>
          <t>PO-128-13398383002232666</t>
        </is>
      </c>
      <c r="C3945" s="16" t="inlineStr">
        <is>
          <t>Delivered</t>
        </is>
      </c>
      <c r="D3945" s="16" t="inlineStr">
        <is>
          <t>128-13398435431032666</t>
        </is>
      </c>
      <c r="E3945" s="16" t="inlineStr">
        <is>
          <t>Delivered</t>
        </is>
      </c>
      <c r="F3945" s="16" t="inlineStr">
        <is>
          <t>LB02235-negro</t>
        </is>
      </c>
      <c r="G3945" s="16" t="inlineStr">
        <is>
          <t>Audífonos Inalámbricos para la Cabeza, Recargables y Multifuncionales - Conectan a Varios Dispositivos, soportan Radio FM, Tarjeta TF y AUX - 4 Horas de Reproducción Musical - Ideal para Trabajo Cotidiano, Juegos y Estudio</t>
        </is>
      </c>
      <c r="H3945" s="16" t="inlineStr">
        <is>
          <t>NEGRO</t>
        </is>
      </c>
      <c r="I3945" s="16" t="n">
        <v>2</v>
      </c>
      <c r="J3945" s="17" t="n">
        <v>75.42</v>
      </c>
      <c r="K3945" s="17" t="n">
        <v>101.64</v>
      </c>
      <c r="L3945" s="17" t="n">
        <v>25.86</v>
      </c>
      <c r="M3945" s="17" t="n">
        <v>0</v>
      </c>
      <c r="N3945" s="17">
        <f>K3945*0.08+L3945*0.08</f>
        <v/>
      </c>
      <c r="O3945" s="17">
        <f>-(K3945*0.025+L3945*0.025)</f>
        <v/>
      </c>
      <c r="P3945" s="17">
        <f>32</f>
        <v/>
      </c>
      <c r="Q3945" s="17">
        <f>J3945+L3945+N3945+O3945-P3945-M3945</f>
        <v/>
      </c>
    </row>
    <row r="3946">
      <c r="A3946" s="16" t="inlineStr">
        <is>
          <t>5.29-6.4</t>
        </is>
      </c>
      <c r="B3946" s="16" t="inlineStr">
        <is>
          <t>PO-128-13317149901432958</t>
        </is>
      </c>
      <c r="C3946" s="16" t="inlineStr">
        <is>
          <t>Delivered</t>
        </is>
      </c>
      <c r="D3946" s="16" t="inlineStr">
        <is>
          <t>128-13317191844472958</t>
        </is>
      </c>
      <c r="E3946" s="16" t="inlineStr">
        <is>
          <t>Delivered</t>
        </is>
      </c>
      <c r="F3946" s="16" t="inlineStr">
        <is>
          <t>LB02235-negro</t>
        </is>
      </c>
      <c r="G3946" s="16" t="inlineStr">
        <is>
          <t>Audífonos Inalámbricos para la Cabeza, Recargables y Multifuncionales - Conectan a Varios Dispositivos, soportan Radio FM, Tarjeta TF y AUX - 4 Horas de Reproducción Musical - Ideal para Trabajo Cotidiano, Juegos y Estudio</t>
        </is>
      </c>
      <c r="H3946" s="16" t="inlineStr">
        <is>
          <t>NEGRO</t>
        </is>
      </c>
      <c r="I3946" s="16" t="n">
        <v>1</v>
      </c>
      <c r="J3946" s="17" t="n">
        <v>37.71</v>
      </c>
      <c r="K3946" s="17" t="n">
        <v>50.82</v>
      </c>
      <c r="L3946" s="17" t="n">
        <v>25.86</v>
      </c>
      <c r="M3946" s="17" t="n">
        <v>0</v>
      </c>
      <c r="N3946" s="17">
        <f>K3946*0.08+L3946*0.08</f>
        <v/>
      </c>
      <c r="O3946" s="17">
        <f>-(K3946*0.025+L3946*0.025)</f>
        <v/>
      </c>
      <c r="P3946" s="17">
        <f>32</f>
        <v/>
      </c>
      <c r="Q3946" s="17">
        <f>J3946+L3946+N3946+O3946-P3946-M3946</f>
        <v/>
      </c>
    </row>
    <row r="3947">
      <c r="A3947" s="16" t="inlineStr">
        <is>
          <t>5.29-6.4</t>
        </is>
      </c>
      <c r="B3947" s="16" t="inlineStr">
        <is>
          <t>PO-128-13742621348470614</t>
        </is>
      </c>
      <c r="C3947" s="16" t="inlineStr">
        <is>
          <t>Delivered</t>
        </is>
      </c>
      <c r="D3947" s="16" t="inlineStr">
        <is>
          <t>128-13742574162550614</t>
        </is>
      </c>
      <c r="E3947" s="16" t="inlineStr">
        <is>
          <t>Delivered</t>
        </is>
      </c>
      <c r="F3947" s="16" t="inlineStr">
        <is>
          <t>FA028</t>
        </is>
      </c>
      <c r="G3947" s="16" t="inlineStr">
        <is>
          <t>Extractor de agua para garrafas de agua, compatible con carga USB, extractor de agua automático, práctico, con dos modos de toma de agua: manual y programado, ideal para dormitorios, salones, oficinas, uso al aire libre y otros escenarios.</t>
        </is>
      </c>
      <c r="H3947" s="16" t="inlineStr">
        <is>
          <t>FA028</t>
        </is>
      </c>
      <c r="I3947" s="16" t="n">
        <v>1</v>
      </c>
      <c r="J3947" s="17" t="n">
        <v>35</v>
      </c>
      <c r="K3947" s="17" t="n">
        <v>35.67</v>
      </c>
      <c r="L3947" s="17" t="n">
        <v>25.86</v>
      </c>
      <c r="M3947" s="17" t="n">
        <v>0</v>
      </c>
      <c r="N3947" s="17">
        <f>K3947*0.08+L3947*0.08</f>
        <v/>
      </c>
      <c r="O3947" s="17">
        <f>-(K3947*0.025+L3947*0.025)</f>
        <v/>
      </c>
      <c r="P3947" s="17">
        <f>32</f>
        <v/>
      </c>
      <c r="Q3947" s="17">
        <f>J3947+L3947+N3947+O3947-P3947-M3947</f>
        <v/>
      </c>
    </row>
    <row r="3948">
      <c r="A3948" s="16" t="inlineStr">
        <is>
          <t>5.29-6.4</t>
        </is>
      </c>
      <c r="B3948" s="16" t="inlineStr">
        <is>
          <t>PO-128-13232886794872436</t>
        </is>
      </c>
      <c r="C3948" s="16" t="inlineStr">
        <is>
          <t>Delivered</t>
        </is>
      </c>
      <c r="D3948" s="16" t="inlineStr">
        <is>
          <t>128-13232991652472436</t>
        </is>
      </c>
      <c r="E3948" s="16" t="inlineStr">
        <is>
          <t>Delivered</t>
        </is>
      </c>
      <c r="F3948" s="16" t="inlineStr">
        <is>
          <t>LB02235-negro</t>
        </is>
      </c>
      <c r="G3948" s="16" t="inlineStr">
        <is>
          <t>Audífonos Inalámbricos para la Cabeza, Recargables y Multifuncionales - Conectan a Varios Dispositivos, soportan Radio FM, Tarjeta TF y AUX - 4 Horas de Reproducción Musical - Ideal para Trabajo Cotidiano, Juegos y Estudio</t>
        </is>
      </c>
      <c r="H3948" s="16" t="inlineStr">
        <is>
          <t>NEGRO</t>
        </is>
      </c>
      <c r="I3948" s="16" t="n">
        <v>1</v>
      </c>
      <c r="J3948" s="17" t="n">
        <v>37.71</v>
      </c>
      <c r="K3948" s="17" t="n">
        <v>7.72</v>
      </c>
      <c r="L3948" s="17" t="n">
        <v>25.86</v>
      </c>
      <c r="M3948" s="17" t="n">
        <v>0</v>
      </c>
      <c r="N3948" s="17">
        <f>K3948*0.08+L3948*0.08</f>
        <v/>
      </c>
      <c r="O3948" s="17">
        <f>-(K3948*0.025+L3948*0.025)</f>
        <v/>
      </c>
      <c r="P3948" s="17">
        <f>32</f>
        <v/>
      </c>
      <c r="Q3948" s="17">
        <f>J3948+L3948+N3948+O3948-P3948-M3948</f>
        <v/>
      </c>
    </row>
    <row r="3949">
      <c r="A3949" s="16" t="inlineStr">
        <is>
          <t>5.29-6.4</t>
        </is>
      </c>
      <c r="B3949" s="16" t="inlineStr">
        <is>
          <t>PO-128-13141564145273175</t>
        </is>
      </c>
      <c r="C3949" s="16" t="inlineStr">
        <is>
          <t>Delivered</t>
        </is>
      </c>
      <c r="D3949" s="16" t="inlineStr">
        <is>
          <t>128-13141522202233175</t>
        </is>
      </c>
      <c r="E3949" s="16" t="inlineStr">
        <is>
          <t>Delivered</t>
        </is>
      </c>
      <c r="F3949" s="16" t="inlineStr">
        <is>
          <t>FA028</t>
        </is>
      </c>
      <c r="G3949" s="16" t="inlineStr">
        <is>
          <t>Extractor de agua para garrafas de agua, compatible con carga USB, extractor de agua automático, práctico, con dos modos de toma de agua: manual y programado, ideal para dormitorios, salones, oficinas, uso al aire libre y otros escenarios.</t>
        </is>
      </c>
      <c r="H3949" s="16" t="inlineStr">
        <is>
          <t>FA028</t>
        </is>
      </c>
      <c r="I3949" s="16" t="n">
        <v>1</v>
      </c>
      <c r="J3949" s="17" t="n">
        <v>35</v>
      </c>
      <c r="K3949" s="17" t="n">
        <v>44.58</v>
      </c>
      <c r="L3949" s="17" t="n">
        <v>25.86</v>
      </c>
      <c r="M3949" s="17" t="n">
        <v>0</v>
      </c>
      <c r="N3949" s="17">
        <f>K3949*0.08+L3949*0.08</f>
        <v/>
      </c>
      <c r="O3949" s="17">
        <f>-(K3949*0.025+L3949*0.025)</f>
        <v/>
      </c>
      <c r="P3949" s="17">
        <f>32</f>
        <v/>
      </c>
      <c r="Q3949" s="17">
        <f>J3949+L3949+N3949+O3949-P3949-M3949</f>
        <v/>
      </c>
    </row>
    <row r="3950">
      <c r="A3950" s="16" t="inlineStr">
        <is>
          <t>5.29-6.4</t>
        </is>
      </c>
      <c r="B3950" s="16" t="inlineStr">
        <is>
          <t>PO-128-13736133786230591</t>
        </is>
      </c>
      <c r="C3950" s="16" t="inlineStr">
        <is>
          <t>Delivered</t>
        </is>
      </c>
      <c r="D3950" s="16" t="inlineStr">
        <is>
          <t>128-13736154757750591</t>
        </is>
      </c>
      <c r="E3950" s="16" t="inlineStr">
        <is>
          <t>Delivered</t>
        </is>
      </c>
      <c r="F3950" s="16" t="inlineStr">
        <is>
          <t>LB02235-negro</t>
        </is>
      </c>
      <c r="G3950" s="16" t="inlineStr">
        <is>
          <t>Audífonos Inalámbricos para la Cabeza, Recargables y Multifuncionales - Conectan a Varios Dispositivos, soportan Radio FM, Tarjeta TF y AUX - 4 Horas de Reproducción Musical - Ideal para Trabajo Cotidiano, Juegos y Estudio</t>
        </is>
      </c>
      <c r="H3950" s="16" t="inlineStr">
        <is>
          <t>NEGRO</t>
        </is>
      </c>
      <c r="I3950" s="16" t="n">
        <v>1</v>
      </c>
      <c r="J3950" s="17" t="n">
        <v>37.71</v>
      </c>
      <c r="K3950" s="17" t="n">
        <v>25.41</v>
      </c>
      <c r="L3950" s="17" t="n">
        <v>25.86</v>
      </c>
      <c r="M3950" s="17" t="n">
        <v>0</v>
      </c>
      <c r="N3950" s="17">
        <f>K3950*0.08+L3950*0.08</f>
        <v/>
      </c>
      <c r="O3950" s="17">
        <f>-(K3950*0.025+L3950*0.025)</f>
        <v/>
      </c>
      <c r="P3950" s="17">
        <f>32</f>
        <v/>
      </c>
      <c r="Q3950" s="17">
        <f>J3950+L3950+N3950+O3950-P3950-M3950</f>
        <v/>
      </c>
    </row>
    <row r="3951">
      <c r="A3951" s="16" t="inlineStr">
        <is>
          <t>5.29-6.4</t>
        </is>
      </c>
      <c r="B3951" s="16" t="inlineStr">
        <is>
          <t>PO-128-13422159432311308</t>
        </is>
      </c>
      <c r="C3951" s="16" t="inlineStr">
        <is>
          <t>Delivered</t>
        </is>
      </c>
      <c r="D3951" s="16" t="inlineStr">
        <is>
          <t>128-13422185646711308</t>
        </is>
      </c>
      <c r="E3951" s="16" t="inlineStr">
        <is>
          <t>Delivered</t>
        </is>
      </c>
      <c r="F3951" s="16" t="inlineStr">
        <is>
          <t>LB02235-negro</t>
        </is>
      </c>
      <c r="G3951" s="16" t="inlineStr">
        <is>
          <t>Audífonos Inalámbricos para la Cabeza, Recargables y Multifuncionales - Conectan a Varios Dispositivos, soportan Radio FM, Tarjeta TF y AUX - 4 Horas de Reproducción Musical - Ideal para Trabajo Cotidiano, Juegos y Estudio</t>
        </is>
      </c>
      <c r="H3951" s="16" t="inlineStr">
        <is>
          <t>NEGRO</t>
        </is>
      </c>
      <c r="I3951" s="16" t="n">
        <v>1</v>
      </c>
      <c r="J3951" s="17" t="n">
        <v>37.71</v>
      </c>
      <c r="K3951" s="17" t="n">
        <v>50.82</v>
      </c>
      <c r="L3951" s="17" t="n">
        <v>25.86</v>
      </c>
      <c r="M3951" s="17" t="n">
        <v>0</v>
      </c>
      <c r="N3951" s="17">
        <f>K3951*0.08+L3951*0.08</f>
        <v/>
      </c>
      <c r="O3951" s="17">
        <f>-(K3951*0.025+L3951*0.025)</f>
        <v/>
      </c>
      <c r="P3951" s="17">
        <f>32</f>
        <v/>
      </c>
      <c r="Q3951" s="17">
        <f>J3951+L3951+N3951+O3951-P3951-M3951</f>
        <v/>
      </c>
    </row>
    <row r="3952">
      <c r="A3952" s="16" t="inlineStr">
        <is>
          <t>5.29-6.4</t>
        </is>
      </c>
      <c r="B3952" s="16" t="inlineStr">
        <is>
          <t>PO-128-13276653159032177</t>
        </is>
      </c>
      <c r="C3952" s="16" t="inlineStr">
        <is>
          <t>Delivered</t>
        </is>
      </c>
      <c r="D3952" s="16" t="inlineStr">
        <is>
          <t>128-13276676751992177</t>
        </is>
      </c>
      <c r="E3952" s="16" t="inlineStr">
        <is>
          <t>Delivered</t>
        </is>
      </c>
      <c r="F3952" s="16" t="inlineStr">
        <is>
          <t>LB02235-negro</t>
        </is>
      </c>
      <c r="G3952" s="16" t="inlineStr">
        <is>
          <t>Audífonos Inalámbricos para la Cabeza, Recargables y Multifuncionales - Conectan a Varios Dispositivos, soportan Radio FM, Tarjeta TF y AUX - 4 Horas de Reproducción Musical - Ideal para Trabajo Cotidiano, Juegos y Estudio</t>
        </is>
      </c>
      <c r="H3952" s="16" t="inlineStr">
        <is>
          <t>NEGRO</t>
        </is>
      </c>
      <c r="I3952" s="16" t="n">
        <v>3</v>
      </c>
      <c r="J3952" s="17" t="n">
        <v>113.13</v>
      </c>
      <c r="K3952" s="17" t="n">
        <v>152.46</v>
      </c>
      <c r="L3952" s="17" t="n">
        <v>25.86</v>
      </c>
      <c r="M3952" s="17" t="n">
        <v>0</v>
      </c>
      <c r="N3952" s="17">
        <f>K3952*0.08+L3952*0.08</f>
        <v/>
      </c>
      <c r="O3952" s="17">
        <f>-(K3952*0.025+L3952*0.025)</f>
        <v/>
      </c>
      <c r="P3952" s="17">
        <f>32</f>
        <v/>
      </c>
      <c r="Q3952" s="17">
        <f>J3952+L3952+N3952+O3952-P3952-M3952</f>
        <v/>
      </c>
    </row>
    <row r="3953">
      <c r="A3953" s="16" t="inlineStr">
        <is>
          <t>5.29-6.4</t>
        </is>
      </c>
      <c r="B3953" s="16" t="inlineStr">
        <is>
          <t>PO-128-13628165171830208</t>
        </is>
      </c>
      <c r="C3953" s="16" t="inlineStr">
        <is>
          <t>Delivered</t>
        </is>
      </c>
      <c r="D3953" s="16" t="inlineStr">
        <is>
          <t>128-13628186143350208</t>
        </is>
      </c>
      <c r="E3953" s="16" t="inlineStr">
        <is>
          <t>Delivered</t>
        </is>
      </c>
      <c r="F3953" s="16" t="inlineStr">
        <is>
          <t>MB-185R</t>
        </is>
      </c>
      <c r="G3953" s="16" t="inlineStr">
        <is>
          <t>Bocina Radio FM/Reproductor, Compatible con Tarjeta TF, USB, Bluetooth, Aplicable para celular, computadora, Ipad y consola.</t>
        </is>
      </c>
      <c r="H3953" s="16" t="inlineStr">
        <is>
          <t>ROJO/MB-185</t>
        </is>
      </c>
      <c r="I3953" s="16" t="n">
        <v>1</v>
      </c>
      <c r="J3953" s="17" t="n">
        <v>75.59999999999999</v>
      </c>
      <c r="K3953" s="17" t="n">
        <v>88.53</v>
      </c>
      <c r="L3953" s="17" t="n">
        <v>25.86</v>
      </c>
      <c r="M3953" s="17" t="n">
        <v>0</v>
      </c>
      <c r="N3953" s="17">
        <f>K3953*0.08+L3953*0.08</f>
        <v/>
      </c>
      <c r="O3953" s="17">
        <f>-(K3953*0.025+L3953*0.025)</f>
        <v/>
      </c>
      <c r="P3953" s="17">
        <f>32</f>
        <v/>
      </c>
      <c r="Q3953" s="17">
        <f>J3953+L3953+N3953+O3953-P3953-M3953</f>
        <v/>
      </c>
    </row>
    <row r="3954">
      <c r="A3954" s="16" t="inlineStr">
        <is>
          <t>5.29-6.4</t>
        </is>
      </c>
      <c r="B3954" s="16" t="inlineStr">
        <is>
          <t>PO-128-13338062920312835</t>
        </is>
      </c>
      <c r="C3954" s="16" t="inlineStr">
        <is>
          <t>Delivered</t>
        </is>
      </c>
      <c r="D3954" s="16" t="inlineStr">
        <is>
          <t>128-13338060298872835</t>
        </is>
      </c>
      <c r="E3954" s="16" t="inlineStr">
        <is>
          <t>Delivered</t>
        </is>
      </c>
      <c r="F3954" s="16" t="inlineStr">
        <is>
          <t>MB-185A</t>
        </is>
      </c>
      <c r="G3954" s="16" t="inlineStr">
        <is>
          <t>Bocina Radio FM/Reproductor, Compatible con Tarjeta TF, USB, Bluetooth, Aplicable para celular, computadora, Ipad y consola.</t>
        </is>
      </c>
      <c r="H3954" s="16" t="inlineStr">
        <is>
          <t>AZUL/MB-185</t>
        </is>
      </c>
      <c r="I3954" s="16" t="n">
        <v>1</v>
      </c>
      <c r="J3954" s="17" t="n">
        <v>73</v>
      </c>
      <c r="K3954" s="17" t="n">
        <v>59.24</v>
      </c>
      <c r="L3954" s="17" t="n">
        <v>25.86</v>
      </c>
      <c r="M3954" s="17" t="n">
        <v>0</v>
      </c>
      <c r="N3954" s="17">
        <f>K3954*0.08+L3954*0.08</f>
        <v/>
      </c>
      <c r="O3954" s="17">
        <f>-(K3954*0.025+L3954*0.025)</f>
        <v/>
      </c>
      <c r="P3954" s="17">
        <f>32</f>
        <v/>
      </c>
      <c r="Q3954" s="17">
        <f>J3954+L3954+N3954+O3954-P3954-M3954</f>
        <v/>
      </c>
    </row>
    <row r="3955">
      <c r="A3955" s="16" t="inlineStr">
        <is>
          <t>5.29-6.4</t>
        </is>
      </c>
      <c r="B3955" s="16" t="inlineStr">
        <is>
          <t>PO-128-13196335401593806</t>
        </is>
      </c>
      <c r="C3955" s="16" t="inlineStr">
        <is>
          <t>Delivered</t>
        </is>
      </c>
      <c r="D3955" s="16" t="inlineStr">
        <is>
          <t>128-13196319672953806</t>
        </is>
      </c>
      <c r="E3955" s="16" t="inlineStr">
        <is>
          <t>Delivered</t>
        </is>
      </c>
      <c r="F3955" s="16" t="inlineStr">
        <is>
          <t>LB02235-blanco</t>
        </is>
      </c>
      <c r="G3955" s="16" t="inlineStr">
        <is>
          <t>Audífonos Inalámbricos para la Cabeza, Recargables y Multifuncionales - Conectan a Varios Dispositivos, soportan Radio FM, Tarjeta TF y AUX - 4 Horas de Reproducción Musical - Ideal para Trabajo Cotidiano, Juegos y Estudio</t>
        </is>
      </c>
      <c r="H3955" s="16" t="inlineStr">
        <is>
          <t>BLANCO</t>
        </is>
      </c>
      <c r="I3955" s="16" t="n">
        <v>1</v>
      </c>
      <c r="J3955" s="17" t="n">
        <v>37.71</v>
      </c>
      <c r="K3955" s="17" t="n">
        <v>50.82</v>
      </c>
      <c r="L3955" s="17" t="n">
        <v>12.93</v>
      </c>
      <c r="M3955" s="17" t="n">
        <v>0</v>
      </c>
      <c r="N3955" s="17">
        <f>K3955*0.08+L3955*0.08</f>
        <v/>
      </c>
      <c r="O3955" s="17">
        <f>-(K3955*0.025+L3955*0.025)</f>
        <v/>
      </c>
      <c r="P3955" s="17">
        <f>32</f>
        <v/>
      </c>
      <c r="Q3955" s="17">
        <f>J3955+L3955+N3955+O3955-P3955-M3955</f>
        <v/>
      </c>
    </row>
    <row r="3956">
      <c r="A3956" s="16" t="inlineStr">
        <is>
          <t>5.29-6.4</t>
        </is>
      </c>
      <c r="B3956" s="16" t="inlineStr">
        <is>
          <t>PO-128-13196335401593806</t>
        </is>
      </c>
      <c r="C3956" s="16" t="inlineStr">
        <is>
          <t>Delivered</t>
        </is>
      </c>
      <c r="D3956" s="16" t="inlineStr">
        <is>
          <t>128-13196361615993806</t>
        </is>
      </c>
      <c r="E3956" s="16" t="inlineStr">
        <is>
          <t>Delivered</t>
        </is>
      </c>
      <c r="F3956" s="16" t="inlineStr">
        <is>
          <t>LB02235-rojo</t>
        </is>
      </c>
      <c r="G3956" s="16" t="inlineStr">
        <is>
          <t>Audífonos Inalámbricos para la Cabeza, Recargables y Multifuncionales - Conectan a Varios Dispositivos, soportan Radio FM, Tarjeta TF y AUX - 4 Horas de Reproducción Musical - Ideal para Trabajo Cotidiano, Juegos y Estudio</t>
        </is>
      </c>
      <c r="H3956" s="16" t="inlineStr">
        <is>
          <t>ROJO</t>
        </is>
      </c>
      <c r="I3956" s="16" t="n">
        <v>1</v>
      </c>
      <c r="J3956" s="17" t="n">
        <v>37.71</v>
      </c>
      <c r="K3956" s="17" t="n">
        <v>50.82</v>
      </c>
      <c r="L3956" s="17" t="n">
        <v>12.93</v>
      </c>
      <c r="M3956" s="17" t="n">
        <v>0</v>
      </c>
      <c r="N3956" s="17">
        <f>K3956*0.08+L3956*0.08</f>
        <v/>
      </c>
      <c r="O3956" s="17">
        <f>-(K3956*0.025+L3956*0.025)</f>
        <v/>
      </c>
      <c r="P3956" s="17">
        <f>32</f>
        <v/>
      </c>
      <c r="Q3956" s="17">
        <f>J3956+L3956+N3956+O3956-P3956-M3956</f>
        <v/>
      </c>
    </row>
    <row r="3957">
      <c r="A3957" s="16" t="inlineStr">
        <is>
          <t>5.29-6.4</t>
        </is>
      </c>
      <c r="B3957" s="16" t="inlineStr">
        <is>
          <t>PO-128-13110936791673293</t>
        </is>
      </c>
      <c r="C3957" s="16" t="inlineStr">
        <is>
          <t>Delivered</t>
        </is>
      </c>
      <c r="D3957" s="16" t="inlineStr">
        <is>
          <t>128-13110978734713293</t>
        </is>
      </c>
      <c r="E3957" s="16" t="inlineStr">
        <is>
          <t>Delivered</t>
        </is>
      </c>
      <c r="F3957" s="16" t="inlineStr">
        <is>
          <t>LB02235-rojo</t>
        </is>
      </c>
      <c r="G3957" s="16" t="inlineStr">
        <is>
          <t>Audífonos Inalámbricos para la Cabeza, Recargables y Multifuncionales - Conectan a Varios Dispositivos, soportan Radio FM, Tarjeta TF y AUX - 4 Horas de Reproducción Musical - Ideal para Trabajo Cotidiano, Juegos y Estudio</t>
        </is>
      </c>
      <c r="H3957" s="16" t="inlineStr">
        <is>
          <t>ROJO</t>
        </is>
      </c>
      <c r="I3957" s="16" t="n">
        <v>1</v>
      </c>
      <c r="J3957" s="17" t="n">
        <v>37.71</v>
      </c>
      <c r="K3957" s="17" t="n">
        <v>50.82</v>
      </c>
      <c r="L3957" s="17" t="n">
        <v>25.86</v>
      </c>
      <c r="M3957" s="17" t="n">
        <v>0</v>
      </c>
      <c r="N3957" s="17">
        <f>K3957*0.08+L3957*0.08</f>
        <v/>
      </c>
      <c r="O3957" s="17">
        <f>-(K3957*0.025+L3957*0.025)</f>
        <v/>
      </c>
      <c r="P3957" s="17">
        <f>32</f>
        <v/>
      </c>
      <c r="Q3957" s="17">
        <f>J3957+L3957+N3957+O3957-P3957-M3957</f>
        <v/>
      </c>
    </row>
    <row r="3958">
      <c r="A3958" s="16" t="inlineStr">
        <is>
          <t>5.29-6.4</t>
        </is>
      </c>
      <c r="B3958" s="16" t="inlineStr">
        <is>
          <t>PO-128-13740567240310626</t>
        </is>
      </c>
      <c r="C3958" s="16" t="inlineStr">
        <is>
          <t>Delivered</t>
        </is>
      </c>
      <c r="D3958" s="16" t="inlineStr">
        <is>
          <t>128-13740672097910626</t>
        </is>
      </c>
      <c r="E3958" s="16" t="inlineStr">
        <is>
          <t>Delivered</t>
        </is>
      </c>
      <c r="F3958" s="16" t="inlineStr">
        <is>
          <t>MB-185A</t>
        </is>
      </c>
      <c r="G3958" s="16" t="inlineStr">
        <is>
          <t>Bocina Radio FM/Reproductor, Compatible con Tarjeta TF, USB, Bluetooth, Aplicable para celular, computadora, Ipad y consola.</t>
        </is>
      </c>
      <c r="H3958" s="16" t="inlineStr">
        <is>
          <t>AZUL/MB-185</t>
        </is>
      </c>
      <c r="I3958" s="16" t="n">
        <v>1</v>
      </c>
      <c r="J3958" s="17" t="n">
        <v>73</v>
      </c>
      <c r="K3958" s="17" t="n">
        <v>42.84</v>
      </c>
      <c r="L3958" s="17" t="n">
        <v>25.86</v>
      </c>
      <c r="M3958" s="17" t="n">
        <v>0</v>
      </c>
      <c r="N3958" s="17">
        <f>K3958*0.08+L3958*0.08</f>
        <v/>
      </c>
      <c r="O3958" s="17">
        <f>-(K3958*0.025+L3958*0.025)</f>
        <v/>
      </c>
      <c r="P3958" s="17">
        <f>32</f>
        <v/>
      </c>
      <c r="Q3958" s="17">
        <f>J3958+L3958+N3958+O3958-P3958-M3958</f>
        <v/>
      </c>
    </row>
    <row r="3959">
      <c r="A3959" s="16" t="inlineStr">
        <is>
          <t>5.29-6.4</t>
        </is>
      </c>
      <c r="B3959" s="16" t="inlineStr">
        <is>
          <t>PO-128-13261652204152395</t>
        </is>
      </c>
      <c r="C3959" s="16" t="inlineStr">
        <is>
          <t>Delivered</t>
        </is>
      </c>
      <c r="D3959" s="16" t="inlineStr">
        <is>
          <t>128-13261704632952395</t>
        </is>
      </c>
      <c r="E3959" s="16" t="inlineStr">
        <is>
          <t>Delivered</t>
        </is>
      </c>
      <c r="F3959" s="16" t="inlineStr">
        <is>
          <t>LB02235-negro</t>
        </is>
      </c>
      <c r="G3959" s="16" t="inlineStr">
        <is>
          <t>Audífonos Inalámbricos para la Cabeza, Recargables y Multifuncionales - Conectan a Varios Dispositivos, soportan Radio FM, Tarjeta TF y AUX - 4 Horas de Reproducción Musical - Ideal para Trabajo Cotidiano, Juegos y Estudio</t>
        </is>
      </c>
      <c r="H3959" s="16" t="inlineStr">
        <is>
          <t>NEGRO</t>
        </is>
      </c>
      <c r="I3959" s="16" t="n">
        <v>1</v>
      </c>
      <c r="J3959" s="17" t="n">
        <v>37.71</v>
      </c>
      <c r="K3959" s="17" t="n">
        <v>50.82</v>
      </c>
      <c r="L3959" s="17" t="n">
        <v>25.86</v>
      </c>
      <c r="M3959" s="17" t="n">
        <v>0</v>
      </c>
      <c r="N3959" s="17">
        <f>K3959*0.08+L3959*0.08</f>
        <v/>
      </c>
      <c r="O3959" s="17">
        <f>-(K3959*0.025+L3959*0.025)</f>
        <v/>
      </c>
      <c r="P3959" s="17">
        <f>32</f>
        <v/>
      </c>
      <c r="Q3959" s="17">
        <f>J3959+L3959+N3959+O3959-P3959-M3959</f>
        <v/>
      </c>
    </row>
    <row r="3960">
      <c r="A3960" s="16" t="inlineStr">
        <is>
          <t>5.29-6.4</t>
        </is>
      </c>
      <c r="B3960" s="16" t="inlineStr">
        <is>
          <t>PO-128-13565931976311605</t>
        </is>
      </c>
      <c r="C3960" s="16" t="inlineStr">
        <is>
          <t>Delivered</t>
        </is>
      </c>
      <c r="D3960" s="16" t="inlineStr">
        <is>
          <t>128-13565930010231605</t>
        </is>
      </c>
      <c r="E3960" s="16" t="inlineStr">
        <is>
          <t>Delivered</t>
        </is>
      </c>
      <c r="F3960" s="16" t="inlineStr">
        <is>
          <t>MB-185N</t>
        </is>
      </c>
      <c r="G3960" s="16" t="inlineStr">
        <is>
          <t>Bocina Radio FM/Reproductor, Compatible con Tarjeta TF, USB, Bluetooth, Aplicable para celular, computadora, Ipad y consola.</t>
        </is>
      </c>
      <c r="H3960" s="16" t="inlineStr">
        <is>
          <t>NEGRO/MB-185</t>
        </is>
      </c>
      <c r="I3960" s="16" t="n">
        <v>1</v>
      </c>
      <c r="J3960" s="17" t="n">
        <v>75.5</v>
      </c>
      <c r="K3960" s="17" t="n">
        <v>88.44</v>
      </c>
      <c r="L3960" s="17" t="n">
        <v>25.86</v>
      </c>
      <c r="M3960" s="17" t="n">
        <v>0</v>
      </c>
      <c r="N3960" s="17">
        <f>K3960*0.08+L3960*0.08</f>
        <v/>
      </c>
      <c r="O3960" s="17">
        <f>-(K3960*0.025+L3960*0.025)</f>
        <v/>
      </c>
      <c r="P3960" s="17">
        <f>32</f>
        <v/>
      </c>
      <c r="Q3960" s="17">
        <f>J3960+L3960+N3960+O3960-P3960-M3960</f>
        <v/>
      </c>
    </row>
    <row r="3961">
      <c r="A3961" s="16" t="inlineStr">
        <is>
          <t>5.29-6.4</t>
        </is>
      </c>
      <c r="B3961" s="16" t="inlineStr">
        <is>
          <t>PO-128-13589042166390507</t>
        </is>
      </c>
      <c r="C3961" s="16" t="inlineStr">
        <is>
          <t>Delivered</t>
        </is>
      </c>
      <c r="D3961" s="16" t="inlineStr">
        <is>
          <t>128-13589208955510507</t>
        </is>
      </c>
      <c r="E3961" s="16" t="inlineStr">
        <is>
          <t>Delivered</t>
        </is>
      </c>
      <c r="F3961" s="16" t="inlineStr">
        <is>
          <t>LB02235-blanco</t>
        </is>
      </c>
      <c r="G3961" s="16" t="inlineStr">
        <is>
          <t>Audífonos Inalámbricos para la Cabeza, Recargables y Multifuncionales - Conectan a Varios Dispositivos, soportan Radio FM, Tarjeta TF y AUX - 4 Horas de Reproducción Musical - Ideal para Trabajo Cotidiano, Juegos y Estudio</t>
        </is>
      </c>
      <c r="H3961" s="16" t="inlineStr">
        <is>
          <t>BLANCO</t>
        </is>
      </c>
      <c r="I3961" s="16" t="n">
        <v>1</v>
      </c>
      <c r="J3961" s="17" t="n">
        <v>37.71</v>
      </c>
      <c r="K3961" s="17" t="n">
        <v>50.82</v>
      </c>
      <c r="L3961" s="17" t="n">
        <v>25.86</v>
      </c>
      <c r="M3961" s="17" t="n">
        <v>0</v>
      </c>
      <c r="N3961" s="17">
        <f>K3961*0.08+L3961*0.08</f>
        <v/>
      </c>
      <c r="O3961" s="17">
        <f>-(K3961*0.025+L3961*0.025)</f>
        <v/>
      </c>
      <c r="P3961" s="17">
        <f>32</f>
        <v/>
      </c>
      <c r="Q3961" s="17">
        <f>J3961+L3961+N3961+O3961-P3961-M3961</f>
        <v/>
      </c>
    </row>
    <row r="3962">
      <c r="A3962" s="16" t="inlineStr">
        <is>
          <t>5.29-6.4</t>
        </is>
      </c>
      <c r="B3962" s="16" t="inlineStr">
        <is>
          <t>PO-128-13177693082233919</t>
        </is>
      </c>
      <c r="C3962" s="16" t="inlineStr">
        <is>
          <t>Delivered</t>
        </is>
      </c>
      <c r="D3962" s="16" t="inlineStr">
        <is>
          <t>128-13177698325113919</t>
        </is>
      </c>
      <c r="E3962" s="16" t="inlineStr">
        <is>
          <t>Delivered</t>
        </is>
      </c>
      <c r="F3962" s="16" t="inlineStr">
        <is>
          <t>LB02235-negro</t>
        </is>
      </c>
      <c r="G3962" s="16" t="inlineStr">
        <is>
          <t>Audífonos Inalámbricos para la Cabeza, Recargables y Multifuncionales - Conectan a Varios Dispositivos, soportan Radio FM, Tarjeta TF y AUX - 4 Horas de Reproducción Musical - Ideal para Trabajo Cotidiano, Juegos y Estudio</t>
        </is>
      </c>
      <c r="H3962" s="16" t="inlineStr">
        <is>
          <t>NEGRO</t>
        </is>
      </c>
      <c r="I3962" s="16" t="n">
        <v>1</v>
      </c>
      <c r="J3962" s="17" t="n">
        <v>37.71</v>
      </c>
      <c r="K3962" s="17" t="n">
        <v>50.82</v>
      </c>
      <c r="L3962" s="17" t="n">
        <v>25.86</v>
      </c>
      <c r="M3962" s="17" t="n">
        <v>0</v>
      </c>
      <c r="N3962" s="17">
        <f>K3962*0.08+L3962*0.08</f>
        <v/>
      </c>
      <c r="O3962" s="17">
        <f>-(K3962*0.025+L3962*0.025)</f>
        <v/>
      </c>
      <c r="P3962" s="17">
        <f>32</f>
        <v/>
      </c>
      <c r="Q3962" s="17">
        <f>J3962+L3962+N3962+O3962-P3962-M3962</f>
        <v/>
      </c>
    </row>
    <row r="3963">
      <c r="A3963" s="16" t="inlineStr">
        <is>
          <t>5.29-6.4</t>
        </is>
      </c>
      <c r="B3963" s="16" t="inlineStr">
        <is>
          <t>PO-128-13427488850551340</t>
        </is>
      </c>
      <c r="C3963" s="16" t="inlineStr">
        <is>
          <t>Delivered</t>
        </is>
      </c>
      <c r="D3963" s="16" t="inlineStr">
        <is>
          <t>128-13427625165431340</t>
        </is>
      </c>
      <c r="E3963" s="16" t="inlineStr">
        <is>
          <t>Delivered</t>
        </is>
      </c>
      <c r="F3963" s="16" t="inlineStr">
        <is>
          <t>VA384T-N</t>
        </is>
      </c>
      <c r="G3963" s="16" t="inlineStr">
        <is>
          <t>Bocina Portátil Bluetooth de 3 Pulgadas con Radio FM, USB TF TWS, Sonido Estéreo 5W, Bocina Recargable para Hogar Exterior Viaje Fiesta Camping</t>
        </is>
      </c>
      <c r="H3963" s="16" t="inlineStr">
        <is>
          <t>NEGRO</t>
        </is>
      </c>
      <c r="I3963" s="16" t="n">
        <v>1</v>
      </c>
      <c r="J3963" s="17" t="n">
        <v>50</v>
      </c>
      <c r="K3963" s="17" t="n">
        <v>60.72</v>
      </c>
      <c r="L3963" s="17" t="n">
        <v>25.86</v>
      </c>
      <c r="M3963" s="17" t="n">
        <v>0</v>
      </c>
      <c r="N3963" s="17">
        <f>K3963*0.08+L3963*0.08</f>
        <v/>
      </c>
      <c r="O3963" s="17">
        <f>-(K3963*0.025+L3963*0.025)</f>
        <v/>
      </c>
      <c r="P3963" s="17">
        <f>32</f>
        <v/>
      </c>
      <c r="Q3963" s="17">
        <f>J3963+L3963+N3963+O3963-P3963-M3963</f>
        <v/>
      </c>
    </row>
    <row r="3964">
      <c r="A3964" s="16" t="inlineStr">
        <is>
          <t>5.29-6.4</t>
        </is>
      </c>
      <c r="B3964" s="16" t="inlineStr">
        <is>
          <t>PO-128-13411939052151499</t>
        </is>
      </c>
      <c r="C3964" s="16" t="inlineStr">
        <is>
          <t>Delivered</t>
        </is>
      </c>
      <c r="D3964" s="16" t="inlineStr">
        <is>
          <t>128-13411980995191499</t>
        </is>
      </c>
      <c r="E3964" s="16" t="inlineStr">
        <is>
          <t>Delivered</t>
        </is>
      </c>
      <c r="F3964" s="16" t="inlineStr">
        <is>
          <t>LB02235-negro</t>
        </is>
      </c>
      <c r="G3964" s="16" t="inlineStr">
        <is>
          <t>Audífonos Inalámbricos para la Cabeza, Recargables y Multifuncionales - Conectan a Varios Dispositivos, soportan Radio FM, Tarjeta TF y AUX - 4 Horas de Reproducción Musical - Ideal para Trabajo Cotidiano, Juegos y Estudio</t>
        </is>
      </c>
      <c r="H3964" s="16" t="inlineStr">
        <is>
          <t>NEGRO</t>
        </is>
      </c>
      <c r="I3964" s="16" t="n">
        <v>1</v>
      </c>
      <c r="J3964" s="17" t="n">
        <v>37.71</v>
      </c>
      <c r="K3964" s="17" t="n">
        <v>50.82</v>
      </c>
      <c r="L3964" s="17" t="n">
        <v>25.86</v>
      </c>
      <c r="M3964" s="17" t="n">
        <v>0</v>
      </c>
      <c r="N3964" s="17">
        <f>K3964*0.08+L3964*0.08</f>
        <v/>
      </c>
      <c r="O3964" s="17">
        <f>-(K3964*0.025+L3964*0.025)</f>
        <v/>
      </c>
      <c r="P3964" s="17">
        <f>32</f>
        <v/>
      </c>
      <c r="Q3964" s="17">
        <f>J3964+L3964+N3964+O3964-P3964-M3964</f>
        <v/>
      </c>
    </row>
    <row r="3965">
      <c r="A3965" s="16" t="inlineStr">
        <is>
          <t>5.29-6.4</t>
        </is>
      </c>
      <c r="B3965" s="16" t="inlineStr">
        <is>
          <t>PO-128-13259356867192345</t>
        </is>
      </c>
      <c r="C3965" s="16" t="inlineStr">
        <is>
          <t>Delivered</t>
        </is>
      </c>
      <c r="D3965" s="16" t="inlineStr">
        <is>
          <t>128-13259335895672345</t>
        </is>
      </c>
      <c r="E3965" s="16" t="inlineStr">
        <is>
          <t>Delivered</t>
        </is>
      </c>
      <c r="F3965" s="16" t="inlineStr">
        <is>
          <t>KTS-1678V</t>
        </is>
      </c>
      <c r="G3965" s="16" t="inlineStr">
        <is>
          <t>Bocina portátil Inalámbrico, de 3 pulgadas, tamaño de bolsillo, 170 g, con asa, compatible con TF, USB y Micro SD, con radio FM y función TWS (True Wireless Stereo), adecuada para relajarse en casa o viajar al aire libre.</t>
        </is>
      </c>
      <c r="H3965" s="16" t="inlineStr">
        <is>
          <t>KTS-1678V</t>
        </is>
      </c>
      <c r="I3965" s="16" t="n">
        <v>1</v>
      </c>
      <c r="J3965" s="17" t="n">
        <v>42.5</v>
      </c>
      <c r="K3965" s="17" t="n">
        <v>56.39</v>
      </c>
      <c r="L3965" s="17" t="n">
        <v>25.86</v>
      </c>
      <c r="M3965" s="17" t="n">
        <v>0</v>
      </c>
      <c r="N3965" s="17">
        <f>K3965*0.08+L3965*0.08</f>
        <v/>
      </c>
      <c r="O3965" s="17">
        <f>-(K3965*0.025+L3965*0.025)</f>
        <v/>
      </c>
      <c r="P3965" s="17">
        <f>32</f>
        <v/>
      </c>
      <c r="Q3965" s="17">
        <f>J3965+L3965+N3965+O3965-P3965-M3965</f>
        <v/>
      </c>
    </row>
    <row r="3966">
      <c r="A3966" s="16" t="inlineStr">
        <is>
          <t>5.29-6.4</t>
        </is>
      </c>
      <c r="B3966" s="16" t="inlineStr">
        <is>
          <t>PO-128-13389390674552592</t>
        </is>
      </c>
      <c r="C3966" s="16" t="inlineStr">
        <is>
          <t>Delivered</t>
        </is>
      </c>
      <c r="D3966" s="16" t="inlineStr">
        <is>
          <t>128-13389348731512592</t>
        </is>
      </c>
      <c r="E3966" s="16" t="inlineStr">
        <is>
          <t>Delivered</t>
        </is>
      </c>
      <c r="F3966" s="16" t="inlineStr">
        <is>
          <t>S09W18IB</t>
        </is>
      </c>
      <c r="G396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966" s="16" t="inlineStr">
        <is>
          <t>1 pieza</t>
        </is>
      </c>
      <c r="I3966" s="16" t="n">
        <v>1</v>
      </c>
      <c r="J3966" s="17" t="n">
        <v>33</v>
      </c>
      <c r="K3966" s="17" t="n">
        <v>4.14</v>
      </c>
      <c r="L3966" s="17" t="n">
        <v>25.86</v>
      </c>
      <c r="M3966" s="17" t="n">
        <v>0</v>
      </c>
      <c r="N3966" s="17">
        <f>K3966*0.08+L3966*0.08</f>
        <v/>
      </c>
      <c r="O3966" s="17">
        <f>-(K3966*0.025+L3966*0.025)</f>
        <v/>
      </c>
      <c r="P3966" s="17">
        <f>32</f>
        <v/>
      </c>
      <c r="Q3966" s="17">
        <f>J3966+L3966+N3966+O3966-P3966-M3966</f>
        <v/>
      </c>
    </row>
    <row r="3967">
      <c r="A3967" s="16" t="inlineStr">
        <is>
          <t>5.29-6.4</t>
        </is>
      </c>
      <c r="B3967" s="16" t="inlineStr">
        <is>
          <t>PO-128-13585481052790465</t>
        </is>
      </c>
      <c r="C3967" s="16" t="inlineStr">
        <is>
          <t>Delivered</t>
        </is>
      </c>
      <c r="D3967" s="16" t="inlineStr">
        <is>
          <t>128-13585439109750465</t>
        </is>
      </c>
      <c r="E3967" s="16" t="inlineStr">
        <is>
          <t>Delivered</t>
        </is>
      </c>
      <c r="F3967" s="16" t="inlineStr">
        <is>
          <t>LB02235-negro</t>
        </is>
      </c>
      <c r="G3967" s="16" t="inlineStr">
        <is>
          <t>Audífonos Inalámbricos para la Cabeza, Recargables y Multifuncionales - Conectan a Varios Dispositivos, soportan Radio FM, Tarjeta TF y AUX - 4 Horas de Reproducción Musical - Ideal para Trabajo Cotidiano, Juegos y Estudio</t>
        </is>
      </c>
      <c r="H3967" s="16" t="inlineStr">
        <is>
          <t>NEGRO</t>
        </is>
      </c>
      <c r="I3967" s="16" t="n">
        <v>1</v>
      </c>
      <c r="J3967" s="17" t="n">
        <v>37.71</v>
      </c>
      <c r="K3967" s="17" t="n">
        <v>50.82</v>
      </c>
      <c r="L3967" s="17" t="n">
        <v>25.86</v>
      </c>
      <c r="M3967" s="17" t="n">
        <v>0</v>
      </c>
      <c r="N3967" s="17">
        <f>K3967*0.08+L3967*0.08</f>
        <v/>
      </c>
      <c r="O3967" s="17">
        <f>-(K3967*0.025+L3967*0.025)</f>
        <v/>
      </c>
      <c r="P3967" s="17">
        <f>32</f>
        <v/>
      </c>
      <c r="Q3967" s="17">
        <f>J3967+L3967+N3967+O3967-P3967-M3967</f>
        <v/>
      </c>
    </row>
    <row r="3968">
      <c r="A3968" s="16" t="inlineStr">
        <is>
          <t>5.29-6.4</t>
        </is>
      </c>
      <c r="B3968" s="16" t="inlineStr">
        <is>
          <t>PO-128-13395281434232684</t>
        </is>
      </c>
      <c r="C3968" s="16" t="inlineStr">
        <is>
          <t>Delivered</t>
        </is>
      </c>
      <c r="D3968" s="16" t="inlineStr">
        <is>
          <t>128-13395417749112684</t>
        </is>
      </c>
      <c r="E3968" s="16" t="inlineStr">
        <is>
          <t>Delivered</t>
        </is>
      </c>
      <c r="F3968" s="16" t="inlineStr">
        <is>
          <t>LB02235-azul</t>
        </is>
      </c>
      <c r="G3968" s="16" t="inlineStr">
        <is>
          <t>Audífonos Inalámbricos para la Cabeza, Recargables y Multifuncionales - Conectan a Varios Dispositivos, soportan Radio FM, Tarjeta TF y AUX - 4 Horas de Reproducción Musical - Ideal para Trabajo Cotidiano, Juegos y Estudio</t>
        </is>
      </c>
      <c r="H3968" s="16" t="inlineStr">
        <is>
          <t>AZUL</t>
        </is>
      </c>
      <c r="I3968" s="16" t="n">
        <v>1</v>
      </c>
      <c r="J3968" s="17" t="n">
        <v>36.8</v>
      </c>
      <c r="K3968" s="17" t="n">
        <v>49.91</v>
      </c>
      <c r="L3968" s="17" t="n">
        <v>25.86</v>
      </c>
      <c r="M3968" s="17" t="n">
        <v>0</v>
      </c>
      <c r="N3968" s="17">
        <f>K3968*0.08+L3968*0.08</f>
        <v/>
      </c>
      <c r="O3968" s="17">
        <f>-(K3968*0.025+L3968*0.025)</f>
        <v/>
      </c>
      <c r="P3968" s="17">
        <f>32</f>
        <v/>
      </c>
      <c r="Q3968" s="17">
        <f>J3968+L3968+N3968+O3968-P3968-M3968</f>
        <v/>
      </c>
    </row>
    <row r="3969">
      <c r="A3969" s="16" t="inlineStr">
        <is>
          <t>5.29-6.4</t>
        </is>
      </c>
      <c r="B3969" s="16" t="inlineStr">
        <is>
          <t>PO-128-13368771215992778</t>
        </is>
      </c>
      <c r="C3969" s="16" t="inlineStr">
        <is>
          <t>Delivered</t>
        </is>
      </c>
      <c r="D3969" s="16" t="inlineStr">
        <is>
          <t>128-13368907530872778</t>
        </is>
      </c>
      <c r="E3969" s="16" t="inlineStr">
        <is>
          <t>Delivered</t>
        </is>
      </c>
      <c r="F3969" s="16" t="inlineStr">
        <is>
          <t>FA028</t>
        </is>
      </c>
      <c r="G3969" s="16" t="inlineStr">
        <is>
          <t>Extractor de agua para garrafas de agua, compatible con carga USB, extractor de agua automático, práctico, con dos modos de toma de agua: manual y programado, ideal para dormitorios, salones, oficinas, uso al aire libre y otros escenarios.</t>
        </is>
      </c>
      <c r="H3969" s="16" t="inlineStr">
        <is>
          <t>FA028</t>
        </is>
      </c>
      <c r="I3969" s="16" t="n">
        <v>1</v>
      </c>
      <c r="J3969" s="17" t="n">
        <v>35</v>
      </c>
      <c r="K3969" s="17" t="n">
        <v>1.48</v>
      </c>
      <c r="L3969" s="17" t="n">
        <v>25.86</v>
      </c>
      <c r="M3969" s="17" t="n">
        <v>0</v>
      </c>
      <c r="N3969" s="17">
        <f>K3969*0.08+L3969*0.08</f>
        <v/>
      </c>
      <c r="O3969" s="17">
        <f>-(K3969*0.025+L3969*0.025)</f>
        <v/>
      </c>
      <c r="P3969" s="17">
        <f>32</f>
        <v/>
      </c>
      <c r="Q3969" s="17">
        <f>J3969+L3969+N3969+O3969-P3969-M3969</f>
        <v/>
      </c>
    </row>
    <row r="3970">
      <c r="A3970" s="16" t="inlineStr">
        <is>
          <t>5.29-6.4</t>
        </is>
      </c>
      <c r="B3970" s="16" t="inlineStr">
        <is>
          <t>PO-128-13241956936312510</t>
        </is>
      </c>
      <c r="C3970" s="16" t="inlineStr">
        <is>
          <t>Delivered</t>
        </is>
      </c>
      <c r="D3970" s="16" t="inlineStr">
        <is>
          <t>128-13241977907832510</t>
        </is>
      </c>
      <c r="E3970" s="16" t="inlineStr">
        <is>
          <t>Delivered</t>
        </is>
      </c>
      <c r="F3970" s="16" t="inlineStr">
        <is>
          <t>VA384T-A</t>
        </is>
      </c>
      <c r="G3970" s="16" t="inlineStr">
        <is>
          <t>Bocina Portátil Bluetooth de 3 Pulgadas con Radio FM, USB TF TWS, Sonido Estéreo 5W, Bocina Recargable para Hogar Exterior Viaje Fiesta Camping</t>
        </is>
      </c>
      <c r="H3970" s="16" t="inlineStr">
        <is>
          <t>AZUL</t>
        </is>
      </c>
      <c r="I3970" s="16" t="n">
        <v>1</v>
      </c>
      <c r="J3970" s="17" t="n">
        <v>48</v>
      </c>
      <c r="K3970" s="17" t="n">
        <v>58.72</v>
      </c>
      <c r="L3970" s="17" t="n">
        <v>25.86</v>
      </c>
      <c r="M3970" s="17" t="n">
        <v>0</v>
      </c>
      <c r="N3970" s="17">
        <f>K3970*0.08+L3970*0.08</f>
        <v/>
      </c>
      <c r="O3970" s="17">
        <f>-(K3970*0.025+L3970*0.025)</f>
        <v/>
      </c>
      <c r="P3970" s="17">
        <f>32</f>
        <v/>
      </c>
      <c r="Q3970" s="17">
        <f>J3970+L3970+N3970+O3970-P3970-M3970</f>
        <v/>
      </c>
    </row>
    <row r="3971">
      <c r="A3971" s="16" t="inlineStr">
        <is>
          <t>5.29-6.4</t>
        </is>
      </c>
      <c r="B3971" s="16" t="inlineStr">
        <is>
          <t>PO-128-13475738921591119</t>
        </is>
      </c>
      <c r="C3971" s="16" t="inlineStr">
        <is>
          <t>Delivered</t>
        </is>
      </c>
      <c r="D3971" s="16" t="inlineStr">
        <is>
          <t>128-13475723192951119</t>
        </is>
      </c>
      <c r="E3971" s="16" t="inlineStr">
        <is>
          <t>Delivered</t>
        </is>
      </c>
      <c r="F3971" s="16" t="inlineStr">
        <is>
          <t>LB02235-blanco</t>
        </is>
      </c>
      <c r="G3971" s="16" t="inlineStr">
        <is>
          <t>Audífonos Inalámbricos para la Cabeza, Recargables y Multifuncionales - Conectan a Varios Dispositivos, soportan Radio FM, Tarjeta TF y AUX - 4 Horas de Reproducción Musical - Ideal para Trabajo Cotidiano, Juegos y Estudio</t>
        </is>
      </c>
      <c r="H3971" s="16" t="inlineStr">
        <is>
          <t>BLANCO</t>
        </is>
      </c>
      <c r="I3971" s="16" t="n">
        <v>1</v>
      </c>
      <c r="J3971" s="17" t="n">
        <v>37.71</v>
      </c>
      <c r="K3971" s="17" t="n">
        <v>50.82</v>
      </c>
      <c r="L3971" s="17" t="n">
        <v>25.86</v>
      </c>
      <c r="M3971" s="17" t="n">
        <v>0</v>
      </c>
      <c r="N3971" s="17">
        <f>K3971*0.08+L3971*0.08</f>
        <v/>
      </c>
      <c r="O3971" s="17">
        <f>-(K3971*0.025+L3971*0.025)</f>
        <v/>
      </c>
      <c r="P3971" s="17">
        <f>32</f>
        <v/>
      </c>
      <c r="Q3971" s="17">
        <f>J3971+L3971+N3971+O3971-P3971-M3971</f>
        <v/>
      </c>
    </row>
    <row r="3972">
      <c r="A3972" s="16" t="inlineStr">
        <is>
          <t>5.29-6.4</t>
        </is>
      </c>
      <c r="B3972" s="16" t="inlineStr">
        <is>
          <t>PO-128-13655666698870108</t>
        </is>
      </c>
      <c r="C3972" s="16" t="inlineStr">
        <is>
          <t>Delivered</t>
        </is>
      </c>
      <c r="D3972" s="16" t="inlineStr">
        <is>
          <t>128-13655803013750108</t>
        </is>
      </c>
      <c r="E3972" s="16" t="inlineStr">
        <is>
          <t>Delivered</t>
        </is>
      </c>
      <c r="F3972" s="16" t="inlineStr">
        <is>
          <t>LB02235-azul</t>
        </is>
      </c>
      <c r="G3972" s="16" t="inlineStr">
        <is>
          <t>Audífonos Inalámbricos para la Cabeza, Recargables y Multifuncionales - Conectan a Varios Dispositivos, soportan Radio FM, Tarjeta TF y AUX - 4 Horas de Reproducción Musical - Ideal para Trabajo Cotidiano, Juegos y Estudio</t>
        </is>
      </c>
      <c r="H3972" s="16" t="inlineStr">
        <is>
          <t>AZUL</t>
        </is>
      </c>
      <c r="I3972" s="16" t="n">
        <v>1</v>
      </c>
      <c r="J3972" s="17" t="n">
        <v>36.8</v>
      </c>
      <c r="K3972" s="17" t="n">
        <v>6.81</v>
      </c>
      <c r="L3972" s="17" t="n">
        <v>25.86</v>
      </c>
      <c r="M3972" s="17" t="n">
        <v>0</v>
      </c>
      <c r="N3972" s="17">
        <f>K3972*0.08+L3972*0.08</f>
        <v/>
      </c>
      <c r="O3972" s="17">
        <f>-(K3972*0.025+L3972*0.025)</f>
        <v/>
      </c>
      <c r="P3972" s="17">
        <f>32</f>
        <v/>
      </c>
      <c r="Q3972" s="17">
        <f>J3972+L3972+N3972+O3972-P3972-M3972</f>
        <v/>
      </c>
    </row>
    <row r="3973">
      <c r="A3973" s="16" t="inlineStr">
        <is>
          <t>5.29-6.4</t>
        </is>
      </c>
      <c r="B3973" s="16" t="inlineStr">
        <is>
          <t>PO-128-13207906447993611</t>
        </is>
      </c>
      <c r="C3973" s="16" t="inlineStr">
        <is>
          <t>Delivered</t>
        </is>
      </c>
      <c r="D3973" s="16" t="inlineStr">
        <is>
          <t>128-13207946424953611</t>
        </is>
      </c>
      <c r="E3973" s="16" t="inlineStr">
        <is>
          <t>Delivered</t>
        </is>
      </c>
      <c r="F3973" s="16" t="inlineStr">
        <is>
          <t>LB02235-rojo</t>
        </is>
      </c>
      <c r="G3973" s="16" t="inlineStr">
        <is>
          <t>Audífonos Inalámbricos para la Cabeza, Recargables y Multifuncionales - Conectan a Varios Dispositivos, soportan Radio FM, Tarjeta TF y AUX - 4 Horas de Reproducción Musical - Ideal para Trabajo Cotidiano, Juegos y Estudio</t>
        </is>
      </c>
      <c r="H3973" s="16" t="inlineStr">
        <is>
          <t>ROJO</t>
        </is>
      </c>
      <c r="I3973" s="16" t="n">
        <v>1</v>
      </c>
      <c r="J3973" s="17" t="n">
        <v>37.71</v>
      </c>
      <c r="K3973" s="17" t="n">
        <v>50.82</v>
      </c>
      <c r="L3973" s="17" t="n">
        <v>25.86</v>
      </c>
      <c r="M3973" s="17" t="n">
        <v>0</v>
      </c>
      <c r="N3973" s="17">
        <f>K3973*0.08+L3973*0.08</f>
        <v/>
      </c>
      <c r="O3973" s="17">
        <f>-(K3973*0.025+L3973*0.025)</f>
        <v/>
      </c>
      <c r="P3973" s="17">
        <f>32</f>
        <v/>
      </c>
      <c r="Q3973" s="17">
        <f>J3973+L3973+N3973+O3973-P3973-M3973</f>
        <v/>
      </c>
    </row>
    <row r="3974">
      <c r="A3974" s="16" t="inlineStr">
        <is>
          <t>5.29-6.4</t>
        </is>
      </c>
      <c r="B3974" s="16" t="inlineStr">
        <is>
          <t>PO-128-13724943493750529</t>
        </is>
      </c>
      <c r="C3974" s="16" t="inlineStr">
        <is>
          <t>Delivered</t>
        </is>
      </c>
      <c r="D3974" s="16" t="inlineStr">
        <is>
          <t>128-13725095537270529</t>
        </is>
      </c>
      <c r="E3974" s="16" t="inlineStr">
        <is>
          <t>Delivered</t>
        </is>
      </c>
      <c r="F3974" s="16" t="inlineStr">
        <is>
          <t>SA325T</t>
        </is>
      </c>
      <c r="G3974" s="16" t="inlineStr">
        <is>
          <t>Subwoofer Portátil Inalámbrico con Luces RGB, Sonido de Alta Potencia y Batería Duradera, TWS TF USB, Perfecto para Campamento Fiestas y Entretenimiento en Casa</t>
        </is>
      </c>
      <c r="H3974" s="16" t="inlineStr">
        <is>
          <t>NEGRO</t>
        </is>
      </c>
      <c r="I3974" s="16" t="n">
        <v>1</v>
      </c>
      <c r="J3974" s="17" t="n">
        <v>38</v>
      </c>
      <c r="K3974" s="17" t="n">
        <v>47.04</v>
      </c>
      <c r="L3974" s="17" t="n">
        <v>25.86</v>
      </c>
      <c r="M3974" s="17" t="n">
        <v>0</v>
      </c>
      <c r="N3974" s="17">
        <f>K3974*0.08+L3974*0.08</f>
        <v/>
      </c>
      <c r="O3974" s="17">
        <f>-(K3974*0.025+L3974*0.025)</f>
        <v/>
      </c>
      <c r="P3974" s="17">
        <f>32</f>
        <v/>
      </c>
      <c r="Q3974" s="17">
        <f>J3974+L3974+N3974+O3974-P3974-M3974</f>
        <v/>
      </c>
    </row>
    <row r="3975">
      <c r="A3975" s="16" t="inlineStr">
        <is>
          <t>5.29-6.4</t>
        </is>
      </c>
      <c r="B3975" s="16" t="inlineStr">
        <is>
          <t>PO-128-13571983514231633</t>
        </is>
      </c>
      <c r="C3975" s="16" t="inlineStr">
        <is>
          <t>Delivered</t>
        </is>
      </c>
      <c r="D3975" s="16" t="inlineStr">
        <is>
          <t>128-13572025457271633</t>
        </is>
      </c>
      <c r="E3975" s="16" t="inlineStr">
        <is>
          <t>Delivered</t>
        </is>
      </c>
      <c r="F3975" s="16" t="inlineStr">
        <is>
          <t>SA316T</t>
        </is>
      </c>
      <c r="G3975" s="16" t="inlineStr">
        <is>
          <t>Linkbits Máquina Portátil de Karaoke y Altavoz para Karaoke，Altavoz Inalámbrico de 3" con TWS, micrófono incluido, radio FM, tarjeta Micro SD y puerto USB, luces RGB, recargable, potencia de 10W</t>
        </is>
      </c>
      <c r="H3975" s="16" t="inlineStr">
        <is>
          <t>SA316T</t>
        </is>
      </c>
      <c r="I3975" s="16" t="n">
        <v>1</v>
      </c>
      <c r="J3975" s="17" t="n">
        <v>132</v>
      </c>
      <c r="K3975" s="17" t="n">
        <v>157.16</v>
      </c>
      <c r="L3975" s="17" t="n">
        <v>25.86</v>
      </c>
      <c r="M3975" s="17" t="n">
        <v>0</v>
      </c>
      <c r="N3975" s="17">
        <f>K3975*0.08+L3975*0.08</f>
        <v/>
      </c>
      <c r="O3975" s="17">
        <f>-(K3975*0.025+L3975*0.025)</f>
        <v/>
      </c>
      <c r="P3975" s="17">
        <f>32</f>
        <v/>
      </c>
      <c r="Q3975" s="17">
        <f>J3975+L3975+N3975+O3975-P3975-M3975</f>
        <v/>
      </c>
    </row>
    <row r="3976">
      <c r="A3976" s="16" t="inlineStr">
        <is>
          <t>5.29-6.4</t>
        </is>
      </c>
      <c r="B3976" s="16" t="inlineStr">
        <is>
          <t>PO-128-13503112131192042</t>
        </is>
      </c>
      <c r="C3976" s="16" t="inlineStr">
        <is>
          <t>Delivered</t>
        </is>
      </c>
      <c r="D3976" s="16" t="inlineStr">
        <is>
          <t>128-13503070188152042</t>
        </is>
      </c>
      <c r="E3976" s="16" t="inlineStr">
        <is>
          <t>Delivered</t>
        </is>
      </c>
      <c r="F3976" s="16" t="inlineStr">
        <is>
          <t>MB-185R</t>
        </is>
      </c>
      <c r="G3976" s="16" t="inlineStr">
        <is>
          <t>Bocina Radio FM/Reproductor, Compatible con Tarjeta TF, USB, Bluetooth, Aplicable para celular, computadora, Ipad y consola.</t>
        </is>
      </c>
      <c r="H3976" s="16" t="inlineStr">
        <is>
          <t>ROJO/MB-185</t>
        </is>
      </c>
      <c r="I3976" s="16" t="n">
        <v>1</v>
      </c>
      <c r="J3976" s="17" t="n">
        <v>75.59999999999999</v>
      </c>
      <c r="K3976" s="17" t="n">
        <v>45.43</v>
      </c>
      <c r="L3976" s="17" t="n">
        <v>25.86</v>
      </c>
      <c r="M3976" s="17" t="n">
        <v>0</v>
      </c>
      <c r="N3976" s="17">
        <f>K3976*0.08+L3976*0.08</f>
        <v/>
      </c>
      <c r="O3976" s="17">
        <f>-(K3976*0.025+L3976*0.025)</f>
        <v/>
      </c>
      <c r="P3976" s="17">
        <f>32</f>
        <v/>
      </c>
      <c r="Q3976" s="17">
        <f>J3976+L3976+N3976+O3976-P3976-M3976</f>
        <v/>
      </c>
    </row>
    <row r="3977">
      <c r="A3977" s="16" t="inlineStr">
        <is>
          <t>5.29-6.4</t>
        </is>
      </c>
      <c r="B3977" s="16" t="inlineStr">
        <is>
          <t>PO-128-13595067315830278</t>
        </is>
      </c>
      <c r="C3977" s="16" t="inlineStr">
        <is>
          <t>Delivered</t>
        </is>
      </c>
      <c r="D3977" s="16" t="inlineStr">
        <is>
          <t>128-13595046344310278</t>
        </is>
      </c>
      <c r="E3977" s="16" t="inlineStr">
        <is>
          <t>Delivered</t>
        </is>
      </c>
      <c r="F3977" s="16" t="inlineStr">
        <is>
          <t>LB02235-azul</t>
        </is>
      </c>
      <c r="G3977" s="16" t="inlineStr">
        <is>
          <t>Audífonos Inalámbricos para la Cabeza, Recargables y Multifuncionales - Conectan a Varios Dispositivos, soportan Radio FM, Tarjeta TF y AUX - 4 Horas de Reproducción Musical - Ideal para Trabajo Cotidiano, Juegos y Estudio</t>
        </is>
      </c>
      <c r="H3977" s="16" t="inlineStr">
        <is>
          <t>AZUL</t>
        </is>
      </c>
      <c r="I3977" s="16" t="n">
        <v>1</v>
      </c>
      <c r="J3977" s="17" t="n">
        <v>36.8</v>
      </c>
      <c r="K3977" s="17" t="n">
        <v>49.91</v>
      </c>
      <c r="L3977" s="17" t="n">
        <v>25.86</v>
      </c>
      <c r="M3977" s="17" t="n">
        <v>0</v>
      </c>
      <c r="N3977" s="17">
        <f>K3977*0.08+L3977*0.08</f>
        <v/>
      </c>
      <c r="O3977" s="17">
        <f>-(K3977*0.025+L3977*0.025)</f>
        <v/>
      </c>
      <c r="P3977" s="17">
        <f>32</f>
        <v/>
      </c>
      <c r="Q3977" s="17">
        <f>J3977+L3977+N3977+O3977-P3977-M3977</f>
        <v/>
      </c>
    </row>
    <row r="3978">
      <c r="A3978" s="16" t="inlineStr">
        <is>
          <t>5.29-6.4</t>
        </is>
      </c>
      <c r="B3978" s="16" t="inlineStr">
        <is>
          <t>PO-128-13461029366391271</t>
        </is>
      </c>
      <c r="C3978" s="16" t="inlineStr">
        <is>
          <t>Delivered</t>
        </is>
      </c>
      <c r="D3978" s="16" t="inlineStr">
        <is>
          <t>128-13460987423351271</t>
        </is>
      </c>
      <c r="E3978" s="16" t="inlineStr">
        <is>
          <t>Delivered</t>
        </is>
      </c>
      <c r="F3978" s="16" t="inlineStr">
        <is>
          <t>LB02235-blanco</t>
        </is>
      </c>
      <c r="G3978" s="16" t="inlineStr">
        <is>
          <t>Audífonos Inalámbricos para la Cabeza, Recargables y Multifuncionales - Conectan a Varios Dispositivos, soportan Radio FM, Tarjeta TF y AUX - 4 Horas de Reproducción Musical - Ideal para Trabajo Cotidiano, Juegos y Estudio</t>
        </is>
      </c>
      <c r="H3978" s="16" t="inlineStr">
        <is>
          <t>BLANCO</t>
        </is>
      </c>
      <c r="I3978" s="16" t="n">
        <v>2</v>
      </c>
      <c r="J3978" s="17" t="n">
        <v>75.42</v>
      </c>
      <c r="K3978" s="17" t="n">
        <v>38.22</v>
      </c>
      <c r="L3978" s="17" t="n">
        <v>25.86</v>
      </c>
      <c r="M3978" s="17" t="n">
        <v>0</v>
      </c>
      <c r="N3978" s="17">
        <f>K3978*0.08+L3978*0.08</f>
        <v/>
      </c>
      <c r="O3978" s="17">
        <f>-(K3978*0.025+L3978*0.025)</f>
        <v/>
      </c>
      <c r="P3978" s="17">
        <f>32</f>
        <v/>
      </c>
      <c r="Q3978" s="17">
        <f>J3978+L3978+N3978+O3978-P3978-M3978</f>
        <v/>
      </c>
    </row>
    <row r="3979">
      <c r="A3979" s="16" t="inlineStr">
        <is>
          <t>5.29-6.4</t>
        </is>
      </c>
      <c r="B3979" s="16" t="inlineStr">
        <is>
          <t>PO-128-13435334052471358</t>
        </is>
      </c>
      <c r="C3979" s="16" t="inlineStr">
        <is>
          <t>Delivered</t>
        </is>
      </c>
      <c r="D3979" s="16" t="inlineStr">
        <is>
          <t>128-13435292109431358</t>
        </is>
      </c>
      <c r="E3979" s="16" t="inlineStr">
        <is>
          <t>Delivered</t>
        </is>
      </c>
      <c r="F3979" s="16" t="inlineStr">
        <is>
          <t>SA325T</t>
        </is>
      </c>
      <c r="G3979" s="16" t="inlineStr">
        <is>
          <t>Subwoofer Portátil Inalámbrico con Luces RGB, Sonido de Alta Potencia y Batería Duradera, TWS TF USB, Perfecto para Campamento Fiestas y Entretenimiento en Casa</t>
        </is>
      </c>
      <c r="H3979" s="16" t="inlineStr">
        <is>
          <t>NEGRO</t>
        </is>
      </c>
      <c r="I3979" s="16" t="n">
        <v>1</v>
      </c>
      <c r="J3979" s="17" t="n">
        <v>38</v>
      </c>
      <c r="K3979" s="17" t="n">
        <v>3.94</v>
      </c>
      <c r="L3979" s="17" t="n">
        <v>25.86</v>
      </c>
      <c r="M3979" s="17" t="n">
        <v>0</v>
      </c>
      <c r="N3979" s="17">
        <f>K3979*0.08+L3979*0.08</f>
        <v/>
      </c>
      <c r="O3979" s="17">
        <f>-(K3979*0.025+L3979*0.025)</f>
        <v/>
      </c>
      <c r="P3979" s="17">
        <f>32</f>
        <v/>
      </c>
      <c r="Q3979" s="17">
        <f>J3979+L3979+N3979+O3979-P3979-M3979</f>
        <v/>
      </c>
    </row>
    <row r="3980">
      <c r="A3980" s="16" t="inlineStr">
        <is>
          <t>5.29-6.4</t>
        </is>
      </c>
      <c r="B3980" s="16" t="inlineStr">
        <is>
          <t>PO-128-13221473690233656</t>
        </is>
      </c>
      <c r="C3980" s="16" t="inlineStr">
        <is>
          <t>Delivered</t>
        </is>
      </c>
      <c r="D3980" s="16" t="inlineStr">
        <is>
          <t>128-13221526119033656</t>
        </is>
      </c>
      <c r="E3980" s="16" t="inlineStr">
        <is>
          <t>Delivered</t>
        </is>
      </c>
      <c r="F3980" s="16" t="inlineStr">
        <is>
          <t>KTS-1678V</t>
        </is>
      </c>
      <c r="G3980" s="16" t="inlineStr">
        <is>
          <t>Bocina portátil Inalámbrico, de 3 pulgadas, tamaño de bolsillo, 170 g, con asa, compatible con TF, USB y Micro SD, con radio FM y función TWS (True Wireless Stereo), adecuada para relajarse en casa o viajar al aire libre.</t>
        </is>
      </c>
      <c r="H3980" s="16" t="inlineStr">
        <is>
          <t>KTS-1678V</t>
        </is>
      </c>
      <c r="I3980" s="16" t="n">
        <v>1</v>
      </c>
      <c r="J3980" s="17" t="n">
        <v>42.5</v>
      </c>
      <c r="K3980" s="17" t="n">
        <v>56.39</v>
      </c>
      <c r="L3980" s="17" t="n">
        <v>12.66</v>
      </c>
      <c r="M3980" s="17" t="n">
        <v>0</v>
      </c>
      <c r="N3980" s="17">
        <f>K3980*0.08+L3980*0.08</f>
        <v/>
      </c>
      <c r="O3980" s="17">
        <f>-(K3980*0.025+L3980*0.025)</f>
        <v/>
      </c>
      <c r="P3980" s="17">
        <f>32</f>
        <v/>
      </c>
      <c r="Q3980" s="17">
        <f>J3980+L3980+N3980+O3980-P3980-M3980</f>
        <v/>
      </c>
    </row>
    <row r="3981">
      <c r="A3981" s="16" t="inlineStr">
        <is>
          <t>5.29-6.4</t>
        </is>
      </c>
      <c r="B3981" s="16" t="inlineStr">
        <is>
          <t>PO-128-13221473690233656</t>
        </is>
      </c>
      <c r="C3981" s="16" t="inlineStr">
        <is>
          <t>Delivered</t>
        </is>
      </c>
      <c r="D3981" s="16" t="inlineStr">
        <is>
          <t>128-13221505147513656</t>
        </is>
      </c>
      <c r="E3981" s="16" t="inlineStr">
        <is>
          <t>Delivered</t>
        </is>
      </c>
      <c r="F3981" s="16" t="inlineStr">
        <is>
          <t>VA384T-A</t>
        </is>
      </c>
      <c r="G3981" s="16" t="inlineStr">
        <is>
          <t>Bocina Portátil Bluetooth de 3 Pulgadas con Radio FM, USB TF TWS, Sonido Estéreo 5W, Bocina Recargable para Hogar Exterior Viaje Fiesta Camping</t>
        </is>
      </c>
      <c r="H3981" s="16" t="inlineStr">
        <is>
          <t>AZUL</t>
        </is>
      </c>
      <c r="I3981" s="16" t="n">
        <v>1</v>
      </c>
      <c r="J3981" s="17" t="n">
        <v>48</v>
      </c>
      <c r="K3981" s="17" t="n">
        <v>58.72</v>
      </c>
      <c r="L3981" s="17" t="n">
        <v>13.2</v>
      </c>
      <c r="M3981" s="17" t="n">
        <v>0</v>
      </c>
      <c r="N3981" s="17">
        <f>K3981*0.08+L3981*0.08</f>
        <v/>
      </c>
      <c r="O3981" s="17">
        <f>-(K3981*0.025+L3981*0.025)</f>
        <v/>
      </c>
      <c r="P3981" s="17">
        <f>32</f>
        <v/>
      </c>
      <c r="Q3981" s="17">
        <f>J3981+L3981+N3981+O3981-P3981-M3981</f>
        <v/>
      </c>
    </row>
    <row r="3982">
      <c r="A3982" s="16" t="inlineStr">
        <is>
          <t>5.29-6.4</t>
        </is>
      </c>
      <c r="B3982" s="16" t="inlineStr">
        <is>
          <t>PO-128-13357375048312718</t>
        </is>
      </c>
      <c r="C3982" s="16" t="inlineStr">
        <is>
          <t>Delivered</t>
        </is>
      </c>
      <c r="D3982" s="16" t="inlineStr">
        <is>
          <t>128-13357479905912718</t>
        </is>
      </c>
      <c r="E3982" s="16" t="inlineStr">
        <is>
          <t>Delivered</t>
        </is>
      </c>
      <c r="F3982" s="16" t="inlineStr">
        <is>
          <t>LB02235-blanco</t>
        </is>
      </c>
      <c r="G3982" s="16" t="inlineStr">
        <is>
          <t>Audífonos Inalámbricos para la Cabeza, Recargables y Multifuncionales - Conectan a Varios Dispositivos, soportan Radio FM, Tarjeta TF y AUX - 4 Horas de Reproducción Musical - Ideal para Trabajo Cotidiano, Juegos y Estudio</t>
        </is>
      </c>
      <c r="H3982" s="16" t="inlineStr">
        <is>
          <t>BLANCO</t>
        </is>
      </c>
      <c r="I3982" s="16" t="n">
        <v>1</v>
      </c>
      <c r="J3982" s="17" t="n">
        <v>35</v>
      </c>
      <c r="K3982" s="17" t="n">
        <v>48.11</v>
      </c>
      <c r="L3982" s="17" t="n">
        <v>25.86</v>
      </c>
      <c r="M3982" s="17" t="n">
        <v>0</v>
      </c>
      <c r="N3982" s="17">
        <f>K3982*0.08+L3982*0.08</f>
        <v/>
      </c>
      <c r="O3982" s="17">
        <f>-(K3982*0.025+L3982*0.025)</f>
        <v/>
      </c>
      <c r="P3982" s="17">
        <f>32</f>
        <v/>
      </c>
      <c r="Q3982" s="17">
        <f>J3982+L3982+N3982+O3982-P3982-M3982</f>
        <v/>
      </c>
    </row>
    <row r="3983">
      <c r="A3983" s="16" t="inlineStr">
        <is>
          <t>5.29-6.4</t>
        </is>
      </c>
      <c r="B3983" s="16" t="inlineStr">
        <is>
          <t>PO-128-13097520271993437</t>
        </is>
      </c>
      <c r="C3983" s="16" t="inlineStr">
        <is>
          <t>Delivered</t>
        </is>
      </c>
      <c r="D3983" s="16" t="inlineStr">
        <is>
          <t>128-13097562215033437</t>
        </is>
      </c>
      <c r="E3983" s="16" t="inlineStr">
        <is>
          <t>Delivered</t>
        </is>
      </c>
      <c r="F3983" s="16" t="inlineStr">
        <is>
          <t>LB02235-negro</t>
        </is>
      </c>
      <c r="G3983" s="16" t="inlineStr">
        <is>
          <t>Audífonos Inalámbricos para la Cabeza, Recargables y Multifuncionales - Conectan a Varios Dispositivos, soportan Radio FM, Tarjeta TF y AUX - 4 Horas de Reproducción Musical - Ideal para Trabajo Cotidiano, Juegos y Estudio</t>
        </is>
      </c>
      <c r="H3983" s="16" t="inlineStr">
        <is>
          <t>NEGRO</t>
        </is>
      </c>
      <c r="I3983" s="16" t="n">
        <v>1</v>
      </c>
      <c r="J3983" s="17" t="n">
        <v>35</v>
      </c>
      <c r="K3983" s="17" t="n">
        <v>48.11</v>
      </c>
      <c r="L3983" s="17" t="n">
        <v>25.86</v>
      </c>
      <c r="M3983" s="17" t="n">
        <v>0</v>
      </c>
      <c r="N3983" s="17">
        <f>K3983*0.08+L3983*0.08</f>
        <v/>
      </c>
      <c r="O3983" s="17">
        <f>-(K3983*0.025+L3983*0.025)</f>
        <v/>
      </c>
      <c r="P3983" s="17">
        <f>32</f>
        <v/>
      </c>
      <c r="Q3983" s="17">
        <f>J3983+L3983+N3983+O3983-P3983-M3983</f>
        <v/>
      </c>
    </row>
    <row r="3984">
      <c r="A3984" s="16" t="inlineStr">
        <is>
          <t>5.29-6.4</t>
        </is>
      </c>
      <c r="B3984" s="16" t="inlineStr">
        <is>
          <t>PO-128-13436813292151351</t>
        </is>
      </c>
      <c r="C3984" s="16" t="inlineStr">
        <is>
          <t>Delivered</t>
        </is>
      </c>
      <c r="D3984" s="16" t="inlineStr">
        <is>
          <t>128-13436742513271351</t>
        </is>
      </c>
      <c r="E3984" s="16" t="inlineStr">
        <is>
          <t>Delivered</t>
        </is>
      </c>
      <c r="F3984" s="16" t="inlineStr">
        <is>
          <t>LB02235-blanco</t>
        </is>
      </c>
      <c r="G3984" s="16" t="inlineStr">
        <is>
          <t>Audífonos Inalámbricos para la Cabeza, Recargables y Multifuncionales - Conectan a Varios Dispositivos, soportan Radio FM, Tarjeta TF y AUX - 4 Horas de Reproducción Musical - Ideal para Trabajo Cotidiano, Juegos y Estudio</t>
        </is>
      </c>
      <c r="H3984" s="16" t="inlineStr">
        <is>
          <t>BLANCO</t>
        </is>
      </c>
      <c r="I3984" s="16" t="n">
        <v>1</v>
      </c>
      <c r="J3984" s="17" t="n">
        <v>35</v>
      </c>
      <c r="K3984" s="17" t="n">
        <v>48.11</v>
      </c>
      <c r="L3984" s="17" t="n">
        <v>25.86</v>
      </c>
      <c r="M3984" s="17" t="n">
        <v>0</v>
      </c>
      <c r="N3984" s="17">
        <f>K3984*0.08+L3984*0.08</f>
        <v/>
      </c>
      <c r="O3984" s="17">
        <f>-(K3984*0.025+L3984*0.025)</f>
        <v/>
      </c>
      <c r="P3984" s="17">
        <f>32</f>
        <v/>
      </c>
      <c r="Q3984" s="17">
        <f>J3984+L3984+N3984+O3984-P3984-M3984</f>
        <v/>
      </c>
    </row>
    <row r="3985">
      <c r="A3985" s="16" t="inlineStr">
        <is>
          <t>5.29-6.4</t>
        </is>
      </c>
      <c r="B3985" s="16" t="inlineStr">
        <is>
          <t>PO-128-13088213453433365</t>
        </is>
      </c>
      <c r="C3985" s="16" t="inlineStr">
        <is>
          <t>Delivered</t>
        </is>
      </c>
      <c r="D3985" s="16" t="inlineStr">
        <is>
          <t>128-13088171510393365</t>
        </is>
      </c>
      <c r="E3985" s="16" t="inlineStr">
        <is>
          <t>Delivered</t>
        </is>
      </c>
      <c r="F3985" s="16" t="inlineStr">
        <is>
          <t>SA325T</t>
        </is>
      </c>
      <c r="G3985" s="16" t="inlineStr">
        <is>
          <t>Subwoofer Portátil Inalámbrico con Luces RGB, Sonido de Alta Potencia y Batería Duradera, TWS TF USB, Perfecto para Campamento Fiestas y Entretenimiento en Casa</t>
        </is>
      </c>
      <c r="H3985" s="16" t="inlineStr">
        <is>
          <t>NEGRO</t>
        </is>
      </c>
      <c r="I3985" s="16" t="n">
        <v>1</v>
      </c>
      <c r="J3985" s="17" t="n">
        <v>36</v>
      </c>
      <c r="K3985" s="17" t="n">
        <v>45.04</v>
      </c>
      <c r="L3985" s="17" t="n">
        <v>25.86</v>
      </c>
      <c r="M3985" s="17" t="n">
        <v>0</v>
      </c>
      <c r="N3985" s="17">
        <f>K3985*0.08+L3985*0.08</f>
        <v/>
      </c>
      <c r="O3985" s="17">
        <f>-(K3985*0.025+L3985*0.025)</f>
        <v/>
      </c>
      <c r="P3985" s="17">
        <f>32</f>
        <v/>
      </c>
      <c r="Q3985" s="17">
        <f>J3985+L3985+N3985+O3985-P3985-M3985</f>
        <v/>
      </c>
    </row>
    <row r="3986">
      <c r="A3986" s="16" t="inlineStr">
        <is>
          <t>5.29-6.4</t>
        </is>
      </c>
      <c r="B3986" s="16" t="inlineStr">
        <is>
          <t>PO-128-13706530862710703</t>
        </is>
      </c>
      <c r="C3986" s="16" t="inlineStr">
        <is>
          <t>Delivered</t>
        </is>
      </c>
      <c r="D3986" s="16" t="inlineStr">
        <is>
          <t>128-13706515134070703</t>
        </is>
      </c>
      <c r="E3986" s="16" t="inlineStr">
        <is>
          <t>Delivered</t>
        </is>
      </c>
      <c r="F3986" s="16" t="inlineStr">
        <is>
          <t>KTS-1678A</t>
        </is>
      </c>
      <c r="G3986" s="16" t="inlineStr">
        <is>
          <t>Bocina portátil Inalámbrico, de 3 pulgadas, tamaño de bolsillo, 170 g, con asa, compatible con TF, USB y Micro SD, con radio FM y función TWS (True Wireless Stereo), adecuada para relajarse en casa o viajar al aire libre.</t>
        </is>
      </c>
      <c r="H3986" s="16" t="inlineStr">
        <is>
          <t>KTS-1678A</t>
        </is>
      </c>
      <c r="I3986" s="16" t="n">
        <v>1</v>
      </c>
      <c r="J3986" s="17" t="n">
        <v>40</v>
      </c>
      <c r="K3986" s="17" t="n">
        <v>53.89</v>
      </c>
      <c r="L3986" s="17" t="n">
        <v>0</v>
      </c>
      <c r="M3986" s="17" t="n">
        <v>53.89</v>
      </c>
      <c r="N3986" s="17">
        <f>K3986*0.08+L3986*0.08</f>
        <v/>
      </c>
      <c r="O3986" s="17">
        <f>-(K3986*0.025+L3986*0.025)</f>
        <v/>
      </c>
      <c r="P3986" s="17">
        <f>32</f>
        <v/>
      </c>
      <c r="Q3986" s="17">
        <f>J3986+L3986+N3986+O3986-P3986-M3986</f>
        <v/>
      </c>
    </row>
    <row r="3987">
      <c r="A3987" s="16" t="inlineStr">
        <is>
          <t>5.29-6.4</t>
        </is>
      </c>
      <c r="B3987" s="16" t="inlineStr">
        <is>
          <t>PO-128-13575809239670392</t>
        </is>
      </c>
      <c r="C3987" s="16" t="inlineStr">
        <is>
          <t>Delivered</t>
        </is>
      </c>
      <c r="D3987" s="16" t="inlineStr">
        <is>
          <t>128-13575872154230392</t>
        </is>
      </c>
      <c r="E3987" s="16" t="inlineStr">
        <is>
          <t>Delivered</t>
        </is>
      </c>
      <c r="F3987" s="16" t="inlineStr">
        <is>
          <t>LB02235-blanco</t>
        </is>
      </c>
      <c r="G3987" s="16" t="inlineStr">
        <is>
          <t>Audífonos Inalámbricos para la Cabeza, Recargables y Multifuncionales - Conectan a Varios Dispositivos, soportan Radio FM, Tarjeta TF y AUX - 4 Horas de Reproducción Musical - Ideal para Trabajo Cotidiano, Juegos y Estudio</t>
        </is>
      </c>
      <c r="H3987" s="16" t="inlineStr">
        <is>
          <t>BLANCO</t>
        </is>
      </c>
      <c r="I3987" s="16" t="n">
        <v>1</v>
      </c>
      <c r="J3987" s="17" t="n">
        <v>35</v>
      </c>
      <c r="K3987" s="17" t="n">
        <v>48.11</v>
      </c>
      <c r="L3987" s="17" t="n">
        <v>12.93</v>
      </c>
      <c r="M3987" s="17" t="n">
        <v>0</v>
      </c>
      <c r="N3987" s="17">
        <f>K3987*0.08+L3987*0.08</f>
        <v/>
      </c>
      <c r="O3987" s="17">
        <f>-(K3987*0.025+L3987*0.025)</f>
        <v/>
      </c>
      <c r="P3987" s="17">
        <f>32</f>
        <v/>
      </c>
      <c r="Q3987" s="17">
        <f>J3987+L3987+N3987+O3987-P3987-M3987</f>
        <v/>
      </c>
    </row>
    <row r="3988">
      <c r="A3988" s="16" t="inlineStr">
        <is>
          <t>5.29-6.4</t>
        </is>
      </c>
      <c r="B3988" s="16" t="inlineStr">
        <is>
          <t>PO-128-13575809239670392</t>
        </is>
      </c>
      <c r="C3988" s="16" t="inlineStr">
        <is>
          <t>Delivered</t>
        </is>
      </c>
      <c r="D3988" s="16" t="inlineStr">
        <is>
          <t>128-13575914097270392</t>
        </is>
      </c>
      <c r="E3988" s="16" t="inlineStr">
        <is>
          <t>Delivered</t>
        </is>
      </c>
      <c r="F3988" s="16" t="inlineStr">
        <is>
          <t>LB02235-rojo</t>
        </is>
      </c>
      <c r="G3988" s="16" t="inlineStr">
        <is>
          <t>Audífonos Inalámbricos para la Cabeza, Recargables y Multifuncionales - Conectan a Varios Dispositivos, soportan Radio FM, Tarjeta TF y AUX - 4 Horas de Reproducción Musical - Ideal para Trabajo Cotidiano, Juegos y Estudio</t>
        </is>
      </c>
      <c r="H3988" s="16" t="inlineStr">
        <is>
          <t>ROJO</t>
        </is>
      </c>
      <c r="I3988" s="16" t="n">
        <v>1</v>
      </c>
      <c r="J3988" s="17" t="n">
        <v>35</v>
      </c>
      <c r="K3988" s="17" t="n">
        <v>48.11</v>
      </c>
      <c r="L3988" s="17" t="n">
        <v>12.93</v>
      </c>
      <c r="M3988" s="17" t="n">
        <v>0</v>
      </c>
      <c r="N3988" s="17">
        <f>K3988*0.08+L3988*0.08</f>
        <v/>
      </c>
      <c r="O3988" s="17">
        <f>-(K3988*0.025+L3988*0.025)</f>
        <v/>
      </c>
      <c r="P3988" s="17">
        <f>32</f>
        <v/>
      </c>
      <c r="Q3988" s="17">
        <f>J3988+L3988+N3988+O3988-P3988-M3988</f>
        <v/>
      </c>
    </row>
    <row r="3989">
      <c r="A3989" s="16" t="inlineStr">
        <is>
          <t>5.29-6.4</t>
        </is>
      </c>
      <c r="B3989" s="16" t="inlineStr">
        <is>
          <t>PO-128-13560484301431572</t>
        </is>
      </c>
      <c r="C3989" s="16" t="inlineStr">
        <is>
          <t>Delivered</t>
        </is>
      </c>
      <c r="D3989" s="16" t="inlineStr">
        <is>
          <t>128-13560510515831572</t>
        </is>
      </c>
      <c r="E3989" s="16" t="inlineStr">
        <is>
          <t>Delivered</t>
        </is>
      </c>
      <c r="F3989" s="16" t="inlineStr">
        <is>
          <t>LB02235-negro</t>
        </is>
      </c>
      <c r="G3989" s="16" t="inlineStr">
        <is>
          <t>Audífonos Inalámbricos para la Cabeza, Recargables y Multifuncionales - Conectan a Varios Dispositivos, soportan Radio FM, Tarjeta TF y AUX - 4 Horas de Reproducción Musical - Ideal para Trabajo Cotidiano, Juegos y Estudio</t>
        </is>
      </c>
      <c r="H3989" s="16" t="inlineStr">
        <is>
          <t>NEGRO</t>
        </is>
      </c>
      <c r="I3989" s="16" t="n">
        <v>3</v>
      </c>
      <c r="J3989" s="17" t="n">
        <v>105</v>
      </c>
      <c r="K3989" s="17" t="n">
        <v>144.33</v>
      </c>
      <c r="L3989" s="17" t="n">
        <v>25.86</v>
      </c>
      <c r="M3989" s="17" t="n">
        <v>0</v>
      </c>
      <c r="N3989" s="17">
        <f>K3989*0.08+L3989*0.08</f>
        <v/>
      </c>
      <c r="O3989" s="17">
        <f>-(K3989*0.025+L3989*0.025)</f>
        <v/>
      </c>
      <c r="P3989" s="17">
        <f>32</f>
        <v/>
      </c>
      <c r="Q3989" s="17">
        <f>J3989+L3989+N3989+O3989-P3989-M3989</f>
        <v/>
      </c>
    </row>
    <row r="3990">
      <c r="A3990" s="16" t="inlineStr">
        <is>
          <t>5.29-6.4</t>
        </is>
      </c>
      <c r="B3990" s="16" t="inlineStr">
        <is>
          <t>PO-128-13325556675193036</t>
        </is>
      </c>
      <c r="C3990" s="16" t="inlineStr">
        <is>
          <t>Delivered</t>
        </is>
      </c>
      <c r="D3990" s="16" t="inlineStr">
        <is>
          <t>128-13325596652153036</t>
        </is>
      </c>
      <c r="E3990" s="16" t="inlineStr">
        <is>
          <t>Delivered</t>
        </is>
      </c>
      <c r="F3990" s="16" t="inlineStr">
        <is>
          <t>LV64W25</t>
        </is>
      </c>
      <c r="G3990" s="16" t="inlineStr">
        <is>
          <t>Ventilador de Techo LED TIANLAI con 5 Aspas, Control Remoto, 3 Colores Luz, 3 Velocidades, Temporizador, Fácil Instalación, E27 para Baño Cocina Dormitorio Salón</t>
        </is>
      </c>
      <c r="H3990" s="16" t="inlineStr">
        <is>
          <t>LV64W25</t>
        </is>
      </c>
      <c r="I3990" s="16" t="n">
        <v>2</v>
      </c>
      <c r="J3990" s="17" t="n">
        <v>198</v>
      </c>
      <c r="K3990" s="17" t="n">
        <v>208.09</v>
      </c>
      <c r="L3990" s="17" t="n">
        <v>0</v>
      </c>
      <c r="M3990" s="17" t="n">
        <v>0</v>
      </c>
      <c r="N3990" s="17">
        <f>K3990*0.08+L3990*0.08</f>
        <v/>
      </c>
      <c r="O3990" s="17">
        <f>-(K3990*0.025+L3990*0.025)</f>
        <v/>
      </c>
      <c r="P3990" s="17">
        <f>32</f>
        <v/>
      </c>
      <c r="Q3990" s="17">
        <f>J3990+L3990+N3990+O3990-P3990-M3990</f>
        <v/>
      </c>
    </row>
    <row r="3991">
      <c r="A3991" s="16" t="inlineStr">
        <is>
          <t>5.29-6.4</t>
        </is>
      </c>
      <c r="B3991" s="16" t="inlineStr">
        <is>
          <t>PO-128-13435765320311357</t>
        </is>
      </c>
      <c r="C3991" s="16" t="inlineStr">
        <is>
          <t>Delivered</t>
        </is>
      </c>
      <c r="D3991" s="16" t="inlineStr">
        <is>
          <t>128-13435736484471357</t>
        </is>
      </c>
      <c r="E3991" s="16" t="inlineStr">
        <is>
          <t>Delivered</t>
        </is>
      </c>
      <c r="F3991" s="16" t="inlineStr">
        <is>
          <t>S09W18IB</t>
        </is>
      </c>
      <c r="G399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3991" s="16" t="inlineStr">
        <is>
          <t>1 pieza</t>
        </is>
      </c>
      <c r="I3991" s="16" t="n">
        <v>1</v>
      </c>
      <c r="J3991" s="17" t="n">
        <v>29</v>
      </c>
      <c r="K3991" s="17" t="n">
        <v>34.59</v>
      </c>
      <c r="L3991" s="17" t="n">
        <v>25.86</v>
      </c>
      <c r="M3991" s="17" t="n">
        <v>0</v>
      </c>
      <c r="N3991" s="17">
        <f>K3991*0.08+L3991*0.08</f>
        <v/>
      </c>
      <c r="O3991" s="17">
        <f>-(K3991*0.025+L3991*0.025)</f>
        <v/>
      </c>
      <c r="P3991" s="17">
        <f>32</f>
        <v/>
      </c>
      <c r="Q3991" s="17">
        <f>J3991+L3991+N3991+O3991-P3991-M3991</f>
        <v/>
      </c>
    </row>
    <row r="3992">
      <c r="A3992" s="16" t="inlineStr">
        <is>
          <t>5.29-6.4</t>
        </is>
      </c>
      <c r="B3992" s="16" t="inlineStr">
        <is>
          <t>PO-128-13144605205113989</t>
        </is>
      </c>
      <c r="C3992" s="16" t="inlineStr">
        <is>
          <t>Delivered</t>
        </is>
      </c>
      <c r="D3992" s="16" t="inlineStr">
        <is>
          <t>128-13144584233593989</t>
        </is>
      </c>
      <c r="E3992" s="16" t="inlineStr">
        <is>
          <t>Delivered</t>
        </is>
      </c>
      <c r="F3992" s="16" t="inlineStr">
        <is>
          <t>LB02235-rojo</t>
        </is>
      </c>
      <c r="G3992" s="16" t="inlineStr">
        <is>
          <t>Audífonos Inalámbricos para la Cabeza, Recargables y Multifuncionales - Conectan a Varios Dispositivos, soportan Radio FM, Tarjeta TF y AUX - 4 Horas de Reproducción Musical - Ideal para Trabajo Cotidiano, Juegos y Estudio</t>
        </is>
      </c>
      <c r="H3992" s="16" t="inlineStr">
        <is>
          <t>ROJO</t>
        </is>
      </c>
      <c r="I3992" s="16" t="n">
        <v>1</v>
      </c>
      <c r="J3992" s="17" t="n">
        <v>35</v>
      </c>
      <c r="K3992" s="17" t="n">
        <v>48.11</v>
      </c>
      <c r="L3992" s="17" t="n">
        <v>25.86</v>
      </c>
      <c r="M3992" s="17" t="n">
        <v>0</v>
      </c>
      <c r="N3992" s="17">
        <f>K3992*0.08+L3992*0.08</f>
        <v/>
      </c>
      <c r="O3992" s="17">
        <f>-(K3992*0.025+L3992*0.025)</f>
        <v/>
      </c>
      <c r="P3992" s="17">
        <f>32</f>
        <v/>
      </c>
      <c r="Q3992" s="17">
        <f>J3992+L3992+N3992+O3992-P3992-M3992</f>
        <v/>
      </c>
    </row>
    <row r="3993">
      <c r="A3993" s="16" t="inlineStr">
        <is>
          <t>5.29-6.4</t>
        </is>
      </c>
      <c r="B3993" s="16" t="inlineStr">
        <is>
          <t>PO-128-13592566016630484</t>
        </is>
      </c>
      <c r="C3993" s="16" t="inlineStr">
        <is>
          <t>Delivered</t>
        </is>
      </c>
      <c r="D3993" s="16" t="inlineStr">
        <is>
          <t>128-13592647936630484</t>
        </is>
      </c>
      <c r="E3993" s="16" t="inlineStr">
        <is>
          <t>Delivered</t>
        </is>
      </c>
      <c r="F3993" s="16" t="inlineStr">
        <is>
          <t>VA384T-A</t>
        </is>
      </c>
      <c r="G3993" s="16" t="inlineStr">
        <is>
          <t>Bocina Portátil Bluetooth de 3 Pulgadas con Radio FM, USB TF TWS, Sonido Estéreo 5W, Bocina Recargable para Hogar Exterior Viaje Fiesta Camping</t>
        </is>
      </c>
      <c r="H3993" s="16" t="inlineStr">
        <is>
          <t>AZUL</t>
        </is>
      </c>
      <c r="I3993" s="16" t="n">
        <v>1</v>
      </c>
      <c r="J3993" s="17" t="n">
        <v>45</v>
      </c>
      <c r="K3993" s="17" t="n">
        <v>55.72</v>
      </c>
      <c r="L3993" s="17" t="n">
        <v>25.86</v>
      </c>
      <c r="M3993" s="17" t="n">
        <v>0</v>
      </c>
      <c r="N3993" s="17">
        <f>K3993*0.08+L3993*0.08</f>
        <v/>
      </c>
      <c r="O3993" s="17">
        <f>-(K3993*0.025+L3993*0.025)</f>
        <v/>
      </c>
      <c r="P3993" s="17">
        <f>32</f>
        <v/>
      </c>
      <c r="Q3993" s="17">
        <f>J3993+L3993+N3993+O3993-P3993-M3993</f>
        <v/>
      </c>
    </row>
    <row r="3994">
      <c r="A3994" s="16" t="inlineStr">
        <is>
          <t>5.29-6.4</t>
        </is>
      </c>
      <c r="B3994" s="16" t="inlineStr">
        <is>
          <t>PO-128-13437895240311406</t>
        </is>
      </c>
      <c r="C3994" s="16" t="inlineStr">
        <is>
          <t>Delivered</t>
        </is>
      </c>
      <c r="D3994" s="16" t="inlineStr">
        <is>
          <t>128-13437947669111406</t>
        </is>
      </c>
      <c r="E3994" s="16" t="inlineStr">
        <is>
          <t>Delivered</t>
        </is>
      </c>
      <c r="F3994" s="16" t="inlineStr">
        <is>
          <t>MB-178-N</t>
        </is>
      </c>
      <c r="G3994" s="16" t="inlineStr">
        <is>
          <t>Bocina de Barra Bluetooth LINK BITS con dos altavoces, sonido de alta calidad y multifuncional (Bluetooth, Radio FM, USB, TF, AUX, TWS), ideal para juegos, reuniones, oficina y cine en casa.</t>
        </is>
      </c>
      <c r="H3994" s="16" t="inlineStr">
        <is>
          <t>NEGRO</t>
        </is>
      </c>
      <c r="I3994" s="16" t="n">
        <v>1</v>
      </c>
      <c r="J3994" s="17" t="n">
        <v>120</v>
      </c>
      <c r="K3994" s="17" t="n">
        <v>139.34</v>
      </c>
      <c r="L3994" s="17" t="n">
        <v>25.86</v>
      </c>
      <c r="M3994" s="17" t="n">
        <v>0</v>
      </c>
      <c r="N3994" s="17">
        <f>K3994*0.08+L3994*0.08</f>
        <v/>
      </c>
      <c r="O3994" s="17">
        <f>-(K3994*0.025+L3994*0.025)</f>
        <v/>
      </c>
      <c r="P3994" s="17">
        <f>32</f>
        <v/>
      </c>
      <c r="Q3994" s="17">
        <f>J3994+L3994+N3994+O3994-P3994-M3994</f>
        <v/>
      </c>
    </row>
    <row r="3995">
      <c r="A3995" s="16" t="inlineStr">
        <is>
          <t>5.29-6.4</t>
        </is>
      </c>
      <c r="B3995" s="16" t="inlineStr">
        <is>
          <t>PO-128-13574133596790402</t>
        </is>
      </c>
      <c r="C3995" s="16" t="inlineStr">
        <is>
          <t>Delivered</t>
        </is>
      </c>
      <c r="D3995" s="16" t="inlineStr">
        <is>
          <t>128-13574154568310402</t>
        </is>
      </c>
      <c r="E3995" s="16" t="inlineStr">
        <is>
          <t>Delivered</t>
        </is>
      </c>
      <c r="F3995" s="16" t="inlineStr">
        <is>
          <t>KTS-1678Y</t>
        </is>
      </c>
      <c r="G3995" s="16" t="inlineStr">
        <is>
          <t>Bocina portátil Inalámbrico, de 3 pulgadas, tamaño de bolsillo, 170 g, con asa, compatible con TF, USB y Micro SD, con radio FM y función TWS (True Wireless Stereo), adecuada para relajarse en casa o viajar al aire libre.</t>
        </is>
      </c>
      <c r="H3995" s="16" t="inlineStr">
        <is>
          <t>KTS-1678Y</t>
        </is>
      </c>
      <c r="I3995" s="16" t="n">
        <v>1</v>
      </c>
      <c r="J3995" s="17" t="n">
        <v>40</v>
      </c>
      <c r="K3995" s="17" t="n">
        <v>53.89</v>
      </c>
      <c r="L3995" s="17" t="n">
        <v>25.86</v>
      </c>
      <c r="M3995" s="17" t="n">
        <v>0</v>
      </c>
      <c r="N3995" s="17">
        <f>K3995*0.08+L3995*0.08</f>
        <v/>
      </c>
      <c r="O3995" s="17">
        <f>-(K3995*0.025+L3995*0.025)</f>
        <v/>
      </c>
      <c r="P3995" s="17">
        <f>32</f>
        <v/>
      </c>
      <c r="Q3995" s="17">
        <f>J3995+L3995+N3995+O3995-P3995-M3995</f>
        <v/>
      </c>
    </row>
    <row r="3996">
      <c r="A3996" s="16" t="inlineStr">
        <is>
          <t>5.29-6.4</t>
        </is>
      </c>
      <c r="B3996" s="16" t="inlineStr">
        <is>
          <t>PO-128-13320025395833007</t>
        </is>
      </c>
      <c r="C3996" s="16" t="inlineStr">
        <is>
          <t>Delivered</t>
        </is>
      </c>
      <c r="D3996" s="16" t="inlineStr">
        <is>
          <t>128-13320093553273007</t>
        </is>
      </c>
      <c r="E3996" s="16" t="inlineStr">
        <is>
          <t>Delivered</t>
        </is>
      </c>
      <c r="F3996" s="16" t="inlineStr">
        <is>
          <t>VA384T-N</t>
        </is>
      </c>
      <c r="G3996" s="16" t="inlineStr">
        <is>
          <t>Bocina Portátil Bluetooth de 3 Pulgadas con Radio FM, USB TF TWS, Sonido Estéreo 5W, Bocina Recargable para Hogar Exterior Viaje Fiesta Camping</t>
        </is>
      </c>
      <c r="H3996" s="16" t="inlineStr">
        <is>
          <t>NEGRO</t>
        </is>
      </c>
      <c r="I3996" s="16" t="n">
        <v>1</v>
      </c>
      <c r="J3996" s="17" t="n">
        <v>48</v>
      </c>
      <c r="K3996" s="17" t="n">
        <v>58.72</v>
      </c>
      <c r="L3996" s="17" t="n">
        <v>25.86</v>
      </c>
      <c r="M3996" s="17" t="n">
        <v>0</v>
      </c>
      <c r="N3996" s="17">
        <f>K3996*0.08+L3996*0.08</f>
        <v/>
      </c>
      <c r="O3996" s="17">
        <f>-(K3996*0.025+L3996*0.025)</f>
        <v/>
      </c>
      <c r="P3996" s="17">
        <f>32</f>
        <v/>
      </c>
      <c r="Q3996" s="17">
        <f>J3996+L3996+N3996+O3996-P3996-M3996</f>
        <v/>
      </c>
    </row>
    <row r="3997">
      <c r="A3997" s="16" t="inlineStr">
        <is>
          <t>5.29-6.4</t>
        </is>
      </c>
      <c r="B3997" s="16" t="inlineStr">
        <is>
          <t>PO-128-13107158139513250</t>
        </is>
      </c>
      <c r="C3997" s="16" t="inlineStr">
        <is>
          <t>Delivered</t>
        </is>
      </c>
      <c r="D3997" s="16" t="inlineStr">
        <is>
          <t>128-13107116196473250</t>
        </is>
      </c>
      <c r="E3997" s="16" t="inlineStr">
        <is>
          <t>Delivered</t>
        </is>
      </c>
      <c r="F3997" s="16" t="inlineStr">
        <is>
          <t>LB02235-azul</t>
        </is>
      </c>
      <c r="G3997" s="16" t="inlineStr">
        <is>
          <t>Audífonos Inalámbricos para la Cabeza, Recargables y Multifuncionales - Conectan a Varios Dispositivos, soportan Radio FM, Tarjeta TF y AUX - 4 Horas de Reproducción Musical - Ideal para Trabajo Cotidiano, Juegos y Estudio</t>
        </is>
      </c>
      <c r="H3997" s="16" t="inlineStr">
        <is>
          <t>AZUL</t>
        </is>
      </c>
      <c r="I3997" s="16" t="n">
        <v>1</v>
      </c>
      <c r="J3997" s="17" t="n">
        <v>29.9</v>
      </c>
      <c r="K3997" s="17" t="n">
        <v>43.01</v>
      </c>
      <c r="L3997" s="17" t="n">
        <v>25.86</v>
      </c>
      <c r="M3997" s="17" t="n">
        <v>0</v>
      </c>
      <c r="N3997" s="17">
        <f>K3997*0.08+L3997*0.08</f>
        <v/>
      </c>
      <c r="O3997" s="17">
        <f>-(K3997*0.025+L3997*0.025)</f>
        <v/>
      </c>
      <c r="P3997" s="17">
        <f>32</f>
        <v/>
      </c>
      <c r="Q3997" s="17">
        <f>J3997+L3997+N3997+O3997-P3997-M3997</f>
        <v/>
      </c>
    </row>
    <row r="3998">
      <c r="A3998" s="16" t="inlineStr">
        <is>
          <t>5.29-6.4</t>
        </is>
      </c>
      <c r="B3998" s="16" t="inlineStr">
        <is>
          <t>PO-128-13508722924151816</t>
        </is>
      </c>
      <c r="C3998" s="16" t="inlineStr">
        <is>
          <t>Delivered</t>
        </is>
      </c>
      <c r="D3998" s="16" t="inlineStr">
        <is>
          <t>128-13508764867191816</t>
        </is>
      </c>
      <c r="E3998" s="16" t="inlineStr">
        <is>
          <t>Delivered</t>
        </is>
      </c>
      <c r="F3998" s="16" t="inlineStr">
        <is>
          <t>SA325T</t>
        </is>
      </c>
      <c r="G3998" s="16" t="inlineStr">
        <is>
          <t>Subwoofer Portátil Inalámbrico con Luces RGB, Sonido de Alta Potencia y Batería Duradera, TWS TF USB, Perfecto para Campamento Fiestas y Entretenimiento en Casa</t>
        </is>
      </c>
      <c r="H3998" s="16" t="inlineStr">
        <is>
          <t>NEGRO</t>
        </is>
      </c>
      <c r="I3998" s="16" t="n">
        <v>1</v>
      </c>
      <c r="J3998" s="17" t="n">
        <v>36</v>
      </c>
      <c r="K3998" s="17" t="n">
        <v>1.94</v>
      </c>
      <c r="L3998" s="17" t="n">
        <v>25.86</v>
      </c>
      <c r="M3998" s="17" t="n">
        <v>0</v>
      </c>
      <c r="N3998" s="17">
        <f>K3998*0.08+L3998*0.08</f>
        <v/>
      </c>
      <c r="O3998" s="17">
        <f>-(K3998*0.025+L3998*0.025)</f>
        <v/>
      </c>
      <c r="P3998" s="17">
        <f>32</f>
        <v/>
      </c>
      <c r="Q3998" s="17">
        <f>J3998+L3998+N3998+O3998-P3998-M3998</f>
        <v/>
      </c>
    </row>
    <row r="3999">
      <c r="A3999" s="16" t="inlineStr">
        <is>
          <t>5.29-6.4</t>
        </is>
      </c>
      <c r="B3999" s="16" t="inlineStr">
        <is>
          <t>PO-128-13529422776951695</t>
        </is>
      </c>
      <c r="C3999" s="16" t="inlineStr">
        <is>
          <t>Delivered</t>
        </is>
      </c>
      <c r="D3999" s="16" t="inlineStr">
        <is>
          <t>128-13529443748471695</t>
        </is>
      </c>
      <c r="E3999" s="16" t="inlineStr">
        <is>
          <t>Delivered</t>
        </is>
      </c>
      <c r="F3999" s="16" t="inlineStr">
        <is>
          <t>KTS-1678Y</t>
        </is>
      </c>
      <c r="G3999" s="16" t="inlineStr">
        <is>
          <t>Bocina portátil Inalámbrico, de 3 pulgadas, tamaño de bolsillo, 170 g, con asa, compatible con TF, USB y Micro SD, con radio FM y función TWS (True Wireless Stereo), adecuada para relajarse en casa o viajar al aire libre.</t>
        </is>
      </c>
      <c r="H3999" s="16" t="inlineStr">
        <is>
          <t>KTS-1678Y</t>
        </is>
      </c>
      <c r="I3999" s="16" t="n">
        <v>1</v>
      </c>
      <c r="J3999" s="17" t="n">
        <v>40</v>
      </c>
      <c r="K3999" s="17" t="n">
        <v>53.89</v>
      </c>
      <c r="L3999" s="17" t="n">
        <v>25.86</v>
      </c>
      <c r="M3999" s="17" t="n">
        <v>0</v>
      </c>
      <c r="N3999" s="17">
        <f>K3999*0.08+L3999*0.08</f>
        <v/>
      </c>
      <c r="O3999" s="17">
        <f>-(K3999*0.025+L3999*0.025)</f>
        <v/>
      </c>
      <c r="P3999" s="17">
        <f>32</f>
        <v/>
      </c>
      <c r="Q3999" s="17">
        <f>J3999+L3999+N3999+O3999-P3999-M3999</f>
        <v/>
      </c>
    </row>
    <row r="4000">
      <c r="A4000" s="16" t="inlineStr">
        <is>
          <t>5.29-6.4</t>
        </is>
      </c>
      <c r="B4000" s="16" t="inlineStr">
        <is>
          <t>PO-128-13277142631032239</t>
        </is>
      </c>
      <c r="C4000" s="16" t="inlineStr">
        <is>
          <t>Delivered</t>
        </is>
      </c>
      <c r="D4000" s="16" t="inlineStr">
        <is>
          <t>128-13277121659512239</t>
        </is>
      </c>
      <c r="E4000" s="16" t="inlineStr">
        <is>
          <t>Delivered</t>
        </is>
      </c>
      <c r="F4000" s="16" t="inlineStr">
        <is>
          <t>SA8056T</t>
        </is>
      </c>
      <c r="G400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000" s="16" t="inlineStr">
        <is>
          <t>SA8056T</t>
        </is>
      </c>
      <c r="I4000" s="16" t="n">
        <v>1</v>
      </c>
      <c r="J4000" s="17" t="n">
        <v>123</v>
      </c>
      <c r="K4000" s="17" t="n">
        <v>191.19</v>
      </c>
      <c r="L4000" s="17" t="n">
        <v>25.86</v>
      </c>
      <c r="M4000" s="17" t="n">
        <v>0</v>
      </c>
      <c r="N4000" s="17">
        <f>K4000*0.08+L4000*0.08</f>
        <v/>
      </c>
      <c r="O4000" s="17">
        <f>-(K4000*0.025+L4000*0.025)</f>
        <v/>
      </c>
      <c r="P4000" s="17">
        <f>32</f>
        <v/>
      </c>
      <c r="Q4000" s="17">
        <f>J4000+L4000+N4000+O4000-P4000-M4000</f>
        <v/>
      </c>
    </row>
    <row r="4001">
      <c r="A4001" s="16" t="inlineStr">
        <is>
          <t>5.29-6.4</t>
        </is>
      </c>
      <c r="B4001" s="16" t="inlineStr">
        <is>
          <t>PO-128-13193752668793758</t>
        </is>
      </c>
      <c r="C4001" s="16" t="inlineStr">
        <is>
          <t>Delivered</t>
        </is>
      </c>
      <c r="D4001" s="16" t="inlineStr">
        <is>
          <t>128-13193765775993758</t>
        </is>
      </c>
      <c r="E4001" s="16" t="inlineStr">
        <is>
          <t>Delivered</t>
        </is>
      </c>
      <c r="F4001" s="16" t="inlineStr">
        <is>
          <t>LB02235-rojo</t>
        </is>
      </c>
      <c r="G4001" s="16" t="inlineStr">
        <is>
          <t>Audífonos Inalámbricos para la Cabeza, Recargables y Multifuncionales - Conectan a Varios Dispositivos, soportan Radio FM, Tarjeta TF y AUX - 4 Horas de Reproducción Musical - Ideal para Trabajo Cotidiano, Juegos y Estudio</t>
        </is>
      </c>
      <c r="H4001" s="16" t="inlineStr">
        <is>
          <t>ROJO</t>
        </is>
      </c>
      <c r="I4001" s="16" t="n">
        <v>1</v>
      </c>
      <c r="J4001" s="17" t="n">
        <v>35</v>
      </c>
      <c r="K4001" s="17" t="n">
        <v>48.11</v>
      </c>
      <c r="L4001" s="17" t="n">
        <v>25.86</v>
      </c>
      <c r="M4001" s="17" t="n">
        <v>0</v>
      </c>
      <c r="N4001" s="17">
        <f>K4001*0.08+L4001*0.08</f>
        <v/>
      </c>
      <c r="O4001" s="17">
        <f>-(K4001*0.025+L4001*0.025)</f>
        <v/>
      </c>
      <c r="P4001" s="17">
        <f>32</f>
        <v/>
      </c>
      <c r="Q4001" s="17">
        <f>J4001+L4001+N4001+O4001-P4001-M4001</f>
        <v/>
      </c>
    </row>
    <row r="4002">
      <c r="A4002" s="16" t="inlineStr">
        <is>
          <t>5.29-6.4</t>
        </is>
      </c>
      <c r="B4002" s="16" t="inlineStr">
        <is>
          <t>PO-128-13101242737273223</t>
        </is>
      </c>
      <c r="C4002" s="16" t="inlineStr">
        <is>
          <t>Delivered</t>
        </is>
      </c>
      <c r="D4002" s="16" t="inlineStr">
        <is>
          <t>128-13101200794233223</t>
        </is>
      </c>
      <c r="E4002" s="16" t="inlineStr">
        <is>
          <t>Delivered</t>
        </is>
      </c>
      <c r="F4002" s="16" t="inlineStr">
        <is>
          <t>HD005</t>
        </is>
      </c>
      <c r="G4002" s="16" t="inlineStr">
        <is>
          <t>Link bits HD005 Antena UHF para Exteriores, Antena de TV Digital HD con 10 Metros de Cable, Recepción 470-862MHz, 9-7dB de Ganancia, Antena para Canales Abiertos y HD, Resistente al Agua y Viento, Fácil Instalación</t>
        </is>
      </c>
      <c r="H4002" s="16" t="inlineStr">
        <is>
          <t>1</t>
        </is>
      </c>
      <c r="I4002" s="16" t="n">
        <v>1</v>
      </c>
      <c r="J4002" s="17" t="n">
        <v>70</v>
      </c>
      <c r="K4002" s="17" t="n">
        <v>87.66</v>
      </c>
      <c r="L4002" s="17" t="n">
        <v>25.86</v>
      </c>
      <c r="M4002" s="17" t="n">
        <v>0</v>
      </c>
      <c r="N4002" s="17">
        <f>K4002*0.08+L4002*0.08</f>
        <v/>
      </c>
      <c r="O4002" s="17">
        <f>-(K4002*0.025+L4002*0.025)</f>
        <v/>
      </c>
      <c r="P4002" s="17">
        <f>32</f>
        <v/>
      </c>
      <c r="Q4002" s="17">
        <f>J4002+L4002+N4002+O4002-P4002-M4002</f>
        <v/>
      </c>
    </row>
    <row r="4003">
      <c r="A4003" s="16" t="inlineStr">
        <is>
          <t>5.29-6.4</t>
        </is>
      </c>
      <c r="B4003" s="16" t="inlineStr">
        <is>
          <t>PO-128-13357938939512717</t>
        </is>
      </c>
      <c r="C4003" s="16" t="inlineStr">
        <is>
          <t>Delivered</t>
        </is>
      </c>
      <c r="D4003" s="16" t="inlineStr">
        <is>
          <t>128-13358014961272717</t>
        </is>
      </c>
      <c r="E4003" s="16" t="inlineStr">
        <is>
          <t>Delivered</t>
        </is>
      </c>
      <c r="F4003" s="16" t="inlineStr">
        <is>
          <t>LB02235-blanco</t>
        </is>
      </c>
      <c r="G4003" s="16" t="inlineStr">
        <is>
          <t>Audífonos Inalámbricos para la Cabeza, Recargables y Multifuncionales - Conectan a Varios Dispositivos, soportan Radio FM, Tarjeta TF y AUX - 4 Horas de Reproducción Musical - Ideal para Trabajo Cotidiano, Juegos y Estudio</t>
        </is>
      </c>
      <c r="H4003" s="16" t="inlineStr">
        <is>
          <t>BLANCO</t>
        </is>
      </c>
      <c r="I4003" s="16" t="n">
        <v>1</v>
      </c>
      <c r="J4003" s="17" t="n">
        <v>35</v>
      </c>
      <c r="K4003" s="17" t="n">
        <v>5.01</v>
      </c>
      <c r="L4003" s="17" t="n">
        <v>25.86</v>
      </c>
      <c r="M4003" s="17" t="n">
        <v>0</v>
      </c>
      <c r="N4003" s="17">
        <f>K4003*0.08+L4003*0.08</f>
        <v/>
      </c>
      <c r="O4003" s="17">
        <f>-(K4003*0.025+L4003*0.025)</f>
        <v/>
      </c>
      <c r="P4003" s="17">
        <f>32</f>
        <v/>
      </c>
      <c r="Q4003" s="17">
        <f>J4003+L4003+N4003+O4003-P4003-M4003</f>
        <v/>
      </c>
    </row>
    <row r="4004">
      <c r="A4004" s="16" t="inlineStr">
        <is>
          <t>5.29-6.4</t>
        </is>
      </c>
      <c r="B4004" s="16" t="inlineStr">
        <is>
          <t>PO-128-13136702577273138</t>
        </is>
      </c>
      <c r="C4004" s="16" t="inlineStr">
        <is>
          <t>Delivered</t>
        </is>
      </c>
      <c r="D4004" s="16" t="inlineStr">
        <is>
          <t>128-13136660634233138</t>
        </is>
      </c>
      <c r="E4004" s="16" t="inlineStr">
        <is>
          <t>Delivered</t>
        </is>
      </c>
      <c r="F4004" s="16" t="inlineStr">
        <is>
          <t>SA325T</t>
        </is>
      </c>
      <c r="G4004" s="16" t="inlineStr">
        <is>
          <t>Subwoofer Portátil Inalámbrico con Luces RGB, Sonido de Alta Potencia y Batería Duradera, TWS TF USB, Perfecto para Campamento Fiestas y Entretenimiento en Casa</t>
        </is>
      </c>
      <c r="H4004" s="16" t="inlineStr">
        <is>
          <t>NEGRO</t>
        </is>
      </c>
      <c r="I4004" s="16" t="n">
        <v>1</v>
      </c>
      <c r="J4004" s="17" t="n">
        <v>36</v>
      </c>
      <c r="K4004" s="17" t="n">
        <v>45.04</v>
      </c>
      <c r="L4004" s="17" t="n">
        <v>25.86</v>
      </c>
      <c r="M4004" s="17" t="n">
        <v>0</v>
      </c>
      <c r="N4004" s="17">
        <f>K4004*0.08+L4004*0.08</f>
        <v/>
      </c>
      <c r="O4004" s="17">
        <f>-(K4004*0.025+L4004*0.025)</f>
        <v/>
      </c>
      <c r="P4004" s="17">
        <f>32</f>
        <v/>
      </c>
      <c r="Q4004" s="17">
        <f>J4004+L4004+N4004+O4004-P4004-M4004</f>
        <v/>
      </c>
    </row>
    <row r="4005">
      <c r="A4005" s="16" t="inlineStr">
        <is>
          <t>5.29-6.4</t>
        </is>
      </c>
      <c r="B4005" s="16" t="inlineStr">
        <is>
          <t>PO-128-13243798538872501</t>
        </is>
      </c>
      <c r="C4005" s="16" t="inlineStr">
        <is>
          <t>Delivered</t>
        </is>
      </c>
      <c r="D4005" s="16" t="inlineStr">
        <is>
          <t>128-13243819510392501</t>
        </is>
      </c>
      <c r="E4005" s="16" t="inlineStr">
        <is>
          <t>Delivered</t>
        </is>
      </c>
      <c r="F4005" s="16" t="inlineStr">
        <is>
          <t>MB-185N</t>
        </is>
      </c>
      <c r="G4005" s="16" t="inlineStr">
        <is>
          <t>Bocina Radio FM/Reproductor, Compatible con Tarjeta TF, USB, Bluetooth, Aplicable para celular, computadora, Ipad y consola.</t>
        </is>
      </c>
      <c r="H4005" s="16" t="inlineStr">
        <is>
          <t>NEGRO/MB-185</t>
        </is>
      </c>
      <c r="I4005" s="16" t="n">
        <v>1</v>
      </c>
      <c r="J4005" s="17" t="n">
        <v>71.31</v>
      </c>
      <c r="K4005" s="17" t="n">
        <v>84.23999999999999</v>
      </c>
      <c r="L4005" s="17" t="n">
        <v>25.86</v>
      </c>
      <c r="M4005" s="17" t="n">
        <v>0</v>
      </c>
      <c r="N4005" s="17">
        <f>K4005*0.08+L4005*0.08</f>
        <v/>
      </c>
      <c r="O4005" s="17">
        <f>-(K4005*0.025+L4005*0.025)</f>
        <v/>
      </c>
      <c r="P4005" s="17">
        <f>32</f>
        <v/>
      </c>
      <c r="Q4005" s="17">
        <f>J4005+L4005+N4005+O4005-P4005-M4005</f>
        <v/>
      </c>
    </row>
    <row r="4006">
      <c r="A4006" s="16" t="inlineStr">
        <is>
          <t>5.29-6.4</t>
        </is>
      </c>
      <c r="B4006" s="16" t="inlineStr">
        <is>
          <t>PO-128-13665720576630944</t>
        </is>
      </c>
      <c r="C4006" s="16" t="inlineStr">
        <is>
          <t>Delivered</t>
        </is>
      </c>
      <c r="D4006" s="16" t="inlineStr">
        <is>
          <t>128-13665788734070944</t>
        </is>
      </c>
      <c r="E4006" s="16" t="inlineStr">
        <is>
          <t>Delivered</t>
        </is>
      </c>
      <c r="F4006" s="16" t="inlineStr">
        <is>
          <t>MCM-001A</t>
        </is>
      </c>
      <c r="G4006" s="16" t="inlineStr">
        <is>
          <t>Musicord Altavoz Inalámbrico BT Portátil: ¡Sonido impactante, luces LED multicolores y 4 horas de autonomía! Compatible con TWS, FM, TF y USB – Imprescindible para fiestas y viajes</t>
        </is>
      </c>
      <c r="H4006" s="16" t="inlineStr">
        <is>
          <t>AZUL</t>
        </is>
      </c>
      <c r="I4006" s="16" t="n">
        <v>1</v>
      </c>
      <c r="J4006" s="17" t="n">
        <v>66</v>
      </c>
      <c r="K4006" s="17" t="n">
        <v>77.28</v>
      </c>
      <c r="L4006" s="17" t="n">
        <v>25.86</v>
      </c>
      <c r="M4006" s="17" t="n">
        <v>0</v>
      </c>
      <c r="N4006" s="17">
        <f>K4006*0.08+L4006*0.08</f>
        <v/>
      </c>
      <c r="O4006" s="17">
        <f>-(K4006*0.025+L4006*0.025)</f>
        <v/>
      </c>
      <c r="P4006" s="17">
        <f>32</f>
        <v/>
      </c>
      <c r="Q4006" s="17">
        <f>J4006+L4006+N4006+O4006-P4006-M4006</f>
        <v/>
      </c>
    </row>
    <row r="4007">
      <c r="A4007" s="16" t="inlineStr">
        <is>
          <t>5.29-6.4</t>
        </is>
      </c>
      <c r="B4007" s="16" t="inlineStr">
        <is>
          <t>PO-128-13157072773754040</t>
        </is>
      </c>
      <c r="C4007" s="16" t="inlineStr">
        <is>
          <t>Delivered</t>
        </is>
      </c>
      <c r="D4007" s="16" t="inlineStr">
        <is>
          <t>128-13157110784634040</t>
        </is>
      </c>
      <c r="E4007" s="16" t="inlineStr">
        <is>
          <t>Delivered</t>
        </is>
      </c>
      <c r="F4007" s="16" t="inlineStr">
        <is>
          <t>SA325T</t>
        </is>
      </c>
      <c r="G4007" s="16" t="inlineStr">
        <is>
          <t>Subwoofer Portátil Inalámbrico con Luces RGB, Sonido de Alta Potencia y Batería Duradera, TWS TF USB, Perfecto para Campamento Fiestas y Entretenimiento en Casa</t>
        </is>
      </c>
      <c r="H4007" s="16" t="inlineStr">
        <is>
          <t>NEGRO</t>
        </is>
      </c>
      <c r="I4007" s="16" t="n">
        <v>1</v>
      </c>
      <c r="J4007" s="17" t="n">
        <v>36</v>
      </c>
      <c r="K4007" s="17" t="n">
        <v>45.04</v>
      </c>
      <c r="L4007" s="17" t="n">
        <v>25.86</v>
      </c>
      <c r="M4007" s="17" t="n">
        <v>0</v>
      </c>
      <c r="N4007" s="17">
        <f>K4007*0.08+L4007*0.08</f>
        <v/>
      </c>
      <c r="O4007" s="17">
        <f>-(K4007*0.025+L4007*0.025)</f>
        <v/>
      </c>
      <c r="P4007" s="17">
        <f>32</f>
        <v/>
      </c>
      <c r="Q4007" s="17">
        <f>J4007+L4007+N4007+O4007-P4007-M4007</f>
        <v/>
      </c>
    </row>
    <row r="4008">
      <c r="A4008" s="16" t="inlineStr">
        <is>
          <t>5.29-6.4</t>
        </is>
      </c>
      <c r="B4008" s="16" t="inlineStr">
        <is>
          <t>PO-128-13513819715191850</t>
        </is>
      </c>
      <c r="C4008" s="16" t="inlineStr">
        <is>
          <t>Delivered</t>
        </is>
      </c>
      <c r="D4008" s="16" t="inlineStr">
        <is>
          <t>128-13513840686711850</t>
        </is>
      </c>
      <c r="E4008" s="16" t="inlineStr">
        <is>
          <t>Delivered</t>
        </is>
      </c>
      <c r="F4008" s="16" t="inlineStr">
        <is>
          <t>LB02235-azul</t>
        </is>
      </c>
      <c r="G4008" s="16" t="inlineStr">
        <is>
          <t>Audífonos Inalámbricos para la Cabeza, Recargables y Multifuncionales - Conectan a Varios Dispositivos, soportan Radio FM, Tarjeta TF y AUX - 4 Horas de Reproducción Musical - Ideal para Trabajo Cotidiano, Juegos y Estudio</t>
        </is>
      </c>
      <c r="H4008" s="16" t="inlineStr">
        <is>
          <t>AZUL</t>
        </is>
      </c>
      <c r="I4008" s="16" t="n">
        <v>1</v>
      </c>
      <c r="J4008" s="17" t="n">
        <v>29.9</v>
      </c>
      <c r="K4008" s="17" t="n">
        <v>43.01</v>
      </c>
      <c r="L4008" s="17" t="n">
        <v>25.86</v>
      </c>
      <c r="M4008" s="17" t="n">
        <v>0</v>
      </c>
      <c r="N4008" s="17">
        <f>K4008*0.08+L4008*0.08</f>
        <v/>
      </c>
      <c r="O4008" s="17">
        <f>-(K4008*0.025+L4008*0.025)</f>
        <v/>
      </c>
      <c r="P4008" s="17">
        <f>32</f>
        <v/>
      </c>
      <c r="Q4008" s="17">
        <f>J4008+L4008+N4008+O4008-P4008-M4008</f>
        <v/>
      </c>
    </row>
    <row r="4009">
      <c r="A4009" s="16" t="inlineStr">
        <is>
          <t>5.29-6.4</t>
        </is>
      </c>
      <c r="B4009" s="16" t="inlineStr">
        <is>
          <t>PO-128-13420194017911512</t>
        </is>
      </c>
      <c r="C4009" s="16" t="inlineStr">
        <is>
          <t>Delivered</t>
        </is>
      </c>
      <c r="D4009" s="16" t="inlineStr">
        <is>
          <t>128-13420133724791512</t>
        </is>
      </c>
      <c r="E4009" s="16" t="inlineStr">
        <is>
          <t>Delivered</t>
        </is>
      </c>
      <c r="F4009" s="16" t="inlineStr">
        <is>
          <t>LB02235-blanco</t>
        </is>
      </c>
      <c r="G4009" s="16" t="inlineStr">
        <is>
          <t>Audífonos Inalámbricos para la Cabeza, Recargables y Multifuncionales - Conectan a Varios Dispositivos, soportan Radio FM, Tarjeta TF y AUX - 4 Horas de Reproducción Musical - Ideal para Trabajo Cotidiano, Juegos y Estudio</t>
        </is>
      </c>
      <c r="H4009" s="16" t="inlineStr">
        <is>
          <t>BLANCO</t>
        </is>
      </c>
      <c r="I4009" s="16" t="n">
        <v>1</v>
      </c>
      <c r="J4009" s="17" t="n">
        <v>35</v>
      </c>
      <c r="K4009" s="17" t="n">
        <v>48.11</v>
      </c>
      <c r="L4009" s="17" t="n">
        <v>25.86</v>
      </c>
      <c r="M4009" s="17" t="n">
        <v>0</v>
      </c>
      <c r="N4009" s="17">
        <f>K4009*0.08+L4009*0.08</f>
        <v/>
      </c>
      <c r="O4009" s="17">
        <f>-(K4009*0.025+L4009*0.025)</f>
        <v/>
      </c>
      <c r="P4009" s="17">
        <f>32</f>
        <v/>
      </c>
      <c r="Q4009" s="17">
        <f>J4009+L4009+N4009+O4009-P4009-M4009</f>
        <v/>
      </c>
    </row>
    <row r="4010">
      <c r="A4010" s="16" t="inlineStr">
        <is>
          <t>5.29-6.4</t>
        </is>
      </c>
      <c r="B4010" s="16" t="inlineStr">
        <is>
          <t>PO-128-13683812567670775</t>
        </is>
      </c>
      <c r="C4010" s="16" t="inlineStr">
        <is>
          <t>Delivered</t>
        </is>
      </c>
      <c r="D4010" s="16" t="inlineStr">
        <is>
          <t>128-13683791596150775</t>
        </is>
      </c>
      <c r="E4010" s="16" t="inlineStr">
        <is>
          <t>Delivered</t>
        </is>
      </c>
      <c r="F4010" s="16" t="inlineStr">
        <is>
          <t>LB02235-negro</t>
        </is>
      </c>
      <c r="G4010" s="16" t="inlineStr">
        <is>
          <t>Audífonos Inalámbricos para la Cabeza, Recargables y Multifuncionales - Conectan a Varios Dispositivos, soportan Radio FM, Tarjeta TF y AUX - 4 Horas de Reproducción Musical - Ideal para Trabajo Cotidiano, Juegos y Estudio</t>
        </is>
      </c>
      <c r="H4010" s="16" t="inlineStr">
        <is>
          <t>NEGRO</t>
        </is>
      </c>
      <c r="I4010" s="16" t="n">
        <v>2</v>
      </c>
      <c r="J4010" s="17" t="n">
        <v>70</v>
      </c>
      <c r="K4010" s="17" t="n">
        <v>76.98</v>
      </c>
      <c r="L4010" s="17" t="n">
        <v>25.86</v>
      </c>
      <c r="M4010" s="17" t="n">
        <v>0</v>
      </c>
      <c r="N4010" s="17">
        <f>K4010*0.08+L4010*0.08</f>
        <v/>
      </c>
      <c r="O4010" s="17">
        <f>-(K4010*0.025+L4010*0.025)</f>
        <v/>
      </c>
      <c r="P4010" s="17">
        <f>32</f>
        <v/>
      </c>
      <c r="Q4010" s="17">
        <f>J4010+L4010+N4010+O4010-P4010-M4010</f>
        <v/>
      </c>
    </row>
    <row r="4011">
      <c r="A4011" s="16" t="inlineStr">
        <is>
          <t>5.29-6.4</t>
        </is>
      </c>
      <c r="B4011" s="16" t="inlineStr">
        <is>
          <t>PO-128-13245985167992550</t>
        </is>
      </c>
      <c r="C4011" s="16" t="inlineStr">
        <is>
          <t>Delivered</t>
        </is>
      </c>
      <c r="D4011" s="16" t="inlineStr">
        <is>
          <t>128-13246090025592550</t>
        </is>
      </c>
      <c r="E4011" s="16" t="inlineStr">
        <is>
          <t>Delivered</t>
        </is>
      </c>
      <c r="F4011" s="16" t="inlineStr">
        <is>
          <t>LB02235-negro</t>
        </is>
      </c>
      <c r="G4011" s="16" t="inlineStr">
        <is>
          <t>Audífonos Inalámbricos para la Cabeza, Recargables y Multifuncionales - Conectan a Varios Dispositivos, soportan Radio FM, Tarjeta TF y AUX - 4 Horas de Reproducción Musical - Ideal para Trabajo Cotidiano, Juegos y Estudio</t>
        </is>
      </c>
      <c r="H4011" s="16" t="inlineStr">
        <is>
          <t>NEGRO</t>
        </is>
      </c>
      <c r="I4011" s="16" t="n">
        <v>1</v>
      </c>
      <c r="J4011" s="17" t="n">
        <v>35</v>
      </c>
      <c r="K4011" s="17" t="n">
        <v>48.11</v>
      </c>
      <c r="L4011" s="17" t="n">
        <v>25.86</v>
      </c>
      <c r="M4011" s="17" t="n">
        <v>0</v>
      </c>
      <c r="N4011" s="17">
        <f>K4011*0.08+L4011*0.08</f>
        <v/>
      </c>
      <c r="O4011" s="17">
        <f>-(K4011*0.025+L4011*0.025)</f>
        <v/>
      </c>
      <c r="P4011" s="17">
        <f>32</f>
        <v/>
      </c>
      <c r="Q4011" s="17">
        <f>J4011+L4011+N4011+O4011-P4011-M4011</f>
        <v/>
      </c>
    </row>
    <row r="4012">
      <c r="A4012" s="16" t="inlineStr">
        <is>
          <t>5.29-6.4</t>
        </is>
      </c>
      <c r="B4012" s="16" t="inlineStr">
        <is>
          <t>PO-128-13664891909750951</t>
        </is>
      </c>
      <c r="C4012" s="16" t="inlineStr">
        <is>
          <t>Delivered</t>
        </is>
      </c>
      <c r="D4012" s="16" t="inlineStr">
        <is>
          <t>128-13665028224630951</t>
        </is>
      </c>
      <c r="E4012" s="16" t="inlineStr">
        <is>
          <t>Delivered</t>
        </is>
      </c>
      <c r="F4012" s="16" t="inlineStr">
        <is>
          <t>LB02235-rojo</t>
        </is>
      </c>
      <c r="G4012" s="16" t="inlineStr">
        <is>
          <t>Audífonos Inalámbricos para la Cabeza, Recargables y Multifuncionales - Conectan a Varios Dispositivos, soportan Radio FM, Tarjeta TF y AUX - 4 Horas de Reproducción Musical - Ideal para Trabajo Cotidiano, Juegos y Estudio</t>
        </is>
      </c>
      <c r="H4012" s="16" t="inlineStr">
        <is>
          <t>ROJO</t>
        </is>
      </c>
      <c r="I4012" s="16" t="n">
        <v>1</v>
      </c>
      <c r="J4012" s="17" t="n">
        <v>35</v>
      </c>
      <c r="K4012" s="17" t="n">
        <v>5.01</v>
      </c>
      <c r="L4012" s="17" t="n">
        <v>25.86</v>
      </c>
      <c r="M4012" s="17" t="n">
        <v>0</v>
      </c>
      <c r="N4012" s="17">
        <f>K4012*0.08+L4012*0.08</f>
        <v/>
      </c>
      <c r="O4012" s="17">
        <f>-(K4012*0.025+L4012*0.025)</f>
        <v/>
      </c>
      <c r="P4012" s="17">
        <f>32</f>
        <v/>
      </c>
      <c r="Q4012" s="17">
        <f>J4012+L4012+N4012+O4012-P4012-M4012</f>
        <v/>
      </c>
    </row>
    <row r="4013">
      <c r="A4013" s="16" t="inlineStr">
        <is>
          <t>5.29-6.4</t>
        </is>
      </c>
      <c r="B4013" s="16" t="inlineStr">
        <is>
          <t>PO-128-13492545679991979</t>
        </is>
      </c>
      <c r="C4013" s="16" t="inlineStr">
        <is>
          <t>Delivered</t>
        </is>
      </c>
      <c r="D4013" s="16" t="inlineStr">
        <is>
          <t>128-13492514222711979</t>
        </is>
      </c>
      <c r="E4013" s="16" t="inlineStr">
        <is>
          <t>Delivered</t>
        </is>
      </c>
      <c r="F4013" s="16" t="inlineStr">
        <is>
          <t>HD005</t>
        </is>
      </c>
      <c r="G4013" s="16" t="inlineStr">
        <is>
          <t>Link bits HD005 Antena UHF para Exteriores, Antena de TV Digital HD con 10 Metros de Cable, Recepción 470-862MHz, 9-7dB de Ganancia, Antena para Canales Abiertos y HD, Resistente al Agua y Viento, Fácil Instalación</t>
        </is>
      </c>
      <c r="H4013" s="16" t="inlineStr">
        <is>
          <t>1</t>
        </is>
      </c>
      <c r="I4013" s="16" t="n">
        <v>1</v>
      </c>
      <c r="J4013" s="17" t="n">
        <v>70</v>
      </c>
      <c r="K4013" s="17" t="n">
        <v>76.81999999999999</v>
      </c>
      <c r="L4013" s="17" t="n">
        <v>25.86</v>
      </c>
      <c r="M4013" s="17" t="n">
        <v>0</v>
      </c>
      <c r="N4013" s="17">
        <f>K4013*0.08+L4013*0.08</f>
        <v/>
      </c>
      <c r="O4013" s="17">
        <f>-(K4013*0.025+L4013*0.025)</f>
        <v/>
      </c>
      <c r="P4013" s="17">
        <f>32</f>
        <v/>
      </c>
      <c r="Q4013" s="17">
        <f>J4013+L4013+N4013+O4013-P4013-M4013</f>
        <v/>
      </c>
    </row>
    <row r="4014">
      <c r="A4014" s="16" t="inlineStr">
        <is>
          <t>5.29-6.4</t>
        </is>
      </c>
      <c r="B4014" s="16" t="inlineStr">
        <is>
          <t>PO-128-13546261263991784</t>
        </is>
      </c>
      <c r="C4014" s="16" t="inlineStr">
        <is>
          <t>Delivered</t>
        </is>
      </c>
      <c r="D4014" s="16" t="inlineStr">
        <is>
          <t>128-13546320246391784</t>
        </is>
      </c>
      <c r="E4014" s="16" t="inlineStr">
        <is>
          <t>Delivered</t>
        </is>
      </c>
      <c r="F4014" s="16" t="inlineStr">
        <is>
          <t>LB02235-azul</t>
        </is>
      </c>
      <c r="G4014" s="16" t="inlineStr">
        <is>
          <t>Audífonos Inalámbricos para la Cabeza, Recargables y Multifuncionales - Conectan a Varios Dispositivos, soportan Radio FM, Tarjeta TF y AUX - 4 Horas de Reproducción Musical - Ideal para Trabajo Cotidiano, Juegos y Estudio</t>
        </is>
      </c>
      <c r="H4014" s="16" t="inlineStr">
        <is>
          <t>AZUL</t>
        </is>
      </c>
      <c r="I4014" s="16" t="n">
        <v>2</v>
      </c>
      <c r="J4014" s="17" t="n">
        <v>59.8</v>
      </c>
      <c r="K4014" s="17" t="n">
        <v>86.02</v>
      </c>
      <c r="L4014" s="17" t="n">
        <v>25.86</v>
      </c>
      <c r="M4014" s="17" t="n">
        <v>0</v>
      </c>
      <c r="N4014" s="17">
        <f>K4014*0.08+L4014*0.08</f>
        <v/>
      </c>
      <c r="O4014" s="17">
        <f>-(K4014*0.025+L4014*0.025)</f>
        <v/>
      </c>
      <c r="P4014" s="17">
        <f>32</f>
        <v/>
      </c>
      <c r="Q4014" s="17">
        <f>J4014+L4014+N4014+O4014-P4014-M4014</f>
        <v/>
      </c>
    </row>
    <row r="4015">
      <c r="A4015" s="16" t="inlineStr">
        <is>
          <t>5.29-6.4</t>
        </is>
      </c>
      <c r="B4015" s="16" t="inlineStr">
        <is>
          <t>PO-128-13535192996471722</t>
        </is>
      </c>
      <c r="C4015" s="16" t="inlineStr">
        <is>
          <t>Delivered</t>
        </is>
      </c>
      <c r="D4015" s="16" t="inlineStr">
        <is>
          <t>128-13535261153911722</t>
        </is>
      </c>
      <c r="E4015" s="16" t="inlineStr">
        <is>
          <t>Delivered</t>
        </is>
      </c>
      <c r="F4015" s="16" t="inlineStr">
        <is>
          <t>SA325T</t>
        </is>
      </c>
      <c r="G4015" s="16" t="inlineStr">
        <is>
          <t>Subwoofer Portátil Inalámbrico con Luces RGB, Sonido de Alta Potencia y Batería Duradera, TWS TF USB, Perfecto para Campamento Fiestas y Entretenimiento en Casa</t>
        </is>
      </c>
      <c r="H4015" s="16" t="inlineStr">
        <is>
          <t>NEGRO</t>
        </is>
      </c>
      <c r="I4015" s="16" t="n">
        <v>1</v>
      </c>
      <c r="J4015" s="17" t="n">
        <v>36</v>
      </c>
      <c r="K4015" s="17" t="n">
        <v>45.04</v>
      </c>
      <c r="L4015" s="17" t="n">
        <v>25.86</v>
      </c>
      <c r="M4015" s="17" t="n">
        <v>0</v>
      </c>
      <c r="N4015" s="17">
        <f>K4015*0.08+L4015*0.08</f>
        <v/>
      </c>
      <c r="O4015" s="17">
        <f>-(K4015*0.025+L4015*0.025)</f>
        <v/>
      </c>
      <c r="P4015" s="17">
        <f>32</f>
        <v/>
      </c>
      <c r="Q4015" s="17">
        <f>J4015+L4015+N4015+O4015-P4015-M4015</f>
        <v/>
      </c>
    </row>
    <row r="4016">
      <c r="A4016" s="16" t="inlineStr">
        <is>
          <t>5.29-6.4</t>
        </is>
      </c>
      <c r="B4016" s="16" t="inlineStr">
        <is>
          <t>PO-128-13349203098232897</t>
        </is>
      </c>
      <c r="C4016" s="16" t="inlineStr">
        <is>
          <t>Delivered</t>
        </is>
      </c>
      <c r="D4016" s="16" t="inlineStr">
        <is>
          <t>128-13349245041272897</t>
        </is>
      </c>
      <c r="E4016" s="16" t="inlineStr">
        <is>
          <t>Delivered</t>
        </is>
      </c>
      <c r="F4016" s="16" t="inlineStr">
        <is>
          <t>VA880T</t>
        </is>
      </c>
      <c r="G401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016" s="16" t="inlineStr">
        <is>
          <t>1 pieza</t>
        </is>
      </c>
      <c r="I4016" s="16" t="n">
        <v>2</v>
      </c>
      <c r="J4016" s="17" t="n">
        <v>226</v>
      </c>
      <c r="K4016" s="17" t="n">
        <v>250.58</v>
      </c>
      <c r="L4016" s="17" t="n">
        <v>25.86</v>
      </c>
      <c r="M4016" s="17" t="n">
        <v>0</v>
      </c>
      <c r="N4016" s="17">
        <f>K4016*0.08+L4016*0.08</f>
        <v/>
      </c>
      <c r="O4016" s="17">
        <f>-(K4016*0.025+L4016*0.025)</f>
        <v/>
      </c>
      <c r="P4016" s="17">
        <f>32</f>
        <v/>
      </c>
      <c r="Q4016" s="17">
        <f>J4016+L4016+N4016+O4016-P4016-M4016</f>
        <v/>
      </c>
    </row>
    <row r="4017">
      <c r="A4017" s="16" t="inlineStr">
        <is>
          <t>5.29-6.4</t>
        </is>
      </c>
      <c r="B4017" s="16" t="inlineStr">
        <is>
          <t>PO-128-13443514266231183</t>
        </is>
      </c>
      <c r="C4017" s="16" t="inlineStr">
        <is>
          <t>Delivered</t>
        </is>
      </c>
      <c r="D4017" s="16" t="inlineStr">
        <is>
          <t>128-13443495916151183</t>
        </is>
      </c>
      <c r="E4017" s="16" t="inlineStr">
        <is>
          <t>Delivered</t>
        </is>
      </c>
      <c r="F4017" s="16" t="inlineStr">
        <is>
          <t>VA880T</t>
        </is>
      </c>
      <c r="G4017"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017" s="16" t="inlineStr">
        <is>
          <t>1 pieza</t>
        </is>
      </c>
      <c r="I4017" s="16" t="n">
        <v>1</v>
      </c>
      <c r="J4017" s="17" t="n">
        <v>113</v>
      </c>
      <c r="K4017" s="17" t="n">
        <v>103.01</v>
      </c>
      <c r="L4017" s="17" t="n">
        <v>25.86</v>
      </c>
      <c r="M4017" s="17" t="n">
        <v>0</v>
      </c>
      <c r="N4017" s="17">
        <f>K4017*0.08+L4017*0.08</f>
        <v/>
      </c>
      <c r="O4017" s="17">
        <f>-(K4017*0.025+L4017*0.025)</f>
        <v/>
      </c>
      <c r="P4017" s="17">
        <f>32</f>
        <v/>
      </c>
      <c r="Q4017" s="17">
        <f>J4017+L4017+N4017+O4017-P4017-M4017</f>
        <v/>
      </c>
    </row>
    <row r="4018">
      <c r="A4018" s="16" t="inlineStr">
        <is>
          <t>5.29-6.4</t>
        </is>
      </c>
      <c r="B4018" s="16" t="inlineStr">
        <is>
          <t>PO-128-13151848202874009</t>
        </is>
      </c>
      <c r="C4018" s="16" t="inlineStr">
        <is>
          <t>Delivered</t>
        </is>
      </c>
      <c r="D4018" s="16" t="inlineStr">
        <is>
          <t>128-13151984517754009</t>
        </is>
      </c>
      <c r="E4018" s="16" t="inlineStr">
        <is>
          <t>Delivered</t>
        </is>
      </c>
      <c r="F4018" s="16" t="inlineStr">
        <is>
          <t>LB02235-rojo</t>
        </is>
      </c>
      <c r="G4018" s="16" t="inlineStr">
        <is>
          <t>Audífonos Inalámbricos para la Cabeza, Recargables y Multifuncionales - Conectan a Varios Dispositivos, soportan Radio FM, Tarjeta TF y AUX - 4 Horas de Reproducción Musical - Ideal para Trabajo Cotidiano, Juegos y Estudio</t>
        </is>
      </c>
      <c r="H4018" s="16" t="inlineStr">
        <is>
          <t>ROJO</t>
        </is>
      </c>
      <c r="I4018" s="16" t="n">
        <v>1</v>
      </c>
      <c r="J4018" s="17" t="n">
        <v>35</v>
      </c>
      <c r="K4018" s="17" t="n">
        <v>48.11</v>
      </c>
      <c r="L4018" s="17" t="n">
        <v>25.86</v>
      </c>
      <c r="M4018" s="17" t="n">
        <v>0</v>
      </c>
      <c r="N4018" s="17">
        <f>K4018*0.08+L4018*0.08</f>
        <v/>
      </c>
      <c r="O4018" s="17">
        <f>-(K4018*0.025+L4018*0.025)</f>
        <v/>
      </c>
      <c r="P4018" s="17">
        <f>32</f>
        <v/>
      </c>
      <c r="Q4018" s="17">
        <f>J4018+L4018+N4018+O4018-P4018-M4018</f>
        <v/>
      </c>
    </row>
    <row r="4019">
      <c r="A4019" s="16" t="inlineStr">
        <is>
          <t>5.29-6.4</t>
        </is>
      </c>
      <c r="B4019" s="16" t="inlineStr">
        <is>
          <t>PO-128-13327419310713027</t>
        </is>
      </c>
      <c r="C4019" s="16" t="inlineStr">
        <is>
          <t>Delivered</t>
        </is>
      </c>
      <c r="D4019" s="16" t="inlineStr">
        <is>
          <t>128-13327408824953027</t>
        </is>
      </c>
      <c r="E4019" s="16" t="inlineStr">
        <is>
          <t>Delivered</t>
        </is>
      </c>
      <c r="F4019" s="16" t="inlineStr">
        <is>
          <t>LB02235-rojo</t>
        </is>
      </c>
      <c r="G4019" s="16" t="inlineStr">
        <is>
          <t>Audífonos Inalámbricos para la Cabeza, Recargables y Multifuncionales - Conectan a Varios Dispositivos, soportan Radio FM, Tarjeta TF y AUX - 4 Horas de Reproducción Musical - Ideal para Trabajo Cotidiano, Juegos y Estudio</t>
        </is>
      </c>
      <c r="H4019" s="16" t="inlineStr">
        <is>
          <t>ROJO</t>
        </is>
      </c>
      <c r="I4019" s="16" t="n">
        <v>1</v>
      </c>
      <c r="J4019" s="17" t="n">
        <v>35</v>
      </c>
      <c r="K4019" s="17" t="n">
        <v>48.11</v>
      </c>
      <c r="L4019" s="17" t="n">
        <v>25.86</v>
      </c>
      <c r="M4019" s="17" t="n">
        <v>0</v>
      </c>
      <c r="N4019" s="17">
        <f>K4019*0.08+L4019*0.08</f>
        <v/>
      </c>
      <c r="O4019" s="17">
        <f>-(K4019*0.025+L4019*0.025)</f>
        <v/>
      </c>
      <c r="P4019" s="17">
        <f>32</f>
        <v/>
      </c>
      <c r="Q4019" s="17">
        <f>J4019+L4019+N4019+O4019-P4019-M4019</f>
        <v/>
      </c>
    </row>
    <row r="4020">
      <c r="A4020" s="16" t="inlineStr">
        <is>
          <t>5.29-6.4</t>
        </is>
      </c>
      <c r="B4020" s="16" t="inlineStr">
        <is>
          <t>PO-128-13086092165753377</t>
        </is>
      </c>
      <c r="C4020" s="16" t="inlineStr">
        <is>
          <t>Delivered</t>
        </is>
      </c>
      <c r="D4020" s="16" t="inlineStr">
        <is>
          <t>128-13086113137273377</t>
        </is>
      </c>
      <c r="E4020" s="16" t="inlineStr">
        <is>
          <t>Delivered</t>
        </is>
      </c>
      <c r="F4020" s="16" t="inlineStr">
        <is>
          <t>VA880T</t>
        </is>
      </c>
      <c r="G402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020" s="16" t="inlineStr">
        <is>
          <t>1 pieza</t>
        </is>
      </c>
      <c r="I4020" s="16" t="n">
        <v>2</v>
      </c>
      <c r="J4020" s="17" t="n">
        <v>226</v>
      </c>
      <c r="K4020" s="17" t="n">
        <v>200.47</v>
      </c>
      <c r="L4020" s="17" t="n">
        <v>25.86</v>
      </c>
      <c r="M4020" s="17" t="n">
        <v>0</v>
      </c>
      <c r="N4020" s="17">
        <f>K4020*0.08+L4020*0.08</f>
        <v/>
      </c>
      <c r="O4020" s="17">
        <f>-(K4020*0.025+L4020*0.025)</f>
        <v/>
      </c>
      <c r="P4020" s="17">
        <f>32</f>
        <v/>
      </c>
      <c r="Q4020" s="17">
        <f>J4020+L4020+N4020+O4020-P4020-M4020</f>
        <v/>
      </c>
    </row>
    <row r="4021">
      <c r="A4021" s="16" t="inlineStr">
        <is>
          <t>5.29-6.4</t>
        </is>
      </c>
      <c r="B4021" s="16" t="inlineStr">
        <is>
          <t>PO-128-13167382856313853</t>
        </is>
      </c>
      <c r="C4021" s="16" t="inlineStr">
        <is>
          <t>Delivered</t>
        </is>
      </c>
      <c r="D4021" s="16" t="inlineStr">
        <is>
          <t>128-13167403827833853</t>
        </is>
      </c>
      <c r="E4021" s="16" t="inlineStr">
        <is>
          <t>Delivered</t>
        </is>
      </c>
      <c r="F4021" s="16" t="inlineStr">
        <is>
          <t>LB02235-azul</t>
        </is>
      </c>
      <c r="G4021" s="16" t="inlineStr">
        <is>
          <t>Audífonos Inalámbricos para la Cabeza, Recargables y Multifuncionales - Conectan a Varios Dispositivos, soportan Radio FM, Tarjeta TF y AUX - 4 Horas de Reproducción Musical - Ideal para Trabajo Cotidiano, Juegos y Estudio</t>
        </is>
      </c>
      <c r="H4021" s="16" t="inlineStr">
        <is>
          <t>AZUL</t>
        </is>
      </c>
      <c r="I4021" s="16" t="n">
        <v>1</v>
      </c>
      <c r="J4021" s="17" t="n">
        <v>29.9</v>
      </c>
      <c r="K4021" s="17" t="n">
        <v>43.01</v>
      </c>
      <c r="L4021" s="17" t="n">
        <v>25.86</v>
      </c>
      <c r="M4021" s="17" t="n">
        <v>0</v>
      </c>
      <c r="N4021" s="17">
        <f>K4021*0.08+L4021*0.08</f>
        <v/>
      </c>
      <c r="O4021" s="17">
        <f>-(K4021*0.025+L4021*0.025)</f>
        <v/>
      </c>
      <c r="P4021" s="17">
        <f>32</f>
        <v/>
      </c>
      <c r="Q4021" s="17">
        <f>J4021+L4021+N4021+O4021-P4021-M4021</f>
        <v/>
      </c>
    </row>
    <row r="4022">
      <c r="A4022" s="16" t="inlineStr">
        <is>
          <t>5.29-6.4</t>
        </is>
      </c>
      <c r="B4022" s="16" t="inlineStr">
        <is>
          <t>PO-128-13568226693751654</t>
        </is>
      </c>
      <c r="C4022" s="16" t="inlineStr">
        <is>
          <t>Delivered</t>
        </is>
      </c>
      <c r="D4022" s="16" t="inlineStr">
        <is>
          <t>128-13568184750711654</t>
        </is>
      </c>
      <c r="E4022" s="16" t="inlineStr">
        <is>
          <t>Delivered</t>
        </is>
      </c>
      <c r="F4022" s="16" t="inlineStr">
        <is>
          <t>SA325T</t>
        </is>
      </c>
      <c r="G4022" s="16" t="inlineStr">
        <is>
          <t>Subwoofer Portátil Inalámbrico con Luces RGB, Sonido de Alta Potencia y Batería Duradera, TWS TF USB, Perfecto para Campamento Fiestas y Entretenimiento en Casa</t>
        </is>
      </c>
      <c r="H4022" s="16" t="inlineStr">
        <is>
          <t>NEGRO</t>
        </is>
      </c>
      <c r="I4022" s="16" t="n">
        <v>1</v>
      </c>
      <c r="J4022" s="17" t="n">
        <v>36</v>
      </c>
      <c r="K4022" s="17" t="n">
        <v>45.04</v>
      </c>
      <c r="L4022" s="17" t="n">
        <v>25.86</v>
      </c>
      <c r="M4022" s="17" t="n">
        <v>0</v>
      </c>
      <c r="N4022" s="17">
        <f>K4022*0.08+L4022*0.08</f>
        <v/>
      </c>
      <c r="O4022" s="17">
        <f>-(K4022*0.025+L4022*0.025)</f>
        <v/>
      </c>
      <c r="P4022" s="17">
        <f>32</f>
        <v/>
      </c>
      <c r="Q4022" s="17">
        <f>J4022+L4022+N4022+O4022-P4022-M4022</f>
        <v/>
      </c>
    </row>
    <row r="4023">
      <c r="A4023" s="16" t="inlineStr">
        <is>
          <t>5.29-6.4</t>
        </is>
      </c>
      <c r="B4023" s="16" t="inlineStr">
        <is>
          <t>PO-128-13290039480952288</t>
        </is>
      </c>
      <c r="C4023" s="16" t="inlineStr">
        <is>
          <t>Delivered</t>
        </is>
      </c>
      <c r="D4023" s="16" t="inlineStr">
        <is>
          <t>128-13289997537912288</t>
        </is>
      </c>
      <c r="E4023" s="16" t="inlineStr">
        <is>
          <t>Delivered</t>
        </is>
      </c>
      <c r="F4023" s="16" t="inlineStr">
        <is>
          <t>HD005</t>
        </is>
      </c>
      <c r="G4023" s="16" t="inlineStr">
        <is>
          <t>Link bits HD005 Antena UHF para Exteriores, Antena de TV Digital HD con 10 Metros de Cable, Recepción 470-862MHz, 9-7dB de Ganancia, Antena para Canales Abiertos y HD, Resistente al Agua y Viento, Fácil Instalación</t>
        </is>
      </c>
      <c r="H4023" s="16" t="inlineStr">
        <is>
          <t>1</t>
        </is>
      </c>
      <c r="I4023" s="16" t="n">
        <v>1</v>
      </c>
      <c r="J4023" s="17" t="n">
        <v>70</v>
      </c>
      <c r="K4023" s="17" t="n">
        <v>87.66</v>
      </c>
      <c r="L4023" s="17" t="n">
        <v>25.86</v>
      </c>
      <c r="M4023" s="17" t="n">
        <v>0</v>
      </c>
      <c r="N4023" s="17">
        <f>K4023*0.08+L4023*0.08</f>
        <v/>
      </c>
      <c r="O4023" s="17">
        <f>-(K4023*0.025+L4023*0.025)</f>
        <v/>
      </c>
      <c r="P4023" s="17">
        <f>32</f>
        <v/>
      </c>
      <c r="Q4023" s="17">
        <f>J4023+L4023+N4023+O4023-P4023-M4023</f>
        <v/>
      </c>
    </row>
    <row r="4024">
      <c r="A4024" s="16" t="inlineStr">
        <is>
          <t>5.29-6.4</t>
        </is>
      </c>
      <c r="B4024" s="16" t="inlineStr">
        <is>
          <t>PO-128-13089364890233420</t>
        </is>
      </c>
      <c r="C4024" s="16" t="inlineStr">
        <is>
          <t>Delivered</t>
        </is>
      </c>
      <c r="D4024" s="16" t="inlineStr">
        <is>
          <t>128-13089385861753420</t>
        </is>
      </c>
      <c r="E4024" s="16" t="inlineStr">
        <is>
          <t>Delivered</t>
        </is>
      </c>
      <c r="F4024" s="16" t="inlineStr">
        <is>
          <t>S09W18IB-8PZS</t>
        </is>
      </c>
      <c r="G402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024" s="16" t="inlineStr">
        <is>
          <t>8 piezas</t>
        </is>
      </c>
      <c r="I4024" s="16" t="n">
        <v>1</v>
      </c>
      <c r="J4024" s="17" t="n">
        <v>245</v>
      </c>
      <c r="K4024" s="17" t="n">
        <v>326.94</v>
      </c>
      <c r="L4024" s="17" t="n">
        <v>0</v>
      </c>
      <c r="M4024" s="17" t="n">
        <v>0</v>
      </c>
      <c r="N4024" s="17">
        <f>K4024*0.08+L4024*0.08</f>
        <v/>
      </c>
      <c r="O4024" s="17">
        <f>-(K4024*0.025+L4024*0.025)</f>
        <v/>
      </c>
      <c r="P4024" s="17">
        <f>32</f>
        <v/>
      </c>
      <c r="Q4024" s="17">
        <f>J4024+L4024+N4024+O4024-P4024-M4024</f>
        <v/>
      </c>
    </row>
    <row r="4025">
      <c r="A4025" s="16" t="inlineStr">
        <is>
          <t>5.29-6.4</t>
        </is>
      </c>
      <c r="B4025" s="16" t="inlineStr">
        <is>
          <t>PO-128-13304502559352139</t>
        </is>
      </c>
      <c r="C4025" s="16" t="inlineStr">
        <is>
          <t>Delivered</t>
        </is>
      </c>
      <c r="D4025" s="16" t="inlineStr">
        <is>
          <t>128-13304561541752139</t>
        </is>
      </c>
      <c r="E4025" s="16" t="inlineStr">
        <is>
          <t>Delivered</t>
        </is>
      </c>
      <c r="F4025" s="16" t="inlineStr">
        <is>
          <t>LB02235-rojo</t>
        </is>
      </c>
      <c r="G4025" s="16" t="inlineStr">
        <is>
          <t>Audífonos Inalámbricos para la Cabeza, Recargables y Multifuncionales - Conectan a Varios Dispositivos, soportan Radio FM, Tarjeta TF y AUX - 4 Horas de Reproducción Musical - Ideal para Trabajo Cotidiano, Juegos y Estudio</t>
        </is>
      </c>
      <c r="H4025" s="16" t="inlineStr">
        <is>
          <t>ROJO</t>
        </is>
      </c>
      <c r="I4025" s="16" t="n">
        <v>1</v>
      </c>
      <c r="J4025" s="17" t="n">
        <v>35</v>
      </c>
      <c r="K4025" s="17" t="n">
        <v>48.11</v>
      </c>
      <c r="L4025" s="17" t="n">
        <v>25.86</v>
      </c>
      <c r="M4025" s="17" t="n">
        <v>0</v>
      </c>
      <c r="N4025" s="17">
        <f>K4025*0.08+L4025*0.08</f>
        <v/>
      </c>
      <c r="O4025" s="17">
        <f>-(K4025*0.025+L4025*0.025)</f>
        <v/>
      </c>
      <c r="P4025" s="17">
        <f>32</f>
        <v/>
      </c>
      <c r="Q4025" s="17">
        <f>J4025+L4025+N4025+O4025-P4025-M4025</f>
        <v/>
      </c>
    </row>
    <row r="4026">
      <c r="A4026" s="16" t="inlineStr">
        <is>
          <t>5.29-6.4</t>
        </is>
      </c>
      <c r="B4026" s="16" t="inlineStr">
        <is>
          <t>PO-128-02725633687670744</t>
        </is>
      </c>
      <c r="C4026" s="16" t="inlineStr">
        <is>
          <t>Delivered</t>
        </is>
      </c>
      <c r="D4026" s="16" t="inlineStr">
        <is>
          <t>128-02725680873590744</t>
        </is>
      </c>
      <c r="E4026" s="16" t="inlineStr">
        <is>
          <t>Delivered</t>
        </is>
      </c>
      <c r="F4026" s="16" t="inlineStr">
        <is>
          <t>MB-185N</t>
        </is>
      </c>
      <c r="G4026" s="16" t="inlineStr">
        <is>
          <t>Bocina Radio FM/Reproductor, Compatible con Tarjeta TF, USB, Bluetooth, Aplicable para celular, computadora, Ipad y consola.</t>
        </is>
      </c>
      <c r="H4026" s="16" t="inlineStr">
        <is>
          <t>NEGRO/MB-185</t>
        </is>
      </c>
      <c r="I4026" s="16" t="n">
        <v>1</v>
      </c>
      <c r="J4026" s="17" t="n">
        <v>71.31</v>
      </c>
      <c r="K4026" s="17" t="n">
        <v>84.23999999999999</v>
      </c>
      <c r="L4026" s="17" t="n">
        <v>25.86</v>
      </c>
      <c r="M4026" s="17" t="n">
        <v>0</v>
      </c>
      <c r="N4026" s="17">
        <f>K4026*0.08+L4026*0.08</f>
        <v/>
      </c>
      <c r="O4026" s="17">
        <f>-(K4026*0.025+L4026*0.025)</f>
        <v/>
      </c>
      <c r="P4026" s="17">
        <f>32</f>
        <v/>
      </c>
      <c r="Q4026" s="17">
        <f>J4026+L4026+N4026+O4026-P4026-M4026</f>
        <v/>
      </c>
    </row>
    <row r="4027">
      <c r="A4027" s="16" t="inlineStr">
        <is>
          <t>5.29-6.4</t>
        </is>
      </c>
      <c r="B4027" s="16" t="inlineStr">
        <is>
          <t>PO-128-02173532106873845</t>
        </is>
      </c>
      <c r="C4027" s="16" t="inlineStr">
        <is>
          <t>Delivered</t>
        </is>
      </c>
      <c r="D4027" s="16" t="inlineStr">
        <is>
          <t>128-02173570117753845</t>
        </is>
      </c>
      <c r="E4027" s="16" t="inlineStr">
        <is>
          <t>Delivered</t>
        </is>
      </c>
      <c r="F4027" s="16" t="inlineStr">
        <is>
          <t>FA028</t>
        </is>
      </c>
      <c r="G4027" s="16" t="inlineStr">
        <is>
          <t>Extractor de agua para garrafas de agua, compatible con carga USB, extractor de agua automático, práctico, con dos modos de toma de agua: manual y programado, ideal para dormitorios, salones, oficinas, uso al aire libre y otros escenarios.</t>
        </is>
      </c>
      <c r="H4027" s="16" t="inlineStr">
        <is>
          <t>FA028</t>
        </is>
      </c>
      <c r="I4027" s="16" t="n">
        <v>1</v>
      </c>
      <c r="J4027" s="17" t="n">
        <v>30.99</v>
      </c>
      <c r="K4027" s="17" t="n">
        <v>40.56</v>
      </c>
      <c r="L4027" s="17" t="n">
        <v>25.86</v>
      </c>
      <c r="M4027" s="17" t="n">
        <v>0</v>
      </c>
      <c r="N4027" s="17">
        <f>K4027*0.08+L4027*0.08</f>
        <v/>
      </c>
      <c r="O4027" s="17">
        <f>-(K4027*0.025+L4027*0.025)</f>
        <v/>
      </c>
      <c r="P4027" s="17">
        <f>32</f>
        <v/>
      </c>
      <c r="Q4027" s="17">
        <f>J4027+L4027+N4027+O4027-P4027-M4027</f>
        <v/>
      </c>
    </row>
    <row r="4028">
      <c r="A4028" s="16" t="inlineStr">
        <is>
          <t>5.29-6.4</t>
        </is>
      </c>
      <c r="B4028" s="16" t="inlineStr">
        <is>
          <t>PO-128-02612897882230328</t>
        </is>
      </c>
      <c r="C4028" s="16" t="inlineStr">
        <is>
          <t>Delivered</t>
        </is>
      </c>
      <c r="D4028" s="16" t="inlineStr">
        <is>
          <t>128-02612950311030328</t>
        </is>
      </c>
      <c r="E4028" s="16" t="inlineStr">
        <is>
          <t>Delivered</t>
        </is>
      </c>
      <c r="F4028" s="16" t="inlineStr">
        <is>
          <t>MB-185N</t>
        </is>
      </c>
      <c r="G4028" s="16" t="inlineStr">
        <is>
          <t>Bocina Radio FM/Reproductor, Compatible con Tarjeta TF, USB, Bluetooth, Aplicable para celular, computadora, Ipad y consola.</t>
        </is>
      </c>
      <c r="H4028" s="16" t="inlineStr">
        <is>
          <t>NEGRO/MB-185</t>
        </is>
      </c>
      <c r="I4028" s="16" t="n">
        <v>1</v>
      </c>
      <c r="J4028" s="17" t="n">
        <v>71.31</v>
      </c>
      <c r="K4028" s="17" t="n">
        <v>84.23999999999999</v>
      </c>
      <c r="L4028" s="17" t="n">
        <v>25.86</v>
      </c>
      <c r="M4028" s="17" t="n">
        <v>0</v>
      </c>
      <c r="N4028" s="17">
        <f>K4028*0.08+L4028*0.08</f>
        <v/>
      </c>
      <c r="O4028" s="17">
        <f>-(K4028*0.025+L4028*0.025)</f>
        <v/>
      </c>
      <c r="P4028" s="17">
        <f>32</f>
        <v/>
      </c>
      <c r="Q4028" s="17">
        <f>J4028+L4028+N4028+O4028-P4028-M4028</f>
        <v/>
      </c>
    </row>
    <row r="4029">
      <c r="A4029" s="16" t="inlineStr">
        <is>
          <t>5.29-6.4</t>
        </is>
      </c>
      <c r="B4029" s="16" t="inlineStr">
        <is>
          <t>PO-128-02571184033911603</t>
        </is>
      </c>
      <c r="C4029" s="16" t="inlineStr">
        <is>
          <t>Delivered</t>
        </is>
      </c>
      <c r="D4029" s="16" t="inlineStr">
        <is>
          <t>128-02571225976951603</t>
        </is>
      </c>
      <c r="E4029" s="16" t="inlineStr">
        <is>
          <t>Delivered</t>
        </is>
      </c>
      <c r="F4029" s="16" t="inlineStr">
        <is>
          <t>SA325T</t>
        </is>
      </c>
      <c r="G4029" s="16" t="inlineStr">
        <is>
          <t>Subwoofer Portátil Inalámbrico con Luces RGB, Sonido de Alta Potencia y Batería Duradera, TWS TF USB, Perfecto para Campamento Fiestas y Entretenimiento en Casa</t>
        </is>
      </c>
      <c r="H4029" s="16" t="inlineStr">
        <is>
          <t>NEGRO</t>
        </is>
      </c>
      <c r="I4029" s="16" t="n">
        <v>1</v>
      </c>
      <c r="J4029" s="17" t="n">
        <v>36</v>
      </c>
      <c r="K4029" s="17" t="n">
        <v>45.04</v>
      </c>
      <c r="L4029" s="17" t="n">
        <v>25.86</v>
      </c>
      <c r="M4029" s="17" t="n">
        <v>0</v>
      </c>
      <c r="N4029" s="17">
        <f>K4029*0.08+L4029*0.08</f>
        <v/>
      </c>
      <c r="O4029" s="17">
        <f>-(K4029*0.025+L4029*0.025)</f>
        <v/>
      </c>
      <c r="P4029" s="17">
        <f>32</f>
        <v/>
      </c>
      <c r="Q4029" s="17">
        <f>J4029+L4029+N4029+O4029-P4029-M4029</f>
        <v/>
      </c>
    </row>
    <row r="4030">
      <c r="A4030" s="16" t="inlineStr">
        <is>
          <t>5.29-6.4</t>
        </is>
      </c>
      <c r="B4030" s="16" t="inlineStr">
        <is>
          <t>PO-128-02313913290872113</t>
        </is>
      </c>
      <c r="C4030" s="16" t="inlineStr">
        <is>
          <t>Delivered</t>
        </is>
      </c>
      <c r="D4030" s="16" t="inlineStr">
        <is>
          <t>128-02313829404792113</t>
        </is>
      </c>
      <c r="E4030" s="16" t="inlineStr">
        <is>
          <t>Delivered</t>
        </is>
      </c>
      <c r="F4030" s="16" t="inlineStr">
        <is>
          <t>LB02235-blanco</t>
        </is>
      </c>
      <c r="G4030" s="16" t="inlineStr">
        <is>
          <t>Audífonos Inalámbricos para la Cabeza, Recargables y Multifuncionales - Conectan a Varios Dispositivos, soportan Radio FM, Tarjeta TF y AUX - 4 Horas de Reproducción Musical - Ideal para Trabajo Cotidiano, Juegos y Estudio</t>
        </is>
      </c>
      <c r="H4030" s="16" t="inlineStr">
        <is>
          <t>BLANCO</t>
        </is>
      </c>
      <c r="I4030" s="16" t="n">
        <v>1</v>
      </c>
      <c r="J4030" s="17" t="n">
        <v>35</v>
      </c>
      <c r="K4030" s="17" t="n">
        <v>48.11</v>
      </c>
      <c r="L4030" s="17" t="n">
        <v>6.67</v>
      </c>
      <c r="M4030" s="17" t="n">
        <v>0</v>
      </c>
      <c r="N4030" s="17">
        <f>K4030*0.08+L4030*0.08</f>
        <v/>
      </c>
      <c r="O4030" s="17">
        <f>-(K4030*0.025+L4030*0.025)</f>
        <v/>
      </c>
      <c r="P4030" s="17">
        <f>32</f>
        <v/>
      </c>
      <c r="Q4030" s="17">
        <f>J4030+L4030+N4030+O4030-P4030-M4030</f>
        <v/>
      </c>
    </row>
    <row r="4031">
      <c r="A4031" s="16" t="inlineStr">
        <is>
          <t>5.29-6.4</t>
        </is>
      </c>
      <c r="B4031" s="16" t="inlineStr">
        <is>
          <t>PO-128-02313913290872113</t>
        </is>
      </c>
      <c r="C4031" s="16" t="inlineStr">
        <is>
          <t>Delivered</t>
        </is>
      </c>
      <c r="D4031" s="16" t="inlineStr">
        <is>
          <t>128-02313871347832113</t>
        </is>
      </c>
      <c r="E4031" s="16" t="inlineStr">
        <is>
          <t>Delivered</t>
        </is>
      </c>
      <c r="F4031" s="16" t="inlineStr">
        <is>
          <t>MB-178-B</t>
        </is>
      </c>
      <c r="G4031" s="16" t="inlineStr">
        <is>
          <t>Bocina de Barra Bluetooth LINK BITS con dos altavoces, sonido de alta calidad y multifuncional (Bluetooth, Radio FM, USB, TF, AUX, TWS), ideal para juegos, reuniones, oficina y cine en casa.</t>
        </is>
      </c>
      <c r="H4031" s="16" t="inlineStr">
        <is>
          <t>BLANCO</t>
        </is>
      </c>
      <c r="I4031" s="16" t="n">
        <v>1</v>
      </c>
      <c r="J4031" s="17" t="n">
        <v>119</v>
      </c>
      <c r="K4031" s="17" t="n">
        <v>138.34</v>
      </c>
      <c r="L4031" s="17" t="n">
        <v>19.19</v>
      </c>
      <c r="M4031" s="17" t="n">
        <v>0</v>
      </c>
      <c r="N4031" s="17">
        <f>K4031*0.08+L4031*0.08</f>
        <v/>
      </c>
      <c r="O4031" s="17">
        <f>-(K4031*0.025+L4031*0.025)</f>
        <v/>
      </c>
      <c r="P4031" s="17">
        <f>32</f>
        <v/>
      </c>
      <c r="Q4031" s="17">
        <f>J4031+L4031+N4031+O4031-P4031-M4031</f>
        <v/>
      </c>
    </row>
    <row r="4032">
      <c r="A4032" s="16" t="inlineStr">
        <is>
          <t>5.29-6.4</t>
        </is>
      </c>
      <c r="B4032" s="16" t="inlineStr">
        <is>
          <t>PO-128-02586059727990424</t>
        </is>
      </c>
      <c r="C4032" s="16" t="inlineStr">
        <is>
          <t>Delivered</t>
        </is>
      </c>
      <c r="D4032" s="16" t="inlineStr">
        <is>
          <t>128-02586112156790424</t>
        </is>
      </c>
      <c r="E4032" s="16" t="inlineStr">
        <is>
          <t>Delivered</t>
        </is>
      </c>
      <c r="F4032" s="16" t="inlineStr">
        <is>
          <t>SA325T</t>
        </is>
      </c>
      <c r="G4032" s="16" t="inlineStr">
        <is>
          <t>Subwoofer Portátil Inalámbrico con Luces RGB, Sonido de Alta Potencia y Batería Duradera, TWS TF USB, Perfecto para Campamento Fiestas y Entretenimiento en Casa</t>
        </is>
      </c>
      <c r="H4032" s="16" t="inlineStr">
        <is>
          <t>NEGRO</t>
        </is>
      </c>
      <c r="I4032" s="16" t="n">
        <v>1</v>
      </c>
      <c r="J4032" s="17" t="n">
        <v>36</v>
      </c>
      <c r="K4032" s="17" t="n">
        <v>28.61</v>
      </c>
      <c r="L4032" s="17" t="n">
        <v>25.86</v>
      </c>
      <c r="M4032" s="17" t="n">
        <v>0</v>
      </c>
      <c r="N4032" s="17">
        <f>K4032*0.08+L4032*0.08</f>
        <v/>
      </c>
      <c r="O4032" s="17">
        <f>-(K4032*0.025+L4032*0.025)</f>
        <v/>
      </c>
      <c r="P4032" s="17">
        <f>32</f>
        <v/>
      </c>
      <c r="Q4032" s="17">
        <f>J4032+L4032+N4032+O4032-P4032-M4032</f>
        <v/>
      </c>
    </row>
    <row r="4033">
      <c r="A4033" s="16" t="inlineStr">
        <is>
          <t>5.29-6.4</t>
        </is>
      </c>
      <c r="B4033" s="16" t="inlineStr">
        <is>
          <t>PO-128-02076026335353528</t>
        </is>
      </c>
      <c r="C4033" s="16" t="inlineStr">
        <is>
          <t>Delivered</t>
        </is>
      </c>
      <c r="D4033" s="16" t="inlineStr">
        <is>
          <t>128-02076036821113528</t>
        </is>
      </c>
      <c r="E4033" s="16" t="inlineStr">
        <is>
          <t>Delivered</t>
        </is>
      </c>
      <c r="F4033" s="16" t="inlineStr">
        <is>
          <t>LV64W25</t>
        </is>
      </c>
      <c r="G4033" s="16" t="inlineStr">
        <is>
          <t>Ventilador de Techo LED TIANLAI con 5 Aspas, Control Remoto, 3 Colores Luz, 3 Velocidades, Temporizador, Fácil Instalación, E27 para Baño Cocina Dormitorio Salón</t>
        </is>
      </c>
      <c r="H4033" s="16" t="inlineStr">
        <is>
          <t>LV64W25</t>
        </is>
      </c>
      <c r="I4033" s="16" t="n">
        <v>1</v>
      </c>
      <c r="J4033" s="17" t="n">
        <v>99</v>
      </c>
      <c r="K4033" s="17" t="n">
        <v>132.2</v>
      </c>
      <c r="L4033" s="17" t="n">
        <v>25.86</v>
      </c>
      <c r="M4033" s="17" t="n">
        <v>0</v>
      </c>
      <c r="N4033" s="17">
        <f>K4033*0.08+L4033*0.08</f>
        <v/>
      </c>
      <c r="O4033" s="17">
        <f>-(K4033*0.025+L4033*0.025)</f>
        <v/>
      </c>
      <c r="P4033" s="17">
        <f>32</f>
        <v/>
      </c>
      <c r="Q4033" s="17">
        <f>J4033+L4033+N4033+O4033-P4033-M4033</f>
        <v/>
      </c>
    </row>
    <row r="4034">
      <c r="A4034" s="16" t="inlineStr">
        <is>
          <t>5.29-6.4</t>
        </is>
      </c>
      <c r="B4034" s="16" t="inlineStr">
        <is>
          <t>PO-128-02318788191352147</t>
        </is>
      </c>
      <c r="C4034" s="16" t="inlineStr">
        <is>
          <t>Delivered</t>
        </is>
      </c>
      <c r="D4034" s="16" t="inlineStr">
        <is>
          <t>128-02318835377272147</t>
        </is>
      </c>
      <c r="E4034" s="16" t="inlineStr">
        <is>
          <t>Delivered</t>
        </is>
      </c>
      <c r="F4034" s="16" t="inlineStr">
        <is>
          <t>LB02235-azul</t>
        </is>
      </c>
      <c r="G4034" s="16" t="inlineStr">
        <is>
          <t>Audífonos Inalámbricos para la Cabeza, Recargables y Multifuncionales - Conectan a Varios Dispositivos, soportan Radio FM, Tarjeta TF y AUX - 4 Horas de Reproducción Musical - Ideal para Trabajo Cotidiano, Juegos y Estudio</t>
        </is>
      </c>
      <c r="H4034" s="16" t="inlineStr">
        <is>
          <t>AZUL</t>
        </is>
      </c>
      <c r="I4034" s="16" t="n">
        <v>6</v>
      </c>
      <c r="J4034" s="17" t="n">
        <v>179.4</v>
      </c>
      <c r="K4034" s="17" t="n">
        <v>258.06</v>
      </c>
      <c r="L4034" s="17" t="n">
        <v>0</v>
      </c>
      <c r="M4034" s="17" t="n">
        <v>0</v>
      </c>
      <c r="N4034" s="17">
        <f>K4034*0.08+L4034*0.08</f>
        <v/>
      </c>
      <c r="O4034" s="17">
        <f>-(K4034*0.025+L4034*0.025)</f>
        <v/>
      </c>
      <c r="P4034" s="17">
        <f>32</f>
        <v/>
      </c>
      <c r="Q4034" s="17">
        <f>J4034+L4034+N4034+O4034-P4034-M4034</f>
        <v/>
      </c>
    </row>
    <row r="4035">
      <c r="A4035" s="16" t="inlineStr">
        <is>
          <t>5.29-6.4</t>
        </is>
      </c>
      <c r="B4035" s="16" t="inlineStr">
        <is>
          <t>PO-128-02201360679033807</t>
        </is>
      </c>
      <c r="C4035" s="16" t="inlineStr">
        <is>
          <t>Delivered</t>
        </is>
      </c>
      <c r="D4035" s="16" t="inlineStr">
        <is>
          <t>128-02201465536633807</t>
        </is>
      </c>
      <c r="E4035" s="16" t="inlineStr">
        <is>
          <t>Delivered</t>
        </is>
      </c>
      <c r="F4035" s="16" t="inlineStr">
        <is>
          <t>MB-185A</t>
        </is>
      </c>
      <c r="G4035" s="16" t="inlineStr">
        <is>
          <t>Bocina Radio FM/Reproductor, Compatible con Tarjeta TF, USB, Bluetooth, Aplicable para celular, computadora, Ipad y consola.</t>
        </is>
      </c>
      <c r="H4035" s="16" t="inlineStr">
        <is>
          <t>AZUL/MB-185</t>
        </is>
      </c>
      <c r="I4035" s="16" t="n">
        <v>1</v>
      </c>
      <c r="J4035" s="17" t="n">
        <v>71.31</v>
      </c>
      <c r="K4035" s="17" t="n">
        <v>84.23999999999999</v>
      </c>
      <c r="L4035" s="17" t="n">
        <v>25.86</v>
      </c>
      <c r="M4035" s="17" t="n">
        <v>0</v>
      </c>
      <c r="N4035" s="17">
        <f>K4035*0.08+L4035*0.08</f>
        <v/>
      </c>
      <c r="O4035" s="17">
        <f>-(K4035*0.025+L4035*0.025)</f>
        <v/>
      </c>
      <c r="P4035" s="17">
        <f>32</f>
        <v/>
      </c>
      <c r="Q4035" s="17">
        <f>J4035+L4035+N4035+O4035-P4035-M4035</f>
        <v/>
      </c>
    </row>
    <row r="4036">
      <c r="A4036" s="16" t="inlineStr">
        <is>
          <t>5.29-6.4</t>
        </is>
      </c>
      <c r="B4036" s="16" t="inlineStr">
        <is>
          <t>PO-128-02416179781751503</t>
        </is>
      </c>
      <c r="C4036" s="16" t="inlineStr">
        <is>
          <t>Delivered</t>
        </is>
      </c>
      <c r="D4036" s="16" t="inlineStr">
        <is>
          <t>128-02416143081591503</t>
        </is>
      </c>
      <c r="E4036" s="16" t="inlineStr">
        <is>
          <t>Delivered</t>
        </is>
      </c>
      <c r="F4036" s="16" t="inlineStr">
        <is>
          <t>LB02235-rojo</t>
        </is>
      </c>
      <c r="G4036" s="16" t="inlineStr">
        <is>
          <t>Audífonos Inalámbricos para la Cabeza, Recargables y Multifuncionales - Conectan a Varios Dispositivos, soportan Radio FM, Tarjeta TF y AUX - 4 Horas de Reproducción Musical - Ideal para Trabajo Cotidiano, Juegos y Estudio</t>
        </is>
      </c>
      <c r="H4036" s="16" t="inlineStr">
        <is>
          <t>ROJO</t>
        </is>
      </c>
      <c r="I4036" s="16" t="n">
        <v>1</v>
      </c>
      <c r="J4036" s="17" t="n">
        <v>35</v>
      </c>
      <c r="K4036" s="17" t="n">
        <v>45.44</v>
      </c>
      <c r="L4036" s="17" t="n">
        <v>25.86</v>
      </c>
      <c r="M4036" s="17" t="n">
        <v>0</v>
      </c>
      <c r="N4036" s="17">
        <f>K4036*0.08+L4036*0.08</f>
        <v/>
      </c>
      <c r="O4036" s="17">
        <f>-(K4036*0.025+L4036*0.025)</f>
        <v/>
      </c>
      <c r="P4036" s="17">
        <f>32</f>
        <v/>
      </c>
      <c r="Q4036" s="17">
        <f>J4036+L4036+N4036+O4036-P4036-M4036</f>
        <v/>
      </c>
    </row>
    <row r="4037">
      <c r="A4037" s="16" t="inlineStr">
        <is>
          <t>5.29-6.4</t>
        </is>
      </c>
      <c r="B4037" s="16" t="inlineStr">
        <is>
          <t>PO-128-02093965673593423</t>
        </is>
      </c>
      <c r="C4037" s="16" t="inlineStr">
        <is>
          <t>Delivered</t>
        </is>
      </c>
      <c r="D4037" s="16" t="inlineStr">
        <is>
          <t>128-02094024655993423</t>
        </is>
      </c>
      <c r="E4037" s="16" t="inlineStr">
        <is>
          <t>Delivered</t>
        </is>
      </c>
      <c r="F4037" s="16" t="inlineStr">
        <is>
          <t>SA325T</t>
        </is>
      </c>
      <c r="G4037" s="16" t="inlineStr">
        <is>
          <t>Subwoofer Portátil Inalámbrico con Luces RGB, Sonido de Alta Potencia y Batería Duradera, TWS TF USB, Perfecto para Campamento Fiestas y Entretenimiento en Casa</t>
        </is>
      </c>
      <c r="H4037" s="16" t="inlineStr">
        <is>
          <t>NEGRO</t>
        </is>
      </c>
      <c r="I4037" s="16" t="n">
        <v>1</v>
      </c>
      <c r="J4037" s="17" t="n">
        <v>36</v>
      </c>
      <c r="K4037" s="17" t="n">
        <v>22.12</v>
      </c>
      <c r="L4037" s="17" t="n">
        <v>25.86</v>
      </c>
      <c r="M4037" s="17" t="n">
        <v>0</v>
      </c>
      <c r="N4037" s="17">
        <f>K4037*0.08+L4037*0.08</f>
        <v/>
      </c>
      <c r="O4037" s="17">
        <f>-(K4037*0.025+L4037*0.025)</f>
        <v/>
      </c>
      <c r="P4037" s="17">
        <f>32</f>
        <v/>
      </c>
      <c r="Q4037" s="17">
        <f>J4037+L4037+N4037+O4037-P4037-M4037</f>
        <v/>
      </c>
    </row>
    <row r="4038">
      <c r="A4038" s="16" t="inlineStr">
        <is>
          <t>5.29-6.4</t>
        </is>
      </c>
      <c r="B4038" s="16" t="inlineStr">
        <is>
          <t>PO-128-02741673265270587</t>
        </is>
      </c>
      <c r="C4038" s="16" t="inlineStr">
        <is>
          <t>Delivered</t>
        </is>
      </c>
      <c r="D4038" s="16" t="inlineStr">
        <is>
          <t>128-02741694236790587</t>
        </is>
      </c>
      <c r="E4038" s="16" t="inlineStr">
        <is>
          <t>Delivered</t>
        </is>
      </c>
      <c r="F4038" s="16" t="inlineStr">
        <is>
          <t>LB02235-azul</t>
        </is>
      </c>
      <c r="G4038" s="16" t="inlineStr">
        <is>
          <t>Audífonos Inalámbricos para la Cabeza, Recargables y Multifuncionales - Conectan a Varios Dispositivos, soportan Radio FM, Tarjeta TF y AUX - 4 Horas de Reproducción Musical - Ideal para Trabajo Cotidiano, Juegos y Estudio</t>
        </is>
      </c>
      <c r="H4038" s="16" t="inlineStr">
        <is>
          <t>AZUL</t>
        </is>
      </c>
      <c r="I4038" s="16" t="n">
        <v>1</v>
      </c>
      <c r="J4038" s="17" t="n">
        <v>29.9</v>
      </c>
      <c r="K4038" s="17" t="n">
        <v>43.01</v>
      </c>
      <c r="L4038" s="17" t="n">
        <v>25.86</v>
      </c>
      <c r="M4038" s="17" t="n">
        <v>0</v>
      </c>
      <c r="N4038" s="17">
        <f>K4038*0.08+L4038*0.08</f>
        <v/>
      </c>
      <c r="O4038" s="17">
        <f>-(K4038*0.025+L4038*0.025)</f>
        <v/>
      </c>
      <c r="P4038" s="17">
        <f>32</f>
        <v/>
      </c>
      <c r="Q4038" s="17">
        <f>J4038+L4038+N4038+O4038-P4038-M4038</f>
        <v/>
      </c>
    </row>
    <row r="4039">
      <c r="A4039" s="16" t="inlineStr">
        <is>
          <t>5.29-6.4</t>
        </is>
      </c>
      <c r="B4039" s="16" t="inlineStr">
        <is>
          <t>PO-128-02614252613750320</t>
        </is>
      </c>
      <c r="C4039" s="16" t="inlineStr">
        <is>
          <t>Delivered</t>
        </is>
      </c>
      <c r="D4039" s="16" t="inlineStr">
        <is>
          <t>128-02614273585270320</t>
        </is>
      </c>
      <c r="E4039" s="16" t="inlineStr">
        <is>
          <t>Delivered</t>
        </is>
      </c>
      <c r="F4039" s="16" t="inlineStr">
        <is>
          <t>LB02235-rojo</t>
        </is>
      </c>
      <c r="G4039" s="16" t="inlineStr">
        <is>
          <t>Audífonos Inalámbricos para la Cabeza, Recargables y Multifuncionales - Conectan a Varios Dispositivos, soportan Radio FM, Tarjeta TF y AUX - 4 Horas de Reproducción Musical - Ideal para Trabajo Cotidiano, Juegos y Estudio</t>
        </is>
      </c>
      <c r="H4039" s="16" t="inlineStr">
        <is>
          <t>ROJO</t>
        </is>
      </c>
      <c r="I4039" s="16" t="n">
        <v>1</v>
      </c>
      <c r="J4039" s="17" t="n">
        <v>35</v>
      </c>
      <c r="K4039" s="17" t="n">
        <v>48.11</v>
      </c>
      <c r="L4039" s="17" t="n">
        <v>25.86</v>
      </c>
      <c r="M4039" s="17" t="n">
        <v>0</v>
      </c>
      <c r="N4039" s="17">
        <f>K4039*0.08+L4039*0.08</f>
        <v/>
      </c>
      <c r="O4039" s="17">
        <f>-(K4039*0.025+L4039*0.025)</f>
        <v/>
      </c>
      <c r="P4039" s="17">
        <f>32</f>
        <v/>
      </c>
      <c r="Q4039" s="17">
        <f>J4039+L4039+N4039+O4039-P4039-M4039</f>
        <v/>
      </c>
    </row>
    <row r="4040">
      <c r="A4040" s="16" t="inlineStr">
        <is>
          <t>5.29-6.4</t>
        </is>
      </c>
      <c r="B4040" s="16" t="inlineStr">
        <is>
          <t>PO-128-02188870976633944</t>
        </is>
      </c>
      <c r="C4040" s="16" t="inlineStr">
        <is>
          <t>Delivered</t>
        </is>
      </c>
      <c r="D4040" s="16" t="inlineStr">
        <is>
          <t>128-02188891948153944</t>
        </is>
      </c>
      <c r="E4040" s="16" t="inlineStr">
        <is>
          <t>Delivered</t>
        </is>
      </c>
      <c r="F4040" s="16" t="inlineStr">
        <is>
          <t>LB02235-negro</t>
        </is>
      </c>
      <c r="G4040" s="16" t="inlineStr">
        <is>
          <t>Audífonos Inalámbricos para la Cabeza, Recargables y Multifuncionales - Conectan a Varios Dispositivos, soportan Radio FM, Tarjeta TF y AUX - 4 Horas de Reproducción Musical - Ideal para Trabajo Cotidiano, Juegos y Estudio</t>
        </is>
      </c>
      <c r="H4040" s="16" t="inlineStr">
        <is>
          <t>NEGRO</t>
        </is>
      </c>
      <c r="I4040" s="16" t="n">
        <v>2</v>
      </c>
      <c r="J4040" s="17" t="n">
        <v>70</v>
      </c>
      <c r="K4040" s="17" t="n">
        <v>44.5</v>
      </c>
      <c r="L4040" s="17" t="n">
        <v>25.86</v>
      </c>
      <c r="M4040" s="17" t="n">
        <v>0</v>
      </c>
      <c r="N4040" s="17">
        <f>K4040*0.08+L4040*0.08</f>
        <v/>
      </c>
      <c r="O4040" s="17">
        <f>-(K4040*0.025+L4040*0.025)</f>
        <v/>
      </c>
      <c r="P4040" s="17">
        <f>32</f>
        <v/>
      </c>
      <c r="Q4040" s="17">
        <f>J4040+L4040+N4040+O4040-P4040-M4040</f>
        <v/>
      </c>
    </row>
    <row r="4041">
      <c r="A4041" s="16" t="inlineStr">
        <is>
          <t>5.29-6.4</t>
        </is>
      </c>
      <c r="B4041" s="16" t="inlineStr">
        <is>
          <t>PO-128-02453328904311152</t>
        </is>
      </c>
      <c r="C4041" s="16" t="inlineStr">
        <is>
          <t>Delivered</t>
        </is>
      </c>
      <c r="D4041" s="16" t="inlineStr">
        <is>
          <t>128-02453245018231152</t>
        </is>
      </c>
      <c r="E4041" s="16" t="inlineStr">
        <is>
          <t>Delivered</t>
        </is>
      </c>
      <c r="F4041" s="16" t="inlineStr">
        <is>
          <t>LB02235-azul</t>
        </is>
      </c>
      <c r="G4041" s="16" t="inlineStr">
        <is>
          <t>Audífonos Inalámbricos para la Cabeza, Recargables y Multifuncionales - Conectan a Varios Dispositivos, soportan Radio FM, Tarjeta TF y AUX - 4 Horas de Reproducción Musical - Ideal para Trabajo Cotidiano, Juegos y Estudio</t>
        </is>
      </c>
      <c r="H4041" s="16" t="inlineStr">
        <is>
          <t>AZUL</t>
        </is>
      </c>
      <c r="I4041" s="16" t="n">
        <v>1</v>
      </c>
      <c r="J4041" s="17" t="n">
        <v>29.9</v>
      </c>
      <c r="K4041" s="17" t="n">
        <v>2.32</v>
      </c>
      <c r="L4041" s="17" t="n">
        <v>12.2</v>
      </c>
      <c r="M4041" s="17" t="n">
        <v>0</v>
      </c>
      <c r="N4041" s="17">
        <f>K4041*0.08+L4041*0.08</f>
        <v/>
      </c>
      <c r="O4041" s="17">
        <f>-(K4041*0.025+L4041*0.025)</f>
        <v/>
      </c>
      <c r="P4041" s="17">
        <f>32</f>
        <v/>
      </c>
      <c r="Q4041" s="17">
        <f>J4041+L4041+N4041+O4041-P4041-M4041</f>
        <v/>
      </c>
    </row>
    <row r="4042">
      <c r="A4042" s="16" t="inlineStr">
        <is>
          <t>5.29-6.4</t>
        </is>
      </c>
      <c r="B4042" s="16" t="inlineStr">
        <is>
          <t>PO-128-02453328904311152</t>
        </is>
      </c>
      <c r="C4042" s="16" t="inlineStr">
        <is>
          <t>Delivered</t>
        </is>
      </c>
      <c r="D4042" s="16" t="inlineStr">
        <is>
          <t>128-02453286961271152</t>
        </is>
      </c>
      <c r="E4042" s="16" t="inlineStr">
        <is>
          <t>Delivered</t>
        </is>
      </c>
      <c r="F4042" s="16" t="inlineStr">
        <is>
          <t>LB02235-negro</t>
        </is>
      </c>
      <c r="G4042" s="16" t="inlineStr">
        <is>
          <t>Audífonos Inalámbricos para la Cabeza, Recargables y Multifuncionales - Conectan a Varios Dispositivos, soportan Radio FM, Tarjeta TF y AUX - 4 Horas de Reproducción Musical - Ideal para Trabajo Cotidiano, Juegos y Estudio</t>
        </is>
      </c>
      <c r="H4042" s="16" t="inlineStr">
        <is>
          <t>NEGRO</t>
        </is>
      </c>
      <c r="I4042" s="16" t="n">
        <v>1</v>
      </c>
      <c r="J4042" s="17" t="n">
        <v>35</v>
      </c>
      <c r="K4042" s="17" t="n">
        <v>2.59</v>
      </c>
      <c r="L4042" s="17" t="n">
        <v>13.66</v>
      </c>
      <c r="M4042" s="17" t="n">
        <v>0</v>
      </c>
      <c r="N4042" s="17">
        <f>K4042*0.08+L4042*0.08</f>
        <v/>
      </c>
      <c r="O4042" s="17">
        <f>-(K4042*0.025+L4042*0.025)</f>
        <v/>
      </c>
      <c r="P4042" s="17">
        <f>32</f>
        <v/>
      </c>
      <c r="Q4042" s="17">
        <f>J4042+L4042+N4042+O4042-P4042-M4042</f>
        <v/>
      </c>
    </row>
    <row r="4043">
      <c r="A4043" s="16" t="inlineStr">
        <is>
          <t>5.29-6.4</t>
        </is>
      </c>
      <c r="B4043" s="16" t="inlineStr">
        <is>
          <t>PO-128-02355912241272884</t>
        </is>
      </c>
      <c r="C4043" s="16" t="inlineStr">
        <is>
          <t>Delivered</t>
        </is>
      </c>
      <c r="D4043" s="16" t="inlineStr">
        <is>
          <t>128-02355880783992884</t>
        </is>
      </c>
      <c r="E4043" s="16" t="inlineStr">
        <is>
          <t>Delivered</t>
        </is>
      </c>
      <c r="F4043" s="16" t="inlineStr">
        <is>
          <t>SA325T</t>
        </is>
      </c>
      <c r="G4043" s="16" t="inlineStr">
        <is>
          <t>Subwoofer Portátil Inalámbrico con Luces RGB, Sonido de Alta Potencia y Batería Duradera, TWS TF USB, Perfecto para Campamento Fiestas y Entretenimiento en Casa</t>
        </is>
      </c>
      <c r="H4043" s="16" t="inlineStr">
        <is>
          <t>NEGRO</t>
        </is>
      </c>
      <c r="I4043" s="16" t="n">
        <v>1</v>
      </c>
      <c r="J4043" s="17" t="n">
        <v>36</v>
      </c>
      <c r="K4043" s="17" t="n">
        <v>45.04</v>
      </c>
      <c r="L4043" s="17" t="n">
        <v>25.86</v>
      </c>
      <c r="M4043" s="17" t="n">
        <v>0</v>
      </c>
      <c r="N4043" s="17">
        <f>K4043*0.08+L4043*0.08</f>
        <v/>
      </c>
      <c r="O4043" s="17">
        <f>-(K4043*0.025+L4043*0.025)</f>
        <v/>
      </c>
      <c r="P4043" s="17">
        <f>32</f>
        <v/>
      </c>
      <c r="Q4043" s="17">
        <f>J4043+L4043+N4043+O4043-P4043-M4043</f>
        <v/>
      </c>
    </row>
    <row r="4044">
      <c r="A4044" s="16" t="inlineStr">
        <is>
          <t>5.29-6.4</t>
        </is>
      </c>
      <c r="B4044" s="16" t="inlineStr">
        <is>
          <t>PO-128-02567158761591627</t>
        </is>
      </c>
      <c r="C4044" s="16" t="inlineStr">
        <is>
          <t>Delivered</t>
        </is>
      </c>
      <c r="D4044" s="16" t="inlineStr">
        <is>
          <t>128-02567137790071627</t>
        </is>
      </c>
      <c r="E4044" s="16" t="inlineStr">
        <is>
          <t>Delivered</t>
        </is>
      </c>
      <c r="F4044" s="16" t="inlineStr">
        <is>
          <t>MB-185N</t>
        </is>
      </c>
      <c r="G4044" s="16" t="inlineStr">
        <is>
          <t>Bocina Radio FM/Reproductor, Compatible con Tarjeta TF, USB, Bluetooth, Aplicable para celular, computadora, Ipad y consola.</t>
        </is>
      </c>
      <c r="H4044" s="16" t="inlineStr">
        <is>
          <t>NEGRO/MB-185</t>
        </is>
      </c>
      <c r="I4044" s="16" t="n">
        <v>1</v>
      </c>
      <c r="J4044" s="17" t="n">
        <v>71.31</v>
      </c>
      <c r="K4044" s="17" t="n">
        <v>73.16</v>
      </c>
      <c r="L4044" s="17" t="n">
        <v>25.86</v>
      </c>
      <c r="M4044" s="17" t="n">
        <v>0</v>
      </c>
      <c r="N4044" s="17">
        <f>K4044*0.08+L4044*0.08</f>
        <v/>
      </c>
      <c r="O4044" s="17">
        <f>-(K4044*0.025+L4044*0.025)</f>
        <v/>
      </c>
      <c r="P4044" s="17">
        <f>32</f>
        <v/>
      </c>
      <c r="Q4044" s="17">
        <f>J4044+L4044+N4044+O4044-P4044-M4044</f>
        <v/>
      </c>
    </row>
    <row r="4045">
      <c r="A4045" s="16" t="inlineStr">
        <is>
          <t>5.29-6.4</t>
        </is>
      </c>
      <c r="B4045" s="16" t="inlineStr">
        <is>
          <t>PO-128-02468791447671253</t>
        </is>
      </c>
      <c r="C4045" s="16" t="inlineStr">
        <is>
          <t>Delivered</t>
        </is>
      </c>
      <c r="D4045" s="16" t="inlineStr">
        <is>
          <t>128-02468812419191253</t>
        </is>
      </c>
      <c r="E4045" s="16" t="inlineStr">
        <is>
          <t>Delivered</t>
        </is>
      </c>
      <c r="F4045" s="16" t="inlineStr">
        <is>
          <t>VA880T</t>
        </is>
      </c>
      <c r="G404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045" s="16" t="inlineStr">
        <is>
          <t>1 pieza</t>
        </is>
      </c>
      <c r="I4045" s="16" t="n">
        <v>1</v>
      </c>
      <c r="J4045" s="17" t="n">
        <v>113</v>
      </c>
      <c r="K4045" s="17" t="n">
        <v>125.29</v>
      </c>
      <c r="L4045" s="17" t="n">
        <v>25.86</v>
      </c>
      <c r="M4045" s="17" t="n">
        <v>0</v>
      </c>
      <c r="N4045" s="17">
        <f>K4045*0.08+L4045*0.08</f>
        <v/>
      </c>
      <c r="O4045" s="17">
        <f>-(K4045*0.025+L4045*0.025)</f>
        <v/>
      </c>
      <c r="P4045" s="17">
        <f>32</f>
        <v/>
      </c>
      <c r="Q4045" s="17">
        <f>J4045+L4045+N4045+O4045-P4045-M4045</f>
        <v/>
      </c>
    </row>
    <row r="4046">
      <c r="A4046" s="16" t="inlineStr">
        <is>
          <t>5.29-6.4</t>
        </is>
      </c>
      <c r="B4046" s="16" t="inlineStr">
        <is>
          <t>PO-128-02309791916152137</t>
        </is>
      </c>
      <c r="C4046" s="16" t="inlineStr">
        <is>
          <t>Delivered</t>
        </is>
      </c>
      <c r="D4046" s="16" t="inlineStr">
        <is>
          <t>128-02309770944632137</t>
        </is>
      </c>
      <c r="E4046" s="16" t="inlineStr">
        <is>
          <t>Delivered</t>
        </is>
      </c>
      <c r="F4046" s="16" t="inlineStr">
        <is>
          <t>VA384T-G</t>
        </is>
      </c>
      <c r="G4046" s="16" t="inlineStr">
        <is>
          <t>Bocina Portátil Bluetooth de 3 Pulgadas con Radio FM, USB TF TWS, Sonido Estéreo 5W, Bocina Recargable para Hogar Exterior Viaje Fiesta Camping</t>
        </is>
      </c>
      <c r="H4046" s="16" t="inlineStr">
        <is>
          <t>GRIS</t>
        </is>
      </c>
      <c r="I4046" s="16" t="n">
        <v>1</v>
      </c>
      <c r="J4046" s="17" t="n">
        <v>46</v>
      </c>
      <c r="K4046" s="17" t="n">
        <v>56.72</v>
      </c>
      <c r="L4046" s="17" t="n">
        <v>25.86</v>
      </c>
      <c r="M4046" s="17" t="n">
        <v>0</v>
      </c>
      <c r="N4046" s="17">
        <f>K4046*0.08+L4046*0.08</f>
        <v/>
      </c>
      <c r="O4046" s="17">
        <f>-(K4046*0.025+L4046*0.025)</f>
        <v/>
      </c>
      <c r="P4046" s="17">
        <f>32</f>
        <v/>
      </c>
      <c r="Q4046" s="17">
        <f>J4046+L4046+N4046+O4046-P4046-M4046</f>
        <v/>
      </c>
    </row>
    <row r="4047">
      <c r="A4047" s="16" t="inlineStr">
        <is>
          <t>5.29-6.4</t>
        </is>
      </c>
      <c r="B4047" s="16" t="inlineStr">
        <is>
          <t>PO-128-02541816901751712</t>
        </is>
      </c>
      <c r="C4047" s="16" t="inlineStr">
        <is>
          <t>Delivered</t>
        </is>
      </c>
      <c r="D4047" s="16" t="inlineStr">
        <is>
          <t>128-02541774958711712</t>
        </is>
      </c>
      <c r="E4047" s="16" t="inlineStr">
        <is>
          <t>Delivered</t>
        </is>
      </c>
      <c r="F4047" s="16" t="inlineStr">
        <is>
          <t>LB02235-negro</t>
        </is>
      </c>
      <c r="G4047" s="16" t="inlineStr">
        <is>
          <t>Audífonos Inalámbricos para la Cabeza, Recargables y Multifuncionales - Conectan a Varios Dispositivos, soportan Radio FM, Tarjeta TF y AUX - 4 Horas de Reproducción Musical - Ideal para Trabajo Cotidiano, Juegos y Estudio</t>
        </is>
      </c>
      <c r="H4047" s="16" t="inlineStr">
        <is>
          <t>NEGRO</t>
        </is>
      </c>
      <c r="I4047" s="16" t="n">
        <v>1</v>
      </c>
      <c r="J4047" s="17" t="n">
        <v>35</v>
      </c>
      <c r="K4047" s="17" t="n">
        <v>48.11</v>
      </c>
      <c r="L4047" s="17" t="n">
        <v>25.86</v>
      </c>
      <c r="M4047" s="17" t="n">
        <v>0</v>
      </c>
      <c r="N4047" s="17">
        <f>K4047*0.08+L4047*0.08</f>
        <v/>
      </c>
      <c r="O4047" s="17">
        <f>-(K4047*0.025+L4047*0.025)</f>
        <v/>
      </c>
      <c r="P4047" s="17">
        <f>32</f>
        <v/>
      </c>
      <c r="Q4047" s="17">
        <f>J4047+L4047+N4047+O4047-P4047-M4047</f>
        <v/>
      </c>
    </row>
    <row r="4048">
      <c r="A4048" s="16" t="inlineStr">
        <is>
          <t>5.29-6.4</t>
        </is>
      </c>
      <c r="B4048" s="16" t="inlineStr">
        <is>
          <t>PO-128-02271058890872430</t>
        </is>
      </c>
      <c r="C4048" s="16" t="inlineStr">
        <is>
          <t>Delivered</t>
        </is>
      </c>
      <c r="D4048" s="16" t="inlineStr">
        <is>
          <t>128-02271111319672430</t>
        </is>
      </c>
      <c r="E4048" s="16" t="inlineStr">
        <is>
          <t>Delivered</t>
        </is>
      </c>
      <c r="F4048" s="16" t="inlineStr">
        <is>
          <t>LB02235-negro</t>
        </is>
      </c>
      <c r="G4048" s="16" t="inlineStr">
        <is>
          <t>Audífonos Inalámbricos para la Cabeza, Recargables y Multifuncionales - Conectan a Varios Dispositivos, soportan Radio FM, Tarjeta TF y AUX - 4 Horas de Reproducción Musical - Ideal para Trabajo Cotidiano, Juegos y Estudio</t>
        </is>
      </c>
      <c r="H4048" s="16" t="inlineStr">
        <is>
          <t>NEGRO</t>
        </is>
      </c>
      <c r="I4048" s="16" t="n">
        <v>1</v>
      </c>
      <c r="J4048" s="17" t="n">
        <v>35</v>
      </c>
      <c r="K4048" s="17" t="n">
        <v>40.89</v>
      </c>
      <c r="L4048" s="17" t="n">
        <v>25.86</v>
      </c>
      <c r="M4048" s="17" t="n">
        <v>0</v>
      </c>
      <c r="N4048" s="17">
        <f>K4048*0.08+L4048*0.08</f>
        <v/>
      </c>
      <c r="O4048" s="17">
        <f>-(K4048*0.025+L4048*0.025)</f>
        <v/>
      </c>
      <c r="P4048" s="17">
        <f>32</f>
        <v/>
      </c>
      <c r="Q4048" s="17">
        <f>J4048+L4048+N4048+O4048-P4048-M4048</f>
        <v/>
      </c>
    </row>
    <row r="4049">
      <c r="A4049" s="16" t="inlineStr">
        <is>
          <t>5.29-6.4</t>
        </is>
      </c>
      <c r="B4049" s="16" t="inlineStr">
        <is>
          <t>PO-128-02355050504312891</t>
        </is>
      </c>
      <c r="C4049" s="16" t="inlineStr">
        <is>
          <t>Delivered</t>
        </is>
      </c>
      <c r="D4049" s="16" t="inlineStr">
        <is>
          <t>128-02355155361912891</t>
        </is>
      </c>
      <c r="E4049" s="16" t="inlineStr">
        <is>
          <t>Delivered</t>
        </is>
      </c>
      <c r="F4049" s="16" t="inlineStr">
        <is>
          <t>MB-185N</t>
        </is>
      </c>
      <c r="G4049" s="16" t="inlineStr">
        <is>
          <t>Bocina Radio FM/Reproductor, Compatible con Tarjeta TF, USB, Bluetooth, Aplicable para celular, computadora, Ipad y consola.</t>
        </is>
      </c>
      <c r="H4049" s="16" t="inlineStr">
        <is>
          <t>NEGRO/MB-185</t>
        </is>
      </c>
      <c r="I4049" s="16" t="n">
        <v>1</v>
      </c>
      <c r="J4049" s="17" t="n">
        <v>71.31</v>
      </c>
      <c r="K4049" s="17" t="n">
        <v>75.81999999999999</v>
      </c>
      <c r="L4049" s="17" t="n">
        <v>25.86</v>
      </c>
      <c r="M4049" s="17" t="n">
        <v>0</v>
      </c>
      <c r="N4049" s="17">
        <f>K4049*0.08+L4049*0.08</f>
        <v/>
      </c>
      <c r="O4049" s="17">
        <f>-(K4049*0.025+L4049*0.025)</f>
        <v/>
      </c>
      <c r="P4049" s="17">
        <f>32</f>
        <v/>
      </c>
      <c r="Q4049" s="17">
        <f>J4049+L4049+N4049+O4049-P4049-M4049</f>
        <v/>
      </c>
    </row>
    <row r="4050">
      <c r="A4050" s="16" t="inlineStr">
        <is>
          <t>5.29-6.4</t>
        </is>
      </c>
      <c r="B4050" s="16" t="inlineStr">
        <is>
          <t>PO-128-02418559434871489</t>
        </is>
      </c>
      <c r="C4050" s="16" t="inlineStr">
        <is>
          <t>Delivered</t>
        </is>
      </c>
      <c r="D4050" s="16" t="inlineStr">
        <is>
          <t>128-02418580406391489</t>
        </is>
      </c>
      <c r="E4050" s="16" t="inlineStr">
        <is>
          <t>Delivered</t>
        </is>
      </c>
      <c r="F4050" s="16" t="inlineStr">
        <is>
          <t>VB347T</t>
        </is>
      </c>
      <c r="G405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050" s="16" t="inlineStr">
        <is>
          <t>1 pieza</t>
        </is>
      </c>
      <c r="I4050" s="16" t="n">
        <v>1</v>
      </c>
      <c r="J4050" s="17" t="n">
        <v>77.90000000000001</v>
      </c>
      <c r="K4050" s="17" t="n">
        <v>92.5</v>
      </c>
      <c r="L4050" s="17" t="n">
        <v>25.86</v>
      </c>
      <c r="M4050" s="17" t="n">
        <v>0</v>
      </c>
      <c r="N4050" s="17">
        <f>K4050*0.08+L4050*0.08</f>
        <v/>
      </c>
      <c r="O4050" s="17">
        <f>-(K4050*0.025+L4050*0.025)</f>
        <v/>
      </c>
      <c r="P4050" s="17">
        <f>32</f>
        <v/>
      </c>
      <c r="Q4050" s="17">
        <f>J4050+L4050+N4050+O4050-P4050-M4050</f>
        <v/>
      </c>
    </row>
    <row r="4051">
      <c r="A4051" s="16" t="inlineStr">
        <is>
          <t>5.29-6.4</t>
        </is>
      </c>
      <c r="B4051" s="16" t="inlineStr">
        <is>
          <t>PO-128-02640388923510231</t>
        </is>
      </c>
      <c r="C4051" s="16" t="inlineStr">
        <is>
          <t>Delivered</t>
        </is>
      </c>
      <c r="D4051" s="16" t="inlineStr">
        <is>
          <t>128-02640378437750231</t>
        </is>
      </c>
      <c r="E4051" s="16" t="inlineStr">
        <is>
          <t>Delivered</t>
        </is>
      </c>
      <c r="F4051" s="16" t="inlineStr">
        <is>
          <t>LB02235-negro</t>
        </is>
      </c>
      <c r="G4051" s="16" t="inlineStr">
        <is>
          <t>Audífonos Inalámbricos para la Cabeza, Recargables y Multifuncionales - Conectan a Varios Dispositivos, soportan Radio FM, Tarjeta TF y AUX - 4 Horas de Reproducción Musical - Ideal para Trabajo Cotidiano, Juegos y Estudio</t>
        </is>
      </c>
      <c r="H4051" s="16" t="inlineStr">
        <is>
          <t>NEGRO</t>
        </is>
      </c>
      <c r="I4051" s="16" t="n">
        <v>1</v>
      </c>
      <c r="J4051" s="17" t="n">
        <v>35</v>
      </c>
      <c r="K4051" s="17" t="n">
        <v>48.11</v>
      </c>
      <c r="L4051" s="17" t="n">
        <v>25.86</v>
      </c>
      <c r="M4051" s="17" t="n">
        <v>0</v>
      </c>
      <c r="N4051" s="17">
        <f>K4051*0.08+L4051*0.08</f>
        <v/>
      </c>
      <c r="O4051" s="17">
        <f>-(K4051*0.025+L4051*0.025)</f>
        <v/>
      </c>
      <c r="P4051" s="17">
        <f>32</f>
        <v/>
      </c>
      <c r="Q4051" s="17">
        <f>J4051+L4051+N4051+O4051-P4051-M4051</f>
        <v/>
      </c>
    </row>
    <row r="4052">
      <c r="A4052" s="16" t="inlineStr">
        <is>
          <t>5.29-6.4</t>
        </is>
      </c>
      <c r="B4052" s="16" t="inlineStr">
        <is>
          <t>PO-128-02330723607673034</t>
        </is>
      </c>
      <c r="C4052" s="16" t="inlineStr">
        <is>
          <t>Delivered</t>
        </is>
      </c>
      <c r="D4052" s="16" t="inlineStr">
        <is>
          <t>128-02330744579193034</t>
        </is>
      </c>
      <c r="E4052" s="16" t="inlineStr">
        <is>
          <t>Delivered</t>
        </is>
      </c>
      <c r="F4052" s="16" t="inlineStr">
        <is>
          <t>MB-185R</t>
        </is>
      </c>
      <c r="G4052" s="16" t="inlineStr">
        <is>
          <t>Bocina Radio FM/Reproductor, Compatible con Tarjeta TF, USB, Bluetooth, Aplicable para celular, computadora, Ipad y consola.</t>
        </is>
      </c>
      <c r="H4052" s="16" t="inlineStr">
        <is>
          <t>ROJO/MB-185</t>
        </is>
      </c>
      <c r="I4052" s="16" t="n">
        <v>1</v>
      </c>
      <c r="J4052" s="17" t="n">
        <v>71.31</v>
      </c>
      <c r="K4052" s="17" t="n">
        <v>84.23999999999999</v>
      </c>
      <c r="L4052" s="17" t="n">
        <v>25.86</v>
      </c>
      <c r="M4052" s="17" t="n">
        <v>0</v>
      </c>
      <c r="N4052" s="17">
        <f>K4052*0.08+L4052*0.08</f>
        <v/>
      </c>
      <c r="O4052" s="17">
        <f>-(K4052*0.025+L4052*0.025)</f>
        <v/>
      </c>
      <c r="P4052" s="17">
        <f>32</f>
        <v/>
      </c>
      <c r="Q4052" s="17">
        <f>J4052+L4052+N4052+O4052-P4052-M4052</f>
        <v/>
      </c>
    </row>
    <row r="4053">
      <c r="A4053" s="16" t="inlineStr">
        <is>
          <t>5.29-6.4</t>
        </is>
      </c>
      <c r="B4053" s="16" t="inlineStr">
        <is>
          <t>PO-128-02546949133431746</t>
        </is>
      </c>
      <c r="C4053" s="16" t="inlineStr">
        <is>
          <t>Delivered</t>
        </is>
      </c>
      <c r="D4053" s="16" t="inlineStr">
        <is>
          <t>128-02546907190391746</t>
        </is>
      </c>
      <c r="E4053" s="16" t="inlineStr">
        <is>
          <t>Delivered</t>
        </is>
      </c>
      <c r="F4053" s="16" t="inlineStr">
        <is>
          <t>MB-178-N</t>
        </is>
      </c>
      <c r="G4053" s="16" t="inlineStr">
        <is>
          <t>Bocina de Barra Bluetooth LINK BITS con dos altavoces, sonido de alta calidad y multifuncional (Bluetooth, Radio FM, USB, TF, AUX, TWS), ideal para juegos, reuniones, oficina y cine en casa.</t>
        </is>
      </c>
      <c r="H4053" s="16" t="inlineStr">
        <is>
          <t>NEGRO</t>
        </is>
      </c>
      <c r="I4053" s="16" t="n">
        <v>1</v>
      </c>
      <c r="J4053" s="17" t="n">
        <v>120</v>
      </c>
      <c r="K4053" s="17" t="n">
        <v>139.34</v>
      </c>
      <c r="L4053" s="17" t="n">
        <v>25.86</v>
      </c>
      <c r="M4053" s="17" t="n">
        <v>0</v>
      </c>
      <c r="N4053" s="17">
        <f>K4053*0.08+L4053*0.08</f>
        <v/>
      </c>
      <c r="O4053" s="17">
        <f>-(K4053*0.025+L4053*0.025)</f>
        <v/>
      </c>
      <c r="P4053" s="17">
        <f>32</f>
        <v/>
      </c>
      <c r="Q4053" s="17">
        <f>J4053+L4053+N4053+O4053-P4053-M4053</f>
        <v/>
      </c>
    </row>
    <row r="4054">
      <c r="A4054" s="16" t="inlineStr">
        <is>
          <t>5.29-6.4</t>
        </is>
      </c>
      <c r="B4054" s="16" t="inlineStr">
        <is>
          <t>PO-128-02517963075191854</t>
        </is>
      </c>
      <c r="C4054" s="16" t="inlineStr">
        <is>
          <t>Delivered</t>
        </is>
      </c>
      <c r="D4054" s="16" t="inlineStr">
        <is>
          <t>128-02517952589431854</t>
        </is>
      </c>
      <c r="E4054" s="16" t="inlineStr">
        <is>
          <t>Delivered</t>
        </is>
      </c>
      <c r="F4054" s="16" t="inlineStr">
        <is>
          <t>HD005</t>
        </is>
      </c>
      <c r="G4054" s="16" t="inlineStr">
        <is>
          <t>Link bits HD005 Antena UHF para Exteriores, Antena de TV Digital HD con 10 Metros de Cable, Recepción 470-862MHz, 9-7dB de Ganancia, Antena para Canales Abiertos y HD, Resistente al Agua y Viento, Fácil Instalación</t>
        </is>
      </c>
      <c r="H4054" s="16" t="inlineStr">
        <is>
          <t>1</t>
        </is>
      </c>
      <c r="I4054" s="16" t="n">
        <v>1</v>
      </c>
      <c r="J4054" s="17" t="n">
        <v>70</v>
      </c>
      <c r="K4054" s="17" t="n">
        <v>87.66</v>
      </c>
      <c r="L4054" s="17" t="n">
        <v>25.86</v>
      </c>
      <c r="M4054" s="17" t="n">
        <v>0</v>
      </c>
      <c r="N4054" s="17">
        <f>K4054*0.08+L4054*0.08</f>
        <v/>
      </c>
      <c r="O4054" s="17">
        <f>-(K4054*0.025+L4054*0.025)</f>
        <v/>
      </c>
      <c r="P4054" s="17">
        <f>32</f>
        <v/>
      </c>
      <c r="Q4054" s="17">
        <f>J4054+L4054+N4054+O4054-P4054-M4054</f>
        <v/>
      </c>
    </row>
    <row r="4055">
      <c r="A4055" s="16" t="inlineStr">
        <is>
          <t>5.29-6.4</t>
        </is>
      </c>
      <c r="B4055" s="16" t="inlineStr">
        <is>
          <t>PO-128-02566953971831626</t>
        </is>
      </c>
      <c r="C4055" s="16" t="inlineStr">
        <is>
          <t>Delivered</t>
        </is>
      </c>
      <c r="D4055" s="16" t="inlineStr">
        <is>
          <t>128-02566922514551626</t>
        </is>
      </c>
      <c r="E4055" s="16" t="inlineStr">
        <is>
          <t>Delivered</t>
        </is>
      </c>
      <c r="F4055" s="16" t="inlineStr">
        <is>
          <t>LB02235-azul</t>
        </is>
      </c>
      <c r="G4055" s="16" t="inlineStr">
        <is>
          <t>Audífonos Inalámbricos para la Cabeza, Recargables y Multifuncionales - Conectan a Varios Dispositivos, soportan Radio FM, Tarjeta TF y AUX - 4 Horas de Reproducción Musical - Ideal para Trabajo Cotidiano, Juegos y Estudio</t>
        </is>
      </c>
      <c r="H4055" s="16" t="inlineStr">
        <is>
          <t>AZUL</t>
        </is>
      </c>
      <c r="I4055" s="16" t="n">
        <v>1</v>
      </c>
      <c r="J4055" s="17" t="n">
        <v>29.9</v>
      </c>
      <c r="K4055" s="17" t="n">
        <v>43.01</v>
      </c>
      <c r="L4055" s="17" t="n">
        <v>25.86</v>
      </c>
      <c r="M4055" s="17" t="n">
        <v>0</v>
      </c>
      <c r="N4055" s="17">
        <f>K4055*0.08+L4055*0.08</f>
        <v/>
      </c>
      <c r="O4055" s="17">
        <f>-(K4055*0.025+L4055*0.025)</f>
        <v/>
      </c>
      <c r="P4055" s="17">
        <f>32</f>
        <v/>
      </c>
      <c r="Q4055" s="17">
        <f>J4055+L4055+N4055+O4055-P4055-M4055</f>
        <v/>
      </c>
    </row>
    <row r="4056">
      <c r="A4056" s="16" t="inlineStr">
        <is>
          <t>5.29-6.4</t>
        </is>
      </c>
      <c r="B4056" s="16" t="inlineStr">
        <is>
          <t>PO-128-02493777587831934</t>
        </is>
      </c>
      <c r="C4056" s="16" t="inlineStr">
        <is>
          <t>Delivered</t>
        </is>
      </c>
      <c r="D4056" s="16" t="inlineStr">
        <is>
          <t>128-02493830016631934</t>
        </is>
      </c>
      <c r="E4056" s="16" t="inlineStr">
        <is>
          <t>Delivered</t>
        </is>
      </c>
      <c r="F4056" s="16" t="inlineStr">
        <is>
          <t>LB02235-rojo</t>
        </is>
      </c>
      <c r="G4056" s="16" t="inlineStr">
        <is>
          <t>Audífonos Inalámbricos para la Cabeza, Recargables y Multifuncionales - Conectan a Varios Dispositivos, soportan Radio FM, Tarjeta TF y AUX - 4 Horas de Reproducción Musical - Ideal para Trabajo Cotidiano, Juegos y Estudio</t>
        </is>
      </c>
      <c r="H4056" s="16" t="inlineStr">
        <is>
          <t>ROJO</t>
        </is>
      </c>
      <c r="I4056" s="16" t="n">
        <v>1</v>
      </c>
      <c r="J4056" s="17" t="n">
        <v>35</v>
      </c>
      <c r="K4056" s="17" t="n">
        <v>38.49</v>
      </c>
      <c r="L4056" s="17" t="n">
        <v>25.86</v>
      </c>
      <c r="M4056" s="17" t="n">
        <v>0</v>
      </c>
      <c r="N4056" s="17">
        <f>K4056*0.08+L4056*0.08</f>
        <v/>
      </c>
      <c r="O4056" s="17">
        <f>-(K4056*0.025+L4056*0.025)</f>
        <v/>
      </c>
      <c r="P4056" s="17">
        <f>32</f>
        <v/>
      </c>
      <c r="Q4056" s="17">
        <f>J4056+L4056+N4056+O4056-P4056-M4056</f>
        <v/>
      </c>
    </row>
    <row r="4057">
      <c r="A4057" s="16" t="inlineStr">
        <is>
          <t>5.29-6.4</t>
        </is>
      </c>
      <c r="B4057" s="16" t="inlineStr">
        <is>
          <t>PO-128-02109796467833201</t>
        </is>
      </c>
      <c r="C4057" s="16" t="inlineStr">
        <is>
          <t>Delivered</t>
        </is>
      </c>
      <c r="D4057" s="16" t="inlineStr">
        <is>
          <t>128-02109749281913201</t>
        </is>
      </c>
      <c r="E4057" s="16" t="inlineStr">
        <is>
          <t>Delivered</t>
        </is>
      </c>
      <c r="F4057" s="16" t="inlineStr">
        <is>
          <t>LB02235-azul</t>
        </is>
      </c>
      <c r="G4057" s="16" t="inlineStr">
        <is>
          <t>Audífonos Inalámbricos para la Cabeza, Recargables y Multifuncionales - Conectan a Varios Dispositivos, soportan Radio FM, Tarjeta TF y AUX - 4 Horas de Reproducción Musical - Ideal para Trabajo Cotidiano, Juegos y Estudio</t>
        </is>
      </c>
      <c r="H4057" s="16" t="inlineStr">
        <is>
          <t>AZUL</t>
        </is>
      </c>
      <c r="I4057" s="16" t="n">
        <v>1</v>
      </c>
      <c r="J4057" s="17" t="n">
        <v>29.9</v>
      </c>
      <c r="K4057" s="17" t="n">
        <v>43.01</v>
      </c>
      <c r="L4057" s="17" t="n">
        <v>25.86</v>
      </c>
      <c r="M4057" s="17" t="n">
        <v>0</v>
      </c>
      <c r="N4057" s="17">
        <f>K4057*0.08+L4057*0.08</f>
        <v/>
      </c>
      <c r="O4057" s="17">
        <f>-(K4057*0.025+L4057*0.025)</f>
        <v/>
      </c>
      <c r="P4057" s="17">
        <f>32</f>
        <v/>
      </c>
      <c r="Q4057" s="17">
        <f>J4057+L4057+N4057+O4057-P4057-M4057</f>
        <v/>
      </c>
    </row>
    <row r="4058">
      <c r="A4058" s="16" t="inlineStr">
        <is>
          <t>5.29-6.4</t>
        </is>
      </c>
      <c r="B4058" s="16" t="inlineStr">
        <is>
          <t>PO-128-02076194107513529</t>
        </is>
      </c>
      <c r="C4058" s="16" t="inlineStr">
        <is>
          <t>Delivered</t>
        </is>
      </c>
      <c r="D4058" s="16" t="inlineStr">
        <is>
          <t>128-02076196728953529</t>
        </is>
      </c>
      <c r="E4058" s="16" t="inlineStr">
        <is>
          <t>Delivered</t>
        </is>
      </c>
      <c r="F4058" s="16" t="inlineStr">
        <is>
          <t>LB02235-azul</t>
        </is>
      </c>
      <c r="G4058" s="16" t="inlineStr">
        <is>
          <t>Audífonos Inalámbricos para la Cabeza, Recargables y Multifuncionales - Conectan a Varios Dispositivos, soportan Radio FM, Tarjeta TF y AUX - 4 Horas de Reproducción Musical - Ideal para Trabajo Cotidiano, Juegos y Estudio</t>
        </is>
      </c>
      <c r="H4058" s="16" t="inlineStr">
        <is>
          <t>AZUL</t>
        </is>
      </c>
      <c r="I4058" s="16" t="n">
        <v>1</v>
      </c>
      <c r="J4058" s="17" t="n">
        <v>29.9</v>
      </c>
      <c r="K4058" s="17" t="n">
        <v>43.01</v>
      </c>
      <c r="L4058" s="17" t="n">
        <v>25.86</v>
      </c>
      <c r="M4058" s="17" t="n">
        <v>0</v>
      </c>
      <c r="N4058" s="17">
        <f>K4058*0.08+L4058*0.08</f>
        <v/>
      </c>
      <c r="O4058" s="17">
        <f>-(K4058*0.025+L4058*0.025)</f>
        <v/>
      </c>
      <c r="P4058" s="17">
        <f>32</f>
        <v/>
      </c>
      <c r="Q4058" s="17">
        <f>J4058+L4058+N4058+O4058-P4058-M4058</f>
        <v/>
      </c>
    </row>
    <row r="4059">
      <c r="A4059" s="16" t="inlineStr">
        <is>
          <t>5.29-6.4</t>
        </is>
      </c>
      <c r="B4059" s="16" t="inlineStr">
        <is>
          <t>PO-128-02168168702074069</t>
        </is>
      </c>
      <c r="C4059" s="16" t="inlineStr">
        <is>
          <t>Delivered</t>
        </is>
      </c>
      <c r="D4059" s="16" t="inlineStr">
        <is>
          <t>128-02168194916474069</t>
        </is>
      </c>
      <c r="E4059" s="16" t="inlineStr">
        <is>
          <t>Delivered</t>
        </is>
      </c>
      <c r="F4059" s="16" t="inlineStr">
        <is>
          <t>S09W18IB</t>
        </is>
      </c>
      <c r="G405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059" s="16" t="inlineStr">
        <is>
          <t>1 pieza</t>
        </is>
      </c>
      <c r="I4059" s="16" t="n">
        <v>3</v>
      </c>
      <c r="J4059" s="17" t="n">
        <v>87</v>
      </c>
      <c r="K4059" s="17" t="n">
        <v>100.29</v>
      </c>
      <c r="L4059" s="17" t="n">
        <v>25.86</v>
      </c>
      <c r="M4059" s="17" t="n">
        <v>0</v>
      </c>
      <c r="N4059" s="17">
        <f>K4059*0.08+L4059*0.08</f>
        <v/>
      </c>
      <c r="O4059" s="17">
        <f>-(K4059*0.025+L4059*0.025)</f>
        <v/>
      </c>
      <c r="P4059" s="17">
        <f>32</f>
        <v/>
      </c>
      <c r="Q4059" s="17">
        <f>J4059+L4059+N4059+O4059-P4059-M4059</f>
        <v/>
      </c>
    </row>
    <row r="4060">
      <c r="A4060" s="16" t="inlineStr">
        <is>
          <t>5.29-6.4</t>
        </is>
      </c>
      <c r="B4060" s="16" t="inlineStr">
        <is>
          <t>PO-128-02193100547193729</t>
        </is>
      </c>
      <c r="C4060" s="16" t="inlineStr">
        <is>
          <t>Delivered</t>
        </is>
      </c>
      <c r="D4060" s="16" t="inlineStr">
        <is>
          <t>128-02193058604153729</t>
        </is>
      </c>
      <c r="E4060" s="16" t="inlineStr">
        <is>
          <t>Delivered</t>
        </is>
      </c>
      <c r="F4060" s="16" t="inlineStr">
        <is>
          <t>LB02235-rojo</t>
        </is>
      </c>
      <c r="G4060" s="16" t="inlineStr">
        <is>
          <t>Audífonos Inalámbricos para la Cabeza, Recargables y Multifuncionales - Conectan a Varios Dispositivos, soportan Radio FM, Tarjeta TF y AUX - 4 Horas de Reproducción Musical - Ideal para Trabajo Cotidiano, Juegos y Estudio</t>
        </is>
      </c>
      <c r="H4060" s="16" t="inlineStr">
        <is>
          <t>ROJO</t>
        </is>
      </c>
      <c r="I4060" s="16" t="n">
        <v>1</v>
      </c>
      <c r="J4060" s="17" t="n">
        <v>35</v>
      </c>
      <c r="K4060" s="17" t="n">
        <v>48.11</v>
      </c>
      <c r="L4060" s="17" t="n">
        <v>25.86</v>
      </c>
      <c r="M4060" s="17" t="n">
        <v>0</v>
      </c>
      <c r="N4060" s="17">
        <f>K4060*0.08+L4060*0.08</f>
        <v/>
      </c>
      <c r="O4060" s="17">
        <f>-(K4060*0.025+L4060*0.025)</f>
        <v/>
      </c>
      <c r="P4060" s="17">
        <f>32</f>
        <v/>
      </c>
      <c r="Q4060" s="17">
        <f>J4060+L4060+N4060+O4060-P4060-M4060</f>
        <v/>
      </c>
    </row>
    <row r="4061">
      <c r="A4061" s="16" t="inlineStr">
        <is>
          <t>5.29-6.4</t>
        </is>
      </c>
      <c r="B4061" s="16" t="inlineStr">
        <is>
          <t>PO-128-02511611487352020</t>
        </is>
      </c>
      <c r="C4061" s="16" t="inlineStr">
        <is>
          <t>Delivered</t>
        </is>
      </c>
      <c r="D4061" s="16" t="inlineStr">
        <is>
          <t>128-02511653430392020</t>
        </is>
      </c>
      <c r="E4061" s="16" t="inlineStr">
        <is>
          <t>Delivered</t>
        </is>
      </c>
      <c r="F4061" s="16" t="inlineStr">
        <is>
          <t>EM04W36</t>
        </is>
      </c>
      <c r="G406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061" s="16" t="inlineStr">
        <is>
          <t>1 pieza</t>
        </is>
      </c>
      <c r="I4061" s="16" t="n">
        <v>1</v>
      </c>
      <c r="J4061" s="17" t="n">
        <v>63.6</v>
      </c>
      <c r="K4061" s="17" t="n">
        <v>29.79</v>
      </c>
      <c r="L4061" s="17" t="n">
        <v>25.86</v>
      </c>
      <c r="M4061" s="17" t="n">
        <v>0</v>
      </c>
      <c r="N4061" s="17">
        <f>K4061*0.08+L4061*0.08</f>
        <v/>
      </c>
      <c r="O4061" s="17">
        <f>-(K4061*0.025+L4061*0.025)</f>
        <v/>
      </c>
      <c r="P4061" s="17">
        <f>32</f>
        <v/>
      </c>
      <c r="Q4061" s="17">
        <f>J4061+L4061+N4061+O4061-P4061-M4061</f>
        <v/>
      </c>
    </row>
    <row r="4062">
      <c r="A4062" s="16" t="inlineStr">
        <is>
          <t>5.29-6.4</t>
        </is>
      </c>
      <c r="B4062" s="16" t="inlineStr">
        <is>
          <t>PO-128-02073804590713542</t>
        </is>
      </c>
      <c r="C4062" s="16" t="inlineStr">
        <is>
          <t>Delivered</t>
        </is>
      </c>
      <c r="D4062" s="16" t="inlineStr">
        <is>
          <t>128-02073828183673542</t>
        </is>
      </c>
      <c r="E4062" s="16" t="inlineStr">
        <is>
          <t>Delivered</t>
        </is>
      </c>
      <c r="F4062" s="16" t="inlineStr">
        <is>
          <t>MB-178-N</t>
        </is>
      </c>
      <c r="G4062" s="16" t="inlineStr">
        <is>
          <t>Bocina de Barra Bluetooth LINK BITS con dos altavoces, sonido de alta calidad y multifuncional (Bluetooth, Radio FM, USB, TF, AUX, TWS), ideal para juegos, reuniones, oficina y cine en casa.</t>
        </is>
      </c>
      <c r="H4062" s="16" t="inlineStr">
        <is>
          <t>NEGRO</t>
        </is>
      </c>
      <c r="I4062" s="16" t="n">
        <v>1</v>
      </c>
      <c r="J4062" s="17" t="n">
        <v>120</v>
      </c>
      <c r="K4062" s="17" t="n">
        <v>139.34</v>
      </c>
      <c r="L4062" s="17" t="n">
        <v>25.86</v>
      </c>
      <c r="M4062" s="17" t="n">
        <v>0</v>
      </c>
      <c r="N4062" s="17">
        <f>K4062*0.08+L4062*0.08</f>
        <v/>
      </c>
      <c r="O4062" s="17">
        <f>-(K4062*0.025+L4062*0.025)</f>
        <v/>
      </c>
      <c r="P4062" s="17">
        <f>32</f>
        <v/>
      </c>
      <c r="Q4062" s="17">
        <f>J4062+L4062+N4062+O4062-P4062-M4062</f>
        <v/>
      </c>
    </row>
    <row r="4063">
      <c r="A4063" s="16" t="inlineStr">
        <is>
          <t>5.29-6.4</t>
        </is>
      </c>
      <c r="B4063" s="16" t="inlineStr">
        <is>
          <t>PO-128-02602536108150262</t>
        </is>
      </c>
      <c r="C4063" s="16" t="inlineStr">
        <is>
          <t>Delivered</t>
        </is>
      </c>
      <c r="D4063" s="16" t="inlineStr">
        <is>
          <t>128-02602504650870262</t>
        </is>
      </c>
      <c r="E4063" s="16" t="inlineStr">
        <is>
          <t>Delivered</t>
        </is>
      </c>
      <c r="F4063" s="16" t="inlineStr">
        <is>
          <t>KTS-1678V</t>
        </is>
      </c>
      <c r="G4063" s="16" t="inlineStr">
        <is>
          <t>Bocina portátil Inalámbrico, de 3 pulgadas, tamaño de bolsillo, 170 g, con asa, compatible con TF, USB y Micro SD, con radio FM y función TWS (True Wireless Stereo), adecuada para relajarse en casa o viajar al aire libre.</t>
        </is>
      </c>
      <c r="H4063" s="16" t="inlineStr">
        <is>
          <t>KTS-1678V</t>
        </is>
      </c>
      <c r="I4063" s="16" t="n">
        <v>1</v>
      </c>
      <c r="J4063" s="17" t="n">
        <v>40</v>
      </c>
      <c r="K4063" s="17" t="n">
        <v>51.58</v>
      </c>
      <c r="L4063" s="17" t="n">
        <v>25.86</v>
      </c>
      <c r="M4063" s="17" t="n">
        <v>0</v>
      </c>
      <c r="N4063" s="17">
        <f>K4063*0.08+L4063*0.08</f>
        <v/>
      </c>
      <c r="O4063" s="17">
        <f>-(K4063*0.025+L4063*0.025)</f>
        <v/>
      </c>
      <c r="P4063" s="17">
        <f>32</f>
        <v/>
      </c>
      <c r="Q4063" s="17">
        <f>J4063+L4063+N4063+O4063-P4063-M4063</f>
        <v/>
      </c>
    </row>
    <row r="4064">
      <c r="A4064" s="16" t="inlineStr">
        <is>
          <t>5.29-6.4</t>
        </is>
      </c>
      <c r="B4064" s="16" t="inlineStr">
        <is>
          <t>PO-128-02100056886393451</t>
        </is>
      </c>
      <c r="C4064" s="16" t="inlineStr">
        <is>
          <t>Delivered</t>
        </is>
      </c>
      <c r="D4064" s="16" t="inlineStr">
        <is>
          <t>128-02100098829433451</t>
        </is>
      </c>
      <c r="E4064" s="16" t="inlineStr">
        <is>
          <t>Delivered</t>
        </is>
      </c>
      <c r="F4064" s="16" t="inlineStr">
        <is>
          <t>MB-185N</t>
        </is>
      </c>
      <c r="G4064" s="16" t="inlineStr">
        <is>
          <t>Bocina Radio FM/Reproductor, Compatible con Tarjeta TF, USB, Bluetooth, Aplicable para celular, computadora, Ipad y consola.</t>
        </is>
      </c>
      <c r="H4064" s="16" t="inlineStr">
        <is>
          <t>NEGRO/MB-185</t>
        </is>
      </c>
      <c r="I4064" s="16" t="n">
        <v>1</v>
      </c>
      <c r="J4064" s="17" t="n">
        <v>71.31</v>
      </c>
      <c r="K4064" s="17" t="n">
        <v>84.23999999999999</v>
      </c>
      <c r="L4064" s="17" t="n">
        <v>25.86</v>
      </c>
      <c r="M4064" s="17" t="n">
        <v>0</v>
      </c>
      <c r="N4064" s="17">
        <f>K4064*0.08+L4064*0.08</f>
        <v/>
      </c>
      <c r="O4064" s="17">
        <f>-(K4064*0.025+L4064*0.025)</f>
        <v/>
      </c>
      <c r="P4064" s="17">
        <f>32</f>
        <v/>
      </c>
      <c r="Q4064" s="17">
        <f>J4064+L4064+N4064+O4064-P4064-M4064</f>
        <v/>
      </c>
    </row>
    <row r="4065">
      <c r="A4065" s="16" t="inlineStr">
        <is>
          <t>5.29-6.4</t>
        </is>
      </c>
      <c r="B4065" s="16" t="inlineStr">
        <is>
          <t>PO-128-02285851697272214</t>
        </is>
      </c>
      <c r="C4065" s="16" t="inlineStr">
        <is>
          <t>Delivered</t>
        </is>
      </c>
      <c r="D4065" s="16" t="inlineStr">
        <is>
          <t>128-02285872668792214</t>
        </is>
      </c>
      <c r="E4065" s="16" t="inlineStr">
        <is>
          <t>Delivered</t>
        </is>
      </c>
      <c r="F4065" s="16" t="inlineStr">
        <is>
          <t>FA028</t>
        </is>
      </c>
      <c r="G4065" s="16" t="inlineStr">
        <is>
          <t>Extractor de agua para garrafas de agua, compatible con carga USB, extractor de agua automático, práctico, con dos modos de toma de agua: manual y programado, ideal para dormitorios, salones, oficinas, uso al aire libre y otros escenarios.</t>
        </is>
      </c>
      <c r="H4065" s="16" t="inlineStr">
        <is>
          <t>FA028</t>
        </is>
      </c>
      <c r="I4065" s="16" t="n">
        <v>1</v>
      </c>
      <c r="J4065" s="17" t="n">
        <v>30.99</v>
      </c>
      <c r="K4065" s="17" t="n">
        <v>40.56</v>
      </c>
      <c r="L4065" s="17" t="n">
        <v>25.86</v>
      </c>
      <c r="M4065" s="17" t="n">
        <v>0</v>
      </c>
      <c r="N4065" s="17">
        <f>K4065*0.08+L4065*0.08</f>
        <v/>
      </c>
      <c r="O4065" s="17">
        <f>-(K4065*0.025+L4065*0.025)</f>
        <v/>
      </c>
      <c r="P4065" s="17">
        <f>32</f>
        <v/>
      </c>
      <c r="Q4065" s="17">
        <f>J4065+L4065+N4065+O4065-P4065-M4065</f>
        <v/>
      </c>
    </row>
    <row r="4066">
      <c r="A4066" s="16" t="inlineStr">
        <is>
          <t>5.29-6.4</t>
        </is>
      </c>
      <c r="B4066" s="16" t="inlineStr">
        <is>
          <t>PO-128-02660101517430113</t>
        </is>
      </c>
      <c r="C4066" s="16" t="inlineStr">
        <is>
          <t>Delivered</t>
        </is>
      </c>
      <c r="D4066" s="16" t="inlineStr">
        <is>
          <t>128-02660080545910113</t>
        </is>
      </c>
      <c r="E4066" s="16" t="inlineStr">
        <is>
          <t>Delivered</t>
        </is>
      </c>
      <c r="F4066" s="16" t="inlineStr">
        <is>
          <t>MB-185A</t>
        </is>
      </c>
      <c r="G4066" s="16" t="inlineStr">
        <is>
          <t>Bocina Radio FM/Reproductor, Compatible con Tarjeta TF, USB, Bluetooth, Aplicable para celular, computadora, Ipad y consola.</t>
        </is>
      </c>
      <c r="H4066" s="16" t="inlineStr">
        <is>
          <t>AZUL/MB-185</t>
        </is>
      </c>
      <c r="I4066" s="16" t="n">
        <v>1</v>
      </c>
      <c r="J4066" s="17" t="n">
        <v>71.31</v>
      </c>
      <c r="K4066" s="17" t="n">
        <v>84.23999999999999</v>
      </c>
      <c r="L4066" s="17" t="n">
        <v>25.86</v>
      </c>
      <c r="M4066" s="17" t="n">
        <v>0</v>
      </c>
      <c r="N4066" s="17">
        <f>K4066*0.08+L4066*0.08</f>
        <v/>
      </c>
      <c r="O4066" s="17">
        <f>-(K4066*0.025+L4066*0.025)</f>
        <v/>
      </c>
      <c r="P4066" s="17">
        <f>32</f>
        <v/>
      </c>
      <c r="Q4066" s="17">
        <f>J4066+L4066+N4066+O4066-P4066-M4066</f>
        <v/>
      </c>
    </row>
    <row r="4067">
      <c r="A4067" s="16" t="inlineStr">
        <is>
          <t>5.29-6.4</t>
        </is>
      </c>
      <c r="B4067" s="16" t="inlineStr">
        <is>
          <t>PO-128-02294182889592292</t>
        </is>
      </c>
      <c r="C4067" s="16" t="inlineStr">
        <is>
          <t>Delivered</t>
        </is>
      </c>
      <c r="D4067" s="16" t="inlineStr">
        <is>
          <t>128-02294161918072292</t>
        </is>
      </c>
      <c r="E4067" s="16" t="inlineStr">
        <is>
          <t>Delivered</t>
        </is>
      </c>
      <c r="F4067" s="16" t="inlineStr">
        <is>
          <t>LB02235-azul</t>
        </is>
      </c>
      <c r="G4067" s="16" t="inlineStr">
        <is>
          <t>Audífonos Inalámbricos para la Cabeza, Recargables y Multifuncionales - Conectan a Varios Dispositivos, soportan Radio FM, Tarjeta TF y AUX - 4 Horas de Reproducción Musical - Ideal para Trabajo Cotidiano, Juegos y Estudio</t>
        </is>
      </c>
      <c r="H4067" s="16" t="inlineStr">
        <is>
          <t>AZUL</t>
        </is>
      </c>
      <c r="I4067" s="16" t="n">
        <v>1</v>
      </c>
      <c r="J4067" s="17" t="n">
        <v>29.9</v>
      </c>
      <c r="K4067" s="17" t="n">
        <v>43.01</v>
      </c>
      <c r="L4067" s="17" t="n">
        <v>25.86</v>
      </c>
      <c r="M4067" s="17" t="n">
        <v>0</v>
      </c>
      <c r="N4067" s="17">
        <f>K4067*0.08+L4067*0.08</f>
        <v/>
      </c>
      <c r="O4067" s="17">
        <f>-(K4067*0.025+L4067*0.025)</f>
        <v/>
      </c>
      <c r="P4067" s="17">
        <f>32</f>
        <v/>
      </c>
      <c r="Q4067" s="17">
        <f>J4067+L4067+N4067+O4067-P4067-M4067</f>
        <v/>
      </c>
    </row>
    <row r="4068">
      <c r="A4068" s="16" t="inlineStr">
        <is>
          <t>5.29-6.4</t>
        </is>
      </c>
      <c r="B4068" s="16" t="inlineStr">
        <is>
          <t>PO-128-02429543647351295</t>
        </is>
      </c>
      <c r="C4068" s="16" t="inlineStr">
        <is>
          <t>Delivered</t>
        </is>
      </c>
      <c r="D4068" s="16" t="inlineStr">
        <is>
          <t>128-02429522675831295</t>
        </is>
      </c>
      <c r="E4068" s="16" t="inlineStr">
        <is>
          <t>Delivered</t>
        </is>
      </c>
      <c r="F4068" s="16" t="inlineStr">
        <is>
          <t>LB02235-negro</t>
        </is>
      </c>
      <c r="G4068" s="16" t="inlineStr">
        <is>
          <t>Audífonos Inalámbricos para la Cabeza, Recargables y Multifuncionales - Conectan a Varios Dispositivos, soportan Radio FM, Tarjeta TF y AUX - 4 Horas de Reproducción Musical - Ideal para Trabajo Cotidiano, Juegos y Estudio</t>
        </is>
      </c>
      <c r="H4068" s="16" t="inlineStr">
        <is>
          <t>NEGRO</t>
        </is>
      </c>
      <c r="I4068" s="16" t="n">
        <v>1</v>
      </c>
      <c r="J4068" s="17" t="n">
        <v>35</v>
      </c>
      <c r="K4068" s="17" t="n">
        <v>48.11</v>
      </c>
      <c r="L4068" s="17" t="n">
        <v>25.86</v>
      </c>
      <c r="M4068" s="17" t="n">
        <v>0</v>
      </c>
      <c r="N4068" s="17">
        <f>K4068*0.08+L4068*0.08</f>
        <v/>
      </c>
      <c r="O4068" s="17">
        <f>-(K4068*0.025+L4068*0.025)</f>
        <v/>
      </c>
      <c r="P4068" s="17">
        <f>32</f>
        <v/>
      </c>
      <c r="Q4068" s="17">
        <f>J4068+L4068+N4068+O4068-P4068-M4068</f>
        <v/>
      </c>
    </row>
    <row r="4069">
      <c r="A4069" s="16" t="inlineStr">
        <is>
          <t>5.29-6.4</t>
        </is>
      </c>
      <c r="B4069" s="16" t="inlineStr">
        <is>
          <t>PO-128-02598279155830480</t>
        </is>
      </c>
      <c r="C4069" s="16" t="inlineStr">
        <is>
          <t>Delivered</t>
        </is>
      </c>
      <c r="D4069" s="16" t="inlineStr">
        <is>
          <t>128-02598237212790480</t>
        </is>
      </c>
      <c r="E4069" s="16" t="inlineStr">
        <is>
          <t>Delivered</t>
        </is>
      </c>
      <c r="F4069" s="16" t="inlineStr">
        <is>
          <t>SA325T</t>
        </is>
      </c>
      <c r="G4069" s="16" t="inlineStr">
        <is>
          <t>Subwoofer Portátil Inalámbrico con Luces RGB, Sonido de Alta Potencia y Batería Duradera, TWS TF USB, Perfecto para Campamento Fiestas y Entretenimiento en Casa</t>
        </is>
      </c>
      <c r="H4069" s="16" t="inlineStr">
        <is>
          <t>NEGRO</t>
        </is>
      </c>
      <c r="I4069" s="16" t="n">
        <v>1</v>
      </c>
      <c r="J4069" s="17" t="n">
        <v>36</v>
      </c>
      <c r="K4069" s="17" t="n">
        <v>45.04</v>
      </c>
      <c r="L4069" s="17" t="n">
        <v>25.86</v>
      </c>
      <c r="M4069" s="17" t="n">
        <v>0</v>
      </c>
      <c r="N4069" s="17">
        <f>K4069*0.08+L4069*0.08</f>
        <v/>
      </c>
      <c r="O4069" s="17">
        <f>-(K4069*0.025+L4069*0.025)</f>
        <v/>
      </c>
      <c r="P4069" s="17">
        <f>32</f>
        <v/>
      </c>
      <c r="Q4069" s="17">
        <f>J4069+L4069+N4069+O4069-P4069-M4069</f>
        <v/>
      </c>
    </row>
    <row r="4070">
      <c r="A4070" s="16" t="inlineStr">
        <is>
          <t>5.29-6.4</t>
        </is>
      </c>
      <c r="B4070" s="16" t="inlineStr">
        <is>
          <t>PO-128-02326574805112997</t>
        </is>
      </c>
      <c r="C4070" s="16" t="inlineStr">
        <is>
          <t>Delivered</t>
        </is>
      </c>
      <c r="D4070" s="16" t="inlineStr">
        <is>
          <t>128-02326522376312997</t>
        </is>
      </c>
      <c r="E4070" s="16" t="inlineStr">
        <is>
          <t>Delivered</t>
        </is>
      </c>
      <c r="F4070" s="16" t="inlineStr">
        <is>
          <t>SA8056T</t>
        </is>
      </c>
      <c r="G407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070" s="16" t="inlineStr">
        <is>
          <t>SA8056T</t>
        </is>
      </c>
      <c r="I4070" s="16" t="n">
        <v>2</v>
      </c>
      <c r="J4070" s="17" t="n">
        <v>246</v>
      </c>
      <c r="K4070" s="17" t="n">
        <v>382.38</v>
      </c>
      <c r="L4070" s="17" t="n">
        <v>0</v>
      </c>
      <c r="M4070" s="17" t="n">
        <v>0</v>
      </c>
      <c r="N4070" s="17">
        <f>K4070*0.08+L4070*0.08</f>
        <v/>
      </c>
      <c r="O4070" s="17">
        <f>-(K4070*0.025+L4070*0.025)</f>
        <v/>
      </c>
      <c r="P4070" s="17">
        <f>32</f>
        <v/>
      </c>
      <c r="Q4070" s="17">
        <f>J4070+L4070+N4070+O4070-P4070-M4070</f>
        <v/>
      </c>
    </row>
    <row r="4071">
      <c r="A4071" s="16" t="inlineStr">
        <is>
          <t>5.29-6.4</t>
        </is>
      </c>
      <c r="B4071" s="16" t="inlineStr">
        <is>
          <t>PO-128-02221483507833623</t>
        </is>
      </c>
      <c r="C4071" s="16" t="inlineStr">
        <is>
          <t>Delivered</t>
        </is>
      </c>
      <c r="D4071" s="16" t="inlineStr">
        <is>
          <t>128-02221493993593623</t>
        </is>
      </c>
      <c r="E4071" s="16" t="inlineStr">
        <is>
          <t>Delivered</t>
        </is>
      </c>
      <c r="F4071" s="16" t="inlineStr">
        <is>
          <t>VA384T-R</t>
        </is>
      </c>
      <c r="G4071" s="16" t="inlineStr">
        <is>
          <t>Bocina Portátil Bluetooth de 3 Pulgadas con Radio FM, USB TF TWS, Sonido Estéreo 5W, Bocina Recargable para Hogar Exterior Viaje Fiesta Camping</t>
        </is>
      </c>
      <c r="H4071" s="16" t="inlineStr">
        <is>
          <t>ROJO</t>
        </is>
      </c>
      <c r="I4071" s="16" t="n">
        <v>1</v>
      </c>
      <c r="J4071" s="17" t="n">
        <v>48</v>
      </c>
      <c r="K4071" s="17" t="n">
        <v>58.72</v>
      </c>
      <c r="L4071" s="17" t="n">
        <v>25.86</v>
      </c>
      <c r="M4071" s="17" t="n">
        <v>0</v>
      </c>
      <c r="N4071" s="17">
        <f>K4071*0.08+L4071*0.08</f>
        <v/>
      </c>
      <c r="O4071" s="17">
        <f>-(K4071*0.025+L4071*0.025)</f>
        <v/>
      </c>
      <c r="P4071" s="17">
        <f>32</f>
        <v/>
      </c>
      <c r="Q4071" s="17">
        <f>J4071+L4071+N4071+O4071-P4071-M4071</f>
        <v/>
      </c>
    </row>
    <row r="4072">
      <c r="A4072" s="16" t="inlineStr">
        <is>
          <t>5.29-6.4</t>
        </is>
      </c>
      <c r="B4072" s="16" t="inlineStr">
        <is>
          <t>PO-128-02462231611511226</t>
        </is>
      </c>
      <c r="C4072" s="16" t="inlineStr">
        <is>
          <t>Delivered</t>
        </is>
      </c>
      <c r="D4072" s="16" t="inlineStr">
        <is>
          <t>128-02462257825911226</t>
        </is>
      </c>
      <c r="E4072" s="16" t="inlineStr">
        <is>
          <t>Delivered</t>
        </is>
      </c>
      <c r="F4072" s="16" t="inlineStr">
        <is>
          <t>LB02235-blanco</t>
        </is>
      </c>
      <c r="G4072" s="16" t="inlineStr">
        <is>
          <t>Audífonos Inalámbricos para la Cabeza, Recargables y Multifuncionales - Conectan a Varios Dispositivos, soportan Radio FM, Tarjeta TF y AUX - 4 Horas de Reproducción Musical - Ideal para Trabajo Cotidiano, Juegos y Estudio</t>
        </is>
      </c>
      <c r="H4072" s="16" t="inlineStr">
        <is>
          <t>BLANCO</t>
        </is>
      </c>
      <c r="I4072" s="16" t="n">
        <v>1</v>
      </c>
      <c r="J4072" s="17" t="n">
        <v>35</v>
      </c>
      <c r="K4072" s="17" t="n">
        <v>48.11</v>
      </c>
      <c r="L4072" s="17" t="n">
        <v>25.86</v>
      </c>
      <c r="M4072" s="17" t="n">
        <v>0</v>
      </c>
      <c r="N4072" s="17">
        <f>K4072*0.08+L4072*0.08</f>
        <v/>
      </c>
      <c r="O4072" s="17">
        <f>-(K4072*0.025+L4072*0.025)</f>
        <v/>
      </c>
      <c r="P4072" s="17">
        <f>32</f>
        <v/>
      </c>
      <c r="Q4072" s="17">
        <f>J4072+L4072+N4072+O4072-P4072-M4072</f>
        <v/>
      </c>
    </row>
    <row r="4073">
      <c r="A4073" s="16" t="inlineStr">
        <is>
          <t>5.29-6.4</t>
        </is>
      </c>
      <c r="B4073" s="16" t="inlineStr">
        <is>
          <t>PO-128-02065528103033465</t>
        </is>
      </c>
      <c r="C4073" s="16" t="inlineStr">
        <is>
          <t>Delivered</t>
        </is>
      </c>
      <c r="D4073" s="16" t="inlineStr">
        <is>
          <t>128-02065610023033465</t>
        </is>
      </c>
      <c r="E4073" s="16" t="inlineStr">
        <is>
          <t>Delivered</t>
        </is>
      </c>
      <c r="F4073" s="16" t="inlineStr">
        <is>
          <t>LB02235-negro</t>
        </is>
      </c>
      <c r="G4073" s="16" t="inlineStr">
        <is>
          <t>Audífonos Inalámbricos para la Cabeza, Recargables y Multifuncionales - Conectan a Varios Dispositivos, soportan Radio FM, Tarjeta TF y AUX - 4 Horas de Reproducción Musical - Ideal para Trabajo Cotidiano, Juegos y Estudio</t>
        </is>
      </c>
      <c r="H4073" s="16" t="inlineStr">
        <is>
          <t>NEGRO</t>
        </is>
      </c>
      <c r="I4073" s="16" t="n">
        <v>1</v>
      </c>
      <c r="J4073" s="17" t="n">
        <v>35</v>
      </c>
      <c r="K4073" s="17" t="n">
        <v>48.11</v>
      </c>
      <c r="L4073" s="17" t="n">
        <v>25.86</v>
      </c>
      <c r="M4073" s="17" t="n">
        <v>0</v>
      </c>
      <c r="N4073" s="17">
        <f>K4073*0.08+L4073*0.08</f>
        <v/>
      </c>
      <c r="O4073" s="17">
        <f>-(K4073*0.025+L4073*0.025)</f>
        <v/>
      </c>
      <c r="P4073" s="17">
        <f>32</f>
        <v/>
      </c>
      <c r="Q4073" s="17">
        <f>J4073+L4073+N4073+O4073-P4073-M4073</f>
        <v/>
      </c>
    </row>
    <row r="4074">
      <c r="A4074" s="16" t="inlineStr">
        <is>
          <t>5.29-6.4</t>
        </is>
      </c>
      <c r="B4074" s="16" t="inlineStr">
        <is>
          <t>PO-128-02253955392632532</t>
        </is>
      </c>
      <c r="C4074" s="16" t="inlineStr">
        <is>
          <t>Delivered</t>
        </is>
      </c>
      <c r="D4074" s="16" t="inlineStr">
        <is>
          <t>128-02254007821432532</t>
        </is>
      </c>
      <c r="E4074" s="16" t="inlineStr">
        <is>
          <t>Delivered</t>
        </is>
      </c>
      <c r="F4074" s="16" t="inlineStr">
        <is>
          <t>EM04W36-2PZS</t>
        </is>
      </c>
      <c r="G407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074" s="16" t="inlineStr">
        <is>
          <t>2 piezas</t>
        </is>
      </c>
      <c r="I4074" s="16" t="n">
        <v>1</v>
      </c>
      <c r="J4074" s="17" t="n">
        <v>124.8</v>
      </c>
      <c r="K4074" s="17" t="n">
        <v>142.34</v>
      </c>
      <c r="L4074" s="17" t="n">
        <v>25.86</v>
      </c>
      <c r="M4074" s="17" t="n">
        <v>0</v>
      </c>
      <c r="N4074" s="17">
        <f>K4074*0.08+L4074*0.08</f>
        <v/>
      </c>
      <c r="O4074" s="17">
        <f>-(K4074*0.025+L4074*0.025)</f>
        <v/>
      </c>
      <c r="P4074" s="17">
        <f>32</f>
        <v/>
      </c>
      <c r="Q4074" s="17">
        <f>J4074+L4074+N4074+O4074-P4074-M4074</f>
        <v/>
      </c>
    </row>
    <row r="4075">
      <c r="A4075" s="16" t="inlineStr">
        <is>
          <t>5.29-6.4</t>
        </is>
      </c>
      <c r="B4075" s="16" t="inlineStr">
        <is>
          <t>PO-128-02463118001271223</t>
        </is>
      </c>
      <c r="C4075" s="16" t="inlineStr">
        <is>
          <t>Delivered</t>
        </is>
      </c>
      <c r="D4075" s="16" t="inlineStr">
        <is>
          <t>128-02463159944311223</t>
        </is>
      </c>
      <c r="E4075" s="16" t="inlineStr">
        <is>
          <t>Delivered</t>
        </is>
      </c>
      <c r="F4075" s="16" t="inlineStr">
        <is>
          <t>MB-178-N</t>
        </is>
      </c>
      <c r="G4075" s="16" t="inlineStr">
        <is>
          <t>Bocina de Barra Bluetooth LINK BITS con dos altavoces, sonido de alta calidad y multifuncional (Bluetooth, Radio FM, USB, TF, AUX, TWS), ideal para juegos, reuniones, oficina y cine en casa.</t>
        </is>
      </c>
      <c r="H4075" s="16" t="inlineStr">
        <is>
          <t>NEGRO</t>
        </is>
      </c>
      <c r="I4075" s="16" t="n">
        <v>1</v>
      </c>
      <c r="J4075" s="17" t="n">
        <v>120</v>
      </c>
      <c r="K4075" s="17" t="n">
        <v>125.41</v>
      </c>
      <c r="L4075" s="17" t="n">
        <v>25.86</v>
      </c>
      <c r="M4075" s="17" t="n">
        <v>0</v>
      </c>
      <c r="N4075" s="17">
        <f>K4075*0.08+L4075*0.08</f>
        <v/>
      </c>
      <c r="O4075" s="17">
        <f>-(K4075*0.025+L4075*0.025)</f>
        <v/>
      </c>
      <c r="P4075" s="17">
        <f>32</f>
        <v/>
      </c>
      <c r="Q4075" s="17">
        <f>J4075+L4075+N4075+O4075-P4075-M4075</f>
        <v/>
      </c>
    </row>
    <row r="4076">
      <c r="A4076" s="16" t="inlineStr">
        <is>
          <t>5.29-6.4</t>
        </is>
      </c>
      <c r="B4076" s="16" t="inlineStr">
        <is>
          <t>PO-128-02472965717111034</t>
        </is>
      </c>
      <c r="C4076" s="16" t="inlineStr">
        <is>
          <t>Delivered</t>
        </is>
      </c>
      <c r="D4076" s="16" t="inlineStr">
        <is>
          <t>128-02472999795831034</t>
        </is>
      </c>
      <c r="E4076" s="16" t="inlineStr">
        <is>
          <t>Delivered</t>
        </is>
      </c>
      <c r="F4076" s="16" t="inlineStr">
        <is>
          <t>KTS-1678N</t>
        </is>
      </c>
      <c r="G4076" s="16" t="inlineStr">
        <is>
          <t>Bocina portátil Inalámbrico, de 3 pulgadas, tamaño de bolsillo, 170 g, con asa, compatible con TF, USB y Micro SD, con radio FM y función TWS (True Wireless Stereo), adecuada para relajarse en casa o viajar al aire libre.</t>
        </is>
      </c>
      <c r="H4076" s="16" t="inlineStr">
        <is>
          <t>KTS-1678N</t>
        </is>
      </c>
      <c r="I4076" s="16" t="n">
        <v>1</v>
      </c>
      <c r="J4076" s="17" t="n">
        <v>40</v>
      </c>
      <c r="K4076" s="17" t="n">
        <v>46.48</v>
      </c>
      <c r="L4076" s="17" t="n">
        <v>25.86</v>
      </c>
      <c r="M4076" s="17" t="n">
        <v>0</v>
      </c>
      <c r="N4076" s="17">
        <f>K4076*0.08+L4076*0.08</f>
        <v/>
      </c>
      <c r="O4076" s="17">
        <f>-(K4076*0.025+L4076*0.025)</f>
        <v/>
      </c>
      <c r="P4076" s="17">
        <f>32</f>
        <v/>
      </c>
      <c r="Q4076" s="17">
        <f>J4076+L4076+N4076+O4076-P4076-M4076</f>
        <v/>
      </c>
    </row>
    <row r="4077">
      <c r="A4077" s="16" t="inlineStr">
        <is>
          <t>5.29-6.4</t>
        </is>
      </c>
      <c r="B4077" s="16" t="inlineStr">
        <is>
          <t>PO-128-02133240594553125</t>
        </is>
      </c>
      <c r="C4077" s="16" t="inlineStr">
        <is>
          <t>Delivered</t>
        </is>
      </c>
      <c r="D4077" s="16" t="inlineStr">
        <is>
          <t>128-02133376909433125</t>
        </is>
      </c>
      <c r="E4077" s="16" t="inlineStr">
        <is>
          <t>Delivered</t>
        </is>
      </c>
      <c r="F4077" s="16" t="inlineStr">
        <is>
          <t>EM04W36</t>
        </is>
      </c>
      <c r="G407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077" s="16" t="inlineStr">
        <is>
          <t>1 pieza</t>
        </is>
      </c>
      <c r="I4077" s="16" t="n">
        <v>1</v>
      </c>
      <c r="J4077" s="17" t="n">
        <v>63.6</v>
      </c>
      <c r="K4077" s="17" t="n">
        <v>72.89</v>
      </c>
      <c r="L4077" s="17" t="n">
        <v>25.86</v>
      </c>
      <c r="M4077" s="17" t="n">
        <v>0</v>
      </c>
      <c r="N4077" s="17">
        <f>K4077*0.08+L4077*0.08</f>
        <v/>
      </c>
      <c r="O4077" s="17">
        <f>-(K4077*0.025+L4077*0.025)</f>
        <v/>
      </c>
      <c r="P4077" s="17">
        <f>32</f>
        <v/>
      </c>
      <c r="Q4077" s="17">
        <f>J4077+L4077+N4077+O4077-P4077-M4077</f>
        <v/>
      </c>
    </row>
    <row r="4078">
      <c r="A4078" s="16" t="inlineStr">
        <is>
          <t>5.29-6.4</t>
        </is>
      </c>
      <c r="B4078" s="16" t="inlineStr">
        <is>
          <t>PO-128-02436494057591316</t>
        </is>
      </c>
      <c r="C4078" s="16" t="inlineStr">
        <is>
          <t>Delivered</t>
        </is>
      </c>
      <c r="D4078" s="16" t="inlineStr">
        <is>
          <t>128-02436515029111316</t>
        </is>
      </c>
      <c r="E4078" s="16" t="inlineStr">
        <is>
          <t>Delivered</t>
        </is>
      </c>
      <c r="F4078" s="16" t="inlineStr">
        <is>
          <t>SA325T</t>
        </is>
      </c>
      <c r="G4078" s="16" t="inlineStr">
        <is>
          <t>Subwoofer Portátil Inalámbrico con Luces RGB, Sonido de Alta Potencia y Batería Duradera, TWS TF USB, Perfecto para Campamento Fiestas y Entretenimiento en Casa</t>
        </is>
      </c>
      <c r="H4078" s="16" t="inlineStr">
        <is>
          <t>NEGRO</t>
        </is>
      </c>
      <c r="I4078" s="16" t="n">
        <v>1</v>
      </c>
      <c r="J4078" s="17" t="n">
        <v>36</v>
      </c>
      <c r="K4078" s="17" t="n">
        <v>45.04</v>
      </c>
      <c r="L4078" s="17" t="n">
        <v>25.86</v>
      </c>
      <c r="M4078" s="17" t="n">
        <v>0</v>
      </c>
      <c r="N4078" s="17">
        <f>K4078*0.08+L4078*0.08</f>
        <v/>
      </c>
      <c r="O4078" s="17">
        <f>-(K4078*0.025+L4078*0.025)</f>
        <v/>
      </c>
      <c r="P4078" s="17">
        <f>32</f>
        <v/>
      </c>
      <c r="Q4078" s="17">
        <f>J4078+L4078+N4078+O4078-P4078-M4078</f>
        <v/>
      </c>
    </row>
    <row r="4079">
      <c r="A4079" s="16" t="inlineStr">
        <is>
          <t>5.29-6.4</t>
        </is>
      </c>
      <c r="B4079" s="16" t="inlineStr">
        <is>
          <t>PO-128-02384618647672587</t>
        </is>
      </c>
      <c r="C4079" s="16" t="inlineStr">
        <is>
          <t>Delivered</t>
        </is>
      </c>
      <c r="D4079" s="16" t="inlineStr">
        <is>
          <t>128-02384597676152587</t>
        </is>
      </c>
      <c r="E4079" s="16" t="inlineStr">
        <is>
          <t>Delivered</t>
        </is>
      </c>
      <c r="F4079" s="16" t="inlineStr">
        <is>
          <t>LB02235-azul</t>
        </is>
      </c>
      <c r="G4079" s="16" t="inlineStr">
        <is>
          <t>Audífonos Inalámbricos para la Cabeza, Recargables y Multifuncionales - Conectan a Varios Dispositivos, soportan Radio FM, Tarjeta TF y AUX - 4 Horas de Reproducción Musical - Ideal para Trabajo Cotidiano, Juegos y Estudio</t>
        </is>
      </c>
      <c r="H4079" s="16" t="inlineStr">
        <is>
          <t>AZUL</t>
        </is>
      </c>
      <c r="I4079" s="16" t="n">
        <v>1</v>
      </c>
      <c r="J4079" s="17" t="n">
        <v>29.9</v>
      </c>
      <c r="K4079" s="17" t="n">
        <v>43.01</v>
      </c>
      <c r="L4079" s="17" t="n">
        <v>25.86</v>
      </c>
      <c r="M4079" s="17" t="n">
        <v>0</v>
      </c>
      <c r="N4079" s="17">
        <f>K4079*0.08+L4079*0.08</f>
        <v/>
      </c>
      <c r="O4079" s="17">
        <f>-(K4079*0.025+L4079*0.025)</f>
        <v/>
      </c>
      <c r="P4079" s="17">
        <f>32</f>
        <v/>
      </c>
      <c r="Q4079" s="17">
        <f>J4079+L4079+N4079+O4079-P4079-M4079</f>
        <v/>
      </c>
    </row>
    <row r="4080">
      <c r="A4080" s="16" t="inlineStr">
        <is>
          <t>5.29-6.4</t>
        </is>
      </c>
      <c r="B4080" s="16" t="inlineStr">
        <is>
          <t>PO-128-02309764570232137</t>
        </is>
      </c>
      <c r="C4080" s="16" t="inlineStr">
        <is>
          <t>Delivered</t>
        </is>
      </c>
      <c r="D4080" s="16" t="inlineStr">
        <is>
          <t>128-02309756705912137</t>
        </is>
      </c>
      <c r="E4080" s="16" t="inlineStr">
        <is>
          <t>Delivered</t>
        </is>
      </c>
      <c r="F4080" s="16" t="inlineStr">
        <is>
          <t>VA384T-R</t>
        </is>
      </c>
      <c r="G4080" s="16" t="inlineStr">
        <is>
          <t>Bocina Portátil Bluetooth de 3 Pulgadas con Radio FM, USB TF TWS, Sonido Estéreo 5W, Bocina Recargable para Hogar Exterior Viaje Fiesta Camping</t>
        </is>
      </c>
      <c r="H4080" s="16" t="inlineStr">
        <is>
          <t>ROJO</t>
        </is>
      </c>
      <c r="I4080" s="16" t="n">
        <v>1</v>
      </c>
      <c r="J4080" s="17" t="n">
        <v>48</v>
      </c>
      <c r="K4080" s="17" t="n">
        <v>58.72</v>
      </c>
      <c r="L4080" s="17" t="n">
        <v>25.86</v>
      </c>
      <c r="M4080" s="17" t="n">
        <v>0</v>
      </c>
      <c r="N4080" s="17">
        <f>K4080*0.08+L4080*0.08</f>
        <v/>
      </c>
      <c r="O4080" s="17">
        <f>-(K4080*0.025+L4080*0.025)</f>
        <v/>
      </c>
      <c r="P4080" s="17">
        <f>32</f>
        <v/>
      </c>
      <c r="Q4080" s="17">
        <f>J4080+L4080+N4080+O4080-P4080-M4080</f>
        <v/>
      </c>
    </row>
    <row r="4081">
      <c r="A4081" s="16" t="inlineStr">
        <is>
          <t>5.29-6.4</t>
        </is>
      </c>
      <c r="B4081" s="16" t="inlineStr">
        <is>
          <t>PO-128-02206515474553777</t>
        </is>
      </c>
      <c r="C4081" s="16" t="inlineStr">
        <is>
          <t>Delivered</t>
        </is>
      </c>
      <c r="D4081" s="16" t="inlineStr">
        <is>
          <t>128-02206473531513777</t>
        </is>
      </c>
      <c r="E4081" s="16" t="inlineStr">
        <is>
          <t>Delivered</t>
        </is>
      </c>
      <c r="F4081" s="16" t="inlineStr">
        <is>
          <t>MB-183N</t>
        </is>
      </c>
      <c r="G4081" s="16" t="inlineStr">
        <is>
          <t>Linkbits Altavoz Bluetooth Portátil con Stereo Inalámbrico TWS Impermeable y a Prueba de Polvo IP65 Altavoz de Graves de Rango Completo de 52mm con Doble Unidad Ligero de 215g para Camping Senderismo y Fiestas al Aire Libre</t>
        </is>
      </c>
      <c r="H4081" s="16" t="inlineStr">
        <is>
          <t>NEGRO/MB-183</t>
        </is>
      </c>
      <c r="I4081" s="16" t="n">
        <v>1</v>
      </c>
      <c r="J4081" s="17" t="n">
        <v>70</v>
      </c>
      <c r="K4081" s="17" t="n">
        <v>87.38</v>
      </c>
      <c r="L4081" s="17" t="n">
        <v>25.86</v>
      </c>
      <c r="M4081" s="17" t="n">
        <v>0</v>
      </c>
      <c r="N4081" s="17">
        <f>K4081*0.08+L4081*0.08</f>
        <v/>
      </c>
      <c r="O4081" s="17">
        <f>-(K4081*0.025+L4081*0.025)</f>
        <v/>
      </c>
      <c r="P4081" s="17">
        <f>32</f>
        <v/>
      </c>
      <c r="Q4081" s="17">
        <f>J4081+L4081+N4081+O4081-P4081-M4081</f>
        <v/>
      </c>
    </row>
    <row r="4082">
      <c r="A4082" s="16" t="inlineStr">
        <is>
          <t>5.29-6.4</t>
        </is>
      </c>
      <c r="B4082" s="16" t="inlineStr">
        <is>
          <t>PO-128-02255778537592331</t>
        </is>
      </c>
      <c r="C4082" s="16" t="inlineStr">
        <is>
          <t>Delivered</t>
        </is>
      </c>
      <c r="D4082" s="16" t="inlineStr">
        <is>
          <t>128-02255799509112331</t>
        </is>
      </c>
      <c r="E4082" s="16" t="inlineStr">
        <is>
          <t>Delivered</t>
        </is>
      </c>
      <c r="F4082" s="16" t="inlineStr">
        <is>
          <t>LB02235-blanco</t>
        </is>
      </c>
      <c r="G4082" s="16" t="inlineStr">
        <is>
          <t>Audífonos Inalámbricos para la Cabeza, Recargables y Multifuncionales - Conectan a Varios Dispositivos, soportan Radio FM, Tarjeta TF y AUX - 4 Horas de Reproducción Musical - Ideal para Trabajo Cotidiano, Juegos y Estudio</t>
        </is>
      </c>
      <c r="H4082" s="16" t="inlineStr">
        <is>
          <t>BLANCO</t>
        </is>
      </c>
      <c r="I4082" s="16" t="n">
        <v>1</v>
      </c>
      <c r="J4082" s="17" t="n">
        <v>35</v>
      </c>
      <c r="K4082" s="17" t="n">
        <v>37.89</v>
      </c>
      <c r="L4082" s="17" t="n">
        <v>13.66</v>
      </c>
      <c r="M4082" s="17" t="n">
        <v>0</v>
      </c>
      <c r="N4082" s="17">
        <f>K4082*0.08+L4082*0.08</f>
        <v/>
      </c>
      <c r="O4082" s="17">
        <f>-(K4082*0.025+L4082*0.025)</f>
        <v/>
      </c>
      <c r="P4082" s="17">
        <f>32</f>
        <v/>
      </c>
      <c r="Q4082" s="17">
        <f>J4082+L4082+N4082+O4082-P4082-M4082</f>
        <v/>
      </c>
    </row>
    <row r="4083">
      <c r="A4083" s="16" t="inlineStr">
        <is>
          <t>5.29-6.4</t>
        </is>
      </c>
      <c r="B4083" s="16" t="inlineStr">
        <is>
          <t>PO-128-02255778537592331</t>
        </is>
      </c>
      <c r="C4083" s="16" t="inlineStr">
        <is>
          <t>Delivered</t>
        </is>
      </c>
      <c r="D4083" s="16" t="inlineStr">
        <is>
          <t>128-02255757566072331</t>
        </is>
      </c>
      <c r="E4083" s="16" t="inlineStr">
        <is>
          <t>Delivered</t>
        </is>
      </c>
      <c r="F4083" s="16" t="inlineStr">
        <is>
          <t>LB02235-azul</t>
        </is>
      </c>
      <c r="G4083" s="16" t="inlineStr">
        <is>
          <t>Audífonos Inalámbricos para la Cabeza, Recargables y Multifuncionales - Conectan a Varios Dispositivos, soportan Radio FM, Tarjeta TF y AUX - 4 Horas de Reproducción Musical - Ideal para Trabajo Cotidiano, Juegos y Estudio</t>
        </is>
      </c>
      <c r="H4083" s="16" t="inlineStr">
        <is>
          <t>AZUL</t>
        </is>
      </c>
      <c r="I4083" s="16" t="n">
        <v>1</v>
      </c>
      <c r="J4083" s="17" t="n">
        <v>29.9</v>
      </c>
      <c r="K4083" s="17" t="n">
        <v>33.87</v>
      </c>
      <c r="L4083" s="17" t="n">
        <v>12.2</v>
      </c>
      <c r="M4083" s="17" t="n">
        <v>0</v>
      </c>
      <c r="N4083" s="17">
        <f>K4083*0.08+L4083*0.08</f>
        <v/>
      </c>
      <c r="O4083" s="17">
        <f>-(K4083*0.025+L4083*0.025)</f>
        <v/>
      </c>
      <c r="P4083" s="17">
        <f>32</f>
        <v/>
      </c>
      <c r="Q4083" s="17">
        <f>J4083+L4083+N4083+O4083-P4083-M4083</f>
        <v/>
      </c>
    </row>
    <row r="4084">
      <c r="A4084" s="16" t="inlineStr">
        <is>
          <t>5.29-6.4</t>
        </is>
      </c>
      <c r="B4084" s="16" t="inlineStr">
        <is>
          <t>PO-128-02719906148470717</t>
        </is>
      </c>
      <c r="C4084" s="16" t="inlineStr">
        <is>
          <t>Delivered</t>
        </is>
      </c>
      <c r="D4084" s="16" t="inlineStr">
        <is>
          <t>128-02719864205430717</t>
        </is>
      </c>
      <c r="E4084" s="16" t="inlineStr">
        <is>
          <t>Delivered</t>
        </is>
      </c>
      <c r="F4084" s="16" t="inlineStr">
        <is>
          <t>LB02235-blanco</t>
        </is>
      </c>
      <c r="G4084" s="16" t="inlineStr">
        <is>
          <t>Audífonos Inalámbricos para la Cabeza, Recargables y Multifuncionales - Conectan a Varios Dispositivos, soportan Radio FM, Tarjeta TF y AUX - 4 Horas de Reproducción Musical - Ideal para Trabajo Cotidiano, Juegos y Estudio</t>
        </is>
      </c>
      <c r="H4084" s="16" t="inlineStr">
        <is>
          <t>BLANCO</t>
        </is>
      </c>
      <c r="I4084" s="16" t="n">
        <v>1</v>
      </c>
      <c r="J4084" s="17" t="n">
        <v>35</v>
      </c>
      <c r="K4084" s="17" t="n">
        <v>48.11</v>
      </c>
      <c r="L4084" s="17" t="n">
        <v>25.86</v>
      </c>
      <c r="M4084" s="17" t="n">
        <v>0</v>
      </c>
      <c r="N4084" s="17">
        <f>K4084*0.08+L4084*0.08</f>
        <v/>
      </c>
      <c r="O4084" s="17">
        <f>-(K4084*0.025+L4084*0.025)</f>
        <v/>
      </c>
      <c r="P4084" s="17">
        <f>32</f>
        <v/>
      </c>
      <c r="Q4084" s="17">
        <f>J4084+L4084+N4084+O4084-P4084-M4084</f>
        <v/>
      </c>
    </row>
    <row r="4085">
      <c r="A4085" s="16" t="inlineStr">
        <is>
          <t>5.29-6.4</t>
        </is>
      </c>
      <c r="B4085" s="16" t="inlineStr">
        <is>
          <t>PO-128-02159165304954059</t>
        </is>
      </c>
      <c r="C4085" s="16" t="inlineStr">
        <is>
          <t>Delivered</t>
        </is>
      </c>
      <c r="D4085" s="16" t="inlineStr">
        <is>
          <t>128-02159186276474059</t>
        </is>
      </c>
      <c r="E4085" s="16" t="inlineStr">
        <is>
          <t>Delivered</t>
        </is>
      </c>
      <c r="F4085" s="16" t="inlineStr">
        <is>
          <t>SA325T</t>
        </is>
      </c>
      <c r="G4085" s="16" t="inlineStr">
        <is>
          <t>Subwoofer Portátil Inalámbrico con Luces RGB, Sonido de Alta Potencia y Batería Duradera, TWS TF USB, Perfecto para Campamento Fiestas y Entretenimiento en Casa</t>
        </is>
      </c>
      <c r="H4085" s="16" t="inlineStr">
        <is>
          <t>NEGRO</t>
        </is>
      </c>
      <c r="I4085" s="16" t="n">
        <v>1</v>
      </c>
      <c r="J4085" s="17" t="n">
        <v>36</v>
      </c>
      <c r="K4085" s="17" t="n">
        <v>45.04</v>
      </c>
      <c r="L4085" s="17" t="n">
        <v>25.86</v>
      </c>
      <c r="M4085" s="17" t="n">
        <v>0</v>
      </c>
      <c r="N4085" s="17">
        <f>K4085*0.08+L4085*0.08</f>
        <v/>
      </c>
      <c r="O4085" s="17">
        <f>-(K4085*0.025+L4085*0.025)</f>
        <v/>
      </c>
      <c r="P4085" s="17">
        <f>32</f>
        <v/>
      </c>
      <c r="Q4085" s="17">
        <f>J4085+L4085+N4085+O4085-P4085-M4085</f>
        <v/>
      </c>
    </row>
    <row r="4086">
      <c r="A4086" s="16" t="inlineStr">
        <is>
          <t>5.29-6.4</t>
        </is>
      </c>
      <c r="B4086" s="16" t="inlineStr">
        <is>
          <t>PO-128-02342890647672834</t>
        </is>
      </c>
      <c r="C4086" s="16" t="inlineStr">
        <is>
          <t>Delivered</t>
        </is>
      </c>
      <c r="D4086" s="16" t="inlineStr">
        <is>
          <t>128-02342859190392834</t>
        </is>
      </c>
      <c r="E4086" s="16" t="inlineStr">
        <is>
          <t>Delivered</t>
        </is>
      </c>
      <c r="F4086" s="16" t="inlineStr">
        <is>
          <t>HD005</t>
        </is>
      </c>
      <c r="G4086" s="16" t="inlineStr">
        <is>
          <t>Link bits HD005 Antena UHF para Exteriores, Antena de TV Digital HD con 10 Metros de Cable, Recepción 470-862MHz, 9-7dB de Ganancia, Antena para Canales Abiertos y HD, Resistente al Agua y Viento, Fácil Instalación</t>
        </is>
      </c>
      <c r="H4086" s="16" t="inlineStr">
        <is>
          <t>1</t>
        </is>
      </c>
      <c r="I4086" s="16" t="n">
        <v>1</v>
      </c>
      <c r="J4086" s="17" t="n">
        <v>70</v>
      </c>
      <c r="K4086" s="17" t="n">
        <v>87.66</v>
      </c>
      <c r="L4086" s="17" t="n">
        <v>25.86</v>
      </c>
      <c r="M4086" s="17" t="n">
        <v>0</v>
      </c>
      <c r="N4086" s="17">
        <f>K4086*0.08+L4086*0.08</f>
        <v/>
      </c>
      <c r="O4086" s="17">
        <f>-(K4086*0.025+L4086*0.025)</f>
        <v/>
      </c>
      <c r="P4086" s="17">
        <f>32</f>
        <v/>
      </c>
      <c r="Q4086" s="17">
        <f>J4086+L4086+N4086+O4086-P4086-M4086</f>
        <v/>
      </c>
    </row>
    <row r="4087">
      <c r="A4087" s="16" t="inlineStr">
        <is>
          <t>5.29-6.4</t>
        </is>
      </c>
      <c r="B4087" s="16" t="inlineStr">
        <is>
          <t>PO-128-02076242931833529</t>
        </is>
      </c>
      <c r="C4087" s="16" t="inlineStr">
        <is>
          <t>Delivered</t>
        </is>
      </c>
      <c r="D4087" s="16" t="inlineStr">
        <is>
          <t>128-02076253417593529</t>
        </is>
      </c>
      <c r="E4087" s="16" t="inlineStr">
        <is>
          <t>Delivered</t>
        </is>
      </c>
      <c r="F4087" s="16" t="inlineStr">
        <is>
          <t>LB02235-azul</t>
        </is>
      </c>
      <c r="G4087" s="16" t="inlineStr">
        <is>
          <t>Audífonos Inalámbricos para la Cabeza, Recargables y Multifuncionales - Conectan a Varios Dispositivos, soportan Radio FM, Tarjeta TF y AUX - 4 Horas de Reproducción Musical - Ideal para Trabajo Cotidiano, Juegos y Estudio</t>
        </is>
      </c>
      <c r="H4087" s="16" t="inlineStr">
        <is>
          <t>AZUL</t>
        </is>
      </c>
      <c r="I4087" s="16" t="n">
        <v>1</v>
      </c>
      <c r="J4087" s="17" t="n">
        <v>29.9</v>
      </c>
      <c r="K4087" s="17" t="n">
        <v>43.01</v>
      </c>
      <c r="L4087" s="17" t="n">
        <v>25.86</v>
      </c>
      <c r="M4087" s="17" t="n">
        <v>0</v>
      </c>
      <c r="N4087" s="17">
        <f>K4087*0.08+L4087*0.08</f>
        <v/>
      </c>
      <c r="O4087" s="17">
        <f>-(K4087*0.025+L4087*0.025)</f>
        <v/>
      </c>
      <c r="P4087" s="17">
        <f>32</f>
        <v/>
      </c>
      <c r="Q4087" s="17">
        <f>J4087+L4087+N4087+O4087-P4087-M4087</f>
        <v/>
      </c>
    </row>
    <row r="4088">
      <c r="A4088" s="16" t="inlineStr">
        <is>
          <t>5.29-6.4</t>
        </is>
      </c>
      <c r="B4088" s="16" t="inlineStr">
        <is>
          <t>PO-128-02619566641270355</t>
        </is>
      </c>
      <c r="C4088" s="16" t="inlineStr">
        <is>
          <t>Delivered</t>
        </is>
      </c>
      <c r="D4088" s="16" t="inlineStr">
        <is>
          <t>128-02619524698230355</t>
        </is>
      </c>
      <c r="E4088" s="16" t="inlineStr">
        <is>
          <t>Delivered</t>
        </is>
      </c>
      <c r="F4088" s="16" t="inlineStr">
        <is>
          <t>EM04W36-2PZS</t>
        </is>
      </c>
      <c r="G4088"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088" s="16" t="inlineStr">
        <is>
          <t>2 piezas</t>
        </is>
      </c>
      <c r="I4088" s="16" t="n">
        <v>1</v>
      </c>
      <c r="J4088" s="17" t="n">
        <v>124.8</v>
      </c>
      <c r="K4088" s="17" t="n">
        <v>99.23999999999999</v>
      </c>
      <c r="L4088" s="17" t="n">
        <v>25.86</v>
      </c>
      <c r="M4088" s="17" t="n">
        <v>0</v>
      </c>
      <c r="N4088" s="17">
        <f>K4088*0.08+L4088*0.08</f>
        <v/>
      </c>
      <c r="O4088" s="17">
        <f>-(K4088*0.025+L4088*0.025)</f>
        <v/>
      </c>
      <c r="P4088" s="17">
        <f>32</f>
        <v/>
      </c>
      <c r="Q4088" s="17">
        <f>J4088+L4088+N4088+O4088-P4088-M4088</f>
        <v/>
      </c>
    </row>
    <row r="4089">
      <c r="A4089" s="16" t="inlineStr">
        <is>
          <t>5.29-6.4</t>
        </is>
      </c>
      <c r="B4089" s="16" t="inlineStr">
        <is>
          <t>PO-128-02292818998392300</t>
        </is>
      </c>
      <c r="C4089" s="16" t="inlineStr">
        <is>
          <t>Delivered</t>
        </is>
      </c>
      <c r="D4089" s="16" t="inlineStr">
        <is>
          <t>128-02292821619832300</t>
        </is>
      </c>
      <c r="E4089" s="16" t="inlineStr">
        <is>
          <t>Delivered</t>
        </is>
      </c>
      <c r="F4089" s="16" t="inlineStr">
        <is>
          <t>SA325T</t>
        </is>
      </c>
      <c r="G4089" s="16" t="inlineStr">
        <is>
          <t>Subwoofer Portátil Inalámbrico con Luces RGB, Sonido de Alta Potencia y Batería Duradera, TWS TF USB, Perfecto para Campamento Fiestas y Entretenimiento en Casa</t>
        </is>
      </c>
      <c r="H4089" s="16" t="inlineStr">
        <is>
          <t>NEGRO</t>
        </is>
      </c>
      <c r="I4089" s="16" t="n">
        <v>1</v>
      </c>
      <c r="J4089" s="17" t="n">
        <v>36</v>
      </c>
      <c r="K4089" s="17" t="n">
        <v>41.78</v>
      </c>
      <c r="L4089" s="17" t="n">
        <v>25.86</v>
      </c>
      <c r="M4089" s="17" t="n">
        <v>0</v>
      </c>
      <c r="N4089" s="17">
        <f>K4089*0.08+L4089*0.08</f>
        <v/>
      </c>
      <c r="O4089" s="17">
        <f>-(K4089*0.025+L4089*0.025)</f>
        <v/>
      </c>
      <c r="P4089" s="17">
        <f>32</f>
        <v/>
      </c>
      <c r="Q4089" s="17">
        <f>J4089+L4089+N4089+O4089-P4089-M4089</f>
        <v/>
      </c>
    </row>
    <row r="4090">
      <c r="A4090" s="16" t="inlineStr">
        <is>
          <t>5.29-6.4</t>
        </is>
      </c>
      <c r="B4090" s="16" t="inlineStr">
        <is>
          <t>PO-128-02421087378551472</t>
        </is>
      </c>
      <c r="C4090" s="16" t="inlineStr">
        <is>
          <t>Delivered</t>
        </is>
      </c>
      <c r="D4090" s="16" t="inlineStr">
        <is>
          <t>128-02421045435511472</t>
        </is>
      </c>
      <c r="E4090" s="16" t="inlineStr">
        <is>
          <t>Delivered</t>
        </is>
      </c>
      <c r="F4090" s="16" t="inlineStr">
        <is>
          <t>MB-185R</t>
        </is>
      </c>
      <c r="G4090" s="16" t="inlineStr">
        <is>
          <t>Bocina Radio FM/Reproductor, Compatible con Tarjeta TF, USB, Bluetooth, Aplicable para celular, computadora, Ipad y consola.</t>
        </is>
      </c>
      <c r="H4090" s="16" t="inlineStr">
        <is>
          <t>ROJO/MB-185</t>
        </is>
      </c>
      <c r="I4090" s="16" t="n">
        <v>1</v>
      </c>
      <c r="J4090" s="17" t="n">
        <v>71.31</v>
      </c>
      <c r="K4090" s="17" t="n">
        <v>84.23999999999999</v>
      </c>
      <c r="L4090" s="17" t="n">
        <v>25.86</v>
      </c>
      <c r="M4090" s="17" t="n">
        <v>0</v>
      </c>
      <c r="N4090" s="17">
        <f>K4090*0.08+L4090*0.08</f>
        <v/>
      </c>
      <c r="O4090" s="17">
        <f>-(K4090*0.025+L4090*0.025)</f>
        <v/>
      </c>
      <c r="P4090" s="17">
        <f>32</f>
        <v/>
      </c>
      <c r="Q4090" s="17">
        <f>J4090+L4090+N4090+O4090-P4090-M4090</f>
        <v/>
      </c>
    </row>
    <row r="4091">
      <c r="A4091" s="16" t="inlineStr">
        <is>
          <t>5.29-6.4</t>
        </is>
      </c>
      <c r="B4091" s="16" t="inlineStr">
        <is>
          <t>PO-128-02182048159353920</t>
        </is>
      </c>
      <c r="C4091" s="16" t="inlineStr">
        <is>
          <t>Delivered</t>
        </is>
      </c>
      <c r="D4091" s="16" t="inlineStr">
        <is>
          <t>128-02182061266553920</t>
        </is>
      </c>
      <c r="E4091" s="16" t="inlineStr">
        <is>
          <t>Delivered</t>
        </is>
      </c>
      <c r="F4091" s="16" t="inlineStr">
        <is>
          <t>VA880T</t>
        </is>
      </c>
      <c r="G409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091" s="16" t="inlineStr">
        <is>
          <t>1 pieza</t>
        </is>
      </c>
      <c r="I4091" s="16" t="n">
        <v>1</v>
      </c>
      <c r="J4091" s="17" t="n">
        <v>113</v>
      </c>
      <c r="K4091" s="17" t="n">
        <v>125.29</v>
      </c>
      <c r="L4091" s="17" t="n">
        <v>25.86</v>
      </c>
      <c r="M4091" s="17" t="n">
        <v>0</v>
      </c>
      <c r="N4091" s="17">
        <f>K4091*0.08+L4091*0.08</f>
        <v/>
      </c>
      <c r="O4091" s="17">
        <f>-(K4091*0.025+L4091*0.025)</f>
        <v/>
      </c>
      <c r="P4091" s="17">
        <f>32</f>
        <v/>
      </c>
      <c r="Q4091" s="17">
        <f>J4091+L4091+N4091+O4091-P4091-M4091</f>
        <v/>
      </c>
    </row>
    <row r="4092">
      <c r="A4092" s="16" t="inlineStr">
        <is>
          <t>5.29-6.4</t>
        </is>
      </c>
      <c r="B4092" s="16" t="inlineStr">
        <is>
          <t>PO-128-02597275105910486</t>
        </is>
      </c>
      <c r="C4092" s="16" t="inlineStr">
        <is>
          <t>Delivered</t>
        </is>
      </c>
      <c r="D4092" s="16" t="inlineStr">
        <is>
          <t>128-02597233162870486</t>
        </is>
      </c>
      <c r="E4092" s="16" t="inlineStr">
        <is>
          <t>Delivered</t>
        </is>
      </c>
      <c r="F4092" s="16" t="inlineStr">
        <is>
          <t>LB02235-negro</t>
        </is>
      </c>
      <c r="G4092" s="16" t="inlineStr">
        <is>
          <t>Audífonos Inalámbricos para la Cabeza, Recargables y Multifuncionales - Conectan a Varios Dispositivos, soportan Radio FM, Tarjeta TF y AUX - 4 Horas de Reproducción Musical - Ideal para Trabajo Cotidiano, Juegos y Estudio</t>
        </is>
      </c>
      <c r="H4092" s="16" t="inlineStr">
        <is>
          <t>NEGRO</t>
        </is>
      </c>
      <c r="I4092" s="16" t="n">
        <v>1</v>
      </c>
      <c r="J4092" s="17" t="n">
        <v>35</v>
      </c>
      <c r="K4092" s="17" t="n">
        <v>5.01</v>
      </c>
      <c r="L4092" s="17" t="n">
        <v>25.86</v>
      </c>
      <c r="M4092" s="17" t="n">
        <v>0</v>
      </c>
      <c r="N4092" s="17">
        <f>K4092*0.08+L4092*0.08</f>
        <v/>
      </c>
      <c r="O4092" s="17">
        <f>-(K4092*0.025+L4092*0.025)</f>
        <v/>
      </c>
      <c r="P4092" s="17">
        <f>32</f>
        <v/>
      </c>
      <c r="Q4092" s="17">
        <f>J4092+L4092+N4092+O4092-P4092-M4092</f>
        <v/>
      </c>
    </row>
    <row r="4093">
      <c r="A4093" s="16" t="inlineStr">
        <is>
          <t>5.29-6.4</t>
        </is>
      </c>
      <c r="B4093" s="16" t="inlineStr">
        <is>
          <t>PO-128-02504782280311999</t>
        </is>
      </c>
      <c r="C4093" s="16" t="inlineStr">
        <is>
          <t>Delivered</t>
        </is>
      </c>
      <c r="D4093" s="16" t="inlineStr">
        <is>
          <t>128-02504829466231999</t>
        </is>
      </c>
      <c r="E4093" s="16" t="inlineStr">
        <is>
          <t>Delivered</t>
        </is>
      </c>
      <c r="F4093" s="16" t="inlineStr">
        <is>
          <t>MB-185N</t>
        </is>
      </c>
      <c r="G4093" s="16" t="inlineStr">
        <is>
          <t>Bocina Radio FM/Reproductor, Compatible con Tarjeta TF, USB, Bluetooth, Aplicable para celular, computadora, Ipad y consola.</t>
        </is>
      </c>
      <c r="H4093" s="16" t="inlineStr">
        <is>
          <t>NEGRO/MB-185</t>
        </is>
      </c>
      <c r="I4093" s="16" t="n">
        <v>1</v>
      </c>
      <c r="J4093" s="17" t="n">
        <v>71.31</v>
      </c>
      <c r="K4093" s="17" t="n">
        <v>84.23999999999999</v>
      </c>
      <c r="L4093" s="17" t="n">
        <v>25.86</v>
      </c>
      <c r="M4093" s="17" t="n">
        <v>0</v>
      </c>
      <c r="N4093" s="17">
        <f>K4093*0.08+L4093*0.08</f>
        <v/>
      </c>
      <c r="O4093" s="17">
        <f>-(K4093*0.025+L4093*0.025)</f>
        <v/>
      </c>
      <c r="P4093" s="17">
        <f>32</f>
        <v/>
      </c>
      <c r="Q4093" s="17">
        <f>J4093+L4093+N4093+O4093-P4093-M4093</f>
        <v/>
      </c>
    </row>
    <row r="4094">
      <c r="A4094" s="16" t="inlineStr">
        <is>
          <t>5.29-6.4</t>
        </is>
      </c>
      <c r="B4094" s="16" t="inlineStr">
        <is>
          <t>PO-128-02674069924470988</t>
        </is>
      </c>
      <c r="C4094" s="16" t="inlineStr">
        <is>
          <t>Delivered</t>
        </is>
      </c>
      <c r="D4094" s="16" t="inlineStr">
        <is>
          <t>128-02673992591990988</t>
        </is>
      </c>
      <c r="E4094" s="16" t="inlineStr">
        <is>
          <t>Delivered</t>
        </is>
      </c>
      <c r="F4094" s="16" t="inlineStr">
        <is>
          <t>LB02235-blanco</t>
        </is>
      </c>
      <c r="G4094" s="16" t="inlineStr">
        <is>
          <t>Audífonos Inalámbricos para la Cabeza, Recargables y Multifuncionales - Conectan a Varios Dispositivos, soportan Radio FM, Tarjeta TF y AUX - 4 Horas de Reproducción Musical - Ideal para Trabajo Cotidiano, Juegos y Estudio</t>
        </is>
      </c>
      <c r="H4094" s="16" t="inlineStr">
        <is>
          <t>BLANCO</t>
        </is>
      </c>
      <c r="I4094" s="16" t="n">
        <v>1</v>
      </c>
      <c r="J4094" s="17" t="n">
        <v>35</v>
      </c>
      <c r="K4094" s="17" t="n">
        <v>48.11</v>
      </c>
      <c r="L4094" s="17" t="n">
        <v>25.86</v>
      </c>
      <c r="M4094" s="17" t="n">
        <v>0</v>
      </c>
      <c r="N4094" s="17">
        <f>K4094*0.08+L4094*0.08</f>
        <v/>
      </c>
      <c r="O4094" s="17">
        <f>-(K4094*0.025+L4094*0.025)</f>
        <v/>
      </c>
      <c r="P4094" s="17">
        <f>32</f>
        <v/>
      </c>
      <c r="Q4094" s="17">
        <f>J4094+L4094+N4094+O4094-P4094-M4094</f>
        <v/>
      </c>
    </row>
    <row r="4095">
      <c r="A4095" s="16" t="inlineStr">
        <is>
          <t>5.29-6.4</t>
        </is>
      </c>
      <c r="B4095" s="16" t="inlineStr">
        <is>
          <t>PO-128-02736831370870550</t>
        </is>
      </c>
      <c r="C4095" s="16" t="inlineStr">
        <is>
          <t>Delivered</t>
        </is>
      </c>
      <c r="D4095" s="16" t="inlineStr">
        <is>
          <t>128-02736789427830550</t>
        </is>
      </c>
      <c r="E4095" s="16" t="inlineStr">
        <is>
          <t>Delivered</t>
        </is>
      </c>
      <c r="F4095" s="16" t="inlineStr">
        <is>
          <t>MCM-001R</t>
        </is>
      </c>
      <c r="G4095" s="16" t="inlineStr">
        <is>
          <t>Musicord Altavoz Inalámbrico BT Portátil: ¡Sonido impactante, luces LED multicolores y 4 horas de autonomía! Compatible con TWS, FM, TF y USB – Imprescindible para fiestas y viajes</t>
        </is>
      </c>
      <c r="H4095" s="16" t="inlineStr">
        <is>
          <t>ROJO</t>
        </is>
      </c>
      <c r="I4095" s="16" t="n">
        <v>1</v>
      </c>
      <c r="J4095" s="17" t="n">
        <v>51</v>
      </c>
      <c r="K4095" s="17" t="n">
        <v>58.79</v>
      </c>
      <c r="L4095" s="17" t="n">
        <v>25.86</v>
      </c>
      <c r="M4095" s="17" t="n">
        <v>0</v>
      </c>
      <c r="N4095" s="17">
        <f>K4095*0.08+L4095*0.08</f>
        <v/>
      </c>
      <c r="O4095" s="17">
        <f>-(K4095*0.025+L4095*0.025)</f>
        <v/>
      </c>
      <c r="P4095" s="17">
        <f>32</f>
        <v/>
      </c>
      <c r="Q4095" s="17">
        <f>J4095+L4095+N4095+O4095-P4095-M4095</f>
        <v/>
      </c>
    </row>
    <row r="4096">
      <c r="A4096" s="16" t="inlineStr">
        <is>
          <t>5.29-6.4</t>
        </is>
      </c>
      <c r="B4096" s="16" t="inlineStr">
        <is>
          <t>PO-128-02732031232630514</t>
        </is>
      </c>
      <c r="C4096" s="16" t="inlineStr">
        <is>
          <t>Delivered</t>
        </is>
      </c>
      <c r="D4096" s="16" t="inlineStr">
        <is>
          <t>128-02732057447030514</t>
        </is>
      </c>
      <c r="E4096" s="16" t="inlineStr">
        <is>
          <t>Delivered</t>
        </is>
      </c>
      <c r="F4096" s="16" t="inlineStr">
        <is>
          <t>MCM-001A</t>
        </is>
      </c>
      <c r="G4096" s="16" t="inlineStr">
        <is>
          <t>Musicord Altavoz Inalámbrico BT Portátil: ¡Sonido impactante, luces LED multicolores y 4 horas de autonomía! Compatible con TWS, FM, TF y USB – Imprescindible para fiestas y viajes</t>
        </is>
      </c>
      <c r="H4096" s="16" t="inlineStr">
        <is>
          <t>AZUL</t>
        </is>
      </c>
      <c r="I4096" s="16" t="n">
        <v>1</v>
      </c>
      <c r="J4096" s="17" t="n">
        <v>66</v>
      </c>
      <c r="K4096" s="17" t="n">
        <v>69.54000000000001</v>
      </c>
      <c r="L4096" s="17" t="n">
        <v>25.86</v>
      </c>
      <c r="M4096" s="17" t="n">
        <v>0</v>
      </c>
      <c r="N4096" s="17">
        <f>K4096*0.08+L4096*0.08</f>
        <v/>
      </c>
      <c r="O4096" s="17">
        <f>-(K4096*0.025+L4096*0.025)</f>
        <v/>
      </c>
      <c r="P4096" s="17">
        <f>32</f>
        <v/>
      </c>
      <c r="Q4096" s="17">
        <f>J4096+L4096+N4096+O4096-P4096-M4096</f>
        <v/>
      </c>
    </row>
    <row r="4097">
      <c r="A4097" s="16" t="inlineStr">
        <is>
          <t>5.29-6.4</t>
        </is>
      </c>
      <c r="B4097" s="16" t="inlineStr">
        <is>
          <t>PO-128-02106063514233223</t>
        </is>
      </c>
      <c r="C4097" s="16" t="inlineStr">
        <is>
          <t>Delivered</t>
        </is>
      </c>
      <c r="D4097" s="16" t="inlineStr">
        <is>
          <t>128-02106073999993223</t>
        </is>
      </c>
      <c r="E4097" s="16" t="inlineStr">
        <is>
          <t>Delivered</t>
        </is>
      </c>
      <c r="F4097" s="16" t="inlineStr">
        <is>
          <t>LB02235-negro</t>
        </is>
      </c>
      <c r="G4097" s="16" t="inlineStr">
        <is>
          <t>Audífonos Inalámbricos para la Cabeza, Recargables y Multifuncionales - Conectan a Varios Dispositivos, soportan Radio FM, Tarjeta TF y AUX - 4 Horas de Reproducción Musical - Ideal para Trabajo Cotidiano, Juegos y Estudio</t>
        </is>
      </c>
      <c r="H4097" s="16" t="inlineStr">
        <is>
          <t>NEGRO</t>
        </is>
      </c>
      <c r="I4097" s="16" t="n">
        <v>5</v>
      </c>
      <c r="J4097" s="17" t="n">
        <v>175</v>
      </c>
      <c r="K4097" s="17" t="n">
        <v>240.55</v>
      </c>
      <c r="L4097" s="17" t="n">
        <v>25.85</v>
      </c>
      <c r="M4097" s="17" t="n">
        <v>0</v>
      </c>
      <c r="N4097" s="17">
        <f>K4097*0.08+L4097*0.08</f>
        <v/>
      </c>
      <c r="O4097" s="17">
        <f>-(K4097*0.025+L4097*0.025)</f>
        <v/>
      </c>
      <c r="P4097" s="17">
        <f>32</f>
        <v/>
      </c>
      <c r="Q4097" s="17">
        <f>J4097+L4097+N4097+O4097-P4097-M4097</f>
        <v/>
      </c>
    </row>
    <row r="4098">
      <c r="A4098" s="16" t="inlineStr">
        <is>
          <t>5.29-6.4</t>
        </is>
      </c>
      <c r="B4098" s="16" t="inlineStr">
        <is>
          <t>PO-128-02373668680312778</t>
        </is>
      </c>
      <c r="C4098" s="16" t="inlineStr">
        <is>
          <t>Delivered</t>
        </is>
      </c>
      <c r="D4098" s="16" t="inlineStr">
        <is>
          <t>128-02373689651832778</t>
        </is>
      </c>
      <c r="E4098" s="16" t="inlineStr">
        <is>
          <t>Delivered</t>
        </is>
      </c>
      <c r="F4098" s="16" t="inlineStr">
        <is>
          <t>LB02235-negro</t>
        </is>
      </c>
      <c r="G4098" s="16" t="inlineStr">
        <is>
          <t>Audífonos Inalámbricos para la Cabeza, Recargables y Multifuncionales - Conectan a Varios Dispositivos, soportan Radio FM, Tarjeta TF y AUX - 4 Horas de Reproducción Musical - Ideal para Trabajo Cotidiano, Juegos y Estudio</t>
        </is>
      </c>
      <c r="H4098" s="16" t="inlineStr">
        <is>
          <t>NEGRO</t>
        </is>
      </c>
      <c r="I4098" s="16" t="n">
        <v>1</v>
      </c>
      <c r="J4098" s="17" t="n">
        <v>35</v>
      </c>
      <c r="K4098" s="17" t="n">
        <v>48.11</v>
      </c>
      <c r="L4098" s="17" t="n">
        <v>25.86</v>
      </c>
      <c r="M4098" s="17" t="n">
        <v>0</v>
      </c>
      <c r="N4098" s="17">
        <f>K4098*0.08+L4098*0.08</f>
        <v/>
      </c>
      <c r="O4098" s="17">
        <f>-(K4098*0.025+L4098*0.025)</f>
        <v/>
      </c>
      <c r="P4098" s="17">
        <f>32</f>
        <v/>
      </c>
      <c r="Q4098" s="17">
        <f>J4098+L4098+N4098+O4098-P4098-M4098</f>
        <v/>
      </c>
    </row>
    <row r="4099">
      <c r="A4099" s="16" t="inlineStr">
        <is>
          <t>5.29-6.4</t>
        </is>
      </c>
      <c r="B4099" s="16" t="inlineStr">
        <is>
          <t>PO-128-02315772775032165</t>
        </is>
      </c>
      <c r="C4099" s="16" t="inlineStr">
        <is>
          <t>Delivered</t>
        </is>
      </c>
      <c r="D4099" s="16" t="inlineStr">
        <is>
          <t>128-02315804232312165</t>
        </is>
      </c>
      <c r="E4099" s="16" t="inlineStr">
        <is>
          <t>Delivered</t>
        </is>
      </c>
      <c r="F4099" s="16" t="inlineStr">
        <is>
          <t>MCM-001R</t>
        </is>
      </c>
      <c r="G4099" s="16" t="inlineStr">
        <is>
          <t>Musicord Altavoz Inalámbrico BT Portátil: ¡Sonido impactante, luces LED multicolores y 4 horas de autonomía! Compatible con TWS, FM, TF y USB – Imprescindible para fiestas y viajes</t>
        </is>
      </c>
      <c r="H4099" s="16" t="inlineStr">
        <is>
          <t>ROJO</t>
        </is>
      </c>
      <c r="I4099" s="16" t="n">
        <v>1</v>
      </c>
      <c r="J4099" s="17" t="n">
        <v>51</v>
      </c>
      <c r="K4099" s="17" t="n">
        <v>58.79</v>
      </c>
      <c r="L4099" s="17" t="n">
        <v>25.86</v>
      </c>
      <c r="M4099" s="17" t="n">
        <v>0</v>
      </c>
      <c r="N4099" s="17">
        <f>K4099*0.08+L4099*0.08</f>
        <v/>
      </c>
      <c r="O4099" s="17">
        <f>-(K4099*0.025+L4099*0.025)</f>
        <v/>
      </c>
      <c r="P4099" s="17">
        <f>32</f>
        <v/>
      </c>
      <c r="Q4099" s="17">
        <f>J4099+L4099+N4099+O4099-P4099-M4099</f>
        <v/>
      </c>
    </row>
    <row r="4100">
      <c r="A4100" s="16" t="inlineStr">
        <is>
          <t>5.29-6.4</t>
        </is>
      </c>
      <c r="B4100" s="16" t="inlineStr">
        <is>
          <t>PO-128-02500513946231958</t>
        </is>
      </c>
      <c r="C4100" s="16" t="inlineStr">
        <is>
          <t>Delivered</t>
        </is>
      </c>
      <c r="D4100" s="16" t="inlineStr">
        <is>
          <t>128-02500534917751958</t>
        </is>
      </c>
      <c r="E4100" s="16" t="inlineStr">
        <is>
          <t>Delivered</t>
        </is>
      </c>
      <c r="F4100" s="16" t="inlineStr">
        <is>
          <t>T5050RGB07</t>
        </is>
      </c>
      <c r="G4100"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4100" s="16" t="inlineStr">
        <is>
          <t>T5050RGB07</t>
        </is>
      </c>
      <c r="I4100" s="16" t="n">
        <v>1</v>
      </c>
      <c r="J4100" s="17" t="n">
        <v>50</v>
      </c>
      <c r="K4100" s="17" t="n">
        <v>60.62</v>
      </c>
      <c r="L4100" s="17" t="n">
        <v>25.86</v>
      </c>
      <c r="M4100" s="17" t="n">
        <v>0</v>
      </c>
      <c r="N4100" s="17">
        <f>K4100*0.08+L4100*0.08</f>
        <v/>
      </c>
      <c r="O4100" s="17">
        <f>-(K4100*0.025+L4100*0.025)</f>
        <v/>
      </c>
      <c r="P4100" s="17">
        <f>32</f>
        <v/>
      </c>
      <c r="Q4100" s="17">
        <f>J4100+L4100+N4100+O4100-P4100-M4100</f>
        <v/>
      </c>
    </row>
    <row r="4101">
      <c r="A4101" s="16" t="inlineStr">
        <is>
          <t>5.29-6.4</t>
        </is>
      </c>
      <c r="B4101" s="16" t="inlineStr">
        <is>
          <t>PO-128-02576508160631635</t>
        </is>
      </c>
      <c r="C4101" s="16" t="inlineStr">
        <is>
          <t>Delivered</t>
        </is>
      </c>
      <c r="D4101" s="16" t="inlineStr">
        <is>
          <t>128-02576513403511635</t>
        </is>
      </c>
      <c r="E4101" s="16" t="inlineStr">
        <is>
          <t>Delivered</t>
        </is>
      </c>
      <c r="F4101" s="16" t="inlineStr">
        <is>
          <t>LB02235-rojo</t>
        </is>
      </c>
      <c r="G4101" s="16" t="inlineStr">
        <is>
          <t>Audífonos Inalámbricos para la Cabeza, Recargables y Multifuncionales - Conectan a Varios Dispositivos, soportan Radio FM, Tarjeta TF y AUX - 4 Horas de Reproducción Musical - Ideal para Trabajo Cotidiano, Juegos y Estudio</t>
        </is>
      </c>
      <c r="H4101" s="16" t="inlineStr">
        <is>
          <t>ROJO</t>
        </is>
      </c>
      <c r="I4101" s="16" t="n">
        <v>2</v>
      </c>
      <c r="J4101" s="17" t="n">
        <v>70</v>
      </c>
      <c r="K4101" s="17" t="n">
        <v>96.22</v>
      </c>
      <c r="L4101" s="17" t="n">
        <v>25.86</v>
      </c>
      <c r="M4101" s="17" t="n">
        <v>0</v>
      </c>
      <c r="N4101" s="17">
        <f>K4101*0.08+L4101*0.08</f>
        <v/>
      </c>
      <c r="O4101" s="17">
        <f>-(K4101*0.025+L4101*0.025)</f>
        <v/>
      </c>
      <c r="P4101" s="17">
        <f>32</f>
        <v/>
      </c>
      <c r="Q4101" s="17">
        <f>J4101+L4101+N4101+O4101-P4101-M4101</f>
        <v/>
      </c>
    </row>
    <row r="4102">
      <c r="A4102" s="16" t="inlineStr">
        <is>
          <t>5.29-6.4</t>
        </is>
      </c>
      <c r="B4102" s="16" t="inlineStr">
        <is>
          <t>PO-128-02290202563192252</t>
        </is>
      </c>
      <c r="C4102" s="16" t="inlineStr">
        <is>
          <t>Delivered</t>
        </is>
      </c>
      <c r="D4102" s="16" t="inlineStr">
        <is>
          <t>128-02290245816952252</t>
        </is>
      </c>
      <c r="E4102" s="16" t="inlineStr">
        <is>
          <t>Delivered</t>
        </is>
      </c>
      <c r="F4102" s="16" t="inlineStr">
        <is>
          <t>S09W18IB-8PZS</t>
        </is>
      </c>
      <c r="G410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102" s="16" t="inlineStr">
        <is>
          <t>8 piezas</t>
        </is>
      </c>
      <c r="I4102" s="16" t="n">
        <v>1</v>
      </c>
      <c r="J4102" s="17" t="n">
        <v>245</v>
      </c>
      <c r="K4102" s="17" t="n">
        <v>317.07</v>
      </c>
      <c r="L4102" s="17" t="n">
        <v>0</v>
      </c>
      <c r="M4102" s="17" t="n">
        <v>0</v>
      </c>
      <c r="N4102" s="17">
        <f>K4102*0.08+L4102*0.08</f>
        <v/>
      </c>
      <c r="O4102" s="17">
        <f>-(K4102*0.025+L4102*0.025)</f>
        <v/>
      </c>
      <c r="P4102" s="17">
        <f>32</f>
        <v/>
      </c>
      <c r="Q4102" s="17">
        <f>J4102+L4102+N4102+O4102-P4102-M4102</f>
        <v/>
      </c>
    </row>
    <row r="4103">
      <c r="A4103" s="16" t="inlineStr">
        <is>
          <t>5.29-6.4</t>
        </is>
      </c>
      <c r="B4103" s="16" t="inlineStr">
        <is>
          <t>PO-128-02463107226231223</t>
        </is>
      </c>
      <c r="C4103" s="16" t="inlineStr">
        <is>
          <t>Delivered</t>
        </is>
      </c>
      <c r="D4103" s="16" t="inlineStr">
        <is>
          <t>128-02463149169271223</t>
        </is>
      </c>
      <c r="E4103" s="16" t="inlineStr">
        <is>
          <t>Delivered</t>
        </is>
      </c>
      <c r="F4103" s="16" t="inlineStr">
        <is>
          <t>MB-185R</t>
        </is>
      </c>
      <c r="G4103" s="16" t="inlineStr">
        <is>
          <t>Bocina Radio FM/Reproductor, Compatible con Tarjeta TF, USB, Bluetooth, Aplicable para celular, computadora, Ipad y consola.</t>
        </is>
      </c>
      <c r="H4103" s="16" t="inlineStr">
        <is>
          <t>ROJO/MB-185</t>
        </is>
      </c>
      <c r="I4103" s="16" t="n">
        <v>1</v>
      </c>
      <c r="J4103" s="17" t="n">
        <v>71.31</v>
      </c>
      <c r="K4103" s="17" t="n">
        <v>1.48</v>
      </c>
      <c r="L4103" s="17" t="n">
        <v>25.86</v>
      </c>
      <c r="M4103" s="17" t="n">
        <v>0</v>
      </c>
      <c r="N4103" s="17">
        <f>K4103*0.08+L4103*0.08</f>
        <v/>
      </c>
      <c r="O4103" s="17">
        <f>-(K4103*0.025+L4103*0.025)</f>
        <v/>
      </c>
      <c r="P4103" s="17">
        <f>32</f>
        <v/>
      </c>
      <c r="Q4103" s="17">
        <f>J4103+L4103+N4103+O4103-P4103-M4103</f>
        <v/>
      </c>
    </row>
    <row r="4104">
      <c r="A4104" s="16" t="inlineStr">
        <is>
          <t>5.29-6.4</t>
        </is>
      </c>
      <c r="B4104" s="16" t="inlineStr">
        <is>
          <t>PO-128-02416649114231498</t>
        </is>
      </c>
      <c r="C4104" s="16" t="inlineStr">
        <is>
          <t>Delivered</t>
        </is>
      </c>
      <c r="D4104" s="16" t="inlineStr">
        <is>
          <t>128-02416691057271498</t>
        </is>
      </c>
      <c r="E4104" s="16" t="inlineStr">
        <is>
          <t>Delivered</t>
        </is>
      </c>
      <c r="F4104" s="16" t="inlineStr">
        <is>
          <t>LB02235-blanco</t>
        </is>
      </c>
      <c r="G4104" s="16" t="inlineStr">
        <is>
          <t>Audífonos Inalámbricos para la Cabeza, Recargables y Multifuncionales - Conectan a Varios Dispositivos, soportan Radio FM, Tarjeta TF y AUX - 4 Horas de Reproducción Musical - Ideal para Trabajo Cotidiano, Juegos y Estudio</t>
        </is>
      </c>
      <c r="H4104" s="16" t="inlineStr">
        <is>
          <t>BLANCO</t>
        </is>
      </c>
      <c r="I4104" s="16" t="n">
        <v>2</v>
      </c>
      <c r="J4104" s="17" t="n">
        <v>70</v>
      </c>
      <c r="K4104" s="17" t="n">
        <v>66.43000000000001</v>
      </c>
      <c r="L4104" s="17" t="n">
        <v>17.88</v>
      </c>
      <c r="M4104" s="17" t="n">
        <v>0</v>
      </c>
      <c r="N4104" s="17">
        <f>K4104*0.08+L4104*0.08</f>
        <v/>
      </c>
      <c r="O4104" s="17">
        <f>-(K4104*0.025+L4104*0.025)</f>
        <v/>
      </c>
      <c r="P4104" s="17">
        <f>32</f>
        <v/>
      </c>
      <c r="Q4104" s="17">
        <f>J4104+L4104+N4104+O4104-P4104-M4104</f>
        <v/>
      </c>
    </row>
    <row r="4105">
      <c r="A4105" s="16" t="inlineStr">
        <is>
          <t>5.29-6.4</t>
        </is>
      </c>
      <c r="B4105" s="16" t="inlineStr">
        <is>
          <t>PO-128-02416649114231498</t>
        </is>
      </c>
      <c r="C4105" s="16" t="inlineStr">
        <is>
          <t>Delivered</t>
        </is>
      </c>
      <c r="D4105" s="16" t="inlineStr">
        <is>
          <t>128-02416743486071498</t>
        </is>
      </c>
      <c r="E4105" s="16" t="inlineStr">
        <is>
          <t>Delivered</t>
        </is>
      </c>
      <c r="F4105" s="16" t="inlineStr">
        <is>
          <t>LB02235-azul</t>
        </is>
      </c>
      <c r="G4105" s="16" t="inlineStr">
        <is>
          <t>Audífonos Inalámbricos para la Cabeza, Recargables y Multifuncionales - Conectan a Varios Dispositivos, soportan Radio FM, Tarjeta TF y AUX - 4 Horas de Reproducción Musical - Ideal para Trabajo Cotidiano, Juegos y Estudio</t>
        </is>
      </c>
      <c r="H4105" s="16" t="inlineStr">
        <is>
          <t>AZUL</t>
        </is>
      </c>
      <c r="I4105" s="16" t="n">
        <v>1</v>
      </c>
      <c r="J4105" s="17" t="n">
        <v>29.9</v>
      </c>
      <c r="K4105" s="17" t="n">
        <v>29.69</v>
      </c>
      <c r="L4105" s="17" t="n">
        <v>7.98</v>
      </c>
      <c r="M4105" s="17" t="n">
        <v>0</v>
      </c>
      <c r="N4105" s="17">
        <f>K4105*0.08+L4105*0.08</f>
        <v/>
      </c>
      <c r="O4105" s="17">
        <f>-(K4105*0.025+L4105*0.025)</f>
        <v/>
      </c>
      <c r="P4105" s="17">
        <f>32</f>
        <v/>
      </c>
      <c r="Q4105" s="17">
        <f>J4105+L4105+N4105+O4105-P4105-M4105</f>
        <v/>
      </c>
    </row>
    <row r="4106">
      <c r="A4106" s="16" t="inlineStr">
        <is>
          <t>5.29-6.4</t>
        </is>
      </c>
      <c r="B4106" s="16" t="inlineStr">
        <is>
          <t>PO-128-02519776835191845</t>
        </is>
      </c>
      <c r="C4106" s="16" t="inlineStr">
        <is>
          <t>Delivered</t>
        </is>
      </c>
      <c r="D4106" s="16" t="inlineStr">
        <is>
          <t>128-02519844992631845</t>
        </is>
      </c>
      <c r="E4106" s="16" t="inlineStr">
        <is>
          <t>Delivered</t>
        </is>
      </c>
      <c r="F4106" s="16" t="inlineStr">
        <is>
          <t>SA325T</t>
        </is>
      </c>
      <c r="G4106" s="16" t="inlineStr">
        <is>
          <t>Subwoofer Portátil Inalámbrico con Luces RGB, Sonido de Alta Potencia y Batería Duradera, TWS TF USB, Perfecto para Campamento Fiestas y Entretenimiento en Casa</t>
        </is>
      </c>
      <c r="H4106" s="16" t="inlineStr">
        <is>
          <t>NEGRO</t>
        </is>
      </c>
      <c r="I4106" s="16" t="n">
        <v>1</v>
      </c>
      <c r="J4106" s="17" t="n">
        <v>36</v>
      </c>
      <c r="K4106" s="17" t="n">
        <v>45.04</v>
      </c>
      <c r="L4106" s="17" t="n">
        <v>25.86</v>
      </c>
      <c r="M4106" s="17" t="n">
        <v>0</v>
      </c>
      <c r="N4106" s="17">
        <f>K4106*0.08+L4106*0.08</f>
        <v/>
      </c>
      <c r="O4106" s="17">
        <f>-(K4106*0.025+L4106*0.025)</f>
        <v/>
      </c>
      <c r="P4106" s="17">
        <f>32</f>
        <v/>
      </c>
      <c r="Q4106" s="17">
        <f>J4106+L4106+N4106+O4106-P4106-M4106</f>
        <v/>
      </c>
    </row>
    <row r="4107">
      <c r="A4107" s="16" t="inlineStr">
        <is>
          <t>5.29-6.4</t>
        </is>
      </c>
      <c r="B4107" s="16" t="inlineStr">
        <is>
          <t>PO-128-02489380987511131</t>
        </is>
      </c>
      <c r="C4107" s="16" t="inlineStr">
        <is>
          <t>Delivered</t>
        </is>
      </c>
      <c r="D4107" s="16" t="inlineStr">
        <is>
          <t>128-02489396716151131</t>
        </is>
      </c>
      <c r="E4107" s="16" t="inlineStr">
        <is>
          <t>Delivered</t>
        </is>
      </c>
      <c r="F4107" s="16" t="inlineStr">
        <is>
          <t>LB02235-negro</t>
        </is>
      </c>
      <c r="G4107" s="16" t="inlineStr">
        <is>
          <t>Audífonos Inalámbricos para la Cabeza, Recargables y Multifuncionales - Conectan a Varios Dispositivos, soportan Radio FM, Tarjeta TF y AUX - 4 Horas de Reproducción Musical - Ideal para Trabajo Cotidiano, Juegos y Estudio</t>
        </is>
      </c>
      <c r="H4107" s="16" t="inlineStr">
        <is>
          <t>NEGRO</t>
        </is>
      </c>
      <c r="I4107" s="16" t="n">
        <v>1</v>
      </c>
      <c r="J4107" s="17" t="n">
        <v>35</v>
      </c>
      <c r="K4107" s="17" t="n">
        <v>48.11</v>
      </c>
      <c r="L4107" s="17" t="n">
        <v>25.86</v>
      </c>
      <c r="M4107" s="17" t="n">
        <v>0</v>
      </c>
      <c r="N4107" s="17">
        <f>K4107*0.08+L4107*0.08</f>
        <v/>
      </c>
      <c r="O4107" s="17">
        <f>-(K4107*0.025+L4107*0.025)</f>
        <v/>
      </c>
      <c r="P4107" s="17">
        <f>32</f>
        <v/>
      </c>
      <c r="Q4107" s="17">
        <f>J4107+L4107+N4107+O4107-P4107-M4107</f>
        <v/>
      </c>
    </row>
    <row r="4108">
      <c r="A4108" s="16" t="inlineStr">
        <is>
          <t>5.29-6.4</t>
        </is>
      </c>
      <c r="B4108" s="16" t="inlineStr">
        <is>
          <t>PO-128-02523326638711886</t>
        </is>
      </c>
      <c r="C4108" s="16" t="inlineStr">
        <is>
          <t>Delivered</t>
        </is>
      </c>
      <c r="D4108" s="16" t="inlineStr">
        <is>
          <t>128-02523305667191886</t>
        </is>
      </c>
      <c r="E4108" s="16" t="inlineStr">
        <is>
          <t>Delivered</t>
        </is>
      </c>
      <c r="F4108" s="16" t="inlineStr">
        <is>
          <t>LB02235-negro</t>
        </is>
      </c>
      <c r="G4108" s="16" t="inlineStr">
        <is>
          <t>Audífonos Inalámbricos para la Cabeza, Recargables y Multifuncionales - Conectan a Varios Dispositivos, soportan Radio FM, Tarjeta TF y AUX - 4 Horas de Reproducción Musical - Ideal para Trabajo Cotidiano, Juegos y Estudio</t>
        </is>
      </c>
      <c r="H4108" s="16" t="inlineStr">
        <is>
          <t>NEGRO</t>
        </is>
      </c>
      <c r="I4108" s="16" t="n">
        <v>1</v>
      </c>
      <c r="J4108" s="17" t="n">
        <v>35</v>
      </c>
      <c r="K4108" s="17" t="n">
        <v>48.11</v>
      </c>
      <c r="L4108" s="17" t="n">
        <v>25.86</v>
      </c>
      <c r="M4108" s="17" t="n">
        <v>0</v>
      </c>
      <c r="N4108" s="17">
        <f>K4108*0.08+L4108*0.08</f>
        <v/>
      </c>
      <c r="O4108" s="17">
        <f>-(K4108*0.025+L4108*0.025)</f>
        <v/>
      </c>
      <c r="P4108" s="17">
        <f>32</f>
        <v/>
      </c>
      <c r="Q4108" s="17">
        <f>J4108+L4108+N4108+O4108-P4108-M4108</f>
        <v/>
      </c>
    </row>
    <row r="4109">
      <c r="A4109" s="16" t="inlineStr">
        <is>
          <t>5.29-6.4</t>
        </is>
      </c>
      <c r="B4109" s="16" t="inlineStr">
        <is>
          <t>PO-128-02633244846710209</t>
        </is>
      </c>
      <c r="C4109" s="16" t="inlineStr">
        <is>
          <t>Delivered</t>
        </is>
      </c>
      <c r="D4109" s="16" t="inlineStr">
        <is>
          <t>128-02633286789750209</t>
        </is>
      </c>
      <c r="E4109" s="16" t="inlineStr">
        <is>
          <t>Delivered</t>
        </is>
      </c>
      <c r="F4109" s="16" t="inlineStr">
        <is>
          <t>MCM-001R</t>
        </is>
      </c>
      <c r="G4109" s="16" t="inlineStr">
        <is>
          <t>Musicord Altavoz Inalámbrico BT Portátil: ¡Sonido impactante, luces LED multicolores y 4 horas de autonomía! Compatible con TWS, FM, TF y USB – Imprescindible para fiestas y viajes</t>
        </is>
      </c>
      <c r="H4109" s="16" t="inlineStr">
        <is>
          <t>ROJO</t>
        </is>
      </c>
      <c r="I4109" s="16" t="n">
        <v>1</v>
      </c>
      <c r="J4109" s="17" t="n">
        <v>51</v>
      </c>
      <c r="K4109" s="17" t="n">
        <v>15.69</v>
      </c>
      <c r="L4109" s="17" t="n">
        <v>25.86</v>
      </c>
      <c r="M4109" s="17" t="n">
        <v>0</v>
      </c>
      <c r="N4109" s="17">
        <f>K4109*0.08+L4109*0.08</f>
        <v/>
      </c>
      <c r="O4109" s="17">
        <f>-(K4109*0.025+L4109*0.025)</f>
        <v/>
      </c>
      <c r="P4109" s="17">
        <f>32</f>
        <v/>
      </c>
      <c r="Q4109" s="17">
        <f>J4109+L4109+N4109+O4109-P4109-M4109</f>
        <v/>
      </c>
    </row>
    <row r="4110">
      <c r="A4110" s="16" t="inlineStr">
        <is>
          <t>5.29-6.4</t>
        </is>
      </c>
      <c r="B4110" s="16" t="inlineStr">
        <is>
          <t>PO-128-02611924091510334</t>
        </is>
      </c>
      <c r="C4110" s="16" t="inlineStr">
        <is>
          <t>Delivered</t>
        </is>
      </c>
      <c r="D4110" s="16" t="inlineStr">
        <is>
          <t>128-02611916227190334</t>
        </is>
      </c>
      <c r="E4110" s="16" t="inlineStr">
        <is>
          <t>Delivered</t>
        </is>
      </c>
      <c r="F4110" s="16" t="inlineStr">
        <is>
          <t>EM04W36-2PZS</t>
        </is>
      </c>
      <c r="G4110"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110" s="16" t="inlineStr">
        <is>
          <t>2 piezas</t>
        </is>
      </c>
      <c r="I4110" s="16" t="n">
        <v>1</v>
      </c>
      <c r="J4110" s="17" t="n">
        <v>124.8</v>
      </c>
      <c r="K4110" s="17" t="n">
        <v>119.98</v>
      </c>
      <c r="L4110" s="17" t="n">
        <v>25.86</v>
      </c>
      <c r="M4110" s="17" t="n">
        <v>0</v>
      </c>
      <c r="N4110" s="17">
        <f>K4110*0.08+L4110*0.08</f>
        <v/>
      </c>
      <c r="O4110" s="17">
        <f>-(K4110*0.025+L4110*0.025)</f>
        <v/>
      </c>
      <c r="P4110" s="17">
        <f>32</f>
        <v/>
      </c>
      <c r="Q4110" s="17">
        <f>J4110+L4110+N4110+O4110-P4110-M4110</f>
        <v/>
      </c>
    </row>
    <row r="4111">
      <c r="A4111" s="16" t="inlineStr">
        <is>
          <t>5.29-6.4</t>
        </is>
      </c>
      <c r="B4111" s="16" t="inlineStr">
        <is>
          <t>PO-128-02390669230712615</t>
        </is>
      </c>
      <c r="C4111" s="16" t="inlineStr">
        <is>
          <t>Delivered</t>
        </is>
      </c>
      <c r="D4111" s="16" t="inlineStr">
        <is>
          <t>128-02390711173752615</t>
        </is>
      </c>
      <c r="E4111" s="16" t="inlineStr">
        <is>
          <t>Delivered</t>
        </is>
      </c>
      <c r="F4111" s="16" t="inlineStr">
        <is>
          <t>MB-185A</t>
        </is>
      </c>
      <c r="G4111" s="16" t="inlineStr">
        <is>
          <t>Bocina Radio FM/Reproductor, Compatible con Tarjeta TF, USB, Bluetooth, Aplicable para celular, computadora, Ipad y consola.</t>
        </is>
      </c>
      <c r="H4111" s="16" t="inlineStr">
        <is>
          <t>AZUL/MB-185</t>
        </is>
      </c>
      <c r="I4111" s="16" t="n">
        <v>1</v>
      </c>
      <c r="J4111" s="17" t="n">
        <v>71.31</v>
      </c>
      <c r="K4111" s="17" t="n">
        <v>67.40000000000001</v>
      </c>
      <c r="L4111" s="17" t="n">
        <v>25.86</v>
      </c>
      <c r="M4111" s="17" t="n">
        <v>0</v>
      </c>
      <c r="N4111" s="17">
        <f>K4111*0.08+L4111*0.08</f>
        <v/>
      </c>
      <c r="O4111" s="17">
        <f>-(K4111*0.025+L4111*0.025)</f>
        <v/>
      </c>
      <c r="P4111" s="17">
        <f>32</f>
        <v/>
      </c>
      <c r="Q4111" s="17">
        <f>J4111+L4111+N4111+O4111-P4111-M4111</f>
        <v/>
      </c>
    </row>
    <row r="4112">
      <c r="A4112" s="16" t="inlineStr">
        <is>
          <t>5.29-6.4</t>
        </is>
      </c>
      <c r="B4112" s="16" t="inlineStr">
        <is>
          <t>PO-128-02153430467194029</t>
        </is>
      </c>
      <c r="C4112" s="16" t="inlineStr">
        <is>
          <t>Delivered</t>
        </is>
      </c>
      <c r="D4112" s="16" t="inlineStr">
        <is>
          <t>128-02153409495674029</t>
        </is>
      </c>
      <c r="E4112" s="16" t="inlineStr">
        <is>
          <t>Delivered</t>
        </is>
      </c>
      <c r="F4112" s="16" t="inlineStr">
        <is>
          <t>LB02235-rojo</t>
        </is>
      </c>
      <c r="G4112" s="16" t="inlineStr">
        <is>
          <t>Audífonos Inalámbricos para la Cabeza, Recargables y Multifuncionales - Conectan a Varios Dispositivos, soportan Radio FM, Tarjeta TF y AUX - 4 Horas de Reproducción Musical - Ideal para Trabajo Cotidiano, Juegos y Estudio</t>
        </is>
      </c>
      <c r="H4112" s="16" t="inlineStr">
        <is>
          <t>ROJO</t>
        </is>
      </c>
      <c r="I4112" s="16" t="n">
        <v>1</v>
      </c>
      <c r="J4112" s="17" t="n">
        <v>35</v>
      </c>
      <c r="K4112" s="17" t="n">
        <v>48.11</v>
      </c>
      <c r="L4112" s="17" t="n">
        <v>25.86</v>
      </c>
      <c r="M4112" s="17" t="n">
        <v>0</v>
      </c>
      <c r="N4112" s="17">
        <f>K4112*0.08+L4112*0.08</f>
        <v/>
      </c>
      <c r="O4112" s="17">
        <f>-(K4112*0.025+L4112*0.025)</f>
        <v/>
      </c>
      <c r="P4112" s="17">
        <f>32</f>
        <v/>
      </c>
      <c r="Q4112" s="17">
        <f>J4112+L4112+N4112+O4112-P4112-M4112</f>
        <v/>
      </c>
    </row>
    <row r="4113">
      <c r="A4113" s="16" t="inlineStr">
        <is>
          <t>5.29-6.4</t>
        </is>
      </c>
      <c r="B4113" s="16" t="inlineStr">
        <is>
          <t>PO-128-02544412232311699</t>
        </is>
      </c>
      <c r="C4113" s="16" t="inlineStr">
        <is>
          <t>Delivered</t>
        </is>
      </c>
      <c r="D4113" s="16" t="inlineStr">
        <is>
          <t>128-02544432220791699</t>
        </is>
      </c>
      <c r="E4113" s="16" t="inlineStr">
        <is>
          <t>Delivered</t>
        </is>
      </c>
      <c r="F4113" s="16" t="inlineStr">
        <is>
          <t>LB02235-rojo</t>
        </is>
      </c>
      <c r="G4113" s="16" t="inlineStr">
        <is>
          <t>Audífonos Inalámbricos para la Cabeza, Recargables y Multifuncionales - Conectan a Varios Dispositivos, soportan Radio FM, Tarjeta TF y AUX - 4 Horas de Reproducción Musical - Ideal para Trabajo Cotidiano, Juegos y Estudio</t>
        </is>
      </c>
      <c r="H4113" s="16" t="inlineStr">
        <is>
          <t>ROJO</t>
        </is>
      </c>
      <c r="I4113" s="16" t="n">
        <v>1</v>
      </c>
      <c r="J4113" s="17" t="n">
        <v>35</v>
      </c>
      <c r="K4113" s="17" t="n">
        <v>38.49</v>
      </c>
      <c r="L4113" s="17" t="n">
        <v>25.86</v>
      </c>
      <c r="M4113" s="17" t="n">
        <v>0</v>
      </c>
      <c r="N4113" s="17">
        <f>K4113*0.08+L4113*0.08</f>
        <v/>
      </c>
      <c r="O4113" s="17">
        <f>-(K4113*0.025+L4113*0.025)</f>
        <v/>
      </c>
      <c r="P4113" s="17">
        <f>32</f>
        <v/>
      </c>
      <c r="Q4113" s="17">
        <f>J4113+L4113+N4113+O4113-P4113-M4113</f>
        <v/>
      </c>
    </row>
    <row r="4114">
      <c r="A4114" s="16" t="inlineStr">
        <is>
          <t>5.29-6.4</t>
        </is>
      </c>
      <c r="B4114" s="16" t="inlineStr">
        <is>
          <t>PO-128-02426339185271504</t>
        </is>
      </c>
      <c r="C4114" s="16" t="inlineStr">
        <is>
          <t>Delivered</t>
        </is>
      </c>
      <c r="D4114" s="16" t="inlineStr">
        <is>
          <t>128-02426349671031504</t>
        </is>
      </c>
      <c r="E4114" s="16" t="inlineStr">
        <is>
          <t>Delivered</t>
        </is>
      </c>
      <c r="F4114" s="16" t="inlineStr">
        <is>
          <t>LB02235-negro</t>
        </is>
      </c>
      <c r="G4114" s="16" t="inlineStr">
        <is>
          <t>Audífonos Inalámbricos para la Cabeza, Recargables y Multifuncionales - Conectan a Varios Dispositivos, soportan Radio FM, Tarjeta TF y AUX - 4 Horas de Reproducción Musical - Ideal para Trabajo Cotidiano, Juegos y Estudio</t>
        </is>
      </c>
      <c r="H4114" s="16" t="inlineStr">
        <is>
          <t>NEGRO</t>
        </is>
      </c>
      <c r="I4114" s="16" t="n">
        <v>1</v>
      </c>
      <c r="J4114" s="17" t="n">
        <v>35</v>
      </c>
      <c r="K4114" s="17" t="n">
        <v>48.11</v>
      </c>
      <c r="L4114" s="17" t="n">
        <v>25.86</v>
      </c>
      <c r="M4114" s="17" t="n">
        <v>0</v>
      </c>
      <c r="N4114" s="17">
        <f>K4114*0.08+L4114*0.08</f>
        <v/>
      </c>
      <c r="O4114" s="17">
        <f>-(K4114*0.025+L4114*0.025)</f>
        <v/>
      </c>
      <c r="P4114" s="17">
        <f>32</f>
        <v/>
      </c>
      <c r="Q4114" s="17">
        <f>J4114+L4114+N4114+O4114-P4114-M4114</f>
        <v/>
      </c>
    </row>
    <row r="4115">
      <c r="A4115" s="16" t="inlineStr">
        <is>
          <t>5.29-6.4</t>
        </is>
      </c>
      <c r="B4115" s="16" t="inlineStr">
        <is>
          <t>PO-128-02175663770233897</t>
        </is>
      </c>
      <c r="C4115" s="16" t="inlineStr">
        <is>
          <t>Delivered</t>
        </is>
      </c>
      <c r="D4115" s="16" t="inlineStr">
        <is>
          <t>128-02175653284473897</t>
        </is>
      </c>
      <c r="E4115" s="16" t="inlineStr">
        <is>
          <t>Delivered</t>
        </is>
      </c>
      <c r="F4115" s="16" t="inlineStr">
        <is>
          <t>SA325T</t>
        </is>
      </c>
      <c r="G4115" s="16" t="inlineStr">
        <is>
          <t>Subwoofer Portátil Inalámbrico con Luces RGB, Sonido de Alta Potencia y Batería Duradera, TWS TF USB, Perfecto para Campamento Fiestas y Entretenimiento en Casa</t>
        </is>
      </c>
      <c r="H4115" s="16" t="inlineStr">
        <is>
          <t>NEGRO</t>
        </is>
      </c>
      <c r="I4115" s="16" t="n">
        <v>1</v>
      </c>
      <c r="J4115" s="17" t="n">
        <v>36</v>
      </c>
      <c r="K4115" s="17" t="n">
        <v>45.04</v>
      </c>
      <c r="L4115" s="17" t="n">
        <v>25.86</v>
      </c>
      <c r="M4115" s="17" t="n">
        <v>0</v>
      </c>
      <c r="N4115" s="17">
        <f>K4115*0.08+L4115*0.08</f>
        <v/>
      </c>
      <c r="O4115" s="17">
        <f>-(K4115*0.025+L4115*0.025)</f>
        <v/>
      </c>
      <c r="P4115" s="17">
        <f>32</f>
        <v/>
      </c>
      <c r="Q4115" s="17">
        <f>J4115+L4115+N4115+O4115-P4115-M4115</f>
        <v/>
      </c>
    </row>
    <row r="4116">
      <c r="A4116" s="16" t="inlineStr">
        <is>
          <t>5.29-6.4</t>
        </is>
      </c>
      <c r="B4116" s="16" t="inlineStr">
        <is>
          <t>PO-128-02591521045110456</t>
        </is>
      </c>
      <c r="C4116" s="16" t="inlineStr">
        <is>
          <t>Delivered</t>
        </is>
      </c>
      <c r="D4116" s="16" t="inlineStr">
        <is>
          <t>128-02591542016630456</t>
        </is>
      </c>
      <c r="E4116" s="16" t="inlineStr">
        <is>
          <t>Delivered</t>
        </is>
      </c>
      <c r="F4116" s="16" t="inlineStr">
        <is>
          <t>LB02235-negro</t>
        </is>
      </c>
      <c r="G4116" s="16" t="inlineStr">
        <is>
          <t>Audífonos Inalámbricos para la Cabeza, Recargables y Multifuncionales - Conectan a Varios Dispositivos, soportan Radio FM, Tarjeta TF y AUX - 4 Horas de Reproducción Musical - Ideal para Trabajo Cotidiano, Juegos y Estudio</t>
        </is>
      </c>
      <c r="H4116" s="16" t="inlineStr">
        <is>
          <t>NEGRO</t>
        </is>
      </c>
      <c r="I4116" s="16" t="n">
        <v>1</v>
      </c>
      <c r="J4116" s="17" t="n">
        <v>35</v>
      </c>
      <c r="K4116" s="17" t="n">
        <v>48.11</v>
      </c>
      <c r="L4116" s="17" t="n">
        <v>25.86</v>
      </c>
      <c r="M4116" s="17" t="n">
        <v>0</v>
      </c>
      <c r="N4116" s="17">
        <f>K4116*0.08+L4116*0.08</f>
        <v/>
      </c>
      <c r="O4116" s="17">
        <f>-(K4116*0.025+L4116*0.025)</f>
        <v/>
      </c>
      <c r="P4116" s="17">
        <f>32</f>
        <v/>
      </c>
      <c r="Q4116" s="17">
        <f>J4116+L4116+N4116+O4116-P4116-M4116</f>
        <v/>
      </c>
    </row>
    <row r="4117">
      <c r="A4117" s="16" t="inlineStr">
        <is>
          <t>5.29-6.4</t>
        </is>
      </c>
      <c r="B4117" s="16" t="inlineStr">
        <is>
          <t>PO-128-02226478705273656</t>
        </is>
      </c>
      <c r="C4117" s="16" t="inlineStr">
        <is>
          <t>Delivered</t>
        </is>
      </c>
      <c r="D4117" s="16" t="inlineStr">
        <is>
          <t>128-02226489191033656</t>
        </is>
      </c>
      <c r="E4117" s="16" t="inlineStr">
        <is>
          <t>Delivered</t>
        </is>
      </c>
      <c r="F4117" s="16" t="inlineStr">
        <is>
          <t>MB-185N</t>
        </is>
      </c>
      <c r="G4117" s="16" t="inlineStr">
        <is>
          <t>Bocina Radio FM/Reproductor, Compatible con Tarjeta TF, USB, Bluetooth, Aplicable para celular, computadora, Ipad y consola.</t>
        </is>
      </c>
      <c r="H4117" s="16" t="inlineStr">
        <is>
          <t>NEGRO/MB-185</t>
        </is>
      </c>
      <c r="I4117" s="16" t="n">
        <v>1</v>
      </c>
      <c r="J4117" s="17" t="n">
        <v>71.31</v>
      </c>
      <c r="K4117" s="17" t="n">
        <v>84.23999999999999</v>
      </c>
      <c r="L4117" s="17" t="n">
        <v>25.86</v>
      </c>
      <c r="M4117" s="17" t="n">
        <v>0</v>
      </c>
      <c r="N4117" s="17">
        <f>K4117*0.08+L4117*0.08</f>
        <v/>
      </c>
      <c r="O4117" s="17">
        <f>-(K4117*0.025+L4117*0.025)</f>
        <v/>
      </c>
      <c r="P4117" s="17">
        <f>32</f>
        <v/>
      </c>
      <c r="Q4117" s="17">
        <f>J4117+L4117+N4117+O4117-P4117-M4117</f>
        <v/>
      </c>
    </row>
    <row r="4118">
      <c r="A4118" s="16" t="inlineStr">
        <is>
          <t>5.29-6.4</t>
        </is>
      </c>
      <c r="B4118" s="16" t="inlineStr">
        <is>
          <t>PO-128-02705698243190865</t>
        </is>
      </c>
      <c r="C4118" s="16" t="inlineStr">
        <is>
          <t>Delivered</t>
        </is>
      </c>
      <c r="D4118" s="16" t="inlineStr">
        <is>
          <t>128-02705719214710865</t>
        </is>
      </c>
      <c r="E4118" s="16" t="inlineStr">
        <is>
          <t>Delivered</t>
        </is>
      </c>
      <c r="F4118" s="16" t="inlineStr">
        <is>
          <t>SA325T</t>
        </is>
      </c>
      <c r="G4118" s="16" t="inlineStr">
        <is>
          <t>Subwoofer Portátil Inalámbrico con Luces RGB, Sonido de Alta Potencia y Batería Duradera, TWS TF USB, Perfecto para Campamento Fiestas y Entretenimiento en Casa</t>
        </is>
      </c>
      <c r="H4118" s="16" t="inlineStr">
        <is>
          <t>NEGRO</t>
        </is>
      </c>
      <c r="I4118" s="16" t="n">
        <v>2</v>
      </c>
      <c r="J4118" s="17" t="n">
        <v>72</v>
      </c>
      <c r="K4118" s="17" t="n">
        <v>66.55</v>
      </c>
      <c r="L4118" s="17" t="n">
        <v>25.86</v>
      </c>
      <c r="M4118" s="17" t="n">
        <v>0</v>
      </c>
      <c r="N4118" s="17">
        <f>K4118*0.08+L4118*0.08</f>
        <v/>
      </c>
      <c r="O4118" s="17">
        <f>-(K4118*0.025+L4118*0.025)</f>
        <v/>
      </c>
      <c r="P4118" s="17">
        <f>32</f>
        <v/>
      </c>
      <c r="Q4118" s="17">
        <f>J4118+L4118+N4118+O4118-P4118-M4118</f>
        <v/>
      </c>
    </row>
    <row r="4119">
      <c r="A4119" s="16" t="inlineStr">
        <is>
          <t>5.29-6.4</t>
        </is>
      </c>
      <c r="B4119" s="16" t="inlineStr">
        <is>
          <t>PO-128-02396058716792647</t>
        </is>
      </c>
      <c r="C4119" s="16" t="inlineStr">
        <is>
          <t>Delivered</t>
        </is>
      </c>
      <c r="D4119" s="16" t="inlineStr">
        <is>
          <t>128-02396006287992647</t>
        </is>
      </c>
      <c r="E4119" s="16" t="inlineStr">
        <is>
          <t>Delivered</t>
        </is>
      </c>
      <c r="F4119" s="16" t="inlineStr">
        <is>
          <t>SA325T</t>
        </is>
      </c>
      <c r="G4119" s="16" t="inlineStr">
        <is>
          <t>Subwoofer Portátil Inalámbrico con Luces RGB, Sonido de Alta Potencia y Batería Duradera, TWS TF USB, Perfecto para Campamento Fiestas y Entretenimiento en Casa</t>
        </is>
      </c>
      <c r="H4119" s="16" t="inlineStr">
        <is>
          <t>NEGRO</t>
        </is>
      </c>
      <c r="I4119" s="16" t="n">
        <v>1</v>
      </c>
      <c r="J4119" s="17" t="n">
        <v>36</v>
      </c>
      <c r="K4119" s="17" t="n">
        <v>37.42</v>
      </c>
      <c r="L4119" s="17" t="n">
        <v>25.86</v>
      </c>
      <c r="M4119" s="17" t="n">
        <v>0</v>
      </c>
      <c r="N4119" s="17">
        <f>K4119*0.08+L4119*0.08</f>
        <v/>
      </c>
      <c r="O4119" s="17">
        <f>-(K4119*0.025+L4119*0.025)</f>
        <v/>
      </c>
      <c r="P4119" s="17">
        <f>32</f>
        <v/>
      </c>
      <c r="Q4119" s="17">
        <f>J4119+L4119+N4119+O4119-P4119-M4119</f>
        <v/>
      </c>
    </row>
    <row r="4120">
      <c r="A4120" s="16" t="inlineStr">
        <is>
          <t>5.29-6.4</t>
        </is>
      </c>
      <c r="B4120" s="16" t="inlineStr">
        <is>
          <t>PO-128-02424828703351515</t>
        </is>
      </c>
      <c r="C4120" s="16" t="inlineStr">
        <is>
          <t>Delivered</t>
        </is>
      </c>
      <c r="D4120" s="16" t="inlineStr">
        <is>
          <t>128-02424839189111515</t>
        </is>
      </c>
      <c r="E4120" s="16" t="inlineStr">
        <is>
          <t>Delivered</t>
        </is>
      </c>
      <c r="F4120" s="16" t="inlineStr">
        <is>
          <t>LB02235-negro</t>
        </is>
      </c>
      <c r="G4120" s="16" t="inlineStr">
        <is>
          <t>Audífonos Inalámbricos para la Cabeza, Recargables y Multifuncionales - Conectan a Varios Dispositivos, soportan Radio FM, Tarjeta TF y AUX - 4 Horas de Reproducción Musical - Ideal para Trabajo Cotidiano, Juegos y Estudio</t>
        </is>
      </c>
      <c r="H4120" s="16" t="inlineStr">
        <is>
          <t>NEGRO</t>
        </is>
      </c>
      <c r="I4120" s="16" t="n">
        <v>1</v>
      </c>
      <c r="J4120" s="17" t="n">
        <v>35</v>
      </c>
      <c r="K4120" s="17" t="n">
        <v>48.11</v>
      </c>
      <c r="L4120" s="17" t="n">
        <v>25.86</v>
      </c>
      <c r="M4120" s="17" t="n">
        <v>0</v>
      </c>
      <c r="N4120" s="17">
        <f>K4120*0.08+L4120*0.08</f>
        <v/>
      </c>
      <c r="O4120" s="17">
        <f>-(K4120*0.025+L4120*0.025)</f>
        <v/>
      </c>
      <c r="P4120" s="17">
        <f>32</f>
        <v/>
      </c>
      <c r="Q4120" s="17">
        <f>J4120+L4120+N4120+O4120-P4120-M4120</f>
        <v/>
      </c>
    </row>
    <row r="4121">
      <c r="A4121" s="16" t="inlineStr">
        <is>
          <t>5.29-6.4</t>
        </is>
      </c>
      <c r="B4121" s="16" t="inlineStr">
        <is>
          <t>PO-128-02197976766073762</t>
        </is>
      </c>
      <c r="C4121" s="16" t="inlineStr">
        <is>
          <t>Delivered</t>
        </is>
      </c>
      <c r="D4121" s="16" t="inlineStr">
        <is>
          <t>128-02197979387513762</t>
        </is>
      </c>
      <c r="E4121" s="16" t="inlineStr">
        <is>
          <t>Delivered</t>
        </is>
      </c>
      <c r="F4121" s="16" t="inlineStr">
        <is>
          <t>KTS-1678N</t>
        </is>
      </c>
      <c r="G4121" s="16" t="inlineStr">
        <is>
          <t>Bocina portátil Inalámbrico, de 3 pulgadas, tamaño de bolsillo, 170 g, con asa, compatible con TF, USB y Micro SD, con radio FM y función TWS (True Wireless Stereo), adecuada para relajarse en casa o viajar al aire libre.</t>
        </is>
      </c>
      <c r="H4121" s="16" t="inlineStr">
        <is>
          <t>KTS-1678N</t>
        </is>
      </c>
      <c r="I4121" s="16" t="n">
        <v>1</v>
      </c>
      <c r="J4121" s="17" t="n">
        <v>40</v>
      </c>
      <c r="K4121" s="17" t="n">
        <v>53.89</v>
      </c>
      <c r="L4121" s="17" t="n">
        <v>25.86</v>
      </c>
      <c r="M4121" s="17" t="n">
        <v>0</v>
      </c>
      <c r="N4121" s="17">
        <f>K4121*0.08+L4121*0.08</f>
        <v/>
      </c>
      <c r="O4121" s="17">
        <f>-(K4121*0.025+L4121*0.025)</f>
        <v/>
      </c>
      <c r="P4121" s="17">
        <f>32</f>
        <v/>
      </c>
      <c r="Q4121" s="17">
        <f>J4121+L4121+N4121+O4121-P4121-M4121</f>
        <v/>
      </c>
    </row>
    <row r="4122">
      <c r="A4122" s="16" t="inlineStr">
        <is>
          <t>5.29-6.4</t>
        </is>
      </c>
      <c r="B4122" s="16" t="inlineStr">
        <is>
          <t>PO-128-02369895752312739</t>
        </is>
      </c>
      <c r="C4122" s="16" t="inlineStr">
        <is>
          <t>Delivered</t>
        </is>
      </c>
      <c r="D4122" s="16" t="inlineStr">
        <is>
          <t>128-02369900995192739</t>
        </is>
      </c>
      <c r="E4122" s="16" t="inlineStr">
        <is>
          <t>Delivered</t>
        </is>
      </c>
      <c r="F4122" s="16" t="inlineStr">
        <is>
          <t>VB347T</t>
        </is>
      </c>
      <c r="G412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122" s="16" t="inlineStr">
        <is>
          <t>1 pieza</t>
        </is>
      </c>
      <c r="I4122" s="16" t="n">
        <v>1</v>
      </c>
      <c r="J4122" s="17" t="n">
        <v>77.90000000000001</v>
      </c>
      <c r="K4122" s="17" t="n">
        <v>92.5</v>
      </c>
      <c r="L4122" s="17" t="n">
        <v>25.86</v>
      </c>
      <c r="M4122" s="17" t="n">
        <v>0</v>
      </c>
      <c r="N4122" s="17">
        <f>K4122*0.08+L4122*0.08</f>
        <v/>
      </c>
      <c r="O4122" s="17">
        <f>-(K4122*0.025+L4122*0.025)</f>
        <v/>
      </c>
      <c r="P4122" s="17">
        <f>32</f>
        <v/>
      </c>
      <c r="Q4122" s="17">
        <f>J4122+L4122+N4122+O4122-P4122-M4122</f>
        <v/>
      </c>
    </row>
    <row r="4123">
      <c r="A4123" s="16" t="inlineStr">
        <is>
          <t>5.29-6.4</t>
        </is>
      </c>
      <c r="B4123" s="16" t="inlineStr">
        <is>
          <t>PO-128-02353358730872901</t>
        </is>
      </c>
      <c r="C4123" s="16" t="inlineStr">
        <is>
          <t>Delivered</t>
        </is>
      </c>
      <c r="D4123" s="16" t="inlineStr">
        <is>
          <t>128-02353363973752901</t>
        </is>
      </c>
      <c r="E4123" s="16" t="inlineStr">
        <is>
          <t>Delivered</t>
        </is>
      </c>
      <c r="F4123" s="16" t="inlineStr">
        <is>
          <t>MB-185R</t>
        </is>
      </c>
      <c r="G4123" s="16" t="inlineStr">
        <is>
          <t>Bocina Radio FM/Reproductor, Compatible con Tarjeta TF, USB, Bluetooth, Aplicable para celular, computadora, Ipad y consola.</t>
        </is>
      </c>
      <c r="H4123" s="16" t="inlineStr">
        <is>
          <t>ROJO/MB-185</t>
        </is>
      </c>
      <c r="I4123" s="16" t="n">
        <v>1</v>
      </c>
      <c r="J4123" s="17" t="n">
        <v>71.31</v>
      </c>
      <c r="K4123" s="17" t="n">
        <v>84.23999999999999</v>
      </c>
      <c r="L4123" s="17" t="n">
        <v>25.86</v>
      </c>
      <c r="M4123" s="17" t="n">
        <v>0</v>
      </c>
      <c r="N4123" s="17">
        <f>K4123*0.08+L4123*0.08</f>
        <v/>
      </c>
      <c r="O4123" s="17">
        <f>-(K4123*0.025+L4123*0.025)</f>
        <v/>
      </c>
      <c r="P4123" s="17">
        <f>32</f>
        <v/>
      </c>
      <c r="Q4123" s="17">
        <f>J4123+L4123+N4123+O4123-P4123-M4123</f>
        <v/>
      </c>
    </row>
    <row r="4124">
      <c r="A4124" s="16" t="inlineStr">
        <is>
          <t>5.29-6.4</t>
        </is>
      </c>
      <c r="B4124" s="16" t="inlineStr">
        <is>
          <t>PO-128-02586816993910420</t>
        </is>
      </c>
      <c r="C4124" s="16" t="inlineStr">
        <is>
          <t>Delivered</t>
        </is>
      </c>
      <c r="D4124" s="16" t="inlineStr">
        <is>
          <t>128-02586837965430420</t>
        </is>
      </c>
      <c r="E4124" s="16" t="inlineStr">
        <is>
          <t>Delivered</t>
        </is>
      </c>
      <c r="F4124" s="16" t="inlineStr">
        <is>
          <t>LB02235-negro</t>
        </is>
      </c>
      <c r="G4124" s="16" t="inlineStr">
        <is>
          <t>Audífonos Inalámbricos para la Cabeza, Recargables y Multifuncionales - Conectan a Varios Dispositivos, soportan Radio FM, Tarjeta TF y AUX - 4 Horas de Reproducción Musical - Ideal para Trabajo Cotidiano, Juegos y Estudio</t>
        </is>
      </c>
      <c r="H4124" s="16" t="inlineStr">
        <is>
          <t>NEGRO</t>
        </is>
      </c>
      <c r="I4124" s="16" t="n">
        <v>1</v>
      </c>
      <c r="J4124" s="17" t="n">
        <v>35</v>
      </c>
      <c r="K4124" s="17" t="n">
        <v>48.11</v>
      </c>
      <c r="L4124" s="17" t="n">
        <v>25.86</v>
      </c>
      <c r="M4124" s="17" t="n">
        <v>0</v>
      </c>
      <c r="N4124" s="17">
        <f>K4124*0.08+L4124*0.08</f>
        <v/>
      </c>
      <c r="O4124" s="17">
        <f>-(K4124*0.025+L4124*0.025)</f>
        <v/>
      </c>
      <c r="P4124" s="17">
        <f>32</f>
        <v/>
      </c>
      <c r="Q4124" s="17">
        <f>J4124+L4124+N4124+O4124-P4124-M4124</f>
        <v/>
      </c>
    </row>
    <row r="4125">
      <c r="A4125" s="16" t="inlineStr">
        <is>
          <t>5.29-6.4</t>
        </is>
      </c>
      <c r="B4125" s="16" t="inlineStr">
        <is>
          <t>PO-128-02267036682872390</t>
        </is>
      </c>
      <c r="C4125" s="16" t="inlineStr">
        <is>
          <t>Delivered</t>
        </is>
      </c>
      <c r="D4125" s="16" t="inlineStr">
        <is>
          <t>128-02267089111672390</t>
        </is>
      </c>
      <c r="E4125" s="16" t="inlineStr">
        <is>
          <t>Delivered</t>
        </is>
      </c>
      <c r="F4125" s="16" t="inlineStr">
        <is>
          <t>MB-178-N</t>
        </is>
      </c>
      <c r="G4125" s="16" t="inlineStr">
        <is>
          <t>Bocina de Barra Bluetooth LINK BITS con dos altavoces, sonido de alta calidad y multifuncional (Bluetooth, Radio FM, USB, TF, AUX, TWS), ideal para juegos, reuniones, oficina y cine en casa.</t>
        </is>
      </c>
      <c r="H4125" s="16" t="inlineStr">
        <is>
          <t>NEGRO</t>
        </is>
      </c>
      <c r="I4125" s="16" t="n">
        <v>1</v>
      </c>
      <c r="J4125" s="17" t="n">
        <v>120</v>
      </c>
      <c r="K4125" s="17" t="n">
        <v>139.34</v>
      </c>
      <c r="L4125" s="17" t="n">
        <v>25.86</v>
      </c>
      <c r="M4125" s="17" t="n">
        <v>0</v>
      </c>
      <c r="N4125" s="17">
        <f>K4125*0.08+L4125*0.08</f>
        <v/>
      </c>
      <c r="O4125" s="17">
        <f>-(K4125*0.025+L4125*0.025)</f>
        <v/>
      </c>
      <c r="P4125" s="17">
        <f>32</f>
        <v/>
      </c>
      <c r="Q4125" s="17">
        <f>J4125+L4125+N4125+O4125-P4125-M4125</f>
        <v/>
      </c>
    </row>
    <row r="4126">
      <c r="A4126" s="16" t="inlineStr">
        <is>
          <t>5.29-6.4</t>
        </is>
      </c>
      <c r="B4126" s="16" t="inlineStr">
        <is>
          <t>PO-128-02372937257592721</t>
        </is>
      </c>
      <c r="C4126" s="16" t="inlineStr">
        <is>
          <t>Delivered</t>
        </is>
      </c>
      <c r="D4126" s="16" t="inlineStr">
        <is>
          <t>128-02372895314552721</t>
        </is>
      </c>
      <c r="E4126" s="16" t="inlineStr">
        <is>
          <t>Delivered</t>
        </is>
      </c>
      <c r="F4126" s="16" t="inlineStr">
        <is>
          <t>VA880T</t>
        </is>
      </c>
      <c r="G412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126" s="16" t="inlineStr">
        <is>
          <t>1 pieza</t>
        </is>
      </c>
      <c r="I4126" s="16" t="n">
        <v>3</v>
      </c>
      <c r="J4126" s="17" t="n">
        <v>339</v>
      </c>
      <c r="K4126" s="17" t="n">
        <v>375.87</v>
      </c>
      <c r="L4126" s="17" t="n">
        <v>0</v>
      </c>
      <c r="M4126" s="17" t="n">
        <v>0</v>
      </c>
      <c r="N4126" s="17">
        <f>K4126*0.08+L4126*0.08</f>
        <v/>
      </c>
      <c r="O4126" s="17">
        <f>-(K4126*0.025+L4126*0.025)</f>
        <v/>
      </c>
      <c r="P4126" s="17">
        <f>32</f>
        <v/>
      </c>
      <c r="Q4126" s="17">
        <f>J4126+L4126+N4126+O4126-P4126-M4126</f>
        <v/>
      </c>
    </row>
    <row r="4127">
      <c r="A4127" s="16" t="inlineStr">
        <is>
          <t>5.29-6.4</t>
        </is>
      </c>
      <c r="B4127" s="16" t="inlineStr">
        <is>
          <t>PO-128-02557196954231556</t>
        </is>
      </c>
      <c r="C4127" s="16" t="inlineStr">
        <is>
          <t>Delivered</t>
        </is>
      </c>
      <c r="D4127" s="16" t="inlineStr">
        <is>
          <t>128-02557312297591556</t>
        </is>
      </c>
      <c r="E4127" s="16" t="inlineStr">
        <is>
          <t>Delivered</t>
        </is>
      </c>
      <c r="F4127" s="16" t="inlineStr">
        <is>
          <t>KTS-1678R</t>
        </is>
      </c>
      <c r="G4127" s="16" t="inlineStr">
        <is>
          <t>Bocina portátil Inalámbrico, de 3 pulgadas, tamaño de bolsillo, 170 g, con asa, compatible con TF, USB y Micro SD, con radio FM y función TWS (True Wireless Stereo), adecuada para relajarse en casa o viajar al aire libre.</t>
        </is>
      </c>
      <c r="H4127" s="16" t="inlineStr">
        <is>
          <t>KTS-1678R</t>
        </is>
      </c>
      <c r="I4127" s="16" t="n">
        <v>1</v>
      </c>
      <c r="J4127" s="17" t="n">
        <v>40</v>
      </c>
      <c r="K4127" s="17" t="n">
        <v>69.41</v>
      </c>
      <c r="L4127" s="17" t="n">
        <v>0</v>
      </c>
      <c r="M4127" s="17" t="n">
        <v>0</v>
      </c>
      <c r="N4127" s="17">
        <f>K4127*0.08+L4127*0.08</f>
        <v/>
      </c>
      <c r="O4127" s="17">
        <f>-(K4127*0.025+L4127*0.025)</f>
        <v/>
      </c>
      <c r="P4127" s="17">
        <f>32</f>
        <v/>
      </c>
      <c r="Q4127" s="17">
        <f>J4127+L4127+N4127+O4127-P4127-M4127</f>
        <v/>
      </c>
    </row>
    <row r="4128">
      <c r="A4128" s="16" t="inlineStr">
        <is>
          <t>5.29-6.4</t>
        </is>
      </c>
      <c r="B4128" s="16" t="inlineStr">
        <is>
          <t>PO-128-02557196954231556</t>
        </is>
      </c>
      <c r="C4128" s="16" t="inlineStr">
        <is>
          <t>Delivered</t>
        </is>
      </c>
      <c r="D4128" s="16" t="inlineStr">
        <is>
          <t>128-02557228411511556</t>
        </is>
      </c>
      <c r="E4128" s="16" t="inlineStr">
        <is>
          <t>Delivered</t>
        </is>
      </c>
      <c r="F4128" s="16" t="inlineStr">
        <is>
          <t>KTS-1678A</t>
        </is>
      </c>
      <c r="G4128" s="16" t="inlineStr">
        <is>
          <t>Bocina portátil Inalámbrico, de 3 pulgadas, tamaño de bolsillo, 170 g, con asa, compatible con TF, USB y Micro SD, con radio FM y función TWS (True Wireless Stereo), adecuada para relajarse en casa o viajar al aire libre.</t>
        </is>
      </c>
      <c r="H4128" s="16" t="inlineStr">
        <is>
          <t>KTS-1678A</t>
        </is>
      </c>
      <c r="I4128" s="16" t="n">
        <v>2</v>
      </c>
      <c r="J4128" s="17" t="n">
        <v>80</v>
      </c>
      <c r="K4128" s="17" t="n">
        <v>107.78</v>
      </c>
      <c r="L4128" s="17" t="n">
        <v>0</v>
      </c>
      <c r="M4128" s="17" t="n">
        <v>0</v>
      </c>
      <c r="N4128" s="17">
        <f>K4128*0.08+L4128*0.08</f>
        <v/>
      </c>
      <c r="O4128" s="17">
        <f>-(K4128*0.025+L4128*0.025)</f>
        <v/>
      </c>
      <c r="P4128" s="17">
        <f>32</f>
        <v/>
      </c>
      <c r="Q4128" s="17">
        <f>J4128+L4128+N4128+O4128-P4128-M4128</f>
        <v/>
      </c>
    </row>
    <row r="4129">
      <c r="A4129" s="16" t="inlineStr">
        <is>
          <t>5.29-6.4</t>
        </is>
      </c>
      <c r="B4129" s="16" t="inlineStr">
        <is>
          <t>PO-128-02557196954231556</t>
        </is>
      </c>
      <c r="C4129" s="16" t="inlineStr">
        <is>
          <t>Delivered</t>
        </is>
      </c>
      <c r="D4129" s="16" t="inlineStr">
        <is>
          <t>128-02557333269111556</t>
        </is>
      </c>
      <c r="E4129" s="16" t="inlineStr">
        <is>
          <t>Delivered</t>
        </is>
      </c>
      <c r="F4129" s="16" t="inlineStr">
        <is>
          <t>KTS-1678V</t>
        </is>
      </c>
      <c r="G4129" s="16" t="inlineStr">
        <is>
          <t>Bocina portátil Inalámbrico, de 3 pulgadas, tamaño de bolsillo, 170 g, con asa, compatible con TF, USB y Micro SD, con radio FM y función TWS (True Wireless Stereo), adecuada para relajarse en casa o viajar al aire libre.</t>
        </is>
      </c>
      <c r="H4129" s="16" t="inlineStr">
        <is>
          <t>KTS-1678V</t>
        </is>
      </c>
      <c r="I4129" s="16" t="n">
        <v>1</v>
      </c>
      <c r="J4129" s="17" t="n">
        <v>40</v>
      </c>
      <c r="K4129" s="17" t="n">
        <v>53.89</v>
      </c>
      <c r="L4129" s="17" t="n">
        <v>0</v>
      </c>
      <c r="M4129" s="17" t="n">
        <v>0</v>
      </c>
      <c r="N4129" s="17">
        <f>K4129*0.08+L4129*0.08</f>
        <v/>
      </c>
      <c r="O4129" s="17">
        <f>-(K4129*0.025+L4129*0.025)</f>
        <v/>
      </c>
      <c r="P4129" s="17">
        <f>32</f>
        <v/>
      </c>
      <c r="Q4129" s="17">
        <f>J4129+L4129+N4129+O4129-P4129-M4129</f>
        <v/>
      </c>
    </row>
    <row r="4130">
      <c r="A4130" s="16" t="inlineStr">
        <is>
          <t>5.29-6.4</t>
        </is>
      </c>
      <c r="B4130" s="16" t="inlineStr">
        <is>
          <t>PO-128-02557196954231556</t>
        </is>
      </c>
      <c r="C4130" s="16" t="inlineStr">
        <is>
          <t>Delivered</t>
        </is>
      </c>
      <c r="D4130" s="16" t="inlineStr">
        <is>
          <t>128-02557291326071556</t>
        </is>
      </c>
      <c r="E4130" s="16" t="inlineStr">
        <is>
          <t>Delivered</t>
        </is>
      </c>
      <c r="F4130" s="16" t="inlineStr">
        <is>
          <t>KTS-1678Y</t>
        </is>
      </c>
      <c r="G4130" s="16" t="inlineStr">
        <is>
          <t>Bocina portátil Inalámbrico, de 3 pulgadas, tamaño de bolsillo, 170 g, con asa, compatible con TF, USB y Micro SD, con radio FM y función TWS (True Wireless Stereo), adecuada para relajarse en casa o viajar al aire libre.</t>
        </is>
      </c>
      <c r="H4130" s="16" t="inlineStr">
        <is>
          <t>KTS-1678Y</t>
        </is>
      </c>
      <c r="I4130" s="16" t="n">
        <v>1</v>
      </c>
      <c r="J4130" s="17" t="n">
        <v>40</v>
      </c>
      <c r="K4130" s="17" t="n">
        <v>53.89</v>
      </c>
      <c r="L4130" s="17" t="n">
        <v>0</v>
      </c>
      <c r="M4130" s="17" t="n">
        <v>0</v>
      </c>
      <c r="N4130" s="17">
        <f>K4130*0.08+L4130*0.08</f>
        <v/>
      </c>
      <c r="O4130" s="17">
        <f>-(K4130*0.025+L4130*0.025)</f>
        <v/>
      </c>
      <c r="P4130" s="17">
        <f>32</f>
        <v/>
      </c>
      <c r="Q4130" s="17">
        <f>J4130+L4130+N4130+O4130-P4130-M4130</f>
        <v/>
      </c>
    </row>
    <row r="4131">
      <c r="A4131" s="16" t="inlineStr">
        <is>
          <t>5.29-6.4</t>
        </is>
      </c>
      <c r="B4131" s="16" t="inlineStr">
        <is>
          <t>PO-128-02557196954231556</t>
        </is>
      </c>
      <c r="C4131" s="16" t="inlineStr">
        <is>
          <t>Delivered</t>
        </is>
      </c>
      <c r="D4131" s="16" t="inlineStr">
        <is>
          <t>128-02557249383031556</t>
        </is>
      </c>
      <c r="E4131" s="16" t="inlineStr">
        <is>
          <t>Delivered</t>
        </is>
      </c>
      <c r="F4131" s="16" t="inlineStr">
        <is>
          <t>KTS-1678N</t>
        </is>
      </c>
      <c r="G4131" s="16" t="inlineStr">
        <is>
          <t>Bocina portátil Inalámbrico, de 3 pulgadas, tamaño de bolsillo, 170 g, con asa, compatible con TF, USB y Micro SD, con radio FM y función TWS (True Wireless Stereo), adecuada para relajarse en casa o viajar al aire libre.</t>
        </is>
      </c>
      <c r="H4131" s="16" t="inlineStr">
        <is>
          <t>KTS-1678N</t>
        </is>
      </c>
      <c r="I4131" s="16" t="n">
        <v>2</v>
      </c>
      <c r="J4131" s="17" t="n">
        <v>80</v>
      </c>
      <c r="K4131" s="17" t="n">
        <v>107.78</v>
      </c>
      <c r="L4131" s="17" t="n">
        <v>0</v>
      </c>
      <c r="M4131" s="17" t="n">
        <v>0</v>
      </c>
      <c r="N4131" s="17">
        <f>K4131*0.08+L4131*0.08</f>
        <v/>
      </c>
      <c r="O4131" s="17">
        <f>-(K4131*0.025+L4131*0.025)</f>
        <v/>
      </c>
      <c r="P4131" s="17">
        <f>32</f>
        <v/>
      </c>
      <c r="Q4131" s="17">
        <f>J4131+L4131+N4131+O4131-P4131-M4131</f>
        <v/>
      </c>
    </row>
    <row r="4132">
      <c r="A4132" s="16" t="inlineStr">
        <is>
          <t>5.29-6.4</t>
        </is>
      </c>
      <c r="B4132" s="16" t="inlineStr">
        <is>
          <t>PO-128-02597573059190484</t>
        </is>
      </c>
      <c r="C4132" s="16" t="inlineStr">
        <is>
          <t>Delivered</t>
        </is>
      </c>
      <c r="D4132" s="16" t="inlineStr">
        <is>
          <t>128-02597583544950484</t>
        </is>
      </c>
      <c r="E4132" s="16" t="inlineStr">
        <is>
          <t>Delivered</t>
        </is>
      </c>
      <c r="F4132" s="16" t="inlineStr">
        <is>
          <t>VA384T-G</t>
        </is>
      </c>
      <c r="G4132" s="16" t="inlineStr">
        <is>
          <t>Bocina Portátil Bluetooth de 3 Pulgadas con Radio FM, USB TF TWS, Sonido Estéreo 5W, Bocina Recargable para Hogar Exterior Viaje Fiesta Camping</t>
        </is>
      </c>
      <c r="H4132" s="16" t="inlineStr">
        <is>
          <t>GRIS</t>
        </is>
      </c>
      <c r="I4132" s="16" t="n">
        <v>1</v>
      </c>
      <c r="J4132" s="17" t="n">
        <v>46</v>
      </c>
      <c r="K4132" s="17" t="n">
        <v>56.72</v>
      </c>
      <c r="L4132" s="17" t="n">
        <v>25.86</v>
      </c>
      <c r="M4132" s="17" t="n">
        <v>0</v>
      </c>
      <c r="N4132" s="17">
        <f>K4132*0.08+L4132*0.08</f>
        <v/>
      </c>
      <c r="O4132" s="17">
        <f>-(K4132*0.025+L4132*0.025)</f>
        <v/>
      </c>
      <c r="P4132" s="17">
        <f>32</f>
        <v/>
      </c>
      <c r="Q4132" s="17">
        <f>J4132+L4132+N4132+O4132-P4132-M4132</f>
        <v/>
      </c>
    </row>
    <row r="4133">
      <c r="A4133" s="16" t="inlineStr">
        <is>
          <t>5.29-6.4</t>
        </is>
      </c>
      <c r="B4133" s="16" t="inlineStr">
        <is>
          <t>PO-128-02218776167033638</t>
        </is>
      </c>
      <c r="C4133" s="16" t="inlineStr">
        <is>
          <t>Delivered</t>
        </is>
      </c>
      <c r="D4133" s="16" t="inlineStr">
        <is>
          <t>128-02218734223993638</t>
        </is>
      </c>
      <c r="E4133" s="16" t="inlineStr">
        <is>
          <t>Delivered</t>
        </is>
      </c>
      <c r="F4133" s="16" t="inlineStr">
        <is>
          <t>FA028</t>
        </is>
      </c>
      <c r="G4133" s="16" t="inlineStr">
        <is>
          <t>Extractor de agua para garrafas de agua, compatible con carga USB, extractor de agua automático, práctico, con dos modos de toma de agua: manual y programado, ideal para dormitorios, salones, oficinas, uso al aire libre y otros escenarios.</t>
        </is>
      </c>
      <c r="H4133" s="16" t="inlineStr">
        <is>
          <t>FA028</t>
        </is>
      </c>
      <c r="I4133" s="16" t="n">
        <v>1</v>
      </c>
      <c r="J4133" s="17" t="n">
        <v>30.99</v>
      </c>
      <c r="K4133" s="17" t="n">
        <v>40.56</v>
      </c>
      <c r="L4133" s="17" t="n">
        <v>25.86</v>
      </c>
      <c r="M4133" s="17" t="n">
        <v>0</v>
      </c>
      <c r="N4133" s="17">
        <f>K4133*0.08+L4133*0.08</f>
        <v/>
      </c>
      <c r="O4133" s="17">
        <f>-(K4133*0.025+L4133*0.025)</f>
        <v/>
      </c>
      <c r="P4133" s="17">
        <f>32</f>
        <v/>
      </c>
      <c r="Q4133" s="17">
        <f>J4133+L4133+N4133+O4133-P4133-M4133</f>
        <v/>
      </c>
    </row>
    <row r="4134">
      <c r="A4134" s="16" t="inlineStr">
        <is>
          <t>5.29-6.4</t>
        </is>
      </c>
      <c r="B4134" s="16" t="inlineStr">
        <is>
          <t>PO-128-02671160392310943</t>
        </is>
      </c>
      <c r="C4134" s="16" t="inlineStr">
        <is>
          <t>Delivered</t>
        </is>
      </c>
      <c r="D4134" s="16" t="inlineStr">
        <is>
          <t>128-02671128935030943</t>
        </is>
      </c>
      <c r="E4134" s="16" t="inlineStr">
        <is>
          <t>Delivered</t>
        </is>
      </c>
      <c r="F4134" s="16" t="inlineStr">
        <is>
          <t>LB02235-rojo</t>
        </is>
      </c>
      <c r="G4134" s="16" t="inlineStr">
        <is>
          <t>Audífonos Inalámbricos para la Cabeza, Recargables y Multifuncionales - Conectan a Varios Dispositivos, soportan Radio FM, Tarjeta TF y AUX - 4 Horas de Reproducción Musical - Ideal para Trabajo Cotidiano, Juegos y Estudio</t>
        </is>
      </c>
      <c r="H4134" s="16" t="inlineStr">
        <is>
          <t>ROJO</t>
        </is>
      </c>
      <c r="I4134" s="16" t="n">
        <v>1</v>
      </c>
      <c r="J4134" s="17" t="n">
        <v>35</v>
      </c>
      <c r="K4134" s="17" t="n">
        <v>48.11</v>
      </c>
      <c r="L4134" s="17" t="n">
        <v>13.66</v>
      </c>
      <c r="M4134" s="17" t="n">
        <v>0</v>
      </c>
      <c r="N4134" s="17">
        <f>K4134*0.08+L4134*0.08</f>
        <v/>
      </c>
      <c r="O4134" s="17">
        <f>-(K4134*0.025+L4134*0.025)</f>
        <v/>
      </c>
      <c r="P4134" s="17">
        <f>32</f>
        <v/>
      </c>
      <c r="Q4134" s="17">
        <f>J4134+L4134+N4134+O4134-P4134-M4134</f>
        <v/>
      </c>
    </row>
    <row r="4135">
      <c r="A4135" s="16" t="inlineStr">
        <is>
          <t>5.29-6.4</t>
        </is>
      </c>
      <c r="B4135" s="16" t="inlineStr">
        <is>
          <t>PO-128-02671160392310943</t>
        </is>
      </c>
      <c r="C4135" s="16" t="inlineStr">
        <is>
          <t>Delivered</t>
        </is>
      </c>
      <c r="D4135" s="16" t="inlineStr">
        <is>
          <t>128-02671118449270943</t>
        </is>
      </c>
      <c r="E4135" s="16" t="inlineStr">
        <is>
          <t>Delivered</t>
        </is>
      </c>
      <c r="F4135" s="16" t="inlineStr">
        <is>
          <t>LB02235-azul</t>
        </is>
      </c>
      <c r="G4135" s="16" t="inlineStr">
        <is>
          <t>Audífonos Inalámbricos para la Cabeza, Recargables y Multifuncionales - Conectan a Varios Dispositivos, soportan Radio FM, Tarjeta TF y AUX - 4 Horas de Reproducción Musical - Ideal para Trabajo Cotidiano, Juegos y Estudio</t>
        </is>
      </c>
      <c r="H4135" s="16" t="inlineStr">
        <is>
          <t>AZUL</t>
        </is>
      </c>
      <c r="I4135" s="16" t="n">
        <v>1</v>
      </c>
      <c r="J4135" s="17" t="n">
        <v>29.9</v>
      </c>
      <c r="K4135" s="17" t="n">
        <v>43.01</v>
      </c>
      <c r="L4135" s="17" t="n">
        <v>12.2</v>
      </c>
      <c r="M4135" s="17" t="n">
        <v>0</v>
      </c>
      <c r="N4135" s="17">
        <f>K4135*0.08+L4135*0.08</f>
        <v/>
      </c>
      <c r="O4135" s="17">
        <f>-(K4135*0.025+L4135*0.025)</f>
        <v/>
      </c>
      <c r="P4135" s="17">
        <f>32</f>
        <v/>
      </c>
      <c r="Q4135" s="17">
        <f>J4135+L4135+N4135+O4135-P4135-M4135</f>
        <v/>
      </c>
    </row>
    <row r="4136">
      <c r="A4136" s="16" t="inlineStr">
        <is>
          <t>5.29-6.4</t>
        </is>
      </c>
      <c r="B4136" s="16" t="inlineStr">
        <is>
          <t>PO-128-02212203704953615</t>
        </is>
      </c>
      <c r="C4136" s="16" t="inlineStr">
        <is>
          <t>Delivered</t>
        </is>
      </c>
      <c r="D4136" s="16" t="inlineStr">
        <is>
          <t>128-02212161761913615</t>
        </is>
      </c>
      <c r="E4136" s="16" t="inlineStr">
        <is>
          <t>Delivered</t>
        </is>
      </c>
      <c r="F4136" s="16" t="inlineStr">
        <is>
          <t>LB02235-negro</t>
        </is>
      </c>
      <c r="G4136" s="16" t="inlineStr">
        <is>
          <t>Audífonos Inalámbricos para la Cabeza, Recargables y Multifuncionales - Conectan a Varios Dispositivos, soportan Radio FM, Tarjeta TF y AUX - 4 Horas de Reproducción Musical - Ideal para Trabajo Cotidiano, Juegos y Estudio</t>
        </is>
      </c>
      <c r="H4136" s="16" t="inlineStr">
        <is>
          <t>NEGRO</t>
        </is>
      </c>
      <c r="I4136" s="16" t="n">
        <v>1</v>
      </c>
      <c r="J4136" s="17" t="n">
        <v>35</v>
      </c>
      <c r="K4136" s="17" t="n">
        <v>48.11</v>
      </c>
      <c r="L4136" s="17" t="n">
        <v>25.86</v>
      </c>
      <c r="M4136" s="17" t="n">
        <v>0</v>
      </c>
      <c r="N4136" s="17">
        <f>K4136*0.08+L4136*0.08</f>
        <v/>
      </c>
      <c r="O4136" s="17">
        <f>-(K4136*0.025+L4136*0.025)</f>
        <v/>
      </c>
      <c r="P4136" s="17">
        <f>32</f>
        <v/>
      </c>
      <c r="Q4136" s="17">
        <f>J4136+L4136+N4136+O4136-P4136-M4136</f>
        <v/>
      </c>
    </row>
    <row r="4137">
      <c r="A4137" s="16" t="inlineStr">
        <is>
          <t>5.29-6.4</t>
        </is>
      </c>
      <c r="B4137" s="16" t="inlineStr">
        <is>
          <t>PO-128-02472867809911037</t>
        </is>
      </c>
      <c r="C4137" s="16" t="inlineStr">
        <is>
          <t>Delivered</t>
        </is>
      </c>
      <c r="D4137" s="16" t="inlineStr">
        <is>
          <t>128-02472877312631037</t>
        </is>
      </c>
      <c r="E4137" s="16" t="inlineStr">
        <is>
          <t>Delivered</t>
        </is>
      </c>
      <c r="F4137" s="16" t="inlineStr">
        <is>
          <t>LB02235-azul</t>
        </is>
      </c>
      <c r="G4137" s="16" t="inlineStr">
        <is>
          <t>Audífonos Inalámbricos para la Cabeza, Recargables y Multifuncionales - Conectan a Varios Dispositivos, soportan Radio FM, Tarjeta TF y AUX - 4 Horas de Reproducción Musical - Ideal para Trabajo Cotidiano, Juegos y Estudio</t>
        </is>
      </c>
      <c r="H4137" s="16" t="inlineStr">
        <is>
          <t>AZUL</t>
        </is>
      </c>
      <c r="I4137" s="16" t="n">
        <v>1</v>
      </c>
      <c r="J4137" s="17" t="n">
        <v>29.9</v>
      </c>
      <c r="K4137" s="17" t="n">
        <v>36.56</v>
      </c>
      <c r="L4137" s="17" t="n">
        <v>25.86</v>
      </c>
      <c r="M4137" s="17" t="n">
        <v>0</v>
      </c>
      <c r="N4137" s="17">
        <f>K4137*0.08+L4137*0.08</f>
        <v/>
      </c>
      <c r="O4137" s="17">
        <f>-(K4137*0.025+L4137*0.025)</f>
        <v/>
      </c>
      <c r="P4137" s="17">
        <f>32</f>
        <v/>
      </c>
      <c r="Q4137" s="17">
        <f>J4137+L4137+N4137+O4137-P4137-M4137</f>
        <v/>
      </c>
    </row>
    <row r="4138">
      <c r="A4138" s="16" t="inlineStr">
        <is>
          <t>5.29-6.4</t>
        </is>
      </c>
      <c r="B4138" s="16" t="inlineStr">
        <is>
          <t>PO-128-02676116644470976</t>
        </is>
      </c>
      <c r="C4138" s="16" t="inlineStr">
        <is>
          <t>Delivered</t>
        </is>
      </c>
      <c r="D4138" s="16" t="inlineStr">
        <is>
          <t>128-02676095672950976</t>
        </is>
      </c>
      <c r="E4138" s="16" t="inlineStr">
        <is>
          <t>Delivered</t>
        </is>
      </c>
      <c r="F4138" s="16" t="inlineStr">
        <is>
          <t>LB02235-azul</t>
        </is>
      </c>
      <c r="G4138" s="16" t="inlineStr">
        <is>
          <t>Audífonos Inalámbricos para la Cabeza, Recargables y Multifuncionales - Conectan a Varios Dispositivos, soportan Radio FM, Tarjeta TF y AUX - 4 Horas de Reproducción Musical - Ideal para Trabajo Cotidiano, Juegos y Estudio</t>
        </is>
      </c>
      <c r="H4138" s="16" t="inlineStr">
        <is>
          <t>AZUL</t>
        </is>
      </c>
      <c r="I4138" s="16" t="n">
        <v>1</v>
      </c>
      <c r="J4138" s="17" t="n">
        <v>29.9</v>
      </c>
      <c r="K4138" s="17" t="n">
        <v>43.01</v>
      </c>
      <c r="L4138" s="17" t="n">
        <v>25.86</v>
      </c>
      <c r="M4138" s="17" t="n">
        <v>0</v>
      </c>
      <c r="N4138" s="17">
        <f>K4138*0.08+L4138*0.08</f>
        <v/>
      </c>
      <c r="O4138" s="17">
        <f>-(K4138*0.025+L4138*0.025)</f>
        <v/>
      </c>
      <c r="P4138" s="17">
        <f>32</f>
        <v/>
      </c>
      <c r="Q4138" s="17">
        <f>J4138+L4138+N4138+O4138-P4138-M4138</f>
        <v/>
      </c>
    </row>
    <row r="4139">
      <c r="A4139" s="16" t="inlineStr">
        <is>
          <t>5.29-6.4</t>
        </is>
      </c>
      <c r="B4139" s="16" t="inlineStr">
        <is>
          <t>PO-128-21828339840630421</t>
        </is>
      </c>
      <c r="C4139" s="16" t="inlineStr">
        <is>
          <t>Delivered</t>
        </is>
      </c>
      <c r="D4139" s="16" t="inlineStr">
        <is>
          <t>128-21828387026550421</t>
        </is>
      </c>
      <c r="E4139" s="16" t="inlineStr">
        <is>
          <t>Delivered</t>
        </is>
      </c>
      <c r="F4139" s="16" t="inlineStr">
        <is>
          <t>MCM-001G</t>
        </is>
      </c>
      <c r="G4139" s="16" t="inlineStr">
        <is>
          <t>Musicord Altavoz Inalámbrico BT Portátil: ¡Sonido impactante, luces LED multicolores y 4 horas de autonomía! Compatible con TWS, FM, TF y USB – Imprescindible para fiestas y viajes</t>
        </is>
      </c>
      <c r="H4139" s="16" t="inlineStr">
        <is>
          <t>GRIS</t>
        </is>
      </c>
      <c r="I4139" s="16" t="n">
        <v>1</v>
      </c>
      <c r="J4139" s="17" t="n">
        <v>51</v>
      </c>
      <c r="K4139" s="17" t="n">
        <v>58.79</v>
      </c>
      <c r="L4139" s="17" t="n">
        <v>25.86</v>
      </c>
      <c r="M4139" s="17" t="n">
        <v>0</v>
      </c>
      <c r="N4139" s="17">
        <f>K4139*0.08+L4139*0.08</f>
        <v/>
      </c>
      <c r="O4139" s="17">
        <f>-(K4139*0.025+L4139*0.025)</f>
        <v/>
      </c>
      <c r="P4139" s="17">
        <f>32</f>
        <v/>
      </c>
      <c r="Q4139" s="17">
        <f>J4139+L4139+N4139+O4139-P4139-M4139</f>
        <v/>
      </c>
    </row>
    <row r="4140">
      <c r="A4140" s="16" t="inlineStr">
        <is>
          <t>5.29-6.4</t>
        </is>
      </c>
      <c r="B4140" s="16" t="inlineStr">
        <is>
          <t>PO-128-21422457385593929</t>
        </is>
      </c>
      <c r="C4140" s="16" t="inlineStr">
        <is>
          <t>Delivered</t>
        </is>
      </c>
      <c r="D4140" s="16" t="inlineStr">
        <is>
          <t>128-21422483599993929</t>
        </is>
      </c>
      <c r="E4140" s="16" t="inlineStr">
        <is>
          <t>Delivered</t>
        </is>
      </c>
      <c r="F4140" s="16" t="inlineStr">
        <is>
          <t>VA384T-N</t>
        </is>
      </c>
      <c r="G4140" s="16" t="inlineStr">
        <is>
          <t>Bocina Portátil Bluetooth de 3 Pulgadas con Radio FM, USB TF TWS, Sonido Estéreo 5W, Bocina Recargable para Hogar Exterior Viaje Fiesta Camping</t>
        </is>
      </c>
      <c r="H4140" s="16" t="inlineStr">
        <is>
          <t>NEGRO</t>
        </is>
      </c>
      <c r="I4140" s="16" t="n">
        <v>1</v>
      </c>
      <c r="J4140" s="17" t="n">
        <v>48</v>
      </c>
      <c r="K4140" s="17" t="n">
        <v>43.68</v>
      </c>
      <c r="L4140" s="17" t="n">
        <v>25.86</v>
      </c>
      <c r="M4140" s="17" t="n">
        <v>0</v>
      </c>
      <c r="N4140" s="17">
        <f>K4140*0.08+L4140*0.08</f>
        <v/>
      </c>
      <c r="O4140" s="17">
        <f>-(K4140*0.025+L4140*0.025)</f>
        <v/>
      </c>
      <c r="P4140" s="17">
        <f>32</f>
        <v/>
      </c>
      <c r="Q4140" s="17">
        <f>J4140+L4140+N4140+O4140-P4140-M4140</f>
        <v/>
      </c>
    </row>
    <row r="4141">
      <c r="A4141" s="16" t="inlineStr">
        <is>
          <t>5.29-6.4</t>
        </is>
      </c>
      <c r="B4141" s="16" t="inlineStr">
        <is>
          <t>PO-128-21745696282232000</t>
        </is>
      </c>
      <c r="C4141" s="16" t="inlineStr">
        <is>
          <t>Delivered</t>
        </is>
      </c>
      <c r="D4141" s="16" t="inlineStr">
        <is>
          <t>128-21745660892792000</t>
        </is>
      </c>
      <c r="E4141" s="16" t="inlineStr">
        <is>
          <t>Delivered</t>
        </is>
      </c>
      <c r="F4141" s="16" t="inlineStr">
        <is>
          <t>EM04W36-2PZS</t>
        </is>
      </c>
      <c r="G414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141" s="16" t="inlineStr">
        <is>
          <t>2 piezas</t>
        </is>
      </c>
      <c r="I4141" s="16" t="n">
        <v>1</v>
      </c>
      <c r="J4141" s="17" t="n">
        <v>124.8</v>
      </c>
      <c r="K4141" s="17" t="n">
        <v>142.34</v>
      </c>
      <c r="L4141" s="17" t="n">
        <v>25.86</v>
      </c>
      <c r="M4141" s="17" t="n">
        <v>0</v>
      </c>
      <c r="N4141" s="17">
        <f>K4141*0.08+L4141*0.08</f>
        <v/>
      </c>
      <c r="O4141" s="17">
        <f>-(K4141*0.025+L4141*0.025)</f>
        <v/>
      </c>
      <c r="P4141" s="17">
        <f>32</f>
        <v/>
      </c>
      <c r="Q4141" s="17">
        <f>J4141+L4141+N4141+O4141-P4141-M4141</f>
        <v/>
      </c>
    </row>
    <row r="4142">
      <c r="A4142" s="16" t="inlineStr">
        <is>
          <t>5.29-6.4</t>
        </is>
      </c>
      <c r="B4142" s="16" t="inlineStr">
        <is>
          <t>PO-128-21582390078072847</t>
        </is>
      </c>
      <c r="C4142" s="16" t="inlineStr">
        <is>
          <t>Delivered</t>
        </is>
      </c>
      <c r="D4142" s="16" t="inlineStr">
        <is>
          <t>128-21582526392952847</t>
        </is>
      </c>
      <c r="E4142" s="16" t="inlineStr">
        <is>
          <t>Delivered</t>
        </is>
      </c>
      <c r="F4142" s="16" t="inlineStr">
        <is>
          <t>LB02235-negro</t>
        </is>
      </c>
      <c r="G4142" s="16" t="inlineStr">
        <is>
          <t>Audífonos Inalámbricos para la Cabeza, Recargables y Multifuncionales - Conectan a Varios Dispositivos, soportan Radio FM, Tarjeta TF y AUX - 4 Horas de Reproducción Musical - Ideal para Trabajo Cotidiano, Juegos y Estudio</t>
        </is>
      </c>
      <c r="H4142" s="16" t="inlineStr">
        <is>
          <t>NEGRO</t>
        </is>
      </c>
      <c r="I4142" s="16" t="n">
        <v>1</v>
      </c>
      <c r="J4142" s="17" t="n">
        <v>35</v>
      </c>
      <c r="K4142" s="17" t="n">
        <v>33.68</v>
      </c>
      <c r="L4142" s="17" t="n">
        <v>25.86</v>
      </c>
      <c r="M4142" s="17" t="n">
        <v>0</v>
      </c>
      <c r="N4142" s="17">
        <f>K4142*0.08+L4142*0.08</f>
        <v/>
      </c>
      <c r="O4142" s="17">
        <f>-(K4142*0.025+L4142*0.025)</f>
        <v/>
      </c>
      <c r="P4142" s="17">
        <f>32</f>
        <v/>
      </c>
      <c r="Q4142" s="17">
        <f>J4142+L4142+N4142+O4142-P4142-M4142</f>
        <v/>
      </c>
    </row>
    <row r="4143">
      <c r="A4143" s="16" t="inlineStr">
        <is>
          <t>5.29-6.4</t>
        </is>
      </c>
      <c r="B4143" s="16" t="inlineStr">
        <is>
          <t>PO-128-21462864968313622</t>
        </is>
      </c>
      <c r="C4143" s="16" t="inlineStr">
        <is>
          <t>Delivered</t>
        </is>
      </c>
      <c r="D4143" s="16" t="inlineStr">
        <is>
          <t>128-21462885939833622</t>
        </is>
      </c>
      <c r="E4143" s="16" t="inlineStr">
        <is>
          <t>Delivered</t>
        </is>
      </c>
      <c r="F4143" s="16" t="inlineStr">
        <is>
          <t>LB02235-rojo</t>
        </is>
      </c>
      <c r="G4143" s="16" t="inlineStr">
        <is>
          <t>Audífonos Inalámbricos para la Cabeza, Recargables y Multifuncionales - Conectan a Varios Dispositivos, soportan Radio FM, Tarjeta TF y AUX - 4 Horas de Reproducción Musical - Ideal para Trabajo Cotidiano, Juegos y Estudio</t>
        </is>
      </c>
      <c r="H4143" s="16" t="inlineStr">
        <is>
          <t>ROJO</t>
        </is>
      </c>
      <c r="I4143" s="16" t="n">
        <v>3</v>
      </c>
      <c r="J4143" s="17" t="n">
        <v>105</v>
      </c>
      <c r="K4143" s="17" t="n">
        <v>122.67</v>
      </c>
      <c r="L4143" s="17" t="n">
        <v>0</v>
      </c>
      <c r="M4143" s="17" t="n">
        <v>0</v>
      </c>
      <c r="N4143" s="17">
        <f>K4143*0.08+L4143*0.08</f>
        <v/>
      </c>
      <c r="O4143" s="17">
        <f>-(K4143*0.025+L4143*0.025)</f>
        <v/>
      </c>
      <c r="P4143" s="17">
        <f>32</f>
        <v/>
      </c>
      <c r="Q4143" s="17">
        <f>J4143+L4143+N4143+O4143-P4143-M4143</f>
        <v/>
      </c>
    </row>
    <row r="4144">
      <c r="A4144" s="16" t="inlineStr">
        <is>
          <t>5.29-6.4</t>
        </is>
      </c>
      <c r="B4144" s="16" t="inlineStr">
        <is>
          <t>PO-128-21462864968313622</t>
        </is>
      </c>
      <c r="C4144" s="16" t="inlineStr">
        <is>
          <t>Delivered</t>
        </is>
      </c>
      <c r="D4144" s="16" t="inlineStr">
        <is>
          <t>128-21462920018553622</t>
        </is>
      </c>
      <c r="E4144" s="16" t="inlineStr">
        <is>
          <t>Delivered</t>
        </is>
      </c>
      <c r="F4144" s="16" t="inlineStr">
        <is>
          <t>LB02235-azul</t>
        </is>
      </c>
      <c r="G4144" s="16" t="inlineStr">
        <is>
          <t>Audífonos Inalámbricos para la Cabeza, Recargables y Multifuncionales - Conectan a Varios Dispositivos, soportan Radio FM, Tarjeta TF y AUX - 4 Horas de Reproducción Musical - Ideal para Trabajo Cotidiano, Juegos y Estudio</t>
        </is>
      </c>
      <c r="H4144" s="16" t="inlineStr">
        <is>
          <t>AZUL</t>
        </is>
      </c>
      <c r="I4144" s="16" t="n">
        <v>2</v>
      </c>
      <c r="J4144" s="17" t="n">
        <v>59.8</v>
      </c>
      <c r="K4144" s="17" t="n">
        <v>79.56999999999999</v>
      </c>
      <c r="L4144" s="17" t="n">
        <v>0</v>
      </c>
      <c r="M4144" s="17" t="n">
        <v>43.01</v>
      </c>
      <c r="N4144" s="17">
        <f>K4144*0.08+L4144*0.08</f>
        <v/>
      </c>
      <c r="O4144" s="17">
        <f>-(K4144*0.025+L4144*0.025)</f>
        <v/>
      </c>
      <c r="P4144" s="17">
        <f>32</f>
        <v/>
      </c>
      <c r="Q4144" s="17">
        <f>J4144+L4144+N4144+O4144-P4144-M4144</f>
        <v/>
      </c>
    </row>
    <row r="4145">
      <c r="A4145" s="16" t="inlineStr">
        <is>
          <t>5.29-6.4</t>
        </is>
      </c>
      <c r="B4145" s="16" t="inlineStr">
        <is>
          <t>PO-128-21462864968313622</t>
        </is>
      </c>
      <c r="C4145" s="16" t="inlineStr">
        <is>
          <t>Delivered</t>
        </is>
      </c>
      <c r="D4145" s="16" t="inlineStr">
        <is>
          <t>128-21462899047033622</t>
        </is>
      </c>
      <c r="E4145" s="16" t="inlineStr">
        <is>
          <t>Delivered</t>
        </is>
      </c>
      <c r="F4145" s="16" t="inlineStr">
        <is>
          <t>LB02235-negro</t>
        </is>
      </c>
      <c r="G4145" s="16" t="inlineStr">
        <is>
          <t>Audífonos Inalámbricos para la Cabeza, Recargables y Multifuncionales - Conectan a Varios Dispositivos, soportan Radio FM, Tarjeta TF y AUX - 4 Horas de Reproducción Musical - Ideal para Trabajo Cotidiano, Juegos y Estudio</t>
        </is>
      </c>
      <c r="H4145" s="16" t="inlineStr">
        <is>
          <t>NEGRO</t>
        </is>
      </c>
      <c r="I4145" s="16" t="n">
        <v>2</v>
      </c>
      <c r="J4145" s="17" t="n">
        <v>70</v>
      </c>
      <c r="K4145" s="17" t="n">
        <v>81.78</v>
      </c>
      <c r="L4145" s="17" t="n">
        <v>0</v>
      </c>
      <c r="M4145" s="17" t="n">
        <v>0</v>
      </c>
      <c r="N4145" s="17">
        <f>K4145*0.08+L4145*0.08</f>
        <v/>
      </c>
      <c r="O4145" s="17">
        <f>-(K4145*0.025+L4145*0.025)</f>
        <v/>
      </c>
      <c r="P4145" s="17">
        <f>32</f>
        <v/>
      </c>
      <c r="Q4145" s="17">
        <f>J4145+L4145+N4145+O4145-P4145-M4145</f>
        <v/>
      </c>
    </row>
    <row r="4146">
      <c r="A4146" s="16" t="inlineStr">
        <is>
          <t>5.29-6.4</t>
        </is>
      </c>
      <c r="B4146" s="16" t="inlineStr">
        <is>
          <t>PO-128-21968262124150739</t>
        </is>
      </c>
      <c r="C4146" s="16" t="inlineStr">
        <is>
          <t>Delivered</t>
        </is>
      </c>
      <c r="D4146" s="16" t="inlineStr">
        <is>
          <t>128-21968414167670739</t>
        </is>
      </c>
      <c r="E4146" s="16" t="inlineStr">
        <is>
          <t>Delivered</t>
        </is>
      </c>
      <c r="F4146" s="16" t="inlineStr">
        <is>
          <t>SA325T</t>
        </is>
      </c>
      <c r="G4146" s="16" t="inlineStr">
        <is>
          <t>Subwoofer Portátil Inalámbrico con Luces RGB, Sonido de Alta Potencia y Batería Duradera, TWS TF USB, Perfecto para Campamento Fiestas y Entretenimiento en Casa</t>
        </is>
      </c>
      <c r="H4146" s="16" t="inlineStr">
        <is>
          <t>NEGRO</t>
        </is>
      </c>
      <c r="I4146" s="16" t="n">
        <v>1</v>
      </c>
      <c r="J4146" s="17" t="n">
        <v>36</v>
      </c>
      <c r="K4146" s="17" t="n">
        <v>45.04</v>
      </c>
      <c r="L4146" s="17" t="n">
        <v>25.86</v>
      </c>
      <c r="M4146" s="17" t="n">
        <v>0</v>
      </c>
      <c r="N4146" s="17">
        <f>K4146*0.08+L4146*0.08</f>
        <v/>
      </c>
      <c r="O4146" s="17">
        <f>-(K4146*0.025+L4146*0.025)</f>
        <v/>
      </c>
      <c r="P4146" s="17">
        <f>32</f>
        <v/>
      </c>
      <c r="Q4146" s="17">
        <f>J4146+L4146+N4146+O4146-P4146-M4146</f>
        <v/>
      </c>
    </row>
    <row r="4147">
      <c r="A4147" s="16" t="inlineStr">
        <is>
          <t>5.29-6.4</t>
        </is>
      </c>
      <c r="B4147" s="16" t="inlineStr">
        <is>
          <t>PO-128-21407066890874082</t>
        </is>
      </c>
      <c r="C4147" s="16" t="inlineStr">
        <is>
          <t>Delivered</t>
        </is>
      </c>
      <c r="D4147" s="16" t="inlineStr">
        <is>
          <t>128-21407218934394082</t>
        </is>
      </c>
      <c r="E4147" s="16" t="inlineStr">
        <is>
          <t>Delivered</t>
        </is>
      </c>
      <c r="F4147" s="16" t="inlineStr">
        <is>
          <t>VA880T</t>
        </is>
      </c>
      <c r="G4147"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147" s="16" t="inlineStr">
        <is>
          <t>1 pieza</t>
        </is>
      </c>
      <c r="I4147" s="16" t="n">
        <v>2</v>
      </c>
      <c r="J4147" s="17" t="n">
        <v>226</v>
      </c>
      <c r="K4147" s="17" t="n">
        <v>200.47</v>
      </c>
      <c r="L4147" s="17" t="n">
        <v>25.86</v>
      </c>
      <c r="M4147" s="17" t="n">
        <v>0</v>
      </c>
      <c r="N4147" s="17">
        <f>K4147*0.08+L4147*0.08</f>
        <v/>
      </c>
      <c r="O4147" s="17">
        <f>-(K4147*0.025+L4147*0.025)</f>
        <v/>
      </c>
      <c r="P4147" s="17">
        <f>32</f>
        <v/>
      </c>
      <c r="Q4147" s="17">
        <f>J4147+L4147+N4147+O4147-P4147-M4147</f>
        <v/>
      </c>
    </row>
    <row r="4148">
      <c r="A4148" s="16" t="inlineStr">
        <is>
          <t>5.29-6.4</t>
        </is>
      </c>
      <c r="B4148" s="16" t="inlineStr">
        <is>
          <t>PO-128-21449466839673830</t>
        </is>
      </c>
      <c r="C4148" s="16" t="inlineStr">
        <is>
          <t>Delivered</t>
        </is>
      </c>
      <c r="D4148" s="16" t="inlineStr">
        <is>
          <t>128-21449493054073830</t>
        </is>
      </c>
      <c r="E4148" s="16" t="inlineStr">
        <is>
          <t>Delivered</t>
        </is>
      </c>
      <c r="F4148" s="16" t="inlineStr">
        <is>
          <t>MCM-001N</t>
        </is>
      </c>
      <c r="G4148" s="16" t="inlineStr">
        <is>
          <t>Musicord Altavoz Inalámbrico BT Portátil: ¡Sonido impactante, luces LED multicolores y 4 horas de autonomía! Compatible con TWS, FM, TF y USB – Imprescindible para fiestas y viajes</t>
        </is>
      </c>
      <c r="H4148" s="16" t="inlineStr">
        <is>
          <t>NEGRO</t>
        </is>
      </c>
      <c r="I4148" s="16" t="n">
        <v>1</v>
      </c>
      <c r="J4148" s="17" t="n">
        <v>60.5</v>
      </c>
      <c r="K4148" s="17" t="n">
        <v>68.29000000000001</v>
      </c>
      <c r="L4148" s="17" t="n">
        <v>25.86</v>
      </c>
      <c r="M4148" s="17" t="n">
        <v>0</v>
      </c>
      <c r="N4148" s="17">
        <f>K4148*0.08+L4148*0.08</f>
        <v/>
      </c>
      <c r="O4148" s="17">
        <f>-(K4148*0.025+L4148*0.025)</f>
        <v/>
      </c>
      <c r="P4148" s="17">
        <f>32</f>
        <v/>
      </c>
      <c r="Q4148" s="17">
        <f>J4148+L4148+N4148+O4148-P4148-M4148</f>
        <v/>
      </c>
    </row>
    <row r="4149">
      <c r="A4149" s="16" t="inlineStr">
        <is>
          <t>5.29-6.4</t>
        </is>
      </c>
      <c r="B4149" s="16" t="inlineStr">
        <is>
          <t>PO-128-21565158236792948</t>
        </is>
      </c>
      <c r="C4149" s="16" t="inlineStr">
        <is>
          <t>Delivered</t>
        </is>
      </c>
      <c r="D4149" s="16" t="inlineStr">
        <is>
          <t>128-21565105807992948</t>
        </is>
      </c>
      <c r="E4149" s="16" t="inlineStr">
        <is>
          <t>Delivered</t>
        </is>
      </c>
      <c r="F4149" s="16" t="inlineStr">
        <is>
          <t>LB02235-negro</t>
        </is>
      </c>
      <c r="G4149" s="16" t="inlineStr">
        <is>
          <t>Audífonos Inalámbricos para la Cabeza, Recargables y Multifuncionales - Conectan a Varios Dispositivos, soportan Radio FM, Tarjeta TF y AUX - 4 Horas de Reproducción Musical - Ideal para Trabajo Cotidiano, Juegos y Estudio</t>
        </is>
      </c>
      <c r="H4149" s="16" t="inlineStr">
        <is>
          <t>NEGRO</t>
        </is>
      </c>
      <c r="I4149" s="16" t="n">
        <v>1</v>
      </c>
      <c r="J4149" s="17" t="n">
        <v>35</v>
      </c>
      <c r="K4149" s="17" t="n">
        <v>48.11</v>
      </c>
      <c r="L4149" s="17" t="n">
        <v>25.86</v>
      </c>
      <c r="M4149" s="17" t="n">
        <v>0</v>
      </c>
      <c r="N4149" s="17">
        <f>K4149*0.08+L4149*0.08</f>
        <v/>
      </c>
      <c r="O4149" s="17">
        <f>-(K4149*0.025+L4149*0.025)</f>
        <v/>
      </c>
      <c r="P4149" s="17">
        <f>32</f>
        <v/>
      </c>
      <c r="Q4149" s="17">
        <f>J4149+L4149+N4149+O4149-P4149-M4149</f>
        <v/>
      </c>
    </row>
    <row r="4150">
      <c r="A4150" s="16" t="inlineStr">
        <is>
          <t>5.29-6.4</t>
        </is>
      </c>
      <c r="B4150" s="16" t="inlineStr">
        <is>
          <t>PO-128-21893080315510034</t>
        </is>
      </c>
      <c r="C4150" s="16" t="inlineStr">
        <is>
          <t>Delivered</t>
        </is>
      </c>
      <c r="D4150" s="16" t="inlineStr">
        <is>
          <t>128-21893088179830034</t>
        </is>
      </c>
      <c r="E4150" s="16" t="inlineStr">
        <is>
          <t>Delivered</t>
        </is>
      </c>
      <c r="F4150" s="16" t="inlineStr">
        <is>
          <t>MB-185N</t>
        </is>
      </c>
      <c r="G4150" s="16" t="inlineStr">
        <is>
          <t>Bocina Radio FM/Reproductor, Compatible con Tarjeta TF, USB, Bluetooth, Aplicable para celular, computadora, Ipad y consola.</t>
        </is>
      </c>
      <c r="H4150" s="16" t="inlineStr">
        <is>
          <t>NEGRO/MB-185</t>
        </is>
      </c>
      <c r="I4150" s="16" t="n">
        <v>1</v>
      </c>
      <c r="J4150" s="17" t="n">
        <v>71.31</v>
      </c>
      <c r="K4150" s="17" t="n">
        <v>84.23999999999999</v>
      </c>
      <c r="L4150" s="17" t="n">
        <v>25.86</v>
      </c>
      <c r="M4150" s="17" t="n">
        <v>0</v>
      </c>
      <c r="N4150" s="17">
        <f>K4150*0.08+L4150*0.08</f>
        <v/>
      </c>
      <c r="O4150" s="17">
        <f>-(K4150*0.025+L4150*0.025)</f>
        <v/>
      </c>
      <c r="P4150" s="17">
        <f>32</f>
        <v/>
      </c>
      <c r="Q4150" s="17">
        <f>J4150+L4150+N4150+O4150-P4150-M4150</f>
        <v/>
      </c>
    </row>
    <row r="4151">
      <c r="A4151" s="16" t="inlineStr">
        <is>
          <t>5.29-6.4</t>
        </is>
      </c>
      <c r="B4151" s="16" t="inlineStr">
        <is>
          <t>PO-128-21491251978872559</t>
        </is>
      </c>
      <c r="C4151" s="16" t="inlineStr">
        <is>
          <t>Delivered</t>
        </is>
      </c>
      <c r="D4151" s="16" t="inlineStr">
        <is>
          <t>128-21491178578552559</t>
        </is>
      </c>
      <c r="E4151" s="16" t="inlineStr">
        <is>
          <t>Delivered</t>
        </is>
      </c>
      <c r="F4151" s="16" t="inlineStr">
        <is>
          <t>LB02235-rojo</t>
        </is>
      </c>
      <c r="G4151" s="16" t="inlineStr">
        <is>
          <t>Audífonos Inalámbricos para la Cabeza, Recargables y Multifuncionales - Conectan a Varios Dispositivos, soportan Radio FM, Tarjeta TF y AUX - 4 Horas de Reproducción Musical - Ideal para Trabajo Cotidiano, Juegos y Estudio</t>
        </is>
      </c>
      <c r="H4151" s="16" t="inlineStr">
        <is>
          <t>ROJO</t>
        </is>
      </c>
      <c r="I4151" s="16" t="n">
        <v>1</v>
      </c>
      <c r="J4151" s="17" t="n">
        <v>35</v>
      </c>
      <c r="K4151" s="17" t="n">
        <v>48.11</v>
      </c>
      <c r="L4151" s="17" t="n">
        <v>25.86</v>
      </c>
      <c r="M4151" s="17" t="n">
        <v>0</v>
      </c>
      <c r="N4151" s="17">
        <f>K4151*0.08+L4151*0.08</f>
        <v/>
      </c>
      <c r="O4151" s="17">
        <f>-(K4151*0.025+L4151*0.025)</f>
        <v/>
      </c>
      <c r="P4151" s="17">
        <f>32</f>
        <v/>
      </c>
      <c r="Q4151" s="17">
        <f>J4151+L4151+N4151+O4151-P4151-M4151</f>
        <v/>
      </c>
    </row>
    <row r="4152">
      <c r="A4152" s="16" t="inlineStr">
        <is>
          <t>5.29-6.4</t>
        </is>
      </c>
      <c r="B4152" s="16" t="inlineStr">
        <is>
          <t>PO-128-21884820542070021</t>
        </is>
      </c>
      <c r="C4152" s="16" t="inlineStr">
        <is>
          <t>Delivered</t>
        </is>
      </c>
      <c r="D4152" s="16" t="inlineStr">
        <is>
          <t>128-21884841513590021</t>
        </is>
      </c>
      <c r="E4152" s="16" t="inlineStr">
        <is>
          <t>Delivered</t>
        </is>
      </c>
      <c r="F4152" s="16" t="inlineStr">
        <is>
          <t>LB02235-negro</t>
        </is>
      </c>
      <c r="G4152" s="16" t="inlineStr">
        <is>
          <t>Audífonos Inalámbricos para la Cabeza, Recargables y Multifuncionales - Conectan a Varios Dispositivos, soportan Radio FM, Tarjeta TF y AUX - 4 Horas de Reproducción Musical - Ideal para Trabajo Cotidiano, Juegos y Estudio</t>
        </is>
      </c>
      <c r="H4152" s="16" t="inlineStr">
        <is>
          <t>NEGRO</t>
        </is>
      </c>
      <c r="I4152" s="16" t="n">
        <v>1</v>
      </c>
      <c r="J4152" s="17" t="n">
        <v>35</v>
      </c>
      <c r="K4152" s="17" t="n">
        <v>48.11</v>
      </c>
      <c r="L4152" s="17" t="n">
        <v>25.86</v>
      </c>
      <c r="M4152" s="17" t="n">
        <v>0</v>
      </c>
      <c r="N4152" s="17">
        <f>K4152*0.08+L4152*0.08</f>
        <v/>
      </c>
      <c r="O4152" s="17">
        <f>-(K4152*0.025+L4152*0.025)</f>
        <v/>
      </c>
      <c r="P4152" s="17">
        <f>32</f>
        <v/>
      </c>
      <c r="Q4152" s="17">
        <f>J4152+L4152+N4152+O4152-P4152-M4152</f>
        <v/>
      </c>
    </row>
    <row r="4153">
      <c r="A4153" s="16" t="inlineStr">
        <is>
          <t>5.29-6.4</t>
        </is>
      </c>
      <c r="B4153" s="16" t="inlineStr">
        <is>
          <t>PO-128-21394259180153969</t>
        </is>
      </c>
      <c r="C4153" s="16" t="inlineStr">
        <is>
          <t>Delivered</t>
        </is>
      </c>
      <c r="D4153" s="16" t="inlineStr">
        <is>
          <t>128-21394280151673969</t>
        </is>
      </c>
      <c r="E4153" s="16" t="inlineStr">
        <is>
          <t>Delivered</t>
        </is>
      </c>
      <c r="F4153" s="16" t="inlineStr">
        <is>
          <t>LB02235-negro</t>
        </is>
      </c>
      <c r="G4153" s="16" t="inlineStr">
        <is>
          <t>Audífonos Inalámbricos para la Cabeza, Recargables y Multifuncionales - Conectan a Varios Dispositivos, soportan Radio FM, Tarjeta TF y AUX - 4 Horas de Reproducción Musical - Ideal para Trabajo Cotidiano, Juegos y Estudio</t>
        </is>
      </c>
      <c r="H4153" s="16" t="inlineStr">
        <is>
          <t>NEGRO</t>
        </is>
      </c>
      <c r="I4153" s="16" t="n">
        <v>1</v>
      </c>
      <c r="J4153" s="17" t="n">
        <v>35</v>
      </c>
      <c r="K4153" s="17" t="n">
        <v>48.11</v>
      </c>
      <c r="L4153" s="17" t="n">
        <v>25.86</v>
      </c>
      <c r="M4153" s="17" t="n">
        <v>0</v>
      </c>
      <c r="N4153" s="17">
        <f>K4153*0.08+L4153*0.08</f>
        <v/>
      </c>
      <c r="O4153" s="17">
        <f>-(K4153*0.025+L4153*0.025)</f>
        <v/>
      </c>
      <c r="P4153" s="17">
        <f>32</f>
        <v/>
      </c>
      <c r="Q4153" s="17">
        <f>J4153+L4153+N4153+O4153-P4153-M4153</f>
        <v/>
      </c>
    </row>
    <row r="4154">
      <c r="A4154" s="16" t="inlineStr">
        <is>
          <t>5.29-6.4</t>
        </is>
      </c>
      <c r="B4154" s="16" t="inlineStr">
        <is>
          <t>PO-128-21616156897912772</t>
        </is>
      </c>
      <c r="C4154" s="16" t="inlineStr">
        <is>
          <t>Delivered</t>
        </is>
      </c>
      <c r="D4154" s="16" t="inlineStr">
        <is>
          <t>128-21616209326712772</t>
        </is>
      </c>
      <c r="E4154" s="16" t="inlineStr">
        <is>
          <t>Delivered</t>
        </is>
      </c>
      <c r="F4154" s="16" t="inlineStr">
        <is>
          <t>LMC02</t>
        </is>
      </c>
      <c r="G4154" s="16" t="inlineStr">
        <is>
          <t>Tira de poder 16 en 1 montable en pared con 10 tomas CA, 4 USB, 2 Tipo‑C, interruptor mecánico y protección contra sobrecarga. 125V 15A 1850W, color blanco, ideal para hogar, oficina y estudio. Carga segura y múltiple.</t>
        </is>
      </c>
      <c r="H4154" s="16" t="inlineStr">
        <is>
          <t>NEGRO/11EN1</t>
        </is>
      </c>
      <c r="I4154" s="16" t="n">
        <v>1</v>
      </c>
      <c r="J4154" s="17" t="n">
        <v>85</v>
      </c>
      <c r="K4154" s="17" t="n">
        <v>114</v>
      </c>
      <c r="L4154" s="17" t="n">
        <v>25.86</v>
      </c>
      <c r="M4154" s="17" t="n">
        <v>0</v>
      </c>
      <c r="N4154" s="17">
        <f>K4154*0.08+L4154*0.08</f>
        <v/>
      </c>
      <c r="O4154" s="17">
        <f>-(K4154*0.025+L4154*0.025)</f>
        <v/>
      </c>
      <c r="P4154" s="17">
        <f>32</f>
        <v/>
      </c>
      <c r="Q4154" s="17">
        <f>J4154+L4154+N4154+O4154-P4154-M4154</f>
        <v/>
      </c>
    </row>
    <row r="4155">
      <c r="A4155" s="16" t="inlineStr">
        <is>
          <t>5.29-6.4</t>
        </is>
      </c>
      <c r="B4155" s="16" t="inlineStr">
        <is>
          <t>PO-128-21477244462712448</t>
        </is>
      </c>
      <c r="C4155" s="16" t="inlineStr">
        <is>
          <t>Delivered</t>
        </is>
      </c>
      <c r="D4155" s="16" t="inlineStr">
        <is>
          <t>128-21477254948472448</t>
        </is>
      </c>
      <c r="E4155" s="16" t="inlineStr">
        <is>
          <t>Delivered</t>
        </is>
      </c>
      <c r="F4155" s="16" t="inlineStr">
        <is>
          <t>LB02235-azul</t>
        </is>
      </c>
      <c r="G4155" s="16" t="inlineStr">
        <is>
          <t>Audífonos Inalámbricos para la Cabeza, Recargables y Multifuncionales - Conectan a Varios Dispositivos, soportan Radio FM, Tarjeta TF y AUX - 4 Horas de Reproducción Musical - Ideal para Trabajo Cotidiano, Juegos y Estudio</t>
        </is>
      </c>
      <c r="H4155" s="16" t="inlineStr">
        <is>
          <t>AZUL</t>
        </is>
      </c>
      <c r="I4155" s="16" t="n">
        <v>1</v>
      </c>
      <c r="J4155" s="17" t="n">
        <v>29.9</v>
      </c>
      <c r="K4155" s="17" t="n">
        <v>43.01</v>
      </c>
      <c r="L4155" s="17" t="n">
        <v>25.86</v>
      </c>
      <c r="M4155" s="17" t="n">
        <v>0</v>
      </c>
      <c r="N4155" s="17">
        <f>K4155*0.08+L4155*0.08</f>
        <v/>
      </c>
      <c r="O4155" s="17">
        <f>-(K4155*0.025+L4155*0.025)</f>
        <v/>
      </c>
      <c r="P4155" s="17">
        <f>32</f>
        <v/>
      </c>
      <c r="Q4155" s="17">
        <f>J4155+L4155+N4155+O4155-P4155-M4155</f>
        <v/>
      </c>
    </row>
    <row r="4156">
      <c r="A4156" s="16" t="inlineStr">
        <is>
          <t>5.29-6.4</t>
        </is>
      </c>
      <c r="B4156" s="16" t="inlineStr">
        <is>
          <t>PO-128-21609401436792748</t>
        </is>
      </c>
      <c r="C4156" s="16" t="inlineStr">
        <is>
          <t>Delivered</t>
        </is>
      </c>
      <c r="D4156" s="16" t="inlineStr">
        <is>
          <t>128-21609537751672748</t>
        </is>
      </c>
      <c r="E4156" s="16" t="inlineStr">
        <is>
          <t>Delivered</t>
        </is>
      </c>
      <c r="F4156" s="16" t="inlineStr">
        <is>
          <t>VA880T</t>
        </is>
      </c>
      <c r="G415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156" s="16" t="inlineStr">
        <is>
          <t>1 pieza</t>
        </is>
      </c>
      <c r="I4156" s="16" t="n">
        <v>1</v>
      </c>
      <c r="J4156" s="17" t="n">
        <v>113</v>
      </c>
      <c r="K4156" s="17" t="n">
        <v>125.29</v>
      </c>
      <c r="L4156" s="17" t="n">
        <v>25.86</v>
      </c>
      <c r="M4156" s="17" t="n">
        <v>0</v>
      </c>
      <c r="N4156" s="17">
        <f>K4156*0.08+L4156*0.08</f>
        <v/>
      </c>
      <c r="O4156" s="17">
        <f>-(K4156*0.025+L4156*0.025)</f>
        <v/>
      </c>
      <c r="P4156" s="17">
        <f>32</f>
        <v/>
      </c>
      <c r="Q4156" s="17">
        <f>J4156+L4156+N4156+O4156-P4156-M4156</f>
        <v/>
      </c>
    </row>
    <row r="4157">
      <c r="A4157" s="16" t="inlineStr">
        <is>
          <t>5.29-6.4</t>
        </is>
      </c>
      <c r="B4157" s="16" t="inlineStr">
        <is>
          <t>PO-128-21813082819191662</t>
        </is>
      </c>
      <c r="C4157" s="16" t="inlineStr">
        <is>
          <t>Delivered</t>
        </is>
      </c>
      <c r="D4157" s="16" t="inlineStr">
        <is>
          <t>128-21813093304951662</t>
        </is>
      </c>
      <c r="E4157" s="16" t="inlineStr">
        <is>
          <t>Delivered</t>
        </is>
      </c>
      <c r="F4157" s="16" t="inlineStr">
        <is>
          <t>LB02235-negro</t>
        </is>
      </c>
      <c r="G4157" s="16" t="inlineStr">
        <is>
          <t>Audífonos Inalámbricos para la Cabeza, Recargables y Multifuncionales - Conectan a Varios Dispositivos, soportan Radio FM, Tarjeta TF y AUX - 4 Horas de Reproducción Musical - Ideal para Trabajo Cotidiano, Juegos y Estudio</t>
        </is>
      </c>
      <c r="H4157" s="16" t="inlineStr">
        <is>
          <t>NEGRO</t>
        </is>
      </c>
      <c r="I4157" s="16" t="n">
        <v>1</v>
      </c>
      <c r="J4157" s="17" t="n">
        <v>35</v>
      </c>
      <c r="K4157" s="17" t="n">
        <v>48.11</v>
      </c>
      <c r="L4157" s="17" t="n">
        <v>25.86</v>
      </c>
      <c r="M4157" s="17" t="n">
        <v>0</v>
      </c>
      <c r="N4157" s="17">
        <f>K4157*0.08+L4157*0.08</f>
        <v/>
      </c>
      <c r="O4157" s="17">
        <f>-(K4157*0.025+L4157*0.025)</f>
        <v/>
      </c>
      <c r="P4157" s="17">
        <f>32</f>
        <v/>
      </c>
      <c r="Q4157" s="17">
        <f>J4157+L4157+N4157+O4157-P4157-M4157</f>
        <v/>
      </c>
    </row>
    <row r="4158">
      <c r="A4158" s="16" t="inlineStr">
        <is>
          <t>5.29-6.4</t>
        </is>
      </c>
      <c r="B4158" s="16" t="inlineStr">
        <is>
          <t>PO-128-21507444593272396</t>
        </is>
      </c>
      <c r="C4158" s="16" t="inlineStr">
        <is>
          <t>Delivered</t>
        </is>
      </c>
      <c r="D4158" s="16" t="inlineStr">
        <is>
          <t>128-21507455079032396</t>
        </is>
      </c>
      <c r="E4158" s="16" t="inlineStr">
        <is>
          <t>Delivered</t>
        </is>
      </c>
      <c r="F4158" s="16" t="inlineStr">
        <is>
          <t>LB02235-negro</t>
        </is>
      </c>
      <c r="G4158" s="16" t="inlineStr">
        <is>
          <t>Audífonos Inalámbricos para la Cabeza, Recargables y Multifuncionales - Conectan a Varios Dispositivos, soportan Radio FM, Tarjeta TF y AUX - 4 Horas de Reproducción Musical - Ideal para Trabajo Cotidiano, Juegos y Estudio</t>
        </is>
      </c>
      <c r="H4158" s="16" t="inlineStr">
        <is>
          <t>NEGRO</t>
        </is>
      </c>
      <c r="I4158" s="16" t="n">
        <v>1</v>
      </c>
      <c r="J4158" s="17" t="n">
        <v>35</v>
      </c>
      <c r="K4158" s="17" t="n">
        <v>48.11</v>
      </c>
      <c r="L4158" s="17" t="n">
        <v>25.86</v>
      </c>
      <c r="M4158" s="17" t="n">
        <v>0</v>
      </c>
      <c r="N4158" s="17">
        <f>K4158*0.08+L4158*0.08</f>
        <v/>
      </c>
      <c r="O4158" s="17">
        <f>-(K4158*0.025+L4158*0.025)</f>
        <v/>
      </c>
      <c r="P4158" s="17">
        <f>32</f>
        <v/>
      </c>
      <c r="Q4158" s="17">
        <f>J4158+L4158+N4158+O4158-P4158-M4158</f>
        <v/>
      </c>
    </row>
    <row r="4159">
      <c r="A4159" s="16" t="inlineStr">
        <is>
          <t>5.29-6.4</t>
        </is>
      </c>
      <c r="B4159" s="16" t="inlineStr">
        <is>
          <t>PO-128-21735427569271935</t>
        </is>
      </c>
      <c r="C4159" s="16" t="inlineStr">
        <is>
          <t>Delivered</t>
        </is>
      </c>
      <c r="D4159" s="16" t="inlineStr">
        <is>
          <t>128-21735417083511935</t>
        </is>
      </c>
      <c r="E4159" s="16" t="inlineStr">
        <is>
          <t>Delivered</t>
        </is>
      </c>
      <c r="F4159" s="16" t="inlineStr">
        <is>
          <t>LB02235-negro</t>
        </is>
      </c>
      <c r="G4159" s="16" t="inlineStr">
        <is>
          <t>Audífonos Inalámbricos para la Cabeza, Recargables y Multifuncionales - Conectan a Varios Dispositivos, soportan Radio FM, Tarjeta TF y AUX - 4 Horas de Reproducción Musical - Ideal para Trabajo Cotidiano, Juegos y Estudio</t>
        </is>
      </c>
      <c r="H4159" s="16" t="inlineStr">
        <is>
          <t>NEGRO</t>
        </is>
      </c>
      <c r="I4159" s="16" t="n">
        <v>1</v>
      </c>
      <c r="J4159" s="17" t="n">
        <v>35</v>
      </c>
      <c r="K4159" s="17" t="n">
        <v>48.11</v>
      </c>
      <c r="L4159" s="17" t="n">
        <v>25.86</v>
      </c>
      <c r="M4159" s="17" t="n">
        <v>0</v>
      </c>
      <c r="N4159" s="17">
        <f>K4159*0.08+L4159*0.08</f>
        <v/>
      </c>
      <c r="O4159" s="17">
        <f>-(K4159*0.025+L4159*0.025)</f>
        <v/>
      </c>
      <c r="P4159" s="17">
        <f>32</f>
        <v/>
      </c>
      <c r="Q4159" s="17">
        <f>J4159+L4159+N4159+O4159-P4159-M4159</f>
        <v/>
      </c>
    </row>
    <row r="4160">
      <c r="A4160" s="16" t="inlineStr">
        <is>
          <t>5.29-6.4</t>
        </is>
      </c>
      <c r="B4160" s="16" t="inlineStr">
        <is>
          <t>PO-128-21407048561274085</t>
        </is>
      </c>
      <c r="C4160" s="16" t="inlineStr">
        <is>
          <t>Delivered</t>
        </is>
      </c>
      <c r="D4160" s="16" t="inlineStr">
        <is>
          <t>128-21407027589754085</t>
        </is>
      </c>
      <c r="E4160" s="16" t="inlineStr">
        <is>
          <t>Delivered</t>
        </is>
      </c>
      <c r="F4160" s="16" t="inlineStr">
        <is>
          <t>LB02235-negro</t>
        </is>
      </c>
      <c r="G4160" s="16" t="inlineStr">
        <is>
          <t>Audífonos Inalámbricos para la Cabeza, Recargables y Multifuncionales - Conectan a Varios Dispositivos, soportan Radio FM, Tarjeta TF y AUX - 4 Horas de Reproducción Musical - Ideal para Trabajo Cotidiano, Juegos y Estudio</t>
        </is>
      </c>
      <c r="H4160" s="16" t="inlineStr">
        <is>
          <t>NEGRO</t>
        </is>
      </c>
      <c r="I4160" s="16" t="n">
        <v>1</v>
      </c>
      <c r="J4160" s="17" t="n">
        <v>35</v>
      </c>
      <c r="K4160" s="17" t="n">
        <v>48.11</v>
      </c>
      <c r="L4160" s="17" t="n">
        <v>25.86</v>
      </c>
      <c r="M4160" s="17" t="n">
        <v>0</v>
      </c>
      <c r="N4160" s="17">
        <f>K4160*0.08+L4160*0.08</f>
        <v/>
      </c>
      <c r="O4160" s="17">
        <f>-(K4160*0.025+L4160*0.025)</f>
        <v/>
      </c>
      <c r="P4160" s="17">
        <f>32</f>
        <v/>
      </c>
      <c r="Q4160" s="17">
        <f>J4160+L4160+N4160+O4160-P4160-M4160</f>
        <v/>
      </c>
    </row>
    <row r="4161">
      <c r="A4161" s="16" t="inlineStr">
        <is>
          <t>5.29-6.4</t>
        </is>
      </c>
      <c r="B4161" s="16" t="inlineStr">
        <is>
          <t>PO-128-21328271647353336</t>
        </is>
      </c>
      <c r="C4161" s="16" t="inlineStr">
        <is>
          <t>Delivered</t>
        </is>
      </c>
      <c r="D4161" s="16" t="inlineStr">
        <is>
          <t>128-21328313590393336</t>
        </is>
      </c>
      <c r="E4161" s="16" t="inlineStr">
        <is>
          <t>Delivered</t>
        </is>
      </c>
      <c r="F4161" s="16" t="inlineStr">
        <is>
          <t>LB02235-negro</t>
        </is>
      </c>
      <c r="G4161" s="16" t="inlineStr">
        <is>
          <t>Audífonos Inalámbricos para la Cabeza, Recargables y Multifuncionales - Conectan a Varios Dispositivos, soportan Radio FM, Tarjeta TF y AUX - 4 Horas de Reproducción Musical - Ideal para Trabajo Cotidiano, Juegos y Estudio</t>
        </is>
      </c>
      <c r="H4161" s="16" t="inlineStr">
        <is>
          <t>NEGRO</t>
        </is>
      </c>
      <c r="I4161" s="16" t="n">
        <v>1</v>
      </c>
      <c r="J4161" s="17" t="n">
        <v>35</v>
      </c>
      <c r="K4161" s="17" t="n">
        <v>5.01</v>
      </c>
      <c r="L4161" s="17" t="n">
        <v>25.86</v>
      </c>
      <c r="M4161" s="17" t="n">
        <v>0</v>
      </c>
      <c r="N4161" s="17">
        <f>K4161*0.08+L4161*0.08</f>
        <v/>
      </c>
      <c r="O4161" s="17">
        <f>-(K4161*0.025+L4161*0.025)</f>
        <v/>
      </c>
      <c r="P4161" s="17">
        <f>32</f>
        <v/>
      </c>
      <c r="Q4161" s="17">
        <f>J4161+L4161+N4161+O4161-P4161-M4161</f>
        <v/>
      </c>
    </row>
    <row r="4162">
      <c r="A4162" s="16" t="inlineStr">
        <is>
          <t>5.29-6.4</t>
        </is>
      </c>
      <c r="B4162" s="16" t="inlineStr">
        <is>
          <t>PO-128-21388345293433170</t>
        </is>
      </c>
      <c r="C4162" s="16" t="inlineStr">
        <is>
          <t>Delivered</t>
        </is>
      </c>
      <c r="D4162" s="16" t="inlineStr">
        <is>
          <t>128-21388292864633170</t>
        </is>
      </c>
      <c r="E4162" s="16" t="inlineStr">
        <is>
          <t>Delivered</t>
        </is>
      </c>
      <c r="F4162" s="16" t="inlineStr">
        <is>
          <t>LB02235-blanco</t>
        </is>
      </c>
      <c r="G4162" s="16" t="inlineStr">
        <is>
          <t>Audífonos Inalámbricos para la Cabeza, Recargables y Multifuncionales - Conectan a Varios Dispositivos, soportan Radio FM, Tarjeta TF y AUX - 4 Horas de Reproducción Musical - Ideal para Trabajo Cotidiano, Juegos y Estudio</t>
        </is>
      </c>
      <c r="H4162" s="16" t="inlineStr">
        <is>
          <t>BLANCO</t>
        </is>
      </c>
      <c r="I4162" s="16" t="n">
        <v>1</v>
      </c>
      <c r="J4162" s="17" t="n">
        <v>35</v>
      </c>
      <c r="K4162" s="17" t="n">
        <v>48.11</v>
      </c>
      <c r="L4162" s="17" t="n">
        <v>12.93</v>
      </c>
      <c r="M4162" s="17" t="n">
        <v>0</v>
      </c>
      <c r="N4162" s="17">
        <f>K4162*0.08+L4162*0.08</f>
        <v/>
      </c>
      <c r="O4162" s="17">
        <f>-(K4162*0.025+L4162*0.025)</f>
        <v/>
      </c>
      <c r="P4162" s="17">
        <f>32</f>
        <v/>
      </c>
      <c r="Q4162" s="17">
        <f>J4162+L4162+N4162+O4162-P4162-M4162</f>
        <v/>
      </c>
    </row>
    <row r="4163">
      <c r="A4163" s="16" t="inlineStr">
        <is>
          <t>5.29-6.4</t>
        </is>
      </c>
      <c r="B4163" s="16" t="inlineStr">
        <is>
          <t>PO-128-21388345293433170</t>
        </is>
      </c>
      <c r="C4163" s="16" t="inlineStr">
        <is>
          <t>Delivered</t>
        </is>
      </c>
      <c r="D4163" s="16" t="inlineStr">
        <is>
          <t>128-21388303350393170</t>
        </is>
      </c>
      <c r="E4163" s="16" t="inlineStr">
        <is>
          <t>Delivered</t>
        </is>
      </c>
      <c r="F4163" s="16" t="inlineStr">
        <is>
          <t>LB02235-negro</t>
        </is>
      </c>
      <c r="G4163" s="16" t="inlineStr">
        <is>
          <t>Audífonos Inalámbricos para la Cabeza, Recargables y Multifuncionales - Conectan a Varios Dispositivos, soportan Radio FM, Tarjeta TF y AUX - 4 Horas de Reproducción Musical - Ideal para Trabajo Cotidiano, Juegos y Estudio</t>
        </is>
      </c>
      <c r="H4163" s="16" t="inlineStr">
        <is>
          <t>NEGRO</t>
        </is>
      </c>
      <c r="I4163" s="16" t="n">
        <v>1</v>
      </c>
      <c r="J4163" s="17" t="n">
        <v>35</v>
      </c>
      <c r="K4163" s="17" t="n">
        <v>48.11</v>
      </c>
      <c r="L4163" s="17" t="n">
        <v>12.93</v>
      </c>
      <c r="M4163" s="17" t="n">
        <v>0</v>
      </c>
      <c r="N4163" s="17">
        <f>K4163*0.08+L4163*0.08</f>
        <v/>
      </c>
      <c r="O4163" s="17">
        <f>-(K4163*0.025+L4163*0.025)</f>
        <v/>
      </c>
      <c r="P4163" s="17">
        <f>32</f>
        <v/>
      </c>
      <c r="Q4163" s="17">
        <f>J4163+L4163+N4163+O4163-P4163-M4163</f>
        <v/>
      </c>
    </row>
    <row r="4164">
      <c r="A4164" s="16" t="inlineStr">
        <is>
          <t>5.29-6.4</t>
        </is>
      </c>
      <c r="B4164" s="16" t="inlineStr">
        <is>
          <t>PO-128-21654188365431459</t>
        </is>
      </c>
      <c r="C4164" s="16" t="inlineStr">
        <is>
          <t>Delivered</t>
        </is>
      </c>
      <c r="D4164" s="16" t="inlineStr">
        <is>
          <t>128-21654348273271459</t>
        </is>
      </c>
      <c r="E4164" s="16" t="inlineStr">
        <is>
          <t>Delivered</t>
        </is>
      </c>
      <c r="F4164" s="16" t="inlineStr">
        <is>
          <t>LB02235-negro</t>
        </is>
      </c>
      <c r="G4164" s="16" t="inlineStr">
        <is>
          <t>Audífonos Inalámbricos para la Cabeza, Recargables y Multifuncionales - Conectan a Varios Dispositivos, soportan Radio FM, Tarjeta TF y AUX - 4 Horas de Reproducción Musical - Ideal para Trabajo Cotidiano, Juegos y Estudio</t>
        </is>
      </c>
      <c r="H4164" s="16" t="inlineStr">
        <is>
          <t>NEGRO</t>
        </is>
      </c>
      <c r="I4164" s="16" t="n">
        <v>1</v>
      </c>
      <c r="J4164" s="17" t="n">
        <v>35</v>
      </c>
      <c r="K4164" s="17" t="n">
        <v>48.11</v>
      </c>
      <c r="L4164" s="17" t="n">
        <v>25.86</v>
      </c>
      <c r="M4164" s="17" t="n">
        <v>0</v>
      </c>
      <c r="N4164" s="17">
        <f>K4164*0.08+L4164*0.08</f>
        <v/>
      </c>
      <c r="O4164" s="17">
        <f>-(K4164*0.025+L4164*0.025)</f>
        <v/>
      </c>
      <c r="P4164" s="17">
        <f>32</f>
        <v/>
      </c>
      <c r="Q4164" s="17">
        <f>J4164+L4164+N4164+O4164-P4164-M4164</f>
        <v/>
      </c>
    </row>
    <row r="4165">
      <c r="A4165" s="16" t="inlineStr">
        <is>
          <t>5.29-6.4</t>
        </is>
      </c>
      <c r="B4165" s="16" t="inlineStr">
        <is>
          <t>PO-128-21802150769271536</t>
        </is>
      </c>
      <c r="C4165" s="16" t="inlineStr">
        <is>
          <t>Delivered</t>
        </is>
      </c>
      <c r="D4165" s="16" t="inlineStr">
        <is>
          <t>128-21802140283511536</t>
        </is>
      </c>
      <c r="E4165" s="16" t="inlineStr">
        <is>
          <t>Delivered</t>
        </is>
      </c>
      <c r="F4165" s="16" t="inlineStr">
        <is>
          <t>KTS-1678N</t>
        </is>
      </c>
      <c r="G4165" s="16" t="inlineStr">
        <is>
          <t>Bocina portátil Inalámbrico, de 3 pulgadas, tamaño de bolsillo, 170 g, con asa, compatible con TF, USB y Micro SD, con radio FM y función TWS (True Wireless Stereo), adecuada para relajarse en casa o viajar al aire libre.</t>
        </is>
      </c>
      <c r="H4165" s="16" t="inlineStr">
        <is>
          <t>KTS-1678N</t>
        </is>
      </c>
      <c r="I4165" s="16" t="n">
        <v>1</v>
      </c>
      <c r="J4165" s="17" t="n">
        <v>40</v>
      </c>
      <c r="K4165" s="17" t="n">
        <v>53.89</v>
      </c>
      <c r="L4165" s="17" t="n">
        <v>25.86</v>
      </c>
      <c r="M4165" s="17" t="n">
        <v>0</v>
      </c>
      <c r="N4165" s="17">
        <f>K4165*0.08+L4165*0.08</f>
        <v/>
      </c>
      <c r="O4165" s="17">
        <f>-(K4165*0.025+L4165*0.025)</f>
        <v/>
      </c>
      <c r="P4165" s="17">
        <f>32</f>
        <v/>
      </c>
      <c r="Q4165" s="17">
        <f>J4165+L4165+N4165+O4165-P4165-M4165</f>
        <v/>
      </c>
    </row>
    <row r="4166">
      <c r="A4166" s="16" t="inlineStr">
        <is>
          <t>5.29-6.4</t>
        </is>
      </c>
      <c r="B4166" s="16" t="inlineStr">
        <is>
          <t>PO-128-21395224213114027</t>
        </is>
      </c>
      <c r="C4166" s="16" t="inlineStr">
        <is>
          <t>Delivered</t>
        </is>
      </c>
      <c r="D4166" s="16" t="inlineStr">
        <is>
          <t>128-21395213727354027</t>
        </is>
      </c>
      <c r="E4166" s="16" t="inlineStr">
        <is>
          <t>Delivered</t>
        </is>
      </c>
      <c r="F4166" s="16" t="inlineStr">
        <is>
          <t>LB02235-blanco</t>
        </is>
      </c>
      <c r="G4166" s="16" t="inlineStr">
        <is>
          <t>Audífonos Inalámbricos para la Cabeza, Recargables y Multifuncionales - Conectan a Varios Dispositivos, soportan Radio FM, Tarjeta TF y AUX - 4 Horas de Reproducción Musical - Ideal para Trabajo Cotidiano, Juegos y Estudio</t>
        </is>
      </c>
      <c r="H4166" s="16" t="inlineStr">
        <is>
          <t>BLANCO</t>
        </is>
      </c>
      <c r="I4166" s="16" t="n">
        <v>1</v>
      </c>
      <c r="J4166" s="17" t="n">
        <v>35</v>
      </c>
      <c r="K4166" s="17" t="n">
        <v>48.11</v>
      </c>
      <c r="L4166" s="17" t="n">
        <v>25.86</v>
      </c>
      <c r="M4166" s="17" t="n">
        <v>0</v>
      </c>
      <c r="N4166" s="17">
        <f>K4166*0.08+L4166*0.08</f>
        <v/>
      </c>
      <c r="O4166" s="17">
        <f>-(K4166*0.025+L4166*0.025)</f>
        <v/>
      </c>
      <c r="P4166" s="17">
        <f>32</f>
        <v/>
      </c>
      <c r="Q4166" s="17">
        <f>J4166+L4166+N4166+O4166-P4166-M4166</f>
        <v/>
      </c>
    </row>
    <row r="4167">
      <c r="A4167" s="16" t="inlineStr">
        <is>
          <t>5.29-6.4</t>
        </is>
      </c>
      <c r="B4167" s="16" t="inlineStr">
        <is>
          <t>PO-128-21332515963513377</t>
        </is>
      </c>
      <c r="C4167" s="16" t="inlineStr">
        <is>
          <t>Delivered</t>
        </is>
      </c>
      <c r="D4167" s="16" t="inlineStr">
        <is>
          <t>128-21332536935033377</t>
        </is>
      </c>
      <c r="E4167" s="16" t="inlineStr">
        <is>
          <t>Delivered</t>
        </is>
      </c>
      <c r="F4167" s="16" t="inlineStr">
        <is>
          <t>LB02235-negro</t>
        </is>
      </c>
      <c r="G4167" s="16" t="inlineStr">
        <is>
          <t>Audífonos Inalámbricos para la Cabeza, Recargables y Multifuncionales - Conectan a Varios Dispositivos, soportan Radio FM, Tarjeta TF y AUX - 4 Horas de Reproducción Musical - Ideal para Trabajo Cotidiano, Juegos y Estudio</t>
        </is>
      </c>
      <c r="H4167" s="16" t="inlineStr">
        <is>
          <t>NEGRO</t>
        </is>
      </c>
      <c r="I4167" s="16" t="n">
        <v>1</v>
      </c>
      <c r="J4167" s="17" t="n">
        <v>35</v>
      </c>
      <c r="K4167" s="17" t="n">
        <v>5.01</v>
      </c>
      <c r="L4167" s="17" t="n">
        <v>25.86</v>
      </c>
      <c r="M4167" s="17" t="n">
        <v>0</v>
      </c>
      <c r="N4167" s="17">
        <f>K4167*0.08+L4167*0.08</f>
        <v/>
      </c>
      <c r="O4167" s="17">
        <f>-(K4167*0.025+L4167*0.025)</f>
        <v/>
      </c>
      <c r="P4167" s="17">
        <f>32</f>
        <v/>
      </c>
      <c r="Q4167" s="17">
        <f>J4167+L4167+N4167+O4167-P4167-M4167</f>
        <v/>
      </c>
    </row>
    <row r="4168">
      <c r="A4168" s="16" t="inlineStr">
        <is>
          <t>5.29-6.4</t>
        </is>
      </c>
      <c r="B4168" s="16" t="inlineStr">
        <is>
          <t>PO-128-21757477791351802</t>
        </is>
      </c>
      <c r="C4168" s="16" t="inlineStr">
        <is>
          <t>Delivered</t>
        </is>
      </c>
      <c r="D4168" s="16" t="inlineStr">
        <is>
          <t>128-21757498762871802</t>
        </is>
      </c>
      <c r="E4168" s="16" t="inlineStr">
        <is>
          <t>Delivered</t>
        </is>
      </c>
      <c r="F4168" s="16" t="inlineStr">
        <is>
          <t>LB02235-negro</t>
        </is>
      </c>
      <c r="G4168" s="16" t="inlineStr">
        <is>
          <t>Audífonos Inalámbricos para la Cabeza, Recargables y Multifuncionales - Conectan a Varios Dispositivos, soportan Radio FM, Tarjeta TF y AUX - 4 Horas de Reproducción Musical - Ideal para Trabajo Cotidiano, Juegos y Estudio</t>
        </is>
      </c>
      <c r="H4168" s="16" t="inlineStr">
        <is>
          <t>NEGRO</t>
        </is>
      </c>
      <c r="I4168" s="16" t="n">
        <v>1</v>
      </c>
      <c r="J4168" s="17" t="n">
        <v>35</v>
      </c>
      <c r="K4168" s="17" t="n">
        <v>48.11</v>
      </c>
      <c r="L4168" s="17" t="n">
        <v>25.86</v>
      </c>
      <c r="M4168" s="17" t="n">
        <v>0</v>
      </c>
      <c r="N4168" s="17">
        <f>K4168*0.08+L4168*0.08</f>
        <v/>
      </c>
      <c r="O4168" s="17">
        <f>-(K4168*0.025+L4168*0.025)</f>
        <v/>
      </c>
      <c r="P4168" s="17">
        <f>32</f>
        <v/>
      </c>
      <c r="Q4168" s="17">
        <f>J4168+L4168+N4168+O4168-P4168-M4168</f>
        <v/>
      </c>
    </row>
    <row r="4169">
      <c r="A4169" s="16" t="inlineStr">
        <is>
          <t>5.29-6.4</t>
        </is>
      </c>
      <c r="B4169" s="16" t="inlineStr">
        <is>
          <t>PO-128-21730003599991134</t>
        </is>
      </c>
      <c r="C4169" s="16" t="inlineStr">
        <is>
          <t>Delivered</t>
        </is>
      </c>
      <c r="D4169" s="16" t="inlineStr">
        <is>
          <t>128-21730008842871134</t>
        </is>
      </c>
      <c r="E4169" s="16" t="inlineStr">
        <is>
          <t>Delivered</t>
        </is>
      </c>
      <c r="F4169" s="16" t="inlineStr">
        <is>
          <t>LB02235-negro</t>
        </is>
      </c>
      <c r="G4169" s="16" t="inlineStr">
        <is>
          <t>Audífonos Inalámbricos para la Cabeza, Recargables y Multifuncionales - Conectan a Varios Dispositivos, soportan Radio FM, Tarjeta TF y AUX - 4 Horas de Reproducción Musical - Ideal para Trabajo Cotidiano, Juegos y Estudio</t>
        </is>
      </c>
      <c r="H4169" s="16" t="inlineStr">
        <is>
          <t>NEGRO</t>
        </is>
      </c>
      <c r="I4169" s="16" t="n">
        <v>1</v>
      </c>
      <c r="J4169" s="17" t="n">
        <v>35</v>
      </c>
      <c r="K4169" s="17" t="n">
        <v>48.11</v>
      </c>
      <c r="L4169" s="17" t="n">
        <v>25.86</v>
      </c>
      <c r="M4169" s="17" t="n">
        <v>0</v>
      </c>
      <c r="N4169" s="17">
        <f>K4169*0.08+L4169*0.08</f>
        <v/>
      </c>
      <c r="O4169" s="17">
        <f>-(K4169*0.025+L4169*0.025)</f>
        <v/>
      </c>
      <c r="P4169" s="17">
        <f>32</f>
        <v/>
      </c>
      <c r="Q4169" s="17">
        <f>J4169+L4169+N4169+O4169-P4169-M4169</f>
        <v/>
      </c>
    </row>
    <row r="4170">
      <c r="A4170" s="16" t="inlineStr">
        <is>
          <t>5.29-6.4</t>
        </is>
      </c>
      <c r="B4170" s="16" t="inlineStr">
        <is>
          <t>PO-128-21742915943031955</t>
        </is>
      </c>
      <c r="C4170" s="16" t="inlineStr">
        <is>
          <t>Delivered</t>
        </is>
      </c>
      <c r="D4170" s="16" t="inlineStr">
        <is>
          <t>128-21742873999991955</t>
        </is>
      </c>
      <c r="E4170" s="16" t="inlineStr">
        <is>
          <t>Delivered</t>
        </is>
      </c>
      <c r="F4170" s="16" t="inlineStr">
        <is>
          <t>LB02235-azul</t>
        </is>
      </c>
      <c r="G4170" s="16" t="inlineStr">
        <is>
          <t>Audífonos Inalámbricos para la Cabeza, Recargables y Multifuncionales - Conectan a Varios Dispositivos, soportan Radio FM, Tarjeta TF y AUX - 4 Horas de Reproducción Musical - Ideal para Trabajo Cotidiano, Juegos y Estudio</t>
        </is>
      </c>
      <c r="H4170" s="16" t="inlineStr">
        <is>
          <t>AZUL</t>
        </is>
      </c>
      <c r="I4170" s="16" t="n">
        <v>1</v>
      </c>
      <c r="J4170" s="17" t="n">
        <v>29.9</v>
      </c>
      <c r="K4170" s="17" t="n">
        <v>43.01</v>
      </c>
      <c r="L4170" s="17" t="n">
        <v>7.98</v>
      </c>
      <c r="M4170" s="17" t="n">
        <v>0</v>
      </c>
      <c r="N4170" s="17">
        <f>K4170*0.08+L4170*0.08</f>
        <v/>
      </c>
      <c r="O4170" s="17">
        <f>-(K4170*0.025+L4170*0.025)</f>
        <v/>
      </c>
      <c r="P4170" s="17">
        <f>32</f>
        <v/>
      </c>
      <c r="Q4170" s="17">
        <f>J4170+L4170+N4170+O4170-P4170-M4170</f>
        <v/>
      </c>
    </row>
    <row r="4171">
      <c r="A4171" s="16" t="inlineStr">
        <is>
          <t>5.29-6.4</t>
        </is>
      </c>
      <c r="B4171" s="16" t="inlineStr">
        <is>
          <t>PO-128-21742915943031955</t>
        </is>
      </c>
      <c r="C4171" s="16" t="inlineStr">
        <is>
          <t>Delivered</t>
        </is>
      </c>
      <c r="D4171" s="16" t="inlineStr">
        <is>
          <t>128-21742832056951955</t>
        </is>
      </c>
      <c r="E4171" s="16" t="inlineStr">
        <is>
          <t>Delivered</t>
        </is>
      </c>
      <c r="F4171" s="16" t="inlineStr">
        <is>
          <t>LB02235-negro</t>
        </is>
      </c>
      <c r="G4171" s="16" t="inlineStr">
        <is>
          <t>Audífonos Inalámbricos para la Cabeza, Recargables y Multifuncionales - Conectan a Varios Dispositivos, soportan Radio FM, Tarjeta TF y AUX - 4 Horas de Reproducción Musical - Ideal para Trabajo Cotidiano, Juegos y Estudio</t>
        </is>
      </c>
      <c r="H4171" s="16" t="inlineStr">
        <is>
          <t>NEGRO</t>
        </is>
      </c>
      <c r="I4171" s="16" t="n">
        <v>1</v>
      </c>
      <c r="J4171" s="17" t="n">
        <v>35</v>
      </c>
      <c r="K4171" s="17" t="n">
        <v>48.11</v>
      </c>
      <c r="L4171" s="17" t="n">
        <v>8.949999999999999</v>
      </c>
      <c r="M4171" s="17" t="n">
        <v>0</v>
      </c>
      <c r="N4171" s="17">
        <f>K4171*0.08+L4171*0.08</f>
        <v/>
      </c>
      <c r="O4171" s="17">
        <f>-(K4171*0.025+L4171*0.025)</f>
        <v/>
      </c>
      <c r="P4171" s="17">
        <f>32</f>
        <v/>
      </c>
      <c r="Q4171" s="17">
        <f>J4171+L4171+N4171+O4171-P4171-M4171</f>
        <v/>
      </c>
    </row>
    <row r="4172">
      <c r="A4172" s="16" t="inlineStr">
        <is>
          <t>5.29-6.4</t>
        </is>
      </c>
      <c r="B4172" s="16" t="inlineStr">
        <is>
          <t>PO-128-21742915943031955</t>
        </is>
      </c>
      <c r="C4172" s="16" t="inlineStr">
        <is>
          <t>Delivered</t>
        </is>
      </c>
      <c r="D4172" s="16" t="inlineStr">
        <is>
          <t>128-21742894971511955</t>
        </is>
      </c>
      <c r="E4172" s="16" t="inlineStr">
        <is>
          <t>Delivered</t>
        </is>
      </c>
      <c r="F4172" s="16" t="inlineStr">
        <is>
          <t>LB02235-blanco</t>
        </is>
      </c>
      <c r="G4172" s="16" t="inlineStr">
        <is>
          <t>Audífonos Inalámbricos para la Cabeza, Recargables y Multifuncionales - Conectan a Varios Dispositivos, soportan Radio FM, Tarjeta TF y AUX - 4 Horas de Reproducción Musical - Ideal para Trabajo Cotidiano, Juegos y Estudio</t>
        </is>
      </c>
      <c r="H4172" s="16" t="inlineStr">
        <is>
          <t>BLANCO</t>
        </is>
      </c>
      <c r="I4172" s="16" t="n">
        <v>1</v>
      </c>
      <c r="J4172" s="17" t="n">
        <v>35</v>
      </c>
      <c r="K4172" s="17" t="n">
        <v>48.11</v>
      </c>
      <c r="L4172" s="17" t="n">
        <v>8.93</v>
      </c>
      <c r="M4172" s="17" t="n">
        <v>0</v>
      </c>
      <c r="N4172" s="17">
        <f>K4172*0.08+L4172*0.08</f>
        <v/>
      </c>
      <c r="O4172" s="17">
        <f>-(K4172*0.025+L4172*0.025)</f>
        <v/>
      </c>
      <c r="P4172" s="17">
        <f>32</f>
        <v/>
      </c>
      <c r="Q4172" s="17">
        <f>J4172+L4172+N4172+O4172-P4172-M4172</f>
        <v/>
      </c>
    </row>
    <row r="4173">
      <c r="A4173" s="16" t="inlineStr">
        <is>
          <t>5.29-6.4</t>
        </is>
      </c>
      <c r="B4173" s="16" t="inlineStr">
        <is>
          <t>PO-128-21564482729592952</t>
        </is>
      </c>
      <c r="C4173" s="16" t="inlineStr">
        <is>
          <t>Delivered</t>
        </is>
      </c>
      <c r="D4173" s="16" t="inlineStr">
        <is>
          <t>128-21564493215352952</t>
        </is>
      </c>
      <c r="E4173" s="16" t="inlineStr">
        <is>
          <t>Delivered</t>
        </is>
      </c>
      <c r="F4173" s="16" t="inlineStr">
        <is>
          <t>LB02235-blanco</t>
        </is>
      </c>
      <c r="G4173" s="16" t="inlineStr">
        <is>
          <t>Audífonos Inalámbricos para la Cabeza, Recargables y Multifuncionales - Conectan a Varios Dispositivos, soportan Radio FM, Tarjeta TF y AUX - 4 Horas de Reproducción Musical - Ideal para Trabajo Cotidiano, Juegos y Estudio</t>
        </is>
      </c>
      <c r="H4173" s="16" t="inlineStr">
        <is>
          <t>BLANCO</t>
        </is>
      </c>
      <c r="I4173" s="16" t="n">
        <v>1</v>
      </c>
      <c r="J4173" s="17" t="n">
        <v>35</v>
      </c>
      <c r="K4173" s="17" t="n">
        <v>25.77</v>
      </c>
      <c r="L4173" s="17" t="n">
        <v>25.86</v>
      </c>
      <c r="M4173" s="17" t="n">
        <v>0</v>
      </c>
      <c r="N4173" s="17">
        <f>K4173*0.08+L4173*0.08</f>
        <v/>
      </c>
      <c r="O4173" s="17">
        <f>-(K4173*0.025+L4173*0.025)</f>
        <v/>
      </c>
      <c r="P4173" s="17">
        <f>32</f>
        <v/>
      </c>
      <c r="Q4173" s="17">
        <f>J4173+L4173+N4173+O4173-P4173-M4173</f>
        <v/>
      </c>
    </row>
    <row r="4174">
      <c r="A4174" s="16" t="inlineStr">
        <is>
          <t>5.29-6.4</t>
        </is>
      </c>
      <c r="B4174" s="16" t="inlineStr">
        <is>
          <t>PO-128-21323382098553559</t>
        </is>
      </c>
      <c r="C4174" s="16" t="inlineStr">
        <is>
          <t>Delivered</t>
        </is>
      </c>
      <c r="D4174" s="16" t="inlineStr">
        <is>
          <t>128-21323409623673559</t>
        </is>
      </c>
      <c r="E4174" s="16" t="inlineStr">
        <is>
          <t>Delivered</t>
        </is>
      </c>
      <c r="F4174" s="16" t="inlineStr">
        <is>
          <t>MCM-001R</t>
        </is>
      </c>
      <c r="G4174" s="16" t="inlineStr">
        <is>
          <t>Musicord Altavoz Inalámbrico BT Portátil: ¡Sonido impactante, luces LED multicolores y 4 horas de autonomía! Compatible con TWS, FM, TF y USB – Imprescindible para fiestas y viajes</t>
        </is>
      </c>
      <c r="H4174" s="16" t="inlineStr">
        <is>
          <t>ROJO</t>
        </is>
      </c>
      <c r="I4174" s="16" t="n">
        <v>1</v>
      </c>
      <c r="J4174" s="17" t="n">
        <v>51</v>
      </c>
      <c r="K4174" s="17" t="n">
        <v>58.79</v>
      </c>
      <c r="L4174" s="17" t="n">
        <v>10.63</v>
      </c>
      <c r="M4174" s="17" t="n">
        <v>0</v>
      </c>
      <c r="N4174" s="17">
        <f>K4174*0.08+L4174*0.08</f>
        <v/>
      </c>
      <c r="O4174" s="17">
        <f>-(K4174*0.025+L4174*0.025)</f>
        <v/>
      </c>
      <c r="P4174" s="17">
        <f>32</f>
        <v/>
      </c>
      <c r="Q4174" s="17">
        <f>J4174+L4174+N4174+O4174-P4174-M4174</f>
        <v/>
      </c>
    </row>
    <row r="4175">
      <c r="A4175" s="16" t="inlineStr">
        <is>
          <t>5.29-6.4</t>
        </is>
      </c>
      <c r="B4175" s="16" t="inlineStr">
        <is>
          <t>PO-128-21323382098553559</t>
        </is>
      </c>
      <c r="C4175" s="16" t="inlineStr">
        <is>
          <t>Delivered</t>
        </is>
      </c>
      <c r="D4175" s="16" t="inlineStr">
        <is>
          <t>128-21323420109433559</t>
        </is>
      </c>
      <c r="E4175" s="16" t="inlineStr">
        <is>
          <t>Delivered</t>
        </is>
      </c>
      <c r="F4175" s="16" t="inlineStr">
        <is>
          <t>MB-185A</t>
        </is>
      </c>
      <c r="G4175" s="16" t="inlineStr">
        <is>
          <t>Bocina Radio FM/Reproductor, Compatible con Tarjeta TF, USB, Bluetooth, Aplicable para celular, computadora, Ipad y consola.</t>
        </is>
      </c>
      <c r="H4175" s="16" t="inlineStr">
        <is>
          <t>AZUL/MB-185</t>
        </is>
      </c>
      <c r="I4175" s="16" t="n">
        <v>1</v>
      </c>
      <c r="J4175" s="17" t="n">
        <v>71.31</v>
      </c>
      <c r="K4175" s="17" t="n">
        <v>84.23999999999999</v>
      </c>
      <c r="L4175" s="17" t="n">
        <v>15.23</v>
      </c>
      <c r="M4175" s="17" t="n">
        <v>0</v>
      </c>
      <c r="N4175" s="17">
        <f>K4175*0.08+L4175*0.08</f>
        <v/>
      </c>
      <c r="O4175" s="17">
        <f>-(K4175*0.025+L4175*0.025)</f>
        <v/>
      </c>
      <c r="P4175" s="17">
        <f>32</f>
        <v/>
      </c>
      <c r="Q4175" s="17">
        <f>J4175+L4175+N4175+O4175-P4175-M4175</f>
        <v/>
      </c>
    </row>
    <row r="4176">
      <c r="A4176" s="16" t="inlineStr">
        <is>
          <t>5.29-6.4</t>
        </is>
      </c>
      <c r="B4176" s="16" t="inlineStr">
        <is>
          <t>PO-128-21842426634870273</t>
        </is>
      </c>
      <c r="C4176" s="16" t="inlineStr">
        <is>
          <t>Delivered</t>
        </is>
      </c>
      <c r="D4176" s="16" t="inlineStr">
        <is>
          <t>128-21842590474870273</t>
        </is>
      </c>
      <c r="E4176" s="16" t="inlineStr">
        <is>
          <t>Delivered</t>
        </is>
      </c>
      <c r="F4176" s="16" t="inlineStr">
        <is>
          <t>LB02235-rojo</t>
        </is>
      </c>
      <c r="G4176" s="16" t="inlineStr">
        <is>
          <t>Audífonos Inalámbricos para la Cabeza, Recargables y Multifuncionales - Conectan a Varios Dispositivos, soportan Radio FM, Tarjeta TF y AUX - 4 Horas de Reproducción Musical - Ideal para Trabajo Cotidiano, Juegos y Estudio</t>
        </is>
      </c>
      <c r="H4176" s="16" t="inlineStr">
        <is>
          <t>ROJO</t>
        </is>
      </c>
      <c r="I4176" s="16" t="n">
        <v>1</v>
      </c>
      <c r="J4176" s="17" t="n">
        <v>35</v>
      </c>
      <c r="K4176" s="17" t="n">
        <v>48.11</v>
      </c>
      <c r="L4176" s="17" t="n">
        <v>25.86</v>
      </c>
      <c r="M4176" s="17" t="n">
        <v>0</v>
      </c>
      <c r="N4176" s="17">
        <f>K4176*0.08+L4176*0.08</f>
        <v/>
      </c>
      <c r="O4176" s="17">
        <f>-(K4176*0.025+L4176*0.025)</f>
        <v/>
      </c>
      <c r="P4176" s="17">
        <f>32</f>
        <v/>
      </c>
      <c r="Q4176" s="17">
        <f>J4176+L4176+N4176+O4176-P4176-M4176</f>
        <v/>
      </c>
    </row>
    <row r="4177">
      <c r="A4177" s="16" t="inlineStr">
        <is>
          <t>5.29-6.4</t>
        </is>
      </c>
      <c r="B4177" s="16" t="inlineStr">
        <is>
          <t>PO-128-21372842701433134</t>
        </is>
      </c>
      <c r="C4177" s="16" t="inlineStr">
        <is>
          <t>Delivered</t>
        </is>
      </c>
      <c r="D4177" s="16" t="inlineStr">
        <is>
          <t>128-21372853187193134</t>
        </is>
      </c>
      <c r="E4177" s="16" t="inlineStr">
        <is>
          <t>Delivered</t>
        </is>
      </c>
      <c r="F4177" s="16" t="inlineStr">
        <is>
          <t>LB02235-rojo</t>
        </is>
      </c>
      <c r="G4177" s="16" t="inlineStr">
        <is>
          <t>Audífonos Inalámbricos para la Cabeza, Recargables y Multifuncionales - Conectan a Varios Dispositivos, soportan Radio FM, Tarjeta TF y AUX - 4 Horas de Reproducción Musical - Ideal para Trabajo Cotidiano, Juegos y Estudio</t>
        </is>
      </c>
      <c r="H4177" s="16" t="inlineStr">
        <is>
          <t>ROJO</t>
        </is>
      </c>
      <c r="I4177" s="16" t="n">
        <v>1</v>
      </c>
      <c r="J4177" s="17" t="n">
        <v>35</v>
      </c>
      <c r="K4177" s="17" t="n">
        <v>38.49</v>
      </c>
      <c r="L4177" s="17" t="n">
        <v>25.86</v>
      </c>
      <c r="M4177" s="17" t="n">
        <v>0</v>
      </c>
      <c r="N4177" s="17">
        <f>K4177*0.08+L4177*0.08</f>
        <v/>
      </c>
      <c r="O4177" s="17">
        <f>-(K4177*0.025+L4177*0.025)</f>
        <v/>
      </c>
      <c r="P4177" s="17">
        <f>32</f>
        <v/>
      </c>
      <c r="Q4177" s="17">
        <f>J4177+L4177+N4177+O4177-P4177-M4177</f>
        <v/>
      </c>
    </row>
    <row r="4178">
      <c r="A4178" s="16" t="inlineStr">
        <is>
          <t>5.29-6.4</t>
        </is>
      </c>
      <c r="B4178" s="16" t="inlineStr">
        <is>
          <t>PO-128-21671535109751290</t>
        </is>
      </c>
      <c r="C4178" s="16" t="inlineStr">
        <is>
          <t>Delivered</t>
        </is>
      </c>
      <c r="D4178" s="16" t="inlineStr">
        <is>
          <t>128-21671514138231290</t>
        </is>
      </c>
      <c r="E4178" s="16" t="inlineStr">
        <is>
          <t>Delivered</t>
        </is>
      </c>
      <c r="F4178" s="16" t="inlineStr">
        <is>
          <t>LB02235-azul</t>
        </is>
      </c>
      <c r="G4178" s="16" t="inlineStr">
        <is>
          <t>Audífonos Inalámbricos para la Cabeza, Recargables y Multifuncionales - Conectan a Varios Dispositivos, soportan Radio FM, Tarjeta TF y AUX - 4 Horas de Reproducción Musical - Ideal para Trabajo Cotidiano, Juegos y Estudio</t>
        </is>
      </c>
      <c r="H4178" s="16" t="inlineStr">
        <is>
          <t>AZUL</t>
        </is>
      </c>
      <c r="I4178" s="16" t="n">
        <v>1</v>
      </c>
      <c r="J4178" s="17" t="n">
        <v>29.9</v>
      </c>
      <c r="K4178" s="17" t="n">
        <v>43.01</v>
      </c>
      <c r="L4178" s="17" t="n">
        <v>25.86</v>
      </c>
      <c r="M4178" s="17" t="n">
        <v>0</v>
      </c>
      <c r="N4178" s="17">
        <f>K4178*0.08+L4178*0.08</f>
        <v/>
      </c>
      <c r="O4178" s="17">
        <f>-(K4178*0.025+L4178*0.025)</f>
        <v/>
      </c>
      <c r="P4178" s="17">
        <f>32</f>
        <v/>
      </c>
      <c r="Q4178" s="17">
        <f>J4178+L4178+N4178+O4178-P4178-M4178</f>
        <v/>
      </c>
    </row>
    <row r="4179">
      <c r="A4179" s="16" t="inlineStr">
        <is>
          <t>5.29-6.4</t>
        </is>
      </c>
      <c r="B4179" s="16" t="inlineStr">
        <is>
          <t>PO-128-21930364068470773</t>
        </is>
      </c>
      <c r="C4179" s="16" t="inlineStr">
        <is>
          <t>Delivered</t>
        </is>
      </c>
      <c r="D4179" s="16" t="inlineStr">
        <is>
          <t>128-21930377175670773</t>
        </is>
      </c>
      <c r="E4179" s="16" t="inlineStr">
        <is>
          <t>Delivered</t>
        </is>
      </c>
      <c r="F4179" s="16" t="inlineStr">
        <is>
          <t>LV64W25</t>
        </is>
      </c>
      <c r="G4179" s="16" t="inlineStr">
        <is>
          <t>Ventilador de Techo LED TIANLAI con 5 Aspas, Control Remoto, 3 Colores Luz, 3 Velocidades, Temporizador, Fácil Instalación, E27 para Baño Cocina Dormitorio Salón</t>
        </is>
      </c>
      <c r="H4179" s="16" t="inlineStr">
        <is>
          <t>LV64W25</t>
        </is>
      </c>
      <c r="I4179" s="16" t="n">
        <v>1</v>
      </c>
      <c r="J4179" s="17" t="n">
        <v>99</v>
      </c>
      <c r="K4179" s="17" t="n">
        <v>132.2</v>
      </c>
      <c r="L4179" s="17" t="n">
        <v>25.86</v>
      </c>
      <c r="M4179" s="17" t="n">
        <v>0</v>
      </c>
      <c r="N4179" s="17">
        <f>K4179*0.08+L4179*0.08</f>
        <v/>
      </c>
      <c r="O4179" s="17">
        <f>-(K4179*0.025+L4179*0.025)</f>
        <v/>
      </c>
      <c r="P4179" s="17">
        <f>32</f>
        <v/>
      </c>
      <c r="Q4179" s="17">
        <f>J4179+L4179+N4179+O4179-P4179-M4179</f>
        <v/>
      </c>
    </row>
    <row r="4180">
      <c r="A4180" s="16" t="inlineStr">
        <is>
          <t>5.29-6.4</t>
        </is>
      </c>
      <c r="B4180" s="16" t="inlineStr">
        <is>
          <t>PO-128-21854067922550330</t>
        </is>
      </c>
      <c r="C4180" s="16" t="inlineStr">
        <is>
          <t>Delivered</t>
        </is>
      </c>
      <c r="D4180" s="16" t="inlineStr">
        <is>
          <t>128-21854025979510330</t>
        </is>
      </c>
      <c r="E4180" s="16" t="inlineStr">
        <is>
          <t>Delivered</t>
        </is>
      </c>
      <c r="F4180" s="16" t="inlineStr">
        <is>
          <t>LB02235-azul</t>
        </is>
      </c>
      <c r="G4180" s="16" t="inlineStr">
        <is>
          <t>Audífonos Inalámbricos para la Cabeza, Recargables y Multifuncionales - Conectan a Varios Dispositivos, soportan Radio FM, Tarjeta TF y AUX - 4 Horas de Reproducción Musical - Ideal para Trabajo Cotidiano, Juegos y Estudio</t>
        </is>
      </c>
      <c r="H4180" s="16" t="inlineStr">
        <is>
          <t>AZUL</t>
        </is>
      </c>
      <c r="I4180" s="16" t="n">
        <v>1</v>
      </c>
      <c r="J4180" s="17" t="n">
        <v>29.9</v>
      </c>
      <c r="K4180" s="17" t="n">
        <v>43.01</v>
      </c>
      <c r="L4180" s="17" t="n">
        <v>25.86</v>
      </c>
      <c r="M4180" s="17" t="n">
        <v>0</v>
      </c>
      <c r="N4180" s="17">
        <f>K4180*0.08+L4180*0.08</f>
        <v/>
      </c>
      <c r="O4180" s="17">
        <f>-(K4180*0.025+L4180*0.025)</f>
        <v/>
      </c>
      <c r="P4180" s="17">
        <f>32</f>
        <v/>
      </c>
      <c r="Q4180" s="17">
        <f>J4180+L4180+N4180+O4180-P4180-M4180</f>
        <v/>
      </c>
    </row>
    <row r="4181">
      <c r="A4181" s="16" t="inlineStr">
        <is>
          <t>5.29-6.4</t>
        </is>
      </c>
      <c r="B4181" s="16" t="inlineStr">
        <is>
          <t>PO-128-21360793375353270</t>
        </is>
      </c>
      <c r="C4181" s="16" t="inlineStr">
        <is>
          <t>Delivered</t>
        </is>
      </c>
      <c r="D4181" s="16" t="inlineStr">
        <is>
          <t>128-21360835318393270</t>
        </is>
      </c>
      <c r="E4181" s="16" t="inlineStr">
        <is>
          <t>Delivered</t>
        </is>
      </c>
      <c r="F4181" s="16" t="inlineStr">
        <is>
          <t>SA325T</t>
        </is>
      </c>
      <c r="G4181" s="16" t="inlineStr">
        <is>
          <t>Subwoofer Portátil Inalámbrico con Luces RGB, Sonido de Alta Potencia y Batería Duradera, TWS TF USB, Perfecto para Campamento Fiestas y Entretenimiento en Casa</t>
        </is>
      </c>
      <c r="H4181" s="16" t="inlineStr">
        <is>
          <t>NEGRO</t>
        </is>
      </c>
      <c r="I4181" s="16" t="n">
        <v>1</v>
      </c>
      <c r="J4181" s="17" t="n">
        <v>36</v>
      </c>
      <c r="K4181" s="17" t="n">
        <v>45.04</v>
      </c>
      <c r="L4181" s="17" t="n">
        <v>25.86</v>
      </c>
      <c r="M4181" s="17" t="n">
        <v>0</v>
      </c>
      <c r="N4181" s="17">
        <f>K4181*0.08+L4181*0.08</f>
        <v/>
      </c>
      <c r="O4181" s="17">
        <f>-(K4181*0.025+L4181*0.025)</f>
        <v/>
      </c>
      <c r="P4181" s="17">
        <f>32</f>
        <v/>
      </c>
      <c r="Q4181" s="17">
        <f>J4181+L4181+N4181+O4181-P4181-M4181</f>
        <v/>
      </c>
    </row>
    <row r="4182">
      <c r="A4182" s="16" t="inlineStr">
        <is>
          <t>5.29-6.4</t>
        </is>
      </c>
      <c r="B4182" s="16" t="inlineStr">
        <is>
          <t>PO-128-21951094395510648</t>
        </is>
      </c>
      <c r="C4182" s="16" t="inlineStr">
        <is>
          <t>Delivered</t>
        </is>
      </c>
      <c r="D4182" s="16" t="inlineStr">
        <is>
          <t>128-21951031480950648</t>
        </is>
      </c>
      <c r="E4182" s="16" t="inlineStr">
        <is>
          <t>Delivered</t>
        </is>
      </c>
      <c r="F4182" s="16" t="inlineStr">
        <is>
          <t>VA880T</t>
        </is>
      </c>
      <c r="G4182"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182" s="16" t="inlineStr">
        <is>
          <t>1 pieza</t>
        </is>
      </c>
      <c r="I4182" s="16" t="n">
        <v>2</v>
      </c>
      <c r="J4182" s="17" t="n">
        <v>226</v>
      </c>
      <c r="K4182" s="17" t="n">
        <v>206.75</v>
      </c>
      <c r="L4182" s="17" t="n">
        <v>0</v>
      </c>
      <c r="M4182" s="17" t="n">
        <v>0</v>
      </c>
      <c r="N4182" s="17">
        <f>K4182*0.08+L4182*0.08</f>
        <v/>
      </c>
      <c r="O4182" s="17">
        <f>-(K4182*0.025+L4182*0.025)</f>
        <v/>
      </c>
      <c r="P4182" s="17">
        <f>32</f>
        <v/>
      </c>
      <c r="Q4182" s="17">
        <f>J4182+L4182+N4182+O4182-P4182-M4182</f>
        <v/>
      </c>
    </row>
    <row r="4183">
      <c r="A4183" s="16" t="inlineStr">
        <is>
          <t>5.29-6.4</t>
        </is>
      </c>
      <c r="B4183" s="16" t="inlineStr">
        <is>
          <t>PO-128-21951094395510648</t>
        </is>
      </c>
      <c r="C4183" s="16" t="inlineStr">
        <is>
          <t>Delivered</t>
        </is>
      </c>
      <c r="D4183" s="16" t="inlineStr">
        <is>
          <t>128-21951115367030648</t>
        </is>
      </c>
      <c r="E4183" s="16" t="inlineStr">
        <is>
          <t>Delivered</t>
        </is>
      </c>
      <c r="F4183" s="16" t="inlineStr">
        <is>
          <t>SA325T</t>
        </is>
      </c>
      <c r="G4183" s="16" t="inlineStr">
        <is>
          <t>Subwoofer Portátil Inalámbrico con Luces RGB, Sonido de Alta Potencia y Batería Duradera, TWS TF USB, Perfecto para Campamento Fiestas y Entretenimiento en Casa</t>
        </is>
      </c>
      <c r="H4183" s="16" t="inlineStr">
        <is>
          <t>NEGRO</t>
        </is>
      </c>
      <c r="I4183" s="16" t="n">
        <v>1</v>
      </c>
      <c r="J4183" s="17" t="n">
        <v>36</v>
      </c>
      <c r="K4183" s="17" t="n">
        <v>45.04</v>
      </c>
      <c r="L4183" s="17" t="n">
        <v>0</v>
      </c>
      <c r="M4183" s="17" t="n">
        <v>45.04</v>
      </c>
      <c r="N4183" s="17">
        <f>K4183*0.08+L4183*0.08</f>
        <v/>
      </c>
      <c r="O4183" s="17">
        <f>-(K4183*0.025+L4183*0.025)</f>
        <v/>
      </c>
      <c r="P4183" s="17">
        <f>32</f>
        <v/>
      </c>
      <c r="Q4183" s="17">
        <f>J4183+L4183+N4183+O4183-P4183-M4183</f>
        <v/>
      </c>
    </row>
    <row r="4184">
      <c r="A4184" s="16" t="inlineStr">
        <is>
          <t>5.29-6.4</t>
        </is>
      </c>
      <c r="B4184" s="16" t="inlineStr">
        <is>
          <t>PO-128-21947813934710669</t>
        </is>
      </c>
      <c r="C4184" s="16" t="inlineStr">
        <is>
          <t>Delivered</t>
        </is>
      </c>
      <c r="D4184" s="16" t="inlineStr">
        <is>
          <t>128-21947918792310669</t>
        </is>
      </c>
      <c r="E4184" s="16" t="inlineStr">
        <is>
          <t>Delivered</t>
        </is>
      </c>
      <c r="F4184" s="16" t="inlineStr">
        <is>
          <t>SA325T</t>
        </is>
      </c>
      <c r="G4184" s="16" t="inlineStr">
        <is>
          <t>Subwoofer Portátil Inalámbrico con Luces RGB, Sonido de Alta Potencia y Batería Duradera, TWS TF USB, Perfecto para Campamento Fiestas y Entretenimiento en Casa</t>
        </is>
      </c>
      <c r="H4184" s="16" t="inlineStr">
        <is>
          <t>NEGRO</t>
        </is>
      </c>
      <c r="I4184" s="16" t="n">
        <v>1</v>
      </c>
      <c r="J4184" s="17" t="n">
        <v>36</v>
      </c>
      <c r="K4184" s="17" t="n">
        <v>36.03</v>
      </c>
      <c r="L4184" s="17" t="n">
        <v>25.86</v>
      </c>
      <c r="M4184" s="17" t="n">
        <v>0</v>
      </c>
      <c r="N4184" s="17">
        <f>K4184*0.08+L4184*0.08</f>
        <v/>
      </c>
      <c r="O4184" s="17">
        <f>-(K4184*0.025+L4184*0.025)</f>
        <v/>
      </c>
      <c r="P4184" s="17">
        <f>32</f>
        <v/>
      </c>
      <c r="Q4184" s="17">
        <f>J4184+L4184+N4184+O4184-P4184-M4184</f>
        <v/>
      </c>
    </row>
    <row r="4185">
      <c r="A4185" s="16" t="inlineStr">
        <is>
          <t>5.29-6.4</t>
        </is>
      </c>
      <c r="B4185" s="16" t="inlineStr">
        <is>
          <t>PO-128-21544814720632111</t>
        </is>
      </c>
      <c r="C4185" s="16" t="inlineStr">
        <is>
          <t>Delivered</t>
        </is>
      </c>
      <c r="D4185" s="16" t="inlineStr">
        <is>
          <t>128-21544951035512111</t>
        </is>
      </c>
      <c r="E4185" s="16" t="inlineStr">
        <is>
          <t>Delivered</t>
        </is>
      </c>
      <c r="F4185" s="16" t="inlineStr">
        <is>
          <t>LB02235-azul</t>
        </is>
      </c>
      <c r="G4185" s="16" t="inlineStr">
        <is>
          <t>Audífonos Inalámbricos para la Cabeza, Recargables y Multifuncionales - Conectan a Varios Dispositivos, soportan Radio FM, Tarjeta TF y AUX - 4 Horas de Reproducción Musical - Ideal para Trabajo Cotidiano, Juegos y Estudio</t>
        </is>
      </c>
      <c r="H4185" s="16" t="inlineStr">
        <is>
          <t>AZUL</t>
        </is>
      </c>
      <c r="I4185" s="16" t="n">
        <v>1</v>
      </c>
      <c r="J4185" s="17" t="n">
        <v>29.9</v>
      </c>
      <c r="K4185" s="17" t="n">
        <v>2.32</v>
      </c>
      <c r="L4185" s="17" t="n">
        <v>12.2</v>
      </c>
      <c r="M4185" s="17" t="n">
        <v>0</v>
      </c>
      <c r="N4185" s="17">
        <f>K4185*0.08+L4185*0.08</f>
        <v/>
      </c>
      <c r="O4185" s="17">
        <f>-(K4185*0.025+L4185*0.025)</f>
        <v/>
      </c>
      <c r="P4185" s="17">
        <f>32</f>
        <v/>
      </c>
      <c r="Q4185" s="17">
        <f>J4185+L4185+N4185+O4185-P4185-M4185</f>
        <v/>
      </c>
    </row>
    <row r="4186">
      <c r="A4186" s="16" t="inlineStr">
        <is>
          <t>5.29-6.4</t>
        </is>
      </c>
      <c r="B4186" s="16" t="inlineStr">
        <is>
          <t>PO-128-21544814720632111</t>
        </is>
      </c>
      <c r="C4186" s="16" t="inlineStr">
        <is>
          <t>Delivered</t>
        </is>
      </c>
      <c r="D4186" s="16" t="inlineStr">
        <is>
          <t>128-21544909092472111</t>
        </is>
      </c>
      <c r="E4186" s="16" t="inlineStr">
        <is>
          <t>Delivered</t>
        </is>
      </c>
      <c r="F4186" s="16" t="inlineStr">
        <is>
          <t>LB02235-rojo</t>
        </is>
      </c>
      <c r="G4186" s="16" t="inlineStr">
        <is>
          <t>Audífonos Inalámbricos para la Cabeza, Recargables y Multifuncionales - Conectan a Varios Dispositivos, soportan Radio FM, Tarjeta TF y AUX - 4 Horas de Reproducción Musical - Ideal para Trabajo Cotidiano, Juegos y Estudio</t>
        </is>
      </c>
      <c r="H4186" s="16" t="inlineStr">
        <is>
          <t>ROJO</t>
        </is>
      </c>
      <c r="I4186" s="16" t="n">
        <v>1</v>
      </c>
      <c r="J4186" s="17" t="n">
        <v>35</v>
      </c>
      <c r="K4186" s="17" t="n">
        <v>2.59</v>
      </c>
      <c r="L4186" s="17" t="n">
        <v>13.66</v>
      </c>
      <c r="M4186" s="17" t="n">
        <v>0</v>
      </c>
      <c r="N4186" s="17">
        <f>K4186*0.08+L4186*0.08</f>
        <v/>
      </c>
      <c r="O4186" s="17">
        <f>-(K4186*0.025+L4186*0.025)</f>
        <v/>
      </c>
      <c r="P4186" s="17">
        <f>32</f>
        <v/>
      </c>
      <c r="Q4186" s="17">
        <f>J4186+L4186+N4186+O4186-P4186-M4186</f>
        <v/>
      </c>
    </row>
    <row r="4187">
      <c r="A4187" s="16" t="inlineStr">
        <is>
          <t>5.29-6.4</t>
        </is>
      </c>
      <c r="B4187" s="16" t="inlineStr">
        <is>
          <t>PO-128-21554281923192119</t>
        </is>
      </c>
      <c r="C4187" s="16" t="inlineStr">
        <is>
          <t>Delivered</t>
        </is>
      </c>
      <c r="D4187" s="16" t="inlineStr">
        <is>
          <t>128-21554350080632119</t>
        </is>
      </c>
      <c r="E4187" s="16" t="inlineStr">
        <is>
          <t>Delivered</t>
        </is>
      </c>
      <c r="F4187" s="16" t="inlineStr">
        <is>
          <t>VA880T</t>
        </is>
      </c>
      <c r="G4187"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187" s="16" t="inlineStr">
        <is>
          <t>1 pieza</t>
        </is>
      </c>
      <c r="I4187" s="16" t="n">
        <v>1</v>
      </c>
      <c r="J4187" s="17" t="n">
        <v>113</v>
      </c>
      <c r="K4187" s="17" t="n">
        <v>125.29</v>
      </c>
      <c r="L4187" s="17" t="n">
        <v>25.86</v>
      </c>
      <c r="M4187" s="17" t="n">
        <v>0</v>
      </c>
      <c r="N4187" s="17">
        <f>K4187*0.08+L4187*0.08</f>
        <v/>
      </c>
      <c r="O4187" s="17">
        <f>-(K4187*0.025+L4187*0.025)</f>
        <v/>
      </c>
      <c r="P4187" s="17">
        <f>32</f>
        <v/>
      </c>
      <c r="Q4187" s="17">
        <f>J4187+L4187+N4187+O4187-P4187-M4187</f>
        <v/>
      </c>
    </row>
    <row r="4188">
      <c r="A4188" s="16" t="inlineStr">
        <is>
          <t>5.29-6.4</t>
        </is>
      </c>
      <c r="B4188" s="16" t="inlineStr">
        <is>
          <t>PO-128-21730532603511130</t>
        </is>
      </c>
      <c r="C4188" s="16" t="inlineStr">
        <is>
          <t>Delivered</t>
        </is>
      </c>
      <c r="D4188" s="16" t="inlineStr">
        <is>
          <t>128-21730585032311130</t>
        </is>
      </c>
      <c r="E4188" s="16" t="inlineStr">
        <is>
          <t>Delivered</t>
        </is>
      </c>
      <c r="F4188" s="16" t="inlineStr">
        <is>
          <t>LB02235-rojo</t>
        </is>
      </c>
      <c r="G4188" s="16" t="inlineStr">
        <is>
          <t>Audífonos Inalámbricos para la Cabeza, Recargables y Multifuncionales - Conectan a Varios Dispositivos, soportan Radio FM, Tarjeta TF y AUX - 4 Horas de Reproducción Musical - Ideal para Trabajo Cotidiano, Juegos y Estudio</t>
        </is>
      </c>
      <c r="H4188" s="16" t="inlineStr">
        <is>
          <t>ROJO</t>
        </is>
      </c>
      <c r="I4188" s="16" t="n">
        <v>1</v>
      </c>
      <c r="J4188" s="17" t="n">
        <v>35</v>
      </c>
      <c r="K4188" s="17" t="n">
        <v>43.3</v>
      </c>
      <c r="L4188" s="17" t="n">
        <v>25.86</v>
      </c>
      <c r="M4188" s="17" t="n">
        <v>0</v>
      </c>
      <c r="N4188" s="17">
        <f>K4188*0.08+L4188*0.08</f>
        <v/>
      </c>
      <c r="O4188" s="17">
        <f>-(K4188*0.025+L4188*0.025)</f>
        <v/>
      </c>
      <c r="P4188" s="17">
        <f>32</f>
        <v/>
      </c>
      <c r="Q4188" s="17">
        <f>J4188+L4188+N4188+O4188-P4188-M4188</f>
        <v/>
      </c>
    </row>
    <row r="4189">
      <c r="A4189" s="16" t="inlineStr">
        <is>
          <t>5.29-6.4</t>
        </is>
      </c>
      <c r="B4189" s="16" t="inlineStr">
        <is>
          <t>PO-128-21637936855672642</t>
        </is>
      </c>
      <c r="C4189" s="16" t="inlineStr">
        <is>
          <t>Delivered</t>
        </is>
      </c>
      <c r="D4189" s="16" t="inlineStr">
        <is>
          <t>128-21637949962872642</t>
        </is>
      </c>
      <c r="E4189" s="16" t="inlineStr">
        <is>
          <t>Delivered</t>
        </is>
      </c>
      <c r="F4189" s="16" t="inlineStr">
        <is>
          <t>LB02235-azul</t>
        </is>
      </c>
      <c r="G4189" s="16" t="inlineStr">
        <is>
          <t>Audífonos Inalámbricos para la Cabeza, Recargables y Multifuncionales - Conectan a Varios Dispositivos, soportan Radio FM, Tarjeta TF y AUX - 4 Horas de Reproducción Musical - Ideal para Trabajo Cotidiano, Juegos y Estudio</t>
        </is>
      </c>
      <c r="H4189" s="16" t="inlineStr">
        <is>
          <t>AZUL</t>
        </is>
      </c>
      <c r="I4189" s="16" t="n">
        <v>1</v>
      </c>
      <c r="J4189" s="17" t="n">
        <v>35</v>
      </c>
      <c r="K4189" s="17" t="n">
        <v>38.61</v>
      </c>
      <c r="L4189" s="17" t="n">
        <v>25.86</v>
      </c>
      <c r="M4189" s="17" t="n">
        <v>0</v>
      </c>
      <c r="N4189" s="17">
        <f>K4189*0.08+L4189*0.08</f>
        <v/>
      </c>
      <c r="O4189" s="17">
        <f>-(K4189*0.025+L4189*0.025)</f>
        <v/>
      </c>
      <c r="P4189" s="17">
        <f>32</f>
        <v/>
      </c>
      <c r="Q4189" s="17">
        <f>J4189+L4189+N4189+O4189-P4189-M4189</f>
        <v/>
      </c>
    </row>
    <row r="4190">
      <c r="A4190" s="16" t="inlineStr">
        <is>
          <t>5.29-6.4</t>
        </is>
      </c>
      <c r="B4190" s="16" t="inlineStr">
        <is>
          <t>PO-128-21828697303670419</t>
        </is>
      </c>
      <c r="C4190" s="16" t="inlineStr">
        <is>
          <t>Delivered</t>
        </is>
      </c>
      <c r="D4190" s="16" t="inlineStr">
        <is>
          <t>128-21828718275190419</t>
        </is>
      </c>
      <c r="E4190" s="16" t="inlineStr">
        <is>
          <t>Delivered</t>
        </is>
      </c>
      <c r="F4190" s="16" t="inlineStr">
        <is>
          <t>MB-178-N</t>
        </is>
      </c>
      <c r="G4190" s="16" t="inlineStr">
        <is>
          <t>Bocina de Barra Bluetooth LINK BITS con dos altavoces, sonido de alta calidad y multifuncional (Bluetooth, Radio FM, USB, TF, AUX, TWS), ideal para juegos, reuniones, oficina y cine en casa.</t>
        </is>
      </c>
      <c r="H4190" s="16" t="inlineStr">
        <is>
          <t>NEGRO</t>
        </is>
      </c>
      <c r="I4190" s="16" t="n">
        <v>1</v>
      </c>
      <c r="J4190" s="17" t="n">
        <v>120</v>
      </c>
      <c r="K4190" s="17" t="n">
        <v>139.34</v>
      </c>
      <c r="L4190" s="17" t="n">
        <v>25.86</v>
      </c>
      <c r="M4190" s="17" t="n">
        <v>0</v>
      </c>
      <c r="N4190" s="17">
        <f>K4190*0.08+L4190*0.08</f>
        <v/>
      </c>
      <c r="O4190" s="17">
        <f>-(K4190*0.025+L4190*0.025)</f>
        <v/>
      </c>
      <c r="P4190" s="17">
        <f>32</f>
        <v/>
      </c>
      <c r="Q4190" s="17">
        <f>J4190+L4190+N4190+O4190-P4190-M4190</f>
        <v/>
      </c>
    </row>
    <row r="4191">
      <c r="A4191" s="16" t="inlineStr">
        <is>
          <t>5.29-6.4</t>
        </is>
      </c>
      <c r="B4191" s="16" t="inlineStr">
        <is>
          <t>PO-128-21477080351352451</t>
        </is>
      </c>
      <c r="C4191" s="16" t="inlineStr">
        <is>
          <t>Delivered</t>
        </is>
      </c>
      <c r="D4191" s="16" t="inlineStr">
        <is>
          <t>128-21477122294392451</t>
        </is>
      </c>
      <c r="E4191" s="16" t="inlineStr">
        <is>
          <t>Delivered</t>
        </is>
      </c>
      <c r="F4191" s="16" t="inlineStr">
        <is>
          <t>MCM-001R</t>
        </is>
      </c>
      <c r="G4191" s="16" t="inlineStr">
        <is>
          <t>Musicord Altavoz Inalámbrico BT Portátil: ¡Sonido impactante, luces LED multicolores y 4 horas de autonomía! Compatible con TWS, FM, TF y USB – Imprescindible para fiestas y viajes</t>
        </is>
      </c>
      <c r="H4191" s="16" t="inlineStr">
        <is>
          <t>ROJO</t>
        </is>
      </c>
      <c r="I4191" s="16" t="n">
        <v>2</v>
      </c>
      <c r="J4191" s="17" t="n">
        <v>102</v>
      </c>
      <c r="K4191" s="17" t="n">
        <v>94.06</v>
      </c>
      <c r="L4191" s="17" t="n">
        <v>0</v>
      </c>
      <c r="M4191" s="17" t="n">
        <v>0</v>
      </c>
      <c r="N4191" s="17">
        <f>K4191*0.08+L4191*0.08</f>
        <v/>
      </c>
      <c r="O4191" s="17">
        <f>-(K4191*0.025+L4191*0.025)</f>
        <v/>
      </c>
      <c r="P4191" s="17">
        <f>32</f>
        <v/>
      </c>
      <c r="Q4191" s="17">
        <f>J4191+L4191+N4191+O4191-P4191-M4191</f>
        <v/>
      </c>
    </row>
    <row r="4192">
      <c r="A4192" s="16" t="inlineStr">
        <is>
          <t>5.29-6.4</t>
        </is>
      </c>
      <c r="B4192" s="16" t="inlineStr">
        <is>
          <t>PO-128-21477080351352451</t>
        </is>
      </c>
      <c r="C4192" s="16" t="inlineStr">
        <is>
          <t>Delivered</t>
        </is>
      </c>
      <c r="D4192" s="16" t="inlineStr">
        <is>
          <t>128-21477174723192451</t>
        </is>
      </c>
      <c r="E4192" s="16" t="inlineStr">
        <is>
          <t>Delivered</t>
        </is>
      </c>
      <c r="F4192" s="16" t="inlineStr">
        <is>
          <t>MCM-001A</t>
        </is>
      </c>
      <c r="G4192" s="16" t="inlineStr">
        <is>
          <t>Musicord Altavoz Inalámbrico BT Portátil: ¡Sonido impactante, luces LED multicolores y 4 horas de autonomía! Compatible con TWS, FM, TF y USB – Imprescindible para fiestas y viajes</t>
        </is>
      </c>
      <c r="H4192" s="16" t="inlineStr">
        <is>
          <t>AZUL</t>
        </is>
      </c>
      <c r="I4192" s="16" t="n">
        <v>2</v>
      </c>
      <c r="J4192" s="17" t="n">
        <v>132</v>
      </c>
      <c r="K4192" s="17" t="n">
        <v>123.65</v>
      </c>
      <c r="L4192" s="17" t="n">
        <v>0</v>
      </c>
      <c r="M4192" s="17" t="n">
        <v>0</v>
      </c>
      <c r="N4192" s="17">
        <f>K4192*0.08+L4192*0.08</f>
        <v/>
      </c>
      <c r="O4192" s="17">
        <f>-(K4192*0.025+L4192*0.025)</f>
        <v/>
      </c>
      <c r="P4192" s="17">
        <f>32</f>
        <v/>
      </c>
      <c r="Q4192" s="17">
        <f>J4192+L4192+N4192+O4192-P4192-M4192</f>
        <v/>
      </c>
    </row>
    <row r="4193">
      <c r="A4193" s="16" t="inlineStr">
        <is>
          <t>5.29-6.4</t>
        </is>
      </c>
      <c r="B4193" s="16" t="inlineStr">
        <is>
          <t>PO-128-21778297288311678</t>
        </is>
      </c>
      <c r="C4193" s="16" t="inlineStr">
        <is>
          <t>Delivered</t>
        </is>
      </c>
      <c r="D4193" s="16" t="inlineStr">
        <is>
          <t>128-21778255345271678</t>
        </is>
      </c>
      <c r="E4193" s="16" t="inlineStr">
        <is>
          <t>Delivered</t>
        </is>
      </c>
      <c r="F4193" s="16" t="inlineStr">
        <is>
          <t>KTS-1678N</t>
        </is>
      </c>
      <c r="G4193" s="16" t="inlineStr">
        <is>
          <t>Bocina portátil Inalámbrico, de 3 pulgadas, tamaño de bolsillo, 170 g, con asa, compatible con TF, USB y Micro SD, con radio FM y función TWS (True Wireless Stereo), adecuada para relajarse en casa o viajar al aire libre.</t>
        </is>
      </c>
      <c r="H4193" s="16" t="inlineStr">
        <is>
          <t>KTS-1678N</t>
        </is>
      </c>
      <c r="I4193" s="16" t="n">
        <v>1</v>
      </c>
      <c r="J4193" s="17" t="n">
        <v>40</v>
      </c>
      <c r="K4193" s="17" t="n">
        <v>53.89</v>
      </c>
      <c r="L4193" s="17" t="n">
        <v>25.86</v>
      </c>
      <c r="M4193" s="17" t="n">
        <v>0</v>
      </c>
      <c r="N4193" s="17">
        <f>K4193*0.08+L4193*0.08</f>
        <v/>
      </c>
      <c r="O4193" s="17">
        <f>-(K4193*0.025+L4193*0.025)</f>
        <v/>
      </c>
      <c r="P4193" s="17">
        <f>32</f>
        <v/>
      </c>
      <c r="Q4193" s="17">
        <f>J4193+L4193+N4193+O4193-P4193-M4193</f>
        <v/>
      </c>
    </row>
    <row r="4194">
      <c r="A4194" s="16" t="inlineStr">
        <is>
          <t>5.29-6.4</t>
        </is>
      </c>
      <c r="B4194" s="16" t="inlineStr">
        <is>
          <t>PO-128-21348722514553214</t>
        </is>
      </c>
      <c r="C4194" s="16" t="inlineStr">
        <is>
          <t>Delivered</t>
        </is>
      </c>
      <c r="D4194" s="16" t="inlineStr">
        <is>
          <t>128-21348832615033214</t>
        </is>
      </c>
      <c r="E4194" s="16" t="inlineStr">
        <is>
          <t>Delivered</t>
        </is>
      </c>
      <c r="F4194" s="16" t="inlineStr">
        <is>
          <t>SA8058T</t>
        </is>
      </c>
      <c r="G4194"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4194" s="16" t="inlineStr">
        <is>
          <t>SA8058T</t>
        </is>
      </c>
      <c r="I4194" s="16" t="n">
        <v>1</v>
      </c>
      <c r="J4194" s="17" t="n">
        <v>220</v>
      </c>
      <c r="K4194" s="17" t="n">
        <v>242.66</v>
      </c>
      <c r="L4194" s="17" t="n">
        <v>0</v>
      </c>
      <c r="M4194" s="17" t="n">
        <v>0</v>
      </c>
      <c r="N4194" s="17">
        <f>K4194*0.08+L4194*0.08</f>
        <v/>
      </c>
      <c r="O4194" s="17">
        <f>-(K4194*0.025+L4194*0.025)</f>
        <v/>
      </c>
      <c r="P4194" s="17">
        <f>32</f>
        <v/>
      </c>
      <c r="Q4194" s="17">
        <f>J4194+L4194+N4194+O4194-P4194-M4194</f>
        <v/>
      </c>
    </row>
    <row r="4195">
      <c r="A4195" s="16" t="inlineStr">
        <is>
          <t>5.29-6.4</t>
        </is>
      </c>
      <c r="B4195" s="16" t="inlineStr">
        <is>
          <t>PO-128-21348722514553214</t>
        </is>
      </c>
      <c r="C4195" s="16" t="inlineStr">
        <is>
          <t>Delivered</t>
        </is>
      </c>
      <c r="D4195" s="16" t="inlineStr">
        <is>
          <t>128-21348764457593214</t>
        </is>
      </c>
      <c r="E4195" s="16" t="inlineStr">
        <is>
          <t>Delivered</t>
        </is>
      </c>
      <c r="F4195" s="16" t="inlineStr">
        <is>
          <t>MCM-003-V</t>
        </is>
      </c>
      <c r="G4195"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4195" s="16" t="inlineStr">
        <is>
          <t>verde</t>
        </is>
      </c>
      <c r="I4195" s="16" t="n">
        <v>1</v>
      </c>
      <c r="J4195" s="17" t="n">
        <v>43</v>
      </c>
      <c r="K4195" s="17" t="n">
        <v>50.18</v>
      </c>
      <c r="L4195" s="17" t="n">
        <v>0</v>
      </c>
      <c r="M4195" s="17" t="n">
        <v>0</v>
      </c>
      <c r="N4195" s="17">
        <f>K4195*0.08+L4195*0.08</f>
        <v/>
      </c>
      <c r="O4195" s="17">
        <f>-(K4195*0.025+L4195*0.025)</f>
        <v/>
      </c>
      <c r="P4195" s="17">
        <f>32</f>
        <v/>
      </c>
      <c r="Q4195" s="17">
        <f>J4195+L4195+N4195+O4195-P4195-M4195</f>
        <v/>
      </c>
    </row>
    <row r="4196">
      <c r="A4196" s="16" t="inlineStr">
        <is>
          <t>5.29-6.4</t>
        </is>
      </c>
      <c r="B4196" s="16" t="inlineStr">
        <is>
          <t>PO-128-21579177237113059</t>
        </is>
      </c>
      <c r="C4196" s="16" t="inlineStr">
        <is>
          <t>Delivered</t>
        </is>
      </c>
      <c r="D4196" s="16" t="inlineStr">
        <is>
          <t>128-21579182479993059</t>
        </is>
      </c>
      <c r="E4196" s="16" t="inlineStr">
        <is>
          <t>Delivered</t>
        </is>
      </c>
      <c r="F4196" s="16" t="inlineStr">
        <is>
          <t>MB-178-N</t>
        </is>
      </c>
      <c r="G4196" s="16" t="inlineStr">
        <is>
          <t>Bocina de Barra Bluetooth LINK BITS con dos altavoces, sonido de alta calidad y multifuncional (Bluetooth, Radio FM, USB, TF, AUX, TWS), ideal para juegos, reuniones, oficina y cine en casa.</t>
        </is>
      </c>
      <c r="H4196" s="16" t="inlineStr">
        <is>
          <t>NEGRO</t>
        </is>
      </c>
      <c r="I4196" s="16" t="n">
        <v>1</v>
      </c>
      <c r="J4196" s="17" t="n">
        <v>125</v>
      </c>
      <c r="K4196" s="17" t="n">
        <v>144.34</v>
      </c>
      <c r="L4196" s="17" t="n">
        <v>25.86</v>
      </c>
      <c r="M4196" s="17" t="n">
        <v>0</v>
      </c>
      <c r="N4196" s="17">
        <f>K4196*0.08+L4196*0.08</f>
        <v/>
      </c>
      <c r="O4196" s="17">
        <f>-(K4196*0.025+L4196*0.025)</f>
        <v/>
      </c>
      <c r="P4196" s="17">
        <f>32</f>
        <v/>
      </c>
      <c r="Q4196" s="17">
        <f>J4196+L4196+N4196+O4196-P4196-M4196</f>
        <v/>
      </c>
    </row>
    <row r="4197">
      <c r="A4197" s="16" t="inlineStr">
        <is>
          <t>5.29-6.4</t>
        </is>
      </c>
      <c r="B4197" s="16" t="inlineStr">
        <is>
          <t>PO-128-21789997732471736</t>
        </is>
      </c>
      <c r="C4197" s="16" t="inlineStr">
        <is>
          <t>Delivered</t>
        </is>
      </c>
      <c r="D4197" s="16" t="inlineStr">
        <is>
          <t>128-21790079652471736</t>
        </is>
      </c>
      <c r="E4197" s="16" t="inlineStr">
        <is>
          <t>Delivered</t>
        </is>
      </c>
      <c r="F4197" s="16" t="inlineStr">
        <is>
          <t>LB02235-blanco</t>
        </is>
      </c>
      <c r="G4197" s="16" t="inlineStr">
        <is>
          <t>Audífonos Inalámbricos para la Cabeza, Recargables y Multifuncionales - Conectan a Varios Dispositivos, soportan Radio FM, Tarjeta TF y AUX - 4 Horas de Reproducción Musical - Ideal para Trabajo Cotidiano, Juegos y Estudio</t>
        </is>
      </c>
      <c r="H4197" s="16" t="inlineStr">
        <is>
          <t>BLANCO</t>
        </is>
      </c>
      <c r="I4197" s="16" t="n">
        <v>1</v>
      </c>
      <c r="J4197" s="17" t="n">
        <v>36.8</v>
      </c>
      <c r="K4197" s="17" t="n">
        <v>49.91</v>
      </c>
      <c r="L4197" s="17" t="n">
        <v>25.86</v>
      </c>
      <c r="M4197" s="17" t="n">
        <v>0</v>
      </c>
      <c r="N4197" s="17">
        <f>K4197*0.08+L4197*0.08</f>
        <v/>
      </c>
      <c r="O4197" s="17">
        <f>-(K4197*0.025+L4197*0.025)</f>
        <v/>
      </c>
      <c r="P4197" s="17">
        <f>32</f>
        <v/>
      </c>
      <c r="Q4197" s="17">
        <f>J4197+L4197+N4197+O4197-P4197-M4197</f>
        <v/>
      </c>
    </row>
    <row r="4198">
      <c r="A4198" s="16" t="inlineStr">
        <is>
          <t>5.29-6.4</t>
        </is>
      </c>
      <c r="B4198" s="16" t="inlineStr">
        <is>
          <t>PO-128-21694929838711153</t>
        </is>
      </c>
      <c r="C4198" s="16" t="inlineStr">
        <is>
          <t>Delivered</t>
        </is>
      </c>
      <c r="D4198" s="16" t="inlineStr">
        <is>
          <t>128-21694887895671153</t>
        </is>
      </c>
      <c r="E4198" s="16" t="inlineStr">
        <is>
          <t>Delivered</t>
        </is>
      </c>
      <c r="F4198" s="16" t="inlineStr">
        <is>
          <t>MB-185N</t>
        </is>
      </c>
      <c r="G4198" s="16" t="inlineStr">
        <is>
          <t>Bocina Radio FM/Reproductor, Compatible con Tarjeta TF, USB, Bluetooth, Aplicable para celular, computadora, Ipad y consola.</t>
        </is>
      </c>
      <c r="H4198" s="16" t="inlineStr">
        <is>
          <t>NEGRO/MB-185</t>
        </is>
      </c>
      <c r="I4198" s="16" t="n">
        <v>1</v>
      </c>
      <c r="J4198" s="17" t="n">
        <v>75.5</v>
      </c>
      <c r="K4198" s="17" t="n">
        <v>88.44</v>
      </c>
      <c r="L4198" s="17" t="n">
        <v>25.86</v>
      </c>
      <c r="M4198" s="17" t="n">
        <v>0</v>
      </c>
      <c r="N4198" s="17">
        <f>K4198*0.08+L4198*0.08</f>
        <v/>
      </c>
      <c r="O4198" s="17">
        <f>-(K4198*0.025+L4198*0.025)</f>
        <v/>
      </c>
      <c r="P4198" s="17">
        <f>32</f>
        <v/>
      </c>
      <c r="Q4198" s="17">
        <f>J4198+L4198+N4198+O4198-P4198-M4198</f>
        <v/>
      </c>
    </row>
    <row r="4199">
      <c r="A4199" s="16" t="inlineStr">
        <is>
          <t>5.29-6.4</t>
        </is>
      </c>
      <c r="B4199" s="16" t="inlineStr">
        <is>
          <t>PO-128-21376202302073114</t>
        </is>
      </c>
      <c r="C4199" s="16" t="inlineStr">
        <is>
          <t>Delivered</t>
        </is>
      </c>
      <c r="D4199" s="16" t="inlineStr">
        <is>
          <t>128-21376233759353114</t>
        </is>
      </c>
      <c r="E4199" s="16" t="inlineStr">
        <is>
          <t>Delivered</t>
        </is>
      </c>
      <c r="F4199" s="16" t="inlineStr">
        <is>
          <t>MCM-001N</t>
        </is>
      </c>
      <c r="G4199" s="16" t="inlineStr">
        <is>
          <t>Musicord Altavoz Inalámbrico BT Portátil: ¡Sonido impactante, luces LED multicolores y 4 horas de autonomía! Compatible con TWS, FM, TF y USB – Imprescindible para fiestas y viajes</t>
        </is>
      </c>
      <c r="H4199" s="16" t="inlineStr">
        <is>
          <t>NEGRO</t>
        </is>
      </c>
      <c r="I4199" s="16" t="n">
        <v>1</v>
      </c>
      <c r="J4199" s="17" t="n">
        <v>61</v>
      </c>
      <c r="K4199" s="17" t="n">
        <v>68.79000000000001</v>
      </c>
      <c r="L4199" s="17" t="n">
        <v>25.86</v>
      </c>
      <c r="M4199" s="17" t="n">
        <v>0</v>
      </c>
      <c r="N4199" s="17">
        <f>K4199*0.08+L4199*0.08</f>
        <v/>
      </c>
      <c r="O4199" s="17">
        <f>-(K4199*0.025+L4199*0.025)</f>
        <v/>
      </c>
      <c r="P4199" s="17">
        <f>32</f>
        <v/>
      </c>
      <c r="Q4199" s="17">
        <f>J4199+L4199+N4199+O4199-P4199-M4199</f>
        <v/>
      </c>
    </row>
    <row r="4200">
      <c r="A4200" s="16" t="inlineStr">
        <is>
          <t>5.29-6.4</t>
        </is>
      </c>
      <c r="B4200" s="16" t="inlineStr">
        <is>
          <t>PO-128-21804494213751586</t>
        </is>
      </c>
      <c r="C4200" s="16" t="inlineStr">
        <is>
          <t>Delivered</t>
        </is>
      </c>
      <c r="D4200" s="16" t="inlineStr">
        <is>
          <t>128-21804452270711586</t>
        </is>
      </c>
      <c r="E4200" s="16" t="inlineStr">
        <is>
          <t>Delivered</t>
        </is>
      </c>
      <c r="F4200" s="16" t="inlineStr">
        <is>
          <t>MB-185A</t>
        </is>
      </c>
      <c r="G4200" s="16" t="inlineStr">
        <is>
          <t>Bocina Radio FM/Reproductor, Compatible con Tarjeta TF, USB, Bluetooth, Aplicable para celular, computadora, Ipad y consola.</t>
        </is>
      </c>
      <c r="H4200" s="16" t="inlineStr">
        <is>
          <t>AZUL/MB-185</t>
        </is>
      </c>
      <c r="I4200" s="16" t="n">
        <v>1</v>
      </c>
      <c r="J4200" s="17" t="n">
        <v>73</v>
      </c>
      <c r="K4200" s="17" t="n">
        <v>85.94</v>
      </c>
      <c r="L4200" s="17" t="n">
        <v>25.86</v>
      </c>
      <c r="M4200" s="17" t="n">
        <v>0</v>
      </c>
      <c r="N4200" s="17">
        <f>K4200*0.08+L4200*0.08</f>
        <v/>
      </c>
      <c r="O4200" s="17">
        <f>-(K4200*0.025+L4200*0.025)</f>
        <v/>
      </c>
      <c r="P4200" s="17">
        <f>32</f>
        <v/>
      </c>
      <c r="Q4200" s="17">
        <f>J4200+L4200+N4200+O4200-P4200-M4200</f>
        <v/>
      </c>
    </row>
    <row r="4201">
      <c r="A4201" s="16" t="inlineStr">
        <is>
          <t>5.29-6.4</t>
        </is>
      </c>
      <c r="B4201" s="16" t="inlineStr">
        <is>
          <t>PO-128-21704213729911225</t>
        </is>
      </c>
      <c r="C4201" s="16" t="inlineStr">
        <is>
          <t>Delivered</t>
        </is>
      </c>
      <c r="D4201" s="16" t="inlineStr">
        <is>
          <t>128-21704318587511225</t>
        </is>
      </c>
      <c r="E4201" s="16" t="inlineStr">
        <is>
          <t>Delivered</t>
        </is>
      </c>
      <c r="F4201" s="16" t="inlineStr">
        <is>
          <t>SA325T</t>
        </is>
      </c>
      <c r="G4201" s="16" t="inlineStr">
        <is>
          <t>Subwoofer Portátil Inalámbrico con Luces RGB, Sonido de Alta Potencia y Batería Duradera, TWS TF USB, Perfecto para Campamento Fiestas y Entretenimiento en Casa</t>
        </is>
      </c>
      <c r="H4201" s="16" t="inlineStr">
        <is>
          <t>NEGRO</t>
        </is>
      </c>
      <c r="I4201" s="16" t="n">
        <v>1</v>
      </c>
      <c r="J4201" s="17" t="n">
        <v>37.99</v>
      </c>
      <c r="K4201" s="17" t="n">
        <v>47.03</v>
      </c>
      <c r="L4201" s="17" t="n">
        <v>25.86</v>
      </c>
      <c r="M4201" s="17" t="n">
        <v>0</v>
      </c>
      <c r="N4201" s="17">
        <f>K4201*0.08+L4201*0.08</f>
        <v/>
      </c>
      <c r="O4201" s="17">
        <f>-(K4201*0.025+L4201*0.025)</f>
        <v/>
      </c>
      <c r="P4201" s="17">
        <f>32</f>
        <v/>
      </c>
      <c r="Q4201" s="17">
        <f>J4201+L4201+N4201+O4201-P4201-M4201</f>
        <v/>
      </c>
    </row>
    <row r="4202">
      <c r="A4202" s="16" t="inlineStr">
        <is>
          <t>5.29-6.4</t>
        </is>
      </c>
      <c r="B4202" s="16" t="inlineStr">
        <is>
          <t>PO-128-21932080133750827</t>
        </is>
      </c>
      <c r="C4202" s="16" t="inlineStr">
        <is>
          <t>Delivered</t>
        </is>
      </c>
      <c r="D4202" s="16" t="inlineStr">
        <is>
          <t>128-21932059162230827</t>
        </is>
      </c>
      <c r="E4202" s="16" t="inlineStr">
        <is>
          <t>Delivered</t>
        </is>
      </c>
      <c r="F4202" s="16" t="inlineStr">
        <is>
          <t>S39W48</t>
        </is>
      </c>
      <c r="G420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202" s="16" t="inlineStr">
        <is>
          <t>1 pieza</t>
        </is>
      </c>
      <c r="I4202" s="16" t="n">
        <v>2</v>
      </c>
      <c r="J4202" s="17" t="n">
        <v>60</v>
      </c>
      <c r="K4202" s="17" t="n">
        <v>72.26000000000001</v>
      </c>
      <c r="L4202" s="17" t="n">
        <v>25.86</v>
      </c>
      <c r="M4202" s="17" t="n">
        <v>0</v>
      </c>
      <c r="N4202" s="17">
        <f>K4202*0.08+L4202*0.08</f>
        <v/>
      </c>
      <c r="O4202" s="17">
        <f>-(K4202*0.025+L4202*0.025)</f>
        <v/>
      </c>
      <c r="P4202" s="17">
        <f>32</f>
        <v/>
      </c>
      <c r="Q4202" s="17">
        <f>J4202+L4202+N4202+O4202-P4202-M4202</f>
        <v/>
      </c>
    </row>
    <row r="4203">
      <c r="A4203" s="16" t="inlineStr">
        <is>
          <t>5.29-6.4</t>
        </is>
      </c>
      <c r="B4203" s="16" t="inlineStr">
        <is>
          <t>PO-128-21481374894712488</t>
        </is>
      </c>
      <c r="C4203" s="16" t="inlineStr">
        <is>
          <t>Delivered</t>
        </is>
      </c>
      <c r="D4203" s="16" t="inlineStr">
        <is>
          <t>128-21481332951672488</t>
        </is>
      </c>
      <c r="E4203" s="16" t="inlineStr">
        <is>
          <t>Delivered</t>
        </is>
      </c>
      <c r="F4203" s="16" t="inlineStr">
        <is>
          <t>LB02235-negro</t>
        </is>
      </c>
      <c r="G4203" s="16" t="inlineStr">
        <is>
          <t>Audífonos Inalámbricos para la Cabeza, Recargables y Multifuncionales - Conectan a Varios Dispositivos, soportan Radio FM, Tarjeta TF y AUX - 4 Horas de Reproducción Musical - Ideal para Trabajo Cotidiano, Juegos y Estudio</t>
        </is>
      </c>
      <c r="H4203" s="16" t="inlineStr">
        <is>
          <t>NEGRO</t>
        </is>
      </c>
      <c r="I4203" s="16" t="n">
        <v>1</v>
      </c>
      <c r="J4203" s="17" t="n">
        <v>36.8</v>
      </c>
      <c r="K4203" s="17" t="n">
        <v>49.91</v>
      </c>
      <c r="L4203" s="17" t="n">
        <v>25.86</v>
      </c>
      <c r="M4203" s="17" t="n">
        <v>0</v>
      </c>
      <c r="N4203" s="17">
        <f>K4203*0.08+L4203*0.08</f>
        <v/>
      </c>
      <c r="O4203" s="17">
        <f>-(K4203*0.025+L4203*0.025)</f>
        <v/>
      </c>
      <c r="P4203" s="17">
        <f>32</f>
        <v/>
      </c>
      <c r="Q4203" s="17">
        <f>J4203+L4203+N4203+O4203-P4203-M4203</f>
        <v/>
      </c>
    </row>
    <row r="4204">
      <c r="A4204" s="16" t="inlineStr">
        <is>
          <t>5.29-6.4</t>
        </is>
      </c>
      <c r="B4204" s="16" t="inlineStr">
        <is>
          <t>PO-128-21496165079672529</t>
        </is>
      </c>
      <c r="C4204" s="16" t="inlineStr">
        <is>
          <t>Delivered</t>
        </is>
      </c>
      <c r="D4204" s="16" t="inlineStr">
        <is>
          <t>128-21496153610872529</t>
        </is>
      </c>
      <c r="E4204" s="16" t="inlineStr">
        <is>
          <t>Delivered</t>
        </is>
      </c>
      <c r="F4204" s="16" t="inlineStr">
        <is>
          <t>LB02235-blanco</t>
        </is>
      </c>
      <c r="G4204" s="16" t="inlineStr">
        <is>
          <t>Audífonos Inalámbricos para la Cabeza, Recargables y Multifuncionales - Conectan a Varios Dispositivos, soportan Radio FM, Tarjeta TF y AUX - 4 Horas de Reproducción Musical - Ideal para Trabajo Cotidiano, Juegos y Estudio</t>
        </is>
      </c>
      <c r="H4204" s="16" t="inlineStr">
        <is>
          <t>BLANCO</t>
        </is>
      </c>
      <c r="I4204" s="16" t="n">
        <v>1</v>
      </c>
      <c r="J4204" s="17" t="n">
        <v>36.8</v>
      </c>
      <c r="K4204" s="17" t="n">
        <v>49.91</v>
      </c>
      <c r="L4204" s="17" t="n">
        <v>25.86</v>
      </c>
      <c r="M4204" s="17" t="n">
        <v>0</v>
      </c>
      <c r="N4204" s="17">
        <f>K4204*0.08+L4204*0.08</f>
        <v/>
      </c>
      <c r="O4204" s="17">
        <f>-(K4204*0.025+L4204*0.025)</f>
        <v/>
      </c>
      <c r="P4204" s="17">
        <f>32</f>
        <v/>
      </c>
      <c r="Q4204" s="17">
        <f>J4204+L4204+N4204+O4204-P4204-M4204</f>
        <v/>
      </c>
    </row>
    <row r="4205">
      <c r="A4205" s="16" t="inlineStr">
        <is>
          <t>5.29-6.4</t>
        </is>
      </c>
      <c r="B4205" s="16" t="inlineStr">
        <is>
          <t>PO-128-21576177920633010</t>
        </is>
      </c>
      <c r="C4205" s="16" t="inlineStr">
        <is>
          <t>Delivered</t>
        </is>
      </c>
      <c r="D4205" s="16" t="inlineStr">
        <is>
          <t>128-21576308347513010</t>
        </is>
      </c>
      <c r="E4205" s="16" t="inlineStr">
        <is>
          <t>Delivered</t>
        </is>
      </c>
      <c r="F4205" s="16" t="inlineStr">
        <is>
          <t>S39W48</t>
        </is>
      </c>
      <c r="G4205"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205" s="16" t="inlineStr">
        <is>
          <t>1 pieza</t>
        </is>
      </c>
      <c r="I4205" s="16" t="n">
        <v>1</v>
      </c>
      <c r="J4205" s="17" t="n">
        <v>30</v>
      </c>
      <c r="K4205" s="17" t="n">
        <v>20.54</v>
      </c>
      <c r="L4205" s="17" t="n">
        <v>9.380000000000001</v>
      </c>
      <c r="M4205" s="17" t="n">
        <v>0.29</v>
      </c>
      <c r="N4205" s="17">
        <f>K4205*0.08+L4205*0.08</f>
        <v/>
      </c>
      <c r="O4205" s="17">
        <f>-(K4205*0.025+L4205*0.025)</f>
        <v/>
      </c>
      <c r="P4205" s="17">
        <f>32</f>
        <v/>
      </c>
      <c r="Q4205" s="17">
        <f>J4205+L4205+N4205+O4205-P4205-M4205</f>
        <v/>
      </c>
    </row>
    <row r="4206">
      <c r="A4206" s="16" t="inlineStr">
        <is>
          <t>5.29-6.4</t>
        </is>
      </c>
      <c r="B4206" s="16" t="inlineStr">
        <is>
          <t>PO-128-21576177920633010</t>
        </is>
      </c>
      <c r="C4206" s="16" t="inlineStr">
        <is>
          <t>Delivered</t>
        </is>
      </c>
      <c r="D4206" s="16" t="inlineStr">
        <is>
          <t>128-21576329964153010</t>
        </is>
      </c>
      <c r="E4206" s="16" t="inlineStr">
        <is>
          <t>Delivered</t>
        </is>
      </c>
      <c r="F4206" s="16" t="inlineStr">
        <is>
          <t>S39W48</t>
        </is>
      </c>
      <c r="G4206"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206" s="16" t="inlineStr">
        <is>
          <t>1 pieza</t>
        </is>
      </c>
      <c r="I4206" s="16" t="n">
        <v>1</v>
      </c>
      <c r="J4206" s="17" t="n">
        <v>30</v>
      </c>
      <c r="K4206" s="17" t="n">
        <v>18.07</v>
      </c>
      <c r="L4206" s="17" t="n">
        <v>8.24</v>
      </c>
      <c r="M4206" s="17" t="n">
        <v>0.26</v>
      </c>
      <c r="N4206" s="17">
        <f>K4206*0.08+L4206*0.08</f>
        <v/>
      </c>
      <c r="O4206" s="17">
        <f>-(K4206*0.025+L4206*0.025)</f>
        <v/>
      </c>
      <c r="P4206" s="17">
        <f>32</f>
        <v/>
      </c>
      <c r="Q4206" s="17">
        <f>J4206+L4206+N4206+O4206-P4206-M4206</f>
        <v/>
      </c>
    </row>
    <row r="4207">
      <c r="A4207" s="16" t="inlineStr">
        <is>
          <t>5.29-6.4</t>
        </is>
      </c>
      <c r="B4207" s="16" t="inlineStr">
        <is>
          <t>PO-128-21576177920633010</t>
        </is>
      </c>
      <c r="C4207" s="16" t="inlineStr">
        <is>
          <t>Delivered</t>
        </is>
      </c>
      <c r="D4207" s="16" t="inlineStr">
        <is>
          <t>128-21576273311353010</t>
        </is>
      </c>
      <c r="E4207" s="16" t="inlineStr">
        <is>
          <t>Delivered</t>
        </is>
      </c>
      <c r="F4207" s="16" t="inlineStr">
        <is>
          <t>S39W48</t>
        </is>
      </c>
      <c r="G420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207" s="16" t="inlineStr">
        <is>
          <t>1 pieza</t>
        </is>
      </c>
      <c r="I4207" s="16" t="n">
        <v>1</v>
      </c>
      <c r="J4207" s="17" t="n">
        <v>30</v>
      </c>
      <c r="K4207" s="17" t="n">
        <v>18.06</v>
      </c>
      <c r="L4207" s="17" t="n">
        <v>8.24</v>
      </c>
      <c r="M4207" s="17" t="n">
        <v>0.25</v>
      </c>
      <c r="N4207" s="17">
        <f>K4207*0.08+L4207*0.08</f>
        <v/>
      </c>
      <c r="O4207" s="17">
        <f>-(K4207*0.025+L4207*0.025)</f>
        <v/>
      </c>
      <c r="P4207" s="17">
        <f>32</f>
        <v/>
      </c>
      <c r="Q4207" s="17">
        <f>J4207+L4207+N4207+O4207-P4207-M4207</f>
        <v/>
      </c>
    </row>
    <row r="4208">
      <c r="A4208" s="16" t="inlineStr">
        <is>
          <t>5.29-6.4</t>
        </is>
      </c>
      <c r="B4208" s="16" t="inlineStr">
        <is>
          <t>PO-128-21621484268152804</t>
        </is>
      </c>
      <c r="C4208" s="16" t="inlineStr">
        <is>
          <t>Delivered</t>
        </is>
      </c>
      <c r="D4208" s="16" t="inlineStr">
        <is>
          <t>128-21621476403832804</t>
        </is>
      </c>
      <c r="E4208" s="16" t="inlineStr">
        <is>
          <t>Delivered</t>
        </is>
      </c>
      <c r="F4208" s="16" t="inlineStr">
        <is>
          <t>MB-185N</t>
        </is>
      </c>
      <c r="G4208" s="16" t="inlineStr">
        <is>
          <t>Bocina Radio FM/Reproductor, Compatible con Tarjeta TF, USB, Bluetooth, Aplicable para celular, computadora, Ipad y consola.</t>
        </is>
      </c>
      <c r="H4208" s="16" t="inlineStr">
        <is>
          <t>NEGRO/MB-185</t>
        </is>
      </c>
      <c r="I4208" s="16" t="n">
        <v>1</v>
      </c>
      <c r="J4208" s="17" t="n">
        <v>75.5</v>
      </c>
      <c r="K4208" s="17" t="n">
        <v>76.01000000000001</v>
      </c>
      <c r="L4208" s="17" t="n">
        <v>25.86</v>
      </c>
      <c r="M4208" s="17" t="n">
        <v>0</v>
      </c>
      <c r="N4208" s="17">
        <f>K4208*0.08+L4208*0.08</f>
        <v/>
      </c>
      <c r="O4208" s="17">
        <f>-(K4208*0.025+L4208*0.025)</f>
        <v/>
      </c>
      <c r="P4208" s="17">
        <f>32</f>
        <v/>
      </c>
      <c r="Q4208" s="17">
        <f>J4208+L4208+N4208+O4208-P4208-M4208</f>
        <v/>
      </c>
    </row>
    <row r="4209">
      <c r="A4209" s="16" t="inlineStr">
        <is>
          <t>5.29-6.4</t>
        </is>
      </c>
      <c r="B4209" s="16" t="inlineStr">
        <is>
          <t>PO-128-21521670666872185</t>
        </is>
      </c>
      <c r="C4209" s="16" t="inlineStr">
        <is>
          <t>Delivered</t>
        </is>
      </c>
      <c r="D4209" s="16" t="inlineStr">
        <is>
          <t>128-21521725717112185</t>
        </is>
      </c>
      <c r="E4209" s="16" t="inlineStr">
        <is>
          <t>Delivered</t>
        </is>
      </c>
      <c r="F4209" s="16" t="inlineStr">
        <is>
          <t>LB02235-rojo</t>
        </is>
      </c>
      <c r="G4209" s="16" t="inlineStr">
        <is>
          <t>Audífonos Inalámbricos para la Cabeza, Recargables y Multifuncionales - Conectan a Varios Dispositivos, soportan Radio FM, Tarjeta TF y AUX - 4 Horas de Reproducción Musical - Ideal para Trabajo Cotidiano, Juegos y Estudio</t>
        </is>
      </c>
      <c r="H4209" s="16" t="inlineStr">
        <is>
          <t>ROJO</t>
        </is>
      </c>
      <c r="I4209" s="16" t="n">
        <v>4</v>
      </c>
      <c r="J4209" s="17" t="n">
        <v>147.2</v>
      </c>
      <c r="K4209" s="17" t="n">
        <v>189.67</v>
      </c>
      <c r="L4209" s="17" t="n">
        <v>0</v>
      </c>
      <c r="M4209" s="17" t="n">
        <v>0</v>
      </c>
      <c r="N4209" s="17">
        <f>K4209*0.08+L4209*0.08</f>
        <v/>
      </c>
      <c r="O4209" s="17">
        <f>-(K4209*0.025+L4209*0.025)</f>
        <v/>
      </c>
      <c r="P4209" s="17">
        <f>32</f>
        <v/>
      </c>
      <c r="Q4209" s="17">
        <f>J4209+L4209+N4209+O4209-P4209-M4209</f>
        <v/>
      </c>
    </row>
    <row r="4210">
      <c r="A4210" s="16" t="inlineStr">
        <is>
          <t>5.29-6.4</t>
        </is>
      </c>
      <c r="B4210" s="16" t="inlineStr">
        <is>
          <t>PO-128-21521670666872185</t>
        </is>
      </c>
      <c r="C4210" s="16" t="inlineStr">
        <is>
          <t>Delivered</t>
        </is>
      </c>
      <c r="D4210" s="16" t="inlineStr">
        <is>
          <t>128-21521691638392185</t>
        </is>
      </c>
      <c r="E4210" s="16" t="inlineStr">
        <is>
          <t>Delivered</t>
        </is>
      </c>
      <c r="F4210" s="16" t="inlineStr">
        <is>
          <t>LB02235-blanco</t>
        </is>
      </c>
      <c r="G4210" s="16" t="inlineStr">
        <is>
          <t>Audífonos Inalámbricos para la Cabeza, Recargables y Multifuncionales - Conectan a Varios Dispositivos, soportan Radio FM, Tarjeta TF y AUX - 4 Horas de Reproducción Musical - Ideal para Trabajo Cotidiano, Juegos y Estudio</t>
        </is>
      </c>
      <c r="H4210" s="16" t="inlineStr">
        <is>
          <t>BLANCO</t>
        </is>
      </c>
      <c r="I4210" s="16" t="n">
        <v>4</v>
      </c>
      <c r="J4210" s="17" t="n">
        <v>147.2</v>
      </c>
      <c r="K4210" s="17" t="n">
        <v>189.66</v>
      </c>
      <c r="L4210" s="17" t="n">
        <v>0</v>
      </c>
      <c r="M4210" s="17" t="n">
        <v>0</v>
      </c>
      <c r="N4210" s="17">
        <f>K4210*0.08+L4210*0.08</f>
        <v/>
      </c>
      <c r="O4210" s="17">
        <f>-(K4210*0.025+L4210*0.025)</f>
        <v/>
      </c>
      <c r="P4210" s="17">
        <f>32</f>
        <v/>
      </c>
      <c r="Q4210" s="17">
        <f>J4210+L4210+N4210+O4210-P4210-M4210</f>
        <v/>
      </c>
    </row>
    <row r="4211">
      <c r="A4211" s="16" t="inlineStr">
        <is>
          <t>5.29-6.4</t>
        </is>
      </c>
      <c r="B4211" s="16" t="inlineStr">
        <is>
          <t>PO-128-21403010545274045</t>
        </is>
      </c>
      <c r="C4211" s="16" t="inlineStr">
        <is>
          <t>Delivered</t>
        </is>
      </c>
      <c r="D4211" s="16" t="inlineStr">
        <is>
          <t>128-21402968602234045</t>
        </is>
      </c>
      <c r="E4211" s="16" t="inlineStr">
        <is>
          <t>Delivered</t>
        </is>
      </c>
      <c r="F4211" s="16" t="inlineStr">
        <is>
          <t>MCM-001G</t>
        </is>
      </c>
      <c r="G4211" s="16" t="inlineStr">
        <is>
          <t>Musicord Altavoz Inalámbrico BT Portátil: ¡Sonido impactante, luces LED multicolores y 4 horas de autonomía! Compatible con TWS, FM, TF y USB – Imprescindible para fiestas y viajes</t>
        </is>
      </c>
      <c r="H4211" s="16" t="inlineStr">
        <is>
          <t>GRIS</t>
        </is>
      </c>
      <c r="I4211" s="16" t="n">
        <v>1</v>
      </c>
      <c r="J4211" s="17" t="n">
        <v>51.07</v>
      </c>
      <c r="K4211" s="17" t="n">
        <v>58.86</v>
      </c>
      <c r="L4211" s="17" t="n">
        <v>25.86</v>
      </c>
      <c r="M4211" s="17" t="n">
        <v>0</v>
      </c>
      <c r="N4211" s="17">
        <f>K4211*0.08+L4211*0.08</f>
        <v/>
      </c>
      <c r="O4211" s="17">
        <f>-(K4211*0.025+L4211*0.025)</f>
        <v/>
      </c>
      <c r="P4211" s="17">
        <f>32</f>
        <v/>
      </c>
      <c r="Q4211" s="17">
        <f>J4211+L4211+N4211+O4211-P4211-M4211</f>
        <v/>
      </c>
    </row>
    <row r="4212">
      <c r="A4212" s="16" t="inlineStr">
        <is>
          <t>5.29-6.4</t>
        </is>
      </c>
      <c r="B4212" s="16" t="inlineStr">
        <is>
          <t>PO-128-21913688709750937</t>
        </is>
      </c>
      <c r="C4212" s="16" t="inlineStr">
        <is>
          <t>Delivered</t>
        </is>
      </c>
      <c r="D4212" s="16" t="inlineStr">
        <is>
          <t>128-21913684777590937</t>
        </is>
      </c>
      <c r="E4212" s="16" t="inlineStr">
        <is>
          <t>Delivered</t>
        </is>
      </c>
      <c r="F4212" s="16" t="inlineStr">
        <is>
          <t>VB347T</t>
        </is>
      </c>
      <c r="G421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12" s="16" t="inlineStr">
        <is>
          <t>1 pieza</t>
        </is>
      </c>
      <c r="I4212" s="16" t="n">
        <v>1</v>
      </c>
      <c r="J4212" s="17" t="n">
        <v>79.90000000000001</v>
      </c>
      <c r="K4212" s="17" t="n">
        <v>80.33</v>
      </c>
      <c r="L4212" s="17" t="n">
        <v>15.94</v>
      </c>
      <c r="M4212" s="17" t="n">
        <v>0</v>
      </c>
      <c r="N4212" s="17">
        <f>K4212*0.08+L4212*0.08</f>
        <v/>
      </c>
      <c r="O4212" s="17">
        <f>-(K4212*0.025+L4212*0.025)</f>
        <v/>
      </c>
      <c r="P4212" s="17">
        <f>32</f>
        <v/>
      </c>
      <c r="Q4212" s="17">
        <f>J4212+L4212+N4212+O4212-P4212-M4212</f>
        <v/>
      </c>
    </row>
    <row r="4213">
      <c r="A4213" s="16" t="inlineStr">
        <is>
          <t>5.29-6.4</t>
        </is>
      </c>
      <c r="B4213" s="16" t="inlineStr">
        <is>
          <t>PO-128-21913688709750937</t>
        </is>
      </c>
      <c r="C4213" s="16" t="inlineStr">
        <is>
          <t>Delivered</t>
        </is>
      </c>
      <c r="D4213" s="16" t="inlineStr">
        <is>
          <t>128-21913726720630937</t>
        </is>
      </c>
      <c r="E4213" s="16" t="inlineStr">
        <is>
          <t>Delivered</t>
        </is>
      </c>
      <c r="F4213" s="16" t="inlineStr">
        <is>
          <t>MCM-001G</t>
        </is>
      </c>
      <c r="G4213" s="16" t="inlineStr">
        <is>
          <t>Musicord Altavoz Inalámbrico BT Portátil: ¡Sonido impactante, luces LED multicolores y 4 horas de autonomía! Compatible con TWS, FM, TF y USB – Imprescindible para fiestas y viajes</t>
        </is>
      </c>
      <c r="H4213" s="16" t="inlineStr">
        <is>
          <t>GRIS</t>
        </is>
      </c>
      <c r="I4213" s="16" t="n">
        <v>1</v>
      </c>
      <c r="J4213" s="17" t="n">
        <v>51.07</v>
      </c>
      <c r="K4213" s="17" t="n">
        <v>50.02</v>
      </c>
      <c r="L4213" s="17" t="n">
        <v>9.92</v>
      </c>
      <c r="M4213" s="17" t="n">
        <v>0</v>
      </c>
      <c r="N4213" s="17">
        <f>K4213*0.08+L4213*0.08</f>
        <v/>
      </c>
      <c r="O4213" s="17">
        <f>-(K4213*0.025+L4213*0.025)</f>
        <v/>
      </c>
      <c r="P4213" s="17">
        <f>32</f>
        <v/>
      </c>
      <c r="Q4213" s="17">
        <f>J4213+L4213+N4213+O4213-P4213-M4213</f>
        <v/>
      </c>
    </row>
    <row r="4214">
      <c r="A4214" s="16" t="inlineStr">
        <is>
          <t>5.29-6.4</t>
        </is>
      </c>
      <c r="B4214" s="16" t="inlineStr">
        <is>
          <t>PO-128-21952466053750640</t>
        </is>
      </c>
      <c r="C4214" s="16" t="inlineStr">
        <is>
          <t>Delivered</t>
        </is>
      </c>
      <c r="D4214" s="16" t="inlineStr">
        <is>
          <t>128-21952445082230640</t>
        </is>
      </c>
      <c r="E4214" s="16" t="inlineStr">
        <is>
          <t>Delivered</t>
        </is>
      </c>
      <c r="F4214" s="16" t="inlineStr">
        <is>
          <t>KTS-1943-Y</t>
        </is>
      </c>
      <c r="G4214" s="16" t="inlineStr">
        <is>
          <t>Altavoz Mini Karaoke Portátil BT con Micrófono Inalámbrico, Función TWS, Radio FM, USB/TF, Batería de Larga Duración, Perfecto para Casa, Exterior y Regalos Especiales</t>
        </is>
      </c>
      <c r="H4214" s="16" t="inlineStr">
        <is>
          <t>AMARILLO</t>
        </is>
      </c>
      <c r="I4214" s="16" t="n">
        <v>1</v>
      </c>
      <c r="J4214" s="17" t="n">
        <v>67.5</v>
      </c>
      <c r="K4214" s="17" t="n">
        <v>83.09999999999999</v>
      </c>
      <c r="L4214" s="17" t="n">
        <v>25.86</v>
      </c>
      <c r="M4214" s="17" t="n">
        <v>0</v>
      </c>
      <c r="N4214" s="17">
        <f>K4214*0.08+L4214*0.08</f>
        <v/>
      </c>
      <c r="O4214" s="17">
        <f>-(K4214*0.025+L4214*0.025)</f>
        <v/>
      </c>
      <c r="P4214" s="17">
        <f>32</f>
        <v/>
      </c>
      <c r="Q4214" s="17">
        <f>J4214+L4214+N4214+O4214-P4214-M4214</f>
        <v/>
      </c>
    </row>
    <row r="4215">
      <c r="A4215" s="16" t="inlineStr">
        <is>
          <t>5.29-6.4</t>
        </is>
      </c>
      <c r="B4215" s="16" t="inlineStr">
        <is>
          <t>PO-128-21388051169913172</t>
        </is>
      </c>
      <c r="C4215" s="16" t="inlineStr">
        <is>
          <t>Delivered</t>
        </is>
      </c>
      <c r="D4215" s="16" t="inlineStr">
        <is>
          <t>128-21388082627193172</t>
        </is>
      </c>
      <c r="E4215" s="16" t="inlineStr">
        <is>
          <t>Delivered</t>
        </is>
      </c>
      <c r="F4215" s="16" t="inlineStr">
        <is>
          <t>LV34W04</t>
        </is>
      </c>
      <c r="G421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215" s="16" t="inlineStr">
        <is>
          <t>LV34W04</t>
        </is>
      </c>
      <c r="I4215" s="16" t="n">
        <v>1</v>
      </c>
      <c r="J4215" s="17" t="n">
        <v>279</v>
      </c>
      <c r="K4215" s="17" t="n">
        <v>306.34</v>
      </c>
      <c r="L4215" s="17" t="n">
        <v>0</v>
      </c>
      <c r="M4215" s="17" t="n">
        <v>0</v>
      </c>
      <c r="N4215" s="17">
        <f>K4215*0.08+L4215*0.08</f>
        <v/>
      </c>
      <c r="O4215" s="17">
        <f>-(K4215*0.025+L4215*0.025)</f>
        <v/>
      </c>
      <c r="P4215" s="17">
        <f>32</f>
        <v/>
      </c>
      <c r="Q4215" s="17">
        <f>J4215+L4215+N4215+O4215-P4215-M4215</f>
        <v/>
      </c>
    </row>
    <row r="4216">
      <c r="A4216" s="16" t="inlineStr">
        <is>
          <t>5.29-6.4</t>
        </is>
      </c>
      <c r="B4216" s="16" t="inlineStr">
        <is>
          <t>PO-128-21833097098870457</t>
        </is>
      </c>
      <c r="C4216" s="16" t="inlineStr">
        <is>
          <t>Delivered</t>
        </is>
      </c>
      <c r="D4216" s="16" t="inlineStr">
        <is>
          <t>128-21833118070390457</t>
        </is>
      </c>
      <c r="E4216" s="16" t="inlineStr">
        <is>
          <t>Delivered</t>
        </is>
      </c>
      <c r="F4216" s="16" t="inlineStr">
        <is>
          <t>MCM-001G</t>
        </is>
      </c>
      <c r="G4216" s="16" t="inlineStr">
        <is>
          <t>Musicord Altavoz Inalámbrico BT Portátil: ¡Sonido impactante, luces LED multicolores y 4 horas de autonomía! Compatible con TWS, FM, TF y USB – Imprescindible para fiestas y viajes</t>
        </is>
      </c>
      <c r="H4216" s="16" t="inlineStr">
        <is>
          <t>GRIS</t>
        </is>
      </c>
      <c r="I4216" s="16" t="n">
        <v>1</v>
      </c>
      <c r="J4216" s="17" t="n">
        <v>51.07</v>
      </c>
      <c r="K4216" s="17" t="n">
        <v>50.25</v>
      </c>
      <c r="L4216" s="17" t="n">
        <v>10.51</v>
      </c>
      <c r="M4216" s="17" t="n">
        <v>0</v>
      </c>
      <c r="N4216" s="17">
        <f>K4216*0.08+L4216*0.08</f>
        <v/>
      </c>
      <c r="O4216" s="17">
        <f>-(K4216*0.025+L4216*0.025)</f>
        <v/>
      </c>
      <c r="P4216" s="17">
        <f>32</f>
        <v/>
      </c>
      <c r="Q4216" s="17">
        <f>J4216+L4216+N4216+O4216-P4216-M4216</f>
        <v/>
      </c>
    </row>
    <row r="4217">
      <c r="A4217" s="16" t="inlineStr">
        <is>
          <t>5.29-6.4</t>
        </is>
      </c>
      <c r="B4217" s="16" t="inlineStr">
        <is>
          <t>PO-128-21833097098870457</t>
        </is>
      </c>
      <c r="C4217" s="16" t="inlineStr">
        <is>
          <t>Delivered</t>
        </is>
      </c>
      <c r="D4217" s="16" t="inlineStr">
        <is>
          <t>128-21833110206070457</t>
        </is>
      </c>
      <c r="E4217" s="16" t="inlineStr">
        <is>
          <t>Delivered</t>
        </is>
      </c>
      <c r="F4217" s="16" t="inlineStr">
        <is>
          <t>MB-185A</t>
        </is>
      </c>
      <c r="G4217" s="16" t="inlineStr">
        <is>
          <t>Bocina Radio FM/Reproductor, Compatible con Tarjeta TF, USB, Bluetooth, Aplicable para celular, computadora, Ipad y consola.</t>
        </is>
      </c>
      <c r="H4217" s="16" t="inlineStr">
        <is>
          <t>AZUL/MB-185</t>
        </is>
      </c>
      <c r="I4217" s="16" t="n">
        <v>1</v>
      </c>
      <c r="J4217" s="17" t="n">
        <v>73</v>
      </c>
      <c r="K4217" s="17" t="n">
        <v>73.37</v>
      </c>
      <c r="L4217" s="17" t="n">
        <v>15.35</v>
      </c>
      <c r="M4217" s="17" t="n">
        <v>0</v>
      </c>
      <c r="N4217" s="17">
        <f>K4217*0.08+L4217*0.08</f>
        <v/>
      </c>
      <c r="O4217" s="17">
        <f>-(K4217*0.025+L4217*0.025)</f>
        <v/>
      </c>
      <c r="P4217" s="17">
        <f>32</f>
        <v/>
      </c>
      <c r="Q4217" s="17">
        <f>J4217+L4217+N4217+O4217-P4217-M4217</f>
        <v/>
      </c>
    </row>
    <row r="4218">
      <c r="A4218" s="16" t="inlineStr">
        <is>
          <t>5.29-6.4</t>
        </is>
      </c>
      <c r="B4218" s="16" t="inlineStr">
        <is>
          <t>PO-128-21666155935351514</t>
        </is>
      </c>
      <c r="C4218" s="16" t="inlineStr">
        <is>
          <t>Delivered</t>
        </is>
      </c>
      <c r="D4218" s="16" t="inlineStr">
        <is>
          <t>128-21666166421111514</t>
        </is>
      </c>
      <c r="E4218" s="16" t="inlineStr">
        <is>
          <t>Delivered</t>
        </is>
      </c>
      <c r="F4218" s="16" t="inlineStr">
        <is>
          <t>MCM-001A</t>
        </is>
      </c>
      <c r="G4218" s="16" t="inlineStr">
        <is>
          <t>Musicord Altavoz Inalámbrico BT Portátil: ¡Sonido impactante, luces LED multicolores y 4 horas de autonomía! Compatible con TWS, FM, TF y USB – Imprescindible para fiestas y viajes</t>
        </is>
      </c>
      <c r="H4218" s="16" t="inlineStr">
        <is>
          <t>AZUL</t>
        </is>
      </c>
      <c r="I4218" s="16" t="n">
        <v>1</v>
      </c>
      <c r="J4218" s="17" t="n">
        <v>51.07</v>
      </c>
      <c r="K4218" s="17" t="n">
        <v>59.47</v>
      </c>
      <c r="L4218" s="17" t="n">
        <v>25.86</v>
      </c>
      <c r="M4218" s="17" t="n">
        <v>0</v>
      </c>
      <c r="N4218" s="17">
        <f>K4218*0.08+L4218*0.08</f>
        <v/>
      </c>
      <c r="O4218" s="17">
        <f>-(K4218*0.025+L4218*0.025)</f>
        <v/>
      </c>
      <c r="P4218" s="17">
        <f>32</f>
        <v/>
      </c>
      <c r="Q4218" s="17">
        <f>J4218+L4218+N4218+O4218-P4218-M4218</f>
        <v/>
      </c>
    </row>
    <row r="4219">
      <c r="A4219" s="16" t="inlineStr">
        <is>
          <t>5.29-6.4</t>
        </is>
      </c>
      <c r="B4219" s="16" t="inlineStr">
        <is>
          <t>PO-128-21981034215030599</t>
        </is>
      </c>
      <c r="C4219" s="16" t="inlineStr">
        <is>
          <t>Delivered</t>
        </is>
      </c>
      <c r="D4219" s="16" t="inlineStr">
        <is>
          <t>128-21981018486390599</t>
        </is>
      </c>
      <c r="E4219" s="16" t="inlineStr">
        <is>
          <t>Delivered</t>
        </is>
      </c>
      <c r="F4219" s="16" t="inlineStr">
        <is>
          <t>MB-178-N</t>
        </is>
      </c>
      <c r="G4219" s="16" t="inlineStr">
        <is>
          <t>Bocina de Barra Bluetooth LINK BITS con dos altavoces, sonido de alta calidad y multifuncional (Bluetooth, Radio FM, USB, TF, AUX, TWS), ideal para juegos, reuniones, oficina y cine en casa.</t>
        </is>
      </c>
      <c r="H4219" s="16" t="inlineStr">
        <is>
          <t>NEGRO</t>
        </is>
      </c>
      <c r="I4219" s="16" t="n">
        <v>1</v>
      </c>
      <c r="J4219" s="17" t="n">
        <v>125</v>
      </c>
      <c r="K4219" s="17" t="n">
        <v>144.34</v>
      </c>
      <c r="L4219" s="17" t="n">
        <v>25.86</v>
      </c>
      <c r="M4219" s="17" t="n">
        <v>0</v>
      </c>
      <c r="N4219" s="17">
        <f>K4219*0.08+L4219*0.08</f>
        <v/>
      </c>
      <c r="O4219" s="17">
        <f>-(K4219*0.025+L4219*0.025)</f>
        <v/>
      </c>
      <c r="P4219" s="17">
        <f>32</f>
        <v/>
      </c>
      <c r="Q4219" s="17">
        <f>J4219+L4219+N4219+O4219-P4219-M4219</f>
        <v/>
      </c>
    </row>
    <row r="4220">
      <c r="A4220" s="16" t="inlineStr">
        <is>
          <t>5.29-6.4</t>
        </is>
      </c>
      <c r="B4220" s="16" t="inlineStr">
        <is>
          <t>PO-128-21322192609913564</t>
        </is>
      </c>
      <c r="C4220" s="16" t="inlineStr">
        <is>
          <t>Delivered</t>
        </is>
      </c>
      <c r="D4220" s="16" t="inlineStr">
        <is>
          <t>128-21322176881273564</t>
        </is>
      </c>
      <c r="E4220" s="16" t="inlineStr">
        <is>
          <t>Delivered</t>
        </is>
      </c>
      <c r="F4220" s="16" t="inlineStr">
        <is>
          <t>LB02235-blanco</t>
        </is>
      </c>
      <c r="G4220" s="16" t="inlineStr">
        <is>
          <t>Audífonos Inalámbricos para la Cabeza, Recargables y Multifuncionales - Conectan a Varios Dispositivos, soportan Radio FM, Tarjeta TF y AUX - 4 Horas de Reproducción Musical - Ideal para Trabajo Cotidiano, Juegos y Estudio</t>
        </is>
      </c>
      <c r="H4220" s="16" t="inlineStr">
        <is>
          <t>BLANCO</t>
        </is>
      </c>
      <c r="I4220" s="16" t="n">
        <v>1</v>
      </c>
      <c r="J4220" s="17" t="n">
        <v>36.8</v>
      </c>
      <c r="K4220" s="17" t="n">
        <v>49.91</v>
      </c>
      <c r="L4220" s="17" t="n">
        <v>25.86</v>
      </c>
      <c r="M4220" s="17" t="n">
        <v>0</v>
      </c>
      <c r="N4220" s="17">
        <f>K4220*0.08+L4220*0.08</f>
        <v/>
      </c>
      <c r="O4220" s="17">
        <f>-(K4220*0.025+L4220*0.025)</f>
        <v/>
      </c>
      <c r="P4220" s="17">
        <f>32</f>
        <v/>
      </c>
      <c r="Q4220" s="17">
        <f>J4220+L4220+N4220+O4220-P4220-M4220</f>
        <v/>
      </c>
    </row>
    <row r="4221">
      <c r="A4221" s="16" t="inlineStr">
        <is>
          <t>5.29-6.4</t>
        </is>
      </c>
      <c r="B4221" s="16" t="inlineStr">
        <is>
          <t>PO-128-21778952940151674</t>
        </is>
      </c>
      <c r="C4221" s="16" t="inlineStr">
        <is>
          <t>Delivered</t>
        </is>
      </c>
      <c r="D4221" s="16" t="inlineStr">
        <is>
          <t>128-21778890025591674</t>
        </is>
      </c>
      <c r="E4221" s="16" t="inlineStr">
        <is>
          <t>Delivered</t>
        </is>
      </c>
      <c r="F4221" s="16" t="inlineStr">
        <is>
          <t>SA323T</t>
        </is>
      </c>
      <c r="G4221" s="16" t="inlineStr">
        <is>
          <t>Linkbits Bocina Portátil Parlantes BT Portátiles con Iluminación de Ambiente | 1 Hora de Duración, FM, TWS, TF/Micro SD | Ideal para Hogar, Fiestas y Viajes</t>
        </is>
      </c>
      <c r="H4221" s="16" t="inlineStr">
        <is>
          <t>SA323T</t>
        </is>
      </c>
      <c r="I4221" s="16" t="n">
        <v>1</v>
      </c>
      <c r="J4221" s="17" t="n">
        <v>46.7</v>
      </c>
      <c r="K4221" s="17" t="n">
        <v>54.54</v>
      </c>
      <c r="L4221" s="17" t="n">
        <v>15.77</v>
      </c>
      <c r="M4221" s="17" t="n">
        <v>0</v>
      </c>
      <c r="N4221" s="17">
        <f>K4221*0.08+L4221*0.08</f>
        <v/>
      </c>
      <c r="O4221" s="17">
        <f>-(K4221*0.025+L4221*0.025)</f>
        <v/>
      </c>
      <c r="P4221" s="17">
        <f>32</f>
        <v/>
      </c>
      <c r="Q4221" s="17">
        <f>J4221+L4221+N4221+O4221-P4221-M4221</f>
        <v/>
      </c>
    </row>
    <row r="4222">
      <c r="A4222" s="16" t="inlineStr">
        <is>
          <t>5.29-6.4</t>
        </is>
      </c>
      <c r="B4222" s="16" t="inlineStr">
        <is>
          <t>PO-128-21778952940151674</t>
        </is>
      </c>
      <c r="C4222" s="16" t="inlineStr">
        <is>
          <t>Delivered</t>
        </is>
      </c>
      <c r="D4222" s="16" t="inlineStr">
        <is>
          <t>128-21778973911671674</t>
        </is>
      </c>
      <c r="E4222" s="16" t="inlineStr">
        <is>
          <t>Delivered</t>
        </is>
      </c>
      <c r="F4222" s="16" t="inlineStr">
        <is>
          <t>MCM-003-N</t>
        </is>
      </c>
      <c r="G4222" s="16" t="inlineStr">
        <is>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is>
      </c>
      <c r="H4222" s="16" t="inlineStr">
        <is>
          <t>negro</t>
        </is>
      </c>
      <c r="I4222" s="16" t="n">
        <v>1</v>
      </c>
      <c r="J4222" s="17" t="n">
        <v>48</v>
      </c>
      <c r="K4222" s="17" t="n">
        <v>34.96</v>
      </c>
      <c r="L4222" s="17" t="n">
        <v>10.09</v>
      </c>
      <c r="M4222" s="17" t="n">
        <v>0</v>
      </c>
      <c r="N4222" s="17">
        <f>K4222*0.08+L4222*0.08</f>
        <v/>
      </c>
      <c r="O4222" s="17">
        <f>-(K4222*0.025+L4222*0.025)</f>
        <v/>
      </c>
      <c r="P4222" s="17">
        <f>32</f>
        <v/>
      </c>
      <c r="Q4222" s="17">
        <f>J4222+L4222+N4222+O4222-P4222-M4222</f>
        <v/>
      </c>
    </row>
    <row r="4223">
      <c r="A4223" s="16" t="inlineStr">
        <is>
          <t>5.29-6.4</t>
        </is>
      </c>
      <c r="B4223" s="16" t="inlineStr">
        <is>
          <t>PO-128-21368233042553098</t>
        </is>
      </c>
      <c r="C4223" s="16" t="inlineStr">
        <is>
          <t>Delivered</t>
        </is>
      </c>
      <c r="D4223" s="16" t="inlineStr">
        <is>
          <t>128-21368285471353098</t>
        </is>
      </c>
      <c r="E4223" s="16" t="inlineStr">
        <is>
          <t>Delivered</t>
        </is>
      </c>
      <c r="F4223" s="16" t="inlineStr">
        <is>
          <t>MB-185A</t>
        </is>
      </c>
      <c r="G4223" s="16" t="inlineStr">
        <is>
          <t>Bocina Radio FM/Reproductor, Compatible con Tarjeta TF, USB, Bluetooth, Aplicable para celular, computadora, Ipad y consola.</t>
        </is>
      </c>
      <c r="H4223" s="16" t="inlineStr">
        <is>
          <t>AZUL/MB-185</t>
        </is>
      </c>
      <c r="I4223" s="16" t="n">
        <v>3</v>
      </c>
      <c r="J4223" s="17" t="n">
        <v>219</v>
      </c>
      <c r="K4223" s="17" t="n">
        <v>257.82</v>
      </c>
      <c r="L4223" s="17" t="n">
        <v>0</v>
      </c>
      <c r="M4223" s="17" t="n">
        <v>0</v>
      </c>
      <c r="N4223" s="17">
        <f>K4223*0.08+L4223*0.08</f>
        <v/>
      </c>
      <c r="O4223" s="17">
        <f>-(K4223*0.025+L4223*0.025)</f>
        <v/>
      </c>
      <c r="P4223" s="17">
        <f>32</f>
        <v/>
      </c>
      <c r="Q4223" s="17">
        <f>J4223+L4223+N4223+O4223-P4223-M4223</f>
        <v/>
      </c>
    </row>
    <row r="4224">
      <c r="A4224" s="16" t="inlineStr">
        <is>
          <t>5.29-6.4</t>
        </is>
      </c>
      <c r="B4224" s="16" t="inlineStr">
        <is>
          <t>PO-128-21368233042553098</t>
        </is>
      </c>
      <c r="C4224" s="16" t="inlineStr">
        <is>
          <t>Delivered</t>
        </is>
      </c>
      <c r="D4224" s="16" t="inlineStr">
        <is>
          <t>128-21368201585273098</t>
        </is>
      </c>
      <c r="E4224" s="16" t="inlineStr">
        <is>
          <t>Delivered</t>
        </is>
      </c>
      <c r="F4224" s="16" t="inlineStr">
        <is>
          <t>MB-185R</t>
        </is>
      </c>
      <c r="G4224" s="16" t="inlineStr">
        <is>
          <t>Bocina Radio FM/Reproductor, Compatible con Tarjeta TF, USB, Bluetooth, Aplicable para celular, computadora, Ipad y consola.</t>
        </is>
      </c>
      <c r="H4224" s="16" t="inlineStr">
        <is>
          <t>ROJO/MB-185</t>
        </is>
      </c>
      <c r="I4224" s="16" t="n">
        <v>2</v>
      </c>
      <c r="J4224" s="17" t="n">
        <v>151</v>
      </c>
      <c r="K4224" s="17" t="n">
        <v>176.88</v>
      </c>
      <c r="L4224" s="17" t="n">
        <v>0</v>
      </c>
      <c r="M4224" s="17" t="n">
        <v>0</v>
      </c>
      <c r="N4224" s="17">
        <f>K4224*0.08+L4224*0.08</f>
        <v/>
      </c>
      <c r="O4224" s="17">
        <f>-(K4224*0.025+L4224*0.025)</f>
        <v/>
      </c>
      <c r="P4224" s="17">
        <f>32</f>
        <v/>
      </c>
      <c r="Q4224" s="17">
        <f>J4224+L4224+N4224+O4224-P4224-M4224</f>
        <v/>
      </c>
    </row>
    <row r="4225">
      <c r="A4225" s="16" t="inlineStr">
        <is>
          <t>5.29-6.4</t>
        </is>
      </c>
      <c r="B4225" s="16" t="inlineStr">
        <is>
          <t>PO-128-21368233042553098</t>
        </is>
      </c>
      <c r="C4225" s="16" t="inlineStr">
        <is>
          <t>Delivered</t>
        </is>
      </c>
      <c r="D4225" s="16" t="inlineStr">
        <is>
          <t>128-21368243528313098</t>
        </is>
      </c>
      <c r="E4225" s="16" t="inlineStr">
        <is>
          <t>Delivered</t>
        </is>
      </c>
      <c r="F4225" s="16" t="inlineStr">
        <is>
          <t>MB-185N</t>
        </is>
      </c>
      <c r="G4225" s="16" t="inlineStr">
        <is>
          <t>Bocina Radio FM/Reproductor, Compatible con Tarjeta TF, USB, Bluetooth, Aplicable para celular, computadora, Ipad y consola.</t>
        </is>
      </c>
      <c r="H4225" s="16" t="inlineStr">
        <is>
          <t>NEGRO/MB-185</t>
        </is>
      </c>
      <c r="I4225" s="16" t="n">
        <v>2</v>
      </c>
      <c r="J4225" s="17" t="n">
        <v>151</v>
      </c>
      <c r="K4225" s="17" t="n">
        <v>176.88</v>
      </c>
      <c r="L4225" s="17" t="n">
        <v>0</v>
      </c>
      <c r="M4225" s="17" t="n">
        <v>0</v>
      </c>
      <c r="N4225" s="17">
        <f>K4225*0.08+L4225*0.08</f>
        <v/>
      </c>
      <c r="O4225" s="17">
        <f>-(K4225*0.025+L4225*0.025)</f>
        <v/>
      </c>
      <c r="P4225" s="17">
        <f>32</f>
        <v/>
      </c>
      <c r="Q4225" s="17">
        <f>J4225+L4225+N4225+O4225-P4225-M4225</f>
        <v/>
      </c>
    </row>
    <row r="4226">
      <c r="A4226" s="16" t="inlineStr">
        <is>
          <t>5.29-6.4</t>
        </is>
      </c>
      <c r="B4226" s="16" t="inlineStr">
        <is>
          <t>PO-128-21482403123832483</t>
        </is>
      </c>
      <c r="C4226" s="16" t="inlineStr">
        <is>
          <t>Delivered</t>
        </is>
      </c>
      <c r="D4226" s="16" t="inlineStr">
        <is>
          <t>128-21482413609592483</t>
        </is>
      </c>
      <c r="E4226" s="16" t="inlineStr">
        <is>
          <t>Delivered</t>
        </is>
      </c>
      <c r="F4226" s="16" t="inlineStr">
        <is>
          <t>LB02235-negro</t>
        </is>
      </c>
      <c r="G4226" s="16" t="inlineStr">
        <is>
          <t>Audífonos Inalámbricos para la Cabeza, Recargables y Multifuncionales - Conectan a Varios Dispositivos, soportan Radio FM, Tarjeta TF y AUX - 4 Horas de Reproducción Musical - Ideal para Trabajo Cotidiano, Juegos y Estudio</t>
        </is>
      </c>
      <c r="H4226" s="16" t="inlineStr">
        <is>
          <t>NEGRO</t>
        </is>
      </c>
      <c r="I4226" s="16" t="n">
        <v>1</v>
      </c>
      <c r="J4226" s="17" t="n">
        <v>36.8</v>
      </c>
      <c r="K4226" s="17" t="n">
        <v>49.91</v>
      </c>
      <c r="L4226" s="17" t="n">
        <v>25.86</v>
      </c>
      <c r="M4226" s="17" t="n">
        <v>0</v>
      </c>
      <c r="N4226" s="17">
        <f>K4226*0.08+L4226*0.08</f>
        <v/>
      </c>
      <c r="O4226" s="17">
        <f>-(K4226*0.025+L4226*0.025)</f>
        <v/>
      </c>
      <c r="P4226" s="17">
        <f>32</f>
        <v/>
      </c>
      <c r="Q4226" s="17">
        <f>J4226+L4226+N4226+O4226-P4226-M4226</f>
        <v/>
      </c>
    </row>
    <row r="4227">
      <c r="A4227" s="16" t="inlineStr">
        <is>
          <t>5.29-6.4</t>
        </is>
      </c>
      <c r="B4227" s="16" t="inlineStr">
        <is>
          <t>PO-128-21587359007352816</t>
        </is>
      </c>
      <c r="C4227" s="16" t="inlineStr">
        <is>
          <t>Delivered</t>
        </is>
      </c>
      <c r="D4227" s="16" t="inlineStr">
        <is>
          <t>128-21587379978872816</t>
        </is>
      </c>
      <c r="E4227" s="16" t="inlineStr">
        <is>
          <t>Delivered</t>
        </is>
      </c>
      <c r="F4227" s="16" t="inlineStr">
        <is>
          <t>MB-185N</t>
        </is>
      </c>
      <c r="G4227" s="16" t="inlineStr">
        <is>
          <t>Bocina Radio FM/Reproductor, Compatible con Tarjeta TF, USB, Bluetooth, Aplicable para celular, computadora, Ipad y consola.</t>
        </is>
      </c>
      <c r="H4227" s="16" t="inlineStr">
        <is>
          <t>NEGRO/MB-185</t>
        </is>
      </c>
      <c r="I4227" s="16" t="n">
        <v>1</v>
      </c>
      <c r="J4227" s="17" t="n">
        <v>75.5</v>
      </c>
      <c r="K4227" s="17" t="n">
        <v>88.44</v>
      </c>
      <c r="L4227" s="17" t="n">
        <v>25.86</v>
      </c>
      <c r="M4227" s="17" t="n">
        <v>0</v>
      </c>
      <c r="N4227" s="17">
        <f>K4227*0.08+L4227*0.08</f>
        <v/>
      </c>
      <c r="O4227" s="17">
        <f>-(K4227*0.025+L4227*0.025)</f>
        <v/>
      </c>
      <c r="P4227" s="17">
        <f>32</f>
        <v/>
      </c>
      <c r="Q4227" s="17">
        <f>J4227+L4227+N4227+O4227-P4227-M4227</f>
        <v/>
      </c>
    </row>
    <row r="4228">
      <c r="A4228" s="16" t="inlineStr">
        <is>
          <t>5.29-6.4</t>
        </is>
      </c>
      <c r="B4228" s="16" t="inlineStr">
        <is>
          <t>PO-128-21660409738871484</t>
        </is>
      </c>
      <c r="C4228" s="16" t="inlineStr">
        <is>
          <t>Delivered</t>
        </is>
      </c>
      <c r="D4228" s="16" t="inlineStr">
        <is>
          <t>128-21660441196151484</t>
        </is>
      </c>
      <c r="E4228" s="16" t="inlineStr">
        <is>
          <t>Delivered</t>
        </is>
      </c>
      <c r="F4228" s="16" t="inlineStr">
        <is>
          <t>MCM-001R</t>
        </is>
      </c>
      <c r="G4228" s="16" t="inlineStr">
        <is>
          <t>Musicord Altavoz Inalámbrico BT Portátil: ¡Sonido impactante, luces LED multicolores y 4 horas de autonomía! Compatible con TWS, FM, TF y USB – Imprescindible para fiestas y viajes</t>
        </is>
      </c>
      <c r="H4228" s="16" t="inlineStr">
        <is>
          <t>ROJO</t>
        </is>
      </c>
      <c r="I4228" s="16" t="n">
        <v>1</v>
      </c>
      <c r="J4228" s="17" t="n">
        <v>66.5</v>
      </c>
      <c r="K4228" s="17" t="n">
        <v>74.29000000000001</v>
      </c>
      <c r="L4228" s="17" t="n">
        <v>25.86</v>
      </c>
      <c r="M4228" s="17" t="n">
        <v>0</v>
      </c>
      <c r="N4228" s="17">
        <f>K4228*0.08+L4228*0.08</f>
        <v/>
      </c>
      <c r="O4228" s="17">
        <f>-(K4228*0.025+L4228*0.025)</f>
        <v/>
      </c>
      <c r="P4228" s="17">
        <f>32</f>
        <v/>
      </c>
      <c r="Q4228" s="17">
        <f>J4228+L4228+N4228+O4228-P4228-M4228</f>
        <v/>
      </c>
    </row>
    <row r="4229">
      <c r="A4229" s="16" t="inlineStr">
        <is>
          <t>5.29-6.4</t>
        </is>
      </c>
      <c r="B4229" s="16" t="inlineStr">
        <is>
          <t>PO-128-21649386624631422</t>
        </is>
      </c>
      <c r="C4229" s="16" t="inlineStr">
        <is>
          <t>Delivered</t>
        </is>
      </c>
      <c r="D4229" s="16" t="inlineStr">
        <is>
          <t>128-21649344681591422</t>
        </is>
      </c>
      <c r="E4229" s="16" t="inlineStr">
        <is>
          <t>Delivered</t>
        </is>
      </c>
      <c r="F4229" s="16" t="inlineStr">
        <is>
          <t>LB02235-negro</t>
        </is>
      </c>
      <c r="G4229" s="16" t="inlineStr">
        <is>
          <t>Audífonos Inalámbricos para la Cabeza, Recargables y Multifuncionales - Conectan a Varios Dispositivos, soportan Radio FM, Tarjeta TF y AUX - 4 Horas de Reproducción Musical - Ideal para Trabajo Cotidiano, Juegos y Estudio</t>
        </is>
      </c>
      <c r="H4229" s="16" t="inlineStr">
        <is>
          <t>NEGRO</t>
        </is>
      </c>
      <c r="I4229" s="16" t="n">
        <v>1</v>
      </c>
      <c r="J4229" s="17" t="n">
        <v>36.8</v>
      </c>
      <c r="K4229" s="17" t="n">
        <v>49.91</v>
      </c>
      <c r="L4229" s="17" t="n">
        <v>25.86</v>
      </c>
      <c r="M4229" s="17" t="n">
        <v>0</v>
      </c>
      <c r="N4229" s="17">
        <f>K4229*0.08+L4229*0.08</f>
        <v/>
      </c>
      <c r="O4229" s="17">
        <f>-(K4229*0.025+L4229*0.025)</f>
        <v/>
      </c>
      <c r="P4229" s="17">
        <f>32</f>
        <v/>
      </c>
      <c r="Q4229" s="17">
        <f>J4229+L4229+N4229+O4229-P4229-M4229</f>
        <v/>
      </c>
    </row>
    <row r="4230">
      <c r="A4230" s="16" t="inlineStr">
        <is>
          <t>5.29-6.4</t>
        </is>
      </c>
      <c r="B4230" s="16" t="inlineStr">
        <is>
          <t>PO-128-21661772928631476</t>
        </is>
      </c>
      <c r="C4230" s="16" t="inlineStr">
        <is>
          <t>Delivered</t>
        </is>
      </c>
      <c r="D4230" s="16" t="inlineStr">
        <is>
          <t>128-21661877786231476</t>
        </is>
      </c>
      <c r="E4230" s="16" t="inlineStr">
        <is>
          <t>Delivered</t>
        </is>
      </c>
      <c r="F4230" s="16" t="inlineStr">
        <is>
          <t>MB-178-N</t>
        </is>
      </c>
      <c r="G4230" s="16" t="inlineStr">
        <is>
          <t>Bocina de Barra Bluetooth LINK BITS con dos altavoces, sonido de alta calidad y multifuncional (Bluetooth, Radio FM, USB, TF, AUX, TWS), ideal para juegos, reuniones, oficina y cine en casa.</t>
        </is>
      </c>
      <c r="H4230" s="16" t="inlineStr">
        <is>
          <t>NEGRO</t>
        </is>
      </c>
      <c r="I4230" s="16" t="n">
        <v>1</v>
      </c>
      <c r="J4230" s="17" t="n">
        <v>125</v>
      </c>
      <c r="K4230" s="17" t="n">
        <v>144.34</v>
      </c>
      <c r="L4230" s="17" t="n">
        <v>25.86</v>
      </c>
      <c r="M4230" s="17" t="n">
        <v>0</v>
      </c>
      <c r="N4230" s="17">
        <f>K4230*0.08+L4230*0.08</f>
        <v/>
      </c>
      <c r="O4230" s="17">
        <f>-(K4230*0.025+L4230*0.025)</f>
        <v/>
      </c>
      <c r="P4230" s="17">
        <f>32</f>
        <v/>
      </c>
      <c r="Q4230" s="17">
        <f>J4230+L4230+N4230+O4230-P4230-M4230</f>
        <v/>
      </c>
    </row>
    <row r="4231">
      <c r="A4231" s="16" t="inlineStr">
        <is>
          <t>5.29-6.4</t>
        </is>
      </c>
      <c r="B4231" s="16" t="inlineStr">
        <is>
          <t>PO-128-21955286641270689</t>
        </is>
      </c>
      <c r="C4231" s="16" t="inlineStr">
        <is>
          <t>Delivered</t>
        </is>
      </c>
      <c r="D4231" s="16" t="inlineStr">
        <is>
          <t>128-21955307612790689</t>
        </is>
      </c>
      <c r="E4231" s="16" t="inlineStr">
        <is>
          <t>Delivered</t>
        </is>
      </c>
      <c r="F4231" s="16" t="inlineStr">
        <is>
          <t>VB347T</t>
        </is>
      </c>
      <c r="G423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31" s="16" t="inlineStr">
        <is>
          <t>1 pieza</t>
        </is>
      </c>
      <c r="I4231" s="16" t="n">
        <v>1</v>
      </c>
      <c r="J4231" s="17" t="n">
        <v>79.90000000000001</v>
      </c>
      <c r="K4231" s="17" t="n">
        <v>94.5</v>
      </c>
      <c r="L4231" s="17" t="n">
        <v>25.86</v>
      </c>
      <c r="M4231" s="17" t="n">
        <v>0</v>
      </c>
      <c r="N4231" s="17">
        <f>K4231*0.08+L4231*0.08</f>
        <v/>
      </c>
      <c r="O4231" s="17">
        <f>-(K4231*0.025+L4231*0.025)</f>
        <v/>
      </c>
      <c r="P4231" s="17">
        <f>32</f>
        <v/>
      </c>
      <c r="Q4231" s="17">
        <f>J4231+L4231+N4231+O4231-P4231-M4231</f>
        <v/>
      </c>
    </row>
    <row r="4232">
      <c r="A4232" s="16" t="inlineStr">
        <is>
          <t>5.29-6.4</t>
        </is>
      </c>
      <c r="B4232" s="16" t="inlineStr">
        <is>
          <t>PO-128-21916267950710985</t>
        </is>
      </c>
      <c r="C4232" s="16" t="inlineStr">
        <is>
          <t>Delivered</t>
        </is>
      </c>
      <c r="D4232" s="16" t="inlineStr">
        <is>
          <t>128-21916372808310985</t>
        </is>
      </c>
      <c r="E4232" s="16" t="inlineStr">
        <is>
          <t>Delivered</t>
        </is>
      </c>
      <c r="F4232" s="16" t="inlineStr">
        <is>
          <t>MB-185N</t>
        </is>
      </c>
      <c r="G4232" s="16" t="inlineStr">
        <is>
          <t>Bocina Radio FM/Reproductor, Compatible con Tarjeta TF, USB, Bluetooth, Aplicable para celular, computadora, Ipad y consola.</t>
        </is>
      </c>
      <c r="H4232" s="16" t="inlineStr">
        <is>
          <t>NEGRO/MB-185</t>
        </is>
      </c>
      <c r="I4232" s="16" t="n">
        <v>1</v>
      </c>
      <c r="J4232" s="17" t="n">
        <v>75.5</v>
      </c>
      <c r="K4232" s="17" t="n">
        <v>70.76000000000001</v>
      </c>
      <c r="L4232" s="17" t="n">
        <v>25.86</v>
      </c>
      <c r="M4232" s="17" t="n">
        <v>0</v>
      </c>
      <c r="N4232" s="17">
        <f>K4232*0.08+L4232*0.08</f>
        <v/>
      </c>
      <c r="O4232" s="17">
        <f>-(K4232*0.025+L4232*0.025)</f>
        <v/>
      </c>
      <c r="P4232" s="17">
        <f>32</f>
        <v/>
      </c>
      <c r="Q4232" s="17">
        <f>J4232+L4232+N4232+O4232-P4232-M4232</f>
        <v/>
      </c>
    </row>
    <row r="4233">
      <c r="A4233" s="16" t="inlineStr">
        <is>
          <t>5.29-6.4</t>
        </is>
      </c>
      <c r="B4233" s="16" t="inlineStr">
        <is>
          <t>PO-128-21891012024950046</t>
        </is>
      </c>
      <c r="C4233" s="16" t="inlineStr">
        <is>
          <t>Delivered</t>
        </is>
      </c>
      <c r="D4233" s="16" t="inlineStr">
        <is>
          <t>128-21891038239350046</t>
        </is>
      </c>
      <c r="E4233" s="16" t="inlineStr">
        <is>
          <t>Delivered</t>
        </is>
      </c>
      <c r="F4233" s="16" t="inlineStr">
        <is>
          <t>LB02235-azul</t>
        </is>
      </c>
      <c r="G4233" s="16" t="inlineStr">
        <is>
          <t>Audífonos Inalámbricos para la Cabeza, Recargables y Multifuncionales - Conectan a Varios Dispositivos, soportan Radio FM, Tarjeta TF y AUX - 4 Horas de Reproducción Musical - Ideal para Trabajo Cotidiano, Juegos y Estudio</t>
        </is>
      </c>
      <c r="H4233" s="16" t="inlineStr">
        <is>
          <t>AZUL</t>
        </is>
      </c>
      <c r="I4233" s="16" t="n">
        <v>1</v>
      </c>
      <c r="J4233" s="17" t="n">
        <v>36</v>
      </c>
      <c r="K4233" s="17" t="n">
        <v>41.74</v>
      </c>
      <c r="L4233" s="17" t="n">
        <v>25.86</v>
      </c>
      <c r="M4233" s="17" t="n">
        <v>0</v>
      </c>
      <c r="N4233" s="17">
        <f>K4233*0.08+L4233*0.08</f>
        <v/>
      </c>
      <c r="O4233" s="17">
        <f>-(K4233*0.025+L4233*0.025)</f>
        <v/>
      </c>
      <c r="P4233" s="17">
        <f>32</f>
        <v/>
      </c>
      <c r="Q4233" s="17">
        <f>J4233+L4233+N4233+O4233-P4233-M4233</f>
        <v/>
      </c>
    </row>
    <row r="4234">
      <c r="A4234" s="16" t="inlineStr">
        <is>
          <t>5.29-6.4</t>
        </is>
      </c>
      <c r="B4234" s="16" t="inlineStr">
        <is>
          <t>PO-128-21843491748470267</t>
        </is>
      </c>
      <c r="C4234" s="16" t="inlineStr">
        <is>
          <t>Delivered</t>
        </is>
      </c>
      <c r="D4234" s="16" t="inlineStr">
        <is>
          <t>128-21843533691510267</t>
        </is>
      </c>
      <c r="E4234" s="16" t="inlineStr">
        <is>
          <t>Delivered</t>
        </is>
      </c>
      <c r="F4234" s="16" t="inlineStr">
        <is>
          <t>LB02235-negro</t>
        </is>
      </c>
      <c r="G4234" s="16" t="inlineStr">
        <is>
          <t>Audífonos Inalámbricos para la Cabeza, Recargables y Multifuncionales - Conectan a Varios Dispositivos, soportan Radio FM, Tarjeta TF y AUX - 4 Horas de Reproducción Musical - Ideal para Trabajo Cotidiano, Juegos y Estudio</t>
        </is>
      </c>
      <c r="H4234" s="16" t="inlineStr">
        <is>
          <t>NEGRO</t>
        </is>
      </c>
      <c r="I4234" s="16" t="n">
        <v>1</v>
      </c>
      <c r="J4234" s="17" t="n">
        <v>36.8</v>
      </c>
      <c r="K4234" s="17" t="n">
        <v>49.91</v>
      </c>
      <c r="L4234" s="17" t="n">
        <v>25.86</v>
      </c>
      <c r="M4234" s="17" t="n">
        <v>0</v>
      </c>
      <c r="N4234" s="17">
        <f>K4234*0.08+L4234*0.08</f>
        <v/>
      </c>
      <c r="O4234" s="17">
        <f>-(K4234*0.025+L4234*0.025)</f>
        <v/>
      </c>
      <c r="P4234" s="17">
        <f>32</f>
        <v/>
      </c>
      <c r="Q4234" s="17">
        <f>J4234+L4234+N4234+O4234-P4234-M4234</f>
        <v/>
      </c>
    </row>
    <row r="4235">
      <c r="A4235" s="16" t="inlineStr">
        <is>
          <t>5.29-6.4</t>
        </is>
      </c>
      <c r="B4235" s="16" t="inlineStr">
        <is>
          <t>PO-128-21936542761590801</t>
        </is>
      </c>
      <c r="C4235" s="16" t="inlineStr">
        <is>
          <t>Delivered</t>
        </is>
      </c>
      <c r="D4235" s="16" t="inlineStr">
        <is>
          <t>128-21936500818550801</t>
        </is>
      </c>
      <c r="E4235" s="16" t="inlineStr">
        <is>
          <t>Delivered</t>
        </is>
      </c>
      <c r="F4235" s="16" t="inlineStr">
        <is>
          <t>LB02235-rojo</t>
        </is>
      </c>
      <c r="G4235" s="16" t="inlineStr">
        <is>
          <t>Audífonos Inalámbricos para la Cabeza, Recargables y Multifuncionales - Conectan a Varios Dispositivos, soportan Radio FM, Tarjeta TF y AUX - 4 Horas de Reproducción Musical - Ideal para Trabajo Cotidiano, Juegos y Estudio</t>
        </is>
      </c>
      <c r="H4235" s="16" t="inlineStr">
        <is>
          <t>ROJO</t>
        </is>
      </c>
      <c r="I4235" s="16" t="n">
        <v>1</v>
      </c>
      <c r="J4235" s="17" t="n">
        <v>36.8</v>
      </c>
      <c r="K4235" s="17" t="n">
        <v>49.91</v>
      </c>
      <c r="L4235" s="17" t="n">
        <v>25.86</v>
      </c>
      <c r="M4235" s="17" t="n">
        <v>0</v>
      </c>
      <c r="N4235" s="17">
        <f>K4235*0.08+L4235*0.08</f>
        <v/>
      </c>
      <c r="O4235" s="17">
        <f>-(K4235*0.025+L4235*0.025)</f>
        <v/>
      </c>
      <c r="P4235" s="17">
        <f>32</f>
        <v/>
      </c>
      <c r="Q4235" s="17">
        <f>J4235+L4235+N4235+O4235-P4235-M4235</f>
        <v/>
      </c>
    </row>
    <row r="4236">
      <c r="A4236" s="16" t="inlineStr">
        <is>
          <t>5.29-6.4</t>
        </is>
      </c>
      <c r="B4236" s="16" t="inlineStr">
        <is>
          <t>PO-128-21654369941111456</t>
        </is>
      </c>
      <c r="C4236" s="16" t="inlineStr">
        <is>
          <t>Delivered</t>
        </is>
      </c>
      <c r="D4236" s="16" t="inlineStr">
        <is>
          <t>128-21654506255991456</t>
        </is>
      </c>
      <c r="E4236" s="16" t="inlineStr">
        <is>
          <t>Delivered</t>
        </is>
      </c>
      <c r="F4236" s="16" t="inlineStr">
        <is>
          <t>EM04W36</t>
        </is>
      </c>
      <c r="G423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236" s="16" t="inlineStr">
        <is>
          <t>1 pieza</t>
        </is>
      </c>
      <c r="I4236" s="16" t="n">
        <v>1</v>
      </c>
      <c r="J4236" s="17" t="n">
        <v>62</v>
      </c>
      <c r="K4236" s="17" t="n">
        <v>71.29000000000001</v>
      </c>
      <c r="L4236" s="17" t="n">
        <v>25.86</v>
      </c>
      <c r="M4236" s="17" t="n">
        <v>0</v>
      </c>
      <c r="N4236" s="17">
        <f>K4236*0.08+L4236*0.08</f>
        <v/>
      </c>
      <c r="O4236" s="17">
        <f>-(K4236*0.025+L4236*0.025)</f>
        <v/>
      </c>
      <c r="P4236" s="17">
        <f>32</f>
        <v/>
      </c>
      <c r="Q4236" s="17">
        <f>J4236+L4236+N4236+O4236-P4236-M4236</f>
        <v/>
      </c>
    </row>
    <row r="4237">
      <c r="A4237" s="16" t="inlineStr">
        <is>
          <t>5.29-6.4</t>
        </is>
      </c>
      <c r="B4237" s="16" t="inlineStr">
        <is>
          <t>PO-128-21963610184310767</t>
        </is>
      </c>
      <c r="C4237" s="16" t="inlineStr">
        <is>
          <t>Delivered</t>
        </is>
      </c>
      <c r="D4237" s="16" t="inlineStr">
        <is>
          <t>128-21963652127350767</t>
        </is>
      </c>
      <c r="E4237" s="16" t="inlineStr">
        <is>
          <t>Delivered</t>
        </is>
      </c>
      <c r="F4237" s="16" t="inlineStr">
        <is>
          <t>HD005</t>
        </is>
      </c>
      <c r="G4237" s="16" t="inlineStr">
        <is>
          <t>Link bits HD005 Antena UHF para Exteriores, Antena de TV Digital HD con 10 Metros de Cable, Recepción 470-862MHz, 9-7dB de Ganancia, Antena para Canales Abiertos y HD, Resistente al Agua y Viento, Fácil Instalación</t>
        </is>
      </c>
      <c r="H4237" s="16" t="inlineStr">
        <is>
          <t>1</t>
        </is>
      </c>
      <c r="I4237" s="16" t="n">
        <v>2</v>
      </c>
      <c r="J4237" s="17" t="n">
        <v>150</v>
      </c>
      <c r="K4237" s="17" t="n">
        <v>185.32</v>
      </c>
      <c r="L4237" s="17" t="n">
        <v>25.86</v>
      </c>
      <c r="M4237" s="17" t="n">
        <v>0</v>
      </c>
      <c r="N4237" s="17">
        <f>K4237*0.08+L4237*0.08</f>
        <v/>
      </c>
      <c r="O4237" s="17">
        <f>-(K4237*0.025+L4237*0.025)</f>
        <v/>
      </c>
      <c r="P4237" s="17">
        <f>32</f>
        <v/>
      </c>
      <c r="Q4237" s="17">
        <f>J4237+L4237+N4237+O4237-P4237-M4237</f>
        <v/>
      </c>
    </row>
    <row r="4238">
      <c r="A4238" s="16" t="inlineStr">
        <is>
          <t>5.29-6.4</t>
        </is>
      </c>
      <c r="B4238" s="16" t="inlineStr">
        <is>
          <t>PO-128-21496716964472332</t>
        </is>
      </c>
      <c r="C4238" s="16" t="inlineStr">
        <is>
          <t>Delivered</t>
        </is>
      </c>
      <c r="D4238" s="16" t="inlineStr">
        <is>
          <t>128-21496680264312332</t>
        </is>
      </c>
      <c r="E4238" s="16" t="inlineStr">
        <is>
          <t>Delivered</t>
        </is>
      </c>
      <c r="F4238" s="16" t="inlineStr">
        <is>
          <t>LB02235-rojo</t>
        </is>
      </c>
      <c r="G4238" s="16" t="inlineStr">
        <is>
          <t>Audífonos Inalámbricos para la Cabeza, Recargables y Multifuncionales - Conectan a Varios Dispositivos, soportan Radio FM, Tarjeta TF y AUX - 4 Horas de Reproducción Musical - Ideal para Trabajo Cotidiano, Juegos y Estudio</t>
        </is>
      </c>
      <c r="H4238" s="16" t="inlineStr">
        <is>
          <t>ROJO</t>
        </is>
      </c>
      <c r="I4238" s="16" t="n">
        <v>1</v>
      </c>
      <c r="J4238" s="17" t="n">
        <v>36.8</v>
      </c>
      <c r="K4238" s="17" t="n">
        <v>49.91</v>
      </c>
      <c r="L4238" s="17" t="n">
        <v>25.86</v>
      </c>
      <c r="M4238" s="17" t="n">
        <v>0</v>
      </c>
      <c r="N4238" s="17">
        <f>K4238*0.08+L4238*0.08</f>
        <v/>
      </c>
      <c r="O4238" s="17">
        <f>-(K4238*0.025+L4238*0.025)</f>
        <v/>
      </c>
      <c r="P4238" s="17">
        <f>32</f>
        <v/>
      </c>
      <c r="Q4238" s="17">
        <f>J4238+L4238+N4238+O4238-P4238-M4238</f>
        <v/>
      </c>
    </row>
    <row r="4239">
      <c r="A4239" s="16" t="inlineStr">
        <is>
          <t>5.29-6.4</t>
        </is>
      </c>
      <c r="B4239" s="16" t="inlineStr">
        <is>
          <t>PO-128-21844057979510262</t>
        </is>
      </c>
      <c r="C4239" s="16" t="inlineStr">
        <is>
          <t>Delivered</t>
        </is>
      </c>
      <c r="D4239" s="16" t="inlineStr">
        <is>
          <t>128-21844078951030262</t>
        </is>
      </c>
      <c r="E4239" s="16" t="inlineStr">
        <is>
          <t>Delivered</t>
        </is>
      </c>
      <c r="F4239" s="16" t="inlineStr">
        <is>
          <t>SA325T</t>
        </is>
      </c>
      <c r="G4239" s="16" t="inlineStr">
        <is>
          <t>Subwoofer Portátil Inalámbrico con Luces RGB, Sonido de Alta Potencia y Batería Duradera, TWS TF USB, Perfecto para Campamento Fiestas y Entretenimiento en Casa</t>
        </is>
      </c>
      <c r="H4239" s="16" t="inlineStr">
        <is>
          <t>NEGRO</t>
        </is>
      </c>
      <c r="I4239" s="16" t="n">
        <v>1</v>
      </c>
      <c r="J4239" s="17" t="n">
        <v>37.99</v>
      </c>
      <c r="K4239" s="17" t="n">
        <v>47.03</v>
      </c>
      <c r="L4239" s="17" t="n">
        <v>25.86</v>
      </c>
      <c r="M4239" s="17" t="n">
        <v>0</v>
      </c>
      <c r="N4239" s="17">
        <f>K4239*0.08+L4239*0.08</f>
        <v/>
      </c>
      <c r="O4239" s="17">
        <f>-(K4239*0.025+L4239*0.025)</f>
        <v/>
      </c>
      <c r="P4239" s="17">
        <f>32</f>
        <v/>
      </c>
      <c r="Q4239" s="17">
        <f>J4239+L4239+N4239+O4239-P4239-M4239</f>
        <v/>
      </c>
    </row>
    <row r="4240">
      <c r="A4240" s="16" t="inlineStr">
        <is>
          <t>5.29-6.4</t>
        </is>
      </c>
      <c r="B4240" s="16" t="inlineStr">
        <is>
          <t>PO-128-21755702723191812</t>
        </is>
      </c>
      <c r="C4240" s="16" t="inlineStr">
        <is>
          <t>Delivered</t>
        </is>
      </c>
      <c r="D4240" s="16" t="inlineStr">
        <is>
          <t>128-21755705344631812</t>
        </is>
      </c>
      <c r="E4240" s="16" t="inlineStr">
        <is>
          <t>Delivered</t>
        </is>
      </c>
      <c r="F4240" s="16" t="inlineStr">
        <is>
          <t>LB02235-rojo</t>
        </is>
      </c>
      <c r="G4240" s="16" t="inlineStr">
        <is>
          <t>Audífonos Inalámbricos para la Cabeza, Recargables y Multifuncionales - Conectan a Varios Dispositivos, soportan Radio FM, Tarjeta TF y AUX - 4 Horas de Reproducción Musical - Ideal para Trabajo Cotidiano, Juegos y Estudio</t>
        </is>
      </c>
      <c r="H4240" s="16" t="inlineStr">
        <is>
          <t>ROJO</t>
        </is>
      </c>
      <c r="I4240" s="16" t="n">
        <v>1</v>
      </c>
      <c r="J4240" s="17" t="n">
        <v>36.8</v>
      </c>
      <c r="K4240" s="17" t="n">
        <v>42.42</v>
      </c>
      <c r="L4240" s="17" t="n">
        <v>25.86</v>
      </c>
      <c r="M4240" s="17" t="n">
        <v>0</v>
      </c>
      <c r="N4240" s="17">
        <f>K4240*0.08+L4240*0.08</f>
        <v/>
      </c>
      <c r="O4240" s="17">
        <f>-(K4240*0.025+L4240*0.025)</f>
        <v/>
      </c>
      <c r="P4240" s="17">
        <f>32</f>
        <v/>
      </c>
      <c r="Q4240" s="17">
        <f>J4240+L4240+N4240+O4240-P4240-M4240</f>
        <v/>
      </c>
    </row>
    <row r="4241">
      <c r="A4241" s="16" t="inlineStr">
        <is>
          <t>5.29-6.4</t>
        </is>
      </c>
      <c r="B4241" s="16" t="inlineStr">
        <is>
          <t>PO-128-21687785779831387</t>
        </is>
      </c>
      <c r="C4241" s="16" t="inlineStr">
        <is>
          <t>Delivered</t>
        </is>
      </c>
      <c r="D4241" s="16" t="inlineStr">
        <is>
          <t>128-21687777915511387</t>
        </is>
      </c>
      <c r="E4241" s="16" t="inlineStr">
        <is>
          <t>Delivered</t>
        </is>
      </c>
      <c r="F4241" s="16" t="inlineStr">
        <is>
          <t>HD005</t>
        </is>
      </c>
      <c r="G4241" s="16" t="inlineStr">
        <is>
          <t>Link bits HD005 Antena UHF para Exteriores, Antena de TV Digital HD con 10 Metros de Cable, Recepción 470-862MHz, 9-7dB de Ganancia, Antena para Canales Abiertos y HD, Resistente al Agua y Viento, Fácil Instalación</t>
        </is>
      </c>
      <c r="H4241" s="16" t="inlineStr">
        <is>
          <t>1</t>
        </is>
      </c>
      <c r="I4241" s="16" t="n">
        <v>3</v>
      </c>
      <c r="J4241" s="17" t="n">
        <v>225</v>
      </c>
      <c r="K4241" s="17" t="n">
        <v>250.18</v>
      </c>
      <c r="L4241" s="17" t="n">
        <v>0</v>
      </c>
      <c r="M4241" s="17" t="n">
        <v>0</v>
      </c>
      <c r="N4241" s="17">
        <f>K4241*0.08+L4241*0.08</f>
        <v/>
      </c>
      <c r="O4241" s="17">
        <f>-(K4241*0.025+L4241*0.025)</f>
        <v/>
      </c>
      <c r="P4241" s="17">
        <f>32</f>
        <v/>
      </c>
      <c r="Q4241" s="17">
        <f>J4241+L4241+N4241+O4241-P4241-M4241</f>
        <v/>
      </c>
    </row>
    <row r="4242">
      <c r="A4242" s="16" t="inlineStr">
        <is>
          <t>5.29-6.4</t>
        </is>
      </c>
      <c r="B4242" s="16" t="inlineStr">
        <is>
          <t>PO-128-21662346353271475</t>
        </is>
      </c>
      <c r="C4242" s="16" t="inlineStr">
        <is>
          <t>Delivered</t>
        </is>
      </c>
      <c r="D4242" s="16" t="inlineStr">
        <is>
          <t>128-21662325381751475</t>
        </is>
      </c>
      <c r="E4242" s="16" t="inlineStr">
        <is>
          <t>Delivered</t>
        </is>
      </c>
      <c r="F4242" s="16" t="inlineStr">
        <is>
          <t>LB02235-azul</t>
        </is>
      </c>
      <c r="G4242" s="16" t="inlineStr">
        <is>
          <t>Audífonos Inalámbricos para la Cabeza, Recargables y Multifuncionales - Conectan a Varios Dispositivos, soportan Radio FM, Tarjeta TF y AUX - 4 Horas de Reproducción Musical - Ideal para Trabajo Cotidiano, Juegos y Estudio</t>
        </is>
      </c>
      <c r="H4242" s="16" t="inlineStr">
        <is>
          <t>AZUL</t>
        </is>
      </c>
      <c r="I4242" s="16" t="n">
        <v>3</v>
      </c>
      <c r="J4242" s="17" t="n">
        <v>108</v>
      </c>
      <c r="K4242" s="17" t="n">
        <v>147.33</v>
      </c>
      <c r="L4242" s="17" t="n">
        <v>0</v>
      </c>
      <c r="M4242" s="17" t="n">
        <v>0</v>
      </c>
      <c r="N4242" s="17">
        <f>K4242*0.08+L4242*0.08</f>
        <v/>
      </c>
      <c r="O4242" s="17">
        <f>-(K4242*0.025+L4242*0.025)</f>
        <v/>
      </c>
      <c r="P4242" s="17">
        <f>32</f>
        <v/>
      </c>
      <c r="Q4242" s="17">
        <f>J4242+L4242+N4242+O4242-P4242-M4242</f>
        <v/>
      </c>
    </row>
    <row r="4243">
      <c r="A4243" s="16" t="inlineStr">
        <is>
          <t>5.29-6.4</t>
        </is>
      </c>
      <c r="B4243" s="16" t="inlineStr">
        <is>
          <t>PO-128-21662346353271475</t>
        </is>
      </c>
      <c r="C4243" s="16" t="inlineStr">
        <is>
          <t>Delivered</t>
        </is>
      </c>
      <c r="D4243" s="16" t="inlineStr">
        <is>
          <t>128-21662317517431475</t>
        </is>
      </c>
      <c r="E4243" s="16" t="inlineStr">
        <is>
          <t>Delivered</t>
        </is>
      </c>
      <c r="F4243" s="16" t="inlineStr">
        <is>
          <t>LB02235-blanco</t>
        </is>
      </c>
      <c r="G4243" s="16" t="inlineStr">
        <is>
          <t>Audífonos Inalámbricos para la Cabeza, Recargables y Multifuncionales - Conectan a Varios Dispositivos, soportan Radio FM, Tarjeta TF y AUX - 4 Horas de Reproducción Musical - Ideal para Trabajo Cotidiano, Juegos y Estudio</t>
        </is>
      </c>
      <c r="H4243" s="16" t="inlineStr">
        <is>
          <t>BLANCO</t>
        </is>
      </c>
      <c r="I4243" s="16" t="n">
        <v>3</v>
      </c>
      <c r="J4243" s="17" t="n">
        <v>110.4</v>
      </c>
      <c r="K4243" s="17" t="n">
        <v>149.73</v>
      </c>
      <c r="L4243" s="17" t="n">
        <v>0</v>
      </c>
      <c r="M4243" s="17" t="n">
        <v>0</v>
      </c>
      <c r="N4243" s="17">
        <f>K4243*0.08+L4243*0.08</f>
        <v/>
      </c>
      <c r="O4243" s="17">
        <f>-(K4243*0.025+L4243*0.025)</f>
        <v/>
      </c>
      <c r="P4243" s="17">
        <f>32</f>
        <v/>
      </c>
      <c r="Q4243" s="17">
        <f>J4243+L4243+N4243+O4243-P4243-M4243</f>
        <v/>
      </c>
    </row>
    <row r="4244">
      <c r="A4244" s="16" t="inlineStr">
        <is>
          <t>5.29-6.4</t>
        </is>
      </c>
      <c r="B4244" s="16" t="inlineStr">
        <is>
          <t>PO-128-21662346353271475</t>
        </is>
      </c>
      <c r="C4244" s="16" t="inlineStr">
        <is>
          <t>Delivered</t>
        </is>
      </c>
      <c r="D4244" s="16" t="inlineStr">
        <is>
          <t>128-21662296545911475</t>
        </is>
      </c>
      <c r="E4244" s="16" t="inlineStr">
        <is>
          <t>Delivered</t>
        </is>
      </c>
      <c r="F4244" s="16" t="inlineStr">
        <is>
          <t>LB02235-negro</t>
        </is>
      </c>
      <c r="G4244" s="16" t="inlineStr">
        <is>
          <t>Audífonos Inalámbricos para la Cabeza, Recargables y Multifuncionales - Conectan a Varios Dispositivos, soportan Radio FM, Tarjeta TF y AUX - 4 Horas de Reproducción Musical - Ideal para Trabajo Cotidiano, Juegos y Estudio</t>
        </is>
      </c>
      <c r="H4244" s="16" t="inlineStr">
        <is>
          <t>NEGRO</t>
        </is>
      </c>
      <c r="I4244" s="16" t="n">
        <v>3</v>
      </c>
      <c r="J4244" s="17" t="n">
        <v>110.4</v>
      </c>
      <c r="K4244" s="17" t="n">
        <v>149.73</v>
      </c>
      <c r="L4244" s="17" t="n">
        <v>0</v>
      </c>
      <c r="M4244" s="17" t="n">
        <v>0</v>
      </c>
      <c r="N4244" s="17">
        <f>K4244*0.08+L4244*0.08</f>
        <v/>
      </c>
      <c r="O4244" s="17">
        <f>-(K4244*0.025+L4244*0.025)</f>
        <v/>
      </c>
      <c r="P4244" s="17">
        <f>32</f>
        <v/>
      </c>
      <c r="Q4244" s="17">
        <f>J4244+L4244+N4244+O4244-P4244-M4244</f>
        <v/>
      </c>
    </row>
    <row r="4245">
      <c r="A4245" s="16" t="inlineStr">
        <is>
          <t>5.29-6.4</t>
        </is>
      </c>
      <c r="B4245" s="16" t="inlineStr">
        <is>
          <t>PO-128-21932758963830823</t>
        </is>
      </c>
      <c r="C4245" s="16" t="inlineStr">
        <is>
          <t>Delivered</t>
        </is>
      </c>
      <c r="D4245" s="16" t="inlineStr">
        <is>
          <t>128-21932717020790823</t>
        </is>
      </c>
      <c r="E4245" s="16" t="inlineStr">
        <is>
          <t>Delivered</t>
        </is>
      </c>
      <c r="F4245" s="16" t="inlineStr">
        <is>
          <t>LB02235-azul</t>
        </is>
      </c>
      <c r="G4245" s="16" t="inlineStr">
        <is>
          <t>Audífonos Inalámbricos para la Cabeza, Recargables y Multifuncionales - Conectan a Varios Dispositivos, soportan Radio FM, Tarjeta TF y AUX - 4 Horas de Reproducción Musical - Ideal para Trabajo Cotidiano, Juegos y Estudio</t>
        </is>
      </c>
      <c r="H4245" s="16" t="inlineStr">
        <is>
          <t>AZUL</t>
        </is>
      </c>
      <c r="I4245" s="16" t="n">
        <v>1</v>
      </c>
      <c r="J4245" s="17" t="n">
        <v>36</v>
      </c>
      <c r="K4245" s="17" t="n">
        <v>49.11</v>
      </c>
      <c r="L4245" s="17" t="n">
        <v>25.86</v>
      </c>
      <c r="M4245" s="17" t="n">
        <v>0</v>
      </c>
      <c r="N4245" s="17">
        <f>K4245*0.08+L4245*0.08</f>
        <v/>
      </c>
      <c r="O4245" s="17">
        <f>-(K4245*0.025+L4245*0.025)</f>
        <v/>
      </c>
      <c r="P4245" s="17">
        <f>32</f>
        <v/>
      </c>
      <c r="Q4245" s="17">
        <f>J4245+L4245+N4245+O4245-P4245-M4245</f>
        <v/>
      </c>
    </row>
    <row r="4246">
      <c r="A4246" s="16" t="inlineStr">
        <is>
          <t>5.29-6.4</t>
        </is>
      </c>
      <c r="B4246" s="16" t="inlineStr">
        <is>
          <t>PO-128-21504110019192352</t>
        </is>
      </c>
      <c r="C4246" s="16" t="inlineStr">
        <is>
          <t>Delivered</t>
        </is>
      </c>
      <c r="D4246" s="16" t="inlineStr">
        <is>
          <t>128-21504078561912352</t>
        </is>
      </c>
      <c r="E4246" s="16" t="inlineStr">
        <is>
          <t>Delivered</t>
        </is>
      </c>
      <c r="F4246" s="16" t="inlineStr">
        <is>
          <t>VB347T</t>
        </is>
      </c>
      <c r="G424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46" s="16" t="inlineStr">
        <is>
          <t>1 pieza</t>
        </is>
      </c>
      <c r="I4246" s="16" t="n">
        <v>1</v>
      </c>
      <c r="J4246" s="17" t="n">
        <v>79.90000000000001</v>
      </c>
      <c r="K4246" s="17" t="n">
        <v>94.5</v>
      </c>
      <c r="L4246" s="17" t="n">
        <v>25.86</v>
      </c>
      <c r="M4246" s="17" t="n">
        <v>0</v>
      </c>
      <c r="N4246" s="17">
        <f>K4246*0.08+L4246*0.08</f>
        <v/>
      </c>
      <c r="O4246" s="17">
        <f>-(K4246*0.025+L4246*0.025)</f>
        <v/>
      </c>
      <c r="P4246" s="17">
        <f>32</f>
        <v/>
      </c>
      <c r="Q4246" s="17">
        <f>J4246+L4246+N4246+O4246-P4246-M4246</f>
        <v/>
      </c>
    </row>
    <row r="4247">
      <c r="A4247" s="16" t="inlineStr">
        <is>
          <t>5.29-6.4</t>
        </is>
      </c>
      <c r="B4247" s="16" t="inlineStr">
        <is>
          <t>PO-128-10781394865271688</t>
        </is>
      </c>
      <c r="C4247" s="16" t="inlineStr">
        <is>
          <t>Delivered</t>
        </is>
      </c>
      <c r="D4247" s="16" t="inlineStr">
        <is>
          <t>128-10781426322551688</t>
        </is>
      </c>
      <c r="E4247" s="16" t="inlineStr">
        <is>
          <t>Delivered</t>
        </is>
      </c>
      <c r="F4247" s="16" t="inlineStr">
        <is>
          <t>MCM-001G</t>
        </is>
      </c>
      <c r="G4247" s="16" t="inlineStr">
        <is>
          <t>Musicord Altavoz Inalámbrico BT Portátil: ¡Sonido impactante, luces LED multicolores y 4 horas de autonomía! Compatible con TWS, FM, TF y USB – Imprescindible para fiestas y viajes</t>
        </is>
      </c>
      <c r="H4247" s="16" t="inlineStr">
        <is>
          <t>GRIS</t>
        </is>
      </c>
      <c r="I4247" s="16" t="n">
        <v>1</v>
      </c>
      <c r="J4247" s="17" t="n">
        <v>51.07</v>
      </c>
      <c r="K4247" s="17" t="n">
        <v>58.86</v>
      </c>
      <c r="L4247" s="17" t="n">
        <v>12.86</v>
      </c>
      <c r="M4247" s="17" t="n">
        <v>0</v>
      </c>
      <c r="N4247" s="17">
        <f>K4247*0.08+L4247*0.08</f>
        <v/>
      </c>
      <c r="O4247" s="17">
        <f>-(K4247*0.025+L4247*0.025)</f>
        <v/>
      </c>
      <c r="P4247" s="17">
        <f>32</f>
        <v/>
      </c>
      <c r="Q4247" s="17">
        <f>J4247+L4247+N4247+O4247-P4247-M4247</f>
        <v/>
      </c>
    </row>
    <row r="4248">
      <c r="A4248" s="16" t="inlineStr">
        <is>
          <t>5.29-6.4</t>
        </is>
      </c>
      <c r="B4248" s="16" t="inlineStr">
        <is>
          <t>PO-128-10781394865271688</t>
        </is>
      </c>
      <c r="C4248" s="16" t="inlineStr">
        <is>
          <t>Delivered</t>
        </is>
      </c>
      <c r="D4248" s="16" t="inlineStr">
        <is>
          <t>128-10781447294071688</t>
        </is>
      </c>
      <c r="E4248" s="16" t="inlineStr">
        <is>
          <t>Delivered</t>
        </is>
      </c>
      <c r="F4248" s="16" t="inlineStr">
        <is>
          <t>MCM-001A</t>
        </is>
      </c>
      <c r="G4248" s="16" t="inlineStr">
        <is>
          <t>Musicord Altavoz Inalámbrico BT Portátil: ¡Sonido impactante, luces LED multicolores y 4 horas de autonomía! Compatible con TWS, FM, TF y USB – Imprescindible para fiestas y viajes</t>
        </is>
      </c>
      <c r="H4248" s="16" t="inlineStr">
        <is>
          <t>AZUL</t>
        </is>
      </c>
      <c r="I4248" s="16" t="n">
        <v>1</v>
      </c>
      <c r="J4248" s="17" t="n">
        <v>51.07</v>
      </c>
      <c r="K4248" s="17" t="n">
        <v>59.47</v>
      </c>
      <c r="L4248" s="17" t="n">
        <v>13</v>
      </c>
      <c r="M4248" s="17" t="n">
        <v>0</v>
      </c>
      <c r="N4248" s="17">
        <f>K4248*0.08+L4248*0.08</f>
        <v/>
      </c>
      <c r="O4248" s="17">
        <f>-(K4248*0.025+L4248*0.025)</f>
        <v/>
      </c>
      <c r="P4248" s="17">
        <f>32</f>
        <v/>
      </c>
      <c r="Q4248" s="17">
        <f>J4248+L4248+N4248+O4248-P4248-M4248</f>
        <v/>
      </c>
    </row>
    <row r="4249">
      <c r="A4249" s="16" t="inlineStr">
        <is>
          <t>5.29-6.4</t>
        </is>
      </c>
      <c r="B4249" s="16" t="inlineStr">
        <is>
          <t>PO-128-10573490611832992</t>
        </is>
      </c>
      <c r="C4249" s="16" t="inlineStr">
        <is>
          <t>Delivered</t>
        </is>
      </c>
      <c r="D4249" s="16" t="inlineStr">
        <is>
          <t>128-10573448668792992</t>
        </is>
      </c>
      <c r="E4249" s="16" t="inlineStr">
        <is>
          <t>Delivered</t>
        </is>
      </c>
      <c r="F4249" s="16" t="inlineStr">
        <is>
          <t>MCM-001A</t>
        </is>
      </c>
      <c r="G4249" s="16" t="inlineStr">
        <is>
          <t>Musicord Altavoz Inalámbrico BT Portátil: ¡Sonido impactante, luces LED multicolores y 4 horas de autonomía! Compatible con TWS, FM, TF y USB – Imprescindible para fiestas y viajes</t>
        </is>
      </c>
      <c r="H4249" s="16" t="inlineStr">
        <is>
          <t>AZUL</t>
        </is>
      </c>
      <c r="I4249" s="16" t="n">
        <v>1</v>
      </c>
      <c r="J4249" s="17" t="n">
        <v>51.07</v>
      </c>
      <c r="K4249" s="17" t="n">
        <v>59.47</v>
      </c>
      <c r="L4249" s="17" t="n">
        <v>25.86</v>
      </c>
      <c r="M4249" s="17" t="n">
        <v>0</v>
      </c>
      <c r="N4249" s="17">
        <f>K4249*0.08+L4249*0.08</f>
        <v/>
      </c>
      <c r="O4249" s="17">
        <f>-(K4249*0.025+L4249*0.025)</f>
        <v/>
      </c>
      <c r="P4249" s="17">
        <f>32</f>
        <v/>
      </c>
      <c r="Q4249" s="17">
        <f>J4249+L4249+N4249+O4249-P4249-M4249</f>
        <v/>
      </c>
    </row>
    <row r="4250">
      <c r="A4250" s="16" t="inlineStr">
        <is>
          <t>5.29-6.4</t>
        </is>
      </c>
      <c r="B4250" s="16" t="inlineStr">
        <is>
          <t>PO-128-10521342095992406</t>
        </is>
      </c>
      <c r="C4250" s="16" t="inlineStr">
        <is>
          <t>Delivered</t>
        </is>
      </c>
      <c r="D4250" s="16" t="inlineStr">
        <is>
          <t>128-10521478410872406</t>
        </is>
      </c>
      <c r="E4250" s="16" t="inlineStr">
        <is>
          <t>Delivered</t>
        </is>
      </c>
      <c r="F4250" s="16" t="inlineStr">
        <is>
          <t>VA880T</t>
        </is>
      </c>
      <c r="G425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250" s="16" t="inlineStr">
        <is>
          <t>1 pieza</t>
        </is>
      </c>
      <c r="I4250" s="16" t="n">
        <v>1</v>
      </c>
      <c r="J4250" s="17" t="n">
        <v>114.98</v>
      </c>
      <c r="K4250" s="17" t="n">
        <v>127.27</v>
      </c>
      <c r="L4250" s="17" t="n">
        <v>25.86</v>
      </c>
      <c r="M4250" s="17" t="n">
        <v>0</v>
      </c>
      <c r="N4250" s="17">
        <f>K4250*0.08+L4250*0.08</f>
        <v/>
      </c>
      <c r="O4250" s="17">
        <f>-(K4250*0.025+L4250*0.025)</f>
        <v/>
      </c>
      <c r="P4250" s="17">
        <f>32</f>
        <v/>
      </c>
      <c r="Q4250" s="17">
        <f>J4250+L4250+N4250+O4250-P4250-M4250</f>
        <v/>
      </c>
    </row>
    <row r="4251">
      <c r="A4251" s="16" t="inlineStr">
        <is>
          <t>5.29-6.4</t>
        </is>
      </c>
      <c r="B4251" s="16" t="inlineStr">
        <is>
          <t>PO-128-10853242532470300</t>
        </is>
      </c>
      <c r="C4251" s="16" t="inlineStr">
        <is>
          <t>Delivered</t>
        </is>
      </c>
      <c r="D4251" s="16" t="inlineStr">
        <is>
          <t>128-10853253018230300</t>
        </is>
      </c>
      <c r="E4251" s="16" t="inlineStr">
        <is>
          <t>Delivered</t>
        </is>
      </c>
      <c r="F4251" s="16" t="inlineStr">
        <is>
          <t>HD005</t>
        </is>
      </c>
      <c r="G4251" s="16" t="inlineStr">
        <is>
          <t>Link bits HD005 Antena UHF para Exteriores, Antena de TV Digital HD con 10 Metros de Cable, Recepción 470-862MHz, 9-7dB de Ganancia, Antena para Canales Abiertos y HD, Resistente al Agua y Viento, Fácil Instalación</t>
        </is>
      </c>
      <c r="H4251" s="16" t="inlineStr">
        <is>
          <t>1</t>
        </is>
      </c>
      <c r="I4251" s="16" t="n">
        <v>1</v>
      </c>
      <c r="J4251" s="17" t="n">
        <v>75</v>
      </c>
      <c r="K4251" s="17" t="n">
        <v>92.66</v>
      </c>
      <c r="L4251" s="17" t="n">
        <v>25.86</v>
      </c>
      <c r="M4251" s="17" t="n">
        <v>0</v>
      </c>
      <c r="N4251" s="17">
        <f>K4251*0.08+L4251*0.08</f>
        <v/>
      </c>
      <c r="O4251" s="17">
        <f>-(K4251*0.025+L4251*0.025)</f>
        <v/>
      </c>
      <c r="P4251" s="17">
        <f>32</f>
        <v/>
      </c>
      <c r="Q4251" s="17">
        <f>J4251+L4251+N4251+O4251-P4251-M4251</f>
        <v/>
      </c>
    </row>
    <row r="4252">
      <c r="A4252" s="16" t="inlineStr">
        <is>
          <t>5.29-6.4</t>
        </is>
      </c>
      <c r="B4252" s="16" t="inlineStr">
        <is>
          <t>PO-128-10382562893433106</t>
        </is>
      </c>
      <c r="C4252" s="16" t="inlineStr">
        <is>
          <t>Delivered</t>
        </is>
      </c>
      <c r="D4252" s="16" t="inlineStr">
        <is>
          <t>128-10382576000633106</t>
        </is>
      </c>
      <c r="E4252" s="16" t="inlineStr">
        <is>
          <t>Delivered</t>
        </is>
      </c>
      <c r="F4252" s="16" t="inlineStr">
        <is>
          <t>LB02235-azul</t>
        </is>
      </c>
      <c r="G4252" s="16" t="inlineStr">
        <is>
          <t>Audífonos Inalámbricos para la Cabeza, Recargables y Multifuncionales - Conectan a Varios Dispositivos, soportan Radio FM, Tarjeta TF y AUX - 4 Horas de Reproducción Musical - Ideal para Trabajo Cotidiano, Juegos y Estudio</t>
        </is>
      </c>
      <c r="H4252" s="16" t="inlineStr">
        <is>
          <t>AZUL</t>
        </is>
      </c>
      <c r="I4252" s="16" t="n">
        <v>1</v>
      </c>
      <c r="J4252" s="17" t="n">
        <v>36</v>
      </c>
      <c r="K4252" s="17" t="n">
        <v>49.11</v>
      </c>
      <c r="L4252" s="17" t="n">
        <v>0</v>
      </c>
      <c r="M4252" s="17" t="n">
        <v>0</v>
      </c>
      <c r="N4252" s="17">
        <f>K4252*0.08+L4252*0.08</f>
        <v/>
      </c>
      <c r="O4252" s="17">
        <f>-(K4252*0.025+L4252*0.025)</f>
        <v/>
      </c>
      <c r="P4252" s="17">
        <f>32</f>
        <v/>
      </c>
      <c r="Q4252" s="17">
        <f>J4252+L4252+N4252+O4252-P4252-M4252</f>
        <v/>
      </c>
    </row>
    <row r="4253">
      <c r="A4253" s="16" t="inlineStr">
        <is>
          <t>5.29-6.4</t>
        </is>
      </c>
      <c r="B4253" s="16" t="inlineStr">
        <is>
          <t>PO-128-10382562893433106</t>
        </is>
      </c>
      <c r="C4253" s="16" t="inlineStr">
        <is>
          <t>Delivered</t>
        </is>
      </c>
      <c r="D4253" s="16" t="inlineStr">
        <is>
          <t>128-10382523571833106</t>
        </is>
      </c>
      <c r="E4253" s="16" t="inlineStr">
        <is>
          <t>Delivered</t>
        </is>
      </c>
      <c r="F4253" s="16" t="inlineStr">
        <is>
          <t>SA325T</t>
        </is>
      </c>
      <c r="G4253" s="16" t="inlineStr">
        <is>
          <t>Subwoofer Portátil Inalámbrico con Luces RGB, Sonido de Alta Potencia y Batería Duradera, TWS TF USB, Perfecto para Campamento Fiestas y Entretenimiento en Casa</t>
        </is>
      </c>
      <c r="H4253" s="16" t="inlineStr">
        <is>
          <t>NEGRO</t>
        </is>
      </c>
      <c r="I4253" s="16" t="n">
        <v>1</v>
      </c>
      <c r="J4253" s="17" t="n">
        <v>37.99</v>
      </c>
      <c r="K4253" s="17" t="n">
        <v>47.03</v>
      </c>
      <c r="L4253" s="17" t="n">
        <v>0</v>
      </c>
      <c r="M4253" s="17" t="n">
        <v>0</v>
      </c>
      <c r="N4253" s="17">
        <f>K4253*0.08+L4253*0.08</f>
        <v/>
      </c>
      <c r="O4253" s="17">
        <f>-(K4253*0.025+L4253*0.025)</f>
        <v/>
      </c>
      <c r="P4253" s="17">
        <f>32</f>
        <v/>
      </c>
      <c r="Q4253" s="17">
        <f>J4253+L4253+N4253+O4253-P4253-M4253</f>
        <v/>
      </c>
    </row>
    <row r="4254">
      <c r="A4254" s="16" t="inlineStr">
        <is>
          <t>5.29-6.4</t>
        </is>
      </c>
      <c r="B4254" s="16" t="inlineStr">
        <is>
          <t>PO-128-10382562893433106</t>
        </is>
      </c>
      <c r="C4254" s="16" t="inlineStr">
        <is>
          <t>Delivered</t>
        </is>
      </c>
      <c r="D4254" s="16" t="inlineStr">
        <is>
          <t>128-10382565514873106</t>
        </is>
      </c>
      <c r="E4254" s="16" t="inlineStr">
        <is>
          <t>Delivered</t>
        </is>
      </c>
      <c r="F4254" s="16" t="inlineStr">
        <is>
          <t>LB02235-rojo</t>
        </is>
      </c>
      <c r="G4254" s="16" t="inlineStr">
        <is>
          <t>Audífonos Inalámbricos para la Cabeza, Recargables y Multifuncionales - Conectan a Varios Dispositivos, soportan Radio FM, Tarjeta TF y AUX - 4 Horas de Reproducción Musical - Ideal para Trabajo Cotidiano, Juegos y Estudio</t>
        </is>
      </c>
      <c r="H4254" s="16" t="inlineStr">
        <is>
          <t>ROJO</t>
        </is>
      </c>
      <c r="I4254" s="16" t="n">
        <v>1</v>
      </c>
      <c r="J4254" s="17" t="n">
        <v>36.8</v>
      </c>
      <c r="K4254" s="17" t="n">
        <v>49.91</v>
      </c>
      <c r="L4254" s="17" t="n">
        <v>0</v>
      </c>
      <c r="M4254" s="17" t="n">
        <v>0</v>
      </c>
      <c r="N4254" s="17">
        <f>K4254*0.08+L4254*0.08</f>
        <v/>
      </c>
      <c r="O4254" s="17">
        <f>-(K4254*0.025+L4254*0.025)</f>
        <v/>
      </c>
      <c r="P4254" s="17">
        <f>32</f>
        <v/>
      </c>
      <c r="Q4254" s="17">
        <f>J4254+L4254+N4254+O4254-P4254-M4254</f>
        <v/>
      </c>
    </row>
    <row r="4255">
      <c r="A4255" s="16" t="inlineStr">
        <is>
          <t>5.29-6.4</t>
        </is>
      </c>
      <c r="B4255" s="16" t="inlineStr">
        <is>
          <t>PO-128-10382562893433106</t>
        </is>
      </c>
      <c r="C4255" s="16" t="inlineStr">
        <is>
          <t>Delivered</t>
        </is>
      </c>
      <c r="D4255" s="16" t="inlineStr">
        <is>
          <t>128-10382555029113106</t>
        </is>
      </c>
      <c r="E4255" s="16" t="inlineStr">
        <is>
          <t>Delivered</t>
        </is>
      </c>
      <c r="F4255" s="16" t="inlineStr">
        <is>
          <t>LB02235-blanco</t>
        </is>
      </c>
      <c r="G4255" s="16" t="inlineStr">
        <is>
          <t>Audífonos Inalámbricos para la Cabeza, Recargables y Multifuncionales - Conectan a Varios Dispositivos, soportan Radio FM, Tarjeta TF y AUX - 4 Horas de Reproducción Musical - Ideal para Trabajo Cotidiano, Juegos y Estudio</t>
        </is>
      </c>
      <c r="H4255" s="16" t="inlineStr">
        <is>
          <t>BLANCO</t>
        </is>
      </c>
      <c r="I4255" s="16" t="n">
        <v>1</v>
      </c>
      <c r="J4255" s="17" t="n">
        <v>36.8</v>
      </c>
      <c r="K4255" s="17" t="n">
        <v>49.91</v>
      </c>
      <c r="L4255" s="17" t="n">
        <v>0</v>
      </c>
      <c r="M4255" s="17" t="n">
        <v>0</v>
      </c>
      <c r="N4255" s="17">
        <f>K4255*0.08+L4255*0.08</f>
        <v/>
      </c>
      <c r="O4255" s="17">
        <f>-(K4255*0.025+L4255*0.025)</f>
        <v/>
      </c>
      <c r="P4255" s="17">
        <f>32</f>
        <v/>
      </c>
      <c r="Q4255" s="17">
        <f>J4255+L4255+N4255+O4255-P4255-M4255</f>
        <v/>
      </c>
    </row>
    <row r="4256">
      <c r="A4256" s="16" t="inlineStr">
        <is>
          <t>5.29-6.4</t>
        </is>
      </c>
      <c r="B4256" s="16" t="inlineStr">
        <is>
          <t>PO-128-10382562893433106</t>
        </is>
      </c>
      <c r="C4256" s="16" t="inlineStr">
        <is>
          <t>Delivered</t>
        </is>
      </c>
      <c r="D4256" s="16" t="inlineStr">
        <is>
          <t>128-10382541921913106</t>
        </is>
      </c>
      <c r="E4256" s="16" t="inlineStr">
        <is>
          <t>Delivered</t>
        </is>
      </c>
      <c r="F4256" s="16" t="inlineStr">
        <is>
          <t>KTS-1678R</t>
        </is>
      </c>
      <c r="G4256" s="16" t="inlineStr">
        <is>
          <t>Bocina portátil Inalámbrico, de 3 pulgadas, tamaño de bolsillo, 170 g, con asa, compatible con TF, USB y Micro SD, con radio FM y función TWS (True Wireless Stereo), adecuada para relajarse en casa o viajar al aire libre.</t>
        </is>
      </c>
      <c r="H4256" s="16" t="inlineStr">
        <is>
          <t>KTS-1678R</t>
        </is>
      </c>
      <c r="I4256" s="16" t="n">
        <v>1</v>
      </c>
      <c r="J4256" s="17" t="n">
        <v>42.5</v>
      </c>
      <c r="K4256" s="17" t="n">
        <v>71.91</v>
      </c>
      <c r="L4256" s="17" t="n">
        <v>0</v>
      </c>
      <c r="M4256" s="17" t="n">
        <v>0</v>
      </c>
      <c r="N4256" s="17">
        <f>K4256*0.08+L4256*0.08</f>
        <v/>
      </c>
      <c r="O4256" s="17">
        <f>-(K4256*0.025+L4256*0.025)</f>
        <v/>
      </c>
      <c r="P4256" s="17">
        <f>32</f>
        <v/>
      </c>
      <c r="Q4256" s="17">
        <f>J4256+L4256+N4256+O4256-P4256-M4256</f>
        <v/>
      </c>
    </row>
    <row r="4257">
      <c r="A4257" s="16" t="inlineStr">
        <is>
          <t>5.29-6.4</t>
        </is>
      </c>
      <c r="B4257" s="16" t="inlineStr">
        <is>
          <t>PO-128-10382562893433106</t>
        </is>
      </c>
      <c r="C4257" s="16" t="inlineStr">
        <is>
          <t>Delivered</t>
        </is>
      </c>
      <c r="D4257" s="16" t="inlineStr">
        <is>
          <t>128-10382544543353106</t>
        </is>
      </c>
      <c r="E4257" s="16" t="inlineStr">
        <is>
          <t>Delivered</t>
        </is>
      </c>
      <c r="F4257" s="16" t="inlineStr">
        <is>
          <t>LB02235-negro</t>
        </is>
      </c>
      <c r="G4257" s="16" t="inlineStr">
        <is>
          <t>Audífonos Inalámbricos para la Cabeza, Recargables y Multifuncionales - Conectan a Varios Dispositivos, soportan Radio FM, Tarjeta TF y AUX - 4 Horas de Reproducción Musical - Ideal para Trabajo Cotidiano, Juegos y Estudio</t>
        </is>
      </c>
      <c r="H4257" s="16" t="inlineStr">
        <is>
          <t>NEGRO</t>
        </is>
      </c>
      <c r="I4257" s="16" t="n">
        <v>1</v>
      </c>
      <c r="J4257" s="17" t="n">
        <v>36.8</v>
      </c>
      <c r="K4257" s="17" t="n">
        <v>49.91</v>
      </c>
      <c r="L4257" s="17" t="n">
        <v>0</v>
      </c>
      <c r="M4257" s="17" t="n">
        <v>0</v>
      </c>
      <c r="N4257" s="17">
        <f>K4257*0.08+L4257*0.08</f>
        <v/>
      </c>
      <c r="O4257" s="17">
        <f>-(K4257*0.025+L4257*0.025)</f>
        <v/>
      </c>
      <c r="P4257" s="17">
        <f>32</f>
        <v/>
      </c>
      <c r="Q4257" s="17">
        <f>J4257+L4257+N4257+O4257-P4257-M4257</f>
        <v/>
      </c>
    </row>
    <row r="4258">
      <c r="A4258" s="16" t="inlineStr">
        <is>
          <t>5.29-6.4</t>
        </is>
      </c>
      <c r="B4258" s="16" t="inlineStr">
        <is>
          <t>PO-128-10382562893433106</t>
        </is>
      </c>
      <c r="C4258" s="16" t="inlineStr">
        <is>
          <t>Delivered</t>
        </is>
      </c>
      <c r="D4258" s="16" t="inlineStr">
        <is>
          <t>128-10382534057593106</t>
        </is>
      </c>
      <c r="E4258" s="16" t="inlineStr">
        <is>
          <t>Delivered</t>
        </is>
      </c>
      <c r="F4258" s="16" t="inlineStr">
        <is>
          <t>KTS-1678V</t>
        </is>
      </c>
      <c r="G4258" s="16" t="inlineStr">
        <is>
          <t>Bocina portátil Inalámbrico, de 3 pulgadas, tamaño de bolsillo, 170 g, con asa, compatible con TF, USB y Micro SD, con radio FM y función TWS (True Wireless Stereo), adecuada para relajarse en casa o viajar al aire libre.</t>
        </is>
      </c>
      <c r="H4258" s="16" t="inlineStr">
        <is>
          <t>KTS-1678V</t>
        </is>
      </c>
      <c r="I4258" s="16" t="n">
        <v>1</v>
      </c>
      <c r="J4258" s="17" t="n">
        <v>42.5</v>
      </c>
      <c r="K4258" s="17" t="n">
        <v>56.39</v>
      </c>
      <c r="L4258" s="17" t="n">
        <v>0</v>
      </c>
      <c r="M4258" s="17" t="n">
        <v>0</v>
      </c>
      <c r="N4258" s="17">
        <f>K4258*0.08+L4258*0.08</f>
        <v/>
      </c>
      <c r="O4258" s="17">
        <f>-(K4258*0.025+L4258*0.025)</f>
        <v/>
      </c>
      <c r="P4258" s="17">
        <f>32</f>
        <v/>
      </c>
      <c r="Q4258" s="17">
        <f>J4258+L4258+N4258+O4258-P4258-M4258</f>
        <v/>
      </c>
    </row>
    <row r="4259">
      <c r="A4259" s="16" t="inlineStr">
        <is>
          <t>5.29-6.4</t>
        </is>
      </c>
      <c r="B4259" s="16" t="inlineStr">
        <is>
          <t>PO-128-10521797801592404</t>
        </is>
      </c>
      <c r="C4259" s="16" t="inlineStr">
        <is>
          <t>Delivered</t>
        </is>
      </c>
      <c r="D4259" s="16" t="inlineStr">
        <is>
          <t>128-10521824015992404</t>
        </is>
      </c>
      <c r="E4259" s="16" t="inlineStr">
        <is>
          <t>Delivered</t>
        </is>
      </c>
      <c r="F4259" s="16" t="inlineStr">
        <is>
          <t>MB-185N</t>
        </is>
      </c>
      <c r="G4259" s="16" t="inlineStr">
        <is>
          <t>Bocina Radio FM/Reproductor, Compatible con Tarjeta TF, USB, Bluetooth, Aplicable para celular, computadora, Ipad y consola.</t>
        </is>
      </c>
      <c r="H4259" s="16" t="inlineStr">
        <is>
          <t>NEGRO/MB-185</t>
        </is>
      </c>
      <c r="I4259" s="16" t="n">
        <v>1</v>
      </c>
      <c r="J4259" s="17" t="n">
        <v>75.5</v>
      </c>
      <c r="K4259" s="17" t="n">
        <v>88.44</v>
      </c>
      <c r="L4259" s="17" t="n">
        <v>25.86</v>
      </c>
      <c r="M4259" s="17" t="n">
        <v>0</v>
      </c>
      <c r="N4259" s="17">
        <f>K4259*0.08+L4259*0.08</f>
        <v/>
      </c>
      <c r="O4259" s="17">
        <f>-(K4259*0.025+L4259*0.025)</f>
        <v/>
      </c>
      <c r="P4259" s="17">
        <f>32</f>
        <v/>
      </c>
      <c r="Q4259" s="17">
        <f>J4259+L4259+N4259+O4259-P4259-M4259</f>
        <v/>
      </c>
    </row>
    <row r="4260">
      <c r="A4260" s="16" t="inlineStr">
        <is>
          <t>5.29-6.4</t>
        </is>
      </c>
      <c r="B4260" s="16" t="inlineStr">
        <is>
          <t>PO-128-10930016343670997</t>
        </is>
      </c>
      <c r="C4260" s="16" t="inlineStr">
        <is>
          <t>Delivered</t>
        </is>
      </c>
      <c r="D4260" s="16" t="inlineStr">
        <is>
          <t>128-10929974400630997</t>
        </is>
      </c>
      <c r="E4260" s="16" t="inlineStr">
        <is>
          <t>Delivered</t>
        </is>
      </c>
      <c r="F4260" s="16" t="inlineStr">
        <is>
          <t>LV34W04</t>
        </is>
      </c>
      <c r="G4260"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260" s="16" t="inlineStr">
        <is>
          <t>LV34W04</t>
        </is>
      </c>
      <c r="I4260" s="16" t="n">
        <v>1</v>
      </c>
      <c r="J4260" s="17" t="n">
        <v>279</v>
      </c>
      <c r="K4260" s="17" t="n">
        <v>306.34</v>
      </c>
      <c r="L4260" s="17" t="n">
        <v>0</v>
      </c>
      <c r="M4260" s="17" t="n">
        <v>0</v>
      </c>
      <c r="N4260" s="17">
        <f>K4260*0.08+L4260*0.08</f>
        <v/>
      </c>
      <c r="O4260" s="17">
        <f>-(K4260*0.025+L4260*0.025)</f>
        <v/>
      </c>
      <c r="P4260" s="17">
        <f>32</f>
        <v/>
      </c>
      <c r="Q4260" s="17">
        <f>J4260+L4260+N4260+O4260-P4260-M4260</f>
        <v/>
      </c>
    </row>
    <row r="4261">
      <c r="A4261" s="16" t="inlineStr">
        <is>
          <t>5.29-6.4</t>
        </is>
      </c>
      <c r="B4261" s="16" t="inlineStr">
        <is>
          <t>PO-128-10688123894391348</t>
        </is>
      </c>
      <c r="C4261" s="16" t="inlineStr">
        <is>
          <t>Delivered</t>
        </is>
      </c>
      <c r="D4261" s="16" t="inlineStr">
        <is>
          <t>128-10688108165751348</t>
        </is>
      </c>
      <c r="E4261" s="16" t="inlineStr">
        <is>
          <t>Delivered</t>
        </is>
      </c>
      <c r="F4261" s="16" t="inlineStr">
        <is>
          <t>KTS-1678A</t>
        </is>
      </c>
      <c r="G4261" s="16" t="inlineStr">
        <is>
          <t>Bocina portátil Inalámbrico, de 3 pulgadas, tamaño de bolsillo, 170 g, con asa, compatible con TF, USB y Micro SD, con radio FM y función TWS (True Wireless Stereo), adecuada para relajarse en casa o viajar al aire libre.</t>
        </is>
      </c>
      <c r="H4261" s="16" t="inlineStr">
        <is>
          <t>KTS-1678A</t>
        </is>
      </c>
      <c r="I4261" s="16" t="n">
        <v>1</v>
      </c>
      <c r="J4261" s="17" t="n">
        <v>42.5</v>
      </c>
      <c r="K4261" s="17" t="n">
        <v>41.75</v>
      </c>
      <c r="L4261" s="17" t="n">
        <v>25.86</v>
      </c>
      <c r="M4261" s="17" t="n">
        <v>0</v>
      </c>
      <c r="N4261" s="17">
        <f>K4261*0.08+L4261*0.08</f>
        <v/>
      </c>
      <c r="O4261" s="17">
        <f>-(K4261*0.025+L4261*0.025)</f>
        <v/>
      </c>
      <c r="P4261" s="17">
        <f>32</f>
        <v/>
      </c>
      <c r="Q4261" s="17">
        <f>J4261+L4261+N4261+O4261-P4261-M4261</f>
        <v/>
      </c>
    </row>
    <row r="4262">
      <c r="A4262" s="16" t="inlineStr">
        <is>
          <t>5.29-6.4</t>
        </is>
      </c>
      <c r="B4262" s="16" t="inlineStr">
        <is>
          <t>PO-128-10421237187193901</t>
        </is>
      </c>
      <c r="C4262" s="16" t="inlineStr">
        <is>
          <t>Delivered</t>
        </is>
      </c>
      <c r="D4262" s="16" t="inlineStr">
        <is>
          <t>128-10421279130233901</t>
        </is>
      </c>
      <c r="E4262" s="16" t="inlineStr">
        <is>
          <t>Delivered</t>
        </is>
      </c>
      <c r="F4262" s="16" t="inlineStr">
        <is>
          <t>KTS-1678N</t>
        </is>
      </c>
      <c r="G4262" s="16" t="inlineStr">
        <is>
          <t>Bocina portátil Inalámbrico, de 3 pulgadas, tamaño de bolsillo, 170 g, con asa, compatible con TF, USB y Micro SD, con radio FM y función TWS (True Wireless Stereo), adecuada para relajarse en casa o viajar al aire libre.</t>
        </is>
      </c>
      <c r="H4262" s="16" t="inlineStr">
        <is>
          <t>KTS-1678N</t>
        </is>
      </c>
      <c r="I4262" s="16" t="n">
        <v>1</v>
      </c>
      <c r="J4262" s="17" t="n">
        <v>42.5</v>
      </c>
      <c r="K4262" s="17" t="n">
        <v>56.39</v>
      </c>
      <c r="L4262" s="17" t="n">
        <v>25.86</v>
      </c>
      <c r="M4262" s="17" t="n">
        <v>0</v>
      </c>
      <c r="N4262" s="17">
        <f>K4262*0.08+L4262*0.08</f>
        <v/>
      </c>
      <c r="O4262" s="17">
        <f>-(K4262*0.025+L4262*0.025)</f>
        <v/>
      </c>
      <c r="P4262" s="17">
        <f>32</f>
        <v/>
      </c>
      <c r="Q4262" s="17">
        <f>J4262+L4262+N4262+O4262-P4262-M4262</f>
        <v/>
      </c>
    </row>
    <row r="4263">
      <c r="A4263" s="16" t="inlineStr">
        <is>
          <t>5.29-6.4</t>
        </is>
      </c>
      <c r="B4263" s="16" t="inlineStr">
        <is>
          <t>PO-128-10586958648953041</t>
        </is>
      </c>
      <c r="C4263" s="16" t="inlineStr">
        <is>
          <t>Delivered</t>
        </is>
      </c>
      <c r="D4263" s="16" t="inlineStr">
        <is>
          <t>128-10586979620473041</t>
        </is>
      </c>
      <c r="E4263" s="16" t="inlineStr">
        <is>
          <t>Delivered</t>
        </is>
      </c>
      <c r="F4263" s="16" t="inlineStr">
        <is>
          <t>VA880T</t>
        </is>
      </c>
      <c r="G426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263" s="16" t="inlineStr">
        <is>
          <t>1 pieza</t>
        </is>
      </c>
      <c r="I4263" s="16" t="n">
        <v>1</v>
      </c>
      <c r="J4263" s="17" t="n">
        <v>114.98</v>
      </c>
      <c r="K4263" s="17" t="n">
        <v>127.27</v>
      </c>
      <c r="L4263" s="17" t="n">
        <v>25.86</v>
      </c>
      <c r="M4263" s="17" t="n">
        <v>0</v>
      </c>
      <c r="N4263" s="17">
        <f>K4263*0.08+L4263*0.08</f>
        <v/>
      </c>
      <c r="O4263" s="17">
        <f>-(K4263*0.025+L4263*0.025)</f>
        <v/>
      </c>
      <c r="P4263" s="17">
        <f>32</f>
        <v/>
      </c>
      <c r="Q4263" s="17">
        <f>J4263+L4263+N4263+O4263-P4263-M4263</f>
        <v/>
      </c>
    </row>
    <row r="4264">
      <c r="A4264" s="16" t="inlineStr">
        <is>
          <t>5.29-6.4</t>
        </is>
      </c>
      <c r="B4264" s="16" t="inlineStr">
        <is>
          <t>PO-128-10811594168951572</t>
        </is>
      </c>
      <c r="C4264" s="16" t="inlineStr">
        <is>
          <t>Delivered</t>
        </is>
      </c>
      <c r="D4264" s="16" t="inlineStr">
        <is>
          <t>128-10811604654711572</t>
        </is>
      </c>
      <c r="E4264" s="16" t="inlineStr">
        <is>
          <t>Delivered</t>
        </is>
      </c>
      <c r="F4264" s="16" t="inlineStr">
        <is>
          <t>KTS-1678R</t>
        </is>
      </c>
      <c r="G4264" s="16" t="inlineStr">
        <is>
          <t>Bocina portátil Inalámbrico, de 3 pulgadas, tamaño de bolsillo, 170 g, con asa, compatible con TF, USB y Micro SD, con radio FM y función TWS (True Wireless Stereo), adecuada para relajarse en casa o viajar al aire libre.</t>
        </is>
      </c>
      <c r="H4264" s="16" t="inlineStr">
        <is>
          <t>KTS-1678R</t>
        </is>
      </c>
      <c r="I4264" s="16" t="n">
        <v>1</v>
      </c>
      <c r="J4264" s="17" t="n">
        <v>42.5</v>
      </c>
      <c r="K4264" s="17" t="n">
        <v>71.91</v>
      </c>
      <c r="L4264" s="17" t="n">
        <v>25.86</v>
      </c>
      <c r="M4264" s="17" t="n">
        <v>0</v>
      </c>
      <c r="N4264" s="17">
        <f>K4264*0.08+L4264*0.08</f>
        <v/>
      </c>
      <c r="O4264" s="17">
        <f>-(K4264*0.025+L4264*0.025)</f>
        <v/>
      </c>
      <c r="P4264" s="17">
        <f>32</f>
        <v/>
      </c>
      <c r="Q4264" s="17">
        <f>J4264+L4264+N4264+O4264-P4264-M4264</f>
        <v/>
      </c>
    </row>
    <row r="4265">
      <c r="A4265" s="16" t="inlineStr">
        <is>
          <t>5.29-6.4</t>
        </is>
      </c>
      <c r="B4265" s="16" t="inlineStr">
        <is>
          <t>PO-128-10825425787510402</t>
        </is>
      </c>
      <c r="C4265" s="16" t="inlineStr">
        <is>
          <t>Delivered</t>
        </is>
      </c>
      <c r="D4265" s="16" t="inlineStr">
        <is>
          <t>128-10825435290230402</t>
        </is>
      </c>
      <c r="E4265" s="16" t="inlineStr">
        <is>
          <t>Delivered</t>
        </is>
      </c>
      <c r="F4265" s="16" t="inlineStr">
        <is>
          <t>SA325T</t>
        </is>
      </c>
      <c r="G4265" s="16" t="inlineStr">
        <is>
          <t>Subwoofer Portátil Inalámbrico con Luces RGB, Sonido de Alta Potencia y Batería Duradera, TWS TF USB, Perfecto para Campamento Fiestas y Entretenimiento en Casa</t>
        </is>
      </c>
      <c r="H4265" s="16" t="inlineStr">
        <is>
          <t>NEGRO</t>
        </is>
      </c>
      <c r="I4265" s="16" t="n">
        <v>1</v>
      </c>
      <c r="J4265" s="17" t="n">
        <v>37.99</v>
      </c>
      <c r="K4265" s="17" t="n">
        <v>47.03</v>
      </c>
      <c r="L4265" s="17" t="n">
        <v>25.86</v>
      </c>
      <c r="M4265" s="17" t="n">
        <v>0</v>
      </c>
      <c r="N4265" s="17">
        <f>K4265*0.08+L4265*0.08</f>
        <v/>
      </c>
      <c r="O4265" s="17">
        <f>-(K4265*0.025+L4265*0.025)</f>
        <v/>
      </c>
      <c r="P4265" s="17">
        <f>32</f>
        <v/>
      </c>
      <c r="Q4265" s="17">
        <f>J4265+L4265+N4265+O4265-P4265-M4265</f>
        <v/>
      </c>
    </row>
    <row r="4266">
      <c r="A4266" s="16" t="inlineStr">
        <is>
          <t>5.29-6.4</t>
        </is>
      </c>
      <c r="B4266" s="16" t="inlineStr">
        <is>
          <t>PO-128-10814803169911619</t>
        </is>
      </c>
      <c r="C4266" s="16" t="inlineStr">
        <is>
          <t>Delivered</t>
        </is>
      </c>
      <c r="D4266" s="16" t="inlineStr">
        <is>
          <t>128-10814845112951619</t>
        </is>
      </c>
      <c r="E4266" s="16" t="inlineStr">
        <is>
          <t>Delivered</t>
        </is>
      </c>
      <c r="F4266" s="16" t="inlineStr">
        <is>
          <t>SA325T</t>
        </is>
      </c>
      <c r="G4266" s="16" t="inlineStr">
        <is>
          <t>Subwoofer Portátil Inalámbrico con Luces RGB, Sonido de Alta Potencia y Batería Duradera, TWS TF USB, Perfecto para Campamento Fiestas y Entretenimiento en Casa</t>
        </is>
      </c>
      <c r="H4266" s="16" t="inlineStr">
        <is>
          <t>NEGRO</t>
        </is>
      </c>
      <c r="I4266" s="16" t="n">
        <v>1</v>
      </c>
      <c r="J4266" s="17" t="n">
        <v>37.99</v>
      </c>
      <c r="K4266" s="17" t="n">
        <v>47.03</v>
      </c>
      <c r="L4266" s="17" t="n">
        <v>25.86</v>
      </c>
      <c r="M4266" s="17" t="n">
        <v>0</v>
      </c>
      <c r="N4266" s="17">
        <f>K4266*0.08+L4266*0.08</f>
        <v/>
      </c>
      <c r="O4266" s="17">
        <f>-(K4266*0.025+L4266*0.025)</f>
        <v/>
      </c>
      <c r="P4266" s="17">
        <f>32</f>
        <v/>
      </c>
      <c r="Q4266" s="17">
        <f>J4266+L4266+N4266+O4266-P4266-M4266</f>
        <v/>
      </c>
    </row>
    <row r="4267">
      <c r="A4267" s="16" t="inlineStr">
        <is>
          <t>5.29-6.4</t>
        </is>
      </c>
      <c r="B4267" s="16" t="inlineStr">
        <is>
          <t>PO-128-10821028301431644</t>
        </is>
      </c>
      <c r="C4267" s="16" t="inlineStr">
        <is>
          <t>Delivered</t>
        </is>
      </c>
      <c r="D4267" s="16" t="inlineStr">
        <is>
          <t>128-10820996844151644</t>
        </is>
      </c>
      <c r="E4267" s="16" t="inlineStr">
        <is>
          <t>Delivered</t>
        </is>
      </c>
      <c r="F4267" s="16" t="inlineStr">
        <is>
          <t>MCM-001G</t>
        </is>
      </c>
      <c r="G4267" s="16" t="inlineStr">
        <is>
          <t>Musicord Altavoz Inalámbrico BT Portátil: ¡Sonido impactante, luces LED multicolores y 4 horas de autonomía! Compatible con TWS, FM, TF y USB – Imprescindible para fiestas y viajes</t>
        </is>
      </c>
      <c r="H4267" s="16" t="inlineStr">
        <is>
          <t>GRIS</t>
        </is>
      </c>
      <c r="I4267" s="16" t="n">
        <v>1</v>
      </c>
      <c r="J4267" s="17" t="n">
        <v>51.07</v>
      </c>
      <c r="K4267" s="17" t="n">
        <v>58.86</v>
      </c>
      <c r="L4267" s="17" t="n">
        <v>25.86</v>
      </c>
      <c r="M4267" s="17" t="n">
        <v>0</v>
      </c>
      <c r="N4267" s="17">
        <f>K4267*0.08+L4267*0.08</f>
        <v/>
      </c>
      <c r="O4267" s="17">
        <f>-(K4267*0.025+L4267*0.025)</f>
        <v/>
      </c>
      <c r="P4267" s="17">
        <f>32</f>
        <v/>
      </c>
      <c r="Q4267" s="17">
        <f>J4267+L4267+N4267+O4267-P4267-M4267</f>
        <v/>
      </c>
    </row>
    <row r="4268">
      <c r="A4268" s="16" t="inlineStr">
        <is>
          <t>5.29-6.4</t>
        </is>
      </c>
      <c r="B4268" s="16" t="inlineStr">
        <is>
          <t>PO-128-10746154593911962</t>
        </is>
      </c>
      <c r="C4268" s="16" t="inlineStr">
        <is>
          <t>Delivered</t>
        </is>
      </c>
      <c r="D4268" s="16" t="inlineStr">
        <is>
          <t>128-10746290908791962</t>
        </is>
      </c>
      <c r="E4268" s="16" t="inlineStr">
        <is>
          <t>Delivered</t>
        </is>
      </c>
      <c r="F4268" s="16" t="inlineStr">
        <is>
          <t>LB02235-azul</t>
        </is>
      </c>
      <c r="G4268" s="16" t="inlineStr">
        <is>
          <t>Audífonos Inalámbricos para la Cabeza, Recargables y Multifuncionales - Conectan a Varios Dispositivos, soportan Radio FM, Tarjeta TF y AUX - 4 Horas de Reproducción Musical - Ideal para Trabajo Cotidiano, Juegos y Estudio</t>
        </is>
      </c>
      <c r="H4268" s="16" t="inlineStr">
        <is>
          <t>AZUL</t>
        </is>
      </c>
      <c r="I4268" s="16" t="n">
        <v>1</v>
      </c>
      <c r="J4268" s="17" t="n">
        <v>36</v>
      </c>
      <c r="K4268" s="17" t="n">
        <v>49.11</v>
      </c>
      <c r="L4268" s="17" t="n">
        <v>25.86</v>
      </c>
      <c r="M4268" s="17" t="n">
        <v>0</v>
      </c>
      <c r="N4268" s="17">
        <f>K4268*0.08+L4268*0.08</f>
        <v/>
      </c>
      <c r="O4268" s="17">
        <f>-(K4268*0.025+L4268*0.025)</f>
        <v/>
      </c>
      <c r="P4268" s="17">
        <f>32</f>
        <v/>
      </c>
      <c r="Q4268" s="17">
        <f>J4268+L4268+N4268+O4268-P4268-M4268</f>
        <v/>
      </c>
    </row>
    <row r="4269">
      <c r="A4269" s="16" t="inlineStr">
        <is>
          <t>5.29-6.4</t>
        </is>
      </c>
      <c r="B4269" s="16" t="inlineStr">
        <is>
          <t>PO-128-10961769912950679</t>
        </is>
      </c>
      <c r="C4269" s="16" t="inlineStr">
        <is>
          <t>Delivered</t>
        </is>
      </c>
      <c r="D4269" s="16" t="inlineStr">
        <is>
          <t>128-10961874770550679</t>
        </is>
      </c>
      <c r="E4269" s="16" t="inlineStr">
        <is>
          <t>Delivered</t>
        </is>
      </c>
      <c r="F4269" s="16" t="inlineStr">
        <is>
          <t>LB02235-rojo</t>
        </is>
      </c>
      <c r="G4269" s="16" t="inlineStr">
        <is>
          <t>Audífonos Inalámbricos para la Cabeza, Recargables y Multifuncionales - Conectan a Varios Dispositivos, soportan Radio FM, Tarjeta TF y AUX - 4 Horas de Reproducción Musical - Ideal para Trabajo Cotidiano, Juegos y Estudio</t>
        </is>
      </c>
      <c r="H4269" s="16" t="inlineStr">
        <is>
          <t>ROJO</t>
        </is>
      </c>
      <c r="I4269" s="16" t="n">
        <v>1</v>
      </c>
      <c r="J4269" s="17" t="n">
        <v>36.8</v>
      </c>
      <c r="K4269" s="17" t="n">
        <v>49.91</v>
      </c>
      <c r="L4269" s="17" t="n">
        <v>25.86</v>
      </c>
      <c r="M4269" s="17" t="n">
        <v>0</v>
      </c>
      <c r="N4269" s="17">
        <f>K4269*0.08+L4269*0.08</f>
        <v/>
      </c>
      <c r="O4269" s="17">
        <f>-(K4269*0.025+L4269*0.025)</f>
        <v/>
      </c>
      <c r="P4269" s="17">
        <f>32</f>
        <v/>
      </c>
      <c r="Q4269" s="17">
        <f>J4269+L4269+N4269+O4269-P4269-M4269</f>
        <v/>
      </c>
    </row>
    <row r="4270">
      <c r="A4270" s="16" t="inlineStr">
        <is>
          <t>5.29-6.4</t>
        </is>
      </c>
      <c r="B4270" s="16" t="inlineStr">
        <is>
          <t>PO-128-10454843858553829</t>
        </is>
      </c>
      <c r="C4270" s="16" t="inlineStr">
        <is>
          <t>Delivered</t>
        </is>
      </c>
      <c r="D4270" s="16" t="inlineStr">
        <is>
          <t>128-10454759972473829</t>
        </is>
      </c>
      <c r="E4270" s="16" t="inlineStr">
        <is>
          <t>Delivered</t>
        </is>
      </c>
      <c r="F4270" s="16" t="inlineStr">
        <is>
          <t>LB02235-negro</t>
        </is>
      </c>
      <c r="G4270" s="16" t="inlineStr">
        <is>
          <t>Audífonos Inalámbricos para la Cabeza, Recargables y Multifuncionales - Conectan a Varios Dispositivos, soportan Radio FM, Tarjeta TF y AUX - 4 Horas de Reproducción Musical - Ideal para Trabajo Cotidiano, Juegos y Estudio</t>
        </is>
      </c>
      <c r="H4270" s="16" t="inlineStr">
        <is>
          <t>NEGRO</t>
        </is>
      </c>
      <c r="I4270" s="16" t="n">
        <v>1</v>
      </c>
      <c r="J4270" s="17" t="n">
        <v>36.8</v>
      </c>
      <c r="K4270" s="17" t="n">
        <v>49.91</v>
      </c>
      <c r="L4270" s="17" t="n">
        <v>25.86</v>
      </c>
      <c r="M4270" s="17" t="n">
        <v>0</v>
      </c>
      <c r="N4270" s="17">
        <f>K4270*0.08+L4270*0.08</f>
        <v/>
      </c>
      <c r="O4270" s="17">
        <f>-(K4270*0.025+L4270*0.025)</f>
        <v/>
      </c>
      <c r="P4270" s="17">
        <f>32</f>
        <v/>
      </c>
      <c r="Q4270" s="17">
        <f>J4270+L4270+N4270+O4270-P4270-M4270</f>
        <v/>
      </c>
    </row>
    <row r="4271">
      <c r="A4271" s="16" t="inlineStr">
        <is>
          <t>5.29-6.4</t>
        </is>
      </c>
      <c r="B4271" s="16" t="inlineStr">
        <is>
          <t>PO-128-10883583391350249</t>
        </is>
      </c>
      <c r="C4271" s="16" t="inlineStr">
        <is>
          <t>Delivered</t>
        </is>
      </c>
      <c r="D4271" s="16" t="inlineStr">
        <is>
          <t>128-10883604362870249</t>
        </is>
      </c>
      <c r="E4271" s="16" t="inlineStr">
        <is>
          <t>Delivered</t>
        </is>
      </c>
      <c r="F4271" s="16" t="inlineStr">
        <is>
          <t>SA325T</t>
        </is>
      </c>
      <c r="G4271" s="16" t="inlineStr">
        <is>
          <t>Subwoofer Portátil Inalámbrico con Luces RGB, Sonido de Alta Potencia y Batería Duradera, TWS TF USB, Perfecto para Campamento Fiestas y Entretenimiento en Casa</t>
        </is>
      </c>
      <c r="H4271" s="16" t="inlineStr">
        <is>
          <t>NEGRO</t>
        </is>
      </c>
      <c r="I4271" s="16" t="n">
        <v>1</v>
      </c>
      <c r="J4271" s="17" t="n">
        <v>37.99</v>
      </c>
      <c r="K4271" s="17" t="n">
        <v>47.03</v>
      </c>
      <c r="L4271" s="17" t="n">
        <v>25.86</v>
      </c>
      <c r="M4271" s="17" t="n">
        <v>0</v>
      </c>
      <c r="N4271" s="17">
        <f>K4271*0.08+L4271*0.08</f>
        <v/>
      </c>
      <c r="O4271" s="17">
        <f>-(K4271*0.025+L4271*0.025)</f>
        <v/>
      </c>
      <c r="P4271" s="17">
        <f>32</f>
        <v/>
      </c>
      <c r="Q4271" s="17">
        <f>J4271+L4271+N4271+O4271-P4271-M4271</f>
        <v/>
      </c>
    </row>
    <row r="4272">
      <c r="A4272" s="16" t="inlineStr">
        <is>
          <t>5.29-6.4</t>
        </is>
      </c>
      <c r="B4272" s="16" t="inlineStr">
        <is>
          <t>PO-128-10808716652151590</t>
        </is>
      </c>
      <c r="C4272" s="16" t="inlineStr">
        <is>
          <t>Delivered</t>
        </is>
      </c>
      <c r="D4272" s="16" t="inlineStr">
        <is>
          <t>128-10808674709111590</t>
        </is>
      </c>
      <c r="E4272" s="16" t="inlineStr">
        <is>
          <t>Delivered</t>
        </is>
      </c>
      <c r="F4272" s="16" t="inlineStr">
        <is>
          <t>MB-178-B</t>
        </is>
      </c>
      <c r="G4272" s="16" t="inlineStr">
        <is>
          <t>Bocina de Barra Bluetooth LINK BITS con dos altavoces, sonido de alta calidad y multifuncional (Bluetooth, Radio FM, USB, TF, AUX, TWS), ideal para juegos, reuniones, oficina y cine en casa.</t>
        </is>
      </c>
      <c r="H4272" s="16" t="inlineStr">
        <is>
          <t>BLANCO</t>
        </is>
      </c>
      <c r="I4272" s="16" t="n">
        <v>1</v>
      </c>
      <c r="J4272" s="17" t="n">
        <v>125</v>
      </c>
      <c r="K4272" s="17" t="n">
        <v>108.17</v>
      </c>
      <c r="L4272" s="17" t="n">
        <v>25.86</v>
      </c>
      <c r="M4272" s="17" t="n">
        <v>0</v>
      </c>
      <c r="N4272" s="17">
        <f>K4272*0.08+L4272*0.08</f>
        <v/>
      </c>
      <c r="O4272" s="17">
        <f>-(K4272*0.025+L4272*0.025)</f>
        <v/>
      </c>
      <c r="P4272" s="17">
        <f>32</f>
        <v/>
      </c>
      <c r="Q4272" s="17">
        <f>J4272+L4272+N4272+O4272-P4272-M4272</f>
        <v/>
      </c>
    </row>
    <row r="4273">
      <c r="A4273" s="16" t="inlineStr">
        <is>
          <t>5.29-6.4</t>
        </is>
      </c>
      <c r="B4273" s="16" t="inlineStr">
        <is>
          <t>PO-128-10839418092150449</t>
        </is>
      </c>
      <c r="C4273" s="16" t="inlineStr">
        <is>
          <t>Delivered</t>
        </is>
      </c>
      <c r="D4273" s="16" t="inlineStr">
        <is>
          <t>128-10839376149110449</t>
        </is>
      </c>
      <c r="E4273" s="16" t="inlineStr">
        <is>
          <t>Delivered</t>
        </is>
      </c>
      <c r="F4273" s="16" t="inlineStr">
        <is>
          <t>VB347T</t>
        </is>
      </c>
      <c r="G427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273" s="16" t="inlineStr">
        <is>
          <t>1 pieza</t>
        </is>
      </c>
      <c r="I4273" s="16" t="n">
        <v>1</v>
      </c>
      <c r="J4273" s="17" t="n">
        <v>79.90000000000001</v>
      </c>
      <c r="K4273" s="17" t="n">
        <v>94.5</v>
      </c>
      <c r="L4273" s="17" t="n">
        <v>25.86</v>
      </c>
      <c r="M4273" s="17" t="n">
        <v>0</v>
      </c>
      <c r="N4273" s="17">
        <f>K4273*0.08+L4273*0.08</f>
        <v/>
      </c>
      <c r="O4273" s="17">
        <f>-(K4273*0.025+L4273*0.025)</f>
        <v/>
      </c>
      <c r="P4273" s="17">
        <f>32</f>
        <v/>
      </c>
      <c r="Q4273" s="17">
        <f>J4273+L4273+N4273+O4273-P4273-M4273</f>
        <v/>
      </c>
    </row>
    <row r="4274">
      <c r="A4274" s="16" t="inlineStr">
        <is>
          <t>5.29-6.4</t>
        </is>
      </c>
      <c r="B4274" s="16" t="inlineStr">
        <is>
          <t>PO-128-10448734129273801</t>
        </is>
      </c>
      <c r="C4274" s="16" t="inlineStr">
        <is>
          <t>Delivered</t>
        </is>
      </c>
      <c r="D4274" s="16" t="inlineStr">
        <is>
          <t>128-10448760343673801</t>
        </is>
      </c>
      <c r="E4274" s="16" t="inlineStr">
        <is>
          <t>Delivered</t>
        </is>
      </c>
      <c r="F4274" s="16" t="inlineStr">
        <is>
          <t>KTS-1943-N</t>
        </is>
      </c>
      <c r="G4274" s="16" t="inlineStr">
        <is>
          <t>Altavoz Mini Karaoke Portátil BT con Micrófono Inalámbrico, Función TWS, Radio FM, USB/TF, Batería de Larga Duración, Perfecto para Casa, Exterior y Regalos Especiales</t>
        </is>
      </c>
      <c r="H4274" s="16" t="inlineStr">
        <is>
          <t>NEGRO</t>
        </is>
      </c>
      <c r="I4274" s="16" t="n">
        <v>1</v>
      </c>
      <c r="J4274" s="17" t="n">
        <v>67.5</v>
      </c>
      <c r="K4274" s="17" t="n">
        <v>83.09999999999999</v>
      </c>
      <c r="L4274" s="17" t="n">
        <v>25.86</v>
      </c>
      <c r="M4274" s="17" t="n">
        <v>3.5</v>
      </c>
      <c r="N4274" s="17">
        <f>K4274*0.08+L4274*0.08</f>
        <v/>
      </c>
      <c r="O4274" s="17">
        <f>-(K4274*0.025+L4274*0.025)</f>
        <v/>
      </c>
      <c r="P4274" s="17">
        <f>32</f>
        <v/>
      </c>
      <c r="Q4274" s="17">
        <f>J4274+L4274+N4274+O4274-P4274-M4274</f>
        <v/>
      </c>
    </row>
    <row r="4275">
      <c r="A4275" s="16" t="inlineStr">
        <is>
          <t>5.29-6.4</t>
        </is>
      </c>
      <c r="B4275" s="16" t="inlineStr">
        <is>
          <t>PO-128-10343669985913403</t>
        </is>
      </c>
      <c r="C4275" s="16" t="inlineStr">
        <is>
          <t>Delivered</t>
        </is>
      </c>
      <c r="D4275" s="16" t="inlineStr">
        <is>
          <t>128-10343806300793403</t>
        </is>
      </c>
      <c r="E4275" s="16" t="inlineStr">
        <is>
          <t>Delivered</t>
        </is>
      </c>
      <c r="F4275" s="16" t="inlineStr">
        <is>
          <t>MB-185A</t>
        </is>
      </c>
      <c r="G4275" s="16" t="inlineStr">
        <is>
          <t>Bocina Radio FM/Reproductor, Compatible con Tarjeta TF, USB, Bluetooth, Aplicable para celular, computadora, Ipad y consola.</t>
        </is>
      </c>
      <c r="H4275" s="16" t="inlineStr">
        <is>
          <t>AZUL/MB-185</t>
        </is>
      </c>
      <c r="I4275" s="16" t="n">
        <v>1</v>
      </c>
      <c r="J4275" s="17" t="n">
        <v>73</v>
      </c>
      <c r="K4275" s="17" t="n">
        <v>85.94</v>
      </c>
      <c r="L4275" s="17" t="n">
        <v>25.86</v>
      </c>
      <c r="M4275" s="17" t="n">
        <v>0</v>
      </c>
      <c r="N4275" s="17">
        <f>K4275*0.08+L4275*0.08</f>
        <v/>
      </c>
      <c r="O4275" s="17">
        <f>-(K4275*0.025+L4275*0.025)</f>
        <v/>
      </c>
      <c r="P4275" s="17">
        <f>32</f>
        <v/>
      </c>
      <c r="Q4275" s="17">
        <f>J4275+L4275+N4275+O4275-P4275-M4275</f>
        <v/>
      </c>
    </row>
    <row r="4276">
      <c r="A4276" s="16" t="inlineStr">
        <is>
          <t>5.29-6.4</t>
        </is>
      </c>
      <c r="B4276" s="16" t="inlineStr">
        <is>
          <t>PO-128-10498820839032543</t>
        </is>
      </c>
      <c r="C4276" s="16" t="inlineStr">
        <is>
          <t>Delivered</t>
        </is>
      </c>
      <c r="D4276" s="16" t="inlineStr">
        <is>
          <t>128-10498831324792543</t>
        </is>
      </c>
      <c r="E4276" s="16" t="inlineStr">
        <is>
          <t>Delivered</t>
        </is>
      </c>
      <c r="F4276" s="16" t="inlineStr">
        <is>
          <t>VA880T</t>
        </is>
      </c>
      <c r="G4276"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276" s="16" t="inlineStr">
        <is>
          <t>1 pieza</t>
        </is>
      </c>
      <c r="I4276" s="16" t="n">
        <v>1</v>
      </c>
      <c r="J4276" s="17" t="n">
        <v>114.98</v>
      </c>
      <c r="K4276" s="17" t="n">
        <v>127.27</v>
      </c>
      <c r="L4276" s="17" t="n">
        <v>25.86</v>
      </c>
      <c r="M4276" s="17" t="n">
        <v>0</v>
      </c>
      <c r="N4276" s="17">
        <f>K4276*0.08+L4276*0.08</f>
        <v/>
      </c>
      <c r="O4276" s="17">
        <f>-(K4276*0.025+L4276*0.025)</f>
        <v/>
      </c>
      <c r="P4276" s="17">
        <f>32</f>
        <v/>
      </c>
      <c r="Q4276" s="17">
        <f>J4276+L4276+N4276+O4276-P4276-M4276</f>
        <v/>
      </c>
    </row>
    <row r="4277">
      <c r="A4277" s="16" t="inlineStr">
        <is>
          <t>5.29-6.4</t>
        </is>
      </c>
      <c r="B4277" s="16" t="inlineStr">
        <is>
          <t>PO-128-10510613811832342</t>
        </is>
      </c>
      <c r="C4277" s="16" t="inlineStr">
        <is>
          <t>Delivered</t>
        </is>
      </c>
      <c r="D4277" s="16" t="inlineStr">
        <is>
          <t>128-10510630851192342</t>
        </is>
      </c>
      <c r="E4277" s="16" t="inlineStr">
        <is>
          <t>Delivered</t>
        </is>
      </c>
      <c r="F4277" s="16" t="inlineStr">
        <is>
          <t>LB02235-negro</t>
        </is>
      </c>
      <c r="G4277" s="16" t="inlineStr">
        <is>
          <t>Audífonos Inalámbricos para la Cabeza, Recargables y Multifuncionales - Conectan a Varios Dispositivos, soportan Radio FM, Tarjeta TF y AUX - 4 Horas de Reproducción Musical - Ideal para Trabajo Cotidiano, Juegos y Estudio</t>
        </is>
      </c>
      <c r="H4277" s="16" t="inlineStr">
        <is>
          <t>NEGRO</t>
        </is>
      </c>
      <c r="I4277" s="16" t="n">
        <v>1</v>
      </c>
      <c r="J4277" s="17" t="n">
        <v>36.8</v>
      </c>
      <c r="K4277" s="17" t="n">
        <v>49.91</v>
      </c>
      <c r="L4277" s="17" t="n">
        <v>25.86</v>
      </c>
      <c r="M4277" s="17" t="n">
        <v>0</v>
      </c>
      <c r="N4277" s="17">
        <f>K4277*0.08+L4277*0.08</f>
        <v/>
      </c>
      <c r="O4277" s="17">
        <f>-(K4277*0.025+L4277*0.025)</f>
        <v/>
      </c>
      <c r="P4277" s="17">
        <f>32</f>
        <v/>
      </c>
      <c r="Q4277" s="17">
        <f>J4277+L4277+N4277+O4277-P4277-M4277</f>
        <v/>
      </c>
    </row>
    <row r="4278">
      <c r="A4278" s="16" t="inlineStr">
        <is>
          <t>5.29-6.4</t>
        </is>
      </c>
      <c r="B4278" s="16" t="inlineStr">
        <is>
          <t>PO-128-10645051034232631</t>
        </is>
      </c>
      <c r="C4278" s="16" t="inlineStr">
        <is>
          <t>Delivered</t>
        </is>
      </c>
      <c r="D4278" s="16" t="inlineStr">
        <is>
          <t>128-10645092977272631</t>
        </is>
      </c>
      <c r="E4278" s="16" t="inlineStr">
        <is>
          <t>Delivered</t>
        </is>
      </c>
      <c r="F4278" s="16" t="inlineStr">
        <is>
          <t>LB02235-azul</t>
        </is>
      </c>
      <c r="G4278" s="16" t="inlineStr">
        <is>
          <t>Audífonos Inalámbricos para la Cabeza, Recargables y Multifuncionales - Conectan a Varios Dispositivos, soportan Radio FM, Tarjeta TF y AUX - 4 Horas de Reproducción Musical - Ideal para Trabajo Cotidiano, Juegos y Estudio</t>
        </is>
      </c>
      <c r="H4278" s="16" t="inlineStr">
        <is>
          <t>AZUL</t>
        </is>
      </c>
      <c r="I4278" s="16" t="n">
        <v>1</v>
      </c>
      <c r="J4278" s="17" t="n">
        <v>36</v>
      </c>
      <c r="K4278" s="17" t="n">
        <v>6.01</v>
      </c>
      <c r="L4278" s="17" t="n">
        <v>25.86</v>
      </c>
      <c r="M4278" s="17" t="n">
        <v>0</v>
      </c>
      <c r="N4278" s="17">
        <f>K4278*0.08+L4278*0.08</f>
        <v/>
      </c>
      <c r="O4278" s="17">
        <f>-(K4278*0.025+L4278*0.025)</f>
        <v/>
      </c>
      <c r="P4278" s="17">
        <f>32</f>
        <v/>
      </c>
      <c r="Q4278" s="17">
        <f>J4278+L4278+N4278+O4278-P4278-M4278</f>
        <v/>
      </c>
    </row>
    <row r="4279">
      <c r="A4279" s="16" t="inlineStr">
        <is>
          <t>5.29-6.4</t>
        </is>
      </c>
      <c r="B4279" s="16" t="inlineStr">
        <is>
          <t>PO-128-10669740928631522</t>
        </is>
      </c>
      <c r="C4279" s="16" t="inlineStr">
        <is>
          <t>Delivered</t>
        </is>
      </c>
      <c r="D4279" s="16" t="inlineStr">
        <is>
          <t>128-10669793357431522</t>
        </is>
      </c>
      <c r="E4279" s="16" t="inlineStr">
        <is>
          <t>Delivered</t>
        </is>
      </c>
      <c r="F4279" s="16" t="inlineStr">
        <is>
          <t>LB02235-rojo</t>
        </is>
      </c>
      <c r="G4279" s="16" t="inlineStr">
        <is>
          <t>Audífonos Inalámbricos para la Cabeza, Recargables y Multifuncionales - Conectan a Varios Dispositivos, soportan Radio FM, Tarjeta TF y AUX - 4 Horas de Reproducción Musical - Ideal para Trabajo Cotidiano, Juegos y Estudio</t>
        </is>
      </c>
      <c r="H4279" s="16" t="inlineStr">
        <is>
          <t>ROJO</t>
        </is>
      </c>
      <c r="I4279" s="16" t="n">
        <v>1</v>
      </c>
      <c r="J4279" s="17" t="n">
        <v>36.8</v>
      </c>
      <c r="K4279" s="17" t="n">
        <v>49.91</v>
      </c>
      <c r="L4279" s="17" t="n">
        <v>25.86</v>
      </c>
      <c r="M4279" s="17" t="n">
        <v>0</v>
      </c>
      <c r="N4279" s="17">
        <f>K4279*0.08+L4279*0.08</f>
        <v/>
      </c>
      <c r="O4279" s="17">
        <f>-(K4279*0.025+L4279*0.025)</f>
        <v/>
      </c>
      <c r="P4279" s="17">
        <f>32</f>
        <v/>
      </c>
      <c r="Q4279" s="17">
        <f>J4279+L4279+N4279+O4279-P4279-M4279</f>
        <v/>
      </c>
    </row>
    <row r="4280">
      <c r="A4280" s="16" t="inlineStr">
        <is>
          <t>5.29-6.4</t>
        </is>
      </c>
      <c r="B4280" s="16" t="inlineStr">
        <is>
          <t>PO-128-10984384205430606</t>
        </is>
      </c>
      <c r="C4280" s="16" t="inlineStr">
        <is>
          <t>Delivered</t>
        </is>
      </c>
      <c r="D4280" s="16" t="inlineStr">
        <is>
          <t>128-10984399934070606</t>
        </is>
      </c>
      <c r="E4280" s="16" t="inlineStr">
        <is>
          <t>Delivered</t>
        </is>
      </c>
      <c r="F4280" s="16" t="inlineStr">
        <is>
          <t>LB02235-blanco</t>
        </is>
      </c>
      <c r="G4280" s="16" t="inlineStr">
        <is>
          <t>Audífonos Inalámbricos para la Cabeza, Recargables y Multifuncionales - Conectan a Varios Dispositivos, soportan Radio FM, Tarjeta TF y AUX - 4 Horas de Reproducción Musical - Ideal para Trabajo Cotidiano, Juegos y Estudio</t>
        </is>
      </c>
      <c r="H4280" s="16" t="inlineStr">
        <is>
          <t>BLANCO</t>
        </is>
      </c>
      <c r="I4280" s="16" t="n">
        <v>1</v>
      </c>
      <c r="J4280" s="17" t="n">
        <v>36.8</v>
      </c>
      <c r="K4280" s="17" t="n">
        <v>49.91</v>
      </c>
      <c r="L4280" s="17" t="n">
        <v>25.86</v>
      </c>
      <c r="M4280" s="17" t="n">
        <v>0</v>
      </c>
      <c r="N4280" s="17">
        <f>K4280*0.08+L4280*0.08</f>
        <v/>
      </c>
      <c r="O4280" s="17">
        <f>-(K4280*0.025+L4280*0.025)</f>
        <v/>
      </c>
      <c r="P4280" s="17">
        <f>32</f>
        <v/>
      </c>
      <c r="Q4280" s="17">
        <f>J4280+L4280+N4280+O4280-P4280-M4280</f>
        <v/>
      </c>
    </row>
    <row r="4281">
      <c r="A4281" s="16" t="inlineStr">
        <is>
          <t>5.29-6.4</t>
        </is>
      </c>
      <c r="B4281" s="16" t="inlineStr">
        <is>
          <t>PO-128-10828293048950387</t>
        </is>
      </c>
      <c r="C4281" s="16" t="inlineStr">
        <is>
          <t>Delivered</t>
        </is>
      </c>
      <c r="D4281" s="16" t="inlineStr">
        <is>
          <t>128-10828348099190387</t>
        </is>
      </c>
      <c r="E4281" s="16" t="inlineStr">
        <is>
          <t>Delivered</t>
        </is>
      </c>
      <c r="F4281" s="16" t="inlineStr">
        <is>
          <t>LB02235-negro</t>
        </is>
      </c>
      <c r="G4281" s="16" t="inlineStr">
        <is>
          <t>Audífonos Inalámbricos para la Cabeza, Recargables y Multifuncionales - Conectan a Varios Dispositivos, soportan Radio FM, Tarjeta TF y AUX - 4 Horas de Reproducción Musical - Ideal para Trabajo Cotidiano, Juegos y Estudio</t>
        </is>
      </c>
      <c r="H4281" s="16" t="inlineStr">
        <is>
          <t>NEGRO</t>
        </is>
      </c>
      <c r="I4281" s="16" t="n">
        <v>1</v>
      </c>
      <c r="J4281" s="17" t="n">
        <v>36.8</v>
      </c>
      <c r="K4281" s="17" t="n">
        <v>41.65</v>
      </c>
      <c r="L4281" s="17" t="n">
        <v>12.93</v>
      </c>
      <c r="M4281" s="17" t="n">
        <v>0</v>
      </c>
      <c r="N4281" s="17">
        <f>K4281*0.08+L4281*0.08</f>
        <v/>
      </c>
      <c r="O4281" s="17">
        <f>-(K4281*0.025+L4281*0.025)</f>
        <v/>
      </c>
      <c r="P4281" s="17">
        <f>32</f>
        <v/>
      </c>
      <c r="Q4281" s="17">
        <f>J4281+L4281+N4281+O4281-P4281-M4281</f>
        <v/>
      </c>
    </row>
    <row r="4282">
      <c r="A4282" s="16" t="inlineStr">
        <is>
          <t>5.29-6.4</t>
        </is>
      </c>
      <c r="B4282" s="16" t="inlineStr">
        <is>
          <t>PO-128-10828293048950387</t>
        </is>
      </c>
      <c r="C4282" s="16" t="inlineStr">
        <is>
          <t>Delivered</t>
        </is>
      </c>
      <c r="D4282" s="16" t="inlineStr">
        <is>
          <t>128-10828337613430387</t>
        </is>
      </c>
      <c r="E4282" s="16" t="inlineStr">
        <is>
          <t>Delivered</t>
        </is>
      </c>
      <c r="F4282" s="16" t="inlineStr">
        <is>
          <t>LB02235-blanco</t>
        </is>
      </c>
      <c r="G4282" s="16" t="inlineStr">
        <is>
          <t>Audífonos Inalámbricos para la Cabeza, Recargables y Multifuncionales - Conectan a Varios Dispositivos, soportan Radio FM, Tarjeta TF y AUX - 4 Horas de Reproducción Musical - Ideal para Trabajo Cotidiano, Juegos y Estudio</t>
        </is>
      </c>
      <c r="H4282" s="16" t="inlineStr">
        <is>
          <t>BLANCO</t>
        </is>
      </c>
      <c r="I4282" s="16" t="n">
        <v>1</v>
      </c>
      <c r="J4282" s="17" t="n">
        <v>36.8</v>
      </c>
      <c r="K4282" s="17" t="n">
        <v>41.65</v>
      </c>
      <c r="L4282" s="17" t="n">
        <v>12.93</v>
      </c>
      <c r="M4282" s="17" t="n">
        <v>0</v>
      </c>
      <c r="N4282" s="17">
        <f>K4282*0.08+L4282*0.08</f>
        <v/>
      </c>
      <c r="O4282" s="17">
        <f>-(K4282*0.025+L4282*0.025)</f>
        <v/>
      </c>
      <c r="P4282" s="17">
        <f>32</f>
        <v/>
      </c>
      <c r="Q4282" s="17">
        <f>J4282+L4282+N4282+O4282-P4282-M4282</f>
        <v/>
      </c>
    </row>
    <row r="4283">
      <c r="A4283" s="16" t="inlineStr">
        <is>
          <t>5.29-6.4</t>
        </is>
      </c>
      <c r="B4283" s="16" t="inlineStr">
        <is>
          <t>PO-128-10315719173753504</t>
        </is>
      </c>
      <c r="C4283" s="16" t="inlineStr">
        <is>
          <t>Delivered</t>
        </is>
      </c>
      <c r="D4283" s="16" t="inlineStr">
        <is>
          <t>128-10315761116793504</t>
        </is>
      </c>
      <c r="E4283" s="16" t="inlineStr">
        <is>
          <t>Delivered</t>
        </is>
      </c>
      <c r="F4283" s="16" t="inlineStr">
        <is>
          <t>LB02235-azul</t>
        </is>
      </c>
      <c r="G4283" s="16" t="inlineStr">
        <is>
          <t>Audífonos Inalámbricos para la Cabeza, Recargables y Multifuncionales - Conectan a Varios Dispositivos, soportan Radio FM, Tarjeta TF y AUX - 4 Horas de Reproducción Musical - Ideal para Trabajo Cotidiano, Juegos y Estudio</t>
        </is>
      </c>
      <c r="H4283" s="16" t="inlineStr">
        <is>
          <t>AZUL</t>
        </is>
      </c>
      <c r="I4283" s="16" t="n">
        <v>1</v>
      </c>
      <c r="J4283" s="17" t="n">
        <v>36</v>
      </c>
      <c r="K4283" s="17" t="n">
        <v>41.75</v>
      </c>
      <c r="L4283" s="17" t="n">
        <v>25.86</v>
      </c>
      <c r="M4283" s="17" t="n">
        <v>0</v>
      </c>
      <c r="N4283" s="17">
        <f>K4283*0.08+L4283*0.08</f>
        <v/>
      </c>
      <c r="O4283" s="17">
        <f>-(K4283*0.025+L4283*0.025)</f>
        <v/>
      </c>
      <c r="P4283" s="17">
        <f>32</f>
        <v/>
      </c>
      <c r="Q4283" s="17">
        <f>J4283+L4283+N4283+O4283-P4283-M4283</f>
        <v/>
      </c>
    </row>
    <row r="4284">
      <c r="A4284" s="16" t="inlineStr">
        <is>
          <t>5.29-6.4</t>
        </is>
      </c>
      <c r="B4284" s="16" t="inlineStr">
        <is>
          <t>PO-128-10804770478711551</t>
        </is>
      </c>
      <c r="C4284" s="16" t="inlineStr">
        <is>
          <t>Delivered</t>
        </is>
      </c>
      <c r="D4284" s="16" t="inlineStr">
        <is>
          <t>128-10804833393271551</t>
        </is>
      </c>
      <c r="E4284" s="16" t="inlineStr">
        <is>
          <t>Delivered</t>
        </is>
      </c>
      <c r="F4284" s="16" t="inlineStr">
        <is>
          <t>SA323T</t>
        </is>
      </c>
      <c r="G4284" s="16" t="inlineStr">
        <is>
          <t>Linkbits Bocina Portátil Parlantes BT Portátiles con Iluminación de Ambiente | 1 Hora de Duración, FM, TWS, TF/Micro SD | Ideal para Hogar, Fiestas y Viajes</t>
        </is>
      </c>
      <c r="H4284" s="16" t="inlineStr">
        <is>
          <t>SA323T</t>
        </is>
      </c>
      <c r="I4284" s="16" t="n">
        <v>1</v>
      </c>
      <c r="J4284" s="17" t="n">
        <v>46.7</v>
      </c>
      <c r="K4284" s="17" t="n">
        <v>55.76</v>
      </c>
      <c r="L4284" s="17" t="n">
        <v>25.86</v>
      </c>
      <c r="M4284" s="17" t="n">
        <v>0</v>
      </c>
      <c r="N4284" s="17">
        <f>K4284*0.08+L4284*0.08</f>
        <v/>
      </c>
      <c r="O4284" s="17">
        <f>-(K4284*0.025+L4284*0.025)</f>
        <v/>
      </c>
      <c r="P4284" s="17">
        <f>32</f>
        <v/>
      </c>
      <c r="Q4284" s="17">
        <f>J4284+L4284+N4284+O4284-P4284-M4284</f>
        <v/>
      </c>
    </row>
    <row r="4285">
      <c r="A4285" s="16" t="inlineStr">
        <is>
          <t>5.29-6.4</t>
        </is>
      </c>
      <c r="B4285" s="16" t="inlineStr">
        <is>
          <t>PO-128-10774893399671857</t>
        </is>
      </c>
      <c r="C4285" s="16" t="inlineStr">
        <is>
          <t>Delivered</t>
        </is>
      </c>
      <c r="D4285" s="16" t="inlineStr">
        <is>
          <t>128-10774935342711857</t>
        </is>
      </c>
      <c r="E4285" s="16" t="inlineStr">
        <is>
          <t>Delivered</t>
        </is>
      </c>
      <c r="F4285" s="16" t="inlineStr">
        <is>
          <t>LB02235-negro</t>
        </is>
      </c>
      <c r="G4285" s="16" t="inlineStr">
        <is>
          <t>Audífonos Inalámbricos para la Cabeza, Recargables y Multifuncionales - Conectan a Varios Dispositivos, soportan Radio FM, Tarjeta TF y AUX - 4 Horas de Reproducción Musical - Ideal para Trabajo Cotidiano, Juegos y Estudio</t>
        </is>
      </c>
      <c r="H4285" s="16" t="inlineStr">
        <is>
          <t>NEGRO</t>
        </is>
      </c>
      <c r="I4285" s="16" t="n">
        <v>1</v>
      </c>
      <c r="J4285" s="17" t="n">
        <v>36.8</v>
      </c>
      <c r="K4285" s="17" t="n">
        <v>49.91</v>
      </c>
      <c r="L4285" s="17" t="n">
        <v>25.86</v>
      </c>
      <c r="M4285" s="17" t="n">
        <v>0</v>
      </c>
      <c r="N4285" s="17">
        <f>K4285*0.08+L4285*0.08</f>
        <v/>
      </c>
      <c r="O4285" s="17">
        <f>-(K4285*0.025+L4285*0.025)</f>
        <v/>
      </c>
      <c r="P4285" s="17">
        <f>32</f>
        <v/>
      </c>
      <c r="Q4285" s="17">
        <f>J4285+L4285+N4285+O4285-P4285-M4285</f>
        <v/>
      </c>
    </row>
    <row r="4286">
      <c r="A4286" s="16" t="inlineStr">
        <is>
          <t>5.29-6.4</t>
        </is>
      </c>
      <c r="B4286" s="16" t="inlineStr">
        <is>
          <t>PO-128-10756044058232033</t>
        </is>
      </c>
      <c r="C4286" s="16" t="inlineStr">
        <is>
          <t>Delivered</t>
        </is>
      </c>
      <c r="D4286" s="16" t="inlineStr">
        <is>
          <t>128-10756203966072033</t>
        </is>
      </c>
      <c r="E4286" s="16" t="inlineStr">
        <is>
          <t>Delivered</t>
        </is>
      </c>
      <c r="F4286" s="16" t="inlineStr">
        <is>
          <t>KTS-1678A</t>
        </is>
      </c>
      <c r="G4286" s="16" t="inlineStr">
        <is>
          <t>Bocina portátil Inalámbrico, de 3 pulgadas, tamaño de bolsillo, 170 g, con asa, compatible con TF, USB y Micro SD, con radio FM y función TWS (True Wireless Stereo), adecuada para relajarse en casa o viajar al aire libre.</t>
        </is>
      </c>
      <c r="H4286" s="16" t="inlineStr">
        <is>
          <t>KTS-1678A</t>
        </is>
      </c>
      <c r="I4286" s="16" t="n">
        <v>1</v>
      </c>
      <c r="J4286" s="17" t="n">
        <v>42.5</v>
      </c>
      <c r="K4286" s="17" t="n">
        <v>50.78</v>
      </c>
      <c r="L4286" s="17" t="n">
        <v>25.86</v>
      </c>
      <c r="M4286" s="17" t="n">
        <v>0</v>
      </c>
      <c r="N4286" s="17">
        <f>K4286*0.08+L4286*0.08</f>
        <v/>
      </c>
      <c r="O4286" s="17">
        <f>-(K4286*0.025+L4286*0.025)</f>
        <v/>
      </c>
      <c r="P4286" s="17">
        <f>32</f>
        <v/>
      </c>
      <c r="Q4286" s="17">
        <f>J4286+L4286+N4286+O4286-P4286-M4286</f>
        <v/>
      </c>
    </row>
    <row r="4287">
      <c r="A4287" s="16" t="inlineStr">
        <is>
          <t>5.29-6.4</t>
        </is>
      </c>
      <c r="B4287" s="16" t="inlineStr">
        <is>
          <t>PO-128-10825792712310400</t>
        </is>
      </c>
      <c r="C4287" s="16" t="inlineStr">
        <is>
          <t>Delivered</t>
        </is>
      </c>
      <c r="D4287" s="16" t="inlineStr">
        <is>
          <t>128-10825750769270400</t>
        </is>
      </c>
      <c r="E4287" s="16" t="inlineStr">
        <is>
          <t>Delivered</t>
        </is>
      </c>
      <c r="F4287" s="16" t="inlineStr">
        <is>
          <t>LB02235-azul</t>
        </is>
      </c>
      <c r="G4287" s="16" t="inlineStr">
        <is>
          <t>Audífonos Inalámbricos para la Cabeza, Recargables y Multifuncionales - Conectan a Varios Dispositivos, soportan Radio FM, Tarjeta TF y AUX - 4 Horas de Reproducción Musical - Ideal para Trabajo Cotidiano, Juegos y Estudio</t>
        </is>
      </c>
      <c r="H4287" s="16" t="inlineStr">
        <is>
          <t>AZUL</t>
        </is>
      </c>
      <c r="I4287" s="16" t="n">
        <v>1</v>
      </c>
      <c r="J4287" s="17" t="n">
        <v>36</v>
      </c>
      <c r="K4287" s="17" t="n">
        <v>49.11</v>
      </c>
      <c r="L4287" s="17" t="n">
        <v>25.86</v>
      </c>
      <c r="M4287" s="17" t="n">
        <v>0</v>
      </c>
      <c r="N4287" s="17">
        <f>K4287*0.08+L4287*0.08</f>
        <v/>
      </c>
      <c r="O4287" s="17">
        <f>-(K4287*0.025+L4287*0.025)</f>
        <v/>
      </c>
      <c r="P4287" s="17">
        <f>32</f>
        <v/>
      </c>
      <c r="Q4287" s="17">
        <f>J4287+L4287+N4287+O4287-P4287-M4287</f>
        <v/>
      </c>
    </row>
    <row r="4288">
      <c r="A4288" s="16" t="inlineStr">
        <is>
          <t>5.29-6.4</t>
        </is>
      </c>
      <c r="B4288" s="16" t="inlineStr">
        <is>
          <t>PO-128-10737133046391120</t>
        </is>
      </c>
      <c r="C4288" s="16" t="inlineStr">
        <is>
          <t>Delivered</t>
        </is>
      </c>
      <c r="D4288" s="16" t="inlineStr">
        <is>
          <t>128-10737174989431120</t>
        </is>
      </c>
      <c r="E4288" s="16" t="inlineStr">
        <is>
          <t>Delivered</t>
        </is>
      </c>
      <c r="F4288" s="16" t="inlineStr">
        <is>
          <t>MB-185A</t>
        </is>
      </c>
      <c r="G4288" s="16" t="inlineStr">
        <is>
          <t>Bocina Radio FM/Reproductor, Compatible con Tarjeta TF, USB, Bluetooth, Aplicable para celular, computadora, Ipad y consola.</t>
        </is>
      </c>
      <c r="H4288" s="16" t="inlineStr">
        <is>
          <t>AZUL/MB-185</t>
        </is>
      </c>
      <c r="I4288" s="16" t="n">
        <v>1</v>
      </c>
      <c r="J4288" s="17" t="n">
        <v>73</v>
      </c>
      <c r="K4288" s="17" t="n">
        <v>85.94</v>
      </c>
      <c r="L4288" s="17" t="n">
        <v>25.86</v>
      </c>
      <c r="M4288" s="17" t="n">
        <v>0</v>
      </c>
      <c r="N4288" s="17">
        <f>K4288*0.08+L4288*0.08</f>
        <v/>
      </c>
      <c r="O4288" s="17">
        <f>-(K4288*0.025+L4288*0.025)</f>
        <v/>
      </c>
      <c r="P4288" s="17">
        <f>32</f>
        <v/>
      </c>
      <c r="Q4288" s="17">
        <f>J4288+L4288+N4288+O4288-P4288-M4288</f>
        <v/>
      </c>
    </row>
    <row r="4289">
      <c r="A4289" s="16" t="inlineStr">
        <is>
          <t>5.29-6.4</t>
        </is>
      </c>
      <c r="B4289" s="16" t="inlineStr">
        <is>
          <t>PO-128-10602114007672887</t>
        </is>
      </c>
      <c r="C4289" s="16" t="inlineStr">
        <is>
          <t>Delivered</t>
        </is>
      </c>
      <c r="D4289" s="16" t="inlineStr">
        <is>
          <t>128-10602132357752887</t>
        </is>
      </c>
      <c r="E4289" s="16" t="inlineStr">
        <is>
          <t>Delivered</t>
        </is>
      </c>
      <c r="F4289" s="16" t="inlineStr">
        <is>
          <t>SA325T</t>
        </is>
      </c>
      <c r="G4289" s="16" t="inlineStr">
        <is>
          <t>Subwoofer Portátil Inalámbrico con Luces RGB, Sonido de Alta Potencia y Batería Duradera, TWS TF USB, Perfecto para Campamento Fiestas y Entretenimiento en Casa</t>
        </is>
      </c>
      <c r="H4289" s="16" t="inlineStr">
        <is>
          <t>NEGRO</t>
        </is>
      </c>
      <c r="I4289" s="16" t="n">
        <v>1</v>
      </c>
      <c r="J4289" s="17" t="n">
        <v>37.99</v>
      </c>
      <c r="K4289" s="17" t="n">
        <v>44.64</v>
      </c>
      <c r="L4289" s="17" t="n">
        <v>25.86</v>
      </c>
      <c r="M4289" s="17" t="n">
        <v>0</v>
      </c>
      <c r="N4289" s="17">
        <f>K4289*0.08+L4289*0.08</f>
        <v/>
      </c>
      <c r="O4289" s="17">
        <f>-(K4289*0.025+L4289*0.025)</f>
        <v/>
      </c>
      <c r="P4289" s="17">
        <f>32</f>
        <v/>
      </c>
      <c r="Q4289" s="17">
        <f>J4289+L4289+N4289+O4289-P4289-M4289</f>
        <v/>
      </c>
    </row>
    <row r="4290">
      <c r="A4290" s="16" t="inlineStr">
        <is>
          <t>5.29-6.4</t>
        </is>
      </c>
      <c r="B4290" s="16" t="inlineStr">
        <is>
          <t>PO-128-10811570535031575</t>
        </is>
      </c>
      <c r="C4290" s="16" t="inlineStr">
        <is>
          <t>Delivered</t>
        </is>
      </c>
      <c r="D4290" s="16" t="inlineStr">
        <is>
          <t>128-10811560049271575</t>
        </is>
      </c>
      <c r="E4290" s="16" t="inlineStr">
        <is>
          <t>Delivered</t>
        </is>
      </c>
      <c r="F4290" s="16" t="inlineStr">
        <is>
          <t>LB02235-azul</t>
        </is>
      </c>
      <c r="G4290" s="16" t="inlineStr">
        <is>
          <t>Audífonos Inalámbricos para la Cabeza, Recargables y Multifuncionales - Conectan a Varios Dispositivos, soportan Radio FM, Tarjeta TF y AUX - 4 Horas de Reproducción Musical - Ideal para Trabajo Cotidiano, Juegos y Estudio</t>
        </is>
      </c>
      <c r="H4290" s="16" t="inlineStr">
        <is>
          <t>AZUL</t>
        </is>
      </c>
      <c r="I4290" s="16" t="n">
        <v>1</v>
      </c>
      <c r="J4290" s="17" t="n">
        <v>36</v>
      </c>
      <c r="K4290" s="17" t="n">
        <v>40.56</v>
      </c>
      <c r="L4290" s="17" t="n">
        <v>25.86</v>
      </c>
      <c r="M4290" s="17" t="n">
        <v>0</v>
      </c>
      <c r="N4290" s="17">
        <f>K4290*0.08+L4290*0.08</f>
        <v/>
      </c>
      <c r="O4290" s="17">
        <f>-(K4290*0.025+L4290*0.025)</f>
        <v/>
      </c>
      <c r="P4290" s="17">
        <f>32</f>
        <v/>
      </c>
      <c r="Q4290" s="17">
        <f>J4290+L4290+N4290+O4290-P4290-M4290</f>
        <v/>
      </c>
    </row>
    <row r="4291">
      <c r="A4291" s="16" t="inlineStr">
        <is>
          <t>5.29-6.4</t>
        </is>
      </c>
      <c r="B4291" s="16" t="inlineStr">
        <is>
          <t>PO-128-10738790462071942</t>
        </is>
      </c>
      <c r="C4291" s="16" t="inlineStr">
        <is>
          <t>Delivered</t>
        </is>
      </c>
      <c r="D4291" s="16" t="inlineStr">
        <is>
          <t>128-10738811433591942</t>
        </is>
      </c>
      <c r="E4291" s="16" t="inlineStr">
        <is>
          <t>Delivered</t>
        </is>
      </c>
      <c r="F4291" s="16" t="inlineStr">
        <is>
          <t>EM04W36-2PZS</t>
        </is>
      </c>
      <c r="G429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291" s="16" t="inlineStr">
        <is>
          <t>2 piezas</t>
        </is>
      </c>
      <c r="I4291" s="16" t="n">
        <v>1</v>
      </c>
      <c r="J4291" s="17" t="n">
        <v>125</v>
      </c>
      <c r="K4291" s="17" t="n">
        <v>128.3</v>
      </c>
      <c r="L4291" s="17" t="n">
        <v>25.86</v>
      </c>
      <c r="M4291" s="17" t="n">
        <v>0</v>
      </c>
      <c r="N4291" s="17">
        <f>K4291*0.08+L4291*0.08</f>
        <v/>
      </c>
      <c r="O4291" s="17">
        <f>-(K4291*0.025+L4291*0.025)</f>
        <v/>
      </c>
      <c r="P4291" s="17">
        <f>32</f>
        <v/>
      </c>
      <c r="Q4291" s="17">
        <f>J4291+L4291+N4291+O4291-P4291-M4291</f>
        <v/>
      </c>
    </row>
    <row r="4292">
      <c r="A4292" s="16" t="inlineStr">
        <is>
          <t>5.29-6.4</t>
        </is>
      </c>
      <c r="B4292" s="16" t="inlineStr">
        <is>
          <t>PO-128-10421857679993897</t>
        </is>
      </c>
      <c r="C4292" s="16" t="inlineStr">
        <is>
          <t>Delivered</t>
        </is>
      </c>
      <c r="D4292" s="16" t="inlineStr">
        <is>
          <t>128-10421889137273897</t>
        </is>
      </c>
      <c r="E4292" s="16" t="inlineStr">
        <is>
          <t>Delivered</t>
        </is>
      </c>
      <c r="F4292" s="16" t="inlineStr">
        <is>
          <t>LB02235-blanco</t>
        </is>
      </c>
      <c r="G4292" s="16" t="inlineStr">
        <is>
          <t>Audífonos Inalámbricos para la Cabeza, Recargables y Multifuncionales - Conectan a Varios Dispositivos, soportan Radio FM, Tarjeta TF y AUX - 4 Horas de Reproducción Musical - Ideal para Trabajo Cotidiano, Juegos y Estudio</t>
        </is>
      </c>
      <c r="H4292" s="16" t="inlineStr">
        <is>
          <t>BLANCO</t>
        </is>
      </c>
      <c r="I4292" s="16" t="n">
        <v>1</v>
      </c>
      <c r="J4292" s="17" t="n">
        <v>36.8</v>
      </c>
      <c r="K4292" s="17" t="n">
        <v>49.91</v>
      </c>
      <c r="L4292" s="17" t="n">
        <v>25.86</v>
      </c>
      <c r="M4292" s="17" t="n">
        <v>0</v>
      </c>
      <c r="N4292" s="17">
        <f>K4292*0.08+L4292*0.08</f>
        <v/>
      </c>
      <c r="O4292" s="17">
        <f>-(K4292*0.025+L4292*0.025)</f>
        <v/>
      </c>
      <c r="P4292" s="17">
        <f>32</f>
        <v/>
      </c>
      <c r="Q4292" s="17">
        <f>J4292+L4292+N4292+O4292-P4292-M4292</f>
        <v/>
      </c>
    </row>
    <row r="4293">
      <c r="A4293" s="16" t="inlineStr">
        <is>
          <t>5.29-6.4</t>
        </is>
      </c>
      <c r="B4293" s="16" t="inlineStr">
        <is>
          <t>PO-128-10766579180151843</t>
        </is>
      </c>
      <c r="C4293" s="16" t="inlineStr">
        <is>
          <t>Delivered</t>
        </is>
      </c>
      <c r="D4293" s="16" t="inlineStr">
        <is>
          <t>128-10766537237111843</t>
        </is>
      </c>
      <c r="E4293" s="16" t="inlineStr">
        <is>
          <t>Delivered</t>
        </is>
      </c>
      <c r="F4293" s="16" t="inlineStr">
        <is>
          <t>LB02235-blanco</t>
        </is>
      </c>
      <c r="G4293" s="16" t="inlineStr">
        <is>
          <t>Audífonos Inalámbricos para la Cabeza, Recargables y Multifuncionales - Conectan a Varios Dispositivos, soportan Radio FM, Tarjeta TF y AUX - 4 Horas de Reproducción Musical - Ideal para Trabajo Cotidiano, Juegos y Estudio</t>
        </is>
      </c>
      <c r="H4293" s="16" t="inlineStr">
        <is>
          <t>BLANCO</t>
        </is>
      </c>
      <c r="I4293" s="16" t="n">
        <v>1</v>
      </c>
      <c r="J4293" s="17" t="n">
        <v>36.8</v>
      </c>
      <c r="K4293" s="17" t="n">
        <v>6.81</v>
      </c>
      <c r="L4293" s="17" t="n">
        <v>25.86</v>
      </c>
      <c r="M4293" s="17" t="n">
        <v>0</v>
      </c>
      <c r="N4293" s="17">
        <f>K4293*0.08+L4293*0.08</f>
        <v/>
      </c>
      <c r="O4293" s="17">
        <f>-(K4293*0.025+L4293*0.025)</f>
        <v/>
      </c>
      <c r="P4293" s="17">
        <f>32</f>
        <v/>
      </c>
      <c r="Q4293" s="17">
        <f>J4293+L4293+N4293+O4293-P4293-M4293</f>
        <v/>
      </c>
    </row>
    <row r="4294">
      <c r="A4294" s="16" t="inlineStr">
        <is>
          <t>5.29-6.4</t>
        </is>
      </c>
      <c r="B4294" s="16" t="inlineStr">
        <is>
          <t>PO-128-10558936479352118</t>
        </is>
      </c>
      <c r="C4294" s="16" t="inlineStr">
        <is>
          <t>Delivered</t>
        </is>
      </c>
      <c r="D4294" s="16" t="inlineStr">
        <is>
          <t>128-10558957450872118</t>
        </is>
      </c>
      <c r="E4294" s="16" t="inlineStr">
        <is>
          <t>Delivered</t>
        </is>
      </c>
      <c r="F4294" s="16" t="inlineStr">
        <is>
          <t>HD005</t>
        </is>
      </c>
      <c r="G4294" s="16" t="inlineStr">
        <is>
          <t>Link bits HD005 Antena UHF para Exteriores, Antena de TV Digital HD con 10 Metros de Cable, Recepción 470-862MHz, 9-7dB de Ganancia, Antena para Canales Abiertos y HD, Resistente al Agua y Viento, Fácil Instalación</t>
        </is>
      </c>
      <c r="H4294" s="16" t="inlineStr">
        <is>
          <t>1</t>
        </is>
      </c>
      <c r="I4294" s="16" t="n">
        <v>1</v>
      </c>
      <c r="J4294" s="17" t="n">
        <v>75</v>
      </c>
      <c r="K4294" s="17" t="n">
        <v>92.66</v>
      </c>
      <c r="L4294" s="17" t="n">
        <v>25.86</v>
      </c>
      <c r="M4294" s="17" t="n">
        <v>0</v>
      </c>
      <c r="N4294" s="17">
        <f>K4294*0.08+L4294*0.08</f>
        <v/>
      </c>
      <c r="O4294" s="17">
        <f>-(K4294*0.025+L4294*0.025)</f>
        <v/>
      </c>
      <c r="P4294" s="17">
        <f>32</f>
        <v/>
      </c>
      <c r="Q4294" s="17">
        <f>J4294+L4294+N4294+O4294-P4294-M4294</f>
        <v/>
      </c>
    </row>
    <row r="4295">
      <c r="A4295" s="16" t="inlineStr">
        <is>
          <t>5.29-6.4</t>
        </is>
      </c>
      <c r="B4295" s="16" t="inlineStr">
        <is>
          <t>PO-128-10924203663990967</t>
        </is>
      </c>
      <c r="C4295" s="16" t="inlineStr">
        <is>
          <t>Delivered</t>
        </is>
      </c>
      <c r="D4295" s="16" t="inlineStr">
        <is>
          <t>128-10924161720950967</t>
        </is>
      </c>
      <c r="E4295" s="16" t="inlineStr">
        <is>
          <t>Delivered</t>
        </is>
      </c>
      <c r="F4295" s="16" t="inlineStr">
        <is>
          <t>LV34W04</t>
        </is>
      </c>
      <c r="G4295"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295" s="16" t="inlineStr">
        <is>
          <t>LV34W04</t>
        </is>
      </c>
      <c r="I4295" s="16" t="n">
        <v>3</v>
      </c>
      <c r="J4295" s="17" t="n">
        <v>837</v>
      </c>
      <c r="K4295" s="17" t="n">
        <v>919.02</v>
      </c>
      <c r="L4295" s="17" t="n">
        <v>0</v>
      </c>
      <c r="M4295" s="17" t="n">
        <v>0</v>
      </c>
      <c r="N4295" s="17">
        <f>K4295*0.08+L4295*0.08</f>
        <v/>
      </c>
      <c r="O4295" s="17">
        <f>-(K4295*0.025+L4295*0.025)</f>
        <v/>
      </c>
      <c r="P4295" s="17">
        <f>32</f>
        <v/>
      </c>
      <c r="Q4295" s="17">
        <f>J4295+L4295+N4295+O4295-P4295-M4295</f>
        <v/>
      </c>
    </row>
    <row r="4296">
      <c r="A4296" s="16" t="inlineStr">
        <is>
          <t>5.29-6.4</t>
        </is>
      </c>
      <c r="B4296" s="16" t="inlineStr">
        <is>
          <t>PO-128-10980174695030568</t>
        </is>
      </c>
      <c r="C4296" s="16" t="inlineStr">
        <is>
          <t>Delivered</t>
        </is>
      </c>
      <c r="D4296" s="16" t="inlineStr">
        <is>
          <t>128-10980132751990568</t>
        </is>
      </c>
      <c r="E4296" s="16" t="inlineStr">
        <is>
          <t>Delivered</t>
        </is>
      </c>
      <c r="F4296" s="16" t="inlineStr">
        <is>
          <t>HD005</t>
        </is>
      </c>
      <c r="G4296" s="16" t="inlineStr">
        <is>
          <t>Link bits HD005 Antena UHF para Exteriores, Antena de TV Digital HD con 10 Metros de Cable, Recepción 470-862MHz, 9-7dB de Ganancia, Antena para Canales Abiertos y HD, Resistente al Agua y Viento, Fácil Instalación</t>
        </is>
      </c>
      <c r="H4296" s="16" t="inlineStr">
        <is>
          <t>1</t>
        </is>
      </c>
      <c r="I4296" s="16" t="n">
        <v>1</v>
      </c>
      <c r="J4296" s="17" t="n">
        <v>75</v>
      </c>
      <c r="K4296" s="17" t="n">
        <v>74.13</v>
      </c>
      <c r="L4296" s="17" t="n">
        <v>25.86</v>
      </c>
      <c r="M4296" s="17" t="n">
        <v>0</v>
      </c>
      <c r="N4296" s="17">
        <f>K4296*0.08+L4296*0.08</f>
        <v/>
      </c>
      <c r="O4296" s="17">
        <f>-(K4296*0.025+L4296*0.025)</f>
        <v/>
      </c>
      <c r="P4296" s="17">
        <f>32</f>
        <v/>
      </c>
      <c r="Q4296" s="17">
        <f>J4296+L4296+N4296+O4296-P4296-M4296</f>
        <v/>
      </c>
    </row>
    <row r="4297">
      <c r="A4297" s="16" t="inlineStr">
        <is>
          <t>5.29-6.4</t>
        </is>
      </c>
      <c r="B4297" s="16" t="inlineStr">
        <is>
          <t>PO-128-10435652849273943</t>
        </is>
      </c>
      <c r="C4297" s="16" t="inlineStr">
        <is>
          <t>Delivered</t>
        </is>
      </c>
      <c r="D4297" s="16" t="inlineStr">
        <is>
          <t>128-10435694792313943</t>
        </is>
      </c>
      <c r="E4297" s="16" t="inlineStr">
        <is>
          <t>Delivered</t>
        </is>
      </c>
      <c r="F4297" s="16" t="inlineStr">
        <is>
          <t>LB02235-rojo</t>
        </is>
      </c>
      <c r="G4297" s="16" t="inlineStr">
        <is>
          <t>Audífonos Inalámbricos para la Cabeza, Recargables y Multifuncionales - Conectan a Varios Dispositivos, soportan Radio FM, Tarjeta TF y AUX - 4 Horas de Reproducción Musical - Ideal para Trabajo Cotidiano, Juegos y Estudio</t>
        </is>
      </c>
      <c r="H4297" s="16" t="inlineStr">
        <is>
          <t>ROJO</t>
        </is>
      </c>
      <c r="I4297" s="16" t="n">
        <v>1</v>
      </c>
      <c r="J4297" s="17" t="n">
        <v>36.8</v>
      </c>
      <c r="K4297" s="17" t="n">
        <v>49.91</v>
      </c>
      <c r="L4297" s="17" t="n">
        <v>25.86</v>
      </c>
      <c r="M4297" s="17" t="n">
        <v>0</v>
      </c>
      <c r="N4297" s="17">
        <f>K4297*0.08+L4297*0.08</f>
        <v/>
      </c>
      <c r="O4297" s="17">
        <f>-(K4297*0.025+L4297*0.025)</f>
        <v/>
      </c>
      <c r="P4297" s="17">
        <f>32</f>
        <v/>
      </c>
      <c r="Q4297" s="17">
        <f>J4297+L4297+N4297+O4297-P4297-M4297</f>
        <v/>
      </c>
    </row>
    <row r="4298">
      <c r="A4298" s="16" t="inlineStr">
        <is>
          <t>5.29-6.4</t>
        </is>
      </c>
      <c r="B4298" s="16" t="inlineStr">
        <is>
          <t>PO-128-10399581471354028</t>
        </is>
      </c>
      <c r="C4298" s="16" t="inlineStr">
        <is>
          <t>Delivered</t>
        </is>
      </c>
      <c r="D4298" s="16" t="inlineStr">
        <is>
          <t>128-10399623414394028</t>
        </is>
      </c>
      <c r="E4298" s="16" t="inlineStr">
        <is>
          <t>Delivered</t>
        </is>
      </c>
      <c r="F4298" s="16" t="inlineStr">
        <is>
          <t>LB02235-blanco</t>
        </is>
      </c>
      <c r="G4298" s="16" t="inlineStr">
        <is>
          <t>Audífonos Inalámbricos para la Cabeza, Recargables y Multifuncionales - Conectan a Varios Dispositivos, soportan Radio FM, Tarjeta TF y AUX - 4 Horas de Reproducción Musical - Ideal para Trabajo Cotidiano, Juegos y Estudio</t>
        </is>
      </c>
      <c r="H4298" s="16" t="inlineStr">
        <is>
          <t>BLANCO</t>
        </is>
      </c>
      <c r="I4298" s="16" t="n">
        <v>1</v>
      </c>
      <c r="J4298" s="17" t="n">
        <v>36.8</v>
      </c>
      <c r="K4298" s="17" t="n">
        <v>49.91</v>
      </c>
      <c r="L4298" s="17" t="n">
        <v>25.86</v>
      </c>
      <c r="M4298" s="17" t="n">
        <v>0</v>
      </c>
      <c r="N4298" s="17">
        <f>K4298*0.08+L4298*0.08</f>
        <v/>
      </c>
      <c r="O4298" s="17">
        <f>-(K4298*0.025+L4298*0.025)</f>
        <v/>
      </c>
      <c r="P4298" s="17">
        <f>32</f>
        <v/>
      </c>
      <c r="Q4298" s="17">
        <f>J4298+L4298+N4298+O4298-P4298-M4298</f>
        <v/>
      </c>
    </row>
    <row r="4299">
      <c r="A4299" s="16" t="inlineStr">
        <is>
          <t>5.29-6.4</t>
        </is>
      </c>
      <c r="B4299" s="16" t="inlineStr">
        <is>
          <t>PO-128-10611506253432703</t>
        </is>
      </c>
      <c r="C4299" s="16" t="inlineStr">
        <is>
          <t>Delivered</t>
        </is>
      </c>
      <c r="D4299" s="16" t="inlineStr">
        <is>
          <t>128-10611501665912703</t>
        </is>
      </c>
      <c r="E4299" s="16" t="inlineStr">
        <is>
          <t>Delivered</t>
        </is>
      </c>
      <c r="F4299" s="16" t="inlineStr">
        <is>
          <t>SA8056T</t>
        </is>
      </c>
      <c r="G429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299" s="16" t="inlineStr">
        <is>
          <t>SA8056T</t>
        </is>
      </c>
      <c r="I4299" s="16" t="n">
        <v>1</v>
      </c>
      <c r="J4299" s="17" t="n">
        <v>123.9</v>
      </c>
      <c r="K4299" s="17" t="n">
        <v>192.09</v>
      </c>
      <c r="L4299" s="17" t="n">
        <v>25.86</v>
      </c>
      <c r="M4299" s="17" t="n">
        <v>0</v>
      </c>
      <c r="N4299" s="17">
        <f>K4299*0.08+L4299*0.08</f>
        <v/>
      </c>
      <c r="O4299" s="17">
        <f>-(K4299*0.025+L4299*0.025)</f>
        <v/>
      </c>
      <c r="P4299" s="17">
        <f>32</f>
        <v/>
      </c>
      <c r="Q4299" s="17">
        <f>J4299+L4299+N4299+O4299-P4299-M4299</f>
        <v/>
      </c>
    </row>
    <row r="4300">
      <c r="A4300" s="16" t="inlineStr">
        <is>
          <t>5.29-6.4</t>
        </is>
      </c>
      <c r="B4300" s="16" t="inlineStr">
        <is>
          <t>PO-128-10966237548150717</t>
        </is>
      </c>
      <c r="C4300" s="16" t="inlineStr">
        <is>
          <t>Delivered</t>
        </is>
      </c>
      <c r="D4300" s="16" t="inlineStr">
        <is>
          <t>128-10966248033910717</t>
        </is>
      </c>
      <c r="E4300" s="16" t="inlineStr">
        <is>
          <t>Delivered</t>
        </is>
      </c>
      <c r="F4300" s="16" t="inlineStr">
        <is>
          <t>MCM-001G</t>
        </is>
      </c>
      <c r="G4300" s="16" t="inlineStr">
        <is>
          <t>Musicord Altavoz Inalámbrico BT Portátil: ¡Sonido impactante, luces LED multicolores y 4 horas de autonomía! Compatible con TWS, FM, TF y USB – Imprescindible para fiestas y viajes</t>
        </is>
      </c>
      <c r="H4300" s="16" t="inlineStr">
        <is>
          <t>GRIS</t>
        </is>
      </c>
      <c r="I4300" s="16" t="n">
        <v>3</v>
      </c>
      <c r="J4300" s="17" t="n">
        <v>153.21</v>
      </c>
      <c r="K4300" s="17" t="n">
        <v>164.62</v>
      </c>
      <c r="L4300" s="17" t="n">
        <v>0</v>
      </c>
      <c r="M4300" s="17" t="n">
        <v>0</v>
      </c>
      <c r="N4300" s="17">
        <f>K4300*0.08+L4300*0.08</f>
        <v/>
      </c>
      <c r="O4300" s="17">
        <f>-(K4300*0.025+L4300*0.025)</f>
        <v/>
      </c>
      <c r="P4300" s="17">
        <f>32</f>
        <v/>
      </c>
      <c r="Q4300" s="17">
        <f>J4300+L4300+N4300+O4300-P4300-M4300</f>
        <v/>
      </c>
    </row>
    <row r="4301">
      <c r="A4301" s="16" t="inlineStr">
        <is>
          <t>5.29-6.4</t>
        </is>
      </c>
      <c r="B4301" s="16" t="inlineStr">
        <is>
          <t>PO-128-10966237548150717</t>
        </is>
      </c>
      <c r="C4301" s="16" t="inlineStr">
        <is>
          <t>Delivered</t>
        </is>
      </c>
      <c r="D4301" s="16" t="inlineStr">
        <is>
          <t>128-10966253276790717</t>
        </is>
      </c>
      <c r="E4301" s="16" t="inlineStr">
        <is>
          <t>Delivered</t>
        </is>
      </c>
      <c r="F4301" s="16" t="inlineStr">
        <is>
          <t>VA384T-A</t>
        </is>
      </c>
      <c r="G4301" s="16" t="inlineStr">
        <is>
          <t>Bocina Portátil Bluetooth de 3 Pulgadas con Radio FM, USB TF TWS, Sonido Estéreo 5W, Bocina Recargable para Hogar Exterior Viaje Fiesta Camping</t>
        </is>
      </c>
      <c r="H4301" s="16" t="inlineStr">
        <is>
          <t>AZUL</t>
        </is>
      </c>
      <c r="I4301" s="16" t="n">
        <v>2</v>
      </c>
      <c r="J4301" s="17" t="n">
        <v>96</v>
      </c>
      <c r="K4301" s="17" t="n">
        <v>109.48</v>
      </c>
      <c r="L4301" s="17" t="n">
        <v>0</v>
      </c>
      <c r="M4301" s="17" t="n">
        <v>0</v>
      </c>
      <c r="N4301" s="17">
        <f>K4301*0.08+L4301*0.08</f>
        <v/>
      </c>
      <c r="O4301" s="17">
        <f>-(K4301*0.025+L4301*0.025)</f>
        <v/>
      </c>
      <c r="P4301" s="17">
        <f>32</f>
        <v/>
      </c>
      <c r="Q4301" s="17">
        <f>J4301+L4301+N4301+O4301-P4301-M4301</f>
        <v/>
      </c>
    </row>
    <row r="4302">
      <c r="A4302" s="16" t="inlineStr">
        <is>
          <t>5.29-6.4</t>
        </is>
      </c>
      <c r="B4302" s="16" t="inlineStr">
        <is>
          <t>PO-128-10449559224953794</t>
        </is>
      </c>
      <c r="C4302" s="16" t="inlineStr">
        <is>
          <t>Delivered</t>
        </is>
      </c>
      <c r="D4302" s="16" t="inlineStr">
        <is>
          <t>128-10449533010553794</t>
        </is>
      </c>
      <c r="E4302" s="16" t="inlineStr">
        <is>
          <t>Delivered</t>
        </is>
      </c>
      <c r="F4302" s="16" t="inlineStr">
        <is>
          <t>LB02235-rojo</t>
        </is>
      </c>
      <c r="G4302" s="16" t="inlineStr">
        <is>
          <t>Audífonos Inalámbricos para la Cabeza, Recargables y Multifuncionales - Conectan a Varios Dispositivos, soportan Radio FM, Tarjeta TF y AUX - 4 Horas de Reproducción Musical - Ideal para Trabajo Cotidiano, Juegos y Estudio</t>
        </is>
      </c>
      <c r="H4302" s="16" t="inlineStr">
        <is>
          <t>ROJO</t>
        </is>
      </c>
      <c r="I4302" s="16" t="n">
        <v>1</v>
      </c>
      <c r="J4302" s="17" t="n">
        <v>36.8</v>
      </c>
      <c r="K4302" s="17" t="n">
        <v>44.93</v>
      </c>
      <c r="L4302" s="17" t="n">
        <v>25.86</v>
      </c>
      <c r="M4302" s="17" t="n">
        <v>0</v>
      </c>
      <c r="N4302" s="17">
        <f>K4302*0.08+L4302*0.08</f>
        <v/>
      </c>
      <c r="O4302" s="17">
        <f>-(K4302*0.025+L4302*0.025)</f>
        <v/>
      </c>
      <c r="P4302" s="17">
        <f>32</f>
        <v/>
      </c>
      <c r="Q4302" s="17">
        <f>J4302+L4302+N4302+O4302-P4302-M4302</f>
        <v/>
      </c>
    </row>
    <row r="4303">
      <c r="A4303" s="16" t="inlineStr">
        <is>
          <t>5.29-6.4</t>
        </is>
      </c>
      <c r="B4303" s="16" t="inlineStr">
        <is>
          <t>PO-128-10648973097592670</t>
        </is>
      </c>
      <c r="C4303" s="16" t="inlineStr">
        <is>
          <t>Delivered</t>
        </is>
      </c>
      <c r="D4303" s="16" t="inlineStr">
        <is>
          <t>128-10648983583352670</t>
        </is>
      </c>
      <c r="E4303" s="16" t="inlineStr">
        <is>
          <t>Delivered</t>
        </is>
      </c>
      <c r="F4303" s="16" t="inlineStr">
        <is>
          <t>MB-185N</t>
        </is>
      </c>
      <c r="G4303" s="16" t="inlineStr">
        <is>
          <t>Bocina Radio FM/Reproductor, Compatible con Tarjeta TF, USB, Bluetooth, Aplicable para celular, computadora, Ipad y consola.</t>
        </is>
      </c>
      <c r="H4303" s="16" t="inlineStr">
        <is>
          <t>NEGRO/MB-185</t>
        </is>
      </c>
      <c r="I4303" s="16" t="n">
        <v>1</v>
      </c>
      <c r="J4303" s="17" t="n">
        <v>75.5</v>
      </c>
      <c r="K4303" s="17" t="n">
        <v>88.44</v>
      </c>
      <c r="L4303" s="17" t="n">
        <v>25.86</v>
      </c>
      <c r="M4303" s="17" t="n">
        <v>0</v>
      </c>
      <c r="N4303" s="17">
        <f>K4303*0.08+L4303*0.08</f>
        <v/>
      </c>
      <c r="O4303" s="17">
        <f>-(K4303*0.025+L4303*0.025)</f>
        <v/>
      </c>
      <c r="P4303" s="17">
        <f>32</f>
        <v/>
      </c>
      <c r="Q4303" s="17">
        <f>J4303+L4303+N4303+O4303-P4303-M4303</f>
        <v/>
      </c>
    </row>
    <row r="4304">
      <c r="A4304" s="16" t="inlineStr">
        <is>
          <t>5.29-6.4</t>
        </is>
      </c>
      <c r="B4304" s="16" t="inlineStr">
        <is>
          <t>PO-128-10318192312953491</t>
        </is>
      </c>
      <c r="C4304" s="16" t="inlineStr">
        <is>
          <t>Delivered</t>
        </is>
      </c>
      <c r="D4304" s="16" t="inlineStr">
        <is>
          <t>128-10318297170553491</t>
        </is>
      </c>
      <c r="E4304" s="16" t="inlineStr">
        <is>
          <t>Delivered</t>
        </is>
      </c>
      <c r="F4304" s="16" t="inlineStr">
        <is>
          <t>LB02235-rojo</t>
        </is>
      </c>
      <c r="G4304" s="16" t="inlineStr">
        <is>
          <t>Audífonos Inalámbricos para la Cabeza, Recargables y Multifuncionales - Conectan a Varios Dispositivos, soportan Radio FM, Tarjeta TF y AUX - 4 Horas de Reproducción Musical - Ideal para Trabajo Cotidiano, Juegos y Estudio</t>
        </is>
      </c>
      <c r="H4304" s="16" t="inlineStr">
        <is>
          <t>ROJO</t>
        </is>
      </c>
      <c r="I4304" s="16" t="n">
        <v>1</v>
      </c>
      <c r="J4304" s="17" t="n">
        <v>36.8</v>
      </c>
      <c r="K4304" s="17" t="n">
        <v>49.91</v>
      </c>
      <c r="L4304" s="17" t="n">
        <v>25.86</v>
      </c>
      <c r="M4304" s="17" t="n">
        <v>0</v>
      </c>
      <c r="N4304" s="17">
        <f>K4304*0.08+L4304*0.08</f>
        <v/>
      </c>
      <c r="O4304" s="17">
        <f>-(K4304*0.025+L4304*0.025)</f>
        <v/>
      </c>
      <c r="P4304" s="17">
        <f>32</f>
        <v/>
      </c>
      <c r="Q4304" s="17">
        <f>J4304+L4304+N4304+O4304-P4304-M4304</f>
        <v/>
      </c>
    </row>
    <row r="4305">
      <c r="A4305" s="16" t="inlineStr">
        <is>
          <t>5.29-6.4</t>
        </is>
      </c>
      <c r="B4305" s="16" t="inlineStr">
        <is>
          <t>PO-128-10648831877752673</t>
        </is>
      </c>
      <c r="C4305" s="16" t="inlineStr">
        <is>
          <t>Delivered</t>
        </is>
      </c>
      <c r="D4305" s="16" t="inlineStr">
        <is>
          <t>128-10648789934712673</t>
        </is>
      </c>
      <c r="E4305" s="16" t="inlineStr">
        <is>
          <t>Delivered</t>
        </is>
      </c>
      <c r="F4305" s="16" t="inlineStr">
        <is>
          <t>LB02235-rojo</t>
        </is>
      </c>
      <c r="G4305" s="16" t="inlineStr">
        <is>
          <t>Audífonos Inalámbricos para la Cabeza, Recargables y Multifuncionales - Conectan a Varios Dispositivos, soportan Radio FM, Tarjeta TF y AUX - 4 Horas de Reproducción Musical - Ideal para Trabajo Cotidiano, Juegos y Estudio</t>
        </is>
      </c>
      <c r="H4305" s="16" t="inlineStr">
        <is>
          <t>ROJO</t>
        </is>
      </c>
      <c r="I4305" s="16" t="n">
        <v>1</v>
      </c>
      <c r="J4305" s="17" t="n">
        <v>36.8</v>
      </c>
      <c r="K4305" s="17" t="n">
        <v>49.91</v>
      </c>
      <c r="L4305" s="17" t="n">
        <v>25.86</v>
      </c>
      <c r="M4305" s="17" t="n">
        <v>0</v>
      </c>
      <c r="N4305" s="17">
        <f>K4305*0.08+L4305*0.08</f>
        <v/>
      </c>
      <c r="O4305" s="17">
        <f>-(K4305*0.025+L4305*0.025)</f>
        <v/>
      </c>
      <c r="P4305" s="17">
        <f>32</f>
        <v/>
      </c>
      <c r="Q4305" s="17">
        <f>J4305+L4305+N4305+O4305-P4305-M4305</f>
        <v/>
      </c>
    </row>
    <row r="4306">
      <c r="A4306" s="16" t="inlineStr">
        <is>
          <t>5.29-6.4</t>
        </is>
      </c>
      <c r="B4306" s="16" t="inlineStr">
        <is>
          <t>PO-128-10360058993273240</t>
        </is>
      </c>
      <c r="C4306" s="16" t="inlineStr">
        <is>
          <t>Delivered</t>
        </is>
      </c>
      <c r="D4306" s="16" t="inlineStr">
        <is>
          <t>128-10360097004153240</t>
        </is>
      </c>
      <c r="E4306" s="16" t="inlineStr">
        <is>
          <t>Delivered</t>
        </is>
      </c>
      <c r="F4306" s="16" t="inlineStr">
        <is>
          <t>MCM-001G</t>
        </is>
      </c>
      <c r="G4306" s="16" t="inlineStr">
        <is>
          <t>Musicord Altavoz Inalámbrico BT Portátil: ¡Sonido impactante, luces LED multicolores y 4 horas de autonomía! Compatible con TWS, FM, TF y USB – Imprescindible para fiestas y viajes</t>
        </is>
      </c>
      <c r="H4306" s="16" t="inlineStr">
        <is>
          <t>GRIS</t>
        </is>
      </c>
      <c r="I4306" s="16" t="n">
        <v>1</v>
      </c>
      <c r="J4306" s="17" t="n">
        <v>51.07</v>
      </c>
      <c r="K4306" s="17" t="n">
        <v>58.86</v>
      </c>
      <c r="L4306" s="17" t="n">
        <v>25.86</v>
      </c>
      <c r="M4306" s="17" t="n">
        <v>0</v>
      </c>
      <c r="N4306" s="17">
        <f>K4306*0.08+L4306*0.08</f>
        <v/>
      </c>
      <c r="O4306" s="17">
        <f>-(K4306*0.025+L4306*0.025)</f>
        <v/>
      </c>
      <c r="P4306" s="17">
        <f>32</f>
        <v/>
      </c>
      <c r="Q4306" s="17">
        <f>J4306+L4306+N4306+O4306-P4306-M4306</f>
        <v/>
      </c>
    </row>
    <row r="4307">
      <c r="A4307" s="16" t="inlineStr">
        <is>
          <t>5.29-6.4</t>
        </is>
      </c>
      <c r="B4307" s="16" t="inlineStr">
        <is>
          <t>PO-128-10539303992952301</t>
        </is>
      </c>
      <c r="C4307" s="16" t="inlineStr">
        <is>
          <t>Delivered</t>
        </is>
      </c>
      <c r="D4307" s="16" t="inlineStr">
        <is>
          <t>128-10539324964472301</t>
        </is>
      </c>
      <c r="E4307" s="16" t="inlineStr">
        <is>
          <t>Delivered</t>
        </is>
      </c>
      <c r="F4307" s="16" t="inlineStr">
        <is>
          <t>SA325T</t>
        </is>
      </c>
      <c r="G4307" s="16" t="inlineStr">
        <is>
          <t>Subwoofer Portátil Inalámbrico con Luces RGB, Sonido de Alta Potencia y Batería Duradera, TWS TF USB, Perfecto para Campamento Fiestas y Entretenimiento en Casa</t>
        </is>
      </c>
      <c r="H4307" s="16" t="inlineStr">
        <is>
          <t>NEGRO</t>
        </is>
      </c>
      <c r="I4307" s="16" t="n">
        <v>1</v>
      </c>
      <c r="J4307" s="17" t="n">
        <v>37.99</v>
      </c>
      <c r="K4307" s="17" t="n">
        <v>47.03</v>
      </c>
      <c r="L4307" s="17" t="n">
        <v>25.86</v>
      </c>
      <c r="M4307" s="17" t="n">
        <v>0</v>
      </c>
      <c r="N4307" s="17">
        <f>K4307*0.08+L4307*0.08</f>
        <v/>
      </c>
      <c r="O4307" s="17">
        <f>-(K4307*0.025+L4307*0.025)</f>
        <v/>
      </c>
      <c r="P4307" s="17">
        <f>32</f>
        <v/>
      </c>
      <c r="Q4307" s="17">
        <f>J4307+L4307+N4307+O4307-P4307-M4307</f>
        <v/>
      </c>
    </row>
    <row r="4308">
      <c r="A4308" s="16" t="inlineStr">
        <is>
          <t>5.29-6.4</t>
        </is>
      </c>
      <c r="B4308" s="16" t="inlineStr">
        <is>
          <t>PO-128-10379931157113123</t>
        </is>
      </c>
      <c r="C4308" s="16" t="inlineStr">
        <is>
          <t>Delivered</t>
        </is>
      </c>
      <c r="D4308" s="16" t="inlineStr">
        <is>
          <t>128-10379952128633123</t>
        </is>
      </c>
      <c r="E4308" s="16" t="inlineStr">
        <is>
          <t>Delivered</t>
        </is>
      </c>
      <c r="F4308" s="16" t="inlineStr">
        <is>
          <t>LB02235-rojo</t>
        </is>
      </c>
      <c r="G4308" s="16" t="inlineStr">
        <is>
          <t>Audífonos Inalámbricos para la Cabeza, Recargables y Multifuncionales - Conectan a Varios Dispositivos, soportan Radio FM, Tarjeta TF y AUX - 4 Horas de Reproducción Musical - Ideal para Trabajo Cotidiano, Juegos y Estudio</t>
        </is>
      </c>
      <c r="H4308" s="16" t="inlineStr">
        <is>
          <t>ROJO</t>
        </is>
      </c>
      <c r="I4308" s="16" t="n">
        <v>1</v>
      </c>
      <c r="J4308" s="17" t="n">
        <v>36.8</v>
      </c>
      <c r="K4308" s="17" t="n">
        <v>49.91</v>
      </c>
      <c r="L4308" s="17" t="n">
        <v>25.86</v>
      </c>
      <c r="M4308" s="17" t="n">
        <v>0</v>
      </c>
      <c r="N4308" s="17">
        <f>K4308*0.08+L4308*0.08</f>
        <v/>
      </c>
      <c r="O4308" s="17">
        <f>-(K4308*0.025+L4308*0.025)</f>
        <v/>
      </c>
      <c r="P4308" s="17">
        <f>32</f>
        <v/>
      </c>
      <c r="Q4308" s="17">
        <f>J4308+L4308+N4308+O4308-P4308-M4308</f>
        <v/>
      </c>
    </row>
    <row r="4309">
      <c r="A4309" s="16" t="inlineStr">
        <is>
          <t>5.29-6.4</t>
        </is>
      </c>
      <c r="B4309" s="16" t="inlineStr">
        <is>
          <t>PO-128-10970652191350752</t>
        </is>
      </c>
      <c r="C4309" s="16" t="inlineStr">
        <is>
          <t>Delivered</t>
        </is>
      </c>
      <c r="D4309" s="16" t="inlineStr">
        <is>
          <t>128-10970636462710752</t>
        </is>
      </c>
      <c r="E4309" s="16" t="inlineStr">
        <is>
          <t>Delivered</t>
        </is>
      </c>
      <c r="F4309" s="16" t="inlineStr">
        <is>
          <t>MCM-001N</t>
        </is>
      </c>
      <c r="G4309" s="16" t="inlineStr">
        <is>
          <t>Musicord Altavoz Inalámbrico BT Portátil: ¡Sonido impactante, luces LED multicolores y 4 horas de autonomía! Compatible con TWS, FM, TF y USB – Imprescindible para fiestas y viajes</t>
        </is>
      </c>
      <c r="H4309" s="16" t="inlineStr">
        <is>
          <t>NEGRO</t>
        </is>
      </c>
      <c r="I4309" s="16" t="n">
        <v>1</v>
      </c>
      <c r="J4309" s="17" t="n">
        <v>61</v>
      </c>
      <c r="K4309" s="17" t="n">
        <v>68.79000000000001</v>
      </c>
      <c r="L4309" s="17" t="n">
        <v>25.86</v>
      </c>
      <c r="M4309" s="17" t="n">
        <v>0</v>
      </c>
      <c r="N4309" s="17">
        <f>K4309*0.08+L4309*0.08</f>
        <v/>
      </c>
      <c r="O4309" s="17">
        <f>-(K4309*0.025+L4309*0.025)</f>
        <v/>
      </c>
      <c r="P4309" s="17">
        <f>32</f>
        <v/>
      </c>
      <c r="Q4309" s="17">
        <f>J4309+L4309+N4309+O4309-P4309-M4309</f>
        <v/>
      </c>
    </row>
    <row r="4310">
      <c r="A4310" s="16" t="inlineStr">
        <is>
          <t>5.29-6.4</t>
        </is>
      </c>
      <c r="B4310" s="16" t="inlineStr">
        <is>
          <t>PO-128-10359936666233240</t>
        </is>
      </c>
      <c r="C4310" s="16" t="inlineStr">
        <is>
          <t>Delivered</t>
        </is>
      </c>
      <c r="D4310" s="16" t="inlineStr">
        <is>
          <t>128-10360088709753240</t>
        </is>
      </c>
      <c r="E4310" s="16" t="inlineStr">
        <is>
          <t>Delivered</t>
        </is>
      </c>
      <c r="F4310" s="16" t="inlineStr">
        <is>
          <t>VB347T</t>
        </is>
      </c>
      <c r="G431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310" s="16" t="inlineStr">
        <is>
          <t>1 pieza</t>
        </is>
      </c>
      <c r="I4310" s="16" t="n">
        <v>1</v>
      </c>
      <c r="J4310" s="17" t="n">
        <v>79.90000000000001</v>
      </c>
      <c r="K4310" s="17" t="n">
        <v>94.5</v>
      </c>
      <c r="L4310" s="17" t="n">
        <v>25.86</v>
      </c>
      <c r="M4310" s="17" t="n">
        <v>0</v>
      </c>
      <c r="N4310" s="17">
        <f>K4310*0.08+L4310*0.08</f>
        <v/>
      </c>
      <c r="O4310" s="17">
        <f>-(K4310*0.025+L4310*0.025)</f>
        <v/>
      </c>
      <c r="P4310" s="17">
        <f>32</f>
        <v/>
      </c>
      <c r="Q4310" s="17">
        <f>J4310+L4310+N4310+O4310-P4310-M4310</f>
        <v/>
      </c>
    </row>
    <row r="4311">
      <c r="A4311" s="16" t="inlineStr">
        <is>
          <t>5.29-6.4</t>
        </is>
      </c>
      <c r="B4311" s="16" t="inlineStr">
        <is>
          <t>PO-128-10350294953593426</t>
        </is>
      </c>
      <c r="C4311" s="16" t="inlineStr">
        <is>
          <t>Delivered</t>
        </is>
      </c>
      <c r="D4311" s="16" t="inlineStr">
        <is>
          <t>128-10350284467833426</t>
        </is>
      </c>
      <c r="E4311" s="16" t="inlineStr">
        <is>
          <t>Delivered</t>
        </is>
      </c>
      <c r="F4311" s="16" t="inlineStr">
        <is>
          <t>LB02235-rojo</t>
        </is>
      </c>
      <c r="G4311" s="16" t="inlineStr">
        <is>
          <t>Audífonos Inalámbricos para la Cabeza, Recargables y Multifuncionales - Conectan a Varios Dispositivos, soportan Radio FM, Tarjeta TF y AUX - 4 Horas de Reproducción Musical - Ideal para Trabajo Cotidiano, Juegos y Estudio</t>
        </is>
      </c>
      <c r="H4311" s="16" t="inlineStr">
        <is>
          <t>ROJO</t>
        </is>
      </c>
      <c r="I4311" s="16" t="n">
        <v>1</v>
      </c>
      <c r="J4311" s="17" t="n">
        <v>36.8</v>
      </c>
      <c r="K4311" s="17" t="n">
        <v>49.91</v>
      </c>
      <c r="L4311" s="17" t="n">
        <v>25.86</v>
      </c>
      <c r="M4311" s="17" t="n">
        <v>0</v>
      </c>
      <c r="N4311" s="17">
        <f>K4311*0.08+L4311*0.08</f>
        <v/>
      </c>
      <c r="O4311" s="17">
        <f>-(K4311*0.025+L4311*0.025)</f>
        <v/>
      </c>
      <c r="P4311" s="17">
        <f>32</f>
        <v/>
      </c>
      <c r="Q4311" s="17">
        <f>J4311+L4311+N4311+O4311-P4311-M4311</f>
        <v/>
      </c>
    </row>
    <row r="4312">
      <c r="A4312" s="16" t="inlineStr">
        <is>
          <t>5.29-6.4</t>
        </is>
      </c>
      <c r="B4312" s="16" t="inlineStr">
        <is>
          <t>PO-128-10668160743031533</t>
        </is>
      </c>
      <c r="C4312" s="16" t="inlineStr">
        <is>
          <t>Delivered</t>
        </is>
      </c>
      <c r="D4312" s="16" t="inlineStr">
        <is>
          <t>128-10668181714551533</t>
        </is>
      </c>
      <c r="E4312" s="16" t="inlineStr">
        <is>
          <t>Delivered</t>
        </is>
      </c>
      <c r="F4312" s="16" t="inlineStr">
        <is>
          <t>LB02235-negro</t>
        </is>
      </c>
      <c r="G4312" s="16" t="inlineStr">
        <is>
          <t>Audífonos Inalámbricos para la Cabeza, Recargables y Multifuncionales - Conectan a Varios Dispositivos, soportan Radio FM, Tarjeta TF y AUX - 4 Horas de Reproducción Musical - Ideal para Trabajo Cotidiano, Juegos y Estudio</t>
        </is>
      </c>
      <c r="H4312" s="16" t="inlineStr">
        <is>
          <t>NEGRO</t>
        </is>
      </c>
      <c r="I4312" s="16" t="n">
        <v>1</v>
      </c>
      <c r="J4312" s="17" t="n">
        <v>36.8</v>
      </c>
      <c r="K4312" s="17" t="n">
        <v>49.91</v>
      </c>
      <c r="L4312" s="17" t="n">
        <v>25.86</v>
      </c>
      <c r="M4312" s="17" t="n">
        <v>0</v>
      </c>
      <c r="N4312" s="17">
        <f>K4312*0.08+L4312*0.08</f>
        <v/>
      </c>
      <c r="O4312" s="17">
        <f>-(K4312*0.025+L4312*0.025)</f>
        <v/>
      </c>
      <c r="P4312" s="17">
        <f>32</f>
        <v/>
      </c>
      <c r="Q4312" s="17">
        <f>J4312+L4312+N4312+O4312-P4312-M4312</f>
        <v/>
      </c>
    </row>
    <row r="4313">
      <c r="A4313" s="16" t="inlineStr">
        <is>
          <t>5.29-6.4</t>
        </is>
      </c>
      <c r="B4313" s="16" t="inlineStr">
        <is>
          <t>PO-128-10907880622710102</t>
        </is>
      </c>
      <c r="C4313" s="16" t="inlineStr">
        <is>
          <t>Delivered</t>
        </is>
      </c>
      <c r="D4313" s="16" t="inlineStr">
        <is>
          <t>128-10907896351350102</t>
        </is>
      </c>
      <c r="E4313" s="16" t="inlineStr">
        <is>
          <t>Delivered</t>
        </is>
      </c>
      <c r="F4313" s="16" t="inlineStr">
        <is>
          <t>SA325T</t>
        </is>
      </c>
      <c r="G4313" s="16" t="inlineStr">
        <is>
          <t>Subwoofer Portátil Inalámbrico con Luces RGB, Sonido de Alta Potencia y Batería Duradera, TWS TF USB, Perfecto para Campamento Fiestas y Entretenimiento en Casa</t>
        </is>
      </c>
      <c r="H4313" s="16" t="inlineStr">
        <is>
          <t>NEGRO</t>
        </is>
      </c>
      <c r="I4313" s="16" t="n">
        <v>3</v>
      </c>
      <c r="J4313" s="17" t="n">
        <v>113.97</v>
      </c>
      <c r="K4313" s="17" t="n">
        <v>141.09</v>
      </c>
      <c r="L4313" s="17" t="n">
        <v>25.86</v>
      </c>
      <c r="M4313" s="17" t="n">
        <v>0</v>
      </c>
      <c r="N4313" s="17">
        <f>K4313*0.08+L4313*0.08</f>
        <v/>
      </c>
      <c r="O4313" s="17">
        <f>-(K4313*0.025+L4313*0.025)</f>
        <v/>
      </c>
      <c r="P4313" s="17">
        <f>32</f>
        <v/>
      </c>
      <c r="Q4313" s="17">
        <f>J4313+L4313+N4313+O4313-P4313-M4313</f>
        <v/>
      </c>
    </row>
    <row r="4314">
      <c r="A4314" s="16" t="inlineStr">
        <is>
          <t>5.29-6.4</t>
        </is>
      </c>
      <c r="B4314" s="16" t="inlineStr">
        <is>
          <t>PO-128-10332388931193343</t>
        </is>
      </c>
      <c r="C4314" s="16" t="inlineStr">
        <is>
          <t>Delivered</t>
        </is>
      </c>
      <c r="D4314" s="16" t="inlineStr">
        <is>
          <t>128-10332391552633343</t>
        </is>
      </c>
      <c r="E4314" s="16" t="inlineStr">
        <is>
          <t>Delivered</t>
        </is>
      </c>
      <c r="F4314" s="16" t="inlineStr">
        <is>
          <t>MB-183R</t>
        </is>
      </c>
      <c r="G4314" s="16" t="inlineStr">
        <is>
          <t>Linkbits Altavoz Bluetooth Portátil con Stereo Inalámbrico TWS Impermeable y a Prueba de Polvo IP65 Altavoz de Graves de Rango Completo de 52mm con Doble Unidad Ligero de 215g para Camping Senderismo y Fiestas al Aire Libre</t>
        </is>
      </c>
      <c r="H4314" s="16" t="inlineStr">
        <is>
          <t>ROJO/MB-183</t>
        </is>
      </c>
      <c r="I4314" s="16" t="n">
        <v>1</v>
      </c>
      <c r="J4314" s="17" t="n">
        <v>84.90000000000001</v>
      </c>
      <c r="K4314" s="17" t="n">
        <v>102.28</v>
      </c>
      <c r="L4314" s="17" t="n">
        <v>25.86</v>
      </c>
      <c r="M4314" s="17" t="n">
        <v>0</v>
      </c>
      <c r="N4314" s="17">
        <f>K4314*0.08+L4314*0.08</f>
        <v/>
      </c>
      <c r="O4314" s="17">
        <f>-(K4314*0.025+L4314*0.025)</f>
        <v/>
      </c>
      <c r="P4314" s="17">
        <f>32</f>
        <v/>
      </c>
      <c r="Q4314" s="17">
        <f>J4314+L4314+N4314+O4314-P4314-M4314</f>
        <v/>
      </c>
    </row>
    <row r="4315">
      <c r="A4315" s="16" t="inlineStr">
        <is>
          <t>5.29-6.4</t>
        </is>
      </c>
      <c r="B4315" s="16" t="inlineStr">
        <is>
          <t>PO-128-10761572731511809</t>
        </is>
      </c>
      <c r="C4315" s="16" t="inlineStr">
        <is>
          <t>Delivered</t>
        </is>
      </c>
      <c r="D4315" s="16" t="inlineStr">
        <is>
          <t>128-10761530788471809</t>
        </is>
      </c>
      <c r="E4315" s="16" t="inlineStr">
        <is>
          <t>Delivered</t>
        </is>
      </c>
      <c r="F4315" s="16" t="inlineStr">
        <is>
          <t>LB02235-azul</t>
        </is>
      </c>
      <c r="G4315" s="16" t="inlineStr">
        <is>
          <t>Audífonos Inalámbricos para la Cabeza, Recargables y Multifuncionales - Conectan a Varios Dispositivos, soportan Radio FM, Tarjeta TF y AUX - 4 Horas de Reproducción Musical - Ideal para Trabajo Cotidiano, Juegos y Estudio</t>
        </is>
      </c>
      <c r="H4315" s="16" t="inlineStr">
        <is>
          <t>AZUL</t>
        </is>
      </c>
      <c r="I4315" s="16" t="n">
        <v>1</v>
      </c>
      <c r="J4315" s="17" t="n">
        <v>36</v>
      </c>
      <c r="K4315" s="17" t="n">
        <v>39.37</v>
      </c>
      <c r="L4315" s="17" t="n">
        <v>12.82</v>
      </c>
      <c r="M4315" s="17" t="n">
        <v>0</v>
      </c>
      <c r="N4315" s="17">
        <f>K4315*0.08+L4315*0.08</f>
        <v/>
      </c>
      <c r="O4315" s="17">
        <f>-(K4315*0.025+L4315*0.025)</f>
        <v/>
      </c>
      <c r="P4315" s="17">
        <f>32</f>
        <v/>
      </c>
      <c r="Q4315" s="17">
        <f>J4315+L4315+N4315+O4315-P4315-M4315</f>
        <v/>
      </c>
    </row>
    <row r="4316">
      <c r="A4316" s="16" t="inlineStr">
        <is>
          <t>5.29-6.4</t>
        </is>
      </c>
      <c r="B4316" s="16" t="inlineStr">
        <is>
          <t>PO-128-10761572731511809</t>
        </is>
      </c>
      <c r="C4316" s="16" t="inlineStr">
        <is>
          <t>Delivered</t>
        </is>
      </c>
      <c r="D4316" s="16" t="inlineStr">
        <is>
          <t>128-10761488845431809</t>
        </is>
      </c>
      <c r="E4316" s="16" t="inlineStr">
        <is>
          <t>Delivered</t>
        </is>
      </c>
      <c r="F4316" s="16" t="inlineStr">
        <is>
          <t>LB02235-rojo</t>
        </is>
      </c>
      <c r="G4316" s="16" t="inlineStr">
        <is>
          <t>Audífonos Inalámbricos para la Cabeza, Recargables y Multifuncionales - Conectan a Varios Dispositivos, soportan Radio FM, Tarjeta TF y AUX - 4 Horas de Reproducción Musical - Ideal para Trabajo Cotidiano, Juegos y Estudio</t>
        </is>
      </c>
      <c r="H4316" s="16" t="inlineStr">
        <is>
          <t>ROJO</t>
        </is>
      </c>
      <c r="I4316" s="16" t="n">
        <v>1</v>
      </c>
      <c r="J4316" s="17" t="n">
        <v>36.8</v>
      </c>
      <c r="K4316" s="17" t="n">
        <v>40.01</v>
      </c>
      <c r="L4316" s="17" t="n">
        <v>13.04</v>
      </c>
      <c r="M4316" s="17" t="n">
        <v>0</v>
      </c>
      <c r="N4316" s="17">
        <f>K4316*0.08+L4316*0.08</f>
        <v/>
      </c>
      <c r="O4316" s="17">
        <f>-(K4316*0.025+L4316*0.025)</f>
        <v/>
      </c>
      <c r="P4316" s="17">
        <f>32</f>
        <v/>
      </c>
      <c r="Q4316" s="17">
        <f>J4316+L4316+N4316+O4316-P4316-M4316</f>
        <v/>
      </c>
    </row>
    <row r="4317">
      <c r="A4317" s="16" t="inlineStr">
        <is>
          <t>5.29-6.4</t>
        </is>
      </c>
      <c r="B4317" s="16" t="inlineStr">
        <is>
          <t>PO-128-10607129948792921</t>
        </is>
      </c>
      <c r="C4317" s="16" t="inlineStr">
        <is>
          <t>Delivered</t>
        </is>
      </c>
      <c r="D4317" s="16" t="inlineStr">
        <is>
          <t>128-10607088005752921</t>
        </is>
      </c>
      <c r="E4317" s="16" t="inlineStr">
        <is>
          <t>Delivered</t>
        </is>
      </c>
      <c r="F4317" s="16" t="inlineStr">
        <is>
          <t>LB02235-rojo</t>
        </is>
      </c>
      <c r="G4317" s="16" t="inlineStr">
        <is>
          <t>Audífonos Inalámbricos para la Cabeza, Recargables y Multifuncionales - Conectan a Varios Dispositivos, soportan Radio FM, Tarjeta TF y AUX - 4 Horas de Reproducción Musical - Ideal para Trabajo Cotidiano, Juegos y Estudio</t>
        </is>
      </c>
      <c r="H4317" s="16" t="inlineStr">
        <is>
          <t>ROJO</t>
        </is>
      </c>
      <c r="I4317" s="16" t="n">
        <v>1</v>
      </c>
      <c r="J4317" s="17" t="n">
        <v>36.8</v>
      </c>
      <c r="K4317" s="17" t="n">
        <v>49.91</v>
      </c>
      <c r="L4317" s="17" t="n">
        <v>25.86</v>
      </c>
      <c r="M4317" s="17" t="n">
        <v>0</v>
      </c>
      <c r="N4317" s="17">
        <f>K4317*0.08+L4317*0.08</f>
        <v/>
      </c>
      <c r="O4317" s="17">
        <f>-(K4317*0.025+L4317*0.025)</f>
        <v/>
      </c>
      <c r="P4317" s="17">
        <f>32</f>
        <v/>
      </c>
      <c r="Q4317" s="17">
        <f>J4317+L4317+N4317+O4317-P4317-M4317</f>
        <v/>
      </c>
    </row>
    <row r="4318">
      <c r="A4318" s="16" t="inlineStr">
        <is>
          <t>5.29-6.4</t>
        </is>
      </c>
      <c r="B4318" s="16" t="inlineStr">
        <is>
          <t>PO-128-10860808361590321</t>
        </is>
      </c>
      <c r="C4318" s="16" t="inlineStr">
        <is>
          <t>Delivered</t>
        </is>
      </c>
      <c r="D4318" s="16" t="inlineStr">
        <is>
          <t>128-10860850304630321</t>
        </is>
      </c>
      <c r="E4318" s="16" t="inlineStr">
        <is>
          <t>Delivered</t>
        </is>
      </c>
      <c r="F4318" s="16" t="inlineStr">
        <is>
          <t>SA325T</t>
        </is>
      </c>
      <c r="G4318" s="16" t="inlineStr">
        <is>
          <t>Subwoofer Portátil Inalámbrico con Luces RGB, Sonido de Alta Potencia y Batería Duradera, TWS TF USB, Perfecto para Campamento Fiestas y Entretenimiento en Casa</t>
        </is>
      </c>
      <c r="H4318" s="16" t="inlineStr">
        <is>
          <t>NEGRO</t>
        </is>
      </c>
      <c r="I4318" s="16" t="n">
        <v>1</v>
      </c>
      <c r="J4318" s="17" t="n">
        <v>37.99</v>
      </c>
      <c r="K4318" s="17" t="n">
        <v>47.03</v>
      </c>
      <c r="L4318" s="17" t="n">
        <v>25.86</v>
      </c>
      <c r="M4318" s="17" t="n">
        <v>0</v>
      </c>
      <c r="N4318" s="17">
        <f>K4318*0.08+L4318*0.08</f>
        <v/>
      </c>
      <c r="O4318" s="17">
        <f>-(K4318*0.025+L4318*0.025)</f>
        <v/>
      </c>
      <c r="P4318" s="17">
        <f>32</f>
        <v/>
      </c>
      <c r="Q4318" s="17">
        <f>J4318+L4318+N4318+O4318-P4318-M4318</f>
        <v/>
      </c>
    </row>
    <row r="4319">
      <c r="A4319" s="16" t="inlineStr">
        <is>
          <t>5.29-6.4</t>
        </is>
      </c>
      <c r="B4319" s="16" t="inlineStr">
        <is>
          <t>PO-128-10441545692793714</t>
        </is>
      </c>
      <c r="C4319" s="16" t="inlineStr">
        <is>
          <t>Delivered</t>
        </is>
      </c>
      <c r="D4319" s="16" t="inlineStr">
        <is>
          <t>128-10441587635833714</t>
        </is>
      </c>
      <c r="E4319" s="16" t="inlineStr">
        <is>
          <t>Delivered</t>
        </is>
      </c>
      <c r="F4319" s="16" t="inlineStr">
        <is>
          <t>KTS-1678Y</t>
        </is>
      </c>
      <c r="G4319" s="16" t="inlineStr">
        <is>
          <t>Bocina portátil Inalámbrico, de 3 pulgadas, tamaño de bolsillo, 170 g, con asa, compatible con TF, USB y Micro SD, con radio FM y función TWS (True Wireless Stereo), adecuada para relajarse en casa o viajar al aire libre.</t>
        </is>
      </c>
      <c r="H4319" s="16" t="inlineStr">
        <is>
          <t>KTS-1678Y</t>
        </is>
      </c>
      <c r="I4319" s="16" t="n">
        <v>1</v>
      </c>
      <c r="J4319" s="17" t="n">
        <v>42.5</v>
      </c>
      <c r="K4319" s="17" t="n">
        <v>50.78</v>
      </c>
      <c r="L4319" s="17" t="n">
        <v>25.86</v>
      </c>
      <c r="M4319" s="17" t="n">
        <v>0</v>
      </c>
      <c r="N4319" s="17">
        <f>K4319*0.08+L4319*0.08</f>
        <v/>
      </c>
      <c r="O4319" s="17">
        <f>-(K4319*0.025+L4319*0.025)</f>
        <v/>
      </c>
      <c r="P4319" s="17">
        <f>32</f>
        <v/>
      </c>
      <c r="Q4319" s="17">
        <f>J4319+L4319+N4319+O4319-P4319-M4319</f>
        <v/>
      </c>
    </row>
    <row r="4320">
      <c r="A4320" s="16" t="inlineStr">
        <is>
          <t>5.29-6.4</t>
        </is>
      </c>
      <c r="B4320" s="16" t="inlineStr">
        <is>
          <t>PO-128-10383720407673165</t>
        </is>
      </c>
      <c r="C4320" s="16" t="inlineStr">
        <is>
          <t>Delivered</t>
        </is>
      </c>
      <c r="D4320" s="16" t="inlineStr">
        <is>
          <t>128-10383746622073165</t>
        </is>
      </c>
      <c r="E4320" s="16" t="inlineStr">
        <is>
          <t>Delivered</t>
        </is>
      </c>
      <c r="F4320" s="16" t="inlineStr">
        <is>
          <t>LB02235-azul</t>
        </is>
      </c>
      <c r="G4320" s="16" t="inlineStr">
        <is>
          <t>Audífonos Inalámbricos para la Cabeza, Recargables y Multifuncionales - Conectan a Varios Dispositivos, soportan Radio FM, Tarjeta TF y AUX - 4 Horas de Reproducción Musical - Ideal para Trabajo Cotidiano, Juegos y Estudio</t>
        </is>
      </c>
      <c r="H4320" s="16" t="inlineStr">
        <is>
          <t>AZUL</t>
        </is>
      </c>
      <c r="I4320" s="16" t="n">
        <v>1</v>
      </c>
      <c r="J4320" s="17" t="n">
        <v>36</v>
      </c>
      <c r="K4320" s="17" t="n">
        <v>49.11</v>
      </c>
      <c r="L4320" s="17" t="n">
        <v>25.86</v>
      </c>
      <c r="M4320" s="17" t="n">
        <v>0</v>
      </c>
      <c r="N4320" s="17">
        <f>K4320*0.08+L4320*0.08</f>
        <v/>
      </c>
      <c r="O4320" s="17">
        <f>-(K4320*0.025+L4320*0.025)</f>
        <v/>
      </c>
      <c r="P4320" s="17">
        <f>32</f>
        <v/>
      </c>
      <c r="Q4320" s="17">
        <f>J4320+L4320+N4320+O4320-P4320-M4320</f>
        <v/>
      </c>
    </row>
    <row r="4321">
      <c r="A4321" s="16" t="inlineStr">
        <is>
          <t>5.29-6.4</t>
        </is>
      </c>
      <c r="B4321" s="16" t="inlineStr">
        <is>
          <t>PO-128-10767695831671834</t>
        </is>
      </c>
      <c r="C4321" s="16" t="inlineStr">
        <is>
          <t>Delivered</t>
        </is>
      </c>
      <c r="D4321" s="16" t="inlineStr">
        <is>
          <t>128-10767653888631834</t>
        </is>
      </c>
      <c r="E4321" s="16" t="inlineStr">
        <is>
          <t>Delivered</t>
        </is>
      </c>
      <c r="F4321" s="16" t="inlineStr">
        <is>
          <t>LB02235-azul</t>
        </is>
      </c>
      <c r="G4321" s="16" t="inlineStr">
        <is>
          <t>Audífonos Inalámbricos para la Cabeza, Recargables y Multifuncionales - Conectan a Varios Dispositivos, soportan Radio FM, Tarjeta TF y AUX - 4 Horas de Reproducción Musical - Ideal para Trabajo Cotidiano, Juegos y Estudio</t>
        </is>
      </c>
      <c r="H4321" s="16" t="inlineStr">
        <is>
          <t>AZUL</t>
        </is>
      </c>
      <c r="I4321" s="16" t="n">
        <v>1</v>
      </c>
      <c r="J4321" s="17" t="n">
        <v>36</v>
      </c>
      <c r="K4321" s="17" t="n">
        <v>49.11</v>
      </c>
      <c r="L4321" s="17" t="n">
        <v>25.86</v>
      </c>
      <c r="M4321" s="17" t="n">
        <v>0</v>
      </c>
      <c r="N4321" s="17">
        <f>K4321*0.08+L4321*0.08</f>
        <v/>
      </c>
      <c r="O4321" s="17">
        <f>-(K4321*0.025+L4321*0.025)</f>
        <v/>
      </c>
      <c r="P4321" s="17">
        <f>32</f>
        <v/>
      </c>
      <c r="Q4321" s="17">
        <f>J4321+L4321+N4321+O4321-P4321-M4321</f>
        <v/>
      </c>
    </row>
    <row r="4322">
      <c r="A4322" s="16" t="inlineStr">
        <is>
          <t>5.29-6.4</t>
        </is>
      </c>
      <c r="B4322" s="16" t="inlineStr">
        <is>
          <t>PO-128-10785115966071666</t>
        </is>
      </c>
      <c r="C4322" s="16" t="inlineStr">
        <is>
          <t>Delivered</t>
        </is>
      </c>
      <c r="D4322" s="16" t="inlineStr">
        <is>
          <t>128-10785121208951666</t>
        </is>
      </c>
      <c r="E4322" s="16" t="inlineStr">
        <is>
          <t>Delivered</t>
        </is>
      </c>
      <c r="F4322" s="16" t="inlineStr">
        <is>
          <t>LB02235-rojo</t>
        </is>
      </c>
      <c r="G4322" s="16" t="inlineStr">
        <is>
          <t>Audífonos Inalámbricos para la Cabeza, Recargables y Multifuncionales - Conectan a Varios Dispositivos, soportan Radio FM, Tarjeta TF y AUX - 4 Horas de Reproducción Musical - Ideal para Trabajo Cotidiano, Juegos y Estudio</t>
        </is>
      </c>
      <c r="H4322" s="16" t="inlineStr">
        <is>
          <t>ROJO</t>
        </is>
      </c>
      <c r="I4322" s="16" t="n">
        <v>1</v>
      </c>
      <c r="J4322" s="17" t="n">
        <v>36.8</v>
      </c>
      <c r="K4322" s="17" t="n">
        <v>49.91</v>
      </c>
      <c r="L4322" s="17" t="n">
        <v>25.86</v>
      </c>
      <c r="M4322" s="17" t="n">
        <v>0</v>
      </c>
      <c r="N4322" s="17">
        <f>K4322*0.08+L4322*0.08</f>
        <v/>
      </c>
      <c r="O4322" s="17">
        <f>-(K4322*0.025+L4322*0.025)</f>
        <v/>
      </c>
      <c r="P4322" s="17">
        <f>32</f>
        <v/>
      </c>
      <c r="Q4322" s="17">
        <f>J4322+L4322+N4322+O4322-P4322-M4322</f>
        <v/>
      </c>
    </row>
    <row r="4323">
      <c r="A4323" s="16" t="inlineStr">
        <is>
          <t>5.29-6.4</t>
        </is>
      </c>
      <c r="B4323" s="16" t="inlineStr">
        <is>
          <t>PO-128-10626270029432807</t>
        </is>
      </c>
      <c r="C4323" s="16" t="inlineStr">
        <is>
          <t>Delivered</t>
        </is>
      </c>
      <c r="D4323" s="16" t="inlineStr">
        <is>
          <t>128-10626330977912807</t>
        </is>
      </c>
      <c r="E4323" s="16" t="inlineStr">
        <is>
          <t>Delivered</t>
        </is>
      </c>
      <c r="F4323" s="16" t="inlineStr">
        <is>
          <t>LB02235-azul</t>
        </is>
      </c>
      <c r="G4323" s="16" t="inlineStr">
        <is>
          <t>Audífonos Inalámbricos para la Cabeza, Recargables y Multifuncionales - Conectan a Varios Dispositivos, soportan Radio FM, Tarjeta TF y AUX - 4 Horas de Reproducción Musical - Ideal para Trabajo Cotidiano, Juegos y Estudio</t>
        </is>
      </c>
      <c r="H4323" s="16" t="inlineStr">
        <is>
          <t>AZUL</t>
        </is>
      </c>
      <c r="I4323" s="16" t="n">
        <v>1</v>
      </c>
      <c r="J4323" s="17" t="n">
        <v>36</v>
      </c>
      <c r="K4323" s="17" t="n">
        <v>49.11</v>
      </c>
      <c r="L4323" s="17" t="n">
        <v>12.82</v>
      </c>
      <c r="M4323" s="17" t="n">
        <v>0</v>
      </c>
      <c r="N4323" s="17">
        <f>K4323*0.08+L4323*0.08</f>
        <v/>
      </c>
      <c r="O4323" s="17">
        <f>-(K4323*0.025+L4323*0.025)</f>
        <v/>
      </c>
      <c r="P4323" s="17">
        <f>32</f>
        <v/>
      </c>
      <c r="Q4323" s="17">
        <f>J4323+L4323+N4323+O4323-P4323-M4323</f>
        <v/>
      </c>
    </row>
    <row r="4324">
      <c r="A4324" s="16" t="inlineStr">
        <is>
          <t>5.29-6.4</t>
        </is>
      </c>
      <c r="B4324" s="16" t="inlineStr">
        <is>
          <t>PO-128-10626270029432807</t>
        </is>
      </c>
      <c r="C4324" s="16" t="inlineStr">
        <is>
          <t>Delivered</t>
        </is>
      </c>
      <c r="D4324" s="16" t="inlineStr">
        <is>
          <t>128-10626351949432807</t>
        </is>
      </c>
      <c r="E4324" s="16" t="inlineStr">
        <is>
          <t>Delivered</t>
        </is>
      </c>
      <c r="F4324" s="16" t="inlineStr">
        <is>
          <t>LB02235-negro</t>
        </is>
      </c>
      <c r="G4324" s="16" t="inlineStr">
        <is>
          <t>Audífonos Inalámbricos para la Cabeza, Recargables y Multifuncionales - Conectan a Varios Dispositivos, soportan Radio FM, Tarjeta TF y AUX - 4 Horas de Reproducción Musical - Ideal para Trabajo Cotidiano, Juegos y Estudio</t>
        </is>
      </c>
      <c r="H4324" s="16" t="inlineStr">
        <is>
          <t>NEGRO</t>
        </is>
      </c>
      <c r="I4324" s="16" t="n">
        <v>1</v>
      </c>
      <c r="J4324" s="17" t="n">
        <v>36.8</v>
      </c>
      <c r="K4324" s="17" t="n">
        <v>49.91</v>
      </c>
      <c r="L4324" s="17" t="n">
        <v>13.04</v>
      </c>
      <c r="M4324" s="17" t="n">
        <v>0</v>
      </c>
      <c r="N4324" s="17">
        <f>K4324*0.08+L4324*0.08</f>
        <v/>
      </c>
      <c r="O4324" s="17">
        <f>-(K4324*0.025+L4324*0.025)</f>
        <v/>
      </c>
      <c r="P4324" s="17">
        <f>32</f>
        <v/>
      </c>
      <c r="Q4324" s="17">
        <f>J4324+L4324+N4324+O4324-P4324-M4324</f>
        <v/>
      </c>
    </row>
    <row r="4325">
      <c r="A4325" s="16" t="inlineStr">
        <is>
          <t>5.29-6.4</t>
        </is>
      </c>
      <c r="B4325" s="16" t="inlineStr">
        <is>
          <t>PO-128-10591980626552819</t>
        </is>
      </c>
      <c r="C4325" s="16" t="inlineStr">
        <is>
          <t>Delivered</t>
        </is>
      </c>
      <c r="D4325" s="16" t="inlineStr">
        <is>
          <t>128-10591991112312819</t>
        </is>
      </c>
      <c r="E4325" s="16" t="inlineStr">
        <is>
          <t>Delivered</t>
        </is>
      </c>
      <c r="F4325" s="16" t="inlineStr">
        <is>
          <t>SA325T</t>
        </is>
      </c>
      <c r="G4325" s="16" t="inlineStr">
        <is>
          <t>Subwoofer Portátil Inalámbrico con Luces RGB, Sonido de Alta Potencia y Batería Duradera, TWS TF USB, Perfecto para Campamento Fiestas y Entretenimiento en Casa</t>
        </is>
      </c>
      <c r="H4325" s="16" t="inlineStr">
        <is>
          <t>NEGRO</t>
        </is>
      </c>
      <c r="I4325" s="16" t="n">
        <v>1</v>
      </c>
      <c r="J4325" s="17" t="n">
        <v>37.99</v>
      </c>
      <c r="K4325" s="17" t="n">
        <v>47.03</v>
      </c>
      <c r="L4325" s="17" t="n">
        <v>25.86</v>
      </c>
      <c r="M4325" s="17" t="n">
        <v>0</v>
      </c>
      <c r="N4325" s="17">
        <f>K4325*0.08+L4325*0.08</f>
        <v/>
      </c>
      <c r="O4325" s="17">
        <f>-(K4325*0.025+L4325*0.025)</f>
        <v/>
      </c>
      <c r="P4325" s="17">
        <f>32</f>
        <v/>
      </c>
      <c r="Q4325" s="17">
        <f>J4325+L4325+N4325+O4325-P4325-M4325</f>
        <v/>
      </c>
    </row>
    <row r="4326">
      <c r="A4326" s="16" t="inlineStr">
        <is>
          <t>5.29-6.4</t>
        </is>
      </c>
      <c r="B4326" s="16" t="inlineStr">
        <is>
          <t>PO-128-10615337902712742</t>
        </is>
      </c>
      <c r="C4326" s="16" t="inlineStr">
        <is>
          <t>Delivered</t>
        </is>
      </c>
      <c r="D4326" s="16" t="inlineStr">
        <is>
          <t>128-10615379845752742</t>
        </is>
      </c>
      <c r="E4326" s="16" t="inlineStr">
        <is>
          <t>Delivered</t>
        </is>
      </c>
      <c r="F4326" s="16" t="inlineStr">
        <is>
          <t>SA325T</t>
        </is>
      </c>
      <c r="G4326" s="16" t="inlineStr">
        <is>
          <t>Subwoofer Portátil Inalámbrico con Luces RGB, Sonido de Alta Potencia y Batería Duradera, TWS TF USB, Perfecto para Campamento Fiestas y Entretenimiento en Casa</t>
        </is>
      </c>
      <c r="H4326" s="16" t="inlineStr">
        <is>
          <t>NEGRO</t>
        </is>
      </c>
      <c r="I4326" s="16" t="n">
        <v>1</v>
      </c>
      <c r="J4326" s="17" t="n">
        <v>37.99</v>
      </c>
      <c r="K4326" s="17" t="n">
        <v>3.93</v>
      </c>
      <c r="L4326" s="17" t="n">
        <v>25.86</v>
      </c>
      <c r="M4326" s="17" t="n">
        <v>0</v>
      </c>
      <c r="N4326" s="17">
        <f>K4326*0.08+L4326*0.08</f>
        <v/>
      </c>
      <c r="O4326" s="17">
        <f>-(K4326*0.025+L4326*0.025)</f>
        <v/>
      </c>
      <c r="P4326" s="17">
        <f>32</f>
        <v/>
      </c>
      <c r="Q4326" s="17">
        <f>J4326+L4326+N4326+O4326-P4326-M4326</f>
        <v/>
      </c>
    </row>
    <row r="4327">
      <c r="A4327" s="16" t="inlineStr">
        <is>
          <t>5.29-6.4</t>
        </is>
      </c>
      <c r="B4327" s="16" t="inlineStr">
        <is>
          <t>PO-128-10956523960950647</t>
        </is>
      </c>
      <c r="C4327" s="16" t="inlineStr">
        <is>
          <t>Delivered</t>
        </is>
      </c>
      <c r="D4327" s="16" t="inlineStr">
        <is>
          <t>128-10956482017910647</t>
        </is>
      </c>
      <c r="E4327" s="16" t="inlineStr">
        <is>
          <t>Delivered</t>
        </is>
      </c>
      <c r="F4327" s="16" t="inlineStr">
        <is>
          <t>LV34W04</t>
        </is>
      </c>
      <c r="G4327"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327" s="16" t="inlineStr">
        <is>
          <t>LV34W04</t>
        </is>
      </c>
      <c r="I4327" s="16" t="n">
        <v>1</v>
      </c>
      <c r="J4327" s="17" t="n">
        <v>279</v>
      </c>
      <c r="K4327" s="17" t="n">
        <v>306.34</v>
      </c>
      <c r="L4327" s="17" t="n">
        <v>0</v>
      </c>
      <c r="M4327" s="17" t="n">
        <v>0</v>
      </c>
      <c r="N4327" s="17">
        <f>K4327*0.08+L4327*0.08</f>
        <v/>
      </c>
      <c r="O4327" s="17">
        <f>-(K4327*0.025+L4327*0.025)</f>
        <v/>
      </c>
      <c r="P4327" s="17">
        <f>32</f>
        <v/>
      </c>
      <c r="Q4327" s="17">
        <f>J4327+L4327+N4327+O4327-P4327-M4327</f>
        <v/>
      </c>
    </row>
    <row r="4328">
      <c r="A4328" s="16" t="inlineStr">
        <is>
          <t>5.29-6.4</t>
        </is>
      </c>
      <c r="B4328" s="16" t="inlineStr">
        <is>
          <t>PO-128-10410277878394092</t>
        </is>
      </c>
      <c r="C4328" s="16" t="inlineStr">
        <is>
          <t>Delivered</t>
        </is>
      </c>
      <c r="D4328" s="16" t="inlineStr">
        <is>
          <t>128-10410288364154092</t>
        </is>
      </c>
      <c r="E4328" s="16" t="inlineStr">
        <is>
          <t>Delivered</t>
        </is>
      </c>
      <c r="F4328" s="16" t="inlineStr">
        <is>
          <t>SA325T</t>
        </is>
      </c>
      <c r="G4328" s="16" t="inlineStr">
        <is>
          <t>Subwoofer Portátil Inalámbrico con Luces RGB, Sonido de Alta Potencia y Batería Duradera, TWS TF USB, Perfecto para Campamento Fiestas y Entretenimiento en Casa</t>
        </is>
      </c>
      <c r="H4328" s="16" t="inlineStr">
        <is>
          <t>NEGRO</t>
        </is>
      </c>
      <c r="I4328" s="16" t="n">
        <v>1</v>
      </c>
      <c r="J4328" s="17" t="n">
        <v>37.99</v>
      </c>
      <c r="K4328" s="17" t="n">
        <v>41.17</v>
      </c>
      <c r="L4328" s="17" t="n">
        <v>25.86</v>
      </c>
      <c r="M4328" s="17" t="n">
        <v>0</v>
      </c>
      <c r="N4328" s="17">
        <f>K4328*0.08+L4328*0.08</f>
        <v/>
      </c>
      <c r="O4328" s="17">
        <f>-(K4328*0.025+L4328*0.025)</f>
        <v/>
      </c>
      <c r="P4328" s="17">
        <f>32</f>
        <v/>
      </c>
      <c r="Q4328" s="17">
        <f>J4328+L4328+N4328+O4328-P4328-M4328</f>
        <v/>
      </c>
    </row>
    <row r="4329">
      <c r="A4329" s="16" t="inlineStr">
        <is>
          <t>5.29-6.4</t>
        </is>
      </c>
      <c r="B4329" s="16" t="inlineStr">
        <is>
          <t>PO-128-10464788583033641</t>
        </is>
      </c>
      <c r="C4329" s="16" t="inlineStr">
        <is>
          <t>Delivered</t>
        </is>
      </c>
      <c r="D4329" s="16" t="inlineStr">
        <is>
          <t>128-10464819794553641</t>
        </is>
      </c>
      <c r="E4329" s="16" t="inlineStr">
        <is>
          <t>Delivered</t>
        </is>
      </c>
      <c r="F4329" s="16" t="inlineStr">
        <is>
          <t>HD005</t>
        </is>
      </c>
      <c r="G4329" s="16" t="inlineStr">
        <is>
          <t>Link bits HD005 Antena UHF para Exteriores, Antena de TV Digital HD con 10 Metros de Cable, Recepción 470-862MHz, 9-7dB de Ganancia, Antena para Canales Abiertos y HD, Resistente al Agua y Viento, Fácil Instalación</t>
        </is>
      </c>
      <c r="H4329" s="16" t="inlineStr">
        <is>
          <t>1</t>
        </is>
      </c>
      <c r="I4329" s="16" t="n">
        <v>1</v>
      </c>
      <c r="J4329" s="17" t="n">
        <v>75</v>
      </c>
      <c r="K4329" s="17" t="n">
        <v>92.66</v>
      </c>
      <c r="L4329" s="17" t="n">
        <v>25.86</v>
      </c>
      <c r="M4329" s="17" t="n">
        <v>0</v>
      </c>
      <c r="N4329" s="17">
        <f>K4329*0.08+L4329*0.08</f>
        <v/>
      </c>
      <c r="O4329" s="17">
        <f>-(K4329*0.025+L4329*0.025)</f>
        <v/>
      </c>
      <c r="P4329" s="17">
        <f>32</f>
        <v/>
      </c>
      <c r="Q4329" s="17">
        <f>J4329+L4329+N4329+O4329-P4329-M4329</f>
        <v/>
      </c>
    </row>
    <row r="4330">
      <c r="A4330" s="16" t="inlineStr">
        <is>
          <t>5.29-6.4</t>
        </is>
      </c>
      <c r="B4330" s="16" t="inlineStr">
        <is>
          <t>PO-128-10325276964473577</t>
        </is>
      </c>
      <c r="C4330" s="16" t="inlineStr">
        <is>
          <t>Delivered</t>
        </is>
      </c>
      <c r="D4330" s="16" t="inlineStr">
        <is>
          <t>128-10325255992953577</t>
        </is>
      </c>
      <c r="E4330" s="16" t="inlineStr">
        <is>
          <t>Delivered</t>
        </is>
      </c>
      <c r="F4330" s="16" t="inlineStr">
        <is>
          <t>SA8056T</t>
        </is>
      </c>
      <c r="G433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330" s="16" t="inlineStr">
        <is>
          <t>SA8056T</t>
        </is>
      </c>
      <c r="I4330" s="16" t="n">
        <v>1</v>
      </c>
      <c r="J4330" s="17" t="n">
        <v>123.9</v>
      </c>
      <c r="K4330" s="17" t="n">
        <v>115.43</v>
      </c>
      <c r="L4330" s="17" t="n">
        <v>25.86</v>
      </c>
      <c r="M4330" s="17" t="n">
        <v>0</v>
      </c>
      <c r="N4330" s="17">
        <f>K4330*0.08+L4330*0.08</f>
        <v/>
      </c>
      <c r="O4330" s="17">
        <f>-(K4330*0.025+L4330*0.025)</f>
        <v/>
      </c>
      <c r="P4330" s="17">
        <f>32</f>
        <v/>
      </c>
      <c r="Q4330" s="17">
        <f>J4330+L4330+N4330+O4330-P4330-M4330</f>
        <v/>
      </c>
    </row>
    <row r="4331">
      <c r="A4331" s="16" t="inlineStr">
        <is>
          <t>5.29-6.4</t>
        </is>
      </c>
      <c r="B4331" s="16" t="inlineStr">
        <is>
          <t>PO-128-10584247460473057</t>
        </is>
      </c>
      <c r="C4331" s="16" t="inlineStr">
        <is>
          <t>Delivered</t>
        </is>
      </c>
      <c r="D4331" s="16" t="inlineStr">
        <is>
          <t>128-10584260567673057</t>
        </is>
      </c>
      <c r="E4331" s="16" t="inlineStr">
        <is>
          <t>Delivered</t>
        </is>
      </c>
      <c r="F4331" s="16" t="inlineStr">
        <is>
          <t>SA323T</t>
        </is>
      </c>
      <c r="G4331" s="16" t="inlineStr">
        <is>
          <t>Linkbits Bocina Portátil Parlantes BT Portátiles con Iluminación de Ambiente | 1 Hora de Duración, FM, TWS, TF/Micro SD | Ideal para Hogar, Fiestas y Viajes</t>
        </is>
      </c>
      <c r="H4331" s="16" t="inlineStr">
        <is>
          <t>SA323T</t>
        </is>
      </c>
      <c r="I4331" s="16" t="n">
        <v>1</v>
      </c>
      <c r="J4331" s="17" t="n">
        <v>46.7</v>
      </c>
      <c r="K4331" s="17" t="n">
        <v>55.76</v>
      </c>
      <c r="L4331" s="17" t="n">
        <v>25.86</v>
      </c>
      <c r="M4331" s="17" t="n">
        <v>0</v>
      </c>
      <c r="N4331" s="17">
        <f>K4331*0.08+L4331*0.08</f>
        <v/>
      </c>
      <c r="O4331" s="17">
        <f>-(K4331*0.025+L4331*0.025)</f>
        <v/>
      </c>
      <c r="P4331" s="17">
        <f>32</f>
        <v/>
      </c>
      <c r="Q4331" s="17">
        <f>J4331+L4331+N4331+O4331-P4331-M4331</f>
        <v/>
      </c>
    </row>
    <row r="4332">
      <c r="A4332" s="16" t="inlineStr">
        <is>
          <t>5.29-6.4</t>
        </is>
      </c>
      <c r="B4332" s="16" t="inlineStr">
        <is>
          <t>PO-128-10951644519030866</t>
        </is>
      </c>
      <c r="C4332" s="16" t="inlineStr">
        <is>
          <t>Delivered</t>
        </is>
      </c>
      <c r="D4332" s="16" t="inlineStr">
        <is>
          <t>128-10951623547510866</t>
        </is>
      </c>
      <c r="E4332" s="16" t="inlineStr">
        <is>
          <t>Delivered</t>
        </is>
      </c>
      <c r="F4332" s="16" t="inlineStr">
        <is>
          <t>MCM-001R</t>
        </is>
      </c>
      <c r="G4332" s="16" t="inlineStr">
        <is>
          <t>Musicord Altavoz Inalámbrico BT Portátil: ¡Sonido impactante, luces LED multicolores y 4 horas de autonomía! Compatible con TWS, FM, TF y USB – Imprescindible para fiestas y viajes</t>
        </is>
      </c>
      <c r="H4332" s="16" t="inlineStr">
        <is>
          <t>ROJO</t>
        </is>
      </c>
      <c r="I4332" s="16" t="n">
        <v>1</v>
      </c>
      <c r="J4332" s="17" t="n">
        <v>66.5</v>
      </c>
      <c r="K4332" s="17" t="n">
        <v>74.29000000000001</v>
      </c>
      <c r="L4332" s="17" t="n">
        <v>25.86</v>
      </c>
      <c r="M4332" s="17" t="n">
        <v>0</v>
      </c>
      <c r="N4332" s="17">
        <f>K4332*0.08+L4332*0.08</f>
        <v/>
      </c>
      <c r="O4332" s="17">
        <f>-(K4332*0.025+L4332*0.025)</f>
        <v/>
      </c>
      <c r="P4332" s="17">
        <f>32</f>
        <v/>
      </c>
      <c r="Q4332" s="17">
        <f>J4332+L4332+N4332+O4332-P4332-M4332</f>
        <v/>
      </c>
    </row>
    <row r="4333">
      <c r="A4333" s="16" t="inlineStr">
        <is>
          <t>5.29-6.4</t>
        </is>
      </c>
      <c r="B4333" s="16" t="inlineStr">
        <is>
          <t>PO-128-10553061750392091</t>
        </is>
      </c>
      <c r="C4333" s="16" t="inlineStr">
        <is>
          <t>Delivered</t>
        </is>
      </c>
      <c r="D4333" s="16" t="inlineStr">
        <is>
          <t>128-10553166607992091</t>
        </is>
      </c>
      <c r="E4333" s="16" t="inlineStr">
        <is>
          <t>Delivered</t>
        </is>
      </c>
      <c r="F4333" s="16" t="inlineStr">
        <is>
          <t>VA880T</t>
        </is>
      </c>
      <c r="G4333"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333" s="16" t="inlineStr">
        <is>
          <t>1 pieza</t>
        </is>
      </c>
      <c r="I4333" s="16" t="n">
        <v>1</v>
      </c>
      <c r="J4333" s="17" t="n">
        <v>114.98</v>
      </c>
      <c r="K4333" s="17" t="n">
        <v>127.27</v>
      </c>
      <c r="L4333" s="17" t="n">
        <v>25.86</v>
      </c>
      <c r="M4333" s="17" t="n">
        <v>0</v>
      </c>
      <c r="N4333" s="17">
        <f>K4333*0.08+L4333*0.08</f>
        <v/>
      </c>
      <c r="O4333" s="17">
        <f>-(K4333*0.025+L4333*0.025)</f>
        <v/>
      </c>
      <c r="P4333" s="17">
        <f>32</f>
        <v/>
      </c>
      <c r="Q4333" s="17">
        <f>J4333+L4333+N4333+O4333-P4333-M4333</f>
        <v/>
      </c>
    </row>
    <row r="4334">
      <c r="A4334" s="16" t="inlineStr">
        <is>
          <t>5.29-6.4</t>
        </is>
      </c>
      <c r="B4334" s="16" t="inlineStr">
        <is>
          <t>PO-128-10472415498873658</t>
        </is>
      </c>
      <c r="C4334" s="16" t="inlineStr">
        <is>
          <t>Delivered</t>
        </is>
      </c>
      <c r="D4334" s="16" t="inlineStr">
        <is>
          <t>128-10472478413433658</t>
        </is>
      </c>
      <c r="E4334" s="16" t="inlineStr">
        <is>
          <t>Delivered</t>
        </is>
      </c>
      <c r="F4334" s="16" t="inlineStr">
        <is>
          <t>LB02235-negro</t>
        </is>
      </c>
      <c r="G4334" s="16" t="inlineStr">
        <is>
          <t>Audífonos Inalámbricos para la Cabeza, Recargables y Multifuncionales - Conectan a Varios Dispositivos, soportan Radio FM, Tarjeta TF y AUX - 4 Horas de Reproducción Musical - Ideal para Trabajo Cotidiano, Juegos y Estudio</t>
        </is>
      </c>
      <c r="H4334" s="16" t="inlineStr">
        <is>
          <t>NEGRO</t>
        </is>
      </c>
      <c r="I4334" s="16" t="n">
        <v>1</v>
      </c>
      <c r="J4334" s="17" t="n">
        <v>36.8</v>
      </c>
      <c r="K4334" s="17" t="n">
        <v>40.5</v>
      </c>
      <c r="L4334" s="17" t="n">
        <v>12.93</v>
      </c>
      <c r="M4334" s="17" t="n">
        <v>0</v>
      </c>
      <c r="N4334" s="17">
        <f>K4334*0.08+L4334*0.08</f>
        <v/>
      </c>
      <c r="O4334" s="17">
        <f>-(K4334*0.025+L4334*0.025)</f>
        <v/>
      </c>
      <c r="P4334" s="17">
        <f>32</f>
        <v/>
      </c>
      <c r="Q4334" s="17">
        <f>J4334+L4334+N4334+O4334-P4334-M4334</f>
        <v/>
      </c>
    </row>
    <row r="4335">
      <c r="A4335" s="16" t="inlineStr">
        <is>
          <t>5.29-6.4</t>
        </is>
      </c>
      <c r="B4335" s="16" t="inlineStr">
        <is>
          <t>PO-128-10472415498873658</t>
        </is>
      </c>
      <c r="C4335" s="16" t="inlineStr">
        <is>
          <t>Delivered</t>
        </is>
      </c>
      <c r="D4335" s="16" t="inlineStr">
        <is>
          <t>128-10472467927673658</t>
        </is>
      </c>
      <c r="E4335" s="16" t="inlineStr">
        <is>
          <t>Delivered</t>
        </is>
      </c>
      <c r="F4335" s="16" t="inlineStr">
        <is>
          <t>LB02235-blanco</t>
        </is>
      </c>
      <c r="G4335" s="16" t="inlineStr">
        <is>
          <t>Audífonos Inalámbricos para la Cabeza, Recargables y Multifuncionales - Conectan a Varios Dispositivos, soportan Radio FM, Tarjeta TF y AUX - 4 Horas de Reproducción Musical - Ideal para Trabajo Cotidiano, Juegos y Estudio</t>
        </is>
      </c>
      <c r="H4335" s="16" t="inlineStr">
        <is>
          <t>BLANCO</t>
        </is>
      </c>
      <c r="I4335" s="16" t="n">
        <v>1</v>
      </c>
      <c r="J4335" s="17" t="n">
        <v>36.8</v>
      </c>
      <c r="K4335" s="17" t="n">
        <v>40.5</v>
      </c>
      <c r="L4335" s="17" t="n">
        <v>12.93</v>
      </c>
      <c r="M4335" s="17" t="n">
        <v>0</v>
      </c>
      <c r="N4335" s="17">
        <f>K4335*0.08+L4335*0.08</f>
        <v/>
      </c>
      <c r="O4335" s="17">
        <f>-(K4335*0.025+L4335*0.025)</f>
        <v/>
      </c>
      <c r="P4335" s="17">
        <f>32</f>
        <v/>
      </c>
      <c r="Q4335" s="17">
        <f>J4335+L4335+N4335+O4335-P4335-M4335</f>
        <v/>
      </c>
    </row>
    <row r="4336">
      <c r="A4336" s="16" t="inlineStr">
        <is>
          <t>5.29-6.4</t>
        </is>
      </c>
      <c r="B4336" s="16" t="inlineStr">
        <is>
          <t>PO-128-10309554857593479</t>
        </is>
      </c>
      <c r="C4336" s="16" t="inlineStr">
        <is>
          <t>Delivered</t>
        </is>
      </c>
      <c r="D4336" s="16" t="inlineStr">
        <is>
          <t>128-10309468350073479</t>
        </is>
      </c>
      <c r="E4336" s="16" t="inlineStr">
        <is>
          <t>Delivered</t>
        </is>
      </c>
      <c r="F4336" s="16" t="inlineStr">
        <is>
          <t>LB02235-rojo</t>
        </is>
      </c>
      <c r="G4336" s="16" t="inlineStr">
        <is>
          <t>Audífonos Inalámbricos para la Cabeza, Recargables y Multifuncionales - Conectan a Varios Dispositivos, soportan Radio FM, Tarjeta TF y AUX - 4 Horas de Reproducción Musical - Ideal para Trabajo Cotidiano, Juegos y Estudio</t>
        </is>
      </c>
      <c r="H4336" s="16" t="inlineStr">
        <is>
          <t>ROJO</t>
        </is>
      </c>
      <c r="I4336" s="16" t="n">
        <v>1</v>
      </c>
      <c r="J4336" s="17" t="n">
        <v>36.8</v>
      </c>
      <c r="K4336" s="17" t="n">
        <v>49.91</v>
      </c>
      <c r="L4336" s="17" t="n">
        <v>6.41</v>
      </c>
      <c r="M4336" s="17" t="n">
        <v>0</v>
      </c>
      <c r="N4336" s="17">
        <f>K4336*0.08+L4336*0.08</f>
        <v/>
      </c>
      <c r="O4336" s="17">
        <f>-(K4336*0.025+L4336*0.025)</f>
        <v/>
      </c>
      <c r="P4336" s="17">
        <f>32</f>
        <v/>
      </c>
      <c r="Q4336" s="17">
        <f>J4336+L4336+N4336+O4336-P4336-M4336</f>
        <v/>
      </c>
    </row>
    <row r="4337">
      <c r="A4337" s="16" t="inlineStr">
        <is>
          <t>5.29-6.4</t>
        </is>
      </c>
      <c r="B4337" s="16" t="inlineStr">
        <is>
          <t>PO-128-10309554857593479</t>
        </is>
      </c>
      <c r="C4337" s="16" t="inlineStr">
        <is>
          <t>Delivered</t>
        </is>
      </c>
      <c r="D4337" s="16" t="inlineStr">
        <is>
          <t>128-10309481457273479</t>
        </is>
      </c>
      <c r="E4337" s="16" t="inlineStr">
        <is>
          <t>Delivered</t>
        </is>
      </c>
      <c r="F4337" s="16" t="inlineStr">
        <is>
          <t>KTS-1678V</t>
        </is>
      </c>
      <c r="G4337" s="16" t="inlineStr">
        <is>
          <t>Bocina portátil Inalámbrico, de 3 pulgadas, tamaño de bolsillo, 170 g, con asa, compatible con TF, USB y Micro SD, con radio FM y función TWS (True Wireless Stereo), adecuada para relajarse en casa o viajar al aire libre.</t>
        </is>
      </c>
      <c r="H4337" s="16" t="inlineStr">
        <is>
          <t>KTS-1678V</t>
        </is>
      </c>
      <c r="I4337" s="16" t="n">
        <v>1</v>
      </c>
      <c r="J4337" s="17" t="n">
        <v>42.5</v>
      </c>
      <c r="K4337" s="17" t="n">
        <v>50.78</v>
      </c>
      <c r="L4337" s="17" t="n">
        <v>6.53</v>
      </c>
      <c r="M4337" s="17" t="n">
        <v>0</v>
      </c>
      <c r="N4337" s="17">
        <f>K4337*0.08+L4337*0.08</f>
        <v/>
      </c>
      <c r="O4337" s="17">
        <f>-(K4337*0.025+L4337*0.025)</f>
        <v/>
      </c>
      <c r="P4337" s="17">
        <f>32</f>
        <v/>
      </c>
      <c r="Q4337" s="17">
        <f>J4337+L4337+N4337+O4337-P4337-M4337</f>
        <v/>
      </c>
    </row>
    <row r="4338">
      <c r="A4338" s="16" t="inlineStr">
        <is>
          <t>5.29-6.4</t>
        </is>
      </c>
      <c r="B4338" s="16" t="inlineStr">
        <is>
          <t>PO-128-10309554857593479</t>
        </is>
      </c>
      <c r="C4338" s="16" t="inlineStr">
        <is>
          <t>Delivered</t>
        </is>
      </c>
      <c r="D4338" s="16" t="inlineStr">
        <is>
          <t>128-10309465728633479</t>
        </is>
      </c>
      <c r="E4338" s="16" t="inlineStr">
        <is>
          <t>Delivered</t>
        </is>
      </c>
      <c r="F4338" s="16" t="inlineStr">
        <is>
          <t>LB02235-blanco</t>
        </is>
      </c>
      <c r="G4338" s="16" t="inlineStr">
        <is>
          <t>Audífonos Inalámbricos para la Cabeza, Recargables y Multifuncionales - Conectan a Varios Dispositivos, soportan Radio FM, Tarjeta TF y AUX - 4 Horas de Reproducción Musical - Ideal para Trabajo Cotidiano, Juegos y Estudio</t>
        </is>
      </c>
      <c r="H4338" s="16" t="inlineStr">
        <is>
          <t>BLANCO</t>
        </is>
      </c>
      <c r="I4338" s="16" t="n">
        <v>1</v>
      </c>
      <c r="J4338" s="17" t="n">
        <v>36.8</v>
      </c>
      <c r="K4338" s="17" t="n">
        <v>49.91</v>
      </c>
      <c r="L4338" s="17" t="n">
        <v>6.41</v>
      </c>
      <c r="M4338" s="17" t="n">
        <v>0</v>
      </c>
      <c r="N4338" s="17">
        <f>K4338*0.08+L4338*0.08</f>
        <v/>
      </c>
      <c r="O4338" s="17">
        <f>-(K4338*0.025+L4338*0.025)</f>
        <v/>
      </c>
      <c r="P4338" s="17">
        <f>32</f>
        <v/>
      </c>
      <c r="Q4338" s="17">
        <f>J4338+L4338+N4338+O4338-P4338-M4338</f>
        <v/>
      </c>
    </row>
    <row r="4339">
      <c r="A4339" s="16" t="inlineStr">
        <is>
          <t>5.29-6.4</t>
        </is>
      </c>
      <c r="B4339" s="16" t="inlineStr">
        <is>
          <t>PO-128-10309554857593479</t>
        </is>
      </c>
      <c r="C4339" s="16" t="inlineStr">
        <is>
          <t>Delivered</t>
        </is>
      </c>
      <c r="D4339" s="16" t="inlineStr">
        <is>
          <t>128-10309476214393479</t>
        </is>
      </c>
      <c r="E4339" s="16" t="inlineStr">
        <is>
          <t>Delivered</t>
        </is>
      </c>
      <c r="F4339" s="16" t="inlineStr">
        <is>
          <t>KTS-1678R</t>
        </is>
      </c>
      <c r="G4339" s="16" t="inlineStr">
        <is>
          <t>Bocina portátil Inalámbrico, de 3 pulgadas, tamaño de bolsillo, 170 g, con asa, compatible con TF, USB y Micro SD, con radio FM y función TWS (True Wireless Stereo), adecuada para relajarse en casa o viajar al aire libre.</t>
        </is>
      </c>
      <c r="H4339" s="16" t="inlineStr">
        <is>
          <t>KTS-1678R</t>
        </is>
      </c>
      <c r="I4339" s="16" t="n">
        <v>1</v>
      </c>
      <c r="J4339" s="17" t="n">
        <v>42.5</v>
      </c>
      <c r="K4339" s="17" t="n">
        <v>50.78</v>
      </c>
      <c r="L4339" s="17" t="n">
        <v>6.52</v>
      </c>
      <c r="M4339" s="17" t="n">
        <v>0</v>
      </c>
      <c r="N4339" s="17">
        <f>K4339*0.08+L4339*0.08</f>
        <v/>
      </c>
      <c r="O4339" s="17">
        <f>-(K4339*0.025+L4339*0.025)</f>
        <v/>
      </c>
      <c r="P4339" s="17">
        <f>32</f>
        <v/>
      </c>
      <c r="Q4339" s="17">
        <f>J4339+L4339+N4339+O4339-P4339-M4339</f>
        <v/>
      </c>
    </row>
    <row r="4340">
      <c r="A4340" s="16" t="inlineStr">
        <is>
          <t>5.29-6.4</t>
        </is>
      </c>
      <c r="B4340" s="16" t="inlineStr">
        <is>
          <t>PO-128-10758572242552016</t>
        </is>
      </c>
      <c r="C4340" s="16" t="inlineStr">
        <is>
          <t>Delivered</t>
        </is>
      </c>
      <c r="D4340" s="16" t="inlineStr">
        <is>
          <t>128-10758574863992016</t>
        </is>
      </c>
      <c r="E4340" s="16" t="inlineStr">
        <is>
          <t>Delivered</t>
        </is>
      </c>
      <c r="F4340" s="16" t="inlineStr">
        <is>
          <t>LB02235-blanco</t>
        </is>
      </c>
      <c r="G4340" s="16" t="inlineStr">
        <is>
          <t>Audífonos Inalámbricos para la Cabeza, Recargables y Multifuncionales - Conectan a Varios Dispositivos, soportan Radio FM, Tarjeta TF y AUX - 4 Horas de Reproducción Musical - Ideal para Trabajo Cotidiano, Juegos y Estudio</t>
        </is>
      </c>
      <c r="H4340" s="16" t="inlineStr">
        <is>
          <t>BLANCO</t>
        </is>
      </c>
      <c r="I4340" s="16" t="n">
        <v>1</v>
      </c>
      <c r="J4340" s="17" t="n">
        <v>36.8</v>
      </c>
      <c r="K4340" s="17" t="n">
        <v>49.91</v>
      </c>
      <c r="L4340" s="17" t="n">
        <v>25.86</v>
      </c>
      <c r="M4340" s="17" t="n">
        <v>0</v>
      </c>
      <c r="N4340" s="17">
        <f>K4340*0.08+L4340*0.08</f>
        <v/>
      </c>
      <c r="O4340" s="17">
        <f>-(K4340*0.025+L4340*0.025)</f>
        <v/>
      </c>
      <c r="P4340" s="17">
        <f>32</f>
        <v/>
      </c>
      <c r="Q4340" s="17">
        <f>J4340+L4340+N4340+O4340-P4340-M4340</f>
        <v/>
      </c>
    </row>
    <row r="4341">
      <c r="A4341" s="16" t="inlineStr">
        <is>
          <t>5.29-6.4</t>
        </is>
      </c>
      <c r="B4341" s="16" t="inlineStr">
        <is>
          <t>PO-128-10433706066553955</t>
        </is>
      </c>
      <c r="C4341" s="16" t="inlineStr">
        <is>
          <t>Delivered</t>
        </is>
      </c>
      <c r="D4341" s="16" t="inlineStr">
        <is>
          <t>128-10433643151993955</t>
        </is>
      </c>
      <c r="E4341" s="16" t="inlineStr">
        <is>
          <t>Delivered</t>
        </is>
      </c>
      <c r="F4341" s="16" t="inlineStr">
        <is>
          <t>VA880T</t>
        </is>
      </c>
      <c r="G4341"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341" s="16" t="inlineStr">
        <is>
          <t>1 pieza</t>
        </is>
      </c>
      <c r="I4341" s="16" t="n">
        <v>1</v>
      </c>
      <c r="J4341" s="17" t="n">
        <v>114.98</v>
      </c>
      <c r="K4341" s="17" t="n">
        <v>127.27</v>
      </c>
      <c r="L4341" s="17" t="n">
        <v>0</v>
      </c>
      <c r="M4341" s="17" t="n">
        <v>0</v>
      </c>
      <c r="N4341" s="17">
        <f>K4341*0.08+L4341*0.08</f>
        <v/>
      </c>
      <c r="O4341" s="17">
        <f>-(K4341*0.025+L4341*0.025)</f>
        <v/>
      </c>
      <c r="P4341" s="17">
        <f>32</f>
        <v/>
      </c>
      <c r="Q4341" s="17">
        <f>J4341+L4341+N4341+O4341-P4341-M4341</f>
        <v/>
      </c>
    </row>
    <row r="4342">
      <c r="A4342" s="16" t="inlineStr">
        <is>
          <t>5.29-6.4</t>
        </is>
      </c>
      <c r="B4342" s="16" t="inlineStr">
        <is>
          <t>PO-128-10433706066553955</t>
        </is>
      </c>
      <c r="C4342" s="16" t="inlineStr">
        <is>
          <t>Delivered</t>
        </is>
      </c>
      <c r="D4342" s="16" t="inlineStr">
        <is>
          <t>128-10433727038073955</t>
        </is>
      </c>
      <c r="E4342" s="16" t="inlineStr">
        <is>
          <t>Delivered</t>
        </is>
      </c>
      <c r="F4342" s="16" t="inlineStr">
        <is>
          <t>SA8056T</t>
        </is>
      </c>
      <c r="G434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342" s="16" t="inlineStr">
        <is>
          <t>SA8056T</t>
        </is>
      </c>
      <c r="I4342" s="16" t="n">
        <v>1</v>
      </c>
      <c r="J4342" s="17" t="n">
        <v>123.9</v>
      </c>
      <c r="K4342" s="17" t="n">
        <v>144.28</v>
      </c>
      <c r="L4342" s="17" t="n">
        <v>0</v>
      </c>
      <c r="M4342" s="17" t="n">
        <v>0</v>
      </c>
      <c r="N4342" s="17">
        <f>K4342*0.08+L4342*0.08</f>
        <v/>
      </c>
      <c r="O4342" s="17">
        <f>-(K4342*0.025+L4342*0.025)</f>
        <v/>
      </c>
      <c r="P4342" s="17">
        <f>32</f>
        <v/>
      </c>
      <c r="Q4342" s="17">
        <f>J4342+L4342+N4342+O4342-P4342-M4342</f>
        <v/>
      </c>
    </row>
    <row r="4343">
      <c r="A4343" s="16" t="inlineStr">
        <is>
          <t>5.29-6.4</t>
        </is>
      </c>
      <c r="B4343" s="16" t="inlineStr">
        <is>
          <t>PO-128-10586385224313045</t>
        </is>
      </c>
      <c r="C4343" s="16" t="inlineStr">
        <is>
          <t>Delivered</t>
        </is>
      </c>
      <c r="D4343" s="16" t="inlineStr">
        <is>
          <t>128-10586343281273045</t>
        </is>
      </c>
      <c r="E4343" s="16" t="inlineStr">
        <is>
          <t>Delivered</t>
        </is>
      </c>
      <c r="F4343" s="16" t="inlineStr">
        <is>
          <t>LB02235-negro</t>
        </is>
      </c>
      <c r="G4343" s="16" t="inlineStr">
        <is>
          <t>Audífonos Inalámbricos para la Cabeza, Recargables y Multifuncionales - Conectan a Varios Dispositivos, soportan Radio FM, Tarjeta TF y AUX - 4 Horas de Reproducción Musical - Ideal para Trabajo Cotidiano, Juegos y Estudio</t>
        </is>
      </c>
      <c r="H4343" s="16" t="inlineStr">
        <is>
          <t>NEGRO</t>
        </is>
      </c>
      <c r="I4343" s="16" t="n">
        <v>2</v>
      </c>
      <c r="J4343" s="17" t="n">
        <v>73.59999999999999</v>
      </c>
      <c r="K4343" s="17" t="n">
        <v>99.81999999999999</v>
      </c>
      <c r="L4343" s="17" t="n">
        <v>25.86</v>
      </c>
      <c r="M4343" s="17" t="n">
        <v>0</v>
      </c>
      <c r="N4343" s="17">
        <f>K4343*0.08+L4343*0.08</f>
        <v/>
      </c>
      <c r="O4343" s="17">
        <f>-(K4343*0.025+L4343*0.025)</f>
        <v/>
      </c>
      <c r="P4343" s="17">
        <f>32</f>
        <v/>
      </c>
      <c r="Q4343" s="17">
        <f>J4343+L4343+N4343+O4343-P4343-M4343</f>
        <v/>
      </c>
    </row>
    <row r="4344">
      <c r="A4344" s="16" t="inlineStr">
        <is>
          <t>5.29-6.4</t>
        </is>
      </c>
      <c r="B4344" s="16" t="inlineStr">
        <is>
          <t>PO-128-10956317512310646</t>
        </is>
      </c>
      <c r="C4344" s="16" t="inlineStr">
        <is>
          <t>Delivered</t>
        </is>
      </c>
      <c r="D4344" s="16" t="inlineStr">
        <is>
          <t>128-10956338483830646</t>
        </is>
      </c>
      <c r="E4344" s="16" t="inlineStr">
        <is>
          <t>Delivered</t>
        </is>
      </c>
      <c r="F4344" s="16" t="inlineStr">
        <is>
          <t>LV64W25</t>
        </is>
      </c>
      <c r="G4344" s="16" t="inlineStr">
        <is>
          <t>Ventilador de Techo LED TIANLAI con 5 Aspas, Control Remoto, 3 Colores Luz, 3 Velocidades, Temporizador, Fácil Instalación, E27 para Baño Cocina Dormitorio Salón</t>
        </is>
      </c>
      <c r="H4344" s="16" t="inlineStr">
        <is>
          <t>LV64W25</t>
        </is>
      </c>
      <c r="I4344" s="16" t="n">
        <v>1</v>
      </c>
      <c r="J4344" s="17" t="n">
        <v>124.99</v>
      </c>
      <c r="K4344" s="17" t="n">
        <v>158.19</v>
      </c>
      <c r="L4344" s="17" t="n">
        <v>25.86</v>
      </c>
      <c r="M4344" s="17" t="n">
        <v>0</v>
      </c>
      <c r="N4344" s="17">
        <f>K4344*0.08+L4344*0.08</f>
        <v/>
      </c>
      <c r="O4344" s="17">
        <f>-(K4344*0.025+L4344*0.025)</f>
        <v/>
      </c>
      <c r="P4344" s="17">
        <f>32</f>
        <v/>
      </c>
      <c r="Q4344" s="17">
        <f>J4344+L4344+N4344+O4344-P4344-M4344</f>
        <v/>
      </c>
    </row>
    <row r="4345">
      <c r="A4345" s="16" t="inlineStr">
        <is>
          <t>5.29-6.4</t>
        </is>
      </c>
      <c r="B4345" s="16" t="inlineStr">
        <is>
          <t>PO-128-10890994924150013</t>
        </is>
      </c>
      <c r="C4345" s="16" t="inlineStr">
        <is>
          <t>Delivered</t>
        </is>
      </c>
      <c r="D4345" s="16" t="inlineStr">
        <is>
          <t>128-10891036867190013</t>
        </is>
      </c>
      <c r="E4345" s="16" t="inlineStr">
        <is>
          <t>Delivered</t>
        </is>
      </c>
      <c r="F4345" s="16" t="inlineStr">
        <is>
          <t>LB02235-negro</t>
        </is>
      </c>
      <c r="G4345" s="16" t="inlineStr">
        <is>
          <t>Audífonos Inalámbricos para la Cabeza, Recargables y Multifuncionales - Conectan a Varios Dispositivos, soportan Radio FM, Tarjeta TF y AUX - 4 Horas de Reproducción Musical - Ideal para Trabajo Cotidiano, Juegos y Estudio</t>
        </is>
      </c>
      <c r="H4345" s="16" t="inlineStr">
        <is>
          <t>NEGRO</t>
        </is>
      </c>
      <c r="I4345" s="16" t="n">
        <v>1</v>
      </c>
      <c r="J4345" s="17" t="n">
        <v>36.8</v>
      </c>
      <c r="K4345" s="17" t="n">
        <v>39.94</v>
      </c>
      <c r="L4345" s="17" t="n">
        <v>25.86</v>
      </c>
      <c r="M4345" s="17" t="n">
        <v>0</v>
      </c>
      <c r="N4345" s="17">
        <f>K4345*0.08+L4345*0.08</f>
        <v/>
      </c>
      <c r="O4345" s="17">
        <f>-(K4345*0.025+L4345*0.025)</f>
        <v/>
      </c>
      <c r="P4345" s="17">
        <f>32</f>
        <v/>
      </c>
      <c r="Q4345" s="17">
        <f>J4345+L4345+N4345+O4345-P4345-M4345</f>
        <v/>
      </c>
    </row>
    <row r="4346">
      <c r="A4346" s="16" t="inlineStr">
        <is>
          <t>5.29-6.4</t>
        </is>
      </c>
      <c r="B4346" s="16" t="inlineStr">
        <is>
          <t>PO-128-10758845932152017</t>
        </is>
      </c>
      <c r="C4346" s="16" t="inlineStr">
        <is>
          <t>Delivered</t>
        </is>
      </c>
      <c r="D4346" s="16" t="inlineStr">
        <is>
          <t>128-10758866903672017</t>
        </is>
      </c>
      <c r="E4346" s="16" t="inlineStr">
        <is>
          <t>Delivered</t>
        </is>
      </c>
      <c r="F4346" s="16" t="inlineStr">
        <is>
          <t>MCM-001R</t>
        </is>
      </c>
      <c r="G4346" s="16" t="inlineStr">
        <is>
          <t>Musicord Altavoz Inalámbrico BT Portátil: ¡Sonido impactante, luces LED multicolores y 4 horas de autonomía! Compatible con TWS, FM, TF y USB – Imprescindible para fiestas y viajes</t>
        </is>
      </c>
      <c r="H4346" s="16" t="inlineStr">
        <is>
          <t>ROJO</t>
        </is>
      </c>
      <c r="I4346" s="16" t="n">
        <v>1</v>
      </c>
      <c r="J4346" s="17" t="n">
        <v>66.5</v>
      </c>
      <c r="K4346" s="17" t="n">
        <v>74.29000000000001</v>
      </c>
      <c r="L4346" s="17" t="n">
        <v>25.86</v>
      </c>
      <c r="M4346" s="17" t="n">
        <v>0</v>
      </c>
      <c r="N4346" s="17">
        <f>K4346*0.08+L4346*0.08</f>
        <v/>
      </c>
      <c r="O4346" s="17">
        <f>-(K4346*0.025+L4346*0.025)</f>
        <v/>
      </c>
      <c r="P4346" s="17">
        <f>32</f>
        <v/>
      </c>
      <c r="Q4346" s="17">
        <f>J4346+L4346+N4346+O4346-P4346-M4346</f>
        <v/>
      </c>
    </row>
    <row r="4347">
      <c r="A4347" s="16" t="inlineStr">
        <is>
          <t>5.29-6.4</t>
        </is>
      </c>
      <c r="B4347" s="16" t="inlineStr">
        <is>
          <t>PO-128-10528772127352234</t>
        </is>
      </c>
      <c r="C4347" s="16" t="inlineStr">
        <is>
          <t>Delivered</t>
        </is>
      </c>
      <c r="D4347" s="16" t="inlineStr">
        <is>
          <t>128-10528748534392234</t>
        </is>
      </c>
      <c r="E4347" s="16" t="inlineStr">
        <is>
          <t>Delivered</t>
        </is>
      </c>
      <c r="F4347" s="16" t="inlineStr">
        <is>
          <t>MB-185R</t>
        </is>
      </c>
      <c r="G4347" s="16" t="inlineStr">
        <is>
          <t>Bocina Radio FM/Reproductor, Compatible con Tarjeta TF, USB, Bluetooth, Aplicable para celular, computadora, Ipad y consola.</t>
        </is>
      </c>
      <c r="H4347" s="16" t="inlineStr">
        <is>
          <t>ROJO/MB-185</t>
        </is>
      </c>
      <c r="I4347" s="16" t="n">
        <v>1</v>
      </c>
      <c r="J4347" s="17" t="n">
        <v>75.5</v>
      </c>
      <c r="K4347" s="17" t="n">
        <v>63.18</v>
      </c>
      <c r="L4347" s="17" t="n">
        <v>25.86</v>
      </c>
      <c r="M4347" s="17" t="n">
        <v>0</v>
      </c>
      <c r="N4347" s="17">
        <f>K4347*0.08+L4347*0.08</f>
        <v/>
      </c>
      <c r="O4347" s="17">
        <f>-(K4347*0.025+L4347*0.025)</f>
        <v/>
      </c>
      <c r="P4347" s="17">
        <f>32</f>
        <v/>
      </c>
      <c r="Q4347" s="17">
        <f>J4347+L4347+N4347+O4347-P4347-M4347</f>
        <v/>
      </c>
    </row>
    <row r="4348">
      <c r="A4348" s="16" t="inlineStr">
        <is>
          <t>5.29-6.4</t>
        </is>
      </c>
      <c r="B4348" s="16" t="inlineStr">
        <is>
          <t>PO-128-10737001431671123</t>
        </is>
      </c>
      <c r="C4348" s="16" t="inlineStr">
        <is>
          <t>Delivered</t>
        </is>
      </c>
      <c r="D4348" s="16" t="inlineStr">
        <is>
          <t>128-10737077453431123</t>
        </is>
      </c>
      <c r="E4348" s="16" t="inlineStr">
        <is>
          <t>Delivered</t>
        </is>
      </c>
      <c r="F4348" s="16" t="inlineStr">
        <is>
          <t>LB02235-azul</t>
        </is>
      </c>
      <c r="G4348" s="16" t="inlineStr">
        <is>
          <t>Audífonos Inalámbricos para la Cabeza, Recargables y Multifuncionales - Conectan a Varios Dispositivos, soportan Radio FM, Tarjeta TF y AUX - 4 Horas de Reproducción Musical - Ideal para Trabajo Cotidiano, Juegos y Estudio</t>
        </is>
      </c>
      <c r="H4348" s="16" t="inlineStr">
        <is>
          <t>AZUL</t>
        </is>
      </c>
      <c r="I4348" s="16" t="n">
        <v>1</v>
      </c>
      <c r="J4348" s="17" t="n">
        <v>36</v>
      </c>
      <c r="K4348" s="17" t="n">
        <v>49.11</v>
      </c>
      <c r="L4348" s="17" t="n">
        <v>25.86</v>
      </c>
      <c r="M4348" s="17" t="n">
        <v>0</v>
      </c>
      <c r="N4348" s="17">
        <f>K4348*0.08+L4348*0.08</f>
        <v/>
      </c>
      <c r="O4348" s="17">
        <f>-(K4348*0.025+L4348*0.025)</f>
        <v/>
      </c>
      <c r="P4348" s="17">
        <f>32</f>
        <v/>
      </c>
      <c r="Q4348" s="17">
        <f>J4348+L4348+N4348+O4348-P4348-M4348</f>
        <v/>
      </c>
    </row>
    <row r="4349">
      <c r="A4349" s="16" t="inlineStr">
        <is>
          <t>5.29-6.4</t>
        </is>
      </c>
      <c r="B4349" s="16" t="inlineStr">
        <is>
          <t>PO-128-10816222239351611</t>
        </is>
      </c>
      <c r="C4349" s="16" t="inlineStr">
        <is>
          <t>Delivered</t>
        </is>
      </c>
      <c r="D4349" s="16" t="inlineStr">
        <is>
          <t>128-10816243210871611</t>
        </is>
      </c>
      <c r="E4349" s="16" t="inlineStr">
        <is>
          <t>Delivered</t>
        </is>
      </c>
      <c r="F4349" s="16" t="inlineStr">
        <is>
          <t>LB02235-negro</t>
        </is>
      </c>
      <c r="G4349" s="16" t="inlineStr">
        <is>
          <t>Audífonos Inalámbricos para la Cabeza, Recargables y Multifuncionales - Conectan a Varios Dispositivos, soportan Radio FM, Tarjeta TF y AUX - 4 Horas de Reproducción Musical - Ideal para Trabajo Cotidiano, Juegos y Estudio</t>
        </is>
      </c>
      <c r="H4349" s="16" t="inlineStr">
        <is>
          <t>NEGRO</t>
        </is>
      </c>
      <c r="I4349" s="16" t="n">
        <v>1</v>
      </c>
      <c r="J4349" s="17" t="n">
        <v>36.8</v>
      </c>
      <c r="K4349" s="17" t="n">
        <v>39.93</v>
      </c>
      <c r="L4349" s="17" t="n">
        <v>25.86</v>
      </c>
      <c r="M4349" s="17" t="n">
        <v>0</v>
      </c>
      <c r="N4349" s="17">
        <f>K4349*0.08+L4349*0.08</f>
        <v/>
      </c>
      <c r="O4349" s="17">
        <f>-(K4349*0.025+L4349*0.025)</f>
        <v/>
      </c>
      <c r="P4349" s="17">
        <f>32</f>
        <v/>
      </c>
      <c r="Q4349" s="17">
        <f>J4349+L4349+N4349+O4349-P4349-M4349</f>
        <v/>
      </c>
    </row>
    <row r="4350">
      <c r="A4350" s="16" t="inlineStr">
        <is>
          <t>5.29-6.4</t>
        </is>
      </c>
      <c r="B4350" s="16" t="inlineStr">
        <is>
          <t>PO-128-10761478400631809</t>
        </is>
      </c>
      <c r="C4350" s="16" t="inlineStr">
        <is>
          <t>Delivered</t>
        </is>
      </c>
      <c r="D4350" s="16" t="inlineStr">
        <is>
          <t>128-10761457429111809</t>
        </is>
      </c>
      <c r="E4350" s="16" t="inlineStr">
        <is>
          <t>Delivered</t>
        </is>
      </c>
      <c r="F4350" s="16" t="inlineStr">
        <is>
          <t>LB02235-rojo</t>
        </is>
      </c>
      <c r="G4350" s="16" t="inlineStr">
        <is>
          <t>Audífonos Inalámbricos para la Cabeza, Recargables y Multifuncionales - Conectan a Varios Dispositivos, soportan Radio FM, Tarjeta TF y AUX - 4 Horas de Reproducción Musical - Ideal para Trabajo Cotidiano, Juegos y Estudio</t>
        </is>
      </c>
      <c r="H4350" s="16" t="inlineStr">
        <is>
          <t>ROJO</t>
        </is>
      </c>
      <c r="I4350" s="16" t="n">
        <v>1</v>
      </c>
      <c r="J4350" s="17" t="n">
        <v>36.8</v>
      </c>
      <c r="K4350" s="17" t="n">
        <v>49.91</v>
      </c>
      <c r="L4350" s="17" t="n">
        <v>25.86</v>
      </c>
      <c r="M4350" s="17" t="n">
        <v>0</v>
      </c>
      <c r="N4350" s="17">
        <f>K4350*0.08+L4350*0.08</f>
        <v/>
      </c>
      <c r="O4350" s="17">
        <f>-(K4350*0.025+L4350*0.025)</f>
        <v/>
      </c>
      <c r="P4350" s="17">
        <f>32</f>
        <v/>
      </c>
      <c r="Q4350" s="17">
        <f>J4350+L4350+N4350+O4350-P4350-M4350</f>
        <v/>
      </c>
    </row>
    <row r="4351">
      <c r="A4351" s="16" t="inlineStr">
        <is>
          <t>5.29-6.4</t>
        </is>
      </c>
      <c r="B4351" s="16" t="inlineStr">
        <is>
          <t>PO-128-10447464571513745</t>
        </is>
      </c>
      <c r="C4351" s="16" t="inlineStr">
        <is>
          <t>Delivered</t>
        </is>
      </c>
      <c r="D4351" s="16" t="inlineStr">
        <is>
          <t>128-10447485543033745</t>
        </is>
      </c>
      <c r="E4351" s="16" t="inlineStr">
        <is>
          <t>Delivered</t>
        </is>
      </c>
      <c r="F4351" s="16" t="inlineStr">
        <is>
          <t>MB-185A</t>
        </is>
      </c>
      <c r="G4351" s="16" t="inlineStr">
        <is>
          <t>Bocina Radio FM/Reproductor, Compatible con Tarjeta TF, USB, Bluetooth, Aplicable para celular, computadora, Ipad y consola.</t>
        </is>
      </c>
      <c r="H4351" s="16" t="inlineStr">
        <is>
          <t>AZUL/MB-185</t>
        </is>
      </c>
      <c r="I4351" s="16" t="n">
        <v>1</v>
      </c>
      <c r="J4351" s="17" t="n">
        <v>73</v>
      </c>
      <c r="K4351" s="17" t="n">
        <v>85.94</v>
      </c>
      <c r="L4351" s="17" t="n">
        <v>25.86</v>
      </c>
      <c r="M4351" s="17" t="n">
        <v>0</v>
      </c>
      <c r="N4351" s="17">
        <f>K4351*0.08+L4351*0.08</f>
        <v/>
      </c>
      <c r="O4351" s="17">
        <f>-(K4351*0.025+L4351*0.025)</f>
        <v/>
      </c>
      <c r="P4351" s="17">
        <f>32</f>
        <v/>
      </c>
      <c r="Q4351" s="17">
        <f>J4351+L4351+N4351+O4351-P4351-M4351</f>
        <v/>
      </c>
    </row>
    <row r="4352">
      <c r="A4352" s="16" t="inlineStr">
        <is>
          <t>5.29-6.4</t>
        </is>
      </c>
      <c r="B4352" s="16" t="inlineStr">
        <is>
          <t>PO-128-15858203464313236</t>
        </is>
      </c>
      <c r="C4352" s="16" t="inlineStr">
        <is>
          <t>Delivered</t>
        </is>
      </c>
      <c r="D4352" s="16" t="inlineStr">
        <is>
          <t>128-15858245407353236</t>
        </is>
      </c>
      <c r="E4352" s="16" t="inlineStr">
        <is>
          <t>Delivered</t>
        </is>
      </c>
      <c r="F4352" s="16" t="inlineStr">
        <is>
          <t>LB02235-negro</t>
        </is>
      </c>
      <c r="G4352" s="16" t="inlineStr">
        <is>
          <t>Audífonos Inalámbricos para la Cabeza, Recargables y Multifuncionales - Conectan a Varios Dispositivos, soportan Radio FM, Tarjeta TF y AUX - 4 Horas de Reproducción Musical - Ideal para Trabajo Cotidiano, Juegos y Estudio</t>
        </is>
      </c>
      <c r="H4352" s="16" t="inlineStr">
        <is>
          <t>NEGRO</t>
        </is>
      </c>
      <c r="I4352" s="16" t="n">
        <v>1</v>
      </c>
      <c r="J4352" s="17" t="n">
        <v>36.8</v>
      </c>
      <c r="K4352" s="17" t="n">
        <v>49.91</v>
      </c>
      <c r="L4352" s="17" t="n">
        <v>25.86</v>
      </c>
      <c r="M4352" s="17" t="n">
        <v>0</v>
      </c>
      <c r="N4352" s="17">
        <f>K4352*0.08+L4352*0.08</f>
        <v/>
      </c>
      <c r="O4352" s="17">
        <f>-(K4352*0.025+L4352*0.025)</f>
        <v/>
      </c>
      <c r="P4352" s="17">
        <f>32</f>
        <v/>
      </c>
      <c r="Q4352" s="17">
        <f>J4352+L4352+N4352+O4352-P4352-M4352</f>
        <v/>
      </c>
    </row>
    <row r="4353">
      <c r="A4353" s="16" t="inlineStr">
        <is>
          <t>5.29-6.4</t>
        </is>
      </c>
      <c r="B4353" s="16" t="inlineStr">
        <is>
          <t>PO-128-16409742664310911</t>
        </is>
      </c>
      <c r="C4353" s="16" t="inlineStr">
        <is>
          <t>Delivered</t>
        </is>
      </c>
      <c r="D4353" s="16" t="inlineStr">
        <is>
          <t>128-16409763635830911</t>
        </is>
      </c>
      <c r="E4353" s="16" t="inlineStr">
        <is>
          <t>Delivered</t>
        </is>
      </c>
      <c r="F4353" s="16" t="inlineStr">
        <is>
          <t>MB-185N</t>
        </is>
      </c>
      <c r="G4353" s="16" t="inlineStr">
        <is>
          <t>Bocina Radio FM/Reproductor, Compatible con Tarjeta TF, USB, Bluetooth, Aplicable para celular, computadora, Ipad y consola.</t>
        </is>
      </c>
      <c r="H4353" s="16" t="inlineStr">
        <is>
          <t>NEGRO/MB-185</t>
        </is>
      </c>
      <c r="I4353" s="16" t="n">
        <v>1</v>
      </c>
      <c r="J4353" s="17" t="n">
        <v>75.5</v>
      </c>
      <c r="K4353" s="17" t="n">
        <v>88.44</v>
      </c>
      <c r="L4353" s="17" t="n">
        <v>25.86</v>
      </c>
      <c r="M4353" s="17" t="n">
        <v>0</v>
      </c>
      <c r="N4353" s="17">
        <f>K4353*0.08+L4353*0.08</f>
        <v/>
      </c>
      <c r="O4353" s="17">
        <f>-(K4353*0.025+L4353*0.025)</f>
        <v/>
      </c>
      <c r="P4353" s="17">
        <f>32</f>
        <v/>
      </c>
      <c r="Q4353" s="17">
        <f>J4353+L4353+N4353+O4353-P4353-M4353</f>
        <v/>
      </c>
    </row>
    <row r="4354">
      <c r="A4354" s="16" t="inlineStr">
        <is>
          <t>5.29-6.4</t>
        </is>
      </c>
      <c r="B4354" s="16" t="inlineStr">
        <is>
          <t>PO-128-15968339461753668</t>
        </is>
      </c>
      <c r="C4354" s="16" t="inlineStr">
        <is>
          <t>Delivered</t>
        </is>
      </c>
      <c r="D4354" s="16" t="inlineStr">
        <is>
          <t>128-15968376161913668</t>
        </is>
      </c>
      <c r="E4354" s="16" t="inlineStr">
        <is>
          <t>Delivered</t>
        </is>
      </c>
      <c r="F4354" s="16" t="inlineStr">
        <is>
          <t>LB02235-azul</t>
        </is>
      </c>
      <c r="G4354" s="16" t="inlineStr">
        <is>
          <t>Audífonos Inalámbricos para la Cabeza, Recargables y Multifuncionales - Conectan a Varios Dispositivos, soportan Radio FM, Tarjeta TF y AUX - 4 Horas de Reproducción Musical - Ideal para Trabajo Cotidiano, Juegos y Estudio</t>
        </is>
      </c>
      <c r="H4354" s="16" t="inlineStr">
        <is>
          <t>AZUL</t>
        </is>
      </c>
      <c r="I4354" s="16" t="n">
        <v>1</v>
      </c>
      <c r="J4354" s="17" t="n">
        <v>36</v>
      </c>
      <c r="K4354" s="17" t="n">
        <v>49.11</v>
      </c>
      <c r="L4354" s="17" t="n">
        <v>5.1</v>
      </c>
      <c r="M4354" s="17" t="n">
        <v>0</v>
      </c>
      <c r="N4354" s="17">
        <f>K4354*0.08+L4354*0.08</f>
        <v/>
      </c>
      <c r="O4354" s="17">
        <f>-(K4354*0.025+L4354*0.025)</f>
        <v/>
      </c>
      <c r="P4354" s="17">
        <f>32</f>
        <v/>
      </c>
      <c r="Q4354" s="17">
        <f>J4354+L4354+N4354+O4354-P4354-M4354</f>
        <v/>
      </c>
    </row>
    <row r="4355">
      <c r="A4355" s="16" t="inlineStr">
        <is>
          <t>5.29-6.4</t>
        </is>
      </c>
      <c r="B4355" s="16" t="inlineStr">
        <is>
          <t>PO-128-15968339461753668</t>
        </is>
      </c>
      <c r="C4355" s="16" t="inlineStr">
        <is>
          <t>Delivered</t>
        </is>
      </c>
      <c r="D4355" s="16" t="inlineStr">
        <is>
          <t>128-15968370919033668</t>
        </is>
      </c>
      <c r="E4355" s="16" t="inlineStr">
        <is>
          <t>Delivered</t>
        </is>
      </c>
      <c r="F4355" s="16" t="inlineStr">
        <is>
          <t>LB02235-rojo</t>
        </is>
      </c>
      <c r="G4355" s="16" t="inlineStr">
        <is>
          <t>Audífonos Inalámbricos para la Cabeza, Recargables y Multifuncionales - Conectan a Varios Dispositivos, soportan Radio FM, Tarjeta TF y AUX - 4 Horas de Reproducción Musical - Ideal para Trabajo Cotidiano, Juegos y Estudio</t>
        </is>
      </c>
      <c r="H4355" s="16" t="inlineStr">
        <is>
          <t>ROJO</t>
        </is>
      </c>
      <c r="I4355" s="16" t="n">
        <v>1</v>
      </c>
      <c r="J4355" s="17" t="n">
        <v>36.8</v>
      </c>
      <c r="K4355" s="17" t="n">
        <v>49.91</v>
      </c>
      <c r="L4355" s="17" t="n">
        <v>5.18</v>
      </c>
      <c r="M4355" s="17" t="n">
        <v>0</v>
      </c>
      <c r="N4355" s="17">
        <f>K4355*0.08+L4355*0.08</f>
        <v/>
      </c>
      <c r="O4355" s="17">
        <f>-(K4355*0.025+L4355*0.025)</f>
        <v/>
      </c>
      <c r="P4355" s="17">
        <f>32</f>
        <v/>
      </c>
      <c r="Q4355" s="17">
        <f>J4355+L4355+N4355+O4355-P4355-M4355</f>
        <v/>
      </c>
    </row>
    <row r="4356">
      <c r="A4356" s="16" t="inlineStr">
        <is>
          <t>5.29-6.4</t>
        </is>
      </c>
      <c r="B4356" s="16" t="inlineStr">
        <is>
          <t>PO-128-15968339461753668</t>
        </is>
      </c>
      <c r="C4356" s="16" t="inlineStr">
        <is>
          <t>Delivered</t>
        </is>
      </c>
      <c r="D4356" s="16" t="inlineStr">
        <is>
          <t>128-15968360433273668</t>
        </is>
      </c>
      <c r="E4356" s="16" t="inlineStr">
        <is>
          <t>Delivered</t>
        </is>
      </c>
      <c r="F4356" s="16" t="inlineStr">
        <is>
          <t>LB02235-negro</t>
        </is>
      </c>
      <c r="G4356" s="16" t="inlineStr">
        <is>
          <t>Audífonos Inalámbricos para la Cabeza, Recargables y Multifuncionales - Conectan a Varios Dispositivos, soportan Radio FM, Tarjeta TF y AUX - 4 Horas de Reproducción Musical - Ideal para Trabajo Cotidiano, Juegos y Estudio</t>
        </is>
      </c>
      <c r="H4356" s="16" t="inlineStr">
        <is>
          <t>NEGRO</t>
        </is>
      </c>
      <c r="I4356" s="16" t="n">
        <v>2</v>
      </c>
      <c r="J4356" s="17" t="n">
        <v>73.59999999999999</v>
      </c>
      <c r="K4356" s="17" t="n">
        <v>99.81999999999999</v>
      </c>
      <c r="L4356" s="17" t="n">
        <v>10.4</v>
      </c>
      <c r="M4356" s="17" t="n">
        <v>0</v>
      </c>
      <c r="N4356" s="17">
        <f>K4356*0.08+L4356*0.08</f>
        <v/>
      </c>
      <c r="O4356" s="17">
        <f>-(K4356*0.025+L4356*0.025)</f>
        <v/>
      </c>
      <c r="P4356" s="17">
        <f>32</f>
        <v/>
      </c>
      <c r="Q4356" s="17">
        <f>J4356+L4356+N4356+O4356-P4356-M4356</f>
        <v/>
      </c>
    </row>
    <row r="4357">
      <c r="A4357" s="16" t="inlineStr">
        <is>
          <t>5.29-6.4</t>
        </is>
      </c>
      <c r="B4357" s="16" t="inlineStr">
        <is>
          <t>PO-128-15968339461753668</t>
        </is>
      </c>
      <c r="C4357" s="16" t="inlineStr">
        <is>
          <t>Delivered</t>
        </is>
      </c>
      <c r="D4357" s="16" t="inlineStr">
        <is>
          <t>128-15968365676153668</t>
        </is>
      </c>
      <c r="E4357" s="16" t="inlineStr">
        <is>
          <t>Delivered</t>
        </is>
      </c>
      <c r="F4357" s="16" t="inlineStr">
        <is>
          <t>LB02235-blanco</t>
        </is>
      </c>
      <c r="G4357" s="16" t="inlineStr">
        <is>
          <t>Audífonos Inalámbricos para la Cabeza, Recargables y Multifuncionales - Conectan a Varios Dispositivos, soportan Radio FM, Tarjeta TF y AUX - 4 Horas de Reproducción Musical - Ideal para Trabajo Cotidiano, Juegos y Estudio</t>
        </is>
      </c>
      <c r="H4357" s="16" t="inlineStr">
        <is>
          <t>BLANCO</t>
        </is>
      </c>
      <c r="I4357" s="16" t="n">
        <v>1</v>
      </c>
      <c r="J4357" s="17" t="n">
        <v>36.8</v>
      </c>
      <c r="K4357" s="17" t="n">
        <v>49.91</v>
      </c>
      <c r="L4357" s="17" t="n">
        <v>5.18</v>
      </c>
      <c r="M4357" s="17" t="n">
        <v>0</v>
      </c>
      <c r="N4357" s="17">
        <f>K4357*0.08+L4357*0.08</f>
        <v/>
      </c>
      <c r="O4357" s="17">
        <f>-(K4357*0.025+L4357*0.025)</f>
        <v/>
      </c>
      <c r="P4357" s="17">
        <f>32</f>
        <v/>
      </c>
      <c r="Q4357" s="17">
        <f>J4357+L4357+N4357+O4357-P4357-M4357</f>
        <v/>
      </c>
    </row>
    <row r="4358">
      <c r="A4358" s="16" t="inlineStr">
        <is>
          <t>5.29-6.4</t>
        </is>
      </c>
      <c r="B4358" s="16" t="inlineStr">
        <is>
          <t>PO-128-16190573097591385</t>
        </is>
      </c>
      <c r="C4358" s="16" t="inlineStr">
        <is>
          <t>Delivered</t>
        </is>
      </c>
      <c r="D4358" s="16" t="inlineStr">
        <is>
          <t>128-16190531154551385</t>
        </is>
      </c>
      <c r="E4358" s="16" t="inlineStr">
        <is>
          <t>Delivered</t>
        </is>
      </c>
      <c r="F4358" s="16" t="inlineStr">
        <is>
          <t>VA384T-N</t>
        </is>
      </c>
      <c r="G4358" s="16" t="inlineStr">
        <is>
          <t>Bocina Portátil Bluetooth de 3 Pulgadas con Radio FM, USB TF TWS, Sonido Estéreo 5W, Bocina Recargable para Hogar Exterior Viaje Fiesta Camping</t>
        </is>
      </c>
      <c r="H4358" s="16" t="inlineStr">
        <is>
          <t>NEGRO</t>
        </is>
      </c>
      <c r="I4358" s="16" t="n">
        <v>1</v>
      </c>
      <c r="J4358" s="17" t="n">
        <v>50</v>
      </c>
      <c r="K4358" s="17" t="n">
        <v>60.72</v>
      </c>
      <c r="L4358" s="17" t="n">
        <v>25.86</v>
      </c>
      <c r="M4358" s="17" t="n">
        <v>0</v>
      </c>
      <c r="N4358" s="17">
        <f>K4358*0.08+L4358*0.08</f>
        <v/>
      </c>
      <c r="O4358" s="17">
        <f>-(K4358*0.025+L4358*0.025)</f>
        <v/>
      </c>
      <c r="P4358" s="17">
        <f>32</f>
        <v/>
      </c>
      <c r="Q4358" s="17">
        <f>J4358+L4358+N4358+O4358-P4358-M4358</f>
        <v/>
      </c>
    </row>
    <row r="4359">
      <c r="A4359" s="16" t="inlineStr">
        <is>
          <t>5.29-6.4</t>
        </is>
      </c>
      <c r="B4359" s="16" t="inlineStr">
        <is>
          <t>PO-128-16173655276151292</t>
        </is>
      </c>
      <c r="C4359" s="16" t="inlineStr">
        <is>
          <t>Delivered</t>
        </is>
      </c>
      <c r="D4359" s="16" t="inlineStr">
        <is>
          <t>128-16173602847351292</t>
        </is>
      </c>
      <c r="E4359" s="16" t="inlineStr">
        <is>
          <t>Delivered</t>
        </is>
      </c>
      <c r="F4359" s="16" t="inlineStr">
        <is>
          <t>SA325T</t>
        </is>
      </c>
      <c r="G4359" s="16" t="inlineStr">
        <is>
          <t>Subwoofer Portátil Inalámbrico con Luces RGB, Sonido de Alta Potencia y Batería Duradera, TWS TF USB, Perfecto para Campamento Fiestas y Entretenimiento en Casa</t>
        </is>
      </c>
      <c r="H4359" s="16" t="inlineStr">
        <is>
          <t>NEGRO</t>
        </is>
      </c>
      <c r="I4359" s="16" t="n">
        <v>1</v>
      </c>
      <c r="J4359" s="17" t="n">
        <v>37.99</v>
      </c>
      <c r="K4359" s="17" t="n">
        <v>47.03</v>
      </c>
      <c r="L4359" s="17" t="n">
        <v>25.86</v>
      </c>
      <c r="M4359" s="17" t="n">
        <v>0</v>
      </c>
      <c r="N4359" s="17">
        <f>K4359*0.08+L4359*0.08</f>
        <v/>
      </c>
      <c r="O4359" s="17">
        <f>-(K4359*0.025+L4359*0.025)</f>
        <v/>
      </c>
      <c r="P4359" s="17">
        <f>32</f>
        <v/>
      </c>
      <c r="Q4359" s="17">
        <f>J4359+L4359+N4359+O4359-P4359-M4359</f>
        <v/>
      </c>
    </row>
    <row r="4360">
      <c r="A4360" s="16" t="inlineStr">
        <is>
          <t>5.29-6.4</t>
        </is>
      </c>
      <c r="B4360" s="16" t="inlineStr">
        <is>
          <t>PO-128-16460966103670733</t>
        </is>
      </c>
      <c r="C4360" s="16" t="inlineStr">
        <is>
          <t>Delivered</t>
        </is>
      </c>
      <c r="D4360" s="16" t="inlineStr">
        <is>
          <t>128-16461049006710733</t>
        </is>
      </c>
      <c r="E4360" s="16" t="inlineStr">
        <is>
          <t>Delivered</t>
        </is>
      </c>
      <c r="F4360" s="16" t="inlineStr">
        <is>
          <t>VA880T</t>
        </is>
      </c>
      <c r="G4360"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360" s="16" t="inlineStr">
        <is>
          <t>1 pieza</t>
        </is>
      </c>
      <c r="I4360" s="16" t="n">
        <v>1</v>
      </c>
      <c r="J4360" s="17" t="n">
        <v>114.98</v>
      </c>
      <c r="K4360" s="17" t="n">
        <v>127.27</v>
      </c>
      <c r="L4360" s="17" t="n">
        <v>0</v>
      </c>
      <c r="M4360" s="17" t="n">
        <v>0</v>
      </c>
      <c r="N4360" s="17">
        <f>K4360*0.08+L4360*0.08</f>
        <v/>
      </c>
      <c r="O4360" s="17">
        <f>-(K4360*0.025+L4360*0.025)</f>
        <v/>
      </c>
      <c r="P4360" s="17">
        <f>32</f>
        <v/>
      </c>
      <c r="Q4360" s="17">
        <f>J4360+L4360+N4360+O4360-P4360-M4360</f>
        <v/>
      </c>
    </row>
    <row r="4361">
      <c r="A4361" s="16" t="inlineStr">
        <is>
          <t>5.29-6.4</t>
        </is>
      </c>
      <c r="B4361" s="16" t="inlineStr">
        <is>
          <t>PO-128-16460966103670733</t>
        </is>
      </c>
      <c r="C4361" s="16" t="inlineStr">
        <is>
          <t>Delivered</t>
        </is>
      </c>
      <c r="D4361" s="16" t="inlineStr">
        <is>
          <t>128-16461028035190733</t>
        </is>
      </c>
      <c r="E4361" s="16" t="inlineStr">
        <is>
          <t>Delivered</t>
        </is>
      </c>
      <c r="F4361" s="16" t="inlineStr">
        <is>
          <t>SA8056T</t>
        </is>
      </c>
      <c r="G436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361" s="16" t="inlineStr">
        <is>
          <t>SA8056T</t>
        </is>
      </c>
      <c r="I4361" s="16" t="n">
        <v>1</v>
      </c>
      <c r="J4361" s="17" t="n">
        <v>123.9</v>
      </c>
      <c r="K4361" s="17" t="n">
        <v>144.28</v>
      </c>
      <c r="L4361" s="17" t="n">
        <v>0</v>
      </c>
      <c r="M4361" s="17" t="n">
        <v>0</v>
      </c>
      <c r="N4361" s="17">
        <f>K4361*0.08+L4361*0.08</f>
        <v/>
      </c>
      <c r="O4361" s="17">
        <f>-(K4361*0.025+L4361*0.025)</f>
        <v/>
      </c>
      <c r="P4361" s="17">
        <f>32</f>
        <v/>
      </c>
      <c r="Q4361" s="17">
        <f>J4361+L4361+N4361+O4361-P4361-M4361</f>
        <v/>
      </c>
    </row>
    <row r="4362">
      <c r="A4362" s="16" t="inlineStr">
        <is>
          <t>5.29-6.4</t>
        </is>
      </c>
      <c r="B4362" s="16" t="inlineStr">
        <is>
          <t>PO-128-16214210893431050</t>
        </is>
      </c>
      <c r="C4362" s="16" t="inlineStr">
        <is>
          <t>Delivered</t>
        </is>
      </c>
      <c r="D4362" s="16" t="inlineStr">
        <is>
          <t>128-16214315751031050</t>
        </is>
      </c>
      <c r="E4362" s="16" t="inlineStr">
        <is>
          <t>Delivered</t>
        </is>
      </c>
      <c r="F4362" s="16" t="inlineStr">
        <is>
          <t>SA325T</t>
        </is>
      </c>
      <c r="G4362" s="16" t="inlineStr">
        <is>
          <t>Subwoofer Portátil Inalámbrico con Luces RGB, Sonido de Alta Potencia y Batería Duradera, TWS TF USB, Perfecto para Campamento Fiestas y Entretenimiento en Casa</t>
        </is>
      </c>
      <c r="H4362" s="16" t="inlineStr">
        <is>
          <t>NEGRO</t>
        </is>
      </c>
      <c r="I4362" s="16" t="n">
        <v>1</v>
      </c>
      <c r="J4362" s="17" t="n">
        <v>37.99</v>
      </c>
      <c r="K4362" s="17" t="n">
        <v>47.03</v>
      </c>
      <c r="L4362" s="17" t="n">
        <v>25.86</v>
      </c>
      <c r="M4362" s="17" t="n">
        <v>0</v>
      </c>
      <c r="N4362" s="17">
        <f>K4362*0.08+L4362*0.08</f>
        <v/>
      </c>
      <c r="O4362" s="17">
        <f>-(K4362*0.025+L4362*0.025)</f>
        <v/>
      </c>
      <c r="P4362" s="17">
        <f>32</f>
        <v/>
      </c>
      <c r="Q4362" s="17">
        <f>J4362+L4362+N4362+O4362-P4362-M4362</f>
        <v/>
      </c>
    </row>
    <row r="4363">
      <c r="A4363" s="16" t="inlineStr">
        <is>
          <t>5.29-6.4</t>
        </is>
      </c>
      <c r="B4363" s="16" t="inlineStr">
        <is>
          <t>PO-128-16346615183990263</t>
        </is>
      </c>
      <c r="C4363" s="16" t="inlineStr">
        <is>
          <t>Delivered</t>
        </is>
      </c>
      <c r="D4363" s="16" t="inlineStr">
        <is>
          <t>128-16346594212470263</t>
        </is>
      </c>
      <c r="E4363" s="16" t="inlineStr">
        <is>
          <t>Delivered</t>
        </is>
      </c>
      <c r="F4363" s="16" t="inlineStr">
        <is>
          <t>LB02235-blanco</t>
        </is>
      </c>
      <c r="G4363" s="16" t="inlineStr">
        <is>
          <t>Audífonos Inalámbricos para la Cabeza, Recargables y Multifuncionales - Conectan a Varios Dispositivos, soportan Radio FM, Tarjeta TF y AUX - 4 Horas de Reproducción Musical - Ideal para Trabajo Cotidiano, Juegos y Estudio</t>
        </is>
      </c>
      <c r="H4363" s="16" t="inlineStr">
        <is>
          <t>BLANCO</t>
        </is>
      </c>
      <c r="I4363" s="16" t="n">
        <v>1</v>
      </c>
      <c r="J4363" s="17" t="n">
        <v>36.8</v>
      </c>
      <c r="K4363" s="17" t="n">
        <v>49.91</v>
      </c>
      <c r="L4363" s="17" t="n">
        <v>25.86</v>
      </c>
      <c r="M4363" s="17" t="n">
        <v>0</v>
      </c>
      <c r="N4363" s="17">
        <f>K4363*0.08+L4363*0.08</f>
        <v/>
      </c>
      <c r="O4363" s="17">
        <f>-(K4363*0.025+L4363*0.025)</f>
        <v/>
      </c>
      <c r="P4363" s="17">
        <f>32</f>
        <v/>
      </c>
      <c r="Q4363" s="17">
        <f>J4363+L4363+N4363+O4363-P4363-M4363</f>
        <v/>
      </c>
    </row>
    <row r="4364">
      <c r="A4364" s="16" t="inlineStr">
        <is>
          <t>5.29-6.4</t>
        </is>
      </c>
      <c r="B4364" s="16" t="inlineStr">
        <is>
          <t>PO-128-15832605594233391</t>
        </is>
      </c>
      <c r="C4364" s="16" t="inlineStr">
        <is>
          <t>Delivered</t>
        </is>
      </c>
      <c r="D4364" s="16" t="inlineStr">
        <is>
          <t>128-15832626565753391</t>
        </is>
      </c>
      <c r="E4364" s="16" t="inlineStr">
        <is>
          <t>Delivered</t>
        </is>
      </c>
      <c r="F4364" s="16" t="inlineStr">
        <is>
          <t>S09W18IB-8PZS</t>
        </is>
      </c>
      <c r="G436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364" s="16" t="inlineStr">
        <is>
          <t>8 piezas</t>
        </is>
      </c>
      <c r="I4364" s="16" t="n">
        <v>1</v>
      </c>
      <c r="J4364" s="17" t="n">
        <v>265</v>
      </c>
      <c r="K4364" s="17" t="n">
        <v>346.94</v>
      </c>
      <c r="L4364" s="17" t="n">
        <v>0</v>
      </c>
      <c r="M4364" s="17" t="n">
        <v>0</v>
      </c>
      <c r="N4364" s="17">
        <f>K4364*0.08+L4364*0.08</f>
        <v/>
      </c>
      <c r="O4364" s="17">
        <f>-(K4364*0.025+L4364*0.025)</f>
        <v/>
      </c>
      <c r="P4364" s="17">
        <f>32</f>
        <v/>
      </c>
      <c r="Q4364" s="17">
        <f>J4364+L4364+N4364+O4364-P4364-M4364</f>
        <v/>
      </c>
    </row>
    <row r="4365">
      <c r="A4365" s="16" t="inlineStr">
        <is>
          <t>5.29-6.4</t>
        </is>
      </c>
      <c r="B4365" s="16" t="inlineStr">
        <is>
          <t>PO-128-15931951524473951</t>
        </is>
      </c>
      <c r="C4365" s="16" t="inlineStr">
        <is>
          <t>Delivered</t>
        </is>
      </c>
      <c r="D4365" s="16" t="inlineStr">
        <is>
          <t>128-15931909581433951</t>
        </is>
      </c>
      <c r="E4365" s="16" t="inlineStr">
        <is>
          <t>Delivered</t>
        </is>
      </c>
      <c r="F4365" s="16" t="inlineStr">
        <is>
          <t>VA880T</t>
        </is>
      </c>
      <c r="G4365" s="16" t="inlineStr">
        <is>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is>
      </c>
      <c r="H4365" s="16" t="inlineStr">
        <is>
          <t>1 pieza</t>
        </is>
      </c>
      <c r="I4365" s="16" t="n">
        <v>1</v>
      </c>
      <c r="J4365" s="17" t="n">
        <v>114.98</v>
      </c>
      <c r="K4365" s="17" t="n">
        <v>84.17</v>
      </c>
      <c r="L4365" s="17" t="n">
        <v>25.86</v>
      </c>
      <c r="M4365" s="17" t="n">
        <v>0</v>
      </c>
      <c r="N4365" s="17">
        <f>K4365*0.08+L4365*0.08</f>
        <v/>
      </c>
      <c r="O4365" s="17">
        <f>-(K4365*0.025+L4365*0.025)</f>
        <v/>
      </c>
      <c r="P4365" s="17">
        <f>32</f>
        <v/>
      </c>
      <c r="Q4365" s="17">
        <f>J4365+L4365+N4365+O4365-P4365-M4365</f>
        <v/>
      </c>
    </row>
    <row r="4366">
      <c r="A4366" s="16" t="inlineStr">
        <is>
          <t>5.29-6.4</t>
        </is>
      </c>
      <c r="B4366" s="16" t="inlineStr">
        <is>
          <t>PO-128-04975960415353653</t>
        </is>
      </c>
      <c r="C4366" s="16" t="inlineStr">
        <is>
          <t>Delivered</t>
        </is>
      </c>
      <c r="D4366" s="16" t="inlineStr">
        <is>
          <t>128-04976112458873653</t>
        </is>
      </c>
      <c r="E4366" s="16" t="inlineStr">
        <is>
          <t>Delivered</t>
        </is>
      </c>
      <c r="F4366" s="16" t="inlineStr">
        <is>
          <t>VA384T-A</t>
        </is>
      </c>
      <c r="G4366" s="16" t="inlineStr">
        <is>
          <t>Bocina Portátil Bluetooth de 3 Pulgadas con Radio FM, USB TF TWS, Sonido Estéreo 5W, Bocina Recargable para Hogar Exterior Viaje Fiesta Camping</t>
        </is>
      </c>
      <c r="H4366" s="16" t="inlineStr">
        <is>
          <t>AZUL</t>
        </is>
      </c>
      <c r="I4366" s="16" t="n">
        <v>1</v>
      </c>
      <c r="J4366" s="17" t="n">
        <v>48</v>
      </c>
      <c r="K4366" s="17" t="n">
        <v>15.62</v>
      </c>
      <c r="L4366" s="17" t="n">
        <v>25.86</v>
      </c>
      <c r="M4366" s="17" t="n">
        <v>0</v>
      </c>
      <c r="N4366" s="17">
        <f>K4366*0.08+L4366*0.08</f>
        <v/>
      </c>
      <c r="O4366" s="17">
        <f>-(K4366*0.025+L4366*0.025)</f>
        <v/>
      </c>
      <c r="P4366" s="17">
        <f>32</f>
        <v/>
      </c>
      <c r="Q4366" s="17">
        <f>J4366+L4366+N4366+O4366-P4366-M4366</f>
        <v/>
      </c>
    </row>
    <row r="4367">
      <c r="A4367" s="16" t="inlineStr">
        <is>
          <t>5.29-6.4</t>
        </is>
      </c>
      <c r="B4367" s="16" t="inlineStr">
        <is>
          <t>PO-128-05040819144312243</t>
        </is>
      </c>
      <c r="C4367" s="16" t="inlineStr">
        <is>
          <t>Delivered</t>
        </is>
      </c>
      <c r="D4367" s="16" t="inlineStr">
        <is>
          <t>128-05040876815992243</t>
        </is>
      </c>
      <c r="E4367" s="16" t="inlineStr">
        <is>
          <t>Delivered</t>
        </is>
      </c>
      <c r="F4367" s="16" t="inlineStr">
        <is>
          <t>LB02235-blanco</t>
        </is>
      </c>
      <c r="G4367" s="16" t="inlineStr">
        <is>
          <t>Audífonos Inalámbricos para la Cabeza, Recargables y Multifuncionales - Conectan a Varios Dispositivos, soportan Radio FM, Tarjeta TF y AUX - 4 Horas de Reproducción Musical - Ideal para Trabajo Cotidiano, Juegos y Estudio</t>
        </is>
      </c>
      <c r="H4367" s="16" t="inlineStr">
        <is>
          <t>BLANCO</t>
        </is>
      </c>
      <c r="I4367" s="16" t="n">
        <v>1</v>
      </c>
      <c r="J4367" s="17" t="n">
        <v>36.8</v>
      </c>
      <c r="K4367" s="17" t="n">
        <v>49.91</v>
      </c>
      <c r="L4367" s="17" t="n">
        <v>25.86</v>
      </c>
      <c r="M4367" s="17" t="n">
        <v>0</v>
      </c>
      <c r="N4367" s="17">
        <f>K4367*0.08+L4367*0.08</f>
        <v/>
      </c>
      <c r="O4367" s="17">
        <f>-(K4367*0.025+L4367*0.025)</f>
        <v/>
      </c>
      <c r="P4367" s="17">
        <f>32</f>
        <v/>
      </c>
      <c r="Q4367" s="17">
        <f>J4367+L4367+N4367+O4367-P4367-M4367</f>
        <v/>
      </c>
    </row>
    <row r="4368">
      <c r="A4368" s="16" t="inlineStr">
        <is>
          <t>5.29-6.4</t>
        </is>
      </c>
      <c r="B4368" s="16" t="inlineStr">
        <is>
          <t>PO-128-05040508723832245</t>
        </is>
      </c>
      <c r="C4368" s="16" t="inlineStr">
        <is>
          <t>Delivered</t>
        </is>
      </c>
      <c r="D4368" s="16" t="inlineStr">
        <is>
          <t>128-05040466780792245</t>
        </is>
      </c>
      <c r="E4368" s="16" t="inlineStr">
        <is>
          <t>Delivered</t>
        </is>
      </c>
      <c r="F4368" s="16" t="inlineStr">
        <is>
          <t>LB02235-negro</t>
        </is>
      </c>
      <c r="G4368" s="16" t="inlineStr">
        <is>
          <t>Audífonos Inalámbricos para la Cabeza, Recargables y Multifuncionales - Conectan a Varios Dispositivos, soportan Radio FM, Tarjeta TF y AUX - 4 Horas de Reproducción Musical - Ideal para Trabajo Cotidiano, Juegos y Estudio</t>
        </is>
      </c>
      <c r="H4368" s="16" t="inlineStr">
        <is>
          <t>NEGRO</t>
        </is>
      </c>
      <c r="I4368" s="16" t="n">
        <v>1</v>
      </c>
      <c r="J4368" s="17" t="n">
        <v>36.8</v>
      </c>
      <c r="K4368" s="17" t="n">
        <v>49.91</v>
      </c>
      <c r="L4368" s="17" t="n">
        <v>25.86</v>
      </c>
      <c r="M4368" s="17" t="n">
        <v>0</v>
      </c>
      <c r="N4368" s="17">
        <f>K4368*0.08+L4368*0.08</f>
        <v/>
      </c>
      <c r="O4368" s="17">
        <f>-(K4368*0.025+L4368*0.025)</f>
        <v/>
      </c>
      <c r="P4368" s="17">
        <f>32</f>
        <v/>
      </c>
      <c r="Q4368" s="17">
        <f>J4368+L4368+N4368+O4368-P4368-M4368</f>
        <v/>
      </c>
    </row>
    <row r="4369">
      <c r="A4369" s="16" t="inlineStr">
        <is>
          <t>5.29-6.4</t>
        </is>
      </c>
      <c r="B4369" s="16" t="inlineStr">
        <is>
          <t>PO-128-13245619794552552</t>
        </is>
      </c>
      <c r="C4369" s="16" t="inlineStr">
        <is>
          <t>Partially delivered</t>
        </is>
      </c>
      <c r="D4369" s="16" t="inlineStr">
        <is>
          <t>128-13245687951992552</t>
        </is>
      </c>
      <c r="E4369" s="16" t="inlineStr">
        <is>
          <t>Shipped</t>
        </is>
      </c>
      <c r="F4369" s="16" t="inlineStr">
        <is>
          <t>MCM-001N</t>
        </is>
      </c>
      <c r="G4369" s="16" t="inlineStr">
        <is>
          <t>Musicord Altavoz Inalámbrico BT Portátil: ¡Sonido impactante, luces LED multicolores y 4 horas de autonomía! Compatible con TWS, FM, TF y USB – Imprescindible para fiestas y viajes</t>
        </is>
      </c>
      <c r="H4369" s="16" t="inlineStr">
        <is>
          <t>NEGRO</t>
        </is>
      </c>
      <c r="I4369" s="16" t="n">
        <v>2</v>
      </c>
      <c r="J4369" s="17" t="n">
        <v>104</v>
      </c>
      <c r="K4369" s="17" t="n">
        <v>101.25</v>
      </c>
      <c r="L4369" s="17" t="n">
        <v>13.81</v>
      </c>
      <c r="M4369" s="17" t="n">
        <v>0</v>
      </c>
      <c r="N4369" s="17">
        <f>K4369*0.08+L4369*0.08</f>
        <v/>
      </c>
      <c r="O4369" s="17">
        <f>-(K4369*0.025+L4369*0.025)</f>
        <v/>
      </c>
      <c r="P4369" s="17">
        <f>32</f>
        <v/>
      </c>
      <c r="Q4369" s="17">
        <f>J4369+L4369+N4369+O4369-P4369-M4369</f>
        <v/>
      </c>
    </row>
    <row r="4370">
      <c r="A4370" s="16" t="inlineStr">
        <is>
          <t>5.29-6.4</t>
        </is>
      </c>
      <c r="B4370" s="16" t="inlineStr">
        <is>
          <t>PO-128-13245619794552552</t>
        </is>
      </c>
      <c r="C4370" s="16" t="inlineStr">
        <is>
          <t>Partially delivered</t>
        </is>
      </c>
      <c r="D4370" s="16" t="inlineStr">
        <is>
          <t>128-13245708923512552</t>
        </is>
      </c>
      <c r="E4370" s="16" t="inlineStr">
        <is>
          <t>Delivered</t>
        </is>
      </c>
      <c r="F4370" s="16" t="inlineStr">
        <is>
          <t>VA384T-N</t>
        </is>
      </c>
      <c r="G4370" s="16" t="inlineStr">
        <is>
          <t>Bocina Portátil Bluetooth de 3 Pulgadas con Radio FM, USB TF TWS, Sonido Estéreo 5W, Bocina Recargable para Hogar Exterior Viaje Fiesta Camping</t>
        </is>
      </c>
      <c r="H4370" s="16" t="inlineStr">
        <is>
          <t>NEGRO</t>
        </is>
      </c>
      <c r="I4370" s="16" t="n">
        <v>1</v>
      </c>
      <c r="J4370" s="17" t="n">
        <v>50</v>
      </c>
      <c r="K4370" s="17" t="n">
        <v>48.58</v>
      </c>
      <c r="L4370" s="17" t="n">
        <v>6.62</v>
      </c>
      <c r="M4370" s="17" t="n">
        <v>0</v>
      </c>
      <c r="N4370" s="17">
        <f>K4370*0.08+L4370*0.08</f>
        <v/>
      </c>
      <c r="O4370" s="17">
        <f>-(K4370*0.025+L4370*0.025)</f>
        <v/>
      </c>
      <c r="P4370" s="17">
        <f>32</f>
        <v/>
      </c>
      <c r="Q4370" s="17">
        <f>J4370+L4370+N4370+O4370-P4370-M4370</f>
        <v/>
      </c>
    </row>
    <row r="4371">
      <c r="A4371" s="16" t="inlineStr">
        <is>
          <t>5.29-6.4</t>
        </is>
      </c>
      <c r="B4371" s="16" t="inlineStr">
        <is>
          <t>PO-128-13245619794552552</t>
        </is>
      </c>
      <c r="C4371" s="16" t="inlineStr">
        <is>
          <t>Partially delivered</t>
        </is>
      </c>
      <c r="D4371" s="16" t="inlineStr">
        <is>
          <t>128-13245666980472552</t>
        </is>
      </c>
      <c r="E4371" s="16" t="inlineStr">
        <is>
          <t>Delivered</t>
        </is>
      </c>
      <c r="F4371" s="16" t="inlineStr">
        <is>
          <t>LB02235-negro</t>
        </is>
      </c>
      <c r="G4371" s="16" t="inlineStr">
        <is>
          <t>Audífonos Inalámbricos para la Cabeza, Recargables y Multifuncionales - Conectan a Varios Dispositivos, soportan Radio FM, Tarjeta TF y AUX - 4 Horas de Reproducción Musical - Ideal para Trabajo Cotidiano, Juegos y Estudio</t>
        </is>
      </c>
      <c r="H4371" s="16" t="inlineStr">
        <is>
          <t>NEGRO</t>
        </is>
      </c>
      <c r="I4371" s="16" t="n">
        <v>1</v>
      </c>
      <c r="J4371" s="17" t="n">
        <v>37.71</v>
      </c>
      <c r="K4371" s="17" t="n">
        <v>40.65</v>
      </c>
      <c r="L4371" s="17" t="n">
        <v>5.44</v>
      </c>
      <c r="M4371" s="17" t="n">
        <v>0.73</v>
      </c>
      <c r="N4371" s="17">
        <f>K4371*0.08+L4371*0.08</f>
        <v/>
      </c>
      <c r="O4371" s="17">
        <f>-(K4371*0.025+L4371*0.025)</f>
        <v/>
      </c>
      <c r="P4371" s="17">
        <f>32</f>
        <v/>
      </c>
      <c r="Q4371" s="17">
        <f>J4371+L4371+N4371+O4371-P4371-M4371</f>
        <v/>
      </c>
    </row>
    <row r="4372">
      <c r="A4372" s="16" t="inlineStr">
        <is>
          <t>5.8-5.14</t>
        </is>
      </c>
      <c r="B4372" s="16" t="inlineStr">
        <is>
          <t>PO-128-20709991916154015</t>
        </is>
      </c>
      <c r="C4372" s="16" t="inlineStr">
        <is>
          <t>Shipped</t>
        </is>
      </c>
      <c r="D4372" s="16" t="inlineStr">
        <is>
          <t>128-20709970944634015</t>
        </is>
      </c>
      <c r="E4372" s="16" t="inlineStr">
        <is>
          <t>Shipped</t>
        </is>
      </c>
      <c r="F4372" s="16" t="inlineStr">
        <is>
          <t>FA028</t>
        </is>
      </c>
      <c r="G4372" s="16" t="inlineStr">
        <is>
          <t>Extractor de agua para garrafas de agua, compatible con carga USB, extractor de agua automático, práctico, con dos modos de toma de agua: manual y programado, ideal para dormitorios, salones, oficinas, uso al aire libre y otros escenarios.</t>
        </is>
      </c>
      <c r="H4372" s="16" t="inlineStr">
        <is>
          <t>FA028</t>
        </is>
      </c>
      <c r="I4372" s="16" t="n">
        <v>1</v>
      </c>
      <c r="J4372" s="17" t="n">
        <v>30</v>
      </c>
      <c r="K4372" s="17" t="n">
        <v>28.84</v>
      </c>
      <c r="L4372" s="17" t="n">
        <v>25.86</v>
      </c>
      <c r="M4372" s="17" t="n">
        <v>0</v>
      </c>
      <c r="N4372" s="17">
        <f>K4372*0.08+L4372*0.08</f>
        <v/>
      </c>
      <c r="O4372" s="17">
        <f>-(K4372*0.025+L4372*0.025)</f>
        <v/>
      </c>
      <c r="P4372" s="17">
        <f>32</f>
        <v/>
      </c>
      <c r="Q4372" s="17">
        <f>J4372+L4372+N4372+O4372-P4372-M4372</f>
        <v/>
      </c>
    </row>
    <row r="4373">
      <c r="A4373" s="16" t="inlineStr">
        <is>
          <t>5.8-5.14</t>
        </is>
      </c>
      <c r="B4373" s="16" t="inlineStr">
        <is>
          <t>PO-128-20926802104952723</t>
        </is>
      </c>
      <c r="C4373" s="16" t="inlineStr">
        <is>
          <t>Shipped</t>
        </is>
      </c>
      <c r="D4373" s="16" t="inlineStr">
        <is>
          <t>128-20926783754872723</t>
        </is>
      </c>
      <c r="E4373" s="16" t="inlineStr">
        <is>
          <t>Shipped</t>
        </is>
      </c>
      <c r="F4373" s="16" t="inlineStr">
        <is>
          <t>MB-185R</t>
        </is>
      </c>
      <c r="G4373" s="16" t="inlineStr">
        <is>
          <t>Bocina Radio FM/Reproductor, Compatible con Tarjeta TF, USB, Bluetooth, Aplicable para celular, computadora, Ipad y consola.</t>
        </is>
      </c>
      <c r="H4373" s="16" t="inlineStr">
        <is>
          <t>ROJO/MB-185</t>
        </is>
      </c>
      <c r="I4373" s="16" t="n">
        <v>1</v>
      </c>
      <c r="J4373" s="17" t="n">
        <v>75.59999999999999</v>
      </c>
      <c r="K4373" s="17" t="n">
        <v>81.34</v>
      </c>
      <c r="L4373" s="17" t="n">
        <v>25.86</v>
      </c>
      <c r="M4373" s="17" t="n">
        <v>0</v>
      </c>
      <c r="N4373" s="17">
        <f>K4373*0.08+L4373*0.08</f>
        <v/>
      </c>
      <c r="O4373" s="17">
        <f>-(K4373*0.025+L4373*0.025)</f>
        <v/>
      </c>
      <c r="P4373" s="17">
        <f>32</f>
        <v/>
      </c>
      <c r="Q4373" s="17">
        <f>J4373+L4373+N4373+O4373-P4373-M4373</f>
        <v/>
      </c>
    </row>
    <row r="4374">
      <c r="A4374" s="16" t="inlineStr">
        <is>
          <t>5.8-5.14</t>
        </is>
      </c>
      <c r="B4374" s="16" t="inlineStr">
        <is>
          <t>PO-128-20776175493753621</t>
        </is>
      </c>
      <c r="C4374" s="16" t="inlineStr">
        <is>
          <t>Shipped</t>
        </is>
      </c>
      <c r="D4374" s="16" t="inlineStr">
        <is>
          <t>128-20776196465273621</t>
        </is>
      </c>
      <c r="E4374" s="16" t="inlineStr">
        <is>
          <t>Shipped</t>
        </is>
      </c>
      <c r="F4374" s="16" t="inlineStr">
        <is>
          <t>MCM-001R</t>
        </is>
      </c>
      <c r="G4374" s="16" t="inlineStr">
        <is>
          <t>Musicord Altavoz Inalámbrico BT Portátil: ¡Sonido impactante, luces LED multicolores y 4 horas de autonomía! Compatible con TWS, FM, TF y USB – Imprescindible para fiestas y viajes</t>
        </is>
      </c>
      <c r="H4374" s="16" t="inlineStr">
        <is>
          <t>ROJO</t>
        </is>
      </c>
      <c r="I4374" s="16" t="n">
        <v>1</v>
      </c>
      <c r="J4374" s="17" t="n">
        <v>66.5</v>
      </c>
      <c r="K4374" s="17" t="n">
        <v>59.43</v>
      </c>
      <c r="L4374" s="17" t="n">
        <v>25.86</v>
      </c>
      <c r="M4374" s="17" t="n">
        <v>0</v>
      </c>
      <c r="N4374" s="17">
        <f>K4374*0.08+L4374*0.08</f>
        <v/>
      </c>
      <c r="O4374" s="17">
        <f>-(K4374*0.025+L4374*0.025)</f>
        <v/>
      </c>
      <c r="P4374" s="17">
        <f>32</f>
        <v/>
      </c>
      <c r="Q4374" s="17">
        <f>J4374+L4374+N4374+O4374-P4374-M4374</f>
        <v/>
      </c>
    </row>
    <row r="4375">
      <c r="A4375" s="16" t="inlineStr">
        <is>
          <t>5.8-5.14</t>
        </is>
      </c>
      <c r="B4375" s="16" t="inlineStr">
        <is>
          <t>PO-128-21291412869750548</t>
        </is>
      </c>
      <c r="C4375" s="16" t="inlineStr">
        <is>
          <t>Shipped</t>
        </is>
      </c>
      <c r="D4375" s="16" t="inlineStr">
        <is>
          <t>128-21291391898230548</t>
        </is>
      </c>
      <c r="E4375" s="16" t="inlineStr">
        <is>
          <t>Shipped</t>
        </is>
      </c>
      <c r="F4375" s="16" t="inlineStr">
        <is>
          <t>LB02235-azul</t>
        </is>
      </c>
      <c r="G4375" s="16" t="inlineStr">
        <is>
          <t>Audífonos Inalámbricos para la Cabeza, Recargables y Multifuncionales - Conectan a Varios Dispositivos, soportan Radio FM, Tarjeta TF y AUX - 4 Horas de Reproducción Musical - Ideal para Trabajo Cotidiano, Juegos y Estudio</t>
        </is>
      </c>
      <c r="H4375" s="16" t="inlineStr">
        <is>
          <t>AZUL</t>
        </is>
      </c>
      <c r="I4375" s="16" t="n">
        <v>1</v>
      </c>
      <c r="J4375" s="17" t="n">
        <v>36.8</v>
      </c>
      <c r="K4375" s="17" t="n">
        <v>49.91</v>
      </c>
      <c r="L4375" s="17" t="n">
        <v>25.86</v>
      </c>
      <c r="M4375" s="17" t="n">
        <v>0</v>
      </c>
      <c r="N4375" s="17">
        <f>K4375*0.08+L4375*0.08</f>
        <v/>
      </c>
      <c r="O4375" s="17">
        <f>-(K4375*0.025+L4375*0.025)</f>
        <v/>
      </c>
      <c r="P4375" s="17">
        <f>32</f>
        <v/>
      </c>
      <c r="Q4375" s="17">
        <f>J4375+L4375+N4375+O4375-P4375-M4375</f>
        <v/>
      </c>
    </row>
    <row r="4376">
      <c r="A4376" s="16" t="inlineStr">
        <is>
          <t>5.8-5.14</t>
        </is>
      </c>
      <c r="B4376" s="16" t="inlineStr">
        <is>
          <t>PO-128-21184312771190162</t>
        </is>
      </c>
      <c r="C4376" s="16" t="inlineStr">
        <is>
          <t>Shipped</t>
        </is>
      </c>
      <c r="D4376" s="16" t="inlineStr">
        <is>
          <t>128-21184270828150162</t>
        </is>
      </c>
      <c r="E4376" s="16" t="inlineStr">
        <is>
          <t>Shipped</t>
        </is>
      </c>
      <c r="F4376" s="16" t="inlineStr">
        <is>
          <t>FA028</t>
        </is>
      </c>
      <c r="G4376" s="16" t="inlineStr">
        <is>
          <t>Extractor de agua para garrafas de agua, compatible con carga USB, extractor de agua automático, práctico, con dos modos de toma de agua: manual y programado, ideal para dormitorios, salones, oficinas, uso al aire libre y otros escenarios.</t>
        </is>
      </c>
      <c r="H4376" s="16" t="inlineStr">
        <is>
          <t>FA028</t>
        </is>
      </c>
      <c r="I4376" s="16" t="n">
        <v>1</v>
      </c>
      <c r="J4376" s="17" t="n">
        <v>30</v>
      </c>
      <c r="K4376" s="17" t="n">
        <v>39.58</v>
      </c>
      <c r="L4376" s="17" t="n">
        <v>25.86</v>
      </c>
      <c r="M4376" s="17" t="n">
        <v>0</v>
      </c>
      <c r="N4376" s="17">
        <f>K4376*0.08+L4376*0.08</f>
        <v/>
      </c>
      <c r="O4376" s="17">
        <f>-(K4376*0.025+L4376*0.025)</f>
        <v/>
      </c>
      <c r="P4376" s="17">
        <f>32</f>
        <v/>
      </c>
      <c r="Q4376" s="17">
        <f>J4376+L4376+N4376+O4376-P4376-M4376</f>
        <v/>
      </c>
    </row>
    <row r="4377">
      <c r="A4377" s="16" t="inlineStr">
        <is>
          <t>5.8-5.14</t>
        </is>
      </c>
      <c r="B4377" s="16" t="inlineStr">
        <is>
          <t>PO-128-21095670938231717</t>
        </is>
      </c>
      <c r="C4377" s="16" t="inlineStr">
        <is>
          <t>Shipped</t>
        </is>
      </c>
      <c r="D4377" s="16" t="inlineStr">
        <is>
          <t>128-21095628995191717</t>
        </is>
      </c>
      <c r="E4377" s="16" t="inlineStr">
        <is>
          <t>Shipped</t>
        </is>
      </c>
      <c r="F4377" s="16" t="inlineStr">
        <is>
          <t>LB02235-blanco</t>
        </is>
      </c>
      <c r="G4377" s="16" t="inlineStr">
        <is>
          <t>Audífonos Inalámbricos para la Cabeza, Recargables y Multifuncionales - Conectan a Varios Dispositivos, soportan Radio FM, Tarjeta TF y AUX - 4 Horas de Reproducción Musical - Ideal para Trabajo Cotidiano, Juegos y Estudio</t>
        </is>
      </c>
      <c r="H4377" s="16" t="inlineStr">
        <is>
          <t>BLANCO</t>
        </is>
      </c>
      <c r="I4377" s="16" t="n">
        <v>1</v>
      </c>
      <c r="J4377" s="17" t="n">
        <v>38</v>
      </c>
      <c r="K4377" s="17" t="n">
        <v>8.02</v>
      </c>
      <c r="L4377" s="17" t="n">
        <v>25.86</v>
      </c>
      <c r="M4377" s="17" t="n">
        <v>0</v>
      </c>
      <c r="N4377" s="17">
        <f>K4377*0.08+L4377*0.08</f>
        <v/>
      </c>
      <c r="O4377" s="17">
        <f>-(K4377*0.025+L4377*0.025)</f>
        <v/>
      </c>
      <c r="P4377" s="17">
        <f>32</f>
        <v/>
      </c>
      <c r="Q4377" s="17">
        <f>J4377+L4377+N4377+O4377-P4377-M4377</f>
        <v/>
      </c>
    </row>
    <row r="4378">
      <c r="A4378" s="16" t="inlineStr">
        <is>
          <t>5.8-5.14</t>
        </is>
      </c>
      <c r="B4378" s="16" t="inlineStr">
        <is>
          <t>PO-128-21117438213751587</t>
        </is>
      </c>
      <c r="C4378" s="16" t="inlineStr">
        <is>
          <t>Shipped</t>
        </is>
      </c>
      <c r="D4378" s="16" t="inlineStr">
        <is>
          <t>128-21117459185271587</t>
        </is>
      </c>
      <c r="E4378" s="16" t="inlineStr">
        <is>
          <t>Shipped</t>
        </is>
      </c>
      <c r="F4378" s="16" t="inlineStr">
        <is>
          <t>LV25W22</t>
        </is>
      </c>
      <c r="G43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78" s="16" t="inlineStr">
        <is>
          <t>LV25W32</t>
        </is>
      </c>
      <c r="I4378" s="16" t="n">
        <v>1</v>
      </c>
      <c r="J4378" s="17" t="n">
        <v>97</v>
      </c>
      <c r="K4378" s="17" t="n">
        <v>85.93000000000001</v>
      </c>
      <c r="L4378" s="17" t="n">
        <v>25.86</v>
      </c>
      <c r="M4378" s="17" t="n">
        <v>0</v>
      </c>
      <c r="N4378" s="17">
        <f>K4378*0.08+L4378*0.08</f>
        <v/>
      </c>
      <c r="O4378" s="17">
        <f>-(K4378*0.025+L4378*0.025)</f>
        <v/>
      </c>
      <c r="P4378" s="17">
        <f>32</f>
        <v/>
      </c>
      <c r="Q4378" s="17">
        <f>J4378+L4378+N4378+O4378-P4378-M4378</f>
        <v/>
      </c>
    </row>
    <row r="4379">
      <c r="A4379" s="16" t="inlineStr">
        <is>
          <t>5.8-5.14</t>
        </is>
      </c>
      <c r="B4379" s="16" t="inlineStr">
        <is>
          <t>PO-128-20620968479353456</t>
        </is>
      </c>
      <c r="C4379" s="16" t="inlineStr">
        <is>
          <t>Shipped</t>
        </is>
      </c>
      <c r="D4379" s="16" t="inlineStr">
        <is>
          <t>128-20620944886393456</t>
        </is>
      </c>
      <c r="E4379" s="16" t="inlineStr">
        <is>
          <t>Shipped</t>
        </is>
      </c>
      <c r="F4379" s="16" t="inlineStr">
        <is>
          <t>MB-178-N</t>
        </is>
      </c>
      <c r="G4379" s="16" t="inlineStr">
        <is>
          <t>Bocina de Barra Bluetooth LINK BITS con dos altavoces, sonido de alta calidad y multifuncional (Bluetooth, Radio FM, USB, TF, AUX, TWS), ideal para juegos, reuniones, oficina y cine en casa.</t>
        </is>
      </c>
      <c r="H4379" s="16" t="inlineStr">
        <is>
          <t>NEGRO</t>
        </is>
      </c>
      <c r="I4379" s="16" t="n">
        <v>1</v>
      </c>
      <c r="J4379" s="17" t="n">
        <v>135</v>
      </c>
      <c r="K4379" s="17" t="n">
        <v>117.34</v>
      </c>
      <c r="L4379" s="17" t="n">
        <v>25.86</v>
      </c>
      <c r="M4379" s="17" t="n">
        <v>0</v>
      </c>
      <c r="N4379" s="17">
        <f>K4379*0.08+L4379*0.08</f>
        <v/>
      </c>
      <c r="O4379" s="17">
        <f>-(K4379*0.025+L4379*0.025)</f>
        <v/>
      </c>
      <c r="P4379" s="17">
        <f>32</f>
        <v/>
      </c>
      <c r="Q4379" s="17">
        <f>J4379+L4379+N4379+O4379-P4379-M4379</f>
        <v/>
      </c>
    </row>
    <row r="4380">
      <c r="A4380" s="16" t="inlineStr">
        <is>
          <t>5.8-5.14</t>
        </is>
      </c>
      <c r="B4380" s="16" t="inlineStr">
        <is>
          <t>PO-128-20960006415991437</t>
        </is>
      </c>
      <c r="C4380" s="16" t="inlineStr">
        <is>
          <t>Shipped</t>
        </is>
      </c>
      <c r="D4380" s="16" t="inlineStr">
        <is>
          <t>128-20960048359031437</t>
        </is>
      </c>
      <c r="E4380" s="16" t="inlineStr">
        <is>
          <t>Shipped</t>
        </is>
      </c>
      <c r="F4380" s="16" t="inlineStr">
        <is>
          <t>SA323T</t>
        </is>
      </c>
      <c r="G4380" s="16" t="inlineStr">
        <is>
          <t>Linkbits Bocina Portátil Parlantes BT Portátiles con Iluminación de Ambiente | 1 Hora de Duración, FM, TWS, TF/Micro SD | Ideal para Hogar, Fiestas y Viajes</t>
        </is>
      </c>
      <c r="H4380" s="16" t="inlineStr">
        <is>
          <t>SA323T</t>
        </is>
      </c>
      <c r="I4380" s="16" t="n">
        <v>1</v>
      </c>
      <c r="J4380" s="17" t="n">
        <v>46</v>
      </c>
      <c r="K4380" s="17" t="n">
        <v>1.59</v>
      </c>
      <c r="L4380" s="17" t="n">
        <v>25.86</v>
      </c>
      <c r="M4380" s="17" t="n">
        <v>0</v>
      </c>
      <c r="N4380" s="17">
        <f>K4380*0.08+L4380*0.08</f>
        <v/>
      </c>
      <c r="O4380" s="17">
        <f>-(K4380*0.025+L4380*0.025)</f>
        <v/>
      </c>
      <c r="P4380" s="17">
        <f>32</f>
        <v/>
      </c>
      <c r="Q4380" s="17">
        <f>J4380+L4380+N4380+O4380-P4380-M4380</f>
        <v/>
      </c>
    </row>
    <row r="4381">
      <c r="A4381" s="16" t="inlineStr">
        <is>
          <t>5.8-5.14</t>
        </is>
      </c>
      <c r="B4381" s="16" t="inlineStr">
        <is>
          <t>PO-128-20844395807352252</t>
        </is>
      </c>
      <c r="C4381" s="16" t="inlineStr">
        <is>
          <t>Shipped</t>
        </is>
      </c>
      <c r="D4381" s="16" t="inlineStr">
        <is>
          <t>128-20844437750392252</t>
        </is>
      </c>
      <c r="E4381" s="16" t="inlineStr">
        <is>
          <t>Shipped</t>
        </is>
      </c>
      <c r="F4381" s="16" t="inlineStr">
        <is>
          <t>MCM-001G</t>
        </is>
      </c>
      <c r="G4381" s="16" t="inlineStr">
        <is>
          <t>Musicord Altavoz Inalámbrico BT Portátil: ¡Sonido impactante, luces LED multicolores y 4 horas de autonomía! Compatible con TWS, FM, TF y USB – Imprescindible para fiestas y viajes</t>
        </is>
      </c>
      <c r="H4381" s="16" t="inlineStr">
        <is>
          <t>GRIS</t>
        </is>
      </c>
      <c r="I4381" s="16" t="n">
        <v>1</v>
      </c>
      <c r="J4381" s="17" t="n">
        <v>51.07</v>
      </c>
      <c r="K4381" s="17" t="n">
        <v>62.34</v>
      </c>
      <c r="L4381" s="17" t="n">
        <v>25.86</v>
      </c>
      <c r="M4381" s="17" t="n">
        <v>0</v>
      </c>
      <c r="N4381" s="17">
        <f>K4381*0.08+L4381*0.08</f>
        <v/>
      </c>
      <c r="O4381" s="17">
        <f>-(K4381*0.025+L4381*0.025)</f>
        <v/>
      </c>
      <c r="P4381" s="17">
        <f>32</f>
        <v/>
      </c>
      <c r="Q4381" s="17">
        <f>J4381+L4381+N4381+O4381-P4381-M4381</f>
        <v/>
      </c>
    </row>
    <row r="4382">
      <c r="A4382" s="16" t="inlineStr">
        <is>
          <t>5.8-5.14</t>
        </is>
      </c>
      <c r="B4382" s="16" t="inlineStr">
        <is>
          <t>PO-128-20879382600313004</t>
        </is>
      </c>
      <c r="C4382" s="16" t="inlineStr">
        <is>
          <t>Shipped</t>
        </is>
      </c>
      <c r="D4382" s="16" t="inlineStr">
        <is>
          <t>128-20879340657273004</t>
        </is>
      </c>
      <c r="E4382" s="16" t="inlineStr">
        <is>
          <t>Shipped</t>
        </is>
      </c>
      <c r="F4382" s="16" t="inlineStr">
        <is>
          <t>LV25W22</t>
        </is>
      </c>
      <c r="G438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82" s="16" t="inlineStr">
        <is>
          <t>LV25W32</t>
        </is>
      </c>
      <c r="I4382" s="16" t="n">
        <v>1</v>
      </c>
      <c r="J4382" s="17" t="n">
        <v>97</v>
      </c>
      <c r="K4382" s="17" t="n">
        <v>107.41</v>
      </c>
      <c r="L4382" s="17" t="n">
        <v>25.86</v>
      </c>
      <c r="M4382" s="17" t="n">
        <v>0</v>
      </c>
      <c r="N4382" s="17">
        <f>K4382*0.08+L4382*0.08</f>
        <v/>
      </c>
      <c r="O4382" s="17">
        <f>-(K4382*0.025+L4382*0.025)</f>
        <v/>
      </c>
      <c r="P4382" s="17">
        <f>32</f>
        <v/>
      </c>
      <c r="Q4382" s="17">
        <f>J4382+L4382+N4382+O4382-P4382-M4382</f>
        <v/>
      </c>
    </row>
    <row r="4383">
      <c r="A4383" s="16" t="inlineStr">
        <is>
          <t>5.8-5.14</t>
        </is>
      </c>
      <c r="B4383" s="16" t="inlineStr">
        <is>
          <t>PO-128-20862895893112142</t>
        </is>
      </c>
      <c r="C4383" s="16" t="inlineStr">
        <is>
          <t>Shipped</t>
        </is>
      </c>
      <c r="D4383" s="16" t="inlineStr">
        <is>
          <t>128-20862964050552142</t>
        </is>
      </c>
      <c r="E4383" s="16" t="inlineStr">
        <is>
          <t>Shipped</t>
        </is>
      </c>
      <c r="F4383" s="16" t="inlineStr">
        <is>
          <t>KTS-1678Y</t>
        </is>
      </c>
      <c r="G4383" s="16" t="inlineStr">
        <is>
          <t>Bocina portátil Inalámbrico, de 3 pulgadas, tamaño de bolsillo, 170 g, con asa, compatible con TF, USB y Micro SD, con radio FM y función TWS (True Wireless Stereo), adecuada para relajarse en casa o viajar al aire libre.</t>
        </is>
      </c>
      <c r="H4383" s="16" t="inlineStr">
        <is>
          <t>KTS-1678Y</t>
        </is>
      </c>
      <c r="I4383" s="16" t="n">
        <v>2</v>
      </c>
      <c r="J4383" s="17" t="n">
        <v>82</v>
      </c>
      <c r="K4383" s="17" t="n">
        <v>42.68</v>
      </c>
      <c r="L4383" s="17" t="n">
        <v>25.86</v>
      </c>
      <c r="M4383" s="17" t="n">
        <v>0</v>
      </c>
      <c r="N4383" s="17">
        <f>K4383*0.08+L4383*0.08</f>
        <v/>
      </c>
      <c r="O4383" s="17">
        <f>-(K4383*0.025+L4383*0.025)</f>
        <v/>
      </c>
      <c r="P4383" s="17">
        <f>32</f>
        <v/>
      </c>
      <c r="Q4383" s="17">
        <f>J4383+L4383+N4383+O4383-P4383-M4383</f>
        <v/>
      </c>
    </row>
    <row r="4384">
      <c r="A4384" s="16" t="inlineStr">
        <is>
          <t>5.8-5.14</t>
        </is>
      </c>
      <c r="B4384" s="16" t="inlineStr">
        <is>
          <t>PO-128-21014121912951243</t>
        </is>
      </c>
      <c r="C4384" s="16" t="inlineStr">
        <is>
          <t>Shipped</t>
        </is>
      </c>
      <c r="D4384" s="16" t="inlineStr">
        <is>
          <t>128-21014079969911243</t>
        </is>
      </c>
      <c r="E4384" s="16" t="inlineStr">
        <is>
          <t>Shipped</t>
        </is>
      </c>
      <c r="F4384" s="16" t="inlineStr">
        <is>
          <t>KTS-1678Y</t>
        </is>
      </c>
      <c r="G4384" s="16" t="inlineStr">
        <is>
          <t>Bocina portátil Inalámbrico, de 3 pulgadas, tamaño de bolsillo, 170 g, con asa, compatible con TF, USB y Micro SD, con radio FM y función TWS (True Wireless Stereo), adecuada para relajarse en casa o viajar al aire libre.</t>
        </is>
      </c>
      <c r="H4384" s="16" t="inlineStr">
        <is>
          <t>KTS-1678Y</t>
        </is>
      </c>
      <c r="I4384" s="16" t="n">
        <v>1</v>
      </c>
      <c r="J4384" s="17" t="n">
        <v>41</v>
      </c>
      <c r="K4384" s="17" t="n">
        <v>4.1</v>
      </c>
      <c r="L4384" s="17" t="n">
        <v>25.86</v>
      </c>
      <c r="M4384" s="17" t="n">
        <v>0</v>
      </c>
      <c r="N4384" s="17">
        <f>K4384*0.08+L4384*0.08</f>
        <v/>
      </c>
      <c r="O4384" s="17">
        <f>-(K4384*0.025+L4384*0.025)</f>
        <v/>
      </c>
      <c r="P4384" s="17">
        <f>32</f>
        <v/>
      </c>
      <c r="Q4384" s="17">
        <f>J4384+L4384+N4384+O4384-P4384-M4384</f>
        <v/>
      </c>
    </row>
    <row r="4385">
      <c r="A4385" s="16" t="inlineStr">
        <is>
          <t>5.8-5.14</t>
        </is>
      </c>
      <c r="B4385" s="16" t="inlineStr">
        <is>
          <t>PO-128-20900469740152878</t>
        </is>
      </c>
      <c r="C4385" s="16" t="inlineStr">
        <is>
          <t>Shipped</t>
        </is>
      </c>
      <c r="D4385" s="16" t="inlineStr">
        <is>
          <t>128-20900551660152878</t>
        </is>
      </c>
      <c r="E4385" s="16" t="inlineStr">
        <is>
          <t>Shipped</t>
        </is>
      </c>
      <c r="F4385" s="16" t="inlineStr">
        <is>
          <t>VA384T-A</t>
        </is>
      </c>
      <c r="G4385" s="16" t="inlineStr">
        <is>
          <t>Bocina Portátil Bluetooth de 3 Pulgadas con Radio FM, USB TF TWS, Sonido Estéreo 5W, Bocina Recargable para Hogar Exterior Viaje Fiesta Camping</t>
        </is>
      </c>
      <c r="H4385" s="16" t="inlineStr">
        <is>
          <t>AZUL</t>
        </is>
      </c>
      <c r="I4385" s="16" t="n">
        <v>1</v>
      </c>
      <c r="J4385" s="17" t="n">
        <v>47.99</v>
      </c>
      <c r="K4385" s="17" t="n">
        <v>58.71</v>
      </c>
      <c r="L4385" s="17" t="n">
        <v>25.86</v>
      </c>
      <c r="M4385" s="17" t="n">
        <v>0</v>
      </c>
      <c r="N4385" s="17">
        <f>K4385*0.08+L4385*0.08</f>
        <v/>
      </c>
      <c r="O4385" s="17">
        <f>-(K4385*0.025+L4385*0.025)</f>
        <v/>
      </c>
      <c r="P4385" s="17">
        <f>32</f>
        <v/>
      </c>
      <c r="Q4385" s="17">
        <f>J4385+L4385+N4385+O4385-P4385-M4385</f>
        <v/>
      </c>
    </row>
    <row r="4386">
      <c r="A4386" s="16" t="inlineStr">
        <is>
          <t>5.8-5.14</t>
        </is>
      </c>
      <c r="B4386" s="16" t="inlineStr">
        <is>
          <t>PO-128-20649777751673412</t>
        </is>
      </c>
      <c r="C4386" s="16" t="inlineStr">
        <is>
          <t>Shipped</t>
        </is>
      </c>
      <c r="D4386" s="16" t="inlineStr">
        <is>
          <t>128-20649811830393412</t>
        </is>
      </c>
      <c r="E4386" s="16" t="inlineStr">
        <is>
          <t>Shipped</t>
        </is>
      </c>
      <c r="F4386" s="16" t="inlineStr">
        <is>
          <t>VB347T</t>
        </is>
      </c>
      <c r="G438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386" s="16" t="inlineStr">
        <is>
          <t>1 pieza</t>
        </is>
      </c>
      <c r="I4386" s="16" t="n">
        <v>1</v>
      </c>
      <c r="J4386" s="17" t="n">
        <v>79.90000000000001</v>
      </c>
      <c r="K4386" s="17" t="n">
        <v>2.99</v>
      </c>
      <c r="L4386" s="17" t="n">
        <v>25.86</v>
      </c>
      <c r="M4386" s="17" t="n">
        <v>0</v>
      </c>
      <c r="N4386" s="17">
        <f>K4386*0.08+L4386*0.08</f>
        <v/>
      </c>
      <c r="O4386" s="17">
        <f>-(K4386*0.025+L4386*0.025)</f>
        <v/>
      </c>
      <c r="P4386" s="17">
        <f>32</f>
        <v/>
      </c>
      <c r="Q4386" s="17">
        <f>J4386+L4386+N4386+O4386-P4386-M4386</f>
        <v/>
      </c>
    </row>
    <row r="4387">
      <c r="A4387" s="16" t="inlineStr">
        <is>
          <t>5.8-5.14</t>
        </is>
      </c>
      <c r="B4387" s="16" t="inlineStr">
        <is>
          <t>PO-128-20631960842873582</t>
        </is>
      </c>
      <c r="C4387" s="16" t="inlineStr">
        <is>
          <t>Shipped</t>
        </is>
      </c>
      <c r="D4387" s="16" t="inlineStr">
        <is>
          <t>128-20631971328633582</t>
        </is>
      </c>
      <c r="E4387" s="16" t="inlineStr">
        <is>
          <t>Shipped</t>
        </is>
      </c>
      <c r="F4387" s="16" t="inlineStr">
        <is>
          <t>FA028</t>
        </is>
      </c>
      <c r="G4387" s="16" t="inlineStr">
        <is>
          <t>Extractor de agua para garrafas de agua, compatible con carga USB, extractor de agua automático, práctico, con dos modos de toma de agua: manual y programado, ideal para dormitorios, salones, oficinas, uso al aire libre y otros escenarios.</t>
        </is>
      </c>
      <c r="H4387" s="16" t="inlineStr">
        <is>
          <t>FA028</t>
        </is>
      </c>
      <c r="I4387" s="16" t="n">
        <v>1</v>
      </c>
      <c r="J4387" s="17" t="n">
        <v>30</v>
      </c>
      <c r="K4387" s="17" t="n">
        <v>39.58</v>
      </c>
      <c r="L4387" s="17" t="n">
        <v>25.86</v>
      </c>
      <c r="M4387" s="17" t="n">
        <v>0</v>
      </c>
      <c r="N4387" s="17">
        <f>K4387*0.08+L4387*0.08</f>
        <v/>
      </c>
      <c r="O4387" s="17">
        <f>-(K4387*0.025+L4387*0.025)</f>
        <v/>
      </c>
      <c r="P4387" s="17">
        <f>32</f>
        <v/>
      </c>
      <c r="Q4387" s="17">
        <f>J4387+L4387+N4387+O4387-P4387-M4387</f>
        <v/>
      </c>
    </row>
    <row r="4388">
      <c r="A4388" s="16" t="inlineStr">
        <is>
          <t>5.8-5.14</t>
        </is>
      </c>
      <c r="B4388" s="16" t="inlineStr">
        <is>
          <t>PO-128-21300029624950624</t>
        </is>
      </c>
      <c r="C4388" s="16" t="inlineStr">
        <is>
          <t>Shipped</t>
        </is>
      </c>
      <c r="D4388" s="16" t="inlineStr">
        <is>
          <t>128-21300040110710624</t>
        </is>
      </c>
      <c r="E4388" s="16" t="inlineStr">
        <is>
          <t>Shipped</t>
        </is>
      </c>
      <c r="F4388" s="16" t="inlineStr">
        <is>
          <t>LB02235-azul</t>
        </is>
      </c>
      <c r="G4388" s="16" t="inlineStr">
        <is>
          <t>Audífonos Inalámbricos para la Cabeza, Recargables y Multifuncionales - Conectan a Varios Dispositivos, soportan Radio FM, Tarjeta TF y AUX - 4 Horas de Reproducción Musical - Ideal para Trabajo Cotidiano, Juegos y Estudio</t>
        </is>
      </c>
      <c r="H4388" s="16" t="inlineStr">
        <is>
          <t>AZUL</t>
        </is>
      </c>
      <c r="I4388" s="16" t="n">
        <v>1</v>
      </c>
      <c r="J4388" s="17" t="n">
        <v>36.8</v>
      </c>
      <c r="K4388" s="17" t="n">
        <v>49.91</v>
      </c>
      <c r="L4388" s="17" t="n">
        <v>25.86</v>
      </c>
      <c r="M4388" s="17" t="n">
        <v>0</v>
      </c>
      <c r="N4388" s="17">
        <f>K4388*0.08+L4388*0.08</f>
        <v/>
      </c>
      <c r="O4388" s="17">
        <f>-(K4388*0.025+L4388*0.025)</f>
        <v/>
      </c>
      <c r="P4388" s="17">
        <f>32</f>
        <v/>
      </c>
      <c r="Q4388" s="17">
        <f>J4388+L4388+N4388+O4388-P4388-M4388</f>
        <v/>
      </c>
    </row>
    <row r="4389">
      <c r="A4389" s="16" t="inlineStr">
        <is>
          <t>5.8-5.14</t>
        </is>
      </c>
      <c r="B4389" s="16" t="inlineStr">
        <is>
          <t>PO-128-21164412959350347</t>
        </is>
      </c>
      <c r="C4389" s="16" t="inlineStr">
        <is>
          <t>Shipped</t>
        </is>
      </c>
      <c r="D4389" s="16" t="inlineStr">
        <is>
          <t>128-21164433930870347</t>
        </is>
      </c>
      <c r="E4389" s="16" t="inlineStr">
        <is>
          <t>Shipped</t>
        </is>
      </c>
      <c r="F4389" s="16" t="inlineStr">
        <is>
          <t>LB02235-azul</t>
        </is>
      </c>
      <c r="G4389" s="16" t="inlineStr">
        <is>
          <t>Audífonos Inalámbricos para la Cabeza, Recargables y Multifuncionales - Conectan a Varios Dispositivos, soportan Radio FM, Tarjeta TF y AUX - 4 Horas de Reproducción Musical - Ideal para Trabajo Cotidiano, Juegos y Estudio</t>
        </is>
      </c>
      <c r="H4389" s="16" t="inlineStr">
        <is>
          <t>AZUL</t>
        </is>
      </c>
      <c r="I4389" s="16" t="n">
        <v>1</v>
      </c>
      <c r="J4389" s="17" t="n">
        <v>36.8</v>
      </c>
      <c r="K4389" s="17" t="n">
        <v>49.91</v>
      </c>
      <c r="L4389" s="17" t="n">
        <v>25.86</v>
      </c>
      <c r="M4389" s="17" t="n">
        <v>0</v>
      </c>
      <c r="N4389" s="17">
        <f>K4389*0.08+L4389*0.08</f>
        <v/>
      </c>
      <c r="O4389" s="17">
        <f>-(K4389*0.025+L4389*0.025)</f>
        <v/>
      </c>
      <c r="P4389" s="17">
        <f>32</f>
        <v/>
      </c>
      <c r="Q4389" s="17">
        <f>J4389+L4389+N4389+O4389-P4389-M4389</f>
        <v/>
      </c>
    </row>
    <row r="4390">
      <c r="A4390" s="16" t="inlineStr">
        <is>
          <t>5.8-5.14</t>
        </is>
      </c>
      <c r="B4390" s="16" t="inlineStr">
        <is>
          <t>PO-128-20811265669752322</t>
        </is>
      </c>
      <c r="C4390" s="16" t="inlineStr">
        <is>
          <t>Shipped</t>
        </is>
      </c>
      <c r="D4390" s="16" t="inlineStr">
        <is>
          <t>128-20811223726712322</t>
        </is>
      </c>
      <c r="E4390" s="16" t="inlineStr">
        <is>
          <t>Shipped</t>
        </is>
      </c>
      <c r="F4390" s="16" t="inlineStr">
        <is>
          <t>LB02235-blanco</t>
        </is>
      </c>
      <c r="G4390" s="16" t="inlineStr">
        <is>
          <t>Audífonos Inalámbricos para la Cabeza, Recargables y Multifuncionales - Conectan a Varios Dispositivos, soportan Radio FM, Tarjeta TF y AUX - 4 Horas de Reproducción Musical - Ideal para Trabajo Cotidiano, Juegos y Estudio</t>
        </is>
      </c>
      <c r="H4390" s="16" t="inlineStr">
        <is>
          <t>BLANCO</t>
        </is>
      </c>
      <c r="I4390" s="16" t="n">
        <v>1</v>
      </c>
      <c r="J4390" s="17" t="n">
        <v>38</v>
      </c>
      <c r="K4390" s="17" t="n">
        <v>8.02</v>
      </c>
      <c r="L4390" s="17" t="n">
        <v>25.86</v>
      </c>
      <c r="M4390" s="17" t="n">
        <v>0</v>
      </c>
      <c r="N4390" s="17">
        <f>K4390*0.08+L4390*0.08</f>
        <v/>
      </c>
      <c r="O4390" s="17">
        <f>-(K4390*0.025+L4390*0.025)</f>
        <v/>
      </c>
      <c r="P4390" s="17">
        <f>32</f>
        <v/>
      </c>
      <c r="Q4390" s="17">
        <f>J4390+L4390+N4390+O4390-P4390-M4390</f>
        <v/>
      </c>
    </row>
    <row r="4391">
      <c r="A4391" s="16" t="inlineStr">
        <is>
          <t>5.8-5.14</t>
        </is>
      </c>
      <c r="B4391" s="16" t="inlineStr">
        <is>
          <t>PO-128-20639362852473346</t>
        </is>
      </c>
      <c r="C4391" s="16" t="inlineStr">
        <is>
          <t>Shipped</t>
        </is>
      </c>
      <c r="D4391" s="16" t="inlineStr">
        <is>
          <t>128-20639467710073346</t>
        </is>
      </c>
      <c r="E4391" s="16" t="inlineStr">
        <is>
          <t>Shipped</t>
        </is>
      </c>
      <c r="F4391" s="16" t="inlineStr">
        <is>
          <t>KTS-1678Y</t>
        </is>
      </c>
      <c r="G4391" s="16" t="inlineStr">
        <is>
          <t>Bocina portátil Inalámbrico, de 3 pulgadas, tamaño de bolsillo, 170 g, con asa, compatible con TF, USB y Micro SD, con radio FM y función TWS (True Wireless Stereo), adecuada para relajarse en casa o viajar al aire libre.</t>
        </is>
      </c>
      <c r="H4391" s="16" t="inlineStr">
        <is>
          <t>KTS-1678Y</t>
        </is>
      </c>
      <c r="I4391" s="16" t="n">
        <v>6</v>
      </c>
      <c r="J4391" s="17" t="n">
        <v>246</v>
      </c>
      <c r="K4391" s="17" t="n">
        <v>240.1</v>
      </c>
      <c r="L4391" s="17" t="n">
        <v>0</v>
      </c>
      <c r="M4391" s="17" t="n">
        <v>0</v>
      </c>
      <c r="N4391" s="17">
        <f>K4391*0.08+L4391*0.08</f>
        <v/>
      </c>
      <c r="O4391" s="17">
        <f>-(K4391*0.025+L4391*0.025)</f>
        <v/>
      </c>
      <c r="P4391" s="17">
        <f>32</f>
        <v/>
      </c>
      <c r="Q4391" s="17">
        <f>J4391+L4391+N4391+O4391-P4391-M4391</f>
        <v/>
      </c>
    </row>
    <row r="4392">
      <c r="A4392" s="16" t="inlineStr">
        <is>
          <t>5.8-5.14</t>
        </is>
      </c>
      <c r="B4392" s="16" t="inlineStr">
        <is>
          <t>PO-128-20927903806072778</t>
        </is>
      </c>
      <c r="C4392" s="16" t="inlineStr">
        <is>
          <t>Shipped</t>
        </is>
      </c>
      <c r="D4392" s="16" t="inlineStr">
        <is>
          <t>128-20928063713912778</t>
        </is>
      </c>
      <c r="E4392" s="16" t="inlineStr">
        <is>
          <t>Shipped</t>
        </is>
      </c>
      <c r="F4392" s="16" t="inlineStr">
        <is>
          <t>LV25W22</t>
        </is>
      </c>
      <c r="G43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92" s="16" t="inlineStr">
        <is>
          <t>LV25W32</t>
        </is>
      </c>
      <c r="I4392" s="16" t="n">
        <v>1</v>
      </c>
      <c r="J4392" s="17" t="n">
        <v>97</v>
      </c>
      <c r="K4392" s="17" t="n">
        <v>24.65</v>
      </c>
      <c r="L4392" s="17" t="n">
        <v>25.86</v>
      </c>
      <c r="M4392" s="17" t="n">
        <v>0</v>
      </c>
      <c r="N4392" s="17">
        <f>K4392*0.08+L4392*0.08</f>
        <v/>
      </c>
      <c r="O4392" s="17">
        <f>-(K4392*0.025+L4392*0.025)</f>
        <v/>
      </c>
      <c r="P4392" s="17">
        <f>32</f>
        <v/>
      </c>
      <c r="Q4392" s="17">
        <f>J4392+L4392+N4392+O4392-P4392-M4392</f>
        <v/>
      </c>
    </row>
    <row r="4393">
      <c r="A4393" s="16" t="inlineStr">
        <is>
          <t>5.8-5.14</t>
        </is>
      </c>
      <c r="B4393" s="16" t="inlineStr">
        <is>
          <t>PO-128-20623934730873502</t>
        </is>
      </c>
      <c r="C4393" s="16" t="inlineStr">
        <is>
          <t>Shipped</t>
        </is>
      </c>
      <c r="D4393" s="16" t="inlineStr">
        <is>
          <t>128-20624039588473502</t>
        </is>
      </c>
      <c r="E4393" s="16" t="inlineStr">
        <is>
          <t>Shipped</t>
        </is>
      </c>
      <c r="F4393" s="16" t="inlineStr">
        <is>
          <t>SA8056T</t>
        </is>
      </c>
      <c r="G439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393" s="16" t="inlineStr">
        <is>
          <t>SA8056T</t>
        </is>
      </c>
      <c r="I4393" s="16" t="n">
        <v>1</v>
      </c>
      <c r="J4393" s="17" t="n">
        <v>123.9</v>
      </c>
      <c r="K4393" s="17" t="n">
        <v>101.18</v>
      </c>
      <c r="L4393" s="17" t="n">
        <v>25.86</v>
      </c>
      <c r="M4393" s="17" t="n">
        <v>0</v>
      </c>
      <c r="N4393" s="17">
        <f>K4393*0.08+L4393*0.08</f>
        <v/>
      </c>
      <c r="O4393" s="17">
        <f>-(K4393*0.025+L4393*0.025)</f>
        <v/>
      </c>
      <c r="P4393" s="17">
        <f>32</f>
        <v/>
      </c>
      <c r="Q4393" s="17">
        <f>J4393+L4393+N4393+O4393-P4393-M4393</f>
        <v/>
      </c>
    </row>
    <row r="4394">
      <c r="A4394" s="16" t="inlineStr">
        <is>
          <t>5.8-5.14</t>
        </is>
      </c>
      <c r="B4394" s="16" t="inlineStr">
        <is>
          <t>PO-128-20906160886392908</t>
        </is>
      </c>
      <c r="C4394" s="16" t="inlineStr">
        <is>
          <t>Shipped</t>
        </is>
      </c>
      <c r="D4394" s="16" t="inlineStr">
        <is>
          <t>128-20906202829432908</t>
        </is>
      </c>
      <c r="E4394" s="16" t="inlineStr">
        <is>
          <t>Shipped</t>
        </is>
      </c>
      <c r="F4394" s="16" t="inlineStr">
        <is>
          <t>MB-185R</t>
        </is>
      </c>
      <c r="G4394" s="16" t="inlineStr">
        <is>
          <t>Bocina Radio FM/Reproductor, Compatible con Tarjeta TF, USB, Bluetooth, Aplicable para celular, computadora, Ipad y consola.</t>
        </is>
      </c>
      <c r="H4394" s="16" t="inlineStr">
        <is>
          <t>ROJO/MB-185</t>
        </is>
      </c>
      <c r="I4394" s="16" t="n">
        <v>1</v>
      </c>
      <c r="J4394" s="17" t="n">
        <v>75.59999999999999</v>
      </c>
      <c r="K4394" s="17" t="n">
        <v>5.79</v>
      </c>
      <c r="L4394" s="17" t="n">
        <v>25.86</v>
      </c>
      <c r="M4394" s="17" t="n">
        <v>0</v>
      </c>
      <c r="N4394" s="17">
        <f>K4394*0.08+L4394*0.08</f>
        <v/>
      </c>
      <c r="O4394" s="17">
        <f>-(K4394*0.025+L4394*0.025)</f>
        <v/>
      </c>
      <c r="P4394" s="17">
        <f>32</f>
        <v/>
      </c>
      <c r="Q4394" s="17">
        <f>J4394+L4394+N4394+O4394-P4394-M4394</f>
        <v/>
      </c>
    </row>
    <row r="4395">
      <c r="A4395" s="16" t="inlineStr">
        <is>
          <t>5.8-5.14</t>
        </is>
      </c>
      <c r="B4395" s="16" t="inlineStr">
        <is>
          <t>PO-128-20984414684791290</t>
        </is>
      </c>
      <c r="C4395" s="16" t="inlineStr">
        <is>
          <t>Shipped</t>
        </is>
      </c>
      <c r="D4395" s="16" t="inlineStr">
        <is>
          <t>128-20984372741751290</t>
        </is>
      </c>
      <c r="E4395" s="16" t="inlineStr">
        <is>
          <t>Shipped</t>
        </is>
      </c>
      <c r="F4395" s="16" t="inlineStr">
        <is>
          <t>LV25W22</t>
        </is>
      </c>
      <c r="G43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95" s="16" t="inlineStr">
        <is>
          <t>LV25W32</t>
        </is>
      </c>
      <c r="I4395" s="16" t="n">
        <v>1</v>
      </c>
      <c r="J4395" s="17" t="n">
        <v>97</v>
      </c>
      <c r="K4395" s="17" t="n">
        <v>107.41</v>
      </c>
      <c r="L4395" s="17" t="n">
        <v>25.86</v>
      </c>
      <c r="M4395" s="17" t="n">
        <v>0</v>
      </c>
      <c r="N4395" s="17">
        <f>K4395*0.08+L4395*0.08</f>
        <v/>
      </c>
      <c r="O4395" s="17">
        <f>-(K4395*0.025+L4395*0.025)</f>
        <v/>
      </c>
      <c r="P4395" s="17">
        <f>32</f>
        <v/>
      </c>
      <c r="Q4395" s="17">
        <f>J4395+L4395+N4395+O4395-P4395-M4395</f>
        <v/>
      </c>
    </row>
    <row r="4396">
      <c r="A4396" s="16" t="inlineStr">
        <is>
          <t>5.8-5.14</t>
        </is>
      </c>
      <c r="B4396" s="16" t="inlineStr">
        <is>
          <t>PO-128-20971397064311497</t>
        </is>
      </c>
      <c r="C4396" s="16" t="inlineStr">
        <is>
          <t>Shipped</t>
        </is>
      </c>
      <c r="D4396" s="16" t="inlineStr">
        <is>
          <t>128-20971389199991497</t>
        </is>
      </c>
      <c r="E4396" s="16" t="inlineStr">
        <is>
          <t>Shipped</t>
        </is>
      </c>
      <c r="F4396" s="16" t="inlineStr">
        <is>
          <t>LV25W22</t>
        </is>
      </c>
      <c r="G43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96" s="16" t="inlineStr">
        <is>
          <t>LV25W32</t>
        </is>
      </c>
      <c r="I4396" s="16" t="n">
        <v>3</v>
      </c>
      <c r="J4396" s="17" t="n">
        <v>291</v>
      </c>
      <c r="K4396" s="17" t="n">
        <v>248.1</v>
      </c>
      <c r="L4396" s="17" t="n">
        <v>0</v>
      </c>
      <c r="M4396" s="17" t="n">
        <v>0</v>
      </c>
      <c r="N4396" s="17">
        <f>K4396*0.08+L4396*0.08</f>
        <v/>
      </c>
      <c r="O4396" s="17">
        <f>-(K4396*0.025+L4396*0.025)</f>
        <v/>
      </c>
      <c r="P4396" s="17">
        <f>32</f>
        <v/>
      </c>
      <c r="Q4396" s="17">
        <f>J4396+L4396+N4396+O4396-P4396-M4396</f>
        <v/>
      </c>
    </row>
    <row r="4397">
      <c r="A4397" s="16" t="inlineStr">
        <is>
          <t>5.8-5.14</t>
        </is>
      </c>
      <c r="B4397" s="16" t="inlineStr">
        <is>
          <t>PO-128-20856758600312053</t>
        </is>
      </c>
      <c r="C4397" s="16" t="inlineStr">
        <is>
          <t>Shipped</t>
        </is>
      </c>
      <c r="D4397" s="16" t="inlineStr">
        <is>
          <t>128-20856748114552053</t>
        </is>
      </c>
      <c r="E4397" s="16" t="inlineStr">
        <is>
          <t>Shipped</t>
        </is>
      </c>
      <c r="F4397" s="16" t="inlineStr">
        <is>
          <t>LV25W22</t>
        </is>
      </c>
      <c r="G43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397" s="16" t="inlineStr">
        <is>
          <t>LV25W32</t>
        </is>
      </c>
      <c r="I4397" s="16" t="n">
        <v>2</v>
      </c>
      <c r="J4397" s="17" t="n">
        <v>194</v>
      </c>
      <c r="K4397" s="17" t="n">
        <v>214.82</v>
      </c>
      <c r="L4397" s="17" t="n">
        <v>25.86</v>
      </c>
      <c r="M4397" s="17" t="n">
        <v>0</v>
      </c>
      <c r="N4397" s="17">
        <f>K4397*0.08+L4397*0.08</f>
        <v/>
      </c>
      <c r="O4397" s="17">
        <f>-(K4397*0.025+L4397*0.025)</f>
        <v/>
      </c>
      <c r="P4397" s="17">
        <f>32</f>
        <v/>
      </c>
      <c r="Q4397" s="17">
        <f>J4397+L4397+N4397+O4397-P4397-M4397</f>
        <v/>
      </c>
    </row>
    <row r="4398">
      <c r="A4398" s="16" t="inlineStr">
        <is>
          <t>5.8-5.14</t>
        </is>
      </c>
      <c r="B4398" s="16" t="inlineStr">
        <is>
          <t>PO-128-20638829619833351</t>
        </is>
      </c>
      <c r="C4398" s="16" t="inlineStr">
        <is>
          <t>Shipped</t>
        </is>
      </c>
      <c r="D4398" s="16" t="inlineStr">
        <is>
          <t>128-20638857144953351</t>
        </is>
      </c>
      <c r="E4398" s="16" t="inlineStr">
        <is>
          <t>Shipped</t>
        </is>
      </c>
      <c r="F4398" s="16" t="inlineStr">
        <is>
          <t>KTS-1678Y</t>
        </is>
      </c>
      <c r="G4398" s="16" t="inlineStr">
        <is>
          <t>Bocina portátil Inalámbrico, de 3 pulgadas, tamaño de bolsillo, 170 g, con asa, compatible con TF, USB y Micro SD, con radio FM y función TWS (True Wireless Stereo), adecuada para relajarse en casa o viajar al aire libre.</t>
        </is>
      </c>
      <c r="H4398" s="16" t="inlineStr">
        <is>
          <t>KTS-1678Y</t>
        </is>
      </c>
      <c r="I4398" s="16" t="n">
        <v>2</v>
      </c>
      <c r="J4398" s="17" t="n">
        <v>82</v>
      </c>
      <c r="K4398" s="17" t="n">
        <v>94.40000000000001</v>
      </c>
      <c r="L4398" s="17" t="n">
        <v>25.86</v>
      </c>
      <c r="M4398" s="17" t="n">
        <v>0</v>
      </c>
      <c r="N4398" s="17">
        <f>K4398*0.08+L4398*0.08</f>
        <v/>
      </c>
      <c r="O4398" s="17">
        <f>-(K4398*0.025+L4398*0.025)</f>
        <v/>
      </c>
      <c r="P4398" s="17">
        <f>32</f>
        <v/>
      </c>
      <c r="Q4398" s="17">
        <f>J4398+L4398+N4398+O4398-P4398-M4398</f>
        <v/>
      </c>
    </row>
    <row r="4399">
      <c r="A4399" s="16" t="inlineStr">
        <is>
          <t>5.8-5.14</t>
        </is>
      </c>
      <c r="B4399" s="16" t="inlineStr">
        <is>
          <t>PO-128-21069966807671804</t>
        </is>
      </c>
      <c r="C4399" s="16" t="inlineStr">
        <is>
          <t>Shipped</t>
        </is>
      </c>
      <c r="D4399" s="16" t="inlineStr">
        <is>
          <t>128-21069924864631804</t>
        </is>
      </c>
      <c r="E4399" s="16" t="inlineStr">
        <is>
          <t>Shipped</t>
        </is>
      </c>
      <c r="F4399" s="16" t="inlineStr">
        <is>
          <t>MCM-001G</t>
        </is>
      </c>
      <c r="G4399" s="16" t="inlineStr">
        <is>
          <t>Musicord Altavoz Inalámbrico BT Portátil: ¡Sonido impactante, luces LED multicolores y 4 horas de autonomía! Compatible con TWS, FM, TF y USB – Imprescindible para fiestas y viajes</t>
        </is>
      </c>
      <c r="H4399" s="16" t="inlineStr">
        <is>
          <t>GRIS</t>
        </is>
      </c>
      <c r="I4399" s="16" t="n">
        <v>1</v>
      </c>
      <c r="J4399" s="17" t="n">
        <v>51.07</v>
      </c>
      <c r="K4399" s="17" t="n">
        <v>2</v>
      </c>
      <c r="L4399" s="17" t="n">
        <v>25.86</v>
      </c>
      <c r="M4399" s="17" t="n">
        <v>0</v>
      </c>
      <c r="N4399" s="17">
        <f>K4399*0.08+L4399*0.08</f>
        <v/>
      </c>
      <c r="O4399" s="17">
        <f>-(K4399*0.025+L4399*0.025)</f>
        <v/>
      </c>
      <c r="P4399" s="17">
        <f>32</f>
        <v/>
      </c>
      <c r="Q4399" s="17">
        <f>J4399+L4399+N4399+O4399-P4399-M4399</f>
        <v/>
      </c>
    </row>
    <row r="4400">
      <c r="A4400" s="16" t="inlineStr">
        <is>
          <t>5.8-5.14</t>
        </is>
      </c>
      <c r="B4400" s="16" t="inlineStr">
        <is>
          <t>PO-128-20987047373431338</t>
        </is>
      </c>
      <c r="C4400" s="16" t="inlineStr">
        <is>
          <t>Shipped</t>
        </is>
      </c>
      <c r="D4400" s="16" t="inlineStr">
        <is>
          <t>128-20987115530871338</t>
        </is>
      </c>
      <c r="E4400" s="16" t="inlineStr">
        <is>
          <t>Shipped</t>
        </is>
      </c>
      <c r="F4400" s="16" t="inlineStr">
        <is>
          <t>LB02235-blanco</t>
        </is>
      </c>
      <c r="G4400" s="16" t="inlineStr">
        <is>
          <t>Audífonos Inalámbricos para la Cabeza, Recargables y Multifuncionales - Conectan a Varios Dispositivos, soportan Radio FM, Tarjeta TF y AUX - 4 Horas de Reproducción Musical - Ideal para Trabajo Cotidiano, Juegos y Estudio</t>
        </is>
      </c>
      <c r="H4400" s="16" t="inlineStr">
        <is>
          <t>BLANCO</t>
        </is>
      </c>
      <c r="I4400" s="16" t="n">
        <v>10</v>
      </c>
      <c r="J4400" s="17" t="n">
        <v>380</v>
      </c>
      <c r="K4400" s="17" t="n">
        <v>511.2</v>
      </c>
      <c r="L4400" s="17" t="n">
        <v>0</v>
      </c>
      <c r="M4400" s="17" t="n">
        <v>0</v>
      </c>
      <c r="N4400" s="17">
        <f>K4400*0.08+L4400*0.08</f>
        <v/>
      </c>
      <c r="O4400" s="17">
        <f>-(K4400*0.025+L4400*0.025)</f>
        <v/>
      </c>
      <c r="P4400" s="17">
        <f>32</f>
        <v/>
      </c>
      <c r="Q4400" s="17">
        <f>J4400+L4400+N4400+O4400-P4400-M4400</f>
        <v/>
      </c>
    </row>
    <row r="4401">
      <c r="A4401" s="16" t="inlineStr">
        <is>
          <t>5.8-5.14</t>
        </is>
      </c>
      <c r="B4401" s="16" t="inlineStr">
        <is>
          <t>PO-128-20979676780151510</t>
        </is>
      </c>
      <c r="C4401" s="16" t="inlineStr">
        <is>
          <t>Shipped</t>
        </is>
      </c>
      <c r="D4401" s="16" t="inlineStr">
        <is>
          <t>128-20979666294391510</t>
        </is>
      </c>
      <c r="E4401" s="16" t="inlineStr">
        <is>
          <t>Shipped</t>
        </is>
      </c>
      <c r="F4401" s="16" t="inlineStr">
        <is>
          <t>MCM-001N</t>
        </is>
      </c>
      <c r="G4401" s="16" t="inlineStr">
        <is>
          <t>Musicord Altavoz Inalámbrico BT Portátil: ¡Sonido impactante, luces LED multicolores y 4 horas de autonomía! Compatible con TWS, FM, TF y USB – Imprescindible para fiestas y viajes</t>
        </is>
      </c>
      <c r="H4401" s="16" t="inlineStr">
        <is>
          <t>NEGRO</t>
        </is>
      </c>
      <c r="I4401" s="16" t="n">
        <v>1</v>
      </c>
      <c r="J4401" s="17" t="n">
        <v>61</v>
      </c>
      <c r="K4401" s="17" t="n">
        <v>72.27</v>
      </c>
      <c r="L4401" s="17" t="n">
        <v>25.86</v>
      </c>
      <c r="M4401" s="17" t="n">
        <v>0</v>
      </c>
      <c r="N4401" s="17">
        <f>K4401*0.08+L4401*0.08</f>
        <v/>
      </c>
      <c r="O4401" s="17">
        <f>-(K4401*0.025+L4401*0.025)</f>
        <v/>
      </c>
      <c r="P4401" s="17">
        <f>32</f>
        <v/>
      </c>
      <c r="Q4401" s="17">
        <f>J4401+L4401+N4401+O4401-P4401-M4401</f>
        <v/>
      </c>
    </row>
    <row r="4402">
      <c r="A4402" s="16" t="inlineStr">
        <is>
          <t>5.8-5.14</t>
        </is>
      </c>
      <c r="B4402" s="16" t="inlineStr">
        <is>
          <t>PO-128-21069952640631804</t>
        </is>
      </c>
      <c r="C4402" s="16" t="inlineStr">
        <is>
          <t>Shipped</t>
        </is>
      </c>
      <c r="D4402" s="16" t="inlineStr">
        <is>
          <t>128-21069973612151804</t>
        </is>
      </c>
      <c r="E4402" s="16" t="inlineStr">
        <is>
          <t>Shipped</t>
        </is>
      </c>
      <c r="F4402" s="16" t="inlineStr">
        <is>
          <t>MCM-001G</t>
        </is>
      </c>
      <c r="G4402" s="16" t="inlineStr">
        <is>
          <t>Musicord Altavoz Inalámbrico BT Portátil: ¡Sonido impactante, luces LED multicolores y 4 horas de autonomía! Compatible con TWS, FM, TF y USB – Imprescindible para fiestas y viajes</t>
        </is>
      </c>
      <c r="H4402" s="16" t="inlineStr">
        <is>
          <t>GRIS</t>
        </is>
      </c>
      <c r="I4402" s="16" t="n">
        <v>1</v>
      </c>
      <c r="J4402" s="17" t="n">
        <v>51.07</v>
      </c>
      <c r="K4402" s="17" t="n">
        <v>2</v>
      </c>
      <c r="L4402" s="17" t="n">
        <v>25.86</v>
      </c>
      <c r="M4402" s="17" t="n">
        <v>0</v>
      </c>
      <c r="N4402" s="17">
        <f>K4402*0.08+L4402*0.08</f>
        <v/>
      </c>
      <c r="O4402" s="17">
        <f>-(K4402*0.025+L4402*0.025)</f>
        <v/>
      </c>
      <c r="P4402" s="17">
        <f>32</f>
        <v/>
      </c>
      <c r="Q4402" s="17">
        <f>J4402+L4402+N4402+O4402-P4402-M4402</f>
        <v/>
      </c>
    </row>
    <row r="4403">
      <c r="A4403" s="16" t="inlineStr">
        <is>
          <t>5.8-5.14</t>
        </is>
      </c>
      <c r="B4403" s="16" t="inlineStr">
        <is>
          <t>PO-128-21220846971510904</t>
        </is>
      </c>
      <c r="C4403" s="16" t="inlineStr">
        <is>
          <t>Shipped</t>
        </is>
      </c>
      <c r="D4403" s="16" t="inlineStr">
        <is>
          <t>128-21220841728630904</t>
        </is>
      </c>
      <c r="E4403" s="16" t="inlineStr">
        <is>
          <t>Shipped</t>
        </is>
      </c>
      <c r="F4403" s="16" t="inlineStr">
        <is>
          <t>LV25W22</t>
        </is>
      </c>
      <c r="G44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03" s="16" t="inlineStr">
        <is>
          <t>LV25W32</t>
        </is>
      </c>
      <c r="I4403" s="16" t="n">
        <v>1</v>
      </c>
      <c r="J4403" s="17" t="n">
        <v>97</v>
      </c>
      <c r="K4403" s="17" t="n">
        <v>107.41</v>
      </c>
      <c r="L4403" s="17" t="n">
        <v>25.86</v>
      </c>
      <c r="M4403" s="17" t="n">
        <v>0</v>
      </c>
      <c r="N4403" s="17">
        <f>K4403*0.08+L4403*0.08</f>
        <v/>
      </c>
      <c r="O4403" s="17">
        <f>-(K4403*0.025+L4403*0.025)</f>
        <v/>
      </c>
      <c r="P4403" s="17">
        <f>32</f>
        <v/>
      </c>
      <c r="Q4403" s="17">
        <f>J4403+L4403+N4403+O4403-P4403-M4403</f>
        <v/>
      </c>
    </row>
    <row r="4404">
      <c r="A4404" s="16" t="inlineStr">
        <is>
          <t>5.8-5.14</t>
        </is>
      </c>
      <c r="B4404" s="16" t="inlineStr">
        <is>
          <t>PO-128-20870198805112162</t>
        </is>
      </c>
      <c r="C4404" s="16" t="inlineStr">
        <is>
          <t>Shipped</t>
        </is>
      </c>
      <c r="D4404" s="16" t="inlineStr">
        <is>
          <t>128-20870335119992162</t>
        </is>
      </c>
      <c r="E4404" s="16" t="inlineStr">
        <is>
          <t>Shipped</t>
        </is>
      </c>
      <c r="F4404" s="16" t="inlineStr">
        <is>
          <t>SA325T</t>
        </is>
      </c>
      <c r="G4404" s="16" t="inlineStr">
        <is>
          <t>Subwoofer Portátil Inalámbrico con Luces RGB, Sonido de Alta Potencia y Batería Duradera, TWS TF USB, Perfecto para Campamento Fiestas y Entretenimiento en Casa</t>
        </is>
      </c>
      <c r="H4404" s="16" t="inlineStr">
        <is>
          <t>NEGRO</t>
        </is>
      </c>
      <c r="I4404" s="16" t="n">
        <v>1</v>
      </c>
      <c r="J4404" s="17" t="n">
        <v>38</v>
      </c>
      <c r="K4404" s="17" t="n">
        <v>3.96</v>
      </c>
      <c r="L4404" s="17" t="n">
        <v>25.86</v>
      </c>
      <c r="M4404" s="17" t="n">
        <v>0</v>
      </c>
      <c r="N4404" s="17">
        <f>K4404*0.08+L4404*0.08</f>
        <v/>
      </c>
      <c r="O4404" s="17">
        <f>-(K4404*0.025+L4404*0.025)</f>
        <v/>
      </c>
      <c r="P4404" s="17">
        <f>32</f>
        <v/>
      </c>
      <c r="Q4404" s="17">
        <f>J4404+L4404+N4404+O4404-P4404-M4404</f>
        <v/>
      </c>
    </row>
    <row r="4405">
      <c r="A4405" s="16" t="inlineStr">
        <is>
          <t>5.8-5.14</t>
        </is>
      </c>
      <c r="B4405" s="16" t="inlineStr">
        <is>
          <t>PO-128-21036776504951106</t>
        </is>
      </c>
      <c r="C4405" s="16" t="inlineStr">
        <is>
          <t>Shipped</t>
        </is>
      </c>
      <c r="D4405" s="16" t="inlineStr">
        <is>
          <t>128-21036734561911106</t>
        </is>
      </c>
      <c r="E4405" s="16" t="inlineStr">
        <is>
          <t>Shipped</t>
        </is>
      </c>
      <c r="F4405" s="16" t="inlineStr">
        <is>
          <t>LB02235-rojo</t>
        </is>
      </c>
      <c r="G4405" s="16" t="inlineStr">
        <is>
          <t>Audífonos Inalámbricos para la Cabeza, Recargables y Multifuncionales - Conectan a Varios Dispositivos, soportan Radio FM, Tarjeta TF y AUX - 4 Horas de Reproducción Musical - Ideal para Trabajo Cotidiano, Juegos y Estudio</t>
        </is>
      </c>
      <c r="H4405" s="16" t="inlineStr">
        <is>
          <t>ROJO</t>
        </is>
      </c>
      <c r="I4405" s="16" t="n">
        <v>1</v>
      </c>
      <c r="J4405" s="17" t="n">
        <v>38</v>
      </c>
      <c r="K4405" s="17" t="n">
        <v>51.12</v>
      </c>
      <c r="L4405" s="17" t="n">
        <v>25.86</v>
      </c>
      <c r="M4405" s="17" t="n">
        <v>0</v>
      </c>
      <c r="N4405" s="17">
        <f>K4405*0.08+L4405*0.08</f>
        <v/>
      </c>
      <c r="O4405" s="17">
        <f>-(K4405*0.025+L4405*0.025)</f>
        <v/>
      </c>
      <c r="P4405" s="17">
        <f>32</f>
        <v/>
      </c>
      <c r="Q4405" s="17">
        <f>J4405+L4405+N4405+O4405-P4405-M4405</f>
        <v/>
      </c>
    </row>
    <row r="4406">
      <c r="A4406" s="16" t="inlineStr">
        <is>
          <t>5.8-5.14</t>
        </is>
      </c>
      <c r="B4406" s="16" t="inlineStr">
        <is>
          <t>PO-128-20783871406713703</t>
        </is>
      </c>
      <c r="C4406" s="16" t="inlineStr">
        <is>
          <t>Shipped</t>
        </is>
      </c>
      <c r="D4406" s="16" t="inlineStr">
        <is>
          <t>128-20783884513913703</t>
        </is>
      </c>
      <c r="E4406" s="16" t="inlineStr">
        <is>
          <t>Shipped</t>
        </is>
      </c>
      <c r="F4406" s="16" t="inlineStr">
        <is>
          <t>SA325T</t>
        </is>
      </c>
      <c r="G4406" s="16" t="inlineStr">
        <is>
          <t>Subwoofer Portátil Inalámbrico con Luces RGB, Sonido de Alta Potencia y Batería Duradera, TWS TF USB, Perfecto para Campamento Fiestas y Entretenimiento en Casa</t>
        </is>
      </c>
      <c r="H4406" s="16" t="inlineStr">
        <is>
          <t>NEGRO</t>
        </is>
      </c>
      <c r="I4406" s="16" t="n">
        <v>1</v>
      </c>
      <c r="J4406" s="17" t="n">
        <v>38</v>
      </c>
      <c r="K4406" s="17" t="n">
        <v>47.06</v>
      </c>
      <c r="L4406" s="17" t="n">
        <v>25.86</v>
      </c>
      <c r="M4406" s="17" t="n">
        <v>0</v>
      </c>
      <c r="N4406" s="17">
        <f>K4406*0.08+L4406*0.08</f>
        <v/>
      </c>
      <c r="O4406" s="17">
        <f>-(K4406*0.025+L4406*0.025)</f>
        <v/>
      </c>
      <c r="P4406" s="17">
        <f>32</f>
        <v/>
      </c>
      <c r="Q4406" s="17">
        <f>J4406+L4406+N4406+O4406-P4406-M4406</f>
        <v/>
      </c>
    </row>
    <row r="4407">
      <c r="A4407" s="16" t="inlineStr">
        <is>
          <t>5.8-5.14</t>
        </is>
      </c>
      <c r="B4407" s="16" t="inlineStr">
        <is>
          <t>PO-128-21042250936951139</t>
        </is>
      </c>
      <c r="C4407" s="16" t="inlineStr">
        <is>
          <t>Shipped</t>
        </is>
      </c>
      <c r="D4407" s="16" t="inlineStr">
        <is>
          <t>128-21042303365751139</t>
        </is>
      </c>
      <c r="E4407" s="16" t="inlineStr">
        <is>
          <t>Shipped</t>
        </is>
      </c>
      <c r="F4407" s="16" t="inlineStr">
        <is>
          <t>S58W60</t>
        </is>
      </c>
      <c r="G4407"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4407" s="16" t="inlineStr">
        <is>
          <t>1 pieza</t>
        </is>
      </c>
      <c r="I4407" s="16" t="n">
        <v>2</v>
      </c>
      <c r="J4407" s="17" t="n">
        <v>100</v>
      </c>
      <c r="K4407" s="17" t="n">
        <v>61.56</v>
      </c>
      <c r="L4407" s="17" t="n">
        <v>25.86</v>
      </c>
      <c r="M4407" s="17" t="n">
        <v>0</v>
      </c>
      <c r="N4407" s="17">
        <f>K4407*0.08+L4407*0.08</f>
        <v/>
      </c>
      <c r="O4407" s="17">
        <f>-(K4407*0.025+L4407*0.025)</f>
        <v/>
      </c>
      <c r="P4407" s="17">
        <f>32</f>
        <v/>
      </c>
      <c r="Q4407" s="17">
        <f>J4407+L4407+N4407+O4407-P4407-M4407</f>
        <v/>
      </c>
    </row>
    <row r="4408">
      <c r="A4408" s="16" t="inlineStr">
        <is>
          <t>5.8-5.14</t>
        </is>
      </c>
      <c r="B4408" s="16" t="inlineStr">
        <is>
          <t>PO-128-20679234504313303</t>
        </is>
      </c>
      <c r="C4408" s="16" t="inlineStr">
        <is>
          <t>Shipped</t>
        </is>
      </c>
      <c r="D4408" s="16" t="inlineStr">
        <is>
          <t>128-20679192561273303</t>
        </is>
      </c>
      <c r="E4408" s="16" t="inlineStr">
        <is>
          <t>Shipped</t>
        </is>
      </c>
      <c r="F4408" s="16" t="inlineStr">
        <is>
          <t>LV25W22</t>
        </is>
      </c>
      <c r="G440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08" s="16" t="inlineStr">
        <is>
          <t>LV25W32</t>
        </is>
      </c>
      <c r="I4408" s="16" t="n">
        <v>1</v>
      </c>
      <c r="J4408" s="17" t="n">
        <v>97</v>
      </c>
      <c r="K4408" s="17" t="n">
        <v>107.41</v>
      </c>
      <c r="L4408" s="17" t="n">
        <v>25.86</v>
      </c>
      <c r="M4408" s="17" t="n">
        <v>0</v>
      </c>
      <c r="N4408" s="17">
        <f>K4408*0.08+L4408*0.08</f>
        <v/>
      </c>
      <c r="O4408" s="17">
        <f>-(K4408*0.025+L4408*0.025)</f>
        <v/>
      </c>
      <c r="P4408" s="17">
        <f>32</f>
        <v/>
      </c>
      <c r="Q4408" s="17">
        <f>J4408+L4408+N4408+O4408-P4408-M4408</f>
        <v/>
      </c>
    </row>
    <row r="4409">
      <c r="A4409" s="16" t="inlineStr">
        <is>
          <t>5.8-5.14</t>
        </is>
      </c>
      <c r="B4409" s="16" t="inlineStr">
        <is>
          <t>PO-128-20733504983673875</t>
        </is>
      </c>
      <c r="C4409" s="16" t="inlineStr">
        <is>
          <t>Shipped</t>
        </is>
      </c>
      <c r="D4409" s="16" t="inlineStr">
        <is>
          <t>128-20733546926713875</t>
        </is>
      </c>
      <c r="E4409" s="16" t="inlineStr">
        <is>
          <t>Shipped</t>
        </is>
      </c>
      <c r="F4409" s="16" t="inlineStr">
        <is>
          <t>LB02235-rojo</t>
        </is>
      </c>
      <c r="G4409" s="16" t="inlineStr">
        <is>
          <t>Audífonos Inalámbricos para la Cabeza, Recargables y Multifuncionales - Conectan a Varios Dispositivos, soportan Radio FM, Tarjeta TF y AUX - 4 Horas de Reproducción Musical - Ideal para Trabajo Cotidiano, Juegos y Estudio</t>
        </is>
      </c>
      <c r="H4409" s="16" t="inlineStr">
        <is>
          <t>ROJO</t>
        </is>
      </c>
      <c r="I4409" s="16" t="n">
        <v>1</v>
      </c>
      <c r="J4409" s="17" t="n">
        <v>38</v>
      </c>
      <c r="K4409" s="17" t="n">
        <v>8.02</v>
      </c>
      <c r="L4409" s="17" t="n">
        <v>25.86</v>
      </c>
      <c r="M4409" s="17" t="n">
        <v>0</v>
      </c>
      <c r="N4409" s="17">
        <f>K4409*0.08+L4409*0.08</f>
        <v/>
      </c>
      <c r="O4409" s="17">
        <f>-(K4409*0.025+L4409*0.025)</f>
        <v/>
      </c>
      <c r="P4409" s="17">
        <f>32</f>
        <v/>
      </c>
      <c r="Q4409" s="17">
        <f>J4409+L4409+N4409+O4409-P4409-M4409</f>
        <v/>
      </c>
    </row>
    <row r="4410">
      <c r="A4410" s="16" t="inlineStr">
        <is>
          <t>5.8-5.14</t>
        </is>
      </c>
      <c r="B4410" s="16" t="inlineStr">
        <is>
          <t>PO-128-20895393301112844</t>
        </is>
      </c>
      <c r="C4410" s="16" t="inlineStr">
        <is>
          <t>Shipped</t>
        </is>
      </c>
      <c r="D4410" s="16" t="inlineStr">
        <is>
          <t>128-20895367086712844</t>
        </is>
      </c>
      <c r="E4410" s="16" t="inlineStr">
        <is>
          <t>Shipped</t>
        </is>
      </c>
      <c r="F4410" s="16" t="inlineStr">
        <is>
          <t>MB-185N</t>
        </is>
      </c>
      <c r="G4410" s="16" t="inlineStr">
        <is>
          <t>Bocina Radio FM/Reproductor, Compatible con Tarjeta TF, USB, Bluetooth, Aplicable para celular, computadora, Ipad y consola.</t>
        </is>
      </c>
      <c r="H4410" s="16" t="inlineStr">
        <is>
          <t>NEGRO/MB-185</t>
        </is>
      </c>
      <c r="I4410" s="16" t="n">
        <v>1</v>
      </c>
      <c r="J4410" s="17" t="n">
        <v>75.5</v>
      </c>
      <c r="K4410" s="17" t="n">
        <v>88.45999999999999</v>
      </c>
      <c r="L4410" s="17" t="n">
        <v>25.86</v>
      </c>
      <c r="M4410" s="17" t="n">
        <v>0</v>
      </c>
      <c r="N4410" s="17">
        <f>K4410*0.08+L4410*0.08</f>
        <v/>
      </c>
      <c r="O4410" s="17">
        <f>-(K4410*0.025+L4410*0.025)</f>
        <v/>
      </c>
      <c r="P4410" s="17">
        <f>32</f>
        <v/>
      </c>
      <c r="Q4410" s="17">
        <f>J4410+L4410+N4410+O4410-P4410-M4410</f>
        <v/>
      </c>
    </row>
    <row r="4411">
      <c r="A4411" s="16" t="inlineStr">
        <is>
          <t>5.8-5.14</t>
        </is>
      </c>
      <c r="B4411" s="16" t="inlineStr">
        <is>
          <t>PO-128-21170160548470377</t>
        </is>
      </c>
      <c r="C4411" s="16" t="inlineStr">
        <is>
          <t>Shipped</t>
        </is>
      </c>
      <c r="D4411" s="16" t="inlineStr">
        <is>
          <t>128-21170118605430377</t>
        </is>
      </c>
      <c r="E4411" s="16" t="inlineStr">
        <is>
          <t>Shipped</t>
        </is>
      </c>
      <c r="F4411" s="16" t="inlineStr">
        <is>
          <t>LB02235-azul</t>
        </is>
      </c>
      <c r="G4411" s="16" t="inlineStr">
        <is>
          <t>Audífonos Inalámbricos para la Cabeza, Recargables y Multifuncionales - Conectan a Varios Dispositivos, soportan Radio FM, Tarjeta TF y AUX - 4 Horas de Reproducción Musical - Ideal para Trabajo Cotidiano, Juegos y Estudio</t>
        </is>
      </c>
      <c r="H4411" s="16" t="inlineStr">
        <is>
          <t>AZUL</t>
        </is>
      </c>
      <c r="I4411" s="16" t="n">
        <v>1</v>
      </c>
      <c r="J4411" s="17" t="n">
        <v>36.8</v>
      </c>
      <c r="K4411" s="17" t="n">
        <v>6.81</v>
      </c>
      <c r="L4411" s="17" t="n">
        <v>25.86</v>
      </c>
      <c r="M4411" s="17" t="n">
        <v>0</v>
      </c>
      <c r="N4411" s="17">
        <f>K4411*0.08+L4411*0.08</f>
        <v/>
      </c>
      <c r="O4411" s="17">
        <f>-(K4411*0.025+L4411*0.025)</f>
        <v/>
      </c>
      <c r="P4411" s="17">
        <f>32</f>
        <v/>
      </c>
      <c r="Q4411" s="17">
        <f>J4411+L4411+N4411+O4411-P4411-M4411</f>
        <v/>
      </c>
    </row>
    <row r="4412">
      <c r="A4412" s="16" t="inlineStr">
        <is>
          <t>5.8-5.14</t>
        </is>
      </c>
      <c r="B4412" s="16" t="inlineStr">
        <is>
          <t>PO-128-20978574838391516</t>
        </is>
      </c>
      <c r="C4412" s="16" t="inlineStr">
        <is>
          <t>Shipped</t>
        </is>
      </c>
      <c r="D4412" s="16" t="inlineStr">
        <is>
          <t>128-20978580081271516</t>
        </is>
      </c>
      <c r="E4412" s="16" t="inlineStr">
        <is>
          <t>Shipped</t>
        </is>
      </c>
      <c r="F4412" s="16" t="inlineStr">
        <is>
          <t>LV25W22</t>
        </is>
      </c>
      <c r="G44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12" s="16" t="inlineStr">
        <is>
          <t>LV25W32</t>
        </is>
      </c>
      <c r="I4412" s="16" t="n">
        <v>3</v>
      </c>
      <c r="J4412" s="17" t="n">
        <v>291</v>
      </c>
      <c r="K4412" s="17" t="n">
        <v>231.75</v>
      </c>
      <c r="L4412" s="17" t="n">
        <v>0</v>
      </c>
      <c r="M4412" s="17" t="n">
        <v>0</v>
      </c>
      <c r="N4412" s="17">
        <f>K4412*0.08+L4412*0.08</f>
        <v/>
      </c>
      <c r="O4412" s="17">
        <f>-(K4412*0.025+L4412*0.025)</f>
        <v/>
      </c>
      <c r="P4412" s="17">
        <f>32</f>
        <v/>
      </c>
      <c r="Q4412" s="17">
        <f>J4412+L4412+N4412+O4412-P4412-M4412</f>
        <v/>
      </c>
    </row>
    <row r="4413">
      <c r="A4413" s="16" t="inlineStr">
        <is>
          <t>5.8-5.14</t>
        </is>
      </c>
      <c r="B4413" s="16" t="inlineStr">
        <is>
          <t>PO-128-20864238838392134</t>
        </is>
      </c>
      <c r="C4413" s="16" t="inlineStr">
        <is>
          <t>Shipped</t>
        </is>
      </c>
      <c r="D4413" s="16" t="inlineStr">
        <is>
          <t>128-20864306995832134</t>
        </is>
      </c>
      <c r="E4413" s="16" t="inlineStr">
        <is>
          <t>Shipped</t>
        </is>
      </c>
      <c r="F4413" s="16" t="inlineStr">
        <is>
          <t>MB-185N</t>
        </is>
      </c>
      <c r="G4413" s="16" t="inlineStr">
        <is>
          <t>Bocina Radio FM/Reproductor, Compatible con Tarjeta TF, USB, Bluetooth, Aplicable para celular, computadora, Ipad y consola.</t>
        </is>
      </c>
      <c r="H4413" s="16" t="inlineStr">
        <is>
          <t>NEGRO/MB-185</t>
        </is>
      </c>
      <c r="I4413" s="16" t="n">
        <v>1</v>
      </c>
      <c r="J4413" s="17" t="n">
        <v>75.5</v>
      </c>
      <c r="K4413" s="17" t="n">
        <v>88.45999999999999</v>
      </c>
      <c r="L4413" s="17" t="n">
        <v>25.86</v>
      </c>
      <c r="M4413" s="17" t="n">
        <v>0</v>
      </c>
      <c r="N4413" s="17">
        <f>K4413*0.08+L4413*0.08</f>
        <v/>
      </c>
      <c r="O4413" s="17">
        <f>-(K4413*0.025+L4413*0.025)</f>
        <v/>
      </c>
      <c r="P4413" s="17">
        <f>32</f>
        <v/>
      </c>
      <c r="Q4413" s="17">
        <f>J4413+L4413+N4413+O4413-P4413-M4413</f>
        <v/>
      </c>
    </row>
    <row r="4414">
      <c r="A4414" s="16" t="inlineStr">
        <is>
          <t>5.8-5.14</t>
        </is>
      </c>
      <c r="B4414" s="16" t="inlineStr">
        <is>
          <t>PO-128-20828314245752412</t>
        </is>
      </c>
      <c r="C4414" s="16" t="inlineStr">
        <is>
          <t>Shipped</t>
        </is>
      </c>
      <c r="D4414" s="16" t="inlineStr">
        <is>
          <t>128-20828319488632412</t>
        </is>
      </c>
      <c r="E4414" s="16" t="inlineStr">
        <is>
          <t>Shipped</t>
        </is>
      </c>
      <c r="F4414" s="16" t="inlineStr">
        <is>
          <t>LB02235-azul</t>
        </is>
      </c>
      <c r="G4414" s="16" t="inlineStr">
        <is>
          <t>Audífonos Inalámbricos para la Cabeza, Recargables y Multifuncionales - Conectan a Varios Dispositivos, soportan Radio FM, Tarjeta TF y AUX - 4 Horas de Reproducción Musical - Ideal para Trabajo Cotidiano, Juegos y Estudio</t>
        </is>
      </c>
      <c r="H4414" s="16" t="inlineStr">
        <is>
          <t>AZUL</t>
        </is>
      </c>
      <c r="I4414" s="16" t="n">
        <v>1</v>
      </c>
      <c r="J4414" s="17" t="n">
        <v>36.8</v>
      </c>
      <c r="K4414" s="17" t="n">
        <v>49.91</v>
      </c>
      <c r="L4414" s="17" t="n">
        <v>25.86</v>
      </c>
      <c r="M4414" s="17" t="n">
        <v>0</v>
      </c>
      <c r="N4414" s="17">
        <f>K4414*0.08+L4414*0.08</f>
        <v/>
      </c>
      <c r="O4414" s="17">
        <f>-(K4414*0.025+L4414*0.025)</f>
        <v/>
      </c>
      <c r="P4414" s="17">
        <f>32</f>
        <v/>
      </c>
      <c r="Q4414" s="17">
        <f>J4414+L4414+N4414+O4414-P4414-M4414</f>
        <v/>
      </c>
    </row>
    <row r="4415">
      <c r="A4415" s="16" t="inlineStr">
        <is>
          <t>5.8-5.14</t>
        </is>
      </c>
      <c r="B4415" s="16" t="inlineStr">
        <is>
          <t>PO-128-21242962125430775</t>
        </is>
      </c>
      <c r="C4415" s="16" t="inlineStr">
        <is>
          <t>Shipped</t>
        </is>
      </c>
      <c r="D4415" s="16" t="inlineStr">
        <is>
          <t>128-21242920182390775</t>
        </is>
      </c>
      <c r="E4415" s="16" t="inlineStr">
        <is>
          <t>Shipped</t>
        </is>
      </c>
      <c r="F4415" s="16" t="inlineStr">
        <is>
          <t>LV25W22</t>
        </is>
      </c>
      <c r="G44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15" s="16" t="inlineStr">
        <is>
          <t>LV25W32</t>
        </is>
      </c>
      <c r="I4415" s="16" t="n">
        <v>1</v>
      </c>
      <c r="J4415" s="17" t="n">
        <v>97</v>
      </c>
      <c r="K4415" s="17" t="n">
        <v>107.41</v>
      </c>
      <c r="L4415" s="17" t="n">
        <v>25.86</v>
      </c>
      <c r="M4415" s="17" t="n">
        <v>0</v>
      </c>
      <c r="N4415" s="17">
        <f>K4415*0.08+L4415*0.08</f>
        <v/>
      </c>
      <c r="O4415" s="17">
        <f>-(K4415*0.025+L4415*0.025)</f>
        <v/>
      </c>
      <c r="P4415" s="17">
        <f>32</f>
        <v/>
      </c>
      <c r="Q4415" s="17">
        <f>J4415+L4415+N4415+O4415-P4415-M4415</f>
        <v/>
      </c>
    </row>
    <row r="4416">
      <c r="A4416" s="16" t="inlineStr">
        <is>
          <t>5.8-5.14</t>
        </is>
      </c>
      <c r="B4416" s="16" t="inlineStr">
        <is>
          <t>PO-128-21193084652150238</t>
        </is>
      </c>
      <c r="C4416" s="16" t="inlineStr">
        <is>
          <t>Shipped</t>
        </is>
      </c>
      <c r="D4416" s="16" t="inlineStr">
        <is>
          <t>128-21193146583670238</t>
        </is>
      </c>
      <c r="E4416" s="16" t="inlineStr">
        <is>
          <t>Shipped</t>
        </is>
      </c>
      <c r="F4416" s="16" t="inlineStr">
        <is>
          <t>LB02235-azul</t>
        </is>
      </c>
      <c r="G4416" s="16" t="inlineStr">
        <is>
          <t>Audífonos Inalámbricos para la Cabeza, Recargables y Multifuncionales - Conectan a Varios Dispositivos, soportan Radio FM, Tarjeta TF y AUX - 4 Horas de Reproducción Musical - Ideal para Trabajo Cotidiano, Juegos y Estudio</t>
        </is>
      </c>
      <c r="H4416" s="16" t="inlineStr">
        <is>
          <t>AZUL</t>
        </is>
      </c>
      <c r="I4416" s="16" t="n">
        <v>1</v>
      </c>
      <c r="J4416" s="17" t="n">
        <v>36.8</v>
      </c>
      <c r="K4416" s="17" t="n">
        <v>49.91</v>
      </c>
      <c r="L4416" s="17" t="n">
        <v>25.86</v>
      </c>
      <c r="M4416" s="17" t="n">
        <v>0</v>
      </c>
      <c r="N4416" s="17">
        <f>K4416*0.08+L4416*0.08</f>
        <v/>
      </c>
      <c r="O4416" s="17">
        <f>-(K4416*0.025+L4416*0.025)</f>
        <v/>
      </c>
      <c r="P4416" s="17">
        <f>32</f>
        <v/>
      </c>
      <c r="Q4416" s="17">
        <f>J4416+L4416+N4416+O4416-P4416-M4416</f>
        <v/>
      </c>
    </row>
    <row r="4417">
      <c r="A4417" s="16" t="inlineStr">
        <is>
          <t>5.8-5.14</t>
        </is>
      </c>
      <c r="B4417" s="16" t="inlineStr">
        <is>
          <t>PO-128-20862032179832085</t>
        </is>
      </c>
      <c r="C4417" s="16" t="inlineStr">
        <is>
          <t>Shipped</t>
        </is>
      </c>
      <c r="D4417" s="16" t="inlineStr">
        <is>
          <t>128-20861990236792085</t>
        </is>
      </c>
      <c r="E4417" s="16" t="inlineStr">
        <is>
          <t>Shipped</t>
        </is>
      </c>
      <c r="F4417" s="16" t="inlineStr">
        <is>
          <t>LB02235-rojo</t>
        </is>
      </c>
      <c r="G4417" s="16" t="inlineStr">
        <is>
          <t>Audífonos Inalámbricos para la Cabeza, Recargables y Multifuncionales - Conectan a Varios Dispositivos, soportan Radio FM, Tarjeta TF y AUX - 4 Horas de Reproducción Musical - Ideal para Trabajo Cotidiano, Juegos y Estudio</t>
        </is>
      </c>
      <c r="H4417" s="16" t="inlineStr">
        <is>
          <t>ROJO</t>
        </is>
      </c>
      <c r="I4417" s="16" t="n">
        <v>1</v>
      </c>
      <c r="J4417" s="17" t="n">
        <v>38</v>
      </c>
      <c r="K4417" s="17" t="n">
        <v>43.46</v>
      </c>
      <c r="L4417" s="17" t="n">
        <v>25.86</v>
      </c>
      <c r="M4417" s="17" t="n">
        <v>0</v>
      </c>
      <c r="N4417" s="17">
        <f>K4417*0.08+L4417*0.08</f>
        <v/>
      </c>
      <c r="O4417" s="17">
        <f>-(K4417*0.025+L4417*0.025)</f>
        <v/>
      </c>
      <c r="P4417" s="17">
        <f>32</f>
        <v/>
      </c>
      <c r="Q4417" s="17">
        <f>J4417+L4417+N4417+O4417-P4417-M4417</f>
        <v/>
      </c>
    </row>
    <row r="4418">
      <c r="A4418" s="16" t="inlineStr">
        <is>
          <t>5.8-5.14</t>
        </is>
      </c>
      <c r="B4418" s="16" t="inlineStr">
        <is>
          <t>PO-128-20965197169271468</t>
        </is>
      </c>
      <c r="C4418" s="16" t="inlineStr">
        <is>
          <t>Shipped</t>
        </is>
      </c>
      <c r="D4418" s="16" t="inlineStr">
        <is>
          <t>128-20965239112311468</t>
        </is>
      </c>
      <c r="E4418" s="16" t="inlineStr">
        <is>
          <t>Shipped</t>
        </is>
      </c>
      <c r="F4418" s="16" t="inlineStr">
        <is>
          <t>MCM-001G</t>
        </is>
      </c>
      <c r="G4418" s="16" t="inlineStr">
        <is>
          <t>Musicord Altavoz Inalámbrico BT Portátil: ¡Sonido impactante, luces LED multicolores y 4 horas de autonomía! Compatible con TWS, FM, TF y USB – Imprescindible para fiestas y viajes</t>
        </is>
      </c>
      <c r="H4418" s="16" t="inlineStr">
        <is>
          <t>GRIS</t>
        </is>
      </c>
      <c r="I4418" s="16" t="n">
        <v>2</v>
      </c>
      <c r="J4418" s="17" t="n">
        <v>102.14</v>
      </c>
      <c r="K4418" s="17" t="n">
        <v>45.65</v>
      </c>
      <c r="L4418" s="17" t="n">
        <v>25.86</v>
      </c>
      <c r="M4418" s="17" t="n">
        <v>2.56</v>
      </c>
      <c r="N4418" s="17">
        <f>K4418*0.08+L4418*0.08</f>
        <v/>
      </c>
      <c r="O4418" s="17">
        <f>-(K4418*0.025+L4418*0.025)</f>
        <v/>
      </c>
      <c r="P4418" s="17">
        <f>32</f>
        <v/>
      </c>
      <c r="Q4418" s="17">
        <f>J4418+L4418+N4418+O4418-P4418-M4418</f>
        <v/>
      </c>
    </row>
    <row r="4419">
      <c r="A4419" s="16" t="inlineStr">
        <is>
          <t>5.8-5.14</t>
        </is>
      </c>
      <c r="B4419" s="16" t="inlineStr">
        <is>
          <t>PO-128-21196895503990025</t>
        </is>
      </c>
      <c r="C4419" s="16" t="inlineStr">
        <is>
          <t>Shipped</t>
        </is>
      </c>
      <c r="D4419" s="16" t="inlineStr">
        <is>
          <t>128-21196864046710025</t>
        </is>
      </c>
      <c r="E4419" s="16" t="inlineStr">
        <is>
          <t>Shipped</t>
        </is>
      </c>
      <c r="F4419" s="16" t="inlineStr">
        <is>
          <t>FA028</t>
        </is>
      </c>
      <c r="G4419" s="16" t="inlineStr">
        <is>
          <t>Extractor de agua para garrafas de agua, compatible con carga USB, extractor de agua automático, práctico, con dos modos de toma de agua: manual y programado, ideal para dormitorios, salones, oficinas, uso al aire libre y otros escenarios.</t>
        </is>
      </c>
      <c r="H4419" s="16" t="inlineStr">
        <is>
          <t>FA028</t>
        </is>
      </c>
      <c r="I4419" s="16" t="n">
        <v>2</v>
      </c>
      <c r="J4419" s="17" t="n">
        <v>60</v>
      </c>
      <c r="K4419" s="17" t="n">
        <v>79.16</v>
      </c>
      <c r="L4419" s="17" t="n">
        <v>25.86</v>
      </c>
      <c r="M4419" s="17" t="n">
        <v>0</v>
      </c>
      <c r="N4419" s="17">
        <f>K4419*0.08+L4419*0.08</f>
        <v/>
      </c>
      <c r="O4419" s="17">
        <f>-(K4419*0.025+L4419*0.025)</f>
        <v/>
      </c>
      <c r="P4419" s="17">
        <f>32</f>
        <v/>
      </c>
      <c r="Q4419" s="17">
        <f>J4419+L4419+N4419+O4419-P4419-M4419</f>
        <v/>
      </c>
    </row>
    <row r="4420">
      <c r="A4420" s="16" t="inlineStr">
        <is>
          <t>5.8-5.14</t>
        </is>
      </c>
      <c r="B4420" s="16" t="inlineStr">
        <is>
          <t>PO-128-21247438607990810</t>
        </is>
      </c>
      <c r="C4420" s="16" t="inlineStr">
        <is>
          <t>Shipped</t>
        </is>
      </c>
      <c r="D4420" s="16" t="inlineStr">
        <is>
          <t>128-21247491036790810</t>
        </is>
      </c>
      <c r="E4420" s="16" t="inlineStr">
        <is>
          <t>Shipped</t>
        </is>
      </c>
      <c r="F4420" s="16" t="inlineStr">
        <is>
          <t>MB-185N</t>
        </is>
      </c>
      <c r="G4420" s="16" t="inlineStr">
        <is>
          <t>Bocina Radio FM/Reproductor, Compatible con Tarjeta TF, USB, Bluetooth, Aplicable para celular, computadora, Ipad y consola.</t>
        </is>
      </c>
      <c r="H4420" s="16" t="inlineStr">
        <is>
          <t>NEGRO/MB-185</t>
        </is>
      </c>
      <c r="I4420" s="16" t="n">
        <v>1</v>
      </c>
      <c r="J4420" s="17" t="n">
        <v>75.5</v>
      </c>
      <c r="K4420" s="17" t="n">
        <v>88.45999999999999</v>
      </c>
      <c r="L4420" s="17" t="n">
        <v>25.86</v>
      </c>
      <c r="M4420" s="17" t="n">
        <v>0</v>
      </c>
      <c r="N4420" s="17">
        <f>K4420*0.08+L4420*0.08</f>
        <v/>
      </c>
      <c r="O4420" s="17">
        <f>-(K4420*0.025+L4420*0.025)</f>
        <v/>
      </c>
      <c r="P4420" s="17">
        <f>32</f>
        <v/>
      </c>
      <c r="Q4420" s="17">
        <f>J4420+L4420+N4420+O4420-P4420-M4420</f>
        <v/>
      </c>
    </row>
    <row r="4421">
      <c r="A4421" s="16" t="inlineStr">
        <is>
          <t>5.8-5.14</t>
        </is>
      </c>
      <c r="B4421" s="16" t="inlineStr">
        <is>
          <t>PO-128-20665771551353255</t>
        </is>
      </c>
      <c r="C4421" s="16" t="inlineStr">
        <is>
          <t>Shipped</t>
        </is>
      </c>
      <c r="D4421" s="16" t="inlineStr">
        <is>
          <t>128-20665823980153255</t>
        </is>
      </c>
      <c r="E4421" s="16" t="inlineStr">
        <is>
          <t>Shipped</t>
        </is>
      </c>
      <c r="F4421" s="16" t="inlineStr">
        <is>
          <t>LV25W22</t>
        </is>
      </c>
      <c r="G442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21" s="16" t="inlineStr">
        <is>
          <t>LV25W32</t>
        </is>
      </c>
      <c r="I4421" s="16" t="n">
        <v>1</v>
      </c>
      <c r="J4421" s="17" t="n">
        <v>97</v>
      </c>
      <c r="K4421" s="17" t="n">
        <v>24.65</v>
      </c>
      <c r="L4421" s="17" t="n">
        <v>25.86</v>
      </c>
      <c r="M4421" s="17" t="n">
        <v>0</v>
      </c>
      <c r="N4421" s="17">
        <f>K4421*0.08+L4421*0.08</f>
        <v/>
      </c>
      <c r="O4421" s="17">
        <f>-(K4421*0.025+L4421*0.025)</f>
        <v/>
      </c>
      <c r="P4421" s="17">
        <f>32</f>
        <v/>
      </c>
      <c r="Q4421" s="17">
        <f>J4421+L4421+N4421+O4421-P4421-M4421</f>
        <v/>
      </c>
    </row>
    <row r="4422">
      <c r="A4422" s="16" t="inlineStr">
        <is>
          <t>5.8-5.14</t>
        </is>
      </c>
      <c r="B4422" s="16" t="inlineStr">
        <is>
          <t>PO-128-20686280755833133</t>
        </is>
      </c>
      <c r="C4422" s="16" t="inlineStr">
        <is>
          <t>Shipped</t>
        </is>
      </c>
      <c r="D4422" s="16" t="inlineStr">
        <is>
          <t>128-20686291241593133</t>
        </is>
      </c>
      <c r="E4422" s="16" t="inlineStr">
        <is>
          <t>Shipped</t>
        </is>
      </c>
      <c r="F4422" s="16" t="inlineStr">
        <is>
          <t>LB02235-blanco</t>
        </is>
      </c>
      <c r="G4422" s="16" t="inlineStr">
        <is>
          <t>Audífonos Inalámbricos para la Cabeza, Recargables y Multifuncionales - Conectan a Varios Dispositivos, soportan Radio FM, Tarjeta TF y AUX - 4 Horas de Reproducción Musical - Ideal para Trabajo Cotidiano, Juegos y Estudio</t>
        </is>
      </c>
      <c r="H4422" s="16" t="inlineStr">
        <is>
          <t>BLANCO</t>
        </is>
      </c>
      <c r="I4422" s="16" t="n">
        <v>1</v>
      </c>
      <c r="J4422" s="17" t="n">
        <v>38</v>
      </c>
      <c r="K4422" s="17" t="n">
        <v>51.12</v>
      </c>
      <c r="L4422" s="17" t="n">
        <v>25.86</v>
      </c>
      <c r="M4422" s="17" t="n">
        <v>0</v>
      </c>
      <c r="N4422" s="17">
        <f>K4422*0.08+L4422*0.08</f>
        <v/>
      </c>
      <c r="O4422" s="17">
        <f>-(K4422*0.025+L4422*0.025)</f>
        <v/>
      </c>
      <c r="P4422" s="17">
        <f>32</f>
        <v/>
      </c>
      <c r="Q4422" s="17">
        <f>J4422+L4422+N4422+O4422-P4422-M4422</f>
        <v/>
      </c>
    </row>
    <row r="4423">
      <c r="A4423" s="16" t="inlineStr">
        <is>
          <t>5.8-5.14</t>
        </is>
      </c>
      <c r="B4423" s="16" t="inlineStr">
        <is>
          <t>PO-128-21193517148790237</t>
        </is>
      </c>
      <c r="C4423" s="16" t="inlineStr">
        <is>
          <t>Shipped</t>
        </is>
      </c>
      <c r="D4423" s="16" t="inlineStr">
        <is>
          <t>128-21193622006390237</t>
        </is>
      </c>
      <c r="E4423" s="16" t="inlineStr">
        <is>
          <t>Shipped</t>
        </is>
      </c>
      <c r="F4423" s="16" t="inlineStr">
        <is>
          <t>LB02235-azul</t>
        </is>
      </c>
      <c r="G4423" s="16" t="inlineStr">
        <is>
          <t>Audífonos Inalámbricos para la Cabeza, Recargables y Multifuncionales - Conectan a Varios Dispositivos, soportan Radio FM, Tarjeta TF y AUX - 4 Horas de Reproducción Musical - Ideal para Trabajo Cotidiano, Juegos y Estudio</t>
        </is>
      </c>
      <c r="H4423" s="16" t="inlineStr">
        <is>
          <t>AZUL</t>
        </is>
      </c>
      <c r="I4423" s="16" t="n">
        <v>1</v>
      </c>
      <c r="J4423" s="17" t="n">
        <v>36.8</v>
      </c>
      <c r="K4423" s="17" t="n">
        <v>6.81</v>
      </c>
      <c r="L4423" s="17" t="n">
        <v>25.86</v>
      </c>
      <c r="M4423" s="17" t="n">
        <v>0</v>
      </c>
      <c r="N4423" s="17">
        <f>K4423*0.08+L4423*0.08</f>
        <v/>
      </c>
      <c r="O4423" s="17">
        <f>-(K4423*0.025+L4423*0.025)</f>
        <v/>
      </c>
      <c r="P4423" s="17">
        <f>32</f>
        <v/>
      </c>
      <c r="Q4423" s="17">
        <f>J4423+L4423+N4423+O4423-P4423-M4423</f>
        <v/>
      </c>
    </row>
    <row r="4424">
      <c r="A4424" s="16" t="inlineStr">
        <is>
          <t>5.8-5.14</t>
        </is>
      </c>
      <c r="B4424" s="16" t="inlineStr">
        <is>
          <t>PO-128-20748679542393721</t>
        </is>
      </c>
      <c r="C4424" s="16" t="inlineStr">
        <is>
          <t>Shipped</t>
        </is>
      </c>
      <c r="D4424" s="16" t="inlineStr">
        <is>
          <t>128-20748637599353721</t>
        </is>
      </c>
      <c r="E4424" s="16" t="inlineStr">
        <is>
          <t>Shipped</t>
        </is>
      </c>
      <c r="F4424" s="16" t="inlineStr">
        <is>
          <t>SA325T</t>
        </is>
      </c>
      <c r="G4424" s="16" t="inlineStr">
        <is>
          <t>Subwoofer Portátil Inalámbrico con Luces RGB, Sonido de Alta Potencia y Batería Duradera, TWS TF USB, Perfecto para Campamento Fiestas y Entretenimiento en Casa</t>
        </is>
      </c>
      <c r="H4424" s="16" t="inlineStr">
        <is>
          <t>NEGRO</t>
        </is>
      </c>
      <c r="I4424" s="16" t="n">
        <v>1</v>
      </c>
      <c r="J4424" s="17" t="n">
        <v>38</v>
      </c>
      <c r="K4424" s="17" t="n">
        <v>3.96</v>
      </c>
      <c r="L4424" s="17" t="n">
        <v>25.86</v>
      </c>
      <c r="M4424" s="17" t="n">
        <v>0</v>
      </c>
      <c r="N4424" s="17">
        <f>K4424*0.08+L4424*0.08</f>
        <v/>
      </c>
      <c r="O4424" s="17">
        <f>-(K4424*0.025+L4424*0.025)</f>
        <v/>
      </c>
      <c r="P4424" s="17">
        <f>32</f>
        <v/>
      </c>
      <c r="Q4424" s="17">
        <f>J4424+L4424+N4424+O4424-P4424-M4424</f>
        <v/>
      </c>
    </row>
    <row r="4425">
      <c r="A4425" s="16" t="inlineStr">
        <is>
          <t>5.8-5.14</t>
        </is>
      </c>
      <c r="B4425" s="16" t="inlineStr">
        <is>
          <t>PO-128-20927004949112720</t>
        </is>
      </c>
      <c r="C4425" s="16" t="inlineStr">
        <is>
          <t>Shipped</t>
        </is>
      </c>
      <c r="D4425" s="16" t="inlineStr">
        <is>
          <t>128-20926936791672720</t>
        </is>
      </c>
      <c r="E4425" s="16" t="inlineStr">
        <is>
          <t>Shipped</t>
        </is>
      </c>
      <c r="F4425" s="16" t="inlineStr">
        <is>
          <t>SA8056T</t>
        </is>
      </c>
      <c r="G442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425" s="16" t="inlineStr">
        <is>
          <t>SA8056T</t>
        </is>
      </c>
      <c r="I4425" s="16" t="n">
        <v>1</v>
      </c>
      <c r="J4425" s="17" t="n">
        <v>123.9</v>
      </c>
      <c r="K4425" s="17" t="n">
        <v>144.28</v>
      </c>
      <c r="L4425" s="17" t="n">
        <v>25.86</v>
      </c>
      <c r="M4425" s="17" t="n">
        <v>0</v>
      </c>
      <c r="N4425" s="17">
        <f>K4425*0.08+L4425*0.08</f>
        <v/>
      </c>
      <c r="O4425" s="17">
        <f>-(K4425*0.025+L4425*0.025)</f>
        <v/>
      </c>
      <c r="P4425" s="17">
        <f>32</f>
        <v/>
      </c>
      <c r="Q4425" s="17">
        <f>J4425+L4425+N4425+O4425-P4425-M4425</f>
        <v/>
      </c>
    </row>
    <row r="4426">
      <c r="A4426" s="16" t="inlineStr">
        <is>
          <t>5.8-5.14</t>
        </is>
      </c>
      <c r="B4426" s="16" t="inlineStr">
        <is>
          <t>PO-128-21074683889271840</t>
        </is>
      </c>
      <c r="C4426" s="16" t="inlineStr">
        <is>
          <t>Shipped</t>
        </is>
      </c>
      <c r="D4426" s="16" t="inlineStr">
        <is>
          <t>128-21074662917751840</t>
        </is>
      </c>
      <c r="E4426" s="16" t="inlineStr">
        <is>
          <t>Shipped</t>
        </is>
      </c>
      <c r="F4426" s="16" t="inlineStr">
        <is>
          <t>EM04W36</t>
        </is>
      </c>
      <c r="G4426"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426" s="16" t="inlineStr">
        <is>
          <t>1 pieza</t>
        </is>
      </c>
      <c r="I4426" s="16" t="n">
        <v>1</v>
      </c>
      <c r="J4426" s="17" t="n">
        <v>68.90000000000001</v>
      </c>
      <c r="K4426" s="17" t="n">
        <v>88.37</v>
      </c>
      <c r="L4426" s="17" t="n">
        <v>25.86</v>
      </c>
      <c r="M4426" s="17" t="n">
        <v>0</v>
      </c>
      <c r="N4426" s="17">
        <f>K4426*0.08+L4426*0.08</f>
        <v/>
      </c>
      <c r="O4426" s="17">
        <f>-(K4426*0.025+L4426*0.025)</f>
        <v/>
      </c>
      <c r="P4426" s="17">
        <f>32</f>
        <v/>
      </c>
      <c r="Q4426" s="17">
        <f>J4426+L4426+N4426+O4426-P4426-M4426</f>
        <v/>
      </c>
    </row>
    <row r="4427">
      <c r="A4427" s="16" t="inlineStr">
        <is>
          <t>5.8-5.14</t>
        </is>
      </c>
      <c r="B4427" s="16" t="inlineStr">
        <is>
          <t>PO-128-21288534359670567</t>
        </is>
      </c>
      <c r="C4427" s="16" t="inlineStr">
        <is>
          <t>Shipped</t>
        </is>
      </c>
      <c r="D4427" s="16" t="inlineStr">
        <is>
          <t>128-21288602517110567</t>
        </is>
      </c>
      <c r="E4427" s="16" t="inlineStr">
        <is>
          <t>Shipped</t>
        </is>
      </c>
      <c r="F4427" s="16" t="inlineStr">
        <is>
          <t>MCM-001G</t>
        </is>
      </c>
      <c r="G4427" s="16" t="inlineStr">
        <is>
          <t>Musicord Altavoz Inalámbrico BT Portátil: ¡Sonido impactante, luces LED multicolores y 4 horas de autonomía! Compatible con TWS, FM, TF y USB – Imprescindible para fiestas y viajes</t>
        </is>
      </c>
      <c r="H4427" s="16" t="inlineStr">
        <is>
          <t>GRIS</t>
        </is>
      </c>
      <c r="I4427" s="16" t="n">
        <v>5</v>
      </c>
      <c r="J4427" s="17" t="n">
        <v>255.35</v>
      </c>
      <c r="K4427" s="17" t="n">
        <v>311.7</v>
      </c>
      <c r="L4427" s="17" t="n">
        <v>0</v>
      </c>
      <c r="M4427" s="17" t="n">
        <v>0</v>
      </c>
      <c r="N4427" s="17">
        <f>K4427*0.08+L4427*0.08</f>
        <v/>
      </c>
      <c r="O4427" s="17">
        <f>-(K4427*0.025+L4427*0.025)</f>
        <v/>
      </c>
      <c r="P4427" s="17">
        <f>32</f>
        <v/>
      </c>
      <c r="Q4427" s="17">
        <f>J4427+L4427+N4427+O4427-P4427-M4427</f>
        <v/>
      </c>
    </row>
    <row r="4428">
      <c r="A4428" s="16" t="inlineStr">
        <is>
          <t>5.8-5.14</t>
        </is>
      </c>
      <c r="B4428" s="16" t="inlineStr">
        <is>
          <t>PO-128-20656003753593441</t>
        </is>
      </c>
      <c r="C4428" s="16" t="inlineStr">
        <is>
          <t>Shipped</t>
        </is>
      </c>
      <c r="D4428" s="16" t="inlineStr">
        <is>
          <t>128-20656045696633441</t>
        </is>
      </c>
      <c r="E4428" s="16" t="inlineStr">
        <is>
          <t>Shipped</t>
        </is>
      </c>
      <c r="F4428" s="16" t="inlineStr">
        <is>
          <t>SA8056T</t>
        </is>
      </c>
      <c r="G442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428" s="16" t="inlineStr">
        <is>
          <t>SA8056T</t>
        </is>
      </c>
      <c r="I4428" s="16" t="n">
        <v>1</v>
      </c>
      <c r="J4428" s="17" t="n">
        <v>123.9</v>
      </c>
      <c r="K4428" s="17" t="n">
        <v>144.28</v>
      </c>
      <c r="L4428" s="17" t="n">
        <v>25.86</v>
      </c>
      <c r="M4428" s="17" t="n">
        <v>0</v>
      </c>
      <c r="N4428" s="17">
        <f>K4428*0.08+L4428*0.08</f>
        <v/>
      </c>
      <c r="O4428" s="17">
        <f>-(K4428*0.025+L4428*0.025)</f>
        <v/>
      </c>
      <c r="P4428" s="17">
        <f>32</f>
        <v/>
      </c>
      <c r="Q4428" s="17">
        <f>J4428+L4428+N4428+O4428-P4428-M4428</f>
        <v/>
      </c>
    </row>
    <row r="4429">
      <c r="A4429" s="16" t="inlineStr">
        <is>
          <t>5.8-5.14</t>
        </is>
      </c>
      <c r="B4429" s="16" t="inlineStr">
        <is>
          <t>PO-128-20701964088953999</t>
        </is>
      </c>
      <c r="C4429" s="16" t="inlineStr">
        <is>
          <t>Shipped</t>
        </is>
      </c>
      <c r="D4429" s="16" t="inlineStr">
        <is>
          <t>128-20702006031993999</t>
        </is>
      </c>
      <c r="E4429" s="16" t="inlineStr">
        <is>
          <t>Shipped</t>
        </is>
      </c>
      <c r="F4429" s="16" t="inlineStr">
        <is>
          <t>LV25W22</t>
        </is>
      </c>
      <c r="G44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29" s="16" t="inlineStr">
        <is>
          <t>LV25W32</t>
        </is>
      </c>
      <c r="I4429" s="16" t="n">
        <v>1</v>
      </c>
      <c r="J4429" s="17" t="n">
        <v>97</v>
      </c>
      <c r="K4429" s="17" t="n">
        <v>21.2</v>
      </c>
      <c r="L4429" s="17" t="n">
        <v>25.86</v>
      </c>
      <c r="M4429" s="17" t="n">
        <v>0</v>
      </c>
      <c r="N4429" s="17">
        <f>K4429*0.08+L4429*0.08</f>
        <v/>
      </c>
      <c r="O4429" s="17">
        <f>-(K4429*0.025+L4429*0.025)</f>
        <v/>
      </c>
      <c r="P4429" s="17">
        <f>32</f>
        <v/>
      </c>
      <c r="Q4429" s="17">
        <f>J4429+L4429+N4429+O4429-P4429-M4429</f>
        <v/>
      </c>
    </row>
    <row r="4430">
      <c r="A4430" s="16" t="inlineStr">
        <is>
          <t>5.8-5.14</t>
        </is>
      </c>
      <c r="B4430" s="16" t="inlineStr">
        <is>
          <t>PO-128-20822999255672380</t>
        </is>
      </c>
      <c r="C4430" s="16" t="inlineStr">
        <is>
          <t>Shipped</t>
        </is>
      </c>
      <c r="D4430" s="16" t="inlineStr">
        <is>
          <t>128-20823020227192380</t>
        </is>
      </c>
      <c r="E4430" s="16" t="inlineStr">
        <is>
          <t>Shipped</t>
        </is>
      </c>
      <c r="F4430" s="16" t="inlineStr">
        <is>
          <t>S39W48-5PZS</t>
        </is>
      </c>
      <c r="G4430"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430" s="16" t="inlineStr">
        <is>
          <t>5 piezas</t>
        </is>
      </c>
      <c r="I4430" s="16" t="n">
        <v>1</v>
      </c>
      <c r="J4430" s="17" t="n">
        <v>150</v>
      </c>
      <c r="K4430" s="17" t="n">
        <v>178.41</v>
      </c>
      <c r="L4430" s="17" t="n">
        <v>25.86</v>
      </c>
      <c r="M4430" s="17" t="n">
        <v>0</v>
      </c>
      <c r="N4430" s="17">
        <f>K4430*0.08+L4430*0.08</f>
        <v/>
      </c>
      <c r="O4430" s="17">
        <f>-(K4430*0.025+L4430*0.025)</f>
        <v/>
      </c>
      <c r="P4430" s="17">
        <f>32</f>
        <v/>
      </c>
      <c r="Q4430" s="17">
        <f>J4430+L4430+N4430+O4430-P4430-M4430</f>
        <v/>
      </c>
    </row>
    <row r="4431">
      <c r="A4431" s="16" t="inlineStr">
        <is>
          <t>5.8-5.14</t>
        </is>
      </c>
      <c r="B4431" s="16" t="inlineStr">
        <is>
          <t>PO-128-21007334303351155</t>
        </is>
      </c>
      <c r="C4431" s="16" t="inlineStr">
        <is>
          <t>Shipped</t>
        </is>
      </c>
      <c r="D4431" s="16" t="inlineStr">
        <is>
          <t>128-21007313331831155</t>
        </is>
      </c>
      <c r="E4431" s="16" t="inlineStr">
        <is>
          <t>Shipped</t>
        </is>
      </c>
      <c r="F4431" s="16" t="inlineStr">
        <is>
          <t>MCM-001G</t>
        </is>
      </c>
      <c r="G4431" s="16" t="inlineStr">
        <is>
          <t>Musicord Altavoz Inalámbrico BT Portátil: ¡Sonido impactante, luces LED multicolores y 4 horas de autonomía! Compatible con TWS, FM, TF y USB – Imprescindible para fiestas y viajes</t>
        </is>
      </c>
      <c r="H4431" s="16" t="inlineStr">
        <is>
          <t>GRIS</t>
        </is>
      </c>
      <c r="I4431" s="16" t="n">
        <v>1</v>
      </c>
      <c r="J4431" s="17" t="n">
        <v>51.07</v>
      </c>
      <c r="K4431" s="17" t="n">
        <v>62.34</v>
      </c>
      <c r="L4431" s="17" t="n">
        <v>25.86</v>
      </c>
      <c r="M4431" s="17" t="n">
        <v>0</v>
      </c>
      <c r="N4431" s="17">
        <f>K4431*0.08+L4431*0.08</f>
        <v/>
      </c>
      <c r="O4431" s="17">
        <f>-(K4431*0.025+L4431*0.025)</f>
        <v/>
      </c>
      <c r="P4431" s="17">
        <f>32</f>
        <v/>
      </c>
      <c r="Q4431" s="17">
        <f>J4431+L4431+N4431+O4431-P4431-M4431</f>
        <v/>
      </c>
    </row>
    <row r="4432">
      <c r="A4432" s="16" t="inlineStr">
        <is>
          <t>5.8-5.14</t>
        </is>
      </c>
      <c r="B4432" s="16" t="inlineStr">
        <is>
          <t>PO-128-21098255959671701</t>
        </is>
      </c>
      <c r="C4432" s="16" t="inlineStr">
        <is>
          <t>Shipped</t>
        </is>
      </c>
      <c r="D4432" s="16" t="inlineStr">
        <is>
          <t>128-21098248095351701</t>
        </is>
      </c>
      <c r="E4432" s="16" t="inlineStr">
        <is>
          <t>Shipped</t>
        </is>
      </c>
      <c r="F4432" s="16" t="inlineStr">
        <is>
          <t>VA384T-A</t>
        </is>
      </c>
      <c r="G4432" s="16" t="inlineStr">
        <is>
          <t>Bocina Portátil Bluetooth de 3 Pulgadas con Radio FM, USB TF TWS, Sonido Estéreo 5W, Bocina Recargable para Hogar Exterior Viaje Fiesta Camping</t>
        </is>
      </c>
      <c r="H4432" s="16" t="inlineStr">
        <is>
          <t>AZUL</t>
        </is>
      </c>
      <c r="I4432" s="16" t="n">
        <v>1</v>
      </c>
      <c r="J4432" s="17" t="n">
        <v>47.99</v>
      </c>
      <c r="K4432" s="17" t="n">
        <v>58.71</v>
      </c>
      <c r="L4432" s="17" t="n">
        <v>14.36</v>
      </c>
      <c r="M4432" s="17" t="n">
        <v>0</v>
      </c>
      <c r="N4432" s="17">
        <f>K4432*0.08+L4432*0.08</f>
        <v/>
      </c>
      <c r="O4432" s="17">
        <f>-(K4432*0.025+L4432*0.025)</f>
        <v/>
      </c>
      <c r="P4432" s="17">
        <f>32</f>
        <v/>
      </c>
      <c r="Q4432" s="17">
        <f>J4432+L4432+N4432+O4432-P4432-M4432</f>
        <v/>
      </c>
    </row>
    <row r="4433">
      <c r="A4433" s="16" t="inlineStr">
        <is>
          <t>5.8-5.14</t>
        </is>
      </c>
      <c r="B4433" s="16" t="inlineStr">
        <is>
          <t>PO-128-21098255959671701</t>
        </is>
      </c>
      <c r="C4433" s="16" t="inlineStr">
        <is>
          <t>Shipped</t>
        </is>
      </c>
      <c r="D4433" s="16" t="inlineStr">
        <is>
          <t>128-21098253338231701</t>
        </is>
      </c>
      <c r="E4433" s="16" t="inlineStr">
        <is>
          <t>Shipped</t>
        </is>
      </c>
      <c r="F4433" s="16" t="inlineStr">
        <is>
          <t>SA325T</t>
        </is>
      </c>
      <c r="G4433" s="16" t="inlineStr">
        <is>
          <t>Subwoofer Portátil Inalámbrico con Luces RGB, Sonido de Alta Potencia y Batería Duradera, TWS TF USB, Perfecto para Campamento Fiestas y Entretenimiento en Casa</t>
        </is>
      </c>
      <c r="H4433" s="16" t="inlineStr">
        <is>
          <t>NEGRO</t>
        </is>
      </c>
      <c r="I4433" s="16" t="n">
        <v>1</v>
      </c>
      <c r="J4433" s="17" t="n">
        <v>38</v>
      </c>
      <c r="K4433" s="17" t="n">
        <v>47.06</v>
      </c>
      <c r="L4433" s="17" t="n">
        <v>11.5</v>
      </c>
      <c r="M4433" s="17" t="n">
        <v>0</v>
      </c>
      <c r="N4433" s="17">
        <f>K4433*0.08+L4433*0.08</f>
        <v/>
      </c>
      <c r="O4433" s="17">
        <f>-(K4433*0.025+L4433*0.025)</f>
        <v/>
      </c>
      <c r="P4433" s="17">
        <f>32</f>
        <v/>
      </c>
      <c r="Q4433" s="17">
        <f>J4433+L4433+N4433+O4433-P4433-M4433</f>
        <v/>
      </c>
    </row>
    <row r="4434">
      <c r="A4434" s="16" t="inlineStr">
        <is>
          <t>5.8-5.14</t>
        </is>
      </c>
      <c r="B4434" s="16" t="inlineStr">
        <is>
          <t>PO-128-20741303020153957</t>
        </is>
      </c>
      <c r="C4434" s="16" t="inlineStr">
        <is>
          <t>Shipped</t>
        </is>
      </c>
      <c r="D4434" s="16" t="inlineStr">
        <is>
          <t>128-20741329234553957</t>
        </is>
      </c>
      <c r="E4434" s="16" t="inlineStr">
        <is>
          <t>Shipped</t>
        </is>
      </c>
      <c r="F4434" s="16" t="inlineStr">
        <is>
          <t>000090-50PZS</t>
        </is>
      </c>
      <c r="G4434" s="16" t="inlineStr">
        <is>
          <t>Mascarillas Infantiles KF94 50 pcs, Cuatro Capas de Protección con Tejido de Fusión Filtrante, Patrones Divertidos, Piel Amigable y Transpirable</t>
        </is>
      </c>
      <c r="H4434" s="16" t="inlineStr">
        <is>
          <t>50PZS/NINO ESTAMPADO</t>
        </is>
      </c>
      <c r="I4434" s="16" t="n">
        <v>1</v>
      </c>
      <c r="J4434" s="17" t="n">
        <v>113</v>
      </c>
      <c r="K4434" s="17" t="n">
        <v>126.76</v>
      </c>
      <c r="L4434" s="17" t="n">
        <v>25.86</v>
      </c>
      <c r="M4434" s="17" t="n">
        <v>0</v>
      </c>
      <c r="N4434" s="17">
        <f>K4434*0.08+L4434*0.08</f>
        <v/>
      </c>
      <c r="O4434" s="17">
        <f>-(K4434*0.025+L4434*0.025)</f>
        <v/>
      </c>
      <c r="P4434" s="17">
        <f>32</f>
        <v/>
      </c>
      <c r="Q4434" s="17">
        <f>J4434+L4434+N4434+O4434-P4434-M4434</f>
        <v/>
      </c>
    </row>
    <row r="4435">
      <c r="A4435" s="16" t="inlineStr">
        <is>
          <t>5.8-5.14</t>
        </is>
      </c>
      <c r="B4435" s="16" t="inlineStr">
        <is>
          <t>PO-128-20862320579192083</t>
        </is>
      </c>
      <c r="C4435" s="16" t="inlineStr">
        <is>
          <t>Shipped</t>
        </is>
      </c>
      <c r="D4435" s="16" t="inlineStr">
        <is>
          <t>128-20862456894072083</t>
        </is>
      </c>
      <c r="E4435" s="16" t="inlineStr">
        <is>
          <t>Shipped</t>
        </is>
      </c>
      <c r="F4435" s="16" t="inlineStr">
        <is>
          <t>LV25W22</t>
        </is>
      </c>
      <c r="G443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35" s="16" t="inlineStr">
        <is>
          <t>LV25W32</t>
        </is>
      </c>
      <c r="I4435" s="16" t="n">
        <v>1</v>
      </c>
      <c r="J4435" s="17" t="n">
        <v>97</v>
      </c>
      <c r="K4435" s="17" t="n">
        <v>107.41</v>
      </c>
      <c r="L4435" s="17" t="n">
        <v>25.86</v>
      </c>
      <c r="M4435" s="17" t="n">
        <v>0</v>
      </c>
      <c r="N4435" s="17">
        <f>K4435*0.08+L4435*0.08</f>
        <v/>
      </c>
      <c r="O4435" s="17">
        <f>-(K4435*0.025+L4435*0.025)</f>
        <v/>
      </c>
      <c r="P4435" s="17">
        <f>32</f>
        <v/>
      </c>
      <c r="Q4435" s="17">
        <f>J4435+L4435+N4435+O4435-P4435-M4435</f>
        <v/>
      </c>
    </row>
    <row r="4436">
      <c r="A4436" s="16" t="inlineStr">
        <is>
          <t>5.8-5.14</t>
        </is>
      </c>
      <c r="B4436" s="16" t="inlineStr">
        <is>
          <t>PO-128-20990428949111318</t>
        </is>
      </c>
      <c r="C4436" s="16" t="inlineStr">
        <is>
          <t>Shipped</t>
        </is>
      </c>
      <c r="D4436" s="16" t="inlineStr">
        <is>
          <t>128-20990449920631318</t>
        </is>
      </c>
      <c r="E4436" s="16" t="inlineStr">
        <is>
          <t>Shipped</t>
        </is>
      </c>
      <c r="F4436" s="16" t="inlineStr">
        <is>
          <t>KTS-1678Y</t>
        </is>
      </c>
      <c r="G4436" s="16" t="inlineStr">
        <is>
          <t>Bocina portátil Inalámbrico, de 3 pulgadas, tamaño de bolsillo, 170 g, con asa, compatible con TF, USB y Micro SD, con radio FM y función TWS (True Wireless Stereo), adecuada para relajarse en casa o viajar al aire libre.</t>
        </is>
      </c>
      <c r="H4436" s="16" t="inlineStr">
        <is>
          <t>KTS-1678Y</t>
        </is>
      </c>
      <c r="I4436" s="16" t="n">
        <v>1</v>
      </c>
      <c r="J4436" s="17" t="n">
        <v>41</v>
      </c>
      <c r="K4436" s="17" t="n">
        <v>47.2</v>
      </c>
      <c r="L4436" s="17" t="n">
        <v>25.86</v>
      </c>
      <c r="M4436" s="17" t="n">
        <v>0</v>
      </c>
      <c r="N4436" s="17">
        <f>K4436*0.08+L4436*0.08</f>
        <v/>
      </c>
      <c r="O4436" s="17">
        <f>-(K4436*0.025+L4436*0.025)</f>
        <v/>
      </c>
      <c r="P4436" s="17">
        <f>32</f>
        <v/>
      </c>
      <c r="Q4436" s="17">
        <f>J4436+L4436+N4436+O4436-P4436-M4436</f>
        <v/>
      </c>
    </row>
    <row r="4437">
      <c r="A4437" s="16" t="inlineStr">
        <is>
          <t>5.8-5.14</t>
        </is>
      </c>
      <c r="B4437" s="16" t="inlineStr">
        <is>
          <t>PO-128-20680311716473102</t>
        </is>
      </c>
      <c r="C4437" s="16" t="inlineStr">
        <is>
          <t>Shipped</t>
        </is>
      </c>
      <c r="D4437" s="16" t="inlineStr">
        <is>
          <t>128-20680353659513102</t>
        </is>
      </c>
      <c r="E4437" s="16" t="inlineStr">
        <is>
          <t>Shipped</t>
        </is>
      </c>
      <c r="F4437" s="16" t="inlineStr">
        <is>
          <t>MCM-001G</t>
        </is>
      </c>
      <c r="G4437" s="16" t="inlineStr">
        <is>
          <t>Musicord Altavoz Inalámbrico BT Portátil: ¡Sonido impactante, luces LED multicolores y 4 horas de autonomía! Compatible con TWS, FM, TF y USB – Imprescindible para fiestas y viajes</t>
        </is>
      </c>
      <c r="H4437" s="16" t="inlineStr">
        <is>
          <t>GRIS</t>
        </is>
      </c>
      <c r="I4437" s="16" t="n">
        <v>1</v>
      </c>
      <c r="J4437" s="17" t="n">
        <v>51.07</v>
      </c>
      <c r="K4437" s="17" t="n">
        <v>19.24</v>
      </c>
      <c r="L4437" s="17" t="n">
        <v>25.86</v>
      </c>
      <c r="M4437" s="17" t="n">
        <v>0</v>
      </c>
      <c r="N4437" s="17">
        <f>K4437*0.08+L4437*0.08</f>
        <v/>
      </c>
      <c r="O4437" s="17">
        <f>-(K4437*0.025+L4437*0.025)</f>
        <v/>
      </c>
      <c r="P4437" s="17">
        <f>32</f>
        <v/>
      </c>
      <c r="Q4437" s="17">
        <f>J4437+L4437+N4437+O4437-P4437-M4437</f>
        <v/>
      </c>
    </row>
    <row r="4438">
      <c r="A4438" s="16" t="inlineStr">
        <is>
          <t>5.8-5.14</t>
        </is>
      </c>
      <c r="B4438" s="16" t="inlineStr">
        <is>
          <t>PO-128-20680329728633102</t>
        </is>
      </c>
      <c r="C4438" s="16" t="inlineStr">
        <is>
          <t>Shipped</t>
        </is>
      </c>
      <c r="D4438" s="16" t="inlineStr">
        <is>
          <t>128-20680340214393102</t>
        </is>
      </c>
      <c r="E4438" s="16" t="inlineStr">
        <is>
          <t>Shipped</t>
        </is>
      </c>
      <c r="F4438" s="16" t="inlineStr">
        <is>
          <t>MCM-001G</t>
        </is>
      </c>
      <c r="G4438" s="16" t="inlineStr">
        <is>
          <t>Musicord Altavoz Inalámbrico BT Portátil: ¡Sonido impactante, luces LED multicolores y 4 horas de autonomía! Compatible con TWS, FM, TF y USB – Imprescindible para fiestas y viajes</t>
        </is>
      </c>
      <c r="H4438" s="16" t="inlineStr">
        <is>
          <t>GRIS</t>
        </is>
      </c>
      <c r="I4438" s="16" t="n">
        <v>1</v>
      </c>
      <c r="J4438" s="17" t="n">
        <v>51.07</v>
      </c>
      <c r="K4438" s="17" t="n">
        <v>62.34</v>
      </c>
      <c r="L4438" s="17" t="n">
        <v>25.86</v>
      </c>
      <c r="M4438" s="17" t="n">
        <v>0</v>
      </c>
      <c r="N4438" s="17">
        <f>K4438*0.08+L4438*0.08</f>
        <v/>
      </c>
      <c r="O4438" s="17">
        <f>-(K4438*0.025+L4438*0.025)</f>
        <v/>
      </c>
      <c r="P4438" s="17">
        <f>32</f>
        <v/>
      </c>
      <c r="Q4438" s="17">
        <f>J4438+L4438+N4438+O4438-P4438-M4438</f>
        <v/>
      </c>
    </row>
    <row r="4439">
      <c r="A4439" s="16" t="inlineStr">
        <is>
          <t>5.8-5.14</t>
        </is>
      </c>
      <c r="B4439" s="16" t="inlineStr">
        <is>
          <t>PO-128-21057806961272004</t>
        </is>
      </c>
      <c r="C4439" s="16" t="inlineStr">
        <is>
          <t>Shipped</t>
        </is>
      </c>
      <c r="D4439" s="16" t="inlineStr">
        <is>
          <t>128-21057791232632004</t>
        </is>
      </c>
      <c r="E4439" s="16" t="inlineStr">
        <is>
          <t>Shipped</t>
        </is>
      </c>
      <c r="F4439" s="16" t="inlineStr">
        <is>
          <t>FA028</t>
        </is>
      </c>
      <c r="G4439" s="16" t="inlineStr">
        <is>
          <t>Extractor de agua para garrafas de agua, compatible con carga USB, extractor de agua automático, práctico, con dos modos de toma de agua: manual y programado, ideal para dormitorios, salones, oficinas, uso al aire libre y otros escenarios.</t>
        </is>
      </c>
      <c r="H4439" s="16" t="inlineStr">
        <is>
          <t>FA028</t>
        </is>
      </c>
      <c r="I4439" s="16" t="n">
        <v>1</v>
      </c>
      <c r="J4439" s="17" t="n">
        <v>30</v>
      </c>
      <c r="K4439" s="17" t="n">
        <v>39.58</v>
      </c>
      <c r="L4439" s="17" t="n">
        <v>25.86</v>
      </c>
      <c r="M4439" s="17" t="n">
        <v>0</v>
      </c>
      <c r="N4439" s="17">
        <f>K4439*0.08+L4439*0.08</f>
        <v/>
      </c>
      <c r="O4439" s="17">
        <f>-(K4439*0.025+L4439*0.025)</f>
        <v/>
      </c>
      <c r="P4439" s="17">
        <f>32</f>
        <v/>
      </c>
      <c r="Q4439" s="17">
        <f>J4439+L4439+N4439+O4439-P4439-M4439</f>
        <v/>
      </c>
    </row>
    <row r="4440">
      <c r="A4440" s="16" t="inlineStr">
        <is>
          <t>5.8-5.14</t>
        </is>
      </c>
      <c r="B4440" s="16" t="inlineStr">
        <is>
          <t>PO-128-20959576909431438</t>
        </is>
      </c>
      <c r="C4440" s="16" t="inlineStr">
        <is>
          <t>Shipped</t>
        </is>
      </c>
      <c r="D4440" s="16" t="inlineStr">
        <is>
          <t>128-20959534966391438</t>
        </is>
      </c>
      <c r="E4440" s="16" t="inlineStr">
        <is>
          <t>Shipped</t>
        </is>
      </c>
      <c r="F4440" s="16" t="inlineStr">
        <is>
          <t>LV25W22</t>
        </is>
      </c>
      <c r="G444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40" s="16" t="inlineStr">
        <is>
          <t>LV25W32</t>
        </is>
      </c>
      <c r="I4440" s="16" t="n">
        <v>1</v>
      </c>
      <c r="J4440" s="17" t="n">
        <v>97</v>
      </c>
      <c r="K4440" s="17" t="n">
        <v>107.41</v>
      </c>
      <c r="L4440" s="17" t="n">
        <v>25.86</v>
      </c>
      <c r="M4440" s="17" t="n">
        <v>0</v>
      </c>
      <c r="N4440" s="17">
        <f>K4440*0.08+L4440*0.08</f>
        <v/>
      </c>
      <c r="O4440" s="17">
        <f>-(K4440*0.025+L4440*0.025)</f>
        <v/>
      </c>
      <c r="P4440" s="17">
        <f>32</f>
        <v/>
      </c>
      <c r="Q4440" s="17">
        <f>J4440+L4440+N4440+O4440-P4440-M4440</f>
        <v/>
      </c>
    </row>
    <row r="4441">
      <c r="A4441" s="16" t="inlineStr">
        <is>
          <t>5.8-5.14</t>
        </is>
      </c>
      <c r="B4441" s="16" t="inlineStr">
        <is>
          <t>PO-128-21164923249270342</t>
        </is>
      </c>
      <c r="C4441" s="16" t="inlineStr">
        <is>
          <t>Shipped</t>
        </is>
      </c>
      <c r="D4441" s="16" t="inlineStr">
        <is>
          <t>128-21164881306230342</t>
        </is>
      </c>
      <c r="E4441" s="16" t="inlineStr">
        <is>
          <t>Shipped</t>
        </is>
      </c>
      <c r="F4441" s="16" t="inlineStr">
        <is>
          <t>VA384T-N</t>
        </is>
      </c>
      <c r="G4441" s="16" t="inlineStr">
        <is>
          <t>Bocina Portátil Bluetooth de 3 Pulgadas con Radio FM, USB TF TWS, Sonido Estéreo 5W, Bocina Recargable para Hogar Exterior Viaje Fiesta Camping</t>
        </is>
      </c>
      <c r="H4441" s="16" t="inlineStr">
        <is>
          <t>NEGRO</t>
        </is>
      </c>
      <c r="I4441" s="16" t="n">
        <v>1</v>
      </c>
      <c r="J4441" s="17" t="n">
        <v>50</v>
      </c>
      <c r="K4441" s="17" t="n">
        <v>9</v>
      </c>
      <c r="L4441" s="17" t="n">
        <v>25.86</v>
      </c>
      <c r="M4441" s="17" t="n">
        <v>0</v>
      </c>
      <c r="N4441" s="17">
        <f>K4441*0.08+L4441*0.08</f>
        <v/>
      </c>
      <c r="O4441" s="17">
        <f>-(K4441*0.025+L4441*0.025)</f>
        <v/>
      </c>
      <c r="P4441" s="17">
        <f>32</f>
        <v/>
      </c>
      <c r="Q4441" s="17">
        <f>J4441+L4441+N4441+O4441-P4441-M4441</f>
        <v/>
      </c>
    </row>
    <row r="4442">
      <c r="A4442" s="16" t="inlineStr">
        <is>
          <t>5.8-5.14</t>
        </is>
      </c>
      <c r="B4442" s="16" t="inlineStr">
        <is>
          <t>PO-128-20800998451832513</t>
        </is>
      </c>
      <c r="C4442" s="16" t="inlineStr">
        <is>
          <t>Shipped</t>
        </is>
      </c>
      <c r="D4442" s="16" t="inlineStr">
        <is>
          <t>128-20801050880632513</t>
        </is>
      </c>
      <c r="E4442" s="16" t="inlineStr">
        <is>
          <t>Shipped</t>
        </is>
      </c>
      <c r="F4442" s="16" t="inlineStr">
        <is>
          <t>FA028</t>
        </is>
      </c>
      <c r="G4442" s="16" t="inlineStr">
        <is>
          <t>Extractor de agua para garrafas de agua, compatible con carga USB, extractor de agua automático, práctico, con dos modos de toma de agua: manual y programado, ideal para dormitorios, salones, oficinas, uso al aire libre y otros escenarios.</t>
        </is>
      </c>
      <c r="H4442" s="16" t="inlineStr">
        <is>
          <t>FA028</t>
        </is>
      </c>
      <c r="I4442" s="16" t="n">
        <v>1</v>
      </c>
      <c r="J4442" s="17" t="n">
        <v>30</v>
      </c>
      <c r="K4442" s="17" t="n">
        <v>39.58</v>
      </c>
      <c r="L4442" s="17" t="n">
        <v>25.86</v>
      </c>
      <c r="M4442" s="17" t="n">
        <v>0</v>
      </c>
      <c r="N4442" s="17">
        <f>K4442*0.08+L4442*0.08</f>
        <v/>
      </c>
      <c r="O4442" s="17">
        <f>-(K4442*0.025+L4442*0.025)</f>
        <v/>
      </c>
      <c r="P4442" s="17">
        <f>32</f>
        <v/>
      </c>
      <c r="Q4442" s="17">
        <f>J4442+L4442+N4442+O4442-P4442-M4442</f>
        <v/>
      </c>
    </row>
    <row r="4443">
      <c r="A4443" s="16" t="inlineStr">
        <is>
          <t>5.8-5.14</t>
        </is>
      </c>
      <c r="B4443" s="16" t="inlineStr">
        <is>
          <t>PO-128-21225822597750941</t>
        </is>
      </c>
      <c r="C4443" s="16" t="inlineStr">
        <is>
          <t>Shipped</t>
        </is>
      </c>
      <c r="D4443" s="16" t="inlineStr">
        <is>
          <t>128-21225780654710941</t>
        </is>
      </c>
      <c r="E4443" s="16" t="inlineStr">
        <is>
          <t>Shipped</t>
        </is>
      </c>
      <c r="F4443" s="16" t="inlineStr">
        <is>
          <t>LV25W22</t>
        </is>
      </c>
      <c r="G444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43" s="16" t="inlineStr">
        <is>
          <t>LV25W32</t>
        </is>
      </c>
      <c r="I4443" s="16" t="n">
        <v>3</v>
      </c>
      <c r="J4443" s="17" t="n">
        <v>291</v>
      </c>
      <c r="K4443" s="17" t="n">
        <v>322.23</v>
      </c>
      <c r="L4443" s="17" t="n">
        <v>0</v>
      </c>
      <c r="M4443" s="17" t="n">
        <v>0</v>
      </c>
      <c r="N4443" s="17">
        <f>K4443*0.08+L4443*0.08</f>
        <v/>
      </c>
      <c r="O4443" s="17">
        <f>-(K4443*0.025+L4443*0.025)</f>
        <v/>
      </c>
      <c r="P4443" s="17">
        <f>32</f>
        <v/>
      </c>
      <c r="Q4443" s="17">
        <f>J4443+L4443+N4443+O4443-P4443-M4443</f>
        <v/>
      </c>
    </row>
    <row r="4444">
      <c r="A4444" s="16" t="inlineStr">
        <is>
          <t>5.8-5.14</t>
        </is>
      </c>
      <c r="B4444" s="16" t="inlineStr">
        <is>
          <t>PO-128-20782623918713708</t>
        </is>
      </c>
      <c r="C4444" s="16" t="inlineStr">
        <is>
          <t>Shipped</t>
        </is>
      </c>
      <c r="D4444" s="16" t="inlineStr">
        <is>
          <t>128-20782655375993708</t>
        </is>
      </c>
      <c r="E4444" s="16" t="inlineStr">
        <is>
          <t>Shipped</t>
        </is>
      </c>
      <c r="F4444" s="16" t="inlineStr">
        <is>
          <t>LV25W22</t>
        </is>
      </c>
      <c r="G44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44" s="16" t="inlineStr">
        <is>
          <t>LV25W32</t>
        </is>
      </c>
      <c r="I4444" s="16" t="n">
        <v>1</v>
      </c>
      <c r="J4444" s="17" t="n">
        <v>97</v>
      </c>
      <c r="K4444" s="17" t="n">
        <v>95.18000000000001</v>
      </c>
      <c r="L4444" s="17" t="n">
        <v>25.86</v>
      </c>
      <c r="M4444" s="17" t="n">
        <v>0</v>
      </c>
      <c r="N4444" s="17">
        <f>K4444*0.08+L4444*0.08</f>
        <v/>
      </c>
      <c r="O4444" s="17">
        <f>-(K4444*0.025+L4444*0.025)</f>
        <v/>
      </c>
      <c r="P4444" s="17">
        <f>32</f>
        <v/>
      </c>
      <c r="Q4444" s="17">
        <f>J4444+L4444+N4444+O4444-P4444-M4444</f>
        <v/>
      </c>
    </row>
    <row r="4445">
      <c r="A4445" s="16" t="inlineStr">
        <is>
          <t>5.8-5.14</t>
        </is>
      </c>
      <c r="B4445" s="16" t="inlineStr">
        <is>
          <t>PO-128-20849184799352288</t>
        </is>
      </c>
      <c r="C4445" s="16" t="inlineStr">
        <is>
          <t>Shipped</t>
        </is>
      </c>
      <c r="D4445" s="16" t="inlineStr">
        <is>
          <t>128-20849142856312288</t>
        </is>
      </c>
      <c r="E4445" s="16" t="inlineStr">
        <is>
          <t>Shipped</t>
        </is>
      </c>
      <c r="F4445" s="16" t="inlineStr">
        <is>
          <t>LB02235-azul</t>
        </is>
      </c>
      <c r="G4445" s="16" t="inlineStr">
        <is>
          <t>Audífonos Inalámbricos para la Cabeza, Recargables y Multifuncionales - Conectan a Varios Dispositivos, soportan Radio FM, Tarjeta TF y AUX - 4 Horas de Reproducción Musical - Ideal para Trabajo Cotidiano, Juegos y Estudio</t>
        </is>
      </c>
      <c r="H4445" s="16" t="inlineStr">
        <is>
          <t>AZUL</t>
        </is>
      </c>
      <c r="I4445" s="16" t="n">
        <v>1</v>
      </c>
      <c r="J4445" s="17" t="n">
        <v>37.6</v>
      </c>
      <c r="K4445" s="17" t="n">
        <v>40.58</v>
      </c>
      <c r="L4445" s="17" t="n">
        <v>25.86</v>
      </c>
      <c r="M4445" s="17" t="n">
        <v>0</v>
      </c>
      <c r="N4445" s="17">
        <f>K4445*0.08+L4445*0.08</f>
        <v/>
      </c>
      <c r="O4445" s="17">
        <f>-(K4445*0.025+L4445*0.025)</f>
        <v/>
      </c>
      <c r="P4445" s="17">
        <f>32</f>
        <v/>
      </c>
      <c r="Q4445" s="17">
        <f>J4445+L4445+N4445+O4445-P4445-M4445</f>
        <v/>
      </c>
    </row>
    <row r="4446">
      <c r="A4446" s="16" t="inlineStr">
        <is>
          <t>5.8-5.14</t>
        </is>
      </c>
      <c r="B4446" s="16" t="inlineStr">
        <is>
          <t>PO-128-21298318756470637</t>
        </is>
      </c>
      <c r="C4446" s="16" t="inlineStr">
        <is>
          <t>Shipped</t>
        </is>
      </c>
      <c r="D4446" s="16" t="inlineStr">
        <is>
          <t>128-21298276813430637</t>
        </is>
      </c>
      <c r="E4446" s="16" t="inlineStr">
        <is>
          <t>Shipped</t>
        </is>
      </c>
      <c r="F4446" s="16" t="inlineStr">
        <is>
          <t>MCM-001G</t>
        </is>
      </c>
      <c r="G4446" s="16" t="inlineStr">
        <is>
          <t>Musicord Altavoz Inalámbrico BT Portátil: ¡Sonido impactante, luces LED multicolores y 4 horas de autonomía! Compatible con TWS, FM, TF y USB – Imprescindible para fiestas y viajes</t>
        </is>
      </c>
      <c r="H4446" s="16" t="inlineStr">
        <is>
          <t>GRIS</t>
        </is>
      </c>
      <c r="I4446" s="16" t="n">
        <v>1</v>
      </c>
      <c r="J4446" s="17" t="n">
        <v>51.07</v>
      </c>
      <c r="K4446" s="17" t="n">
        <v>49.87</v>
      </c>
      <c r="L4446" s="17" t="n">
        <v>25.86</v>
      </c>
      <c r="M4446" s="17" t="n">
        <v>0</v>
      </c>
      <c r="N4446" s="17">
        <f>K4446*0.08+L4446*0.08</f>
        <v/>
      </c>
      <c r="O4446" s="17">
        <f>-(K4446*0.025+L4446*0.025)</f>
        <v/>
      </c>
      <c r="P4446" s="17">
        <f>32</f>
        <v/>
      </c>
      <c r="Q4446" s="17">
        <f>J4446+L4446+N4446+O4446-P4446-M4446</f>
        <v/>
      </c>
    </row>
    <row r="4447">
      <c r="A4447" s="16" t="inlineStr">
        <is>
          <t>5.8-5.14</t>
        </is>
      </c>
      <c r="B4447" s="16" t="inlineStr">
        <is>
          <t>PO-128-20798215844472465</t>
        </is>
      </c>
      <c r="C4447" s="16" t="inlineStr">
        <is>
          <t>Shipped</t>
        </is>
      </c>
      <c r="D4447" s="16" t="inlineStr">
        <is>
          <t>128-20798270894712465</t>
        </is>
      </c>
      <c r="E4447" s="16" t="inlineStr">
        <is>
          <t>Shipped</t>
        </is>
      </c>
      <c r="F4447" s="16" t="inlineStr">
        <is>
          <t>LV25W22</t>
        </is>
      </c>
      <c r="G44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47" s="16" t="inlineStr">
        <is>
          <t>LV25W32</t>
        </is>
      </c>
      <c r="I4447" s="16" t="n">
        <v>5</v>
      </c>
      <c r="J4447" s="17" t="n">
        <v>485</v>
      </c>
      <c r="K4447" s="17" t="n">
        <v>508.52</v>
      </c>
      <c r="L4447" s="17" t="n">
        <v>0</v>
      </c>
      <c r="M4447" s="17" t="n">
        <v>0</v>
      </c>
      <c r="N4447" s="17">
        <f>K4447*0.08+L4447*0.08</f>
        <v/>
      </c>
      <c r="O4447" s="17">
        <f>-(K4447*0.025+L4447*0.025)</f>
        <v/>
      </c>
      <c r="P4447" s="17">
        <f>32</f>
        <v/>
      </c>
      <c r="Q4447" s="17">
        <f>J4447+L4447+N4447+O4447-P4447-M4447</f>
        <v/>
      </c>
    </row>
    <row r="4448">
      <c r="A4448" s="16" t="inlineStr">
        <is>
          <t>5.8-5.14</t>
        </is>
      </c>
      <c r="B4448" s="16" t="inlineStr">
        <is>
          <t>PO-128-21088753710711692</t>
        </is>
      </c>
      <c r="C4448" s="16" t="inlineStr">
        <is>
          <t>Shipped</t>
        </is>
      </c>
      <c r="D4448" s="16" t="inlineStr">
        <is>
          <t>128-21088711767671692</t>
        </is>
      </c>
      <c r="E4448" s="16" t="inlineStr">
        <is>
          <t>Shipped</t>
        </is>
      </c>
      <c r="F4448" s="16" t="inlineStr">
        <is>
          <t>MB-185N</t>
        </is>
      </c>
      <c r="G4448" s="16" t="inlineStr">
        <is>
          <t>Bocina Radio FM/Reproductor, Compatible con Tarjeta TF, USB, Bluetooth, Aplicable para celular, computadora, Ipad y consola.</t>
        </is>
      </c>
      <c r="H4448" s="16" t="inlineStr">
        <is>
          <t>NEGRO/MB-185</t>
        </is>
      </c>
      <c r="I4448" s="16" t="n">
        <v>1</v>
      </c>
      <c r="J4448" s="17" t="n">
        <v>75.5</v>
      </c>
      <c r="K4448" s="17" t="n">
        <v>88.45999999999999</v>
      </c>
      <c r="L4448" s="17" t="n">
        <v>25.86</v>
      </c>
      <c r="M4448" s="17" t="n">
        <v>0</v>
      </c>
      <c r="N4448" s="17">
        <f>K4448*0.08+L4448*0.08</f>
        <v/>
      </c>
      <c r="O4448" s="17">
        <f>-(K4448*0.025+L4448*0.025)</f>
        <v/>
      </c>
      <c r="P4448" s="17">
        <f>32</f>
        <v/>
      </c>
      <c r="Q4448" s="17">
        <f>J4448+L4448+N4448+O4448-P4448-M4448</f>
        <v/>
      </c>
    </row>
    <row r="4449">
      <c r="A4449" s="16" t="inlineStr">
        <is>
          <t>5.8-5.14</t>
        </is>
      </c>
      <c r="B4449" s="16" t="inlineStr">
        <is>
          <t>PO-128-21009782538871202</t>
        </is>
      </c>
      <c r="C4449" s="16" t="inlineStr">
        <is>
          <t>Shipped</t>
        </is>
      </c>
      <c r="D4449" s="16" t="inlineStr">
        <is>
          <t>128-21009918853751202</t>
        </is>
      </c>
      <c r="E4449" s="16" t="inlineStr">
        <is>
          <t>Shipped</t>
        </is>
      </c>
      <c r="F4449" s="16" t="inlineStr">
        <is>
          <t>KTS-1943-A</t>
        </is>
      </c>
      <c r="G4449"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449" s="16" t="inlineStr">
        <is>
          <t>AZUL</t>
        </is>
      </c>
      <c r="I4449" s="16" t="n">
        <v>1</v>
      </c>
      <c r="J4449" s="17" t="n">
        <v>80</v>
      </c>
      <c r="K4449" s="17" t="n">
        <v>95.62</v>
      </c>
      <c r="L4449" s="17" t="n">
        <v>25.86</v>
      </c>
      <c r="M4449" s="17" t="n">
        <v>0</v>
      </c>
      <c r="N4449" s="17">
        <f>K4449*0.08+L4449*0.08</f>
        <v/>
      </c>
      <c r="O4449" s="17">
        <f>-(K4449*0.025+L4449*0.025)</f>
        <v/>
      </c>
      <c r="P4449" s="17">
        <f>32</f>
        <v/>
      </c>
      <c r="Q4449" s="17">
        <f>J4449+L4449+N4449+O4449-P4449-M4449</f>
        <v/>
      </c>
    </row>
    <row r="4450">
      <c r="A4450" s="16" t="inlineStr">
        <is>
          <t>5.8-5.14</t>
        </is>
      </c>
      <c r="B4450" s="16" t="inlineStr">
        <is>
          <t>PO-128-21140512021110425</t>
        </is>
      </c>
      <c r="C4450" s="16" t="inlineStr">
        <is>
          <t>Shipped</t>
        </is>
      </c>
      <c r="D4450" s="16" t="inlineStr">
        <is>
          <t>128-21140504156790425</t>
        </is>
      </c>
      <c r="E4450" s="16" t="inlineStr">
        <is>
          <t>Shipped</t>
        </is>
      </c>
      <c r="F4450" s="16" t="inlineStr">
        <is>
          <t>VB347T</t>
        </is>
      </c>
      <c r="G445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50" s="16" t="inlineStr">
        <is>
          <t>1 pieza</t>
        </is>
      </c>
      <c r="I4450" s="16" t="n">
        <v>3</v>
      </c>
      <c r="J4450" s="17" t="n">
        <v>239.7</v>
      </c>
      <c r="K4450" s="17" t="n">
        <v>220.93</v>
      </c>
      <c r="L4450" s="17" t="n">
        <v>0</v>
      </c>
      <c r="M4450" s="17" t="n">
        <v>0</v>
      </c>
      <c r="N4450" s="17">
        <f>K4450*0.08+L4450*0.08</f>
        <v/>
      </c>
      <c r="O4450" s="17">
        <f>-(K4450*0.025+L4450*0.025)</f>
        <v/>
      </c>
      <c r="P4450" s="17">
        <f>32</f>
        <v/>
      </c>
      <c r="Q4450" s="17">
        <f>J4450+L4450+N4450+O4450-P4450-M4450</f>
        <v/>
      </c>
    </row>
    <row r="4451">
      <c r="A4451" s="16" t="inlineStr">
        <is>
          <t>5.8-5.14</t>
        </is>
      </c>
      <c r="B4451" s="16" t="inlineStr">
        <is>
          <t>PO-128-21199082506870010</t>
        </is>
      </c>
      <c r="C4451" s="16" t="inlineStr">
        <is>
          <t>Shipped</t>
        </is>
      </c>
      <c r="D4451" s="16" t="inlineStr">
        <is>
          <t>128-21199040563830010</t>
        </is>
      </c>
      <c r="E4451" s="16" t="inlineStr">
        <is>
          <t>Shipped</t>
        </is>
      </c>
      <c r="F4451" s="16" t="inlineStr">
        <is>
          <t>MB-185R</t>
        </is>
      </c>
      <c r="G4451" s="16" t="inlineStr">
        <is>
          <t>Bocina Radio FM/Reproductor, Compatible con Tarjeta TF, USB, Bluetooth, Aplicable para celular, computadora, Ipad y consola.</t>
        </is>
      </c>
      <c r="H4451" s="16" t="inlineStr">
        <is>
          <t>ROJO/MB-185</t>
        </is>
      </c>
      <c r="I4451" s="16" t="n">
        <v>1</v>
      </c>
      <c r="J4451" s="17" t="n">
        <v>75.59999999999999</v>
      </c>
      <c r="K4451" s="17" t="n">
        <v>73.62</v>
      </c>
      <c r="L4451" s="17" t="n">
        <v>25.86</v>
      </c>
      <c r="M4451" s="17" t="n">
        <v>0</v>
      </c>
      <c r="N4451" s="17">
        <f>K4451*0.08+L4451*0.08</f>
        <v/>
      </c>
      <c r="O4451" s="17">
        <f>-(K4451*0.025+L4451*0.025)</f>
        <v/>
      </c>
      <c r="P4451" s="17">
        <f>32</f>
        <v/>
      </c>
      <c r="Q4451" s="17">
        <f>J4451+L4451+N4451+O4451-P4451-M4451</f>
        <v/>
      </c>
    </row>
    <row r="4452">
      <c r="A4452" s="16" t="inlineStr">
        <is>
          <t>5.8-5.14</t>
        </is>
      </c>
      <c r="B4452" s="16" t="inlineStr">
        <is>
          <t>PO-128-20863464243832141</t>
        </is>
      </c>
      <c r="C4452" s="16" t="inlineStr">
        <is>
          <t>Shipped</t>
        </is>
      </c>
      <c r="D4452" s="16" t="inlineStr">
        <is>
          <t>128-20863453758072141</t>
        </is>
      </c>
      <c r="E4452" s="16" t="inlineStr">
        <is>
          <t>Shipped</t>
        </is>
      </c>
      <c r="F4452" s="16" t="inlineStr">
        <is>
          <t>LV25W22</t>
        </is>
      </c>
      <c r="G44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52" s="16" t="inlineStr">
        <is>
          <t>LV25W32</t>
        </is>
      </c>
      <c r="I4452" s="16" t="n">
        <v>1</v>
      </c>
      <c r="J4452" s="17" t="n">
        <v>97</v>
      </c>
      <c r="K4452" s="17" t="n">
        <v>107.41</v>
      </c>
      <c r="L4452" s="17" t="n">
        <v>25.86</v>
      </c>
      <c r="M4452" s="17" t="n">
        <v>0</v>
      </c>
      <c r="N4452" s="17">
        <f>K4452*0.08+L4452*0.08</f>
        <v/>
      </c>
      <c r="O4452" s="17">
        <f>-(K4452*0.025+L4452*0.025)</f>
        <v/>
      </c>
      <c r="P4452" s="17">
        <f>32</f>
        <v/>
      </c>
      <c r="Q4452" s="17">
        <f>J4452+L4452+N4452+O4452-P4452-M4452</f>
        <v/>
      </c>
    </row>
    <row r="4453">
      <c r="A4453" s="16" t="inlineStr">
        <is>
          <t>5.8-5.14</t>
        </is>
      </c>
      <c r="B4453" s="16" t="inlineStr">
        <is>
          <t>PO-128-09688316787833084</t>
        </is>
      </c>
      <c r="C4453" s="16" t="inlineStr">
        <is>
          <t>Shipped</t>
        </is>
      </c>
      <c r="D4453" s="16" t="inlineStr">
        <is>
          <t>128-09688274844793084</t>
        </is>
      </c>
      <c r="E4453" s="16" t="inlineStr">
        <is>
          <t>Shipped</t>
        </is>
      </c>
      <c r="F4453" s="16" t="inlineStr">
        <is>
          <t>MCM-001R</t>
        </is>
      </c>
      <c r="G4453" s="16" t="inlineStr">
        <is>
          <t>Musicord Altavoz Inalámbrico BT Portátil: ¡Sonido impactante, luces LED multicolores y 4 horas de autonomía! Compatible con TWS, FM, TF y USB – Imprescindible para fiestas y viajes</t>
        </is>
      </c>
      <c r="H4453" s="16" t="inlineStr">
        <is>
          <t>ROJO</t>
        </is>
      </c>
      <c r="I4453" s="16" t="n">
        <v>1</v>
      </c>
      <c r="J4453" s="17" t="n">
        <v>66.5</v>
      </c>
      <c r="K4453" s="17" t="n">
        <v>77.77</v>
      </c>
      <c r="L4453" s="17" t="n">
        <v>25.86</v>
      </c>
      <c r="M4453" s="17" t="n">
        <v>0</v>
      </c>
      <c r="N4453" s="17">
        <f>K4453*0.08+L4453*0.08</f>
        <v/>
      </c>
      <c r="O4453" s="17">
        <f>-(K4453*0.025+L4453*0.025)</f>
        <v/>
      </c>
      <c r="P4453" s="17">
        <f>32</f>
        <v/>
      </c>
      <c r="Q4453" s="17">
        <f>J4453+L4453+N4453+O4453-P4453-M4453</f>
        <v/>
      </c>
    </row>
    <row r="4454">
      <c r="A4454" s="16" t="inlineStr">
        <is>
          <t>5.8-5.14</t>
        </is>
      </c>
      <c r="B4454" s="16" t="inlineStr">
        <is>
          <t>PO-128-09723961331834089</t>
        </is>
      </c>
      <c r="C4454" s="16" t="inlineStr">
        <is>
          <t>Shipped</t>
        </is>
      </c>
      <c r="D4454" s="16" t="inlineStr">
        <is>
          <t>128-09724003274874089</t>
        </is>
      </c>
      <c r="E4454" s="16" t="inlineStr">
        <is>
          <t>Shipped</t>
        </is>
      </c>
      <c r="F4454" s="16" t="inlineStr">
        <is>
          <t>LB02235-blanco</t>
        </is>
      </c>
      <c r="G4454" s="16" t="inlineStr">
        <is>
          <t>Audífonos Inalámbricos para la Cabeza, Recargables y Multifuncionales - Conectan a Varios Dispositivos, soportan Radio FM, Tarjeta TF y AUX - 4 Horas de Reproducción Musical - Ideal para Trabajo Cotidiano, Juegos y Estudio</t>
        </is>
      </c>
      <c r="H4454" s="16" t="inlineStr">
        <is>
          <t>BLANCO</t>
        </is>
      </c>
      <c r="I4454" s="16" t="n">
        <v>1</v>
      </c>
      <c r="J4454" s="17" t="n">
        <v>38</v>
      </c>
      <c r="K4454" s="17" t="n">
        <v>8.02</v>
      </c>
      <c r="L4454" s="17" t="n">
        <v>25.86</v>
      </c>
      <c r="M4454" s="17" t="n">
        <v>0</v>
      </c>
      <c r="N4454" s="17">
        <f>K4454*0.08+L4454*0.08</f>
        <v/>
      </c>
      <c r="O4454" s="17">
        <f>-(K4454*0.025+L4454*0.025)</f>
        <v/>
      </c>
      <c r="P4454" s="17">
        <f>32</f>
        <v/>
      </c>
      <c r="Q4454" s="17">
        <f>J4454+L4454+N4454+O4454-P4454-M4454</f>
        <v/>
      </c>
    </row>
    <row r="4455">
      <c r="A4455" s="16" t="inlineStr">
        <is>
          <t>5.8-5.14</t>
        </is>
      </c>
      <c r="B4455" s="16" t="inlineStr">
        <is>
          <t>PO-128-10180504399990150</t>
        </is>
      </c>
      <c r="C4455" s="16" t="inlineStr">
        <is>
          <t>Shipped</t>
        </is>
      </c>
      <c r="D4455" s="16" t="inlineStr">
        <is>
          <t>128-10180572557430150</t>
        </is>
      </c>
      <c r="E4455" s="16" t="inlineStr">
        <is>
          <t>Shipped</t>
        </is>
      </c>
      <c r="F4455" s="16" t="inlineStr">
        <is>
          <t>LV25W22</t>
        </is>
      </c>
      <c r="G44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55" s="16" t="inlineStr">
        <is>
          <t>LV25W32</t>
        </is>
      </c>
      <c r="I4455" s="16" t="n">
        <v>1</v>
      </c>
      <c r="J4455" s="17" t="n">
        <v>97</v>
      </c>
      <c r="K4455" s="17" t="n">
        <v>107.41</v>
      </c>
      <c r="L4455" s="17" t="n">
        <v>25.86</v>
      </c>
      <c r="M4455" s="17" t="n">
        <v>0</v>
      </c>
      <c r="N4455" s="17">
        <f>K4455*0.08+L4455*0.08</f>
        <v/>
      </c>
      <c r="O4455" s="17">
        <f>-(K4455*0.025+L4455*0.025)</f>
        <v/>
      </c>
      <c r="P4455" s="17">
        <f>32</f>
        <v/>
      </c>
      <c r="Q4455" s="17">
        <f>J4455+L4455+N4455+O4455-P4455-M4455</f>
        <v/>
      </c>
    </row>
    <row r="4456">
      <c r="A4456" s="16" t="inlineStr">
        <is>
          <t>5.8-5.14</t>
        </is>
      </c>
      <c r="B4456" s="16" t="inlineStr">
        <is>
          <t>PO-128-10180415131510150</t>
        </is>
      </c>
      <c r="C4456" s="16" t="inlineStr">
        <is>
          <t>Shipped</t>
        </is>
      </c>
      <c r="D4456" s="16" t="inlineStr">
        <is>
          <t>128-10180498034550150</t>
        </is>
      </c>
      <c r="E4456" s="16" t="inlineStr">
        <is>
          <t>Shipped</t>
        </is>
      </c>
      <c r="F4456" s="16" t="inlineStr">
        <is>
          <t>LV25W22</t>
        </is>
      </c>
      <c r="G445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56" s="16" t="inlineStr">
        <is>
          <t>LV25W32</t>
        </is>
      </c>
      <c r="I4456" s="16" t="n">
        <v>1</v>
      </c>
      <c r="J4456" s="17" t="n">
        <v>97</v>
      </c>
      <c r="K4456" s="17" t="n">
        <v>107.41</v>
      </c>
      <c r="L4456" s="17" t="n">
        <v>25.86</v>
      </c>
      <c r="M4456" s="17" t="n">
        <v>0</v>
      </c>
      <c r="N4456" s="17">
        <f>K4456*0.08+L4456*0.08</f>
        <v/>
      </c>
      <c r="O4456" s="17">
        <f>-(K4456*0.025+L4456*0.025)</f>
        <v/>
      </c>
      <c r="P4456" s="17">
        <f>32</f>
        <v/>
      </c>
      <c r="Q4456" s="17">
        <f>J4456+L4456+N4456+O4456-P4456-M4456</f>
        <v/>
      </c>
    </row>
    <row r="4457">
      <c r="A4457" s="16" t="inlineStr">
        <is>
          <t>5.8-5.14</t>
        </is>
      </c>
      <c r="B4457" s="16" t="inlineStr">
        <is>
          <t>PO-128-10245254244470788</t>
        </is>
      </c>
      <c r="C4457" s="16" t="inlineStr">
        <is>
          <t>Shipped</t>
        </is>
      </c>
      <c r="D4457" s="16" t="inlineStr">
        <is>
          <t>128-10245296187510788</t>
        </is>
      </c>
      <c r="E4457" s="16" t="inlineStr">
        <is>
          <t>Shipped</t>
        </is>
      </c>
      <c r="F4457" s="16" t="inlineStr">
        <is>
          <t>LB02235-blanco</t>
        </is>
      </c>
      <c r="G4457" s="16" t="inlineStr">
        <is>
          <t>Audífonos Inalámbricos para la Cabeza, Recargables y Multifuncionales - Conectan a Varios Dispositivos, soportan Radio FM, Tarjeta TF y AUX - 4 Horas de Reproducción Musical - Ideal para Trabajo Cotidiano, Juegos y Estudio</t>
        </is>
      </c>
      <c r="H4457" s="16" t="inlineStr">
        <is>
          <t>BLANCO</t>
        </is>
      </c>
      <c r="I4457" s="16" t="n">
        <v>1</v>
      </c>
      <c r="J4457" s="17" t="n">
        <v>38</v>
      </c>
      <c r="K4457" s="17" t="n">
        <v>51.12</v>
      </c>
      <c r="L4457" s="17" t="n">
        <v>25.86</v>
      </c>
      <c r="M4457" s="17" t="n">
        <v>0</v>
      </c>
      <c r="N4457" s="17">
        <f>K4457*0.08+L4457*0.08</f>
        <v/>
      </c>
      <c r="O4457" s="17">
        <f>-(K4457*0.025+L4457*0.025)</f>
        <v/>
      </c>
      <c r="P4457" s="17">
        <f>32</f>
        <v/>
      </c>
      <c r="Q4457" s="17">
        <f>J4457+L4457+N4457+O4457-P4457-M4457</f>
        <v/>
      </c>
    </row>
    <row r="4458">
      <c r="A4458" s="16" t="inlineStr">
        <is>
          <t>5.8-5.14</t>
        </is>
      </c>
      <c r="B4458" s="16" t="inlineStr">
        <is>
          <t>PO-128-09838814134392189</t>
        </is>
      </c>
      <c r="C4458" s="16" t="inlineStr">
        <is>
          <t>Shipped</t>
        </is>
      </c>
      <c r="D4458" s="16" t="inlineStr">
        <is>
          <t>128-09838772191352189</t>
        </is>
      </c>
      <c r="E4458" s="16" t="inlineStr">
        <is>
          <t>Shipped</t>
        </is>
      </c>
      <c r="F4458" s="16" t="inlineStr">
        <is>
          <t>MB-185R</t>
        </is>
      </c>
      <c r="G4458" s="16" t="inlineStr">
        <is>
          <t>Bocina Radio FM/Reproductor, Compatible con Tarjeta TF, USB, Bluetooth, Aplicable para celular, computadora, Ipad y consola.</t>
        </is>
      </c>
      <c r="H4458" s="16" t="inlineStr">
        <is>
          <t>ROJO/MB-185</t>
        </is>
      </c>
      <c r="I4458" s="16" t="n">
        <v>2</v>
      </c>
      <c r="J4458" s="17" t="n">
        <v>151.2</v>
      </c>
      <c r="K4458" s="17" t="n">
        <v>141.68</v>
      </c>
      <c r="L4458" s="17" t="n">
        <v>25.86</v>
      </c>
      <c r="M4458" s="17" t="n">
        <v>0</v>
      </c>
      <c r="N4458" s="17">
        <f>K4458*0.08+L4458*0.08</f>
        <v/>
      </c>
      <c r="O4458" s="17">
        <f>-(K4458*0.025+L4458*0.025)</f>
        <v/>
      </c>
      <c r="P4458" s="17">
        <f>32</f>
        <v/>
      </c>
      <c r="Q4458" s="17">
        <f>J4458+L4458+N4458+O4458-P4458-M4458</f>
        <v/>
      </c>
    </row>
    <row r="4459">
      <c r="A4459" s="16" t="inlineStr">
        <is>
          <t>5.8-5.14</t>
        </is>
      </c>
      <c r="B4459" s="16" t="inlineStr">
        <is>
          <t>PO-128-09886027835512995</t>
        </is>
      </c>
      <c r="C4459" s="16" t="inlineStr">
        <is>
          <t>Shipped</t>
        </is>
      </c>
      <c r="D4459" s="16" t="inlineStr">
        <is>
          <t>128-09886059292792995</t>
        </is>
      </c>
      <c r="E4459" s="16" t="inlineStr">
        <is>
          <t>Shipped</t>
        </is>
      </c>
      <c r="F4459" s="16" t="inlineStr">
        <is>
          <t>KTS-1678V</t>
        </is>
      </c>
      <c r="G4459" s="16" t="inlineStr">
        <is>
          <t>Bocina portátil Inalámbrico, de 3 pulgadas, tamaño de bolsillo, 170 g, con asa, compatible con TF, USB y Micro SD, con radio FM y función TWS (True Wireless Stereo), adecuada para relajarse en casa o viajar al aire libre.</t>
        </is>
      </c>
      <c r="H4459" s="16" t="inlineStr">
        <is>
          <t>KTS-1678V</t>
        </is>
      </c>
      <c r="I4459" s="16" t="n">
        <v>1</v>
      </c>
      <c r="J4459" s="17" t="n">
        <v>42.5</v>
      </c>
      <c r="K4459" s="17" t="n">
        <v>50.77</v>
      </c>
      <c r="L4459" s="17" t="n">
        <v>6.72</v>
      </c>
      <c r="M4459" s="17" t="n">
        <v>0</v>
      </c>
      <c r="N4459" s="17">
        <f>K4459*0.08+L4459*0.08</f>
        <v/>
      </c>
      <c r="O4459" s="17">
        <f>-(K4459*0.025+L4459*0.025)</f>
        <v/>
      </c>
      <c r="P4459" s="17">
        <f>32</f>
        <v/>
      </c>
      <c r="Q4459" s="17">
        <f>J4459+L4459+N4459+O4459-P4459-M4459</f>
        <v/>
      </c>
    </row>
    <row r="4460">
      <c r="A4460" s="16" t="inlineStr">
        <is>
          <t>5.8-5.14</t>
        </is>
      </c>
      <c r="B4460" s="16" t="inlineStr">
        <is>
          <t>PO-128-09886027835512995</t>
        </is>
      </c>
      <c r="C4460" s="16" t="inlineStr">
        <is>
          <t>Shipped</t>
        </is>
      </c>
      <c r="D4460" s="16" t="inlineStr">
        <is>
          <t>128-09886080264312995</t>
        </is>
      </c>
      <c r="E4460" s="16" t="inlineStr">
        <is>
          <t>Shipped</t>
        </is>
      </c>
      <c r="F4460" s="16" t="inlineStr">
        <is>
          <t>SA8056T</t>
        </is>
      </c>
      <c r="G446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460" s="16" t="inlineStr">
        <is>
          <t>SA8056T</t>
        </is>
      </c>
      <c r="I4460" s="16" t="n">
        <v>1</v>
      </c>
      <c r="J4460" s="17" t="n">
        <v>123.9</v>
      </c>
      <c r="K4460" s="17" t="n">
        <v>144.28</v>
      </c>
      <c r="L4460" s="17" t="n">
        <v>19.14</v>
      </c>
      <c r="M4460" s="17" t="n">
        <v>0</v>
      </c>
      <c r="N4460" s="17">
        <f>K4460*0.08+L4460*0.08</f>
        <v/>
      </c>
      <c r="O4460" s="17">
        <f>-(K4460*0.025+L4460*0.025)</f>
        <v/>
      </c>
      <c r="P4460" s="17">
        <f>32</f>
        <v/>
      </c>
      <c r="Q4460" s="17">
        <f>J4460+L4460+N4460+O4460-P4460-M4460</f>
        <v/>
      </c>
    </row>
    <row r="4461">
      <c r="A4461" s="16" t="inlineStr">
        <is>
          <t>5.8-5.14</t>
        </is>
      </c>
      <c r="B4461" s="16" t="inlineStr">
        <is>
          <t>PO-128-10149582887030462</t>
        </is>
      </c>
      <c r="C4461" s="16" t="inlineStr">
        <is>
          <t>Shipped</t>
        </is>
      </c>
      <c r="D4461" s="16" t="inlineStr">
        <is>
          <t>128-10149687744630462</t>
        </is>
      </c>
      <c r="E4461" s="16" t="inlineStr">
        <is>
          <t>Shipped</t>
        </is>
      </c>
      <c r="F4461" s="16" t="inlineStr">
        <is>
          <t>LV25W22</t>
        </is>
      </c>
      <c r="G44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61" s="16" t="inlineStr">
        <is>
          <t>LV25W32</t>
        </is>
      </c>
      <c r="I4461" s="16" t="n">
        <v>3</v>
      </c>
      <c r="J4461" s="17" t="n">
        <v>291</v>
      </c>
      <c r="K4461" s="17" t="n">
        <v>257.79</v>
      </c>
      <c r="L4461" s="17" t="n">
        <v>0</v>
      </c>
      <c r="M4461" s="17" t="n">
        <v>0</v>
      </c>
      <c r="N4461" s="17">
        <f>K4461*0.08+L4461*0.08</f>
        <v/>
      </c>
      <c r="O4461" s="17">
        <f>-(K4461*0.025+L4461*0.025)</f>
        <v/>
      </c>
      <c r="P4461" s="17">
        <f>32</f>
        <v/>
      </c>
      <c r="Q4461" s="17">
        <f>J4461+L4461+N4461+O4461-P4461-M4461</f>
        <v/>
      </c>
    </row>
    <row r="4462">
      <c r="A4462" s="16" t="inlineStr">
        <is>
          <t>5.8-5.14</t>
        </is>
      </c>
      <c r="B4462" s="16" t="inlineStr">
        <is>
          <t>PO-128-09892847998073019</t>
        </is>
      </c>
      <c r="C4462" s="16" t="inlineStr">
        <is>
          <t>Shipped</t>
        </is>
      </c>
      <c r="D4462" s="16" t="inlineStr">
        <is>
          <t>128-09892806055033019</t>
        </is>
      </c>
      <c r="E4462" s="16" t="inlineStr">
        <is>
          <t>Shipped</t>
        </is>
      </c>
      <c r="F4462" s="16" t="inlineStr">
        <is>
          <t>MCM-001N</t>
        </is>
      </c>
      <c r="G4462" s="16" t="inlineStr">
        <is>
          <t>Musicord Altavoz Inalámbrico BT Portátil: ¡Sonido impactante, luces LED multicolores y 4 horas de autonomía! Compatible con TWS, FM, TF y USB – Imprescindible para fiestas y viajes</t>
        </is>
      </c>
      <c r="H4462" s="16" t="inlineStr">
        <is>
          <t>NEGRO</t>
        </is>
      </c>
      <c r="I4462" s="16" t="n">
        <v>2</v>
      </c>
      <c r="J4462" s="17" t="n">
        <v>122</v>
      </c>
      <c r="K4462" s="17" t="n">
        <v>101.44</v>
      </c>
      <c r="L4462" s="17" t="n">
        <v>25.86</v>
      </c>
      <c r="M4462" s="17" t="n">
        <v>0</v>
      </c>
      <c r="N4462" s="17">
        <f>K4462*0.08+L4462*0.08</f>
        <v/>
      </c>
      <c r="O4462" s="17">
        <f>-(K4462*0.025+L4462*0.025)</f>
        <v/>
      </c>
      <c r="P4462" s="17">
        <f>32</f>
        <v/>
      </c>
      <c r="Q4462" s="17">
        <f>J4462+L4462+N4462+O4462-P4462-M4462</f>
        <v/>
      </c>
    </row>
    <row r="4463">
      <c r="A4463" s="16" t="inlineStr">
        <is>
          <t>5.8-5.14</t>
        </is>
      </c>
      <c r="B4463" s="16" t="inlineStr">
        <is>
          <t>PO-128-10174105782390380</t>
        </is>
      </c>
      <c r="C4463" s="16" t="inlineStr">
        <is>
          <t>Shipped</t>
        </is>
      </c>
      <c r="D4463" s="16" t="inlineStr">
        <is>
          <t>128-10174176561270380</t>
        </is>
      </c>
      <c r="E4463" s="16" t="inlineStr">
        <is>
          <t>Shipped</t>
        </is>
      </c>
      <c r="F4463" s="16" t="inlineStr">
        <is>
          <t>KTS-1943-R</t>
        </is>
      </c>
      <c r="G446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463" s="16" t="inlineStr">
        <is>
          <t>ROJO</t>
        </is>
      </c>
      <c r="I4463" s="16" t="n">
        <v>1</v>
      </c>
      <c r="J4463" s="17" t="n">
        <v>75</v>
      </c>
      <c r="K4463" s="17" t="n">
        <v>90.62</v>
      </c>
      <c r="L4463" s="17" t="n">
        <v>25.86</v>
      </c>
      <c r="M4463" s="17" t="n">
        <v>0</v>
      </c>
      <c r="N4463" s="17">
        <f>K4463*0.08+L4463*0.08</f>
        <v/>
      </c>
      <c r="O4463" s="17">
        <f>-(K4463*0.025+L4463*0.025)</f>
        <v/>
      </c>
      <c r="P4463" s="17">
        <f>32</f>
        <v/>
      </c>
      <c r="Q4463" s="17">
        <f>J4463+L4463+N4463+O4463-P4463-M4463</f>
        <v/>
      </c>
    </row>
    <row r="4464">
      <c r="A4464" s="16" t="inlineStr">
        <is>
          <t>5.8-5.14</t>
        </is>
      </c>
      <c r="B4464" s="16" t="inlineStr">
        <is>
          <t>PO-128-09907633743992864</t>
        </is>
      </c>
      <c r="C4464" s="16" t="inlineStr">
        <is>
          <t>Shipped</t>
        </is>
      </c>
      <c r="D4464" s="16" t="inlineStr">
        <is>
          <t>128-09907665201272864</t>
        </is>
      </c>
      <c r="E4464" s="16" t="inlineStr">
        <is>
          <t>Shipped</t>
        </is>
      </c>
      <c r="F4464" s="16" t="inlineStr">
        <is>
          <t>LB02235-blanco</t>
        </is>
      </c>
      <c r="G4464" s="16" t="inlineStr">
        <is>
          <t>Audífonos Inalámbricos para la Cabeza, Recargables y Multifuncionales - Conectan a Varios Dispositivos, soportan Radio FM, Tarjeta TF y AUX - 4 Horas de Reproducción Musical - Ideal para Trabajo Cotidiano, Juegos y Estudio</t>
        </is>
      </c>
      <c r="H4464" s="16" t="inlineStr">
        <is>
          <t>BLANCO</t>
        </is>
      </c>
      <c r="I4464" s="16" t="n">
        <v>1</v>
      </c>
      <c r="J4464" s="17" t="n">
        <v>38</v>
      </c>
      <c r="K4464" s="17" t="n">
        <v>51.12</v>
      </c>
      <c r="L4464" s="17" t="n">
        <v>25.86</v>
      </c>
      <c r="M4464" s="17" t="n">
        <v>0</v>
      </c>
      <c r="N4464" s="17">
        <f>K4464*0.08+L4464*0.08</f>
        <v/>
      </c>
      <c r="O4464" s="17">
        <f>-(K4464*0.025+L4464*0.025)</f>
        <v/>
      </c>
      <c r="P4464" s="17">
        <f>32</f>
        <v/>
      </c>
      <c r="Q4464" s="17">
        <f>J4464+L4464+N4464+O4464-P4464-M4464</f>
        <v/>
      </c>
    </row>
    <row r="4465">
      <c r="A4465" s="16" t="inlineStr">
        <is>
          <t>5.8-5.14</t>
        </is>
      </c>
      <c r="B4465" s="16" t="inlineStr">
        <is>
          <t>PO-128-09929011816312739</t>
        </is>
      </c>
      <c r="C4465" s="16" t="inlineStr">
        <is>
          <t>Shipped</t>
        </is>
      </c>
      <c r="D4465" s="16" t="inlineStr">
        <is>
          <t>128-09929087838072739</t>
        </is>
      </c>
      <c r="E4465" s="16" t="inlineStr">
        <is>
          <t>Shipped</t>
        </is>
      </c>
      <c r="F4465" s="16" t="inlineStr">
        <is>
          <t>MCM-001G</t>
        </is>
      </c>
      <c r="G4465" s="16" t="inlineStr">
        <is>
          <t>Musicord Altavoz Inalámbrico BT Portátil: ¡Sonido impactante, luces LED multicolores y 4 horas de autonomía! Compatible con TWS, FM, TF y USB – Imprescindible para fiestas y viajes</t>
        </is>
      </c>
      <c r="H4465" s="16" t="inlineStr">
        <is>
          <t>GRIS</t>
        </is>
      </c>
      <c r="I4465" s="16" t="n">
        <v>1</v>
      </c>
      <c r="J4465" s="17" t="n">
        <v>51.07</v>
      </c>
      <c r="K4465" s="17" t="n">
        <v>2</v>
      </c>
      <c r="L4465" s="17" t="n">
        <v>25.86</v>
      </c>
      <c r="M4465" s="17" t="n">
        <v>0</v>
      </c>
      <c r="N4465" s="17">
        <f>K4465*0.08+L4465*0.08</f>
        <v/>
      </c>
      <c r="O4465" s="17">
        <f>-(K4465*0.025+L4465*0.025)</f>
        <v/>
      </c>
      <c r="P4465" s="17">
        <f>32</f>
        <v/>
      </c>
      <c r="Q4465" s="17">
        <f>J4465+L4465+N4465+O4465-P4465-M4465</f>
        <v/>
      </c>
    </row>
    <row r="4466">
      <c r="A4466" s="16" t="inlineStr">
        <is>
          <t>5.8-5.14</t>
        </is>
      </c>
      <c r="B4466" s="16" t="inlineStr">
        <is>
          <t>PO-128-09712324570234031</t>
        </is>
      </c>
      <c r="C4466" s="16" t="inlineStr">
        <is>
          <t>Shipped</t>
        </is>
      </c>
      <c r="D4466" s="16" t="inlineStr">
        <is>
          <t>128-09712282627194031</t>
        </is>
      </c>
      <c r="E4466" s="16" t="inlineStr">
        <is>
          <t>Shipped</t>
        </is>
      </c>
      <c r="F4466" s="16" t="inlineStr">
        <is>
          <t>LV25W22</t>
        </is>
      </c>
      <c r="G44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66" s="16" t="inlineStr">
        <is>
          <t>LV25W32</t>
        </is>
      </c>
      <c r="I4466" s="16" t="n">
        <v>1</v>
      </c>
      <c r="J4466" s="17" t="n">
        <v>97</v>
      </c>
      <c r="K4466" s="17" t="n">
        <v>85.93000000000001</v>
      </c>
      <c r="L4466" s="17" t="n">
        <v>25.86</v>
      </c>
      <c r="M4466" s="17" t="n">
        <v>0</v>
      </c>
      <c r="N4466" s="17">
        <f>K4466*0.08+L4466*0.08</f>
        <v/>
      </c>
      <c r="O4466" s="17">
        <f>-(K4466*0.025+L4466*0.025)</f>
        <v/>
      </c>
      <c r="P4466" s="17">
        <f>32</f>
        <v/>
      </c>
      <c r="Q4466" s="17">
        <f>J4466+L4466+N4466+O4466-P4466-M4466</f>
        <v/>
      </c>
    </row>
    <row r="4467">
      <c r="A4467" s="16" t="inlineStr">
        <is>
          <t>5.8-5.14</t>
        </is>
      </c>
      <c r="B4467" s="16" t="inlineStr">
        <is>
          <t>PO-128-10092071135351895</t>
        </is>
      </c>
      <c r="C4467" s="16" t="inlineStr">
        <is>
          <t>Shipped</t>
        </is>
      </c>
      <c r="D4467" s="16" t="inlineStr">
        <is>
          <t>128-10092029192311895</t>
        </is>
      </c>
      <c r="E4467" s="16" t="inlineStr">
        <is>
          <t>Shipped</t>
        </is>
      </c>
      <c r="F4467" s="16" t="inlineStr">
        <is>
          <t>LB02235-rojo</t>
        </is>
      </c>
      <c r="G4467" s="16" t="inlineStr">
        <is>
          <t>Audífonos Inalámbricos para la Cabeza, Recargables y Multifuncionales - Conectan a Varios Dispositivos, soportan Radio FM, Tarjeta TF y AUX - 4 Horas de Reproducción Musical - Ideal para Trabajo Cotidiano, Juegos y Estudio</t>
        </is>
      </c>
      <c r="H4467" s="16" t="inlineStr">
        <is>
          <t>ROJO</t>
        </is>
      </c>
      <c r="I4467" s="16" t="n">
        <v>1</v>
      </c>
      <c r="J4467" s="17" t="n">
        <v>38</v>
      </c>
      <c r="K4467" s="17" t="n">
        <v>51.12</v>
      </c>
      <c r="L4467" s="17" t="n">
        <v>25.86</v>
      </c>
      <c r="M4467" s="17" t="n">
        <v>0</v>
      </c>
      <c r="N4467" s="17">
        <f>K4467*0.08+L4467*0.08</f>
        <v/>
      </c>
      <c r="O4467" s="17">
        <f>-(K4467*0.025+L4467*0.025)</f>
        <v/>
      </c>
      <c r="P4467" s="17">
        <f>32</f>
        <v/>
      </c>
      <c r="Q4467" s="17">
        <f>J4467+L4467+N4467+O4467-P4467-M4467</f>
        <v/>
      </c>
    </row>
    <row r="4468">
      <c r="A4468" s="16" t="inlineStr">
        <is>
          <t>5.8-5.14</t>
        </is>
      </c>
      <c r="B4468" s="16" t="inlineStr">
        <is>
          <t>PO-128-09987323477111303</t>
        </is>
      </c>
      <c r="C4468" s="16" t="inlineStr">
        <is>
          <t>Shipped</t>
        </is>
      </c>
      <c r="D4468" s="16" t="inlineStr">
        <is>
          <t>128-09987326098551303</t>
        </is>
      </c>
      <c r="E4468" s="16" t="inlineStr">
        <is>
          <t>Shipped</t>
        </is>
      </c>
      <c r="F4468" s="16" t="inlineStr">
        <is>
          <t>VB347T</t>
        </is>
      </c>
      <c r="G446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68" s="16" t="inlineStr">
        <is>
          <t>1 pieza</t>
        </is>
      </c>
      <c r="I4468" s="16" t="n">
        <v>1</v>
      </c>
      <c r="J4468" s="17" t="n">
        <v>79.90000000000001</v>
      </c>
      <c r="K4468" s="17" t="n">
        <v>86.59999999999999</v>
      </c>
      <c r="L4468" s="17" t="n">
        <v>25.86</v>
      </c>
      <c r="M4468" s="17" t="n">
        <v>0</v>
      </c>
      <c r="N4468" s="17">
        <f>K4468*0.08+L4468*0.08</f>
        <v/>
      </c>
      <c r="O4468" s="17">
        <f>-(K4468*0.025+L4468*0.025)</f>
        <v/>
      </c>
      <c r="P4468" s="17">
        <f>32</f>
        <v/>
      </c>
      <c r="Q4468" s="17">
        <f>J4468+L4468+N4468+O4468-P4468-M4468</f>
        <v/>
      </c>
    </row>
    <row r="4469">
      <c r="A4469" s="16" t="inlineStr">
        <is>
          <t>5.8-5.14</t>
        </is>
      </c>
      <c r="B4469" s="16" t="inlineStr">
        <is>
          <t>PO-128-10179191678070158</t>
        </is>
      </c>
      <c r="C4469" s="16" t="inlineStr">
        <is>
          <t>Shipped</t>
        </is>
      </c>
      <c r="D4469" s="16" t="inlineStr">
        <is>
          <t>128-10179107791990158</t>
        </is>
      </c>
      <c r="E4469" s="16" t="inlineStr">
        <is>
          <t>Shipped</t>
        </is>
      </c>
      <c r="F4469" s="16" t="inlineStr">
        <is>
          <t>FA028</t>
        </is>
      </c>
      <c r="G4469" s="16" t="inlineStr">
        <is>
          <t>Extractor de agua para garrafas de agua, compatible con carga USB, extractor de agua automático, práctico, con dos modos de toma de agua: manual y programado, ideal para dormitorios, salones, oficinas, uso al aire libre y otros escenarios.</t>
        </is>
      </c>
      <c r="H4469" s="16" t="inlineStr">
        <is>
          <t>FA028</t>
        </is>
      </c>
      <c r="I4469" s="16" t="n">
        <v>1</v>
      </c>
      <c r="J4469" s="17" t="n">
        <v>30</v>
      </c>
      <c r="K4469" s="17" t="n">
        <v>33.64</v>
      </c>
      <c r="L4469" s="17" t="n">
        <v>25.86</v>
      </c>
      <c r="M4469" s="17" t="n">
        <v>0</v>
      </c>
      <c r="N4469" s="17">
        <f>K4469*0.08+L4469*0.08</f>
        <v/>
      </c>
      <c r="O4469" s="17">
        <f>-(K4469*0.025+L4469*0.025)</f>
        <v/>
      </c>
      <c r="P4469" s="17">
        <f>32</f>
        <v/>
      </c>
      <c r="Q4469" s="17">
        <f>J4469+L4469+N4469+O4469-P4469-M4469</f>
        <v/>
      </c>
    </row>
    <row r="4470">
      <c r="A4470" s="16" t="inlineStr">
        <is>
          <t>5.8-5.14</t>
        </is>
      </c>
      <c r="B4470" s="16" t="inlineStr">
        <is>
          <t>PO-128-10169572283510345</t>
        </is>
      </c>
      <c r="C4470" s="16" t="inlineStr">
        <is>
          <t>Shipped</t>
        </is>
      </c>
      <c r="D4470" s="16" t="inlineStr">
        <is>
          <t>128-10169614226550345</t>
        </is>
      </c>
      <c r="E4470" s="16" t="inlineStr">
        <is>
          <t>Shipped</t>
        </is>
      </c>
      <c r="F4470" s="16" t="inlineStr">
        <is>
          <t>MB-185N</t>
        </is>
      </c>
      <c r="G4470" s="16" t="inlineStr">
        <is>
          <t>Bocina Radio FM/Reproductor, Compatible con Tarjeta TF, USB, Bluetooth, Aplicable para celular, computadora, Ipad y consola.</t>
        </is>
      </c>
      <c r="H4470" s="16" t="inlineStr">
        <is>
          <t>NEGRO/MB-185</t>
        </is>
      </c>
      <c r="I4470" s="16" t="n">
        <v>1</v>
      </c>
      <c r="J4470" s="17" t="n">
        <v>75.5</v>
      </c>
      <c r="K4470" s="17" t="n">
        <v>88.45999999999999</v>
      </c>
      <c r="L4470" s="17" t="n">
        <v>25.86</v>
      </c>
      <c r="M4470" s="17" t="n">
        <v>0</v>
      </c>
      <c r="N4470" s="17">
        <f>K4470*0.08+L4470*0.08</f>
        <v/>
      </c>
      <c r="O4470" s="17">
        <f>-(K4470*0.025+L4470*0.025)</f>
        <v/>
      </c>
      <c r="P4470" s="17">
        <f>32</f>
        <v/>
      </c>
      <c r="Q4470" s="17">
        <f>J4470+L4470+N4470+O4470-P4470-M4470</f>
        <v/>
      </c>
    </row>
    <row r="4471">
      <c r="A4471" s="16" t="inlineStr">
        <is>
          <t>5.8-5.14</t>
        </is>
      </c>
      <c r="B4471" s="16" t="inlineStr">
        <is>
          <t>PO-128-09913921795192893</t>
        </is>
      </c>
      <c r="C4471" s="16" t="inlineStr">
        <is>
          <t>Shipped</t>
        </is>
      </c>
      <c r="D4471" s="16" t="inlineStr">
        <is>
          <t>128-09913974223992893</t>
        </is>
      </c>
      <c r="E4471" s="16" t="inlineStr">
        <is>
          <t>Shipped</t>
        </is>
      </c>
      <c r="F4471" s="16" t="inlineStr">
        <is>
          <t>MB-185N</t>
        </is>
      </c>
      <c r="G4471" s="16" t="inlineStr">
        <is>
          <t>Bocina Radio FM/Reproductor, Compatible con Tarjeta TF, USB, Bluetooth, Aplicable para celular, computadora, Ipad y consola.</t>
        </is>
      </c>
      <c r="H4471" s="16" t="inlineStr">
        <is>
          <t>NEGRO/MB-185</t>
        </is>
      </c>
      <c r="I4471" s="16" t="n">
        <v>1</v>
      </c>
      <c r="J4471" s="17" t="n">
        <v>75.5</v>
      </c>
      <c r="K4471" s="17" t="n">
        <v>88.45999999999999</v>
      </c>
      <c r="L4471" s="17" t="n">
        <v>25.86</v>
      </c>
      <c r="M4471" s="17" t="n">
        <v>0</v>
      </c>
      <c r="N4471" s="17">
        <f>K4471*0.08+L4471*0.08</f>
        <v/>
      </c>
      <c r="O4471" s="17">
        <f>-(K4471*0.025+L4471*0.025)</f>
        <v/>
      </c>
      <c r="P4471" s="17">
        <f>32</f>
        <v/>
      </c>
      <c r="Q4471" s="17">
        <f>J4471+L4471+N4471+O4471-P4471-M4471</f>
        <v/>
      </c>
    </row>
    <row r="4472">
      <c r="A4472" s="16" t="inlineStr">
        <is>
          <t>5.8-5.14</t>
        </is>
      </c>
      <c r="B4472" s="16" t="inlineStr">
        <is>
          <t>PO-128-10008753595511174</t>
        </is>
      </c>
      <c r="C4472" s="16" t="inlineStr">
        <is>
          <t>Shipped</t>
        </is>
      </c>
      <c r="D4472" s="16" t="inlineStr">
        <is>
          <t>128-10008711652471174</t>
        </is>
      </c>
      <c r="E4472" s="16" t="inlineStr">
        <is>
          <t>Shipped</t>
        </is>
      </c>
      <c r="F4472" s="16" t="inlineStr">
        <is>
          <t>KTS-1678V</t>
        </is>
      </c>
      <c r="G4472" s="16" t="inlineStr">
        <is>
          <t>Bocina portátil Inalámbrico, de 3 pulgadas, tamaño de bolsillo, 170 g, con asa, compatible con TF, USB y Micro SD, con radio FM y función TWS (True Wireless Stereo), adecuada para relajarse en casa o viajar al aire libre.</t>
        </is>
      </c>
      <c r="H4472" s="16" t="inlineStr">
        <is>
          <t>KTS-1678V</t>
        </is>
      </c>
      <c r="I4472" s="16" t="n">
        <v>1</v>
      </c>
      <c r="J4472" s="17" t="n">
        <v>42.5</v>
      </c>
      <c r="K4472" s="17" t="n">
        <v>50.77</v>
      </c>
      <c r="L4472" s="17" t="n">
        <v>25.86</v>
      </c>
      <c r="M4472" s="17" t="n">
        <v>0</v>
      </c>
      <c r="N4472" s="17">
        <f>K4472*0.08+L4472*0.08</f>
        <v/>
      </c>
      <c r="O4472" s="17">
        <f>-(K4472*0.025+L4472*0.025)</f>
        <v/>
      </c>
      <c r="P4472" s="17">
        <f>32</f>
        <v/>
      </c>
      <c r="Q4472" s="17">
        <f>J4472+L4472+N4472+O4472-P4472-M4472</f>
        <v/>
      </c>
    </row>
    <row r="4473">
      <c r="A4473" s="16" t="inlineStr">
        <is>
          <t>5.8-5.14</t>
        </is>
      </c>
      <c r="B4473" s="16" t="inlineStr">
        <is>
          <t>PO-128-10170215247990341</t>
        </is>
      </c>
      <c r="C4473" s="16" t="inlineStr">
        <is>
          <t>Shipped</t>
        </is>
      </c>
      <c r="D4473" s="16" t="inlineStr">
        <is>
          <t>128-10170194276470341</t>
        </is>
      </c>
      <c r="E4473" s="16" t="inlineStr">
        <is>
          <t>Shipped</t>
        </is>
      </c>
      <c r="F4473" s="16" t="inlineStr">
        <is>
          <t>LV25W22</t>
        </is>
      </c>
      <c r="G44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73" s="16" t="inlineStr">
        <is>
          <t>LV25W32</t>
        </is>
      </c>
      <c r="I4473" s="16" t="n">
        <v>1</v>
      </c>
      <c r="J4473" s="17" t="n">
        <v>97</v>
      </c>
      <c r="K4473" s="17" t="n">
        <v>107.41</v>
      </c>
      <c r="L4473" s="17" t="n">
        <v>25.86</v>
      </c>
      <c r="M4473" s="17" t="n">
        <v>0</v>
      </c>
      <c r="N4473" s="17">
        <f>K4473*0.08+L4473*0.08</f>
        <v/>
      </c>
      <c r="O4473" s="17">
        <f>-(K4473*0.025+L4473*0.025)</f>
        <v/>
      </c>
      <c r="P4473" s="17">
        <f>32</f>
        <v/>
      </c>
      <c r="Q4473" s="17">
        <f>J4473+L4473+N4473+O4473-P4473-M4473</f>
        <v/>
      </c>
    </row>
    <row r="4474">
      <c r="A4474" s="16" t="inlineStr">
        <is>
          <t>5.8-5.14</t>
        </is>
      </c>
      <c r="B4474" s="16" t="inlineStr">
        <is>
          <t>PO-128-10244157278070797</t>
        </is>
      </c>
      <c r="C4474" s="16" t="inlineStr">
        <is>
          <t>Shipped</t>
        </is>
      </c>
      <c r="D4474" s="16" t="inlineStr">
        <is>
          <t>128-10244136306550797</t>
        </is>
      </c>
      <c r="E4474" s="16" t="inlineStr">
        <is>
          <t>Shipped</t>
        </is>
      </c>
      <c r="F4474" s="16" t="inlineStr">
        <is>
          <t>LV25W22</t>
        </is>
      </c>
      <c r="G44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74" s="16" t="inlineStr">
        <is>
          <t>LV25W32</t>
        </is>
      </c>
      <c r="I4474" s="16" t="n">
        <v>1</v>
      </c>
      <c r="J4474" s="17" t="n">
        <v>97</v>
      </c>
      <c r="K4474" s="17" t="n">
        <v>107.41</v>
      </c>
      <c r="L4474" s="17" t="n">
        <v>25.86</v>
      </c>
      <c r="M4474" s="17" t="n">
        <v>0</v>
      </c>
      <c r="N4474" s="17">
        <f>K4474*0.08+L4474*0.08</f>
        <v/>
      </c>
      <c r="O4474" s="17">
        <f>-(K4474*0.025+L4474*0.025)</f>
        <v/>
      </c>
      <c r="P4474" s="17">
        <f>32</f>
        <v/>
      </c>
      <c r="Q4474" s="17">
        <f>J4474+L4474+N4474+O4474-P4474-M4474</f>
        <v/>
      </c>
    </row>
    <row r="4475">
      <c r="A4475" s="16" t="inlineStr">
        <is>
          <t>5.8-5.14</t>
        </is>
      </c>
      <c r="B4475" s="16" t="inlineStr">
        <is>
          <t>PO-128-10042332992631102</t>
        </is>
      </c>
      <c r="C4475" s="16" t="inlineStr">
        <is>
          <t>Shipped</t>
        </is>
      </c>
      <c r="D4475" s="16" t="inlineStr">
        <is>
          <t>128-10042312021111102</t>
        </is>
      </c>
      <c r="E4475" s="16" t="inlineStr">
        <is>
          <t>Shipped</t>
        </is>
      </c>
      <c r="F4475" s="16" t="inlineStr">
        <is>
          <t>LV25W22</t>
        </is>
      </c>
      <c r="G44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75" s="16" t="inlineStr">
        <is>
          <t>LV25W32</t>
        </is>
      </c>
      <c r="I4475" s="16" t="n">
        <v>1</v>
      </c>
      <c r="J4475" s="17" t="n">
        <v>97</v>
      </c>
      <c r="K4475" s="17" t="n">
        <v>107.41</v>
      </c>
      <c r="L4475" s="17" t="n">
        <v>25.86</v>
      </c>
      <c r="M4475" s="17" t="n">
        <v>0</v>
      </c>
      <c r="N4475" s="17">
        <f>K4475*0.08+L4475*0.08</f>
        <v/>
      </c>
      <c r="O4475" s="17">
        <f>-(K4475*0.025+L4475*0.025)</f>
        <v/>
      </c>
      <c r="P4475" s="17">
        <f>32</f>
        <v/>
      </c>
      <c r="Q4475" s="17">
        <f>J4475+L4475+N4475+O4475-P4475-M4475</f>
        <v/>
      </c>
    </row>
    <row r="4476">
      <c r="A4476" s="16" t="inlineStr">
        <is>
          <t>5.8-5.14</t>
        </is>
      </c>
      <c r="B4476" s="16" t="inlineStr">
        <is>
          <t>PO-128-09762523459193795</t>
        </is>
      </c>
      <c r="C4476" s="16" t="inlineStr">
        <is>
          <t>Shipped</t>
        </is>
      </c>
      <c r="D4476" s="16" t="inlineStr">
        <is>
          <t>128-09762544430713795</t>
        </is>
      </c>
      <c r="E4476" s="16" t="inlineStr">
        <is>
          <t>Shipped</t>
        </is>
      </c>
      <c r="F4476" s="16" t="inlineStr">
        <is>
          <t>LV34W04</t>
        </is>
      </c>
      <c r="G447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476" s="16" t="inlineStr">
        <is>
          <t>LV34W04</t>
        </is>
      </c>
      <c r="I4476" s="16" t="n">
        <v>1</v>
      </c>
      <c r="J4476" s="17" t="n">
        <v>279</v>
      </c>
      <c r="K4476" s="17" t="n">
        <v>337.81</v>
      </c>
      <c r="L4476" s="17" t="n">
        <v>0</v>
      </c>
      <c r="M4476" s="17" t="n">
        <v>0</v>
      </c>
      <c r="N4476" s="17">
        <f>K4476*0.08+L4476*0.08</f>
        <v/>
      </c>
      <c r="O4476" s="17">
        <f>-(K4476*0.025+L4476*0.025)</f>
        <v/>
      </c>
      <c r="P4476" s="17">
        <f>32</f>
        <v/>
      </c>
      <c r="Q4476" s="17">
        <f>J4476+L4476+N4476+O4476-P4476-M4476</f>
        <v/>
      </c>
    </row>
    <row r="4477">
      <c r="A4477" s="16" t="inlineStr">
        <is>
          <t>5.8-5.14</t>
        </is>
      </c>
      <c r="B4477" s="16" t="inlineStr">
        <is>
          <t>PO-128-09867251592312083</t>
        </is>
      </c>
      <c r="C4477" s="16" t="inlineStr">
        <is>
          <t>Shipped</t>
        </is>
      </c>
      <c r="D4477" s="16" t="inlineStr">
        <is>
          <t>128-09867230620792083</t>
        </is>
      </c>
      <c r="E4477" s="16" t="inlineStr">
        <is>
          <t>Shipped</t>
        </is>
      </c>
      <c r="F4477" s="16" t="inlineStr">
        <is>
          <t>MCM-001N</t>
        </is>
      </c>
      <c r="G4477" s="16" t="inlineStr">
        <is>
          <t>Musicord Altavoz Inalámbrico BT Portátil: ¡Sonido impactante, luces LED multicolores y 4 horas de autonomía! Compatible con TWS, FM, TF y USB – Imprescindible para fiestas y viajes</t>
        </is>
      </c>
      <c r="H4477" s="16" t="inlineStr">
        <is>
          <t>NEGRO</t>
        </is>
      </c>
      <c r="I4477" s="16" t="n">
        <v>1</v>
      </c>
      <c r="J4477" s="17" t="n">
        <v>61</v>
      </c>
      <c r="K4477" s="17" t="n">
        <v>57.82</v>
      </c>
      <c r="L4477" s="17" t="n">
        <v>25.86</v>
      </c>
      <c r="M4477" s="17" t="n">
        <v>0</v>
      </c>
      <c r="N4477" s="17">
        <f>K4477*0.08+L4477*0.08</f>
        <v/>
      </c>
      <c r="O4477" s="17">
        <f>-(K4477*0.025+L4477*0.025)</f>
        <v/>
      </c>
      <c r="P4477" s="17">
        <f>32</f>
        <v/>
      </c>
      <c r="Q4477" s="17">
        <f>J4477+L4477+N4477+O4477-P4477-M4477</f>
        <v/>
      </c>
    </row>
    <row r="4478">
      <c r="A4478" s="16" t="inlineStr">
        <is>
          <t>5.8-5.14</t>
        </is>
      </c>
      <c r="B4478" s="16" t="inlineStr">
        <is>
          <t>PO-128-10130897759351662</t>
        </is>
      </c>
      <c r="C4478" s="16" t="inlineStr">
        <is>
          <t>Shipped</t>
        </is>
      </c>
      <c r="D4478" s="16" t="inlineStr">
        <is>
          <t>128-10130908245111662</t>
        </is>
      </c>
      <c r="E4478" s="16" t="inlineStr">
        <is>
          <t>Shipped</t>
        </is>
      </c>
      <c r="F4478" s="16" t="inlineStr">
        <is>
          <t>MCM-001R</t>
        </is>
      </c>
      <c r="G4478" s="16" t="inlineStr">
        <is>
          <t>Musicord Altavoz Inalámbrico BT Portátil: ¡Sonido impactante, luces LED multicolores y 4 horas de autonomía! Compatible con TWS, FM, TF y USB – Imprescindible para fiestas y viajes</t>
        </is>
      </c>
      <c r="H4478" s="16" t="inlineStr">
        <is>
          <t>ROJO</t>
        </is>
      </c>
      <c r="I4478" s="16" t="n">
        <v>1</v>
      </c>
      <c r="J4478" s="17" t="n">
        <v>66.5</v>
      </c>
      <c r="K4478" s="17" t="n">
        <v>61.3</v>
      </c>
      <c r="L4478" s="17" t="n">
        <v>25.86</v>
      </c>
      <c r="M4478" s="17" t="n">
        <v>0</v>
      </c>
      <c r="N4478" s="17">
        <f>K4478*0.08+L4478*0.08</f>
        <v/>
      </c>
      <c r="O4478" s="17">
        <f>-(K4478*0.025+L4478*0.025)</f>
        <v/>
      </c>
      <c r="P4478" s="17">
        <f>32</f>
        <v/>
      </c>
      <c r="Q4478" s="17">
        <f>J4478+L4478+N4478+O4478-P4478-M4478</f>
        <v/>
      </c>
    </row>
    <row r="4479">
      <c r="A4479" s="16" t="inlineStr">
        <is>
          <t>5.8-5.14</t>
        </is>
      </c>
      <c r="B4479" s="16" t="inlineStr">
        <is>
          <t>PO-128-10139953523830392</t>
        </is>
      </c>
      <c r="C4479" s="16" t="inlineStr">
        <is>
          <t>Shipped</t>
        </is>
      </c>
      <c r="D4479" s="16" t="inlineStr">
        <is>
          <t>128-10139964009590392</t>
        </is>
      </c>
      <c r="E4479" s="16" t="inlineStr">
        <is>
          <t>Shipped</t>
        </is>
      </c>
      <c r="F4479" s="16" t="inlineStr">
        <is>
          <t>LV25W22</t>
        </is>
      </c>
      <c r="G447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79" s="16" t="inlineStr">
        <is>
          <t>LV25W32</t>
        </is>
      </c>
      <c r="I4479" s="16" t="n">
        <v>1</v>
      </c>
      <c r="J4479" s="17" t="n">
        <v>97</v>
      </c>
      <c r="K4479" s="17" t="n">
        <v>93.39</v>
      </c>
      <c r="L4479" s="17" t="n">
        <v>25.86</v>
      </c>
      <c r="M4479" s="17" t="n">
        <v>0</v>
      </c>
      <c r="N4479" s="17">
        <f>K4479*0.08+L4479*0.08</f>
        <v/>
      </c>
      <c r="O4479" s="17">
        <f>-(K4479*0.025+L4479*0.025)</f>
        <v/>
      </c>
      <c r="P4479" s="17">
        <f>32</f>
        <v/>
      </c>
      <c r="Q4479" s="17">
        <f>J4479+L4479+N4479+O4479-P4479-M4479</f>
        <v/>
      </c>
    </row>
    <row r="4480">
      <c r="A4480" s="16" t="inlineStr">
        <is>
          <t>5.8-5.14</t>
        </is>
      </c>
      <c r="B4480" s="16" t="inlineStr">
        <is>
          <t>PO-128-09722145385594034</t>
        </is>
      </c>
      <c r="C4480" s="16" t="inlineStr">
        <is>
          <t>Shipped</t>
        </is>
      </c>
      <c r="D4480" s="16" t="inlineStr">
        <is>
          <t>128-09722228288634034</t>
        </is>
      </c>
      <c r="E4480" s="16" t="inlineStr">
        <is>
          <t>Shipped</t>
        </is>
      </c>
      <c r="F4480" s="16" t="inlineStr">
        <is>
          <t>FA028</t>
        </is>
      </c>
      <c r="G4480" s="16" t="inlineStr">
        <is>
          <t>Extractor de agua para garrafas de agua, compatible con carga USB, extractor de agua automático, práctico, con dos modos de toma de agua: manual y programado, ideal para dormitorios, salones, oficinas, uso al aire libre y otros escenarios.</t>
        </is>
      </c>
      <c r="H4480" s="16" t="inlineStr">
        <is>
          <t>FA028</t>
        </is>
      </c>
      <c r="I4480" s="16" t="n">
        <v>1</v>
      </c>
      <c r="J4480" s="17" t="n">
        <v>30</v>
      </c>
      <c r="K4480" s="17" t="n">
        <v>39.58</v>
      </c>
      <c r="L4480" s="17" t="n">
        <v>25.86</v>
      </c>
      <c r="M4480" s="17" t="n">
        <v>0</v>
      </c>
      <c r="N4480" s="17">
        <f>K4480*0.08+L4480*0.08</f>
        <v/>
      </c>
      <c r="O4480" s="17">
        <f>-(K4480*0.025+L4480*0.025)</f>
        <v/>
      </c>
      <c r="P4480" s="17">
        <f>32</f>
        <v/>
      </c>
      <c r="Q4480" s="17">
        <f>J4480+L4480+N4480+O4480-P4480-M4480</f>
        <v/>
      </c>
    </row>
    <row r="4481">
      <c r="A4481" s="16" t="inlineStr">
        <is>
          <t>5.8-5.14</t>
        </is>
      </c>
      <c r="B4481" s="16" t="inlineStr">
        <is>
          <t>PO-128-10174320928630381</t>
        </is>
      </c>
      <c r="C4481" s="16" t="inlineStr">
        <is>
          <t>Shipped</t>
        </is>
      </c>
      <c r="D4481" s="16" t="inlineStr">
        <is>
          <t>128-10174341900150381</t>
        </is>
      </c>
      <c r="E4481" s="16" t="inlineStr">
        <is>
          <t>Shipped</t>
        </is>
      </c>
      <c r="F4481" s="16" t="inlineStr">
        <is>
          <t>VB347T</t>
        </is>
      </c>
      <c r="G448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481" s="16" t="inlineStr">
        <is>
          <t>1 pieza</t>
        </is>
      </c>
      <c r="I4481" s="16" t="n">
        <v>2</v>
      </c>
      <c r="J4481" s="17" t="n">
        <v>159.8</v>
      </c>
      <c r="K4481" s="17" t="n">
        <v>189.02</v>
      </c>
      <c r="L4481" s="17" t="n">
        <v>0</v>
      </c>
      <c r="M4481" s="17" t="n">
        <v>0</v>
      </c>
      <c r="N4481" s="17">
        <f>K4481*0.08+L4481*0.08</f>
        <v/>
      </c>
      <c r="O4481" s="17">
        <f>-(K4481*0.025+L4481*0.025)</f>
        <v/>
      </c>
      <c r="P4481" s="17">
        <f>32</f>
        <v/>
      </c>
      <c r="Q4481" s="17">
        <f>J4481+L4481+N4481+O4481-P4481-M4481</f>
        <v/>
      </c>
    </row>
    <row r="4482">
      <c r="A4482" s="16" t="inlineStr">
        <is>
          <t>5.8-5.14</t>
        </is>
      </c>
      <c r="B4482" s="16" t="inlineStr">
        <is>
          <t>PO-128-10174320928630381</t>
        </is>
      </c>
      <c r="C4482" s="16" t="inlineStr">
        <is>
          <t>Shipped</t>
        </is>
      </c>
      <c r="D4482" s="16" t="inlineStr">
        <is>
          <t>128-10174368114550381</t>
        </is>
      </c>
      <c r="E4482" s="16" t="inlineStr">
        <is>
          <t>Shipped</t>
        </is>
      </c>
      <c r="F4482" s="16" t="inlineStr">
        <is>
          <t>MCM-001G</t>
        </is>
      </c>
      <c r="G4482" s="16" t="inlineStr">
        <is>
          <t>Musicord Altavoz Inalámbrico BT Portátil: ¡Sonido impactante, luces LED multicolores y 4 horas de autonomía! Compatible con TWS, FM, TF y USB – Imprescindible para fiestas y viajes</t>
        </is>
      </c>
      <c r="H4482" s="16" t="inlineStr">
        <is>
          <t>GRIS</t>
        </is>
      </c>
      <c r="I4482" s="16" t="n">
        <v>2</v>
      </c>
      <c r="J4482" s="17" t="n">
        <v>102.14</v>
      </c>
      <c r="K4482" s="17" t="n">
        <v>124.68</v>
      </c>
      <c r="L4482" s="17" t="n">
        <v>0</v>
      </c>
      <c r="M4482" s="17" t="n">
        <v>0</v>
      </c>
      <c r="N4482" s="17">
        <f>K4482*0.08+L4482*0.08</f>
        <v/>
      </c>
      <c r="O4482" s="17">
        <f>-(K4482*0.025+L4482*0.025)</f>
        <v/>
      </c>
      <c r="P4482" s="17">
        <f>32</f>
        <v/>
      </c>
      <c r="Q4482" s="17">
        <f>J4482+L4482+N4482+O4482-P4482-M4482</f>
        <v/>
      </c>
    </row>
    <row r="4483">
      <c r="A4483" s="16" t="inlineStr">
        <is>
          <t>5.8-5.14</t>
        </is>
      </c>
      <c r="B4483" s="16" t="inlineStr">
        <is>
          <t>PO-128-10174320928630381</t>
        </is>
      </c>
      <c r="C4483" s="16" t="inlineStr">
        <is>
          <t>Shipped</t>
        </is>
      </c>
      <c r="D4483" s="16" t="inlineStr">
        <is>
          <t>128-10174347143030381</t>
        </is>
      </c>
      <c r="E4483" s="16" t="inlineStr">
        <is>
          <t>Shipped</t>
        </is>
      </c>
      <c r="F4483" s="16" t="inlineStr">
        <is>
          <t>SA8056T</t>
        </is>
      </c>
      <c r="G448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483" s="16" t="inlineStr">
        <is>
          <t>SA8056T</t>
        </is>
      </c>
      <c r="I4483" s="16" t="n">
        <v>1</v>
      </c>
      <c r="J4483" s="17" t="n">
        <v>123.9</v>
      </c>
      <c r="K4483" s="17" t="n">
        <v>144.28</v>
      </c>
      <c r="L4483" s="17" t="n">
        <v>0</v>
      </c>
      <c r="M4483" s="17" t="n">
        <v>0</v>
      </c>
      <c r="N4483" s="17">
        <f>K4483*0.08+L4483*0.08</f>
        <v/>
      </c>
      <c r="O4483" s="17">
        <f>-(K4483*0.025+L4483*0.025)</f>
        <v/>
      </c>
      <c r="P4483" s="17">
        <f>32</f>
        <v/>
      </c>
      <c r="Q4483" s="17">
        <f>J4483+L4483+N4483+O4483-P4483-M4483</f>
        <v/>
      </c>
    </row>
    <row r="4484">
      <c r="A4484" s="16" t="inlineStr">
        <is>
          <t>5.8-5.14</t>
        </is>
      </c>
      <c r="B4484" s="16" t="inlineStr">
        <is>
          <t>PO-128-10040449933431115</t>
        </is>
      </c>
      <c r="C4484" s="16" t="inlineStr">
        <is>
          <t>Shipped</t>
        </is>
      </c>
      <c r="D4484" s="16" t="inlineStr">
        <is>
          <t>128-10040470904951115</t>
        </is>
      </c>
      <c r="E4484" s="16" t="inlineStr">
        <is>
          <t>Shipped</t>
        </is>
      </c>
      <c r="F4484" s="16" t="inlineStr">
        <is>
          <t>LV25W22</t>
        </is>
      </c>
      <c r="G448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84" s="16" t="inlineStr">
        <is>
          <t>LV25W32</t>
        </is>
      </c>
      <c r="I4484" s="16" t="n">
        <v>4</v>
      </c>
      <c r="J4484" s="17" t="n">
        <v>388</v>
      </c>
      <c r="K4484" s="17" t="n">
        <v>429.64</v>
      </c>
      <c r="L4484" s="17" t="n">
        <v>0</v>
      </c>
      <c r="M4484" s="17" t="n">
        <v>0</v>
      </c>
      <c r="N4484" s="17">
        <f>K4484*0.08+L4484*0.08</f>
        <v/>
      </c>
      <c r="O4484" s="17">
        <f>-(K4484*0.025+L4484*0.025)</f>
        <v/>
      </c>
      <c r="P4484" s="17">
        <f>32</f>
        <v/>
      </c>
      <c r="Q4484" s="17">
        <f>J4484+L4484+N4484+O4484-P4484-M4484</f>
        <v/>
      </c>
    </row>
    <row r="4485">
      <c r="A4485" s="16" t="inlineStr">
        <is>
          <t>5.8-5.14</t>
        </is>
      </c>
      <c r="B4485" s="16" t="inlineStr">
        <is>
          <t>PO-128-10283325217910755</t>
        </is>
      </c>
      <c r="C4485" s="16" t="inlineStr">
        <is>
          <t>Shipped</t>
        </is>
      </c>
      <c r="D4485" s="16" t="inlineStr">
        <is>
          <t>128-10283338325110755</t>
        </is>
      </c>
      <c r="E4485" s="16" t="inlineStr">
        <is>
          <t>Shipped</t>
        </is>
      </c>
      <c r="F4485" s="16" t="inlineStr">
        <is>
          <t>LV25W22</t>
        </is>
      </c>
      <c r="G44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85" s="16" t="inlineStr">
        <is>
          <t>LV25W32</t>
        </is>
      </c>
      <c r="I4485" s="16" t="n">
        <v>1</v>
      </c>
      <c r="J4485" s="17" t="n">
        <v>97</v>
      </c>
      <c r="K4485" s="17" t="n">
        <v>107.41</v>
      </c>
      <c r="L4485" s="17" t="n">
        <v>25.86</v>
      </c>
      <c r="M4485" s="17" t="n">
        <v>0</v>
      </c>
      <c r="N4485" s="17">
        <f>K4485*0.08+L4485*0.08</f>
        <v/>
      </c>
      <c r="O4485" s="17">
        <f>-(K4485*0.025+L4485*0.025)</f>
        <v/>
      </c>
      <c r="P4485" s="17">
        <f>32</f>
        <v/>
      </c>
      <c r="Q4485" s="17">
        <f>J4485+L4485+N4485+O4485-P4485-M4485</f>
        <v/>
      </c>
    </row>
    <row r="4486">
      <c r="A4486" s="16" t="inlineStr">
        <is>
          <t>5.8-5.14</t>
        </is>
      </c>
      <c r="B4486" s="16" t="inlineStr">
        <is>
          <t>PO-128-09882480018552950</t>
        </is>
      </c>
      <c r="C4486" s="16" t="inlineStr">
        <is>
          <t>Shipped</t>
        </is>
      </c>
      <c r="D4486" s="16" t="inlineStr">
        <is>
          <t>128-09882584876152950</t>
        </is>
      </c>
      <c r="E4486" s="16" t="inlineStr">
        <is>
          <t>Shipped</t>
        </is>
      </c>
      <c r="F4486" s="16" t="inlineStr">
        <is>
          <t>LV25W22</t>
        </is>
      </c>
      <c r="G44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86" s="16" t="inlineStr">
        <is>
          <t>LV25W32</t>
        </is>
      </c>
      <c r="I4486" s="16" t="n">
        <v>1</v>
      </c>
      <c r="J4486" s="17" t="n">
        <v>97</v>
      </c>
      <c r="K4486" s="17" t="n">
        <v>107.41</v>
      </c>
      <c r="L4486" s="17" t="n">
        <v>25.86</v>
      </c>
      <c r="M4486" s="17" t="n">
        <v>0</v>
      </c>
      <c r="N4486" s="17">
        <f>K4486*0.08+L4486*0.08</f>
        <v/>
      </c>
      <c r="O4486" s="17">
        <f>-(K4486*0.025+L4486*0.025)</f>
        <v/>
      </c>
      <c r="P4486" s="17">
        <f>32</f>
        <v/>
      </c>
      <c r="Q4486" s="17">
        <f>J4486+L4486+N4486+O4486-P4486-M4486</f>
        <v/>
      </c>
    </row>
    <row r="4487">
      <c r="A4487" s="16" t="inlineStr">
        <is>
          <t>5.8-5.14</t>
        </is>
      </c>
      <c r="B4487" s="16" t="inlineStr">
        <is>
          <t>PO-128-10277245175670727</t>
        </is>
      </c>
      <c r="C4487" s="16" t="inlineStr">
        <is>
          <t>Shipped</t>
        </is>
      </c>
      <c r="D4487" s="16" t="inlineStr">
        <is>
          <t>128-10277237311350727</t>
        </is>
      </c>
      <c r="E4487" s="16" t="inlineStr">
        <is>
          <t>Shipped</t>
        </is>
      </c>
      <c r="F4487" s="16" t="inlineStr">
        <is>
          <t>LV64W25</t>
        </is>
      </c>
      <c r="G4487" s="16" t="inlineStr">
        <is>
          <t>Ventilador de Techo LED TIANLAI con 5 Aspas, Control Remoto, 3 Colores Luz, 3 Velocidades, Temporizador, Fácil Instalación, E27 para Baño Cocina Dormitorio Salón</t>
        </is>
      </c>
      <c r="H4487" s="16" t="inlineStr">
        <is>
          <t>LV64W25</t>
        </is>
      </c>
      <c r="I4487" s="16" t="n">
        <v>1</v>
      </c>
      <c r="J4487" s="17" t="n">
        <v>156</v>
      </c>
      <c r="K4487" s="17" t="n">
        <v>199.11</v>
      </c>
      <c r="L4487" s="17" t="n">
        <v>25.86</v>
      </c>
      <c r="M4487" s="17" t="n">
        <v>0</v>
      </c>
      <c r="N4487" s="17">
        <f>K4487*0.08+L4487*0.08</f>
        <v/>
      </c>
      <c r="O4487" s="17">
        <f>-(K4487*0.025+L4487*0.025)</f>
        <v/>
      </c>
      <c r="P4487" s="17">
        <f>32</f>
        <v/>
      </c>
      <c r="Q4487" s="17">
        <f>J4487+L4487+N4487+O4487-P4487-M4487</f>
        <v/>
      </c>
    </row>
    <row r="4488">
      <c r="A4488" s="16" t="inlineStr">
        <is>
          <t>5.8-5.14</t>
        </is>
      </c>
      <c r="B4488" s="16" t="inlineStr">
        <is>
          <t>PO-128-10177287304310363</t>
        </is>
      </c>
      <c r="C4488" s="16" t="inlineStr">
        <is>
          <t>Shipped</t>
        </is>
      </c>
      <c r="D4488" s="16" t="inlineStr">
        <is>
          <t>128-10177329247350363</t>
        </is>
      </c>
      <c r="E4488" s="16" t="inlineStr">
        <is>
          <t>Shipped</t>
        </is>
      </c>
      <c r="F4488" s="16" t="inlineStr">
        <is>
          <t>MB-185N</t>
        </is>
      </c>
      <c r="G4488" s="16" t="inlineStr">
        <is>
          <t>Bocina Radio FM/Reproductor, Compatible con Tarjeta TF, USB, Bluetooth, Aplicable para celular, computadora, Ipad y consola.</t>
        </is>
      </c>
      <c r="H4488" s="16" t="inlineStr">
        <is>
          <t>NEGRO/MB-185</t>
        </is>
      </c>
      <c r="I4488" s="16" t="n">
        <v>1</v>
      </c>
      <c r="J4488" s="17" t="n">
        <v>75.5</v>
      </c>
      <c r="K4488" s="17" t="n">
        <v>45.36</v>
      </c>
      <c r="L4488" s="17" t="n">
        <v>25.86</v>
      </c>
      <c r="M4488" s="17" t="n">
        <v>0</v>
      </c>
      <c r="N4488" s="17">
        <f>K4488*0.08+L4488*0.08</f>
        <v/>
      </c>
      <c r="O4488" s="17">
        <f>-(K4488*0.025+L4488*0.025)</f>
        <v/>
      </c>
      <c r="P4488" s="17">
        <f>32</f>
        <v/>
      </c>
      <c r="Q4488" s="17">
        <f>J4488+L4488+N4488+O4488-P4488-M4488</f>
        <v/>
      </c>
    </row>
    <row r="4489">
      <c r="A4489" s="16" t="inlineStr">
        <is>
          <t>5.8-5.14</t>
        </is>
      </c>
      <c r="B4489" s="16" t="inlineStr">
        <is>
          <t>PO-128-10181623492470145</t>
        </is>
      </c>
      <c r="C4489" s="16" t="inlineStr">
        <is>
          <t>Shipped</t>
        </is>
      </c>
      <c r="D4489" s="16" t="inlineStr">
        <is>
          <t>128-10181728350070145</t>
        </is>
      </c>
      <c r="E4489" s="16" t="inlineStr">
        <is>
          <t>Shipped</t>
        </is>
      </c>
      <c r="F4489" s="16" t="inlineStr">
        <is>
          <t>FA028</t>
        </is>
      </c>
      <c r="G4489" s="16" t="inlineStr">
        <is>
          <t>Extractor de agua para garrafas de agua, compatible con carga USB, extractor de agua automático, práctico, con dos modos de toma de agua: manual y programado, ideal para dormitorios, salones, oficinas, uso al aire libre y otros escenarios.</t>
        </is>
      </c>
      <c r="H4489" s="16" t="inlineStr">
        <is>
          <t>FA028</t>
        </is>
      </c>
      <c r="I4489" s="16" t="n">
        <v>1</v>
      </c>
      <c r="J4489" s="17" t="n">
        <v>30</v>
      </c>
      <c r="K4489" s="17" t="n">
        <v>39.58</v>
      </c>
      <c r="L4489" s="17" t="n">
        <v>25.86</v>
      </c>
      <c r="M4489" s="17" t="n">
        <v>0</v>
      </c>
      <c r="N4489" s="17">
        <f>K4489*0.08+L4489*0.08</f>
        <v/>
      </c>
      <c r="O4489" s="17">
        <f>-(K4489*0.025+L4489*0.025)</f>
        <v/>
      </c>
      <c r="P4489" s="17">
        <f>32</f>
        <v/>
      </c>
      <c r="Q4489" s="17">
        <f>J4489+L4489+N4489+O4489-P4489-M4489</f>
        <v/>
      </c>
    </row>
    <row r="4490">
      <c r="A4490" s="16" t="inlineStr">
        <is>
          <t>5.8-5.14</t>
        </is>
      </c>
      <c r="B4490" s="16" t="inlineStr">
        <is>
          <t>PO-128-10218622359670117</t>
        </is>
      </c>
      <c r="C4490" s="16" t="inlineStr">
        <is>
          <t>Shipped</t>
        </is>
      </c>
      <c r="D4490" s="16" t="inlineStr">
        <is>
          <t>128-10218643331190117</t>
        </is>
      </c>
      <c r="E4490" s="16" t="inlineStr">
        <is>
          <t>Shipped</t>
        </is>
      </c>
      <c r="F4490" s="16" t="inlineStr">
        <is>
          <t>MB-178-N</t>
        </is>
      </c>
      <c r="G4490" s="16" t="inlineStr">
        <is>
          <t>Bocina de Barra Bluetooth LINK BITS con dos altavoces, sonido de alta calidad y multifuncional (Bluetooth, Radio FM, USB, TF, AUX, TWS), ideal para juegos, reuniones, oficina y cine en casa.</t>
        </is>
      </c>
      <c r="H4490" s="16" t="inlineStr">
        <is>
          <t>NEGRO</t>
        </is>
      </c>
      <c r="I4490" s="16" t="n">
        <v>1</v>
      </c>
      <c r="J4490" s="17" t="n">
        <v>135</v>
      </c>
      <c r="K4490" s="17" t="n">
        <v>123.47</v>
      </c>
      <c r="L4490" s="17" t="n">
        <v>25.86</v>
      </c>
      <c r="M4490" s="17" t="n">
        <v>0</v>
      </c>
      <c r="N4490" s="17">
        <f>K4490*0.08+L4490*0.08</f>
        <v/>
      </c>
      <c r="O4490" s="17">
        <f>-(K4490*0.025+L4490*0.025)</f>
        <v/>
      </c>
      <c r="P4490" s="17">
        <f>32</f>
        <v/>
      </c>
      <c r="Q4490" s="17">
        <f>J4490+L4490+N4490+O4490-P4490-M4490</f>
        <v/>
      </c>
    </row>
    <row r="4491">
      <c r="A4491" s="16" t="inlineStr">
        <is>
          <t>5.8-5.14</t>
        </is>
      </c>
      <c r="B4491" s="16" t="inlineStr">
        <is>
          <t>PO-128-09977156088951490</t>
        </is>
      </c>
      <c r="C4491" s="16" t="inlineStr">
        <is>
          <t>Shipped</t>
        </is>
      </c>
      <c r="D4491" s="16" t="inlineStr">
        <is>
          <t>128-09977198031991490</t>
        </is>
      </c>
      <c r="E4491" s="16" t="inlineStr">
        <is>
          <t>Shipped</t>
        </is>
      </c>
      <c r="F4491" s="16" t="inlineStr">
        <is>
          <t>LB02235-azul</t>
        </is>
      </c>
      <c r="G4491" s="16" t="inlineStr">
        <is>
          <t>Audífonos Inalámbricos para la Cabeza, Recargables y Multifuncionales - Conectan a Varios Dispositivos, soportan Radio FM, Tarjeta TF y AUX - 4 Horas de Reproducción Musical - Ideal para Trabajo Cotidiano, Juegos y Estudio</t>
        </is>
      </c>
      <c r="H4491" s="16" t="inlineStr">
        <is>
          <t>AZUL</t>
        </is>
      </c>
      <c r="I4491" s="16" t="n">
        <v>1</v>
      </c>
      <c r="J4491" s="17" t="n">
        <v>37.6</v>
      </c>
      <c r="K4491" s="17" t="n">
        <v>7.62</v>
      </c>
      <c r="L4491" s="17" t="n">
        <v>25.86</v>
      </c>
      <c r="M4491" s="17" t="n">
        <v>0</v>
      </c>
      <c r="N4491" s="17">
        <f>K4491*0.08+L4491*0.08</f>
        <v/>
      </c>
      <c r="O4491" s="17">
        <f>-(K4491*0.025+L4491*0.025)</f>
        <v/>
      </c>
      <c r="P4491" s="17">
        <f>32</f>
        <v/>
      </c>
      <c r="Q4491" s="17">
        <f>J4491+L4491+N4491+O4491-P4491-M4491</f>
        <v/>
      </c>
    </row>
    <row r="4492">
      <c r="A4492" s="16" t="inlineStr">
        <is>
          <t>5.8-5.14</t>
        </is>
      </c>
      <c r="B4492" s="16" t="inlineStr">
        <is>
          <t>PO-128-09763688154233786</t>
        </is>
      </c>
      <c r="C4492" s="16" t="inlineStr">
        <is>
          <t>Shipped</t>
        </is>
      </c>
      <c r="D4492" s="16" t="inlineStr">
        <is>
          <t>128-09763740583033786</t>
        </is>
      </c>
      <c r="E4492" s="16" t="inlineStr">
        <is>
          <t>Shipped</t>
        </is>
      </c>
      <c r="F4492" s="16" t="inlineStr">
        <is>
          <t>MCM-001N</t>
        </is>
      </c>
      <c r="G4492" s="16" t="inlineStr">
        <is>
          <t>Musicord Altavoz Inalámbrico BT Portátil: ¡Sonido impactante, luces LED multicolores y 4 horas de autonomía! Compatible con TWS, FM, TF y USB – Imprescindible para fiestas y viajes</t>
        </is>
      </c>
      <c r="H4492" s="16" t="inlineStr">
        <is>
          <t>NEGRO</t>
        </is>
      </c>
      <c r="I4492" s="16" t="n">
        <v>1</v>
      </c>
      <c r="J4492" s="17" t="n">
        <v>61</v>
      </c>
      <c r="K4492" s="17" t="n">
        <v>72.27</v>
      </c>
      <c r="L4492" s="17" t="n">
        <v>25.86</v>
      </c>
      <c r="M4492" s="17" t="n">
        <v>0</v>
      </c>
      <c r="N4492" s="17">
        <f>K4492*0.08+L4492*0.08</f>
        <v/>
      </c>
      <c r="O4492" s="17">
        <f>-(K4492*0.025+L4492*0.025)</f>
        <v/>
      </c>
      <c r="P4492" s="17">
        <f>32</f>
        <v/>
      </c>
      <c r="Q4492" s="17">
        <f>J4492+L4492+N4492+O4492-P4492-M4492</f>
        <v/>
      </c>
    </row>
    <row r="4493">
      <c r="A4493" s="16" t="inlineStr">
        <is>
          <t>5.8-5.14</t>
        </is>
      </c>
      <c r="B4493" s="16" t="inlineStr">
        <is>
          <t>PO-128-09640947172473558</t>
        </is>
      </c>
      <c r="C4493" s="16" t="inlineStr">
        <is>
          <t>Shipped</t>
        </is>
      </c>
      <c r="D4493" s="16" t="inlineStr">
        <is>
          <t>128-09641023194233558</t>
        </is>
      </c>
      <c r="E4493" s="16" t="inlineStr">
        <is>
          <t>Shipped</t>
        </is>
      </c>
      <c r="F4493" s="16" t="inlineStr">
        <is>
          <t>KTS-1678R</t>
        </is>
      </c>
      <c r="G4493" s="16" t="inlineStr">
        <is>
          <t>Bocina portátil Inalámbrico, de 3 pulgadas, tamaño de bolsillo, 170 g, con asa, compatible con TF, USB y Micro SD, con radio FM y función TWS (True Wireless Stereo), adecuada para relajarse en casa o viajar al aire libre.</t>
        </is>
      </c>
      <c r="H4493" s="16" t="inlineStr">
        <is>
          <t>KTS-1678R</t>
        </is>
      </c>
      <c r="I4493" s="16" t="n">
        <v>1</v>
      </c>
      <c r="J4493" s="17" t="n">
        <v>42.5</v>
      </c>
      <c r="K4493" s="17" t="n">
        <v>50.77</v>
      </c>
      <c r="L4493" s="17" t="n">
        <v>25.86</v>
      </c>
      <c r="M4493" s="17" t="n">
        <v>0</v>
      </c>
      <c r="N4493" s="17">
        <f>K4493*0.08+L4493*0.08</f>
        <v/>
      </c>
      <c r="O4493" s="17">
        <f>-(K4493*0.025+L4493*0.025)</f>
        <v/>
      </c>
      <c r="P4493" s="17">
        <f>32</f>
        <v/>
      </c>
      <c r="Q4493" s="17">
        <f>J4493+L4493+N4493+O4493-P4493-M4493</f>
        <v/>
      </c>
    </row>
    <row r="4494">
      <c r="A4494" s="16" t="inlineStr">
        <is>
          <t>5.8-5.14</t>
        </is>
      </c>
      <c r="B4494" s="16" t="inlineStr">
        <is>
          <t>PO-128-10221261566070101</t>
        </is>
      </c>
      <c r="C4494" s="16" t="inlineStr">
        <is>
          <t>Shipped</t>
        </is>
      </c>
      <c r="D4494" s="16" t="inlineStr">
        <is>
          <t>128-10221303509110101</t>
        </is>
      </c>
      <c r="E4494" s="16" t="inlineStr">
        <is>
          <t>Shipped</t>
        </is>
      </c>
      <c r="F4494" s="16" t="inlineStr">
        <is>
          <t>MCM-001G</t>
        </is>
      </c>
      <c r="G4494" s="16" t="inlineStr">
        <is>
          <t>Musicord Altavoz Inalámbrico BT Portátil: ¡Sonido impactante, luces LED multicolores y 4 horas de autonomía! Compatible con TWS, FM, TF y USB – Imprescindible para fiestas y viajes</t>
        </is>
      </c>
      <c r="H4494" s="16" t="inlineStr">
        <is>
          <t>GRIS</t>
        </is>
      </c>
      <c r="I4494" s="16" t="n">
        <v>1</v>
      </c>
      <c r="J4494" s="17" t="n">
        <v>51.07</v>
      </c>
      <c r="K4494" s="17" t="n">
        <v>19.24</v>
      </c>
      <c r="L4494" s="17" t="n">
        <v>25.86</v>
      </c>
      <c r="M4494" s="17" t="n">
        <v>0</v>
      </c>
      <c r="N4494" s="17">
        <f>K4494*0.08+L4494*0.08</f>
        <v/>
      </c>
      <c r="O4494" s="17">
        <f>-(K4494*0.025+L4494*0.025)</f>
        <v/>
      </c>
      <c r="P4494" s="17">
        <f>32</f>
        <v/>
      </c>
      <c r="Q4494" s="17">
        <f>J4494+L4494+N4494+O4494-P4494-M4494</f>
        <v/>
      </c>
    </row>
    <row r="4495">
      <c r="A4495" s="16" t="inlineStr">
        <is>
          <t>5.8-5.14</t>
        </is>
      </c>
      <c r="B4495" s="16" t="inlineStr">
        <is>
          <t>PO-128-09847232510072264</t>
        </is>
      </c>
      <c r="C4495" s="16" t="inlineStr">
        <is>
          <t>Shipped</t>
        </is>
      </c>
      <c r="D4495" s="16" t="inlineStr">
        <is>
          <t>128-09847368824952264</t>
        </is>
      </c>
      <c r="E4495" s="16" t="inlineStr">
        <is>
          <t>Shipped</t>
        </is>
      </c>
      <c r="F4495" s="16" t="inlineStr">
        <is>
          <t>LV25W22</t>
        </is>
      </c>
      <c r="G44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95" s="16" t="inlineStr">
        <is>
          <t>LV25W32</t>
        </is>
      </c>
      <c r="I4495" s="16" t="n">
        <v>1</v>
      </c>
      <c r="J4495" s="17" t="n">
        <v>97</v>
      </c>
      <c r="K4495" s="17" t="n">
        <v>107.41</v>
      </c>
      <c r="L4495" s="17" t="n">
        <v>25.86</v>
      </c>
      <c r="M4495" s="17" t="n">
        <v>0</v>
      </c>
      <c r="N4495" s="17">
        <f>K4495*0.08+L4495*0.08</f>
        <v/>
      </c>
      <c r="O4495" s="17">
        <f>-(K4495*0.025+L4495*0.025)</f>
        <v/>
      </c>
      <c r="P4495" s="17">
        <f>32</f>
        <v/>
      </c>
      <c r="Q4495" s="17">
        <f>J4495+L4495+N4495+O4495-P4495-M4495</f>
        <v/>
      </c>
    </row>
    <row r="4496">
      <c r="A4496" s="16" t="inlineStr">
        <is>
          <t>5.8-5.14</t>
        </is>
      </c>
      <c r="B4496" s="16" t="inlineStr">
        <is>
          <t>PO-128-09822675879032349</t>
        </is>
      </c>
      <c r="C4496" s="16" t="inlineStr">
        <is>
          <t>Shipped</t>
        </is>
      </c>
      <c r="D4496" s="16" t="inlineStr">
        <is>
          <t>128-09822696850552349</t>
        </is>
      </c>
      <c r="E4496" s="16" t="inlineStr">
        <is>
          <t>Shipped</t>
        </is>
      </c>
      <c r="F4496" s="16" t="inlineStr">
        <is>
          <t>MCM-001N</t>
        </is>
      </c>
      <c r="G4496" s="16" t="inlineStr">
        <is>
          <t>Musicord Altavoz Inalámbrico BT Portátil: ¡Sonido impactante, luces LED multicolores y 4 horas de autonomía! Compatible con TWS, FM, TF y USB – Imprescindible para fiestas y viajes</t>
        </is>
      </c>
      <c r="H4496" s="16" t="inlineStr">
        <is>
          <t>NEGRO</t>
        </is>
      </c>
      <c r="I4496" s="16" t="n">
        <v>1</v>
      </c>
      <c r="J4496" s="17" t="n">
        <v>61</v>
      </c>
      <c r="K4496" s="17" t="n">
        <v>18.82</v>
      </c>
      <c r="L4496" s="17" t="n">
        <v>25.86</v>
      </c>
      <c r="M4496" s="17" t="n">
        <v>0</v>
      </c>
      <c r="N4496" s="17">
        <f>K4496*0.08+L4496*0.08</f>
        <v/>
      </c>
      <c r="O4496" s="17">
        <f>-(K4496*0.025+L4496*0.025)</f>
        <v/>
      </c>
      <c r="P4496" s="17">
        <f>32</f>
        <v/>
      </c>
      <c r="Q4496" s="17">
        <f>J4496+L4496+N4496+O4496-P4496-M4496</f>
        <v/>
      </c>
    </row>
    <row r="4497">
      <c r="A4497" s="16" t="inlineStr">
        <is>
          <t>5.8-5.14</t>
        </is>
      </c>
      <c r="B4497" s="16" t="inlineStr">
        <is>
          <t>PO-128-09736134341753889</t>
        </is>
      </c>
      <c r="C4497" s="16" t="inlineStr">
        <is>
          <t>Shipped</t>
        </is>
      </c>
      <c r="D4497" s="16" t="inlineStr">
        <is>
          <t>128-09736113370233889</t>
        </is>
      </c>
      <c r="E4497" s="16" t="inlineStr">
        <is>
          <t>Shipped</t>
        </is>
      </c>
      <c r="F4497" s="16" t="inlineStr">
        <is>
          <t>LV25W22</t>
        </is>
      </c>
      <c r="G44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497" s="16" t="inlineStr">
        <is>
          <t>LV25W32</t>
        </is>
      </c>
      <c r="I4497" s="16" t="n">
        <v>4</v>
      </c>
      <c r="J4497" s="17" t="n">
        <v>388</v>
      </c>
      <c r="K4497" s="17" t="n">
        <v>429.64</v>
      </c>
      <c r="L4497" s="17" t="n">
        <v>0</v>
      </c>
      <c r="M4497" s="17" t="n">
        <v>0</v>
      </c>
      <c r="N4497" s="17">
        <f>K4497*0.08+L4497*0.08</f>
        <v/>
      </c>
      <c r="O4497" s="17">
        <f>-(K4497*0.025+L4497*0.025)</f>
        <v/>
      </c>
      <c r="P4497" s="17">
        <f>32</f>
        <v/>
      </c>
      <c r="Q4497" s="17">
        <f>J4497+L4497+N4497+O4497-P4497-M4497</f>
        <v/>
      </c>
    </row>
    <row r="4498">
      <c r="A4498" s="16" t="inlineStr">
        <is>
          <t>5.8-5.14</t>
        </is>
      </c>
      <c r="B4498" s="16" t="inlineStr">
        <is>
          <t>PO-128-09698452411513153</t>
        </is>
      </c>
      <c r="C4498" s="16" t="inlineStr">
        <is>
          <t>Shipped</t>
        </is>
      </c>
      <c r="D4498" s="16" t="inlineStr">
        <is>
          <t>128-09698486490233153</t>
        </is>
      </c>
      <c r="E4498" s="16" t="inlineStr">
        <is>
          <t>Shipped</t>
        </is>
      </c>
      <c r="F4498" s="16" t="inlineStr">
        <is>
          <t>MCM-001R</t>
        </is>
      </c>
      <c r="G4498" s="16" t="inlineStr">
        <is>
          <t>Musicord Altavoz Inalámbrico BT Portátil: ¡Sonido impactante, luces LED multicolores y 4 horas de autonomía! Compatible con TWS, FM, TF y USB – Imprescindible para fiestas y viajes</t>
        </is>
      </c>
      <c r="H4498" s="16" t="inlineStr">
        <is>
          <t>ROJO</t>
        </is>
      </c>
      <c r="I4498" s="16" t="n">
        <v>1</v>
      </c>
      <c r="J4498" s="17" t="n">
        <v>66.5</v>
      </c>
      <c r="K4498" s="17" t="n">
        <v>77.77</v>
      </c>
      <c r="L4498" s="17" t="n">
        <v>25.86</v>
      </c>
      <c r="M4498" s="17" t="n">
        <v>0</v>
      </c>
      <c r="N4498" s="17">
        <f>K4498*0.08+L4498*0.08</f>
        <v/>
      </c>
      <c r="O4498" s="17">
        <f>-(K4498*0.025+L4498*0.025)</f>
        <v/>
      </c>
      <c r="P4498" s="17">
        <f>32</f>
        <v/>
      </c>
      <c r="Q4498" s="17">
        <f>J4498+L4498+N4498+O4498-P4498-M4498</f>
        <v/>
      </c>
    </row>
    <row r="4499">
      <c r="A4499" s="16" t="inlineStr">
        <is>
          <t>5.8-5.14</t>
        </is>
      </c>
      <c r="B4499" s="16" t="inlineStr">
        <is>
          <t>PO-128-10187256383350174</t>
        </is>
      </c>
      <c r="C4499" s="16" t="inlineStr">
        <is>
          <t>Shipped</t>
        </is>
      </c>
      <c r="D4499" s="16" t="inlineStr">
        <is>
          <t>128-10187290462070174</t>
        </is>
      </c>
      <c r="E4499" s="16" t="inlineStr">
        <is>
          <t>Shipped</t>
        </is>
      </c>
      <c r="F4499" s="16" t="inlineStr">
        <is>
          <t>FA028</t>
        </is>
      </c>
      <c r="G4499" s="16" t="inlineStr">
        <is>
          <t>Extractor de agua para garrafas de agua, compatible con carga USB, extractor de agua automático, práctico, con dos modos de toma de agua: manual y programado, ideal para dormitorios, salones, oficinas, uso al aire libre y otros escenarios.</t>
        </is>
      </c>
      <c r="H4499" s="16" t="inlineStr">
        <is>
          <t>FA028</t>
        </is>
      </c>
      <c r="I4499" s="16" t="n">
        <v>1</v>
      </c>
      <c r="J4499" s="17" t="n">
        <v>30</v>
      </c>
      <c r="K4499" s="17" t="n">
        <v>39.58</v>
      </c>
      <c r="L4499" s="17" t="n">
        <v>25.86</v>
      </c>
      <c r="M4499" s="17" t="n">
        <v>0</v>
      </c>
      <c r="N4499" s="17">
        <f>K4499*0.08+L4499*0.08</f>
        <v/>
      </c>
      <c r="O4499" s="17">
        <f>-(K4499*0.025+L4499*0.025)</f>
        <v/>
      </c>
      <c r="P4499" s="17">
        <f>32</f>
        <v/>
      </c>
      <c r="Q4499" s="17">
        <f>J4499+L4499+N4499+O4499-P4499-M4499</f>
        <v/>
      </c>
    </row>
    <row r="4500">
      <c r="A4500" s="16" t="inlineStr">
        <is>
          <t>5.8-5.14</t>
        </is>
      </c>
      <c r="B4500" s="16" t="inlineStr">
        <is>
          <t>PO-128-10301780155510581</t>
        </is>
      </c>
      <c r="C4500" s="16" t="inlineStr">
        <is>
          <t>Shipped</t>
        </is>
      </c>
      <c r="D4500" s="16" t="inlineStr">
        <is>
          <t>128-10301738212470581</t>
        </is>
      </c>
      <c r="E4500" s="16" t="inlineStr">
        <is>
          <t>Shipped</t>
        </is>
      </c>
      <c r="F4500" s="16" t="inlineStr">
        <is>
          <t>MCM-001G</t>
        </is>
      </c>
      <c r="G4500" s="16" t="inlineStr">
        <is>
          <t>Musicord Altavoz Inalámbrico BT Portátil: ¡Sonido impactante, luces LED multicolores y 4 horas de autonomía! Compatible con TWS, FM, TF y USB – Imprescindible para fiestas y viajes</t>
        </is>
      </c>
      <c r="H4500" s="16" t="inlineStr">
        <is>
          <t>GRIS</t>
        </is>
      </c>
      <c r="I4500" s="16" t="n">
        <v>1</v>
      </c>
      <c r="J4500" s="17" t="n">
        <v>51.07</v>
      </c>
      <c r="K4500" s="17" t="n">
        <v>62.34</v>
      </c>
      <c r="L4500" s="17" t="n">
        <v>25.86</v>
      </c>
      <c r="M4500" s="17" t="n">
        <v>0</v>
      </c>
      <c r="N4500" s="17">
        <f>K4500*0.08+L4500*0.08</f>
        <v/>
      </c>
      <c r="O4500" s="17">
        <f>-(K4500*0.025+L4500*0.025)</f>
        <v/>
      </c>
      <c r="P4500" s="17">
        <f>32</f>
        <v/>
      </c>
      <c r="Q4500" s="17">
        <f>J4500+L4500+N4500+O4500-P4500-M4500</f>
        <v/>
      </c>
    </row>
    <row r="4501">
      <c r="A4501" s="16" t="inlineStr">
        <is>
          <t>5.8-5.14</t>
        </is>
      </c>
      <c r="B4501" s="16" t="inlineStr">
        <is>
          <t>PO-128-09822686405752349</t>
        </is>
      </c>
      <c r="C4501" s="16" t="inlineStr">
        <is>
          <t>Shipped</t>
        </is>
      </c>
      <c r="D4501" s="16" t="inlineStr">
        <is>
          <t>128-09822644462712349</t>
        </is>
      </c>
      <c r="E4501" s="16" t="inlineStr">
        <is>
          <t>Shipped</t>
        </is>
      </c>
      <c r="F4501" s="16" t="inlineStr">
        <is>
          <t>LV25W22</t>
        </is>
      </c>
      <c r="G45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01" s="16" t="inlineStr">
        <is>
          <t>LV25W32</t>
        </is>
      </c>
      <c r="I4501" s="16" t="n">
        <v>1</v>
      </c>
      <c r="J4501" s="17" t="n">
        <v>97</v>
      </c>
      <c r="K4501" s="17" t="n">
        <v>107.41</v>
      </c>
      <c r="L4501" s="17" t="n">
        <v>25.86</v>
      </c>
      <c r="M4501" s="17" t="n">
        <v>0</v>
      </c>
      <c r="N4501" s="17">
        <f>K4501*0.08+L4501*0.08</f>
        <v/>
      </c>
      <c r="O4501" s="17">
        <f>-(K4501*0.025+L4501*0.025)</f>
        <v/>
      </c>
      <c r="P4501" s="17">
        <f>32</f>
        <v/>
      </c>
      <c r="Q4501" s="17">
        <f>J4501+L4501+N4501+O4501-P4501-M4501</f>
        <v/>
      </c>
    </row>
    <row r="4502">
      <c r="A4502" s="16" t="inlineStr">
        <is>
          <t>5.8-5.14</t>
        </is>
      </c>
      <c r="B4502" s="16" t="inlineStr">
        <is>
          <t>PO-128-10144907466870426</t>
        </is>
      </c>
      <c r="C4502" s="16" t="inlineStr">
        <is>
          <t>Shipped</t>
        </is>
      </c>
      <c r="D4502" s="16" t="inlineStr">
        <is>
          <t>128-10144917952630426</t>
        </is>
      </c>
      <c r="E4502" s="16" t="inlineStr">
        <is>
          <t>Shipped</t>
        </is>
      </c>
      <c r="F4502" s="16" t="inlineStr">
        <is>
          <t>LV25W22</t>
        </is>
      </c>
      <c r="G450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02" s="16" t="inlineStr">
        <is>
          <t>LV25W32</t>
        </is>
      </c>
      <c r="I4502" s="16" t="n">
        <v>1</v>
      </c>
      <c r="J4502" s="17" t="n">
        <v>97</v>
      </c>
      <c r="K4502" s="17" t="n">
        <v>107.41</v>
      </c>
      <c r="L4502" s="17" t="n">
        <v>25.86</v>
      </c>
      <c r="M4502" s="17" t="n">
        <v>0</v>
      </c>
      <c r="N4502" s="17">
        <f>K4502*0.08+L4502*0.08</f>
        <v/>
      </c>
      <c r="O4502" s="17">
        <f>-(K4502*0.025+L4502*0.025)</f>
        <v/>
      </c>
      <c r="P4502" s="17">
        <f>32</f>
        <v/>
      </c>
      <c r="Q4502" s="17">
        <f>J4502+L4502+N4502+O4502-P4502-M4502</f>
        <v/>
      </c>
    </row>
    <row r="4503">
      <c r="A4503" s="16" t="inlineStr">
        <is>
          <t>5.8-5.14</t>
        </is>
      </c>
      <c r="B4503" s="16" t="inlineStr">
        <is>
          <t>PO-128-10044275479671090</t>
        </is>
      </c>
      <c r="C4503" s="16" t="inlineStr">
        <is>
          <t>Shipped</t>
        </is>
      </c>
      <c r="D4503" s="16" t="inlineStr">
        <is>
          <t>128-10044230915191090</t>
        </is>
      </c>
      <c r="E4503" s="16" t="inlineStr">
        <is>
          <t>Shipped</t>
        </is>
      </c>
      <c r="F4503" s="16" t="inlineStr">
        <is>
          <t>FA028</t>
        </is>
      </c>
      <c r="G4503" s="16" t="inlineStr">
        <is>
          <t>Extractor de agua para garrafas de agua, compatible con carga USB, extractor de agua automático, práctico, con dos modos de toma de agua: manual y programado, ideal para dormitorios, salones, oficinas, uso al aire libre y otros escenarios.</t>
        </is>
      </c>
      <c r="H4503" s="16" t="inlineStr">
        <is>
          <t>FA028</t>
        </is>
      </c>
      <c r="I4503" s="16" t="n">
        <v>1</v>
      </c>
      <c r="J4503" s="17" t="n">
        <v>30</v>
      </c>
      <c r="K4503" s="17" t="n">
        <v>36.78</v>
      </c>
      <c r="L4503" s="17" t="n">
        <v>25.86</v>
      </c>
      <c r="M4503" s="17" t="n">
        <v>0</v>
      </c>
      <c r="N4503" s="17">
        <f>K4503*0.08+L4503*0.08</f>
        <v/>
      </c>
      <c r="O4503" s="17">
        <f>-(K4503*0.025+L4503*0.025)</f>
        <v/>
      </c>
      <c r="P4503" s="17">
        <f>32</f>
        <v/>
      </c>
      <c r="Q4503" s="17">
        <f>J4503+L4503+N4503+O4503-P4503-M4503</f>
        <v/>
      </c>
    </row>
    <row r="4504">
      <c r="A4504" s="16" t="inlineStr">
        <is>
          <t>5.8-5.14</t>
        </is>
      </c>
      <c r="B4504" s="16" t="inlineStr">
        <is>
          <t>PO-128-10053690632311930</t>
        </is>
      </c>
      <c r="C4504" s="16" t="inlineStr">
        <is>
          <t>Shipped</t>
        </is>
      </c>
      <c r="D4504" s="16" t="inlineStr">
        <is>
          <t>128-10053711603831930</t>
        </is>
      </c>
      <c r="E4504" s="16" t="inlineStr">
        <is>
          <t>Shipped</t>
        </is>
      </c>
      <c r="F4504" s="16" t="inlineStr">
        <is>
          <t>FA028</t>
        </is>
      </c>
      <c r="G4504" s="16" t="inlineStr">
        <is>
          <t>Extractor de agua para garrafas de agua, compatible con carga USB, extractor de agua automático, práctico, con dos modos de toma de agua: manual y programado, ideal para dormitorios, salones, oficinas, uso al aire libre y otros escenarios.</t>
        </is>
      </c>
      <c r="H4504" s="16" t="inlineStr">
        <is>
          <t>FA028</t>
        </is>
      </c>
      <c r="I4504" s="16" t="n">
        <v>1</v>
      </c>
      <c r="J4504" s="17" t="n">
        <v>30</v>
      </c>
      <c r="K4504" s="17" t="n">
        <v>31.67</v>
      </c>
      <c r="L4504" s="17" t="n">
        <v>25.86</v>
      </c>
      <c r="M4504" s="17" t="n">
        <v>0</v>
      </c>
      <c r="N4504" s="17">
        <f>K4504*0.08+L4504*0.08</f>
        <v/>
      </c>
      <c r="O4504" s="17">
        <f>-(K4504*0.025+L4504*0.025)</f>
        <v/>
      </c>
      <c r="P4504" s="17">
        <f>32</f>
        <v/>
      </c>
      <c r="Q4504" s="17">
        <f>J4504+L4504+N4504+O4504-P4504-M4504</f>
        <v/>
      </c>
    </row>
    <row r="4505">
      <c r="A4505" s="16" t="inlineStr">
        <is>
          <t>5.8-5.14</t>
        </is>
      </c>
      <c r="B4505" s="16" t="inlineStr">
        <is>
          <t>PO-128-10013661637751208</t>
        </is>
      </c>
      <c r="C4505" s="16" t="inlineStr">
        <is>
          <t>Shipped</t>
        </is>
      </c>
      <c r="D4505" s="16" t="inlineStr">
        <is>
          <t>128-10013672123511208</t>
        </is>
      </c>
      <c r="E4505" s="16" t="inlineStr">
        <is>
          <t>Shipped</t>
        </is>
      </c>
      <c r="F4505" s="16" t="inlineStr">
        <is>
          <t>MB-185N</t>
        </is>
      </c>
      <c r="G4505" s="16" t="inlineStr">
        <is>
          <t>Bocina Radio FM/Reproductor, Compatible con Tarjeta TF, USB, Bluetooth, Aplicable para celular, computadora, Ipad y consola.</t>
        </is>
      </c>
      <c r="H4505" s="16" t="inlineStr">
        <is>
          <t>NEGRO/MB-185</t>
        </is>
      </c>
      <c r="I4505" s="16" t="n">
        <v>1</v>
      </c>
      <c r="J4505" s="17" t="n">
        <v>75.5</v>
      </c>
      <c r="K4505" s="17" t="n">
        <v>88.45999999999999</v>
      </c>
      <c r="L4505" s="17" t="n">
        <v>25.86</v>
      </c>
      <c r="M4505" s="17" t="n">
        <v>0</v>
      </c>
      <c r="N4505" s="17">
        <f>K4505*0.08+L4505*0.08</f>
        <v/>
      </c>
      <c r="O4505" s="17">
        <f>-(K4505*0.025+L4505*0.025)</f>
        <v/>
      </c>
      <c r="P4505" s="17">
        <f>32</f>
        <v/>
      </c>
      <c r="Q4505" s="17">
        <f>J4505+L4505+N4505+O4505-P4505-M4505</f>
        <v/>
      </c>
    </row>
    <row r="4506">
      <c r="A4506" s="16" t="inlineStr">
        <is>
          <t>5.8-5.14</t>
        </is>
      </c>
      <c r="B4506" s="16" t="inlineStr">
        <is>
          <t>PO-128-09621293461113485</t>
        </is>
      </c>
      <c r="C4506" s="16" t="inlineStr">
        <is>
          <t>Shipped</t>
        </is>
      </c>
      <c r="D4506" s="16" t="inlineStr">
        <is>
          <t>128-09621335404153485</t>
        </is>
      </c>
      <c r="E4506" s="16" t="inlineStr">
        <is>
          <t>Shipped</t>
        </is>
      </c>
      <c r="F4506" s="16" t="inlineStr">
        <is>
          <t>SA8056T</t>
        </is>
      </c>
      <c r="G450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506" s="16" t="inlineStr">
        <is>
          <t>SA8056T</t>
        </is>
      </c>
      <c r="I4506" s="16" t="n">
        <v>2</v>
      </c>
      <c r="J4506" s="17" t="n">
        <v>247.8</v>
      </c>
      <c r="K4506" s="17" t="n">
        <v>288.56</v>
      </c>
      <c r="L4506" s="17" t="n">
        <v>0</v>
      </c>
      <c r="M4506" s="17" t="n">
        <v>0</v>
      </c>
      <c r="N4506" s="17">
        <f>K4506*0.08+L4506*0.08</f>
        <v/>
      </c>
      <c r="O4506" s="17">
        <f>-(K4506*0.025+L4506*0.025)</f>
        <v/>
      </c>
      <c r="P4506" s="17">
        <f>32</f>
        <v/>
      </c>
      <c r="Q4506" s="17">
        <f>J4506+L4506+N4506+O4506-P4506-M4506</f>
        <v/>
      </c>
    </row>
    <row r="4507">
      <c r="A4507" s="16" t="inlineStr">
        <is>
          <t>5.8-5.14</t>
        </is>
      </c>
      <c r="B4507" s="16" t="inlineStr">
        <is>
          <t>PO-128-10215140897910072</t>
        </is>
      </c>
      <c r="C4507" s="16" t="inlineStr">
        <is>
          <t>Shipped</t>
        </is>
      </c>
      <c r="D4507" s="16" t="inlineStr">
        <is>
          <t>128-10215098954870072</t>
        </is>
      </c>
      <c r="E4507" s="16" t="inlineStr">
        <is>
          <t>Shipped</t>
        </is>
      </c>
      <c r="F4507" s="16" t="inlineStr">
        <is>
          <t>SA8058T</t>
        </is>
      </c>
      <c r="G4507"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4507" s="16" t="inlineStr">
        <is>
          <t>SA8058T</t>
        </is>
      </c>
      <c r="I4507" s="16" t="n">
        <v>1</v>
      </c>
      <c r="J4507" s="17" t="n">
        <v>220</v>
      </c>
      <c r="K4507" s="17" t="n">
        <v>242.65</v>
      </c>
      <c r="L4507" s="17" t="n">
        <v>25.86</v>
      </c>
      <c r="M4507" s="17" t="n">
        <v>0</v>
      </c>
      <c r="N4507" s="17">
        <f>K4507*0.08+L4507*0.08</f>
        <v/>
      </c>
      <c r="O4507" s="17">
        <f>-(K4507*0.025+L4507*0.025)</f>
        <v/>
      </c>
      <c r="P4507" s="17">
        <f>32</f>
        <v/>
      </c>
      <c r="Q4507" s="17">
        <f>J4507+L4507+N4507+O4507-P4507-M4507</f>
        <v/>
      </c>
    </row>
    <row r="4508">
      <c r="A4508" s="16" t="inlineStr">
        <is>
          <t>5.8-5.14</t>
        </is>
      </c>
      <c r="B4508" s="16" t="inlineStr">
        <is>
          <t>PO-128-09981653302391529</t>
        </is>
      </c>
      <c r="C4508" s="16" t="inlineStr">
        <is>
          <t>Shipped</t>
        </is>
      </c>
      <c r="D4508" s="16" t="inlineStr">
        <is>
          <t>128-09981679516791529</t>
        </is>
      </c>
      <c r="E4508" s="16" t="inlineStr">
        <is>
          <t>Shipped</t>
        </is>
      </c>
      <c r="F4508" s="16" t="inlineStr">
        <is>
          <t>MCM-001G</t>
        </is>
      </c>
      <c r="G4508" s="16" t="inlineStr">
        <is>
          <t>Musicord Altavoz Inalámbrico BT Portátil: ¡Sonido impactante, luces LED multicolores y 4 horas de autonomía! Compatible con TWS, FM, TF y USB – Imprescindible para fiestas y viajes</t>
        </is>
      </c>
      <c r="H4508" s="16" t="inlineStr">
        <is>
          <t>GRIS</t>
        </is>
      </c>
      <c r="I4508" s="16" t="n">
        <v>1</v>
      </c>
      <c r="J4508" s="17" t="n">
        <v>51.07</v>
      </c>
      <c r="K4508" s="17" t="n">
        <v>24.12</v>
      </c>
      <c r="L4508" s="17" t="n">
        <v>25.86</v>
      </c>
      <c r="M4508" s="17" t="n">
        <v>0</v>
      </c>
      <c r="N4508" s="17">
        <f>K4508*0.08+L4508*0.08</f>
        <v/>
      </c>
      <c r="O4508" s="17">
        <f>-(K4508*0.025+L4508*0.025)</f>
        <v/>
      </c>
      <c r="P4508" s="17">
        <f>32</f>
        <v/>
      </c>
      <c r="Q4508" s="17">
        <f>J4508+L4508+N4508+O4508-P4508-M4508</f>
        <v/>
      </c>
    </row>
    <row r="4509">
      <c r="A4509" s="16" t="inlineStr">
        <is>
          <t>5.8-5.14</t>
        </is>
      </c>
      <c r="B4509" s="16" t="inlineStr">
        <is>
          <t>PO-128-10282484949110758</t>
        </is>
      </c>
      <c r="C4509" s="16" t="inlineStr">
        <is>
          <t>Shipped</t>
        </is>
      </c>
      <c r="D4509" s="16" t="inlineStr">
        <is>
          <t>128-10282463977590758</t>
        </is>
      </c>
      <c r="E4509" s="16" t="inlineStr">
        <is>
          <t>Shipped</t>
        </is>
      </c>
      <c r="F4509" s="16" t="inlineStr">
        <is>
          <t>LB02235-rojo</t>
        </is>
      </c>
      <c r="G4509" s="16" t="inlineStr">
        <is>
          <t>Audífonos Inalámbricos para la Cabeza, Recargables y Multifuncionales - Conectan a Varios Dispositivos, soportan Radio FM, Tarjeta TF y AUX - 4 Horas de Reproducción Musical - Ideal para Trabajo Cotidiano, Juegos y Estudio</t>
        </is>
      </c>
      <c r="H4509" s="16" t="inlineStr">
        <is>
          <t>ROJO</t>
        </is>
      </c>
      <c r="I4509" s="16" t="n">
        <v>1</v>
      </c>
      <c r="J4509" s="17" t="n">
        <v>38</v>
      </c>
      <c r="K4509" s="17" t="n">
        <v>51.12</v>
      </c>
      <c r="L4509" s="17" t="n">
        <v>25.86</v>
      </c>
      <c r="M4509" s="17" t="n">
        <v>0</v>
      </c>
      <c r="N4509" s="17">
        <f>K4509*0.08+L4509*0.08</f>
        <v/>
      </c>
      <c r="O4509" s="17">
        <f>-(K4509*0.025+L4509*0.025)</f>
        <v/>
      </c>
      <c r="P4509" s="17">
        <f>32</f>
        <v/>
      </c>
      <c r="Q4509" s="17">
        <f>J4509+L4509+N4509+O4509-P4509-M4509</f>
        <v/>
      </c>
    </row>
    <row r="4510">
      <c r="A4510" s="16" t="inlineStr">
        <is>
          <t>5.8-5.14</t>
        </is>
      </c>
      <c r="B4510" s="16" t="inlineStr">
        <is>
          <t>PO-128-09907311050872866</t>
        </is>
      </c>
      <c r="C4510" s="16" t="inlineStr">
        <is>
          <t>Shipped</t>
        </is>
      </c>
      <c r="D4510" s="16" t="inlineStr">
        <is>
          <t>128-09907316293752866</t>
        </is>
      </c>
      <c r="E4510" s="16" t="inlineStr">
        <is>
          <t>Shipped</t>
        </is>
      </c>
      <c r="F4510" s="16" t="inlineStr">
        <is>
          <t>LV25W22</t>
        </is>
      </c>
      <c r="G45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10" s="16" t="inlineStr">
        <is>
          <t>LV25W32</t>
        </is>
      </c>
      <c r="I4510" s="16" t="n">
        <v>1</v>
      </c>
      <c r="J4510" s="17" t="n">
        <v>97</v>
      </c>
      <c r="K4510" s="17" t="n">
        <v>85.93000000000001</v>
      </c>
      <c r="L4510" s="17" t="n">
        <v>25.86</v>
      </c>
      <c r="M4510" s="17" t="n">
        <v>0</v>
      </c>
      <c r="N4510" s="17">
        <f>K4510*0.08+L4510*0.08</f>
        <v/>
      </c>
      <c r="O4510" s="17">
        <f>-(K4510*0.025+L4510*0.025)</f>
        <v/>
      </c>
      <c r="P4510" s="17">
        <f>32</f>
        <v/>
      </c>
      <c r="Q4510" s="17">
        <f>J4510+L4510+N4510+O4510-P4510-M4510</f>
        <v/>
      </c>
    </row>
    <row r="4511">
      <c r="A4511" s="16" t="inlineStr">
        <is>
          <t>5.8-5.14</t>
        </is>
      </c>
      <c r="B4511" s="16" t="inlineStr">
        <is>
          <t>PO-128-10126223214711626</t>
        </is>
      </c>
      <c r="C4511" s="16" t="inlineStr">
        <is>
          <t>Shipped</t>
        </is>
      </c>
      <c r="D4511" s="16" t="inlineStr">
        <is>
          <t>128-10126202243191626</t>
        </is>
      </c>
      <c r="E4511" s="16" t="inlineStr">
        <is>
          <t>Shipped</t>
        </is>
      </c>
      <c r="F4511" s="16" t="inlineStr">
        <is>
          <t>LV25W22</t>
        </is>
      </c>
      <c r="G45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11" s="16" t="inlineStr">
        <is>
          <t>LV25W32</t>
        </is>
      </c>
      <c r="I4511" s="16" t="n">
        <v>1</v>
      </c>
      <c r="J4511" s="17" t="n">
        <v>97</v>
      </c>
      <c r="K4511" s="17" t="n">
        <v>107.41</v>
      </c>
      <c r="L4511" s="17" t="n">
        <v>25.86</v>
      </c>
      <c r="M4511" s="17" t="n">
        <v>0</v>
      </c>
      <c r="N4511" s="17">
        <f>K4511*0.08+L4511*0.08</f>
        <v/>
      </c>
      <c r="O4511" s="17">
        <f>-(K4511*0.025+L4511*0.025)</f>
        <v/>
      </c>
      <c r="P4511" s="17">
        <f>32</f>
        <v/>
      </c>
      <c r="Q4511" s="17">
        <f>J4511+L4511+N4511+O4511-P4511-M4511</f>
        <v/>
      </c>
    </row>
    <row r="4512">
      <c r="A4512" s="16" t="inlineStr">
        <is>
          <t>5.8-5.14</t>
        </is>
      </c>
      <c r="B4512" s="16" t="inlineStr">
        <is>
          <t>PO-128-09957694083192630</t>
        </is>
      </c>
      <c r="C4512" s="16" t="inlineStr">
        <is>
          <t>Shipped</t>
        </is>
      </c>
      <c r="D4512" s="16" t="inlineStr">
        <is>
          <t>128-09957662625912630</t>
        </is>
      </c>
      <c r="E4512" s="16" t="inlineStr">
        <is>
          <t>Shipped</t>
        </is>
      </c>
      <c r="F4512" s="16" t="inlineStr">
        <is>
          <t>LV25W22</t>
        </is>
      </c>
      <c r="G45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12" s="16" t="inlineStr">
        <is>
          <t>LV25W32</t>
        </is>
      </c>
      <c r="I4512" s="16" t="n">
        <v>1</v>
      </c>
      <c r="J4512" s="17" t="n">
        <v>97</v>
      </c>
      <c r="K4512" s="17" t="n">
        <v>107.41</v>
      </c>
      <c r="L4512" s="17" t="n">
        <v>25.86</v>
      </c>
      <c r="M4512" s="17" t="n">
        <v>0</v>
      </c>
      <c r="N4512" s="17">
        <f>K4512*0.08+L4512*0.08</f>
        <v/>
      </c>
      <c r="O4512" s="17">
        <f>-(K4512*0.025+L4512*0.025)</f>
        <v/>
      </c>
      <c r="P4512" s="17">
        <f>32</f>
        <v/>
      </c>
      <c r="Q4512" s="17">
        <f>J4512+L4512+N4512+O4512-P4512-M4512</f>
        <v/>
      </c>
    </row>
    <row r="4513">
      <c r="A4513" s="16" t="inlineStr">
        <is>
          <t>5.8-5.14</t>
        </is>
      </c>
      <c r="B4513" s="16" t="inlineStr">
        <is>
          <t>PO-128-10119583148151539</t>
        </is>
      </c>
      <c r="C4513" s="16" t="inlineStr">
        <is>
          <t>Shipped</t>
        </is>
      </c>
      <c r="D4513" s="16" t="inlineStr">
        <is>
          <t>128-10119541205111539</t>
        </is>
      </c>
      <c r="E4513" s="16" t="inlineStr">
        <is>
          <t>Shipped</t>
        </is>
      </c>
      <c r="F4513" s="16" t="inlineStr">
        <is>
          <t>VB347T</t>
        </is>
      </c>
      <c r="G451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13" s="16" t="inlineStr">
        <is>
          <t>1 pieza</t>
        </is>
      </c>
      <c r="I4513" s="16" t="n">
        <v>3</v>
      </c>
      <c r="J4513" s="17" t="n">
        <v>239.7</v>
      </c>
      <c r="K4513" s="17" t="n">
        <v>283.53</v>
      </c>
      <c r="L4513" s="17" t="n">
        <v>0</v>
      </c>
      <c r="M4513" s="17" t="n">
        <v>0</v>
      </c>
      <c r="N4513" s="17">
        <f>K4513*0.08+L4513*0.08</f>
        <v/>
      </c>
      <c r="O4513" s="17">
        <f>-(K4513*0.025+L4513*0.025)</f>
        <v/>
      </c>
      <c r="P4513" s="17">
        <f>32</f>
        <v/>
      </c>
      <c r="Q4513" s="17">
        <f>J4513+L4513+N4513+O4513-P4513-M4513</f>
        <v/>
      </c>
    </row>
    <row r="4514">
      <c r="A4514" s="16" t="inlineStr">
        <is>
          <t>5.8-5.14</t>
        </is>
      </c>
      <c r="B4514" s="16" t="inlineStr">
        <is>
          <t>PO-128-10214800935030074</t>
        </is>
      </c>
      <c r="C4514" s="16" t="inlineStr">
        <is>
          <t>Shipped</t>
        </is>
      </c>
      <c r="D4514" s="16" t="inlineStr">
        <is>
          <t>128-10214758991990074</t>
        </is>
      </c>
      <c r="E4514" s="16" t="inlineStr">
        <is>
          <t>Shipped</t>
        </is>
      </c>
      <c r="F4514" s="16" t="inlineStr">
        <is>
          <t>LB02235-azul</t>
        </is>
      </c>
      <c r="G4514" s="16" t="inlineStr">
        <is>
          <t>Audífonos Inalámbricos para la Cabeza, Recargables y Multifuncionales - Conectan a Varios Dispositivos, soportan Radio FM, Tarjeta TF y AUX - 4 Horas de Reproducción Musical - Ideal para Trabajo Cotidiano, Juegos y Estudio</t>
        </is>
      </c>
      <c r="H4514" s="16" t="inlineStr">
        <is>
          <t>AZUL</t>
        </is>
      </c>
      <c r="I4514" s="16" t="n">
        <v>1</v>
      </c>
      <c r="J4514" s="17" t="n">
        <v>37.6</v>
      </c>
      <c r="K4514" s="17" t="n">
        <v>7.62</v>
      </c>
      <c r="L4514" s="17" t="n">
        <v>25.86</v>
      </c>
      <c r="M4514" s="17" t="n">
        <v>0</v>
      </c>
      <c r="N4514" s="17">
        <f>K4514*0.08+L4514*0.08</f>
        <v/>
      </c>
      <c r="O4514" s="17">
        <f>-(K4514*0.025+L4514*0.025)</f>
        <v/>
      </c>
      <c r="P4514" s="17">
        <f>32</f>
        <v/>
      </c>
      <c r="Q4514" s="17">
        <f>J4514+L4514+N4514+O4514-P4514-M4514</f>
        <v/>
      </c>
    </row>
    <row r="4515">
      <c r="A4515" s="16" t="inlineStr">
        <is>
          <t>5.8-5.14</t>
        </is>
      </c>
      <c r="B4515" s="16" t="inlineStr">
        <is>
          <t>PO-128-10050023580791120</t>
        </is>
      </c>
      <c r="C4515" s="16" t="inlineStr">
        <is>
          <t>Shipped</t>
        </is>
      </c>
      <c r="D4515" s="16" t="inlineStr">
        <is>
          <t>128-10050049795191120</t>
        </is>
      </c>
      <c r="E4515" s="16" t="inlineStr">
        <is>
          <t>Shipped</t>
        </is>
      </c>
      <c r="F4515" s="16" t="inlineStr">
        <is>
          <t>MCM-001G</t>
        </is>
      </c>
      <c r="G4515" s="16" t="inlineStr">
        <is>
          <t>Musicord Altavoz Inalámbrico BT Portátil: ¡Sonido impactante, luces LED multicolores y 4 horas de autonomía! Compatible con TWS, FM, TF y USB – Imprescindible para fiestas y viajes</t>
        </is>
      </c>
      <c r="H4515" s="16" t="inlineStr">
        <is>
          <t>GRIS</t>
        </is>
      </c>
      <c r="I4515" s="16" t="n">
        <v>1</v>
      </c>
      <c r="J4515" s="17" t="n">
        <v>51.07</v>
      </c>
      <c r="K4515" s="17" t="n">
        <v>62.34</v>
      </c>
      <c r="L4515" s="17" t="n">
        <v>25.86</v>
      </c>
      <c r="M4515" s="17" t="n">
        <v>0</v>
      </c>
      <c r="N4515" s="17">
        <f>K4515*0.08+L4515*0.08</f>
        <v/>
      </c>
      <c r="O4515" s="17">
        <f>-(K4515*0.025+L4515*0.025)</f>
        <v/>
      </c>
      <c r="P4515" s="17">
        <f>32</f>
        <v/>
      </c>
      <c r="Q4515" s="17">
        <f>J4515+L4515+N4515+O4515-P4515-M4515</f>
        <v/>
      </c>
    </row>
    <row r="4516">
      <c r="A4516" s="16" t="inlineStr">
        <is>
          <t>5.8-5.14</t>
        </is>
      </c>
      <c r="B4516" s="16" t="inlineStr">
        <is>
          <t>PO-128-09680438582393325</t>
        </is>
      </c>
      <c r="C4516" s="16" t="inlineStr">
        <is>
          <t>Shipped</t>
        </is>
      </c>
      <c r="D4516" s="16" t="inlineStr">
        <is>
          <t>128-09680396639353325</t>
        </is>
      </c>
      <c r="E4516" s="16" t="inlineStr">
        <is>
          <t>Shipped</t>
        </is>
      </c>
      <c r="F4516" s="16" t="inlineStr">
        <is>
          <t>LB02235-rojo</t>
        </is>
      </c>
      <c r="G4516" s="16" t="inlineStr">
        <is>
          <t>Audífonos Inalámbricos para la Cabeza, Recargables y Multifuncionales - Conectan a Varios Dispositivos, soportan Radio FM, Tarjeta TF y AUX - 4 Horas de Reproducción Musical - Ideal para Trabajo Cotidiano, Juegos y Estudio</t>
        </is>
      </c>
      <c r="H4516" s="16" t="inlineStr">
        <is>
          <t>ROJO</t>
        </is>
      </c>
      <c r="I4516" s="16" t="n">
        <v>1</v>
      </c>
      <c r="J4516" s="17" t="n">
        <v>38</v>
      </c>
      <c r="K4516" s="17" t="n">
        <v>40.9</v>
      </c>
      <c r="L4516" s="17" t="n">
        <v>25.86</v>
      </c>
      <c r="M4516" s="17" t="n">
        <v>0</v>
      </c>
      <c r="N4516" s="17">
        <f>K4516*0.08+L4516*0.08</f>
        <v/>
      </c>
      <c r="O4516" s="17">
        <f>-(K4516*0.025+L4516*0.025)</f>
        <v/>
      </c>
      <c r="P4516" s="17">
        <f>32</f>
        <v/>
      </c>
      <c r="Q4516" s="17">
        <f>J4516+L4516+N4516+O4516-P4516-M4516</f>
        <v/>
      </c>
    </row>
    <row r="4517">
      <c r="A4517" s="16" t="inlineStr">
        <is>
          <t>5.8-5.14</t>
        </is>
      </c>
      <c r="B4517" s="16" t="inlineStr">
        <is>
          <t>PO-128-09965031104631434</t>
        </is>
      </c>
      <c r="C4517" s="16" t="inlineStr">
        <is>
          <t>Shipped</t>
        </is>
      </c>
      <c r="D4517" s="16" t="inlineStr">
        <is>
          <t>128-09965135962231434</t>
        </is>
      </c>
      <c r="E4517" s="16" t="inlineStr">
        <is>
          <t>Shipped</t>
        </is>
      </c>
      <c r="F4517" s="16" t="inlineStr">
        <is>
          <t>LV25W22</t>
        </is>
      </c>
      <c r="G45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17" s="16" t="inlineStr">
        <is>
          <t>LV25W32</t>
        </is>
      </c>
      <c r="I4517" s="16" t="n">
        <v>3</v>
      </c>
      <c r="J4517" s="17" t="n">
        <v>291</v>
      </c>
      <c r="K4517" s="17" t="n">
        <v>257.79</v>
      </c>
      <c r="L4517" s="17" t="n">
        <v>0</v>
      </c>
      <c r="M4517" s="17" t="n">
        <v>0</v>
      </c>
      <c r="N4517" s="17">
        <f>K4517*0.08+L4517*0.08</f>
        <v/>
      </c>
      <c r="O4517" s="17">
        <f>-(K4517*0.025+L4517*0.025)</f>
        <v/>
      </c>
      <c r="P4517" s="17">
        <f>32</f>
        <v/>
      </c>
      <c r="Q4517" s="17">
        <f>J4517+L4517+N4517+O4517-P4517-M4517</f>
        <v/>
      </c>
    </row>
    <row r="4518">
      <c r="A4518" s="16" t="inlineStr">
        <is>
          <t>5.8-5.14</t>
        </is>
      </c>
      <c r="B4518" s="16" t="inlineStr">
        <is>
          <t>PO-128-09901368947832838</t>
        </is>
      </c>
      <c r="C4518" s="16" t="inlineStr">
        <is>
          <t>Shipped</t>
        </is>
      </c>
      <c r="D4518" s="16" t="inlineStr">
        <is>
          <t>128-09901406958712838</t>
        </is>
      </c>
      <c r="E4518" s="16" t="inlineStr">
        <is>
          <t>Shipped</t>
        </is>
      </c>
      <c r="F4518" s="16" t="inlineStr">
        <is>
          <t>SA325T</t>
        </is>
      </c>
      <c r="G4518" s="16" t="inlineStr">
        <is>
          <t>Subwoofer Portátil Inalámbrico con Luces RGB, Sonido de Alta Potencia y Batería Duradera, TWS TF USB, Perfecto para Campamento Fiestas y Entretenimiento en Casa</t>
        </is>
      </c>
      <c r="H4518" s="16" t="inlineStr">
        <is>
          <t>NEGRO</t>
        </is>
      </c>
      <c r="I4518" s="16" t="n">
        <v>1</v>
      </c>
      <c r="J4518" s="17" t="n">
        <v>38</v>
      </c>
      <c r="K4518" s="17" t="n">
        <v>47.06</v>
      </c>
      <c r="L4518" s="17" t="n">
        <v>25.86</v>
      </c>
      <c r="M4518" s="17" t="n">
        <v>0</v>
      </c>
      <c r="N4518" s="17">
        <f>K4518*0.08+L4518*0.08</f>
        <v/>
      </c>
      <c r="O4518" s="17">
        <f>-(K4518*0.025+L4518*0.025)</f>
        <v/>
      </c>
      <c r="P4518" s="17">
        <f>32</f>
        <v/>
      </c>
      <c r="Q4518" s="17">
        <f>J4518+L4518+N4518+O4518-P4518-M4518</f>
        <v/>
      </c>
    </row>
    <row r="4519">
      <c r="A4519" s="16" t="inlineStr">
        <is>
          <t>5.8-5.14</t>
        </is>
      </c>
      <c r="B4519" s="16" t="inlineStr">
        <is>
          <t>PO-128-10290306312310521</t>
        </is>
      </c>
      <c r="C4519" s="16" t="inlineStr">
        <is>
          <t>Shipped</t>
        </is>
      </c>
      <c r="D4519" s="16" t="inlineStr">
        <is>
          <t>128-10290325317750521</t>
        </is>
      </c>
      <c r="E4519" s="16" t="inlineStr">
        <is>
          <t>Shipped</t>
        </is>
      </c>
      <c r="F4519" s="16" t="inlineStr">
        <is>
          <t>LV25W22</t>
        </is>
      </c>
      <c r="G45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19" s="16" t="inlineStr">
        <is>
          <t>LV25W32</t>
        </is>
      </c>
      <c r="I4519" s="16" t="n">
        <v>1</v>
      </c>
      <c r="J4519" s="17" t="n">
        <v>97</v>
      </c>
      <c r="K4519" s="17" t="n">
        <v>105.12</v>
      </c>
      <c r="L4519" s="17" t="n">
        <v>25.86</v>
      </c>
      <c r="M4519" s="17" t="n">
        <v>0</v>
      </c>
      <c r="N4519" s="17">
        <f>K4519*0.08+L4519*0.08</f>
        <v/>
      </c>
      <c r="O4519" s="17">
        <f>-(K4519*0.025+L4519*0.025)</f>
        <v/>
      </c>
      <c r="P4519" s="17">
        <f>32</f>
        <v/>
      </c>
      <c r="Q4519" s="17">
        <f>J4519+L4519+N4519+O4519-P4519-M4519</f>
        <v/>
      </c>
    </row>
    <row r="4520">
      <c r="A4520" s="16" t="inlineStr">
        <is>
          <t>5.8-5.14</t>
        </is>
      </c>
      <c r="B4520" s="16" t="inlineStr">
        <is>
          <t>PO-128-10158621473910280</t>
        </is>
      </c>
      <c r="C4520" s="16" t="inlineStr">
        <is>
          <t>Shipped</t>
        </is>
      </c>
      <c r="D4520" s="16" t="inlineStr">
        <is>
          <t>128-10158616231030280</t>
        </is>
      </c>
      <c r="E4520" s="16" t="inlineStr">
        <is>
          <t>Shipped</t>
        </is>
      </c>
      <c r="F4520" s="16" t="inlineStr">
        <is>
          <t>LV25W22</t>
        </is>
      </c>
      <c r="G452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20" s="16" t="inlineStr">
        <is>
          <t>LV25W32</t>
        </is>
      </c>
      <c r="I4520" s="16" t="n">
        <v>1</v>
      </c>
      <c r="J4520" s="17" t="n">
        <v>97</v>
      </c>
      <c r="K4520" s="17" t="n">
        <v>98.98</v>
      </c>
      <c r="L4520" s="17" t="n">
        <v>25.86</v>
      </c>
      <c r="M4520" s="17" t="n">
        <v>0</v>
      </c>
      <c r="N4520" s="17">
        <f>K4520*0.08+L4520*0.08</f>
        <v/>
      </c>
      <c r="O4520" s="17">
        <f>-(K4520*0.025+L4520*0.025)</f>
        <v/>
      </c>
      <c r="P4520" s="17">
        <f>32</f>
        <v/>
      </c>
      <c r="Q4520" s="17">
        <f>J4520+L4520+N4520+O4520-P4520-M4520</f>
        <v/>
      </c>
    </row>
    <row r="4521">
      <c r="A4521" s="16" t="inlineStr">
        <is>
          <t>5.8-5.14</t>
        </is>
      </c>
      <c r="B4521" s="16" t="inlineStr">
        <is>
          <t>PO-128-09915507290232883</t>
        </is>
      </c>
      <c r="C4521" s="16" t="inlineStr">
        <is>
          <t>Shipped</t>
        </is>
      </c>
      <c r="D4521" s="16" t="inlineStr">
        <is>
          <t>128-09915583311992883</t>
        </is>
      </c>
      <c r="E4521" s="16" t="inlineStr">
        <is>
          <t>Shipped</t>
        </is>
      </c>
      <c r="F4521" s="16" t="inlineStr">
        <is>
          <t>SA8056T</t>
        </is>
      </c>
      <c r="G452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521" s="16" t="inlineStr">
        <is>
          <t>SA8056T</t>
        </is>
      </c>
      <c r="I4521" s="16" t="n">
        <v>2</v>
      </c>
      <c r="J4521" s="17" t="n">
        <v>247.8</v>
      </c>
      <c r="K4521" s="17" t="n">
        <v>288.56</v>
      </c>
      <c r="L4521" s="17" t="n">
        <v>0</v>
      </c>
      <c r="M4521" s="17" t="n">
        <v>0</v>
      </c>
      <c r="N4521" s="17">
        <f>K4521*0.08+L4521*0.08</f>
        <v/>
      </c>
      <c r="O4521" s="17">
        <f>-(K4521*0.025+L4521*0.025)</f>
        <v/>
      </c>
      <c r="P4521" s="17">
        <f>32</f>
        <v/>
      </c>
      <c r="Q4521" s="17">
        <f>J4521+L4521+N4521+O4521-P4521-M4521</f>
        <v/>
      </c>
    </row>
    <row r="4522">
      <c r="A4522" s="16" t="inlineStr">
        <is>
          <t>5.8-5.14</t>
        </is>
      </c>
      <c r="B4522" s="16" t="inlineStr">
        <is>
          <t>PO-128-10215469786230070</t>
        </is>
      </c>
      <c r="C4522" s="16" t="inlineStr">
        <is>
          <t>Shipped</t>
        </is>
      </c>
      <c r="D4522" s="16" t="inlineStr">
        <is>
          <t>128-10215427843190070</t>
        </is>
      </c>
      <c r="E4522" s="16" t="inlineStr">
        <is>
          <t>Shipped</t>
        </is>
      </c>
      <c r="F4522" s="16" t="inlineStr">
        <is>
          <t>LV25W22</t>
        </is>
      </c>
      <c r="G452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22" s="16" t="inlineStr">
        <is>
          <t>LV25W32</t>
        </is>
      </c>
      <c r="I4522" s="16" t="n">
        <v>3</v>
      </c>
      <c r="J4522" s="17" t="n">
        <v>291</v>
      </c>
      <c r="K4522" s="17" t="n">
        <v>322.23</v>
      </c>
      <c r="L4522" s="17" t="n">
        <v>0</v>
      </c>
      <c r="M4522" s="17" t="n">
        <v>0</v>
      </c>
      <c r="N4522" s="17">
        <f>K4522*0.08+L4522*0.08</f>
        <v/>
      </c>
      <c r="O4522" s="17">
        <f>-(K4522*0.025+L4522*0.025)</f>
        <v/>
      </c>
      <c r="P4522" s="17">
        <f>32</f>
        <v/>
      </c>
      <c r="Q4522" s="17">
        <f>J4522+L4522+N4522+O4522-P4522-M4522</f>
        <v/>
      </c>
    </row>
    <row r="4523">
      <c r="A4523" s="16" t="inlineStr">
        <is>
          <t>5.8-5.14</t>
        </is>
      </c>
      <c r="B4523" s="16" t="inlineStr">
        <is>
          <t>PO-128-09796165215352443</t>
        </is>
      </c>
      <c r="C4523" s="16" t="inlineStr">
        <is>
          <t>Shipped</t>
        </is>
      </c>
      <c r="D4523" s="16" t="inlineStr">
        <is>
          <t>128-09796186186872443</t>
        </is>
      </c>
      <c r="E4523" s="16" t="inlineStr">
        <is>
          <t>Shipped</t>
        </is>
      </c>
      <c r="F4523" s="16" t="inlineStr">
        <is>
          <t>KTS-1678Y</t>
        </is>
      </c>
      <c r="G4523" s="16" t="inlineStr">
        <is>
          <t>Bocina portátil Inalámbrico, de 3 pulgadas, tamaño de bolsillo, 170 g, con asa, compatible con TF, USB y Micro SD, con radio FM y función TWS (True Wireless Stereo), adecuada para relajarse en casa o viajar al aire libre.</t>
        </is>
      </c>
      <c r="H4523" s="16" t="inlineStr">
        <is>
          <t>KTS-1678Y</t>
        </is>
      </c>
      <c r="I4523" s="16" t="n">
        <v>1</v>
      </c>
      <c r="J4523" s="17" t="n">
        <v>41</v>
      </c>
      <c r="K4523" s="17" t="n">
        <v>47.2</v>
      </c>
      <c r="L4523" s="17" t="n">
        <v>25.86</v>
      </c>
      <c r="M4523" s="17" t="n">
        <v>0</v>
      </c>
      <c r="N4523" s="17">
        <f>K4523*0.08+L4523*0.08</f>
        <v/>
      </c>
      <c r="O4523" s="17">
        <f>-(K4523*0.025+L4523*0.025)</f>
        <v/>
      </c>
      <c r="P4523" s="17">
        <f>32</f>
        <v/>
      </c>
      <c r="Q4523" s="17">
        <f>J4523+L4523+N4523+O4523-P4523-M4523</f>
        <v/>
      </c>
    </row>
    <row r="4524">
      <c r="A4524" s="16" t="inlineStr">
        <is>
          <t>5.8-5.14</t>
        </is>
      </c>
      <c r="B4524" s="16" t="inlineStr">
        <is>
          <t>PO-128-10163093112950318</t>
        </is>
      </c>
      <c r="C4524" s="16" t="inlineStr">
        <is>
          <t>Shipped</t>
        </is>
      </c>
      <c r="D4524" s="16" t="inlineStr">
        <is>
          <t>128-10163133089910318</t>
        </is>
      </c>
      <c r="E4524" s="16" t="inlineStr">
        <is>
          <t>Shipped</t>
        </is>
      </c>
      <c r="F4524" s="16" t="inlineStr">
        <is>
          <t>SA325T</t>
        </is>
      </c>
      <c r="G4524" s="16" t="inlineStr">
        <is>
          <t>Subwoofer Portátil Inalámbrico con Luces RGB, Sonido de Alta Potencia y Batería Duradera, TWS TF USB, Perfecto para Campamento Fiestas y Entretenimiento en Casa</t>
        </is>
      </c>
      <c r="H4524" s="16" t="inlineStr">
        <is>
          <t>NEGRO</t>
        </is>
      </c>
      <c r="I4524" s="16" t="n">
        <v>1</v>
      </c>
      <c r="J4524" s="17" t="n">
        <v>38</v>
      </c>
      <c r="K4524" s="17" t="n">
        <v>40.01</v>
      </c>
      <c r="L4524" s="17" t="n">
        <v>25.86</v>
      </c>
      <c r="M4524" s="17" t="n">
        <v>0</v>
      </c>
      <c r="N4524" s="17">
        <f>K4524*0.08+L4524*0.08</f>
        <v/>
      </c>
      <c r="O4524" s="17">
        <f>-(K4524*0.025+L4524*0.025)</f>
        <v/>
      </c>
      <c r="P4524" s="17">
        <f>32</f>
        <v/>
      </c>
      <c r="Q4524" s="17">
        <f>J4524+L4524+N4524+O4524-P4524-M4524</f>
        <v/>
      </c>
    </row>
    <row r="4525">
      <c r="A4525" s="16" t="inlineStr">
        <is>
          <t>5.8-5.14</t>
        </is>
      </c>
      <c r="B4525" s="16" t="inlineStr">
        <is>
          <t>PO-128-10228577221750953</t>
        </is>
      </c>
      <c r="C4525" s="16" t="inlineStr">
        <is>
          <t>Shipped</t>
        </is>
      </c>
      <c r="D4525" s="16" t="inlineStr">
        <is>
          <t>128-10228713536630953</t>
        </is>
      </c>
      <c r="E4525" s="16" t="inlineStr">
        <is>
          <t>Shipped</t>
        </is>
      </c>
      <c r="F4525" s="16" t="inlineStr">
        <is>
          <t>FA028</t>
        </is>
      </c>
      <c r="G4525" s="16" t="inlineStr">
        <is>
          <t>Extractor de agua para garrafas de agua, compatible con carga USB, extractor de agua automático, práctico, con dos modos de toma de agua: manual y programado, ideal para dormitorios, salones, oficinas, uso al aire libre y otros escenarios.</t>
        </is>
      </c>
      <c r="H4525" s="16" t="inlineStr">
        <is>
          <t>FA028</t>
        </is>
      </c>
      <c r="I4525" s="16" t="n">
        <v>1</v>
      </c>
      <c r="J4525" s="17" t="n">
        <v>30</v>
      </c>
      <c r="K4525" s="17" t="n">
        <v>39.58</v>
      </c>
      <c r="L4525" s="17" t="n">
        <v>25.86</v>
      </c>
      <c r="M4525" s="17" t="n">
        <v>0</v>
      </c>
      <c r="N4525" s="17">
        <f>K4525*0.08+L4525*0.08</f>
        <v/>
      </c>
      <c r="O4525" s="17">
        <f>-(K4525*0.025+L4525*0.025)</f>
        <v/>
      </c>
      <c r="P4525" s="17">
        <f>32</f>
        <v/>
      </c>
      <c r="Q4525" s="17">
        <f>J4525+L4525+N4525+O4525-P4525-M4525</f>
        <v/>
      </c>
    </row>
    <row r="4526">
      <c r="A4526" s="16" t="inlineStr">
        <is>
          <t>5.8-5.14</t>
        </is>
      </c>
      <c r="B4526" s="16" t="inlineStr">
        <is>
          <t>PO-128-09889456287353039</t>
        </is>
      </c>
      <c r="C4526" s="16" t="inlineStr">
        <is>
          <t>Shipped</t>
        </is>
      </c>
      <c r="D4526" s="16" t="inlineStr">
        <is>
          <t>128-09889414344313039</t>
        </is>
      </c>
      <c r="E4526" s="16" t="inlineStr">
        <is>
          <t>Shipped</t>
        </is>
      </c>
      <c r="F4526" s="16" t="inlineStr">
        <is>
          <t>LB02235-rojo</t>
        </is>
      </c>
      <c r="G4526" s="16" t="inlineStr">
        <is>
          <t>Audífonos Inalámbricos para la Cabeza, Recargables y Multifuncionales - Conectan a Varios Dispositivos, soportan Radio FM, Tarjeta TF y AUX - 4 Horas de Reproducción Musical - Ideal para Trabajo Cotidiano, Juegos y Estudio</t>
        </is>
      </c>
      <c r="H4526" s="16" t="inlineStr">
        <is>
          <t>ROJO</t>
        </is>
      </c>
      <c r="I4526" s="16" t="n">
        <v>1</v>
      </c>
      <c r="J4526" s="17" t="n">
        <v>38</v>
      </c>
      <c r="K4526" s="17" t="n">
        <v>43.46</v>
      </c>
      <c r="L4526" s="17" t="n">
        <v>25.86</v>
      </c>
      <c r="M4526" s="17" t="n">
        <v>0</v>
      </c>
      <c r="N4526" s="17">
        <f>K4526*0.08+L4526*0.08</f>
        <v/>
      </c>
      <c r="O4526" s="17">
        <f>-(K4526*0.025+L4526*0.025)</f>
        <v/>
      </c>
      <c r="P4526" s="17">
        <f>32</f>
        <v/>
      </c>
      <c r="Q4526" s="17">
        <f>J4526+L4526+N4526+O4526-P4526-M4526</f>
        <v/>
      </c>
    </row>
    <row r="4527">
      <c r="A4527" s="16" t="inlineStr">
        <is>
          <t>5.8-5.14</t>
        </is>
      </c>
      <c r="B4527" s="16" t="inlineStr">
        <is>
          <t>PO-128-10297837115510605</t>
        </is>
      </c>
      <c r="C4527" s="16" t="inlineStr">
        <is>
          <t>Shipped</t>
        </is>
      </c>
      <c r="D4527" s="16" t="inlineStr">
        <is>
          <t>128-10297850222710605</t>
        </is>
      </c>
      <c r="E4527" s="16" t="inlineStr">
        <is>
          <t>Shipped</t>
        </is>
      </c>
      <c r="F4527" s="16" t="inlineStr">
        <is>
          <t>MB-178-N</t>
        </is>
      </c>
      <c r="G4527" s="16" t="inlineStr">
        <is>
          <t>Bocina de Barra Bluetooth LINK BITS con dos altavoces, sonido de alta calidad y multifuncional (Bluetooth, Radio FM, USB, TF, AUX, TWS), ideal para juegos, reuniones, oficina y cine en casa.</t>
        </is>
      </c>
      <c r="H4527" s="16" t="inlineStr">
        <is>
          <t>NEGRO</t>
        </is>
      </c>
      <c r="I4527" s="16" t="n">
        <v>1</v>
      </c>
      <c r="J4527" s="17" t="n">
        <v>135</v>
      </c>
      <c r="K4527" s="17" t="n">
        <v>123.47</v>
      </c>
      <c r="L4527" s="17" t="n">
        <v>25.86</v>
      </c>
      <c r="M4527" s="17" t="n">
        <v>0</v>
      </c>
      <c r="N4527" s="17">
        <f>K4527*0.08+L4527*0.08</f>
        <v/>
      </c>
      <c r="O4527" s="17">
        <f>-(K4527*0.025+L4527*0.025)</f>
        <v/>
      </c>
      <c r="P4527" s="17">
        <f>32</f>
        <v/>
      </c>
      <c r="Q4527" s="17">
        <f>J4527+L4527+N4527+O4527-P4527-M4527</f>
        <v/>
      </c>
    </row>
    <row r="4528">
      <c r="A4528" s="16" t="inlineStr">
        <is>
          <t>5.8-5.14</t>
        </is>
      </c>
      <c r="B4528" s="16" t="inlineStr">
        <is>
          <t>PO-128-09866881472632085</t>
        </is>
      </c>
      <c r="C4528" s="16" t="inlineStr">
        <is>
          <t>Shipped</t>
        </is>
      </c>
      <c r="D4528" s="16" t="inlineStr">
        <is>
          <t>128-09866986330232085</t>
        </is>
      </c>
      <c r="E4528" s="16" t="inlineStr">
        <is>
          <t>Shipped</t>
        </is>
      </c>
      <c r="F4528" s="16" t="inlineStr">
        <is>
          <t>SA8056T</t>
        </is>
      </c>
      <c r="G452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528" s="16" t="inlineStr">
        <is>
          <t>SA8056T</t>
        </is>
      </c>
      <c r="I4528" s="16" t="n">
        <v>4</v>
      </c>
      <c r="J4528" s="17" t="n">
        <v>495.6</v>
      </c>
      <c r="K4528" s="17" t="n">
        <v>577.12</v>
      </c>
      <c r="L4528" s="17" t="n">
        <v>0</v>
      </c>
      <c r="M4528" s="17" t="n">
        <v>0</v>
      </c>
      <c r="N4528" s="17">
        <f>K4528*0.08+L4528*0.08</f>
        <v/>
      </c>
      <c r="O4528" s="17">
        <f>-(K4528*0.025+L4528*0.025)</f>
        <v/>
      </c>
      <c r="P4528" s="17">
        <f>32</f>
        <v/>
      </c>
      <c r="Q4528" s="17">
        <f>J4528+L4528+N4528+O4528-P4528-M4528</f>
        <v/>
      </c>
    </row>
    <row r="4529">
      <c r="A4529" s="16" t="inlineStr">
        <is>
          <t>5.8-5.14</t>
        </is>
      </c>
      <c r="B4529" s="16" t="inlineStr">
        <is>
          <t>PO-128-09763965468793787</t>
        </is>
      </c>
      <c r="C4529" s="16" t="inlineStr">
        <is>
          <t>Shipped</t>
        </is>
      </c>
      <c r="D4529" s="16" t="inlineStr">
        <is>
          <t>128-09763999547513787</t>
        </is>
      </c>
      <c r="E4529" s="16" t="inlineStr">
        <is>
          <t>Shipped</t>
        </is>
      </c>
      <c r="F4529" s="16" t="inlineStr">
        <is>
          <t>FA028</t>
        </is>
      </c>
      <c r="G4529" s="16" t="inlineStr">
        <is>
          <t>Extractor de agua para garrafas de agua, compatible con carga USB, extractor de agua automático, práctico, con dos modos de toma de agua: manual y programado, ideal para dormitorios, salones, oficinas, uso al aire libre y otros escenarios.</t>
        </is>
      </c>
      <c r="H4529" s="16" t="inlineStr">
        <is>
          <t>FA028</t>
        </is>
      </c>
      <c r="I4529" s="16" t="n">
        <v>2</v>
      </c>
      <c r="J4529" s="17" t="n">
        <v>60</v>
      </c>
      <c r="K4529" s="17" t="n">
        <v>67.29000000000001</v>
      </c>
      <c r="L4529" s="17" t="n">
        <v>0</v>
      </c>
      <c r="M4529" s="17" t="n">
        <v>0</v>
      </c>
      <c r="N4529" s="17">
        <f>K4529*0.08+L4529*0.08</f>
        <v/>
      </c>
      <c r="O4529" s="17">
        <f>-(K4529*0.025+L4529*0.025)</f>
        <v/>
      </c>
      <c r="P4529" s="17">
        <f>32</f>
        <v/>
      </c>
      <c r="Q4529" s="17">
        <f>J4529+L4529+N4529+O4529-P4529-M4529</f>
        <v/>
      </c>
    </row>
    <row r="4530">
      <c r="A4530" s="16" t="inlineStr">
        <is>
          <t>5.8-5.14</t>
        </is>
      </c>
      <c r="B4530" s="16" t="inlineStr">
        <is>
          <t>PO-128-09763965468793787</t>
        </is>
      </c>
      <c r="C4530" s="16" t="inlineStr">
        <is>
          <t>Shipped</t>
        </is>
      </c>
      <c r="D4530" s="16" t="inlineStr">
        <is>
          <t>128-09763973333113787</t>
        </is>
      </c>
      <c r="E4530" s="16" t="inlineStr">
        <is>
          <t>Shipped</t>
        </is>
      </c>
      <c r="F4530" s="16" t="inlineStr">
        <is>
          <t>LB02235-azul</t>
        </is>
      </c>
      <c r="G4530" s="16" t="inlineStr">
        <is>
          <t>Audífonos Inalámbricos para la Cabeza, Recargables y Multifuncionales - Conectan a Varios Dispositivos, soportan Radio FM, Tarjeta TF y AUX - 4 Horas de Reproducción Musical - Ideal para Trabajo Cotidiano, Juegos y Estudio</t>
        </is>
      </c>
      <c r="H4530" s="16" t="inlineStr">
        <is>
          <t>AZUL</t>
        </is>
      </c>
      <c r="I4530" s="16" t="n">
        <v>2</v>
      </c>
      <c r="J4530" s="17" t="n">
        <v>75.2</v>
      </c>
      <c r="K4530" s="17" t="n">
        <v>86.23999999999999</v>
      </c>
      <c r="L4530" s="17" t="n">
        <v>0</v>
      </c>
      <c r="M4530" s="17" t="n">
        <v>1.38</v>
      </c>
      <c r="N4530" s="17">
        <f>K4530*0.08+L4530*0.08</f>
        <v/>
      </c>
      <c r="O4530" s="17">
        <f>-(K4530*0.025+L4530*0.025)</f>
        <v/>
      </c>
      <c r="P4530" s="17">
        <f>32</f>
        <v/>
      </c>
      <c r="Q4530" s="17">
        <f>J4530+L4530+N4530+O4530-P4530-M4530</f>
        <v/>
      </c>
    </row>
    <row r="4531">
      <c r="A4531" s="16" t="inlineStr">
        <is>
          <t>5.8-5.14</t>
        </is>
      </c>
      <c r="B4531" s="16" t="inlineStr">
        <is>
          <t>PO-128-09763965468793787</t>
        </is>
      </c>
      <c r="C4531" s="16" t="inlineStr">
        <is>
          <t>Shipped</t>
        </is>
      </c>
      <c r="D4531" s="16" t="inlineStr">
        <is>
          <t>128-09763989061753787</t>
        </is>
      </c>
      <c r="E4531" s="16" t="inlineStr">
        <is>
          <t>Shipped</t>
        </is>
      </c>
      <c r="F4531" s="16" t="inlineStr">
        <is>
          <t>MCM-001A</t>
        </is>
      </c>
      <c r="G4531" s="16" t="inlineStr">
        <is>
          <t>Musicord Altavoz Inalámbrico BT Portátil: ¡Sonido impactante, luces LED multicolores y 4 horas de autonomía! Compatible con TWS, FM, TF y USB – Imprescindible para fiestas y viajes</t>
        </is>
      </c>
      <c r="H4531" s="16" t="inlineStr">
        <is>
          <t>AZUL</t>
        </is>
      </c>
      <c r="I4531" s="16" t="n">
        <v>1</v>
      </c>
      <c r="J4531" s="17" t="n">
        <v>51.08</v>
      </c>
      <c r="K4531" s="17" t="n">
        <v>50.56</v>
      </c>
      <c r="L4531" s="17" t="n">
        <v>0</v>
      </c>
      <c r="M4531" s="17" t="n">
        <v>0</v>
      </c>
      <c r="N4531" s="17">
        <f>K4531*0.08+L4531*0.08</f>
        <v/>
      </c>
      <c r="O4531" s="17">
        <f>-(K4531*0.025+L4531*0.025)</f>
        <v/>
      </c>
      <c r="P4531" s="17">
        <f>32</f>
        <v/>
      </c>
      <c r="Q4531" s="17">
        <f>J4531+L4531+N4531+O4531-P4531-M4531</f>
        <v/>
      </c>
    </row>
    <row r="4532">
      <c r="A4532" s="16" t="inlineStr">
        <is>
          <t>5.8-5.14</t>
        </is>
      </c>
      <c r="B4532" s="16" t="inlineStr">
        <is>
          <t>PO-128-09763965468793787</t>
        </is>
      </c>
      <c r="C4532" s="16" t="inlineStr">
        <is>
          <t>Shipped</t>
        </is>
      </c>
      <c r="D4532" s="16" t="inlineStr">
        <is>
          <t>128-09763994304633787</t>
        </is>
      </c>
      <c r="E4532" s="16" t="inlineStr">
        <is>
          <t>Shipped</t>
        </is>
      </c>
      <c r="F4532" s="16" t="inlineStr">
        <is>
          <t>VA384T-A</t>
        </is>
      </c>
      <c r="G4532" s="16" t="inlineStr">
        <is>
          <t>Bocina Portátil Bluetooth de 3 Pulgadas con Radio FM, USB TF TWS, Sonido Estéreo 5W, Bocina Recargable para Hogar Exterior Viaje Fiesta Camping</t>
        </is>
      </c>
      <c r="H4532" s="16" t="inlineStr">
        <is>
          <t>AZUL</t>
        </is>
      </c>
      <c r="I4532" s="16" t="n">
        <v>1</v>
      </c>
      <c r="J4532" s="17" t="n">
        <v>47.99</v>
      </c>
      <c r="K4532" s="17" t="n">
        <v>49.91</v>
      </c>
      <c r="L4532" s="17" t="n">
        <v>0</v>
      </c>
      <c r="M4532" s="17" t="n">
        <v>0</v>
      </c>
      <c r="N4532" s="17">
        <f>K4532*0.08+L4532*0.08</f>
        <v/>
      </c>
      <c r="O4532" s="17">
        <f>-(K4532*0.025+L4532*0.025)</f>
        <v/>
      </c>
      <c r="P4532" s="17">
        <f>32</f>
        <v/>
      </c>
      <c r="Q4532" s="17">
        <f>J4532+L4532+N4532+O4532-P4532-M4532</f>
        <v/>
      </c>
    </row>
    <row r="4533">
      <c r="A4533" s="16" t="inlineStr">
        <is>
          <t>5.8-5.14</t>
        </is>
      </c>
      <c r="B4533" s="16" t="inlineStr">
        <is>
          <t>PO-128-09763965468793787</t>
        </is>
      </c>
      <c r="C4533" s="16" t="inlineStr">
        <is>
          <t>Shipped</t>
        </is>
      </c>
      <c r="D4533" s="16" t="inlineStr">
        <is>
          <t>128-09763978575993787</t>
        </is>
      </c>
      <c r="E4533" s="16" t="inlineStr">
        <is>
          <t>Shipped</t>
        </is>
      </c>
      <c r="F4533" s="16" t="inlineStr">
        <is>
          <t>MB-185A</t>
        </is>
      </c>
      <c r="G4533" s="16" t="inlineStr">
        <is>
          <t>Bocina Radio FM/Reproductor, Compatible con Tarjeta TF, USB, Bluetooth, Aplicable para celular, computadora, Ipad y consola.</t>
        </is>
      </c>
      <c r="H4533" s="16" t="inlineStr">
        <is>
          <t>AZUL/MB-185</t>
        </is>
      </c>
      <c r="I4533" s="16" t="n">
        <v>1</v>
      </c>
      <c r="J4533" s="17" t="n">
        <v>75.5</v>
      </c>
      <c r="K4533" s="17" t="n">
        <v>75.19</v>
      </c>
      <c r="L4533" s="17" t="n">
        <v>0</v>
      </c>
      <c r="M4533" s="17" t="n">
        <v>0</v>
      </c>
      <c r="N4533" s="17">
        <f>K4533*0.08+L4533*0.08</f>
        <v/>
      </c>
      <c r="O4533" s="17">
        <f>-(K4533*0.025+L4533*0.025)</f>
        <v/>
      </c>
      <c r="P4533" s="17">
        <f>32</f>
        <v/>
      </c>
      <c r="Q4533" s="17">
        <f>J4533+L4533+N4533+O4533-P4533-M4533</f>
        <v/>
      </c>
    </row>
    <row r="4534">
      <c r="A4534" s="16" t="inlineStr">
        <is>
          <t>5.8-5.14</t>
        </is>
      </c>
      <c r="B4534" s="16" t="inlineStr">
        <is>
          <t>PO-128-10200167800950227</t>
        </is>
      </c>
      <c r="C4534" s="16" t="inlineStr">
        <is>
          <t>Shipped</t>
        </is>
      </c>
      <c r="D4534" s="16" t="inlineStr">
        <is>
          <t>128-10200188772470227</t>
        </is>
      </c>
      <c r="E4534" s="16" t="inlineStr">
        <is>
          <t>Shipped</t>
        </is>
      </c>
      <c r="F4534" s="16" t="inlineStr">
        <is>
          <t>LB02235-blanco</t>
        </is>
      </c>
      <c r="G4534" s="16" t="inlineStr">
        <is>
          <t>Audífonos Inalámbricos para la Cabeza, Recargables y Multifuncionales - Conectan a Varios Dispositivos, soportan Radio FM, Tarjeta TF y AUX - 4 Horas de Reproducción Musical - Ideal para Trabajo Cotidiano, Juegos y Estudio</t>
        </is>
      </c>
      <c r="H4534" s="16" t="inlineStr">
        <is>
          <t>BLANCO</t>
        </is>
      </c>
      <c r="I4534" s="16" t="n">
        <v>1</v>
      </c>
      <c r="J4534" s="17" t="n">
        <v>38</v>
      </c>
      <c r="K4534" s="17" t="n">
        <v>51.12</v>
      </c>
      <c r="L4534" s="17" t="n">
        <v>25.86</v>
      </c>
      <c r="M4534" s="17" t="n">
        <v>0</v>
      </c>
      <c r="N4534" s="17">
        <f>K4534*0.08+L4534*0.08</f>
        <v/>
      </c>
      <c r="O4534" s="17">
        <f>-(K4534*0.025+L4534*0.025)</f>
        <v/>
      </c>
      <c r="P4534" s="17">
        <f>32</f>
        <v/>
      </c>
      <c r="Q4534" s="17">
        <f>J4534+L4534+N4534+O4534-P4534-M4534</f>
        <v/>
      </c>
    </row>
    <row r="4535">
      <c r="A4535" s="16" t="inlineStr">
        <is>
          <t>5.8-5.14</t>
        </is>
      </c>
      <c r="B4535" s="16" t="inlineStr">
        <is>
          <t>PO-128-10166962660470297</t>
        </is>
      </c>
      <c r="C4535" s="16" t="inlineStr">
        <is>
          <t>Shipped</t>
        </is>
      </c>
      <c r="D4535" s="16" t="inlineStr">
        <is>
          <t>128-10166920717430297</t>
        </is>
      </c>
      <c r="E4535" s="16" t="inlineStr">
        <is>
          <t>Shipped</t>
        </is>
      </c>
      <c r="F4535" s="16" t="inlineStr">
        <is>
          <t>LV25W22</t>
        </is>
      </c>
      <c r="G453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35" s="16" t="inlineStr">
        <is>
          <t>LV25W32</t>
        </is>
      </c>
      <c r="I4535" s="16" t="n">
        <v>3</v>
      </c>
      <c r="J4535" s="17" t="n">
        <v>291</v>
      </c>
      <c r="K4535" s="17" t="n">
        <v>273.9</v>
      </c>
      <c r="L4535" s="17" t="n">
        <v>0</v>
      </c>
      <c r="M4535" s="17" t="n">
        <v>0</v>
      </c>
      <c r="N4535" s="17">
        <f>K4535*0.08+L4535*0.08</f>
        <v/>
      </c>
      <c r="O4535" s="17">
        <f>-(K4535*0.025+L4535*0.025)</f>
        <v/>
      </c>
      <c r="P4535" s="17">
        <f>32</f>
        <v/>
      </c>
      <c r="Q4535" s="17">
        <f>J4535+L4535+N4535+O4535-P4535-M4535</f>
        <v/>
      </c>
    </row>
    <row r="4536">
      <c r="A4536" s="16" t="inlineStr">
        <is>
          <t>5.8-5.14</t>
        </is>
      </c>
      <c r="B4536" s="16" t="inlineStr">
        <is>
          <t>PO-128-09878385329272145</t>
        </is>
      </c>
      <c r="C4536" s="16" t="inlineStr">
        <is>
          <t>Shipped</t>
        </is>
      </c>
      <c r="D4536" s="16" t="inlineStr">
        <is>
          <t>128-09878370911352145</t>
        </is>
      </c>
      <c r="E4536" s="16" t="inlineStr">
        <is>
          <t>Shipped</t>
        </is>
      </c>
      <c r="F4536" s="16" t="inlineStr">
        <is>
          <t>KTS-1678Y</t>
        </is>
      </c>
      <c r="G4536" s="16" t="inlineStr">
        <is>
          <t>Bocina portátil Inalámbrico, de 3 pulgadas, tamaño de bolsillo, 170 g, con asa, compatible con TF, USB y Micro SD, con radio FM y función TWS (True Wireless Stereo), adecuada para relajarse en casa o viajar al aire libre.</t>
        </is>
      </c>
      <c r="H4536" s="16" t="inlineStr">
        <is>
          <t>KTS-1678Y</t>
        </is>
      </c>
      <c r="I4536" s="16" t="n">
        <v>1</v>
      </c>
      <c r="J4536" s="17" t="n">
        <v>41</v>
      </c>
      <c r="K4536" s="17" t="n">
        <v>47.2</v>
      </c>
      <c r="L4536" s="17" t="n">
        <v>25.86</v>
      </c>
      <c r="M4536" s="17" t="n">
        <v>0</v>
      </c>
      <c r="N4536" s="17">
        <f>K4536*0.08+L4536*0.08</f>
        <v/>
      </c>
      <c r="O4536" s="17">
        <f>-(K4536*0.025+L4536*0.025)</f>
        <v/>
      </c>
      <c r="P4536" s="17">
        <f>32</f>
        <v/>
      </c>
      <c r="Q4536" s="17">
        <f>J4536+L4536+N4536+O4536-P4536-M4536</f>
        <v/>
      </c>
    </row>
    <row r="4537">
      <c r="A4537" s="16" t="inlineStr">
        <is>
          <t>5.8-5.14</t>
        </is>
      </c>
      <c r="B4537" s="16" t="inlineStr">
        <is>
          <t>PO-128-10267604442230657</t>
        </is>
      </c>
      <c r="C4537" s="16" t="inlineStr">
        <is>
          <t>Shipped</t>
        </is>
      </c>
      <c r="D4537" s="16" t="inlineStr">
        <is>
          <t>128-10267625413750657</t>
        </is>
      </c>
      <c r="E4537" s="16" t="inlineStr">
        <is>
          <t>Shipped</t>
        </is>
      </c>
      <c r="F4537" s="16" t="inlineStr">
        <is>
          <t>LV25W22</t>
        </is>
      </c>
      <c r="G45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37" s="16" t="inlineStr">
        <is>
          <t>LV25W32</t>
        </is>
      </c>
      <c r="I4537" s="16" t="n">
        <v>1</v>
      </c>
      <c r="J4537" s="17" t="n">
        <v>97</v>
      </c>
      <c r="K4537" s="17" t="n">
        <v>107.41</v>
      </c>
      <c r="L4537" s="17" t="n">
        <v>25.86</v>
      </c>
      <c r="M4537" s="17" t="n">
        <v>0</v>
      </c>
      <c r="N4537" s="17">
        <f>K4537*0.08+L4537*0.08</f>
        <v/>
      </c>
      <c r="O4537" s="17">
        <f>-(K4537*0.025+L4537*0.025)</f>
        <v/>
      </c>
      <c r="P4537" s="17">
        <f>32</f>
        <v/>
      </c>
      <c r="Q4537" s="17">
        <f>J4537+L4537+N4537+O4537-P4537-M4537</f>
        <v/>
      </c>
    </row>
    <row r="4538">
      <c r="A4538" s="16" t="inlineStr">
        <is>
          <t>5.8-5.14</t>
        </is>
      </c>
      <c r="B4538" s="16" t="inlineStr">
        <is>
          <t>PO-128-10051971843191940</t>
        </is>
      </c>
      <c r="C4538" s="16" t="inlineStr">
        <is>
          <t>Shipped</t>
        </is>
      </c>
      <c r="D4538" s="16" t="inlineStr">
        <is>
          <t>128-10051908928631940</t>
        </is>
      </c>
      <c r="E4538" s="16" t="inlineStr">
        <is>
          <t>Shipped</t>
        </is>
      </c>
      <c r="F4538" s="16" t="inlineStr">
        <is>
          <t>LV25W22</t>
        </is>
      </c>
      <c r="G453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38" s="16" t="inlineStr">
        <is>
          <t>LV25W32</t>
        </is>
      </c>
      <c r="I4538" s="16" t="n">
        <v>1</v>
      </c>
      <c r="J4538" s="17" t="n">
        <v>97</v>
      </c>
      <c r="K4538" s="17" t="n">
        <v>91.31</v>
      </c>
      <c r="L4538" s="17" t="n">
        <v>25.86</v>
      </c>
      <c r="M4538" s="17" t="n">
        <v>0</v>
      </c>
      <c r="N4538" s="17">
        <f>K4538*0.08+L4538*0.08</f>
        <v/>
      </c>
      <c r="O4538" s="17">
        <f>-(K4538*0.025+L4538*0.025)</f>
        <v/>
      </c>
      <c r="P4538" s="17">
        <f>32</f>
        <v/>
      </c>
      <c r="Q4538" s="17">
        <f>J4538+L4538+N4538+O4538-P4538-M4538</f>
        <v/>
      </c>
    </row>
    <row r="4539">
      <c r="A4539" s="16" t="inlineStr">
        <is>
          <t>5.8-5.14</t>
        </is>
      </c>
      <c r="B4539" s="16" t="inlineStr">
        <is>
          <t>PO-128-10286427594870737</t>
        </is>
      </c>
      <c r="C4539" s="16" t="inlineStr">
        <is>
          <t>Shipped</t>
        </is>
      </c>
      <c r="D4539" s="16" t="inlineStr">
        <is>
          <t>128-10286406623350737</t>
        </is>
      </c>
      <c r="E4539" s="16" t="inlineStr">
        <is>
          <t>Shipped</t>
        </is>
      </c>
      <c r="F4539" s="16" t="inlineStr">
        <is>
          <t>MCM-001R</t>
        </is>
      </c>
      <c r="G4539" s="16" t="inlineStr">
        <is>
          <t>Musicord Altavoz Inalámbrico BT Portátil: ¡Sonido impactante, luces LED multicolores y 4 horas de autonomía! Compatible con TWS, FM, TF y USB – Imprescindible para fiestas y viajes</t>
        </is>
      </c>
      <c r="H4539" s="16" t="inlineStr">
        <is>
          <t>ROJO</t>
        </is>
      </c>
      <c r="I4539" s="16" t="n">
        <v>1</v>
      </c>
      <c r="J4539" s="17" t="n">
        <v>66.5</v>
      </c>
      <c r="K4539" s="17" t="n">
        <v>60.46</v>
      </c>
      <c r="L4539" s="17" t="n">
        <v>25.86</v>
      </c>
      <c r="M4539" s="17" t="n">
        <v>0</v>
      </c>
      <c r="N4539" s="17">
        <f>K4539*0.08+L4539*0.08</f>
        <v/>
      </c>
      <c r="O4539" s="17">
        <f>-(K4539*0.025+L4539*0.025)</f>
        <v/>
      </c>
      <c r="P4539" s="17">
        <f>32</f>
        <v/>
      </c>
      <c r="Q4539" s="17">
        <f>J4539+L4539+N4539+O4539-P4539-M4539</f>
        <v/>
      </c>
    </row>
    <row r="4540">
      <c r="A4540" s="16" t="inlineStr">
        <is>
          <t>5.8-5.14</t>
        </is>
      </c>
      <c r="B4540" s="16" t="inlineStr">
        <is>
          <t>PO-128-09733080220793843</t>
        </is>
      </c>
      <c r="C4540" s="16" t="inlineStr">
        <is>
          <t>Shipped</t>
        </is>
      </c>
      <c r="D4540" s="16" t="inlineStr">
        <is>
          <t>128-09733101192313843</t>
        </is>
      </c>
      <c r="E4540" s="16" t="inlineStr">
        <is>
          <t>Shipped</t>
        </is>
      </c>
      <c r="F4540" s="16" t="inlineStr">
        <is>
          <t>KTS-1678Y</t>
        </is>
      </c>
      <c r="G4540" s="16" t="inlineStr">
        <is>
          <t>Bocina portátil Inalámbrico, de 3 pulgadas, tamaño de bolsillo, 170 g, con asa, compatible con TF, USB y Micro SD, con radio FM y función TWS (True Wireless Stereo), adecuada para relajarse en casa o viajar al aire libre.</t>
        </is>
      </c>
      <c r="H4540" s="16" t="inlineStr">
        <is>
          <t>KTS-1678Y</t>
        </is>
      </c>
      <c r="I4540" s="16" t="n">
        <v>1</v>
      </c>
      <c r="J4540" s="17" t="n">
        <v>41</v>
      </c>
      <c r="K4540" s="17" t="n">
        <v>47.2</v>
      </c>
      <c r="L4540" s="17" t="n">
        <v>25.86</v>
      </c>
      <c r="M4540" s="17" t="n">
        <v>0</v>
      </c>
      <c r="N4540" s="17">
        <f>K4540*0.08+L4540*0.08</f>
        <v/>
      </c>
      <c r="O4540" s="17">
        <f>-(K4540*0.025+L4540*0.025)</f>
        <v/>
      </c>
      <c r="P4540" s="17">
        <f>32</f>
        <v/>
      </c>
      <c r="Q4540" s="17">
        <f>J4540+L4540+N4540+O4540-P4540-M4540</f>
        <v/>
      </c>
    </row>
    <row r="4541">
      <c r="A4541" s="16" t="inlineStr">
        <is>
          <t>5.8-5.14</t>
        </is>
      </c>
      <c r="B4541" s="16" t="inlineStr">
        <is>
          <t>PO-128-09781391757433619</t>
        </is>
      </c>
      <c r="C4541" s="16" t="inlineStr">
        <is>
          <t>Shipped</t>
        </is>
      </c>
      <c r="D4541" s="16" t="inlineStr">
        <is>
          <t>128-09781412728953619</t>
        </is>
      </c>
      <c r="E4541" s="16" t="inlineStr">
        <is>
          <t>Shipped</t>
        </is>
      </c>
      <c r="F4541" s="16" t="inlineStr">
        <is>
          <t>MCM-001A</t>
        </is>
      </c>
      <c r="G4541" s="16" t="inlineStr">
        <is>
          <t>Musicord Altavoz Inalámbrico BT Portátil: ¡Sonido impactante, luces LED multicolores y 4 horas de autonomía! Compatible con TWS, FM, TF y USB – Imprescindible para fiestas y viajes</t>
        </is>
      </c>
      <c r="H4541" s="16" t="inlineStr">
        <is>
          <t>AZUL</t>
        </is>
      </c>
      <c r="I4541" s="16" t="n">
        <v>1</v>
      </c>
      <c r="J4541" s="17" t="n">
        <v>51.08</v>
      </c>
      <c r="K4541" s="17" t="n">
        <v>21.42</v>
      </c>
      <c r="L4541" s="17" t="n">
        <v>25.86</v>
      </c>
      <c r="M4541" s="17" t="n">
        <v>0</v>
      </c>
      <c r="N4541" s="17">
        <f>K4541*0.08+L4541*0.08</f>
        <v/>
      </c>
      <c r="O4541" s="17">
        <f>-(K4541*0.025+L4541*0.025)</f>
        <v/>
      </c>
      <c r="P4541" s="17">
        <f>32</f>
        <v/>
      </c>
      <c r="Q4541" s="17">
        <f>J4541+L4541+N4541+O4541-P4541-M4541</f>
        <v/>
      </c>
    </row>
    <row r="4542">
      <c r="A4542" s="16" t="inlineStr">
        <is>
          <t>5.8-5.14</t>
        </is>
      </c>
      <c r="B4542" s="16" t="inlineStr">
        <is>
          <t>PO-128-10032636854391033</t>
        </is>
      </c>
      <c r="C4542" s="16" t="inlineStr">
        <is>
          <t>Shipped</t>
        </is>
      </c>
      <c r="D4542" s="16" t="inlineStr">
        <is>
          <t>128-10032615882871033</t>
        </is>
      </c>
      <c r="E4542" s="16" t="inlineStr">
        <is>
          <t>Shipped</t>
        </is>
      </c>
      <c r="F4542" s="16" t="inlineStr">
        <is>
          <t>LB02235-blanco</t>
        </is>
      </c>
      <c r="G4542" s="16" t="inlineStr">
        <is>
          <t>Audífonos Inalámbricos para la Cabeza, Recargables y Multifuncionales - Conectan a Varios Dispositivos, soportan Radio FM, Tarjeta TF y AUX - 4 Horas de Reproducción Musical - Ideal para Trabajo Cotidiano, Juegos y Estudio</t>
        </is>
      </c>
      <c r="H4542" s="16" t="inlineStr">
        <is>
          <t>BLANCO</t>
        </is>
      </c>
      <c r="I4542" s="16" t="n">
        <v>1</v>
      </c>
      <c r="J4542" s="17" t="n">
        <v>38</v>
      </c>
      <c r="K4542" s="17" t="n">
        <v>51.12</v>
      </c>
      <c r="L4542" s="17" t="n">
        <v>25.86</v>
      </c>
      <c r="M4542" s="17" t="n">
        <v>0</v>
      </c>
      <c r="N4542" s="17">
        <f>K4542*0.08+L4542*0.08</f>
        <v/>
      </c>
      <c r="O4542" s="17">
        <f>-(K4542*0.025+L4542*0.025)</f>
        <v/>
      </c>
      <c r="P4542" s="17">
        <f>32</f>
        <v/>
      </c>
      <c r="Q4542" s="17">
        <f>J4542+L4542+N4542+O4542-P4542-M4542</f>
        <v/>
      </c>
    </row>
    <row r="4543">
      <c r="A4543" s="16" t="inlineStr">
        <is>
          <t>5.8-5.14</t>
        </is>
      </c>
      <c r="B4543" s="16" t="inlineStr">
        <is>
          <t>PO-128-09868892762232137</t>
        </is>
      </c>
      <c r="C4543" s="16" t="inlineStr">
        <is>
          <t>Shipped</t>
        </is>
      </c>
      <c r="D4543" s="16" t="inlineStr">
        <is>
          <t>128-09868997619832137</t>
        </is>
      </c>
      <c r="E4543" s="16" t="inlineStr">
        <is>
          <t>Shipped</t>
        </is>
      </c>
      <c r="F4543" s="16" t="inlineStr">
        <is>
          <t>KTS-1678Y</t>
        </is>
      </c>
      <c r="G4543" s="16" t="inlineStr">
        <is>
          <t>Bocina portátil Inalámbrico, de 3 pulgadas, tamaño de bolsillo, 170 g, con asa, compatible con TF, USB y Micro SD, con radio FM y función TWS (True Wireless Stereo), adecuada para relajarse en casa o viajar al aire libre.</t>
        </is>
      </c>
      <c r="H4543" s="16" t="inlineStr">
        <is>
          <t>KTS-1678Y</t>
        </is>
      </c>
      <c r="I4543" s="16" t="n">
        <v>7</v>
      </c>
      <c r="J4543" s="17" t="n">
        <v>287</v>
      </c>
      <c r="K4543" s="17" t="n">
        <v>330.4</v>
      </c>
      <c r="L4543" s="17" t="n">
        <v>0</v>
      </c>
      <c r="M4543" s="17" t="n">
        <v>0</v>
      </c>
      <c r="N4543" s="17">
        <f>K4543*0.08+L4543*0.08</f>
        <v/>
      </c>
      <c r="O4543" s="17">
        <f>-(K4543*0.025+L4543*0.025)</f>
        <v/>
      </c>
      <c r="P4543" s="17">
        <f>32</f>
        <v/>
      </c>
      <c r="Q4543" s="17">
        <f>J4543+L4543+N4543+O4543-P4543-M4543</f>
        <v/>
      </c>
    </row>
    <row r="4544">
      <c r="A4544" s="16" t="inlineStr">
        <is>
          <t>5.8-5.14</t>
        </is>
      </c>
      <c r="B4544" s="16" t="inlineStr">
        <is>
          <t>PO-128-09868892762232137</t>
        </is>
      </c>
      <c r="C4544" s="16" t="inlineStr">
        <is>
          <t>Shipped</t>
        </is>
      </c>
      <c r="D4544" s="16" t="inlineStr">
        <is>
          <t>128-09868955676792137</t>
        </is>
      </c>
      <c r="E4544" s="16" t="inlineStr">
        <is>
          <t>Shipped</t>
        </is>
      </c>
      <c r="F4544" s="16" t="inlineStr">
        <is>
          <t>KTS-1678V</t>
        </is>
      </c>
      <c r="G4544" s="16" t="inlineStr">
        <is>
          <t>Bocina portátil Inalámbrico, de 3 pulgadas, tamaño de bolsillo, 170 g, con asa, compatible con TF, USB y Micro SD, con radio FM y función TWS (True Wireless Stereo), adecuada para relajarse en casa o viajar al aire libre.</t>
        </is>
      </c>
      <c r="H4544" s="16" t="inlineStr">
        <is>
          <t>KTS-1678V</t>
        </is>
      </c>
      <c r="I4544" s="16" t="n">
        <v>7</v>
      </c>
      <c r="J4544" s="17" t="n">
        <v>297.5</v>
      </c>
      <c r="K4544" s="17" t="n">
        <v>355.39</v>
      </c>
      <c r="L4544" s="17" t="n">
        <v>0</v>
      </c>
      <c r="M4544" s="17" t="n">
        <v>0</v>
      </c>
      <c r="N4544" s="17">
        <f>K4544*0.08+L4544*0.08</f>
        <v/>
      </c>
      <c r="O4544" s="17">
        <f>-(K4544*0.025+L4544*0.025)</f>
        <v/>
      </c>
      <c r="P4544" s="17">
        <f>32</f>
        <v/>
      </c>
      <c r="Q4544" s="17">
        <f>J4544+L4544+N4544+O4544-P4544-M4544</f>
        <v/>
      </c>
    </row>
    <row r="4545">
      <c r="A4545" s="16" t="inlineStr">
        <is>
          <t>5.8-5.14</t>
        </is>
      </c>
      <c r="B4545" s="16" t="inlineStr">
        <is>
          <t>PO-128-10109757637751788</t>
        </is>
      </c>
      <c r="C4545" s="16" t="inlineStr">
        <is>
          <t>Shipped</t>
        </is>
      </c>
      <c r="D4545" s="16" t="inlineStr">
        <is>
          <t>128-10109715694711788</t>
        </is>
      </c>
      <c r="E4545" s="16" t="inlineStr">
        <is>
          <t>Shipped</t>
        </is>
      </c>
      <c r="F4545" s="16" t="inlineStr">
        <is>
          <t>SA323T</t>
        </is>
      </c>
      <c r="G4545" s="16" t="inlineStr">
        <is>
          <t>Linkbits Bocina Portátil Parlantes BT Portátiles con Iluminación de Ambiente | 1 Hora de Duración, FM, TWS, TF/Micro SD | Ideal para Hogar, Fiestas y Viajes</t>
        </is>
      </c>
      <c r="H4545" s="16" t="inlineStr">
        <is>
          <t>SA323T</t>
        </is>
      </c>
      <c r="I4545" s="16" t="n">
        <v>1</v>
      </c>
      <c r="J4545" s="17" t="n">
        <v>46</v>
      </c>
      <c r="K4545" s="17" t="n">
        <v>11.94</v>
      </c>
      <c r="L4545" s="17" t="n">
        <v>25.86</v>
      </c>
      <c r="M4545" s="17" t="n">
        <v>0</v>
      </c>
      <c r="N4545" s="17">
        <f>K4545*0.08+L4545*0.08</f>
        <v/>
      </c>
      <c r="O4545" s="17">
        <f>-(K4545*0.025+L4545*0.025)</f>
        <v/>
      </c>
      <c r="P4545" s="17">
        <f>32</f>
        <v/>
      </c>
      <c r="Q4545" s="17">
        <f>J4545+L4545+N4545+O4545-P4545-M4545</f>
        <v/>
      </c>
    </row>
    <row r="4546">
      <c r="A4546" s="16" t="inlineStr">
        <is>
          <t>5.8-5.14</t>
        </is>
      </c>
      <c r="B4546" s="16" t="inlineStr">
        <is>
          <t>PO-128-09754157376633717</t>
        </is>
      </c>
      <c r="C4546" s="16" t="inlineStr">
        <is>
          <t>Shipped</t>
        </is>
      </c>
      <c r="D4546" s="16" t="inlineStr">
        <is>
          <t>128-09754225534073717</t>
        </is>
      </c>
      <c r="E4546" s="16" t="inlineStr">
        <is>
          <t>Shipped</t>
        </is>
      </c>
      <c r="F4546" s="16" t="inlineStr">
        <is>
          <t>VB347T</t>
        </is>
      </c>
      <c r="G454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546" s="16" t="inlineStr">
        <is>
          <t>1 pieza</t>
        </is>
      </c>
      <c r="I4546" s="16" t="n">
        <v>1</v>
      </c>
      <c r="J4546" s="17" t="n">
        <v>79.90000000000001</v>
      </c>
      <c r="K4546" s="17" t="n">
        <v>94.51000000000001</v>
      </c>
      <c r="L4546" s="17" t="n">
        <v>15.59</v>
      </c>
      <c r="M4546" s="17" t="n">
        <v>0</v>
      </c>
      <c r="N4546" s="17">
        <f>K4546*0.08+L4546*0.08</f>
        <v/>
      </c>
      <c r="O4546" s="17">
        <f>-(K4546*0.025+L4546*0.025)</f>
        <v/>
      </c>
      <c r="P4546" s="17">
        <f>32</f>
        <v/>
      </c>
      <c r="Q4546" s="17">
        <f>J4546+L4546+N4546+O4546-P4546-M4546</f>
        <v/>
      </c>
    </row>
    <row r="4547">
      <c r="A4547" s="16" t="inlineStr">
        <is>
          <t>5.8-5.14</t>
        </is>
      </c>
      <c r="B4547" s="16" t="inlineStr">
        <is>
          <t>PO-128-09754157376633717</t>
        </is>
      </c>
      <c r="C4547" s="16" t="inlineStr">
        <is>
          <t>Shipped</t>
        </is>
      </c>
      <c r="D4547" s="16" t="inlineStr">
        <is>
          <t>128-09754204562553717</t>
        </is>
      </c>
      <c r="E4547" s="16" t="inlineStr">
        <is>
          <t>Shipped</t>
        </is>
      </c>
      <c r="F4547" s="16" t="inlineStr">
        <is>
          <t>MCM-001G</t>
        </is>
      </c>
      <c r="G4547" s="16" t="inlineStr">
        <is>
          <t>Musicord Altavoz Inalámbrico BT Portátil: ¡Sonido impactante, luces LED multicolores y 4 horas de autonomía! Compatible con TWS, FM, TF y USB – Imprescindible para fiestas y viajes</t>
        </is>
      </c>
      <c r="H4547" s="16" t="inlineStr">
        <is>
          <t>GRIS</t>
        </is>
      </c>
      <c r="I4547" s="16" t="n">
        <v>1</v>
      </c>
      <c r="J4547" s="17" t="n">
        <v>51.07</v>
      </c>
      <c r="K4547" s="17" t="n">
        <v>62.34</v>
      </c>
      <c r="L4547" s="17" t="n">
        <v>10.28</v>
      </c>
      <c r="M4547" s="17" t="n">
        <v>0</v>
      </c>
      <c r="N4547" s="17">
        <f>K4547*0.08+L4547*0.08</f>
        <v/>
      </c>
      <c r="O4547" s="17">
        <f>-(K4547*0.025+L4547*0.025)</f>
        <v/>
      </c>
      <c r="P4547" s="17">
        <f>32</f>
        <v/>
      </c>
      <c r="Q4547" s="17">
        <f>J4547+L4547+N4547+O4547-P4547-M4547</f>
        <v/>
      </c>
    </row>
    <row r="4548">
      <c r="A4548" s="16" t="inlineStr">
        <is>
          <t>5.8-5.14</t>
        </is>
      </c>
      <c r="B4548" s="16" t="inlineStr">
        <is>
          <t>PO-128-09720717809274045</t>
        </is>
      </c>
      <c r="C4548" s="16" t="inlineStr">
        <is>
          <t>Shipped</t>
        </is>
      </c>
      <c r="D4548" s="16" t="inlineStr">
        <is>
          <t>128-09720675866234045</t>
        </is>
      </c>
      <c r="E4548" s="16" t="inlineStr">
        <is>
          <t>Shipped</t>
        </is>
      </c>
      <c r="F4548" s="16" t="inlineStr">
        <is>
          <t>LB02235-azul</t>
        </is>
      </c>
      <c r="G4548" s="16" t="inlineStr">
        <is>
          <t>Audífonos Inalámbricos para la Cabeza, Recargables y Multifuncionales - Conectan a Varios Dispositivos, soportan Radio FM, Tarjeta TF y AUX - 4 Horas de Reproducción Musical - Ideal para Trabajo Cotidiano, Juegos y Estudio</t>
        </is>
      </c>
      <c r="H4548" s="16" t="inlineStr">
        <is>
          <t>AZUL</t>
        </is>
      </c>
      <c r="I4548" s="16" t="n">
        <v>1</v>
      </c>
      <c r="J4548" s="17" t="n">
        <v>37.6</v>
      </c>
      <c r="K4548" s="17" t="n">
        <v>50.72</v>
      </c>
      <c r="L4548" s="17" t="n">
        <v>25.86</v>
      </c>
      <c r="M4548" s="17" t="n">
        <v>0</v>
      </c>
      <c r="N4548" s="17">
        <f>K4548*0.08+L4548*0.08</f>
        <v/>
      </c>
      <c r="O4548" s="17">
        <f>-(K4548*0.025+L4548*0.025)</f>
        <v/>
      </c>
      <c r="P4548" s="17">
        <f>32</f>
        <v/>
      </c>
      <c r="Q4548" s="17">
        <f>J4548+L4548+N4548+O4548-P4548-M4548</f>
        <v/>
      </c>
    </row>
    <row r="4549">
      <c r="A4549" s="16" t="inlineStr">
        <is>
          <t>5.8-5.14</t>
        </is>
      </c>
      <c r="B4549" s="16" t="inlineStr">
        <is>
          <t>PO-128-09720510692474044</t>
        </is>
      </c>
      <c r="C4549" s="16" t="inlineStr">
        <is>
          <t>Shipped</t>
        </is>
      </c>
      <c r="D4549" s="16" t="inlineStr">
        <is>
          <t>128-09720468749434044</t>
        </is>
      </c>
      <c r="E4549" s="16" t="inlineStr">
        <is>
          <t>Shipped</t>
        </is>
      </c>
      <c r="F4549" s="16" t="inlineStr">
        <is>
          <t>S09W18IB</t>
        </is>
      </c>
      <c r="G454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549" s="16" t="inlineStr">
        <is>
          <t>1 pieza</t>
        </is>
      </c>
      <c r="I4549" s="16" t="n">
        <v>8</v>
      </c>
      <c r="J4549" s="17" t="n">
        <v>232</v>
      </c>
      <c r="K4549" s="17" t="n">
        <v>144.72</v>
      </c>
      <c r="L4549" s="17" t="n">
        <v>0</v>
      </c>
      <c r="M4549" s="17" t="n">
        <v>0</v>
      </c>
      <c r="N4549" s="17">
        <f>K4549*0.08+L4549*0.08</f>
        <v/>
      </c>
      <c r="O4549" s="17">
        <f>-(K4549*0.025+L4549*0.025)</f>
        <v/>
      </c>
      <c r="P4549" s="17">
        <f>32</f>
        <v/>
      </c>
      <c r="Q4549" s="17">
        <f>J4549+L4549+N4549+O4549-P4549-M4549</f>
        <v/>
      </c>
    </row>
    <row r="4550">
      <c r="A4550" s="16" t="inlineStr">
        <is>
          <t>5.8-5.14</t>
        </is>
      </c>
      <c r="B4550" s="16" t="inlineStr">
        <is>
          <t>PO-128-09795762926712445</t>
        </is>
      </c>
      <c r="C4550" s="16" t="inlineStr">
        <is>
          <t>Shipped</t>
        </is>
      </c>
      <c r="D4550" s="16" t="inlineStr">
        <is>
          <t>128-09795747198072445</t>
        </is>
      </c>
      <c r="E4550" s="16" t="inlineStr">
        <is>
          <t>Shipped</t>
        </is>
      </c>
      <c r="F4550" s="16" t="inlineStr">
        <is>
          <t>MCM-001N</t>
        </is>
      </c>
      <c r="G4550" s="16" t="inlineStr">
        <is>
          <t>Musicord Altavoz Inalámbrico BT Portátil: ¡Sonido impactante, luces LED multicolores y 4 horas de autonomía! Compatible con TWS, FM, TF y USB – Imprescindible para fiestas y viajes</t>
        </is>
      </c>
      <c r="H4550" s="16" t="inlineStr">
        <is>
          <t>NEGRO</t>
        </is>
      </c>
      <c r="I4550" s="16" t="n">
        <v>1</v>
      </c>
      <c r="J4550" s="17" t="n">
        <v>61</v>
      </c>
      <c r="K4550" s="17" t="n">
        <v>72.27</v>
      </c>
      <c r="L4550" s="17" t="n">
        <v>25.86</v>
      </c>
      <c r="M4550" s="17" t="n">
        <v>0</v>
      </c>
      <c r="N4550" s="17">
        <f>K4550*0.08+L4550*0.08</f>
        <v/>
      </c>
      <c r="O4550" s="17">
        <f>-(K4550*0.025+L4550*0.025)</f>
        <v/>
      </c>
      <c r="P4550" s="17">
        <f>32</f>
        <v/>
      </c>
      <c r="Q4550" s="17">
        <f>J4550+L4550+N4550+O4550-P4550-M4550</f>
        <v/>
      </c>
    </row>
    <row r="4551">
      <c r="A4551" s="16" t="inlineStr">
        <is>
          <t>5.8-5.14</t>
        </is>
      </c>
      <c r="B4551" s="16" t="inlineStr">
        <is>
          <t>PO-128-09735008000633895</t>
        </is>
      </c>
      <c r="C4551" s="16" t="inlineStr">
        <is>
          <t>Shipped</t>
        </is>
      </c>
      <c r="D4551" s="16" t="inlineStr">
        <is>
          <t>128-09734992271993895</t>
        </is>
      </c>
      <c r="E4551" s="16" t="inlineStr">
        <is>
          <t>Shipped</t>
        </is>
      </c>
      <c r="F4551" s="16" t="inlineStr">
        <is>
          <t>SA325T</t>
        </is>
      </c>
      <c r="G4551" s="16" t="inlineStr">
        <is>
          <t>Subwoofer Portátil Inalámbrico con Luces RGB, Sonido de Alta Potencia y Batería Duradera, TWS TF USB, Perfecto para Campamento Fiestas y Entretenimiento en Casa</t>
        </is>
      </c>
      <c r="H4551" s="16" t="inlineStr">
        <is>
          <t>NEGRO</t>
        </is>
      </c>
      <c r="I4551" s="16" t="n">
        <v>2</v>
      </c>
      <c r="J4551" s="17" t="n">
        <v>76</v>
      </c>
      <c r="K4551" s="17" t="n">
        <v>94.12</v>
      </c>
      <c r="L4551" s="17" t="n">
        <v>25.86</v>
      </c>
      <c r="M4551" s="17" t="n">
        <v>0</v>
      </c>
      <c r="N4551" s="17">
        <f>K4551*0.08+L4551*0.08</f>
        <v/>
      </c>
      <c r="O4551" s="17">
        <f>-(K4551*0.025+L4551*0.025)</f>
        <v/>
      </c>
      <c r="P4551" s="17">
        <f>32</f>
        <v/>
      </c>
      <c r="Q4551" s="17">
        <f>J4551+L4551+N4551+O4551-P4551-M4551</f>
        <v/>
      </c>
    </row>
    <row r="4552">
      <c r="A4552" s="16" t="inlineStr">
        <is>
          <t>5.8-5.14</t>
        </is>
      </c>
      <c r="B4552" s="16" t="inlineStr">
        <is>
          <t>PO-128-09765451689593776</t>
        </is>
      </c>
      <c r="C4552" s="16" t="inlineStr">
        <is>
          <t>Shipped</t>
        </is>
      </c>
      <c r="D4552" s="16" t="inlineStr">
        <is>
          <t>128-09765472661113776</t>
        </is>
      </c>
      <c r="E4552" s="16" t="inlineStr">
        <is>
          <t>Shipped</t>
        </is>
      </c>
      <c r="F4552" s="16" t="inlineStr">
        <is>
          <t>LV25W22</t>
        </is>
      </c>
      <c r="G45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52" s="16" t="inlineStr">
        <is>
          <t>LV25W32</t>
        </is>
      </c>
      <c r="I4552" s="16" t="n">
        <v>1</v>
      </c>
      <c r="J4552" s="17" t="n">
        <v>97</v>
      </c>
      <c r="K4552" s="17" t="n">
        <v>24.65</v>
      </c>
      <c r="L4552" s="17" t="n">
        <v>25.86</v>
      </c>
      <c r="M4552" s="17" t="n">
        <v>0</v>
      </c>
      <c r="N4552" s="17">
        <f>K4552*0.08+L4552*0.08</f>
        <v/>
      </c>
      <c r="O4552" s="17">
        <f>-(K4552*0.025+L4552*0.025)</f>
        <v/>
      </c>
      <c r="P4552" s="17">
        <f>32</f>
        <v/>
      </c>
      <c r="Q4552" s="17">
        <f>J4552+L4552+N4552+O4552-P4552-M4552</f>
        <v/>
      </c>
    </row>
    <row r="4553">
      <c r="A4553" s="16" t="inlineStr">
        <is>
          <t>5.8-5.14</t>
        </is>
      </c>
      <c r="B4553" s="16" t="inlineStr">
        <is>
          <t>PO-128-10089360896631911</t>
        </is>
      </c>
      <c r="C4553" s="16" t="inlineStr">
        <is>
          <t>Shipped</t>
        </is>
      </c>
      <c r="D4553" s="16" t="inlineStr">
        <is>
          <t>128-10089415946871911</t>
        </is>
      </c>
      <c r="E4553" s="16" t="inlineStr">
        <is>
          <t>Shipped</t>
        </is>
      </c>
      <c r="F4553" s="16" t="inlineStr">
        <is>
          <t>S39W48-5PZS</t>
        </is>
      </c>
      <c r="G4553"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553" s="16" t="inlineStr">
        <is>
          <t>5 piezas</t>
        </is>
      </c>
      <c r="I4553" s="16" t="n">
        <v>1</v>
      </c>
      <c r="J4553" s="17" t="n">
        <v>150</v>
      </c>
      <c r="K4553" s="17" t="n">
        <v>158.78</v>
      </c>
      <c r="L4553" s="17" t="n">
        <v>0</v>
      </c>
      <c r="M4553" s="17" t="n">
        <v>0</v>
      </c>
      <c r="N4553" s="17">
        <f>K4553*0.08+L4553*0.08</f>
        <v/>
      </c>
      <c r="O4553" s="17">
        <f>-(K4553*0.025+L4553*0.025)</f>
        <v/>
      </c>
      <c r="P4553" s="17">
        <f>32</f>
        <v/>
      </c>
      <c r="Q4553" s="17">
        <f>J4553+L4553+N4553+O4553-P4553-M4553</f>
        <v/>
      </c>
    </row>
    <row r="4554">
      <c r="A4554" s="16" t="inlineStr">
        <is>
          <t>5.8-5.14</t>
        </is>
      </c>
      <c r="B4554" s="16" t="inlineStr">
        <is>
          <t>PO-128-10089360896631911</t>
        </is>
      </c>
      <c r="C4554" s="16" t="inlineStr">
        <is>
          <t>Shipped</t>
        </is>
      </c>
      <c r="D4554" s="16" t="inlineStr">
        <is>
          <t>128-10089402839671911</t>
        </is>
      </c>
      <c r="E4554" s="16" t="inlineStr">
        <is>
          <t>Shipped</t>
        </is>
      </c>
      <c r="F4554" s="16" t="inlineStr">
        <is>
          <t>EM04W36-2PZS</t>
        </is>
      </c>
      <c r="G4554"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554" s="16" t="inlineStr">
        <is>
          <t>2 piezas</t>
        </is>
      </c>
      <c r="I4554" s="16" t="n">
        <v>1</v>
      </c>
      <c r="J4554" s="17" t="n">
        <v>135.2</v>
      </c>
      <c r="K4554" s="17" t="n">
        <v>130.62</v>
      </c>
      <c r="L4554" s="17" t="n">
        <v>0</v>
      </c>
      <c r="M4554" s="17" t="n">
        <v>0</v>
      </c>
      <c r="N4554" s="17">
        <f>K4554*0.08+L4554*0.08</f>
        <v/>
      </c>
      <c r="O4554" s="17">
        <f>-(K4554*0.025+L4554*0.025)</f>
        <v/>
      </c>
      <c r="P4554" s="17">
        <f>32</f>
        <v/>
      </c>
      <c r="Q4554" s="17">
        <f>J4554+L4554+N4554+O4554-P4554-M4554</f>
        <v/>
      </c>
    </row>
    <row r="4555">
      <c r="A4555" s="16" t="inlineStr">
        <is>
          <t>5.8-5.14</t>
        </is>
      </c>
      <c r="B4555" s="16" t="inlineStr">
        <is>
          <t>PO-128-10089360896631911</t>
        </is>
      </c>
      <c r="C4555" s="16" t="inlineStr">
        <is>
          <t>Shipped</t>
        </is>
      </c>
      <c r="D4555" s="16" t="inlineStr">
        <is>
          <t>128-10089436918391911</t>
        </is>
      </c>
      <c r="E4555" s="16" t="inlineStr">
        <is>
          <t>Shipped</t>
        </is>
      </c>
      <c r="F4555" s="16" t="inlineStr">
        <is>
          <t>LB02235-blanco</t>
        </is>
      </c>
      <c r="G4555" s="16" t="inlineStr">
        <is>
          <t>Audífonos Inalámbricos para la Cabeza, Recargables y Multifuncionales - Conectan a Varios Dispositivos, soportan Radio FM, Tarjeta TF y AUX - 4 Horas de Reproducción Musical - Ideal para Trabajo Cotidiano, Juegos y Estudio</t>
        </is>
      </c>
      <c r="H4555" s="16" t="inlineStr">
        <is>
          <t>BLANCO</t>
        </is>
      </c>
      <c r="I4555" s="16" t="n">
        <v>1</v>
      </c>
      <c r="J4555" s="17" t="n">
        <v>38</v>
      </c>
      <c r="K4555" s="17" t="n">
        <v>38.67</v>
      </c>
      <c r="L4555" s="17" t="n">
        <v>0</v>
      </c>
      <c r="M4555" s="17" t="n">
        <v>0</v>
      </c>
      <c r="N4555" s="17">
        <f>K4555*0.08+L4555*0.08</f>
        <v/>
      </c>
      <c r="O4555" s="17">
        <f>-(K4555*0.025+L4555*0.025)</f>
        <v/>
      </c>
      <c r="P4555" s="17">
        <f>32</f>
        <v/>
      </c>
      <c r="Q4555" s="17">
        <f>J4555+L4555+N4555+O4555-P4555-M4555</f>
        <v/>
      </c>
    </row>
    <row r="4556">
      <c r="A4556" s="16" t="inlineStr">
        <is>
          <t>5.8-5.14</t>
        </is>
      </c>
      <c r="B4556" s="16" t="inlineStr">
        <is>
          <t>PO-128-10089360896631911</t>
        </is>
      </c>
      <c r="C4556" s="16" t="inlineStr">
        <is>
          <t>Shipped</t>
        </is>
      </c>
      <c r="D4556" s="16" t="inlineStr">
        <is>
          <t>128-10089394975351911</t>
        </is>
      </c>
      <c r="E4556" s="16" t="inlineStr">
        <is>
          <t>Shipped</t>
        </is>
      </c>
      <c r="F4556" s="16" t="inlineStr">
        <is>
          <t>LB02235-azul</t>
        </is>
      </c>
      <c r="G4556" s="16" t="inlineStr">
        <is>
          <t>Audífonos Inalámbricos para la Cabeza, Recargables y Multifuncionales - Conectan a Varios Dispositivos, soportan Radio FM, Tarjeta TF y AUX - 4 Horas de Reproducción Musical - Ideal para Trabajo Cotidiano, Juegos y Estudio</t>
        </is>
      </c>
      <c r="H4556" s="16" t="inlineStr">
        <is>
          <t>AZUL</t>
        </is>
      </c>
      <c r="I4556" s="16" t="n">
        <v>1</v>
      </c>
      <c r="J4556" s="17" t="n">
        <v>37.6</v>
      </c>
      <c r="K4556" s="17" t="n">
        <v>38.37</v>
      </c>
      <c r="L4556" s="17" t="n">
        <v>0</v>
      </c>
      <c r="M4556" s="17" t="n">
        <v>0.62</v>
      </c>
      <c r="N4556" s="17">
        <f>K4556*0.08+L4556*0.08</f>
        <v/>
      </c>
      <c r="O4556" s="17">
        <f>-(K4556*0.025+L4556*0.025)</f>
        <v/>
      </c>
      <c r="P4556" s="17">
        <f>32</f>
        <v/>
      </c>
      <c r="Q4556" s="17">
        <f>J4556+L4556+N4556+O4556-P4556-M4556</f>
        <v/>
      </c>
    </row>
    <row r="4557">
      <c r="A4557" s="16" t="inlineStr">
        <is>
          <t>5.8-5.14</t>
        </is>
      </c>
      <c r="B4557" s="16" t="inlineStr">
        <is>
          <t>PO-128-09697132544633161</t>
        </is>
      </c>
      <c r="C4557" s="16" t="inlineStr">
        <is>
          <t>Shipped</t>
        </is>
      </c>
      <c r="D4557" s="16" t="inlineStr">
        <is>
          <t>128-09697111573113161</t>
        </is>
      </c>
      <c r="E4557" s="16" t="inlineStr">
        <is>
          <t>Shipped</t>
        </is>
      </c>
      <c r="F4557" s="16" t="inlineStr">
        <is>
          <t>LB02235-rojo</t>
        </is>
      </c>
      <c r="G4557" s="16" t="inlineStr">
        <is>
          <t>Audífonos Inalámbricos para la Cabeza, Recargables y Multifuncionales - Conectan a Varios Dispositivos, soportan Radio FM, Tarjeta TF y AUX - 4 Horas de Reproducción Musical - Ideal para Trabajo Cotidiano, Juegos y Estudio</t>
        </is>
      </c>
      <c r="H4557" s="16" t="inlineStr">
        <is>
          <t>ROJO</t>
        </is>
      </c>
      <c r="I4557" s="16" t="n">
        <v>1</v>
      </c>
      <c r="J4557" s="17" t="n">
        <v>38</v>
      </c>
      <c r="K4557" s="17" t="n">
        <v>43.46</v>
      </c>
      <c r="L4557" s="17" t="n">
        <v>25.86</v>
      </c>
      <c r="M4557" s="17" t="n">
        <v>0</v>
      </c>
      <c r="N4557" s="17">
        <f>K4557*0.08+L4557*0.08</f>
        <v/>
      </c>
      <c r="O4557" s="17">
        <f>-(K4557*0.025+L4557*0.025)</f>
        <v/>
      </c>
      <c r="P4557" s="17">
        <f>32</f>
        <v/>
      </c>
      <c r="Q4557" s="17">
        <f>J4557+L4557+N4557+O4557-P4557-M4557</f>
        <v/>
      </c>
    </row>
    <row r="4558">
      <c r="A4558" s="16" t="inlineStr">
        <is>
          <t>5.8-5.14</t>
        </is>
      </c>
      <c r="B4558" s="16" t="inlineStr">
        <is>
          <t>PO-128-09884555228793002</t>
        </is>
      </c>
      <c r="C4558" s="16" t="inlineStr">
        <is>
          <t>Shipped</t>
        </is>
      </c>
      <c r="D4558" s="16" t="inlineStr">
        <is>
          <t>128-09884623386233002</t>
        </is>
      </c>
      <c r="E4558" s="16" t="inlineStr">
        <is>
          <t>Shipped</t>
        </is>
      </c>
      <c r="F4558" s="16" t="inlineStr">
        <is>
          <t>LV25W22</t>
        </is>
      </c>
      <c r="G455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58" s="16" t="inlineStr">
        <is>
          <t>LV25W32</t>
        </is>
      </c>
      <c r="I4558" s="16" t="n">
        <v>2</v>
      </c>
      <c r="J4558" s="17" t="n">
        <v>194</v>
      </c>
      <c r="K4558" s="17" t="n">
        <v>214.82</v>
      </c>
      <c r="L4558" s="17" t="n">
        <v>25.86</v>
      </c>
      <c r="M4558" s="17" t="n">
        <v>0</v>
      </c>
      <c r="N4558" s="17">
        <f>K4558*0.08+L4558*0.08</f>
        <v/>
      </c>
      <c r="O4558" s="17">
        <f>-(K4558*0.025+L4558*0.025)</f>
        <v/>
      </c>
      <c r="P4558" s="17">
        <f>32</f>
        <v/>
      </c>
      <c r="Q4558" s="17">
        <f>J4558+L4558+N4558+O4558-P4558-M4558</f>
        <v/>
      </c>
    </row>
    <row r="4559">
      <c r="A4559" s="16" t="inlineStr">
        <is>
          <t>5.8-5.14</t>
        </is>
      </c>
      <c r="B4559" s="16" t="inlineStr">
        <is>
          <t>PO-128-10213121567350084</t>
        </is>
      </c>
      <c r="C4559" s="16" t="inlineStr">
        <is>
          <t>Shipped</t>
        </is>
      </c>
      <c r="D4559" s="16" t="inlineStr">
        <is>
          <t>128-10213128120950084</t>
        </is>
      </c>
      <c r="E4559" s="16" t="inlineStr">
        <is>
          <t>Shipped</t>
        </is>
      </c>
      <c r="F4559" s="16" t="inlineStr">
        <is>
          <t>KTS-1678V</t>
        </is>
      </c>
      <c r="G4559" s="16" t="inlineStr">
        <is>
          <t>Bocina portátil Inalámbrico, de 3 pulgadas, tamaño de bolsillo, 170 g, con asa, compatible con TF, USB y Micro SD, con radio FM y función TWS (True Wireless Stereo), adecuada para relajarse en casa o viajar al aire libre.</t>
        </is>
      </c>
      <c r="H4559" s="16" t="inlineStr">
        <is>
          <t>KTS-1678V</t>
        </is>
      </c>
      <c r="I4559" s="16" t="n">
        <v>1</v>
      </c>
      <c r="J4559" s="17" t="n">
        <v>42.5</v>
      </c>
      <c r="K4559" s="17" t="n">
        <v>40.61</v>
      </c>
      <c r="L4559" s="17" t="n">
        <v>13.41</v>
      </c>
      <c r="M4559" s="17" t="n">
        <v>0</v>
      </c>
      <c r="N4559" s="17">
        <f>K4559*0.08+L4559*0.08</f>
        <v/>
      </c>
      <c r="O4559" s="17">
        <f>-(K4559*0.025+L4559*0.025)</f>
        <v/>
      </c>
      <c r="P4559" s="17">
        <f>32</f>
        <v/>
      </c>
      <c r="Q4559" s="17">
        <f>J4559+L4559+N4559+O4559-P4559-M4559</f>
        <v/>
      </c>
    </row>
    <row r="4560">
      <c r="A4560" s="16" t="inlineStr">
        <is>
          <t>5.8-5.14</t>
        </is>
      </c>
      <c r="B4560" s="16" t="inlineStr">
        <is>
          <t>PO-128-10213121567350084</t>
        </is>
      </c>
      <c r="C4560" s="16" t="inlineStr">
        <is>
          <t>Shipped</t>
        </is>
      </c>
      <c r="D4560" s="16" t="inlineStr">
        <is>
          <t>128-10213111081590084</t>
        </is>
      </c>
      <c r="E4560" s="16" t="inlineStr">
        <is>
          <t>Shipped</t>
        </is>
      </c>
      <c r="F4560" s="16" t="inlineStr">
        <is>
          <t>KTS-1678Y</t>
        </is>
      </c>
      <c r="G4560" s="16" t="inlineStr">
        <is>
          <t>Bocina portátil Inalámbrico, de 3 pulgadas, tamaño de bolsillo, 170 g, con asa, compatible con TF, USB y Micro SD, con radio FM y función TWS (True Wireless Stereo), adecuada para relajarse en casa o viajar al aire libre.</t>
        </is>
      </c>
      <c r="H4560" s="16" t="inlineStr">
        <is>
          <t>KTS-1678Y</t>
        </is>
      </c>
      <c r="I4560" s="16" t="n">
        <v>1</v>
      </c>
      <c r="J4560" s="17" t="n">
        <v>41</v>
      </c>
      <c r="K4560" s="17" t="n">
        <v>37.76</v>
      </c>
      <c r="L4560" s="17" t="n">
        <v>12.46</v>
      </c>
      <c r="M4560" s="17" t="n">
        <v>0</v>
      </c>
      <c r="N4560" s="17">
        <f>K4560*0.08+L4560*0.08</f>
        <v/>
      </c>
      <c r="O4560" s="17">
        <f>-(K4560*0.025+L4560*0.025)</f>
        <v/>
      </c>
      <c r="P4560" s="17">
        <f>32</f>
        <v/>
      </c>
      <c r="Q4560" s="17">
        <f>J4560+L4560+N4560+O4560-P4560-M4560</f>
        <v/>
      </c>
    </row>
    <row r="4561">
      <c r="A4561" s="16" t="inlineStr">
        <is>
          <t>5.8-5.14</t>
        </is>
      </c>
      <c r="B4561" s="16" t="inlineStr">
        <is>
          <t>PO-128-10091100559991901</t>
        </is>
      </c>
      <c r="C4561" s="16" t="inlineStr">
        <is>
          <t>Shipped</t>
        </is>
      </c>
      <c r="D4561" s="16" t="inlineStr">
        <is>
          <t>128-10091103181431901</t>
        </is>
      </c>
      <c r="E4561" s="16" t="inlineStr">
        <is>
          <t>Shipped</t>
        </is>
      </c>
      <c r="F4561" s="16" t="inlineStr">
        <is>
          <t>LB02235-blanco</t>
        </is>
      </c>
      <c r="G4561" s="16" t="inlineStr">
        <is>
          <t>Audífonos Inalámbricos para la Cabeza, Recargables y Multifuncionales - Conectan a Varios Dispositivos, soportan Radio FM, Tarjeta TF y AUX - 4 Horas de Reproducción Musical - Ideal para Trabajo Cotidiano, Juegos y Estudio</t>
        </is>
      </c>
      <c r="H4561" s="16" t="inlineStr">
        <is>
          <t>BLANCO</t>
        </is>
      </c>
      <c r="I4561" s="16" t="n">
        <v>1</v>
      </c>
      <c r="J4561" s="17" t="n">
        <v>38</v>
      </c>
      <c r="K4561" s="17" t="n">
        <v>51.12</v>
      </c>
      <c r="L4561" s="17" t="n">
        <v>25.86</v>
      </c>
      <c r="M4561" s="17" t="n">
        <v>0</v>
      </c>
      <c r="N4561" s="17">
        <f>K4561*0.08+L4561*0.08</f>
        <v/>
      </c>
      <c r="O4561" s="17">
        <f>-(K4561*0.025+L4561*0.025)</f>
        <v/>
      </c>
      <c r="P4561" s="17">
        <f>32</f>
        <v/>
      </c>
      <c r="Q4561" s="17">
        <f>J4561+L4561+N4561+O4561-P4561-M4561</f>
        <v/>
      </c>
    </row>
    <row r="4562">
      <c r="A4562" s="16" t="inlineStr">
        <is>
          <t>5.8-5.14</t>
        </is>
      </c>
      <c r="B4562" s="16" t="inlineStr">
        <is>
          <t>PO-128-09637875743353576</t>
        </is>
      </c>
      <c r="C4562" s="16" t="inlineStr">
        <is>
          <t>Shipped</t>
        </is>
      </c>
      <c r="D4562" s="16" t="inlineStr">
        <is>
          <t>128-09637896714873576</t>
        </is>
      </c>
      <c r="E4562" s="16" t="inlineStr">
        <is>
          <t>Shipped</t>
        </is>
      </c>
      <c r="F4562" s="16" t="inlineStr">
        <is>
          <t>MCM-001R</t>
        </is>
      </c>
      <c r="G4562" s="16" t="inlineStr">
        <is>
          <t>Musicord Altavoz Inalámbrico BT Portátil: ¡Sonido impactante, luces LED multicolores y 4 horas de autonomía! Compatible con TWS, FM, TF y USB – Imprescindible para fiestas y viajes</t>
        </is>
      </c>
      <c r="H4562" s="16" t="inlineStr">
        <is>
          <t>ROJO</t>
        </is>
      </c>
      <c r="I4562" s="16" t="n">
        <v>1</v>
      </c>
      <c r="J4562" s="17" t="n">
        <v>66.5</v>
      </c>
      <c r="K4562" s="17" t="n">
        <v>77.77</v>
      </c>
      <c r="L4562" s="17" t="n">
        <v>25.86</v>
      </c>
      <c r="M4562" s="17" t="n">
        <v>0</v>
      </c>
      <c r="N4562" s="17">
        <f>K4562*0.08+L4562*0.08</f>
        <v/>
      </c>
      <c r="O4562" s="17">
        <f>-(K4562*0.025+L4562*0.025)</f>
        <v/>
      </c>
      <c r="P4562" s="17">
        <f>32</f>
        <v/>
      </c>
      <c r="Q4562" s="17">
        <f>J4562+L4562+N4562+O4562-P4562-M4562</f>
        <v/>
      </c>
    </row>
    <row r="4563">
      <c r="A4563" s="16" t="inlineStr">
        <is>
          <t>5.8-5.14</t>
        </is>
      </c>
      <c r="B4563" s="16" t="inlineStr">
        <is>
          <t>PO-128-09902447196792833</t>
        </is>
      </c>
      <c r="C4563" s="16" t="inlineStr">
        <is>
          <t>Shipped</t>
        </is>
      </c>
      <c r="D4563" s="16" t="inlineStr">
        <is>
          <t>128-09902468168312833</t>
        </is>
      </c>
      <c r="E4563" s="16" t="inlineStr">
        <is>
          <t>Shipped</t>
        </is>
      </c>
      <c r="F4563" s="16" t="inlineStr">
        <is>
          <t>MB-185N</t>
        </is>
      </c>
      <c r="G4563" s="16" t="inlineStr">
        <is>
          <t>Bocina Radio FM/Reproductor, Compatible con Tarjeta TF, USB, Bluetooth, Aplicable para celular, computadora, Ipad y consola.</t>
        </is>
      </c>
      <c r="H4563" s="16" t="inlineStr">
        <is>
          <t>NEGRO/MB-185</t>
        </is>
      </c>
      <c r="I4563" s="16" t="n">
        <v>1</v>
      </c>
      <c r="J4563" s="17" t="n">
        <v>75.5</v>
      </c>
      <c r="K4563" s="17" t="n">
        <v>70.77</v>
      </c>
      <c r="L4563" s="17" t="n">
        <v>25.86</v>
      </c>
      <c r="M4563" s="17" t="n">
        <v>0</v>
      </c>
      <c r="N4563" s="17">
        <f>K4563*0.08+L4563*0.08</f>
        <v/>
      </c>
      <c r="O4563" s="17">
        <f>-(K4563*0.025+L4563*0.025)</f>
        <v/>
      </c>
      <c r="P4563" s="17">
        <f>32</f>
        <v/>
      </c>
      <c r="Q4563" s="17">
        <f>J4563+L4563+N4563+O4563-P4563-M4563</f>
        <v/>
      </c>
    </row>
    <row r="4564">
      <c r="A4564" s="16" t="inlineStr">
        <is>
          <t>5.8-5.14</t>
        </is>
      </c>
      <c r="B4564" s="16" t="inlineStr">
        <is>
          <t>PO-128-10188319580790169</t>
        </is>
      </c>
      <c r="C4564" s="16" t="inlineStr">
        <is>
          <t>Shipped</t>
        </is>
      </c>
      <c r="D4564" s="16" t="inlineStr">
        <is>
          <t>128-10188455895670169</t>
        </is>
      </c>
      <c r="E4564" s="16" t="inlineStr">
        <is>
          <t>Shipped</t>
        </is>
      </c>
      <c r="F4564" s="16" t="inlineStr">
        <is>
          <t>LB02235-blanco</t>
        </is>
      </c>
      <c r="G4564" s="16" t="inlineStr">
        <is>
          <t>Audífonos Inalámbricos para la Cabeza, Recargables y Multifuncionales - Conectan a Varios Dispositivos, soportan Radio FM, Tarjeta TF y AUX - 4 Horas de Reproducción Musical - Ideal para Trabajo Cotidiano, Juegos y Estudio</t>
        </is>
      </c>
      <c r="H4564" s="16" t="inlineStr">
        <is>
          <t>BLANCO</t>
        </is>
      </c>
      <c r="I4564" s="16" t="n">
        <v>1</v>
      </c>
      <c r="J4564" s="17" t="n">
        <v>38</v>
      </c>
      <c r="K4564" s="17" t="n">
        <v>43.46</v>
      </c>
      <c r="L4564" s="17" t="n">
        <v>25.86</v>
      </c>
      <c r="M4564" s="17" t="n">
        <v>0</v>
      </c>
      <c r="N4564" s="17">
        <f>K4564*0.08+L4564*0.08</f>
        <v/>
      </c>
      <c r="O4564" s="17">
        <f>-(K4564*0.025+L4564*0.025)</f>
        <v/>
      </c>
      <c r="P4564" s="17">
        <f>32</f>
        <v/>
      </c>
      <c r="Q4564" s="17">
        <f>J4564+L4564+N4564+O4564-P4564-M4564</f>
        <v/>
      </c>
    </row>
    <row r="4565">
      <c r="A4565" s="16" t="inlineStr">
        <is>
          <t>5.8-5.14</t>
        </is>
      </c>
      <c r="B4565" s="16" t="inlineStr">
        <is>
          <t>PO-128-09954140124792653</t>
        </is>
      </c>
      <c r="C4565" s="16" t="inlineStr">
        <is>
          <t>Shipped</t>
        </is>
      </c>
      <c r="D4565" s="16" t="inlineStr">
        <is>
          <t>128-09954166339192653</t>
        </is>
      </c>
      <c r="E4565" s="16" t="inlineStr">
        <is>
          <t>Shipped</t>
        </is>
      </c>
      <c r="F4565" s="16" t="inlineStr">
        <is>
          <t>SA325T</t>
        </is>
      </c>
      <c r="G4565" s="16" t="inlineStr">
        <is>
          <t>Subwoofer Portátil Inalámbrico con Luces RGB, Sonido de Alta Potencia y Batería Duradera, TWS TF USB, Perfecto para Campamento Fiestas y Entretenimiento en Casa</t>
        </is>
      </c>
      <c r="H4565" s="16" t="inlineStr">
        <is>
          <t>NEGRO</t>
        </is>
      </c>
      <c r="I4565" s="16" t="n">
        <v>1</v>
      </c>
      <c r="J4565" s="17" t="n">
        <v>38</v>
      </c>
      <c r="K4565" s="17" t="n">
        <v>47.06</v>
      </c>
      <c r="L4565" s="17" t="n">
        <v>25.86</v>
      </c>
      <c r="M4565" s="17" t="n">
        <v>0</v>
      </c>
      <c r="N4565" s="17">
        <f>K4565*0.08+L4565*0.08</f>
        <v/>
      </c>
      <c r="O4565" s="17">
        <f>-(K4565*0.025+L4565*0.025)</f>
        <v/>
      </c>
      <c r="P4565" s="17">
        <f>32</f>
        <v/>
      </c>
      <c r="Q4565" s="17">
        <f>J4565+L4565+N4565+O4565-P4565-M4565</f>
        <v/>
      </c>
    </row>
    <row r="4566">
      <c r="A4566" s="16" t="inlineStr">
        <is>
          <t>5.8-5.14</t>
        </is>
      </c>
      <c r="B4566" s="16" t="inlineStr">
        <is>
          <t>PO-128-10274213386870681</t>
        </is>
      </c>
      <c r="C4566" s="16" t="inlineStr">
        <is>
          <t>Shipped</t>
        </is>
      </c>
      <c r="D4566" s="16" t="inlineStr">
        <is>
          <t>128-10274349701750681</t>
        </is>
      </c>
      <c r="E4566" s="16" t="inlineStr">
        <is>
          <t>Shipped</t>
        </is>
      </c>
      <c r="F4566" s="16" t="inlineStr">
        <is>
          <t>KTS-1678Y</t>
        </is>
      </c>
      <c r="G4566" s="16" t="inlineStr">
        <is>
          <t>Bocina portátil Inalámbrico, de 3 pulgadas, tamaño de bolsillo, 170 g, con asa, compatible con TF, USB y Micro SD, con radio FM y función TWS (True Wireless Stereo), adecuada para relajarse en casa o viajar al aire libre.</t>
        </is>
      </c>
      <c r="H4566" s="16" t="inlineStr">
        <is>
          <t>KTS-1678Y</t>
        </is>
      </c>
      <c r="I4566" s="16" t="n">
        <v>1</v>
      </c>
      <c r="J4566" s="17" t="n">
        <v>41</v>
      </c>
      <c r="K4566" s="17" t="n">
        <v>4.1</v>
      </c>
      <c r="L4566" s="17" t="n">
        <v>25.86</v>
      </c>
      <c r="M4566" s="17" t="n">
        <v>0</v>
      </c>
      <c r="N4566" s="17">
        <f>K4566*0.08+L4566*0.08</f>
        <v/>
      </c>
      <c r="O4566" s="17">
        <f>-(K4566*0.025+L4566*0.025)</f>
        <v/>
      </c>
      <c r="P4566" s="17">
        <f>32</f>
        <v/>
      </c>
      <c r="Q4566" s="17">
        <f>J4566+L4566+N4566+O4566-P4566-M4566</f>
        <v/>
      </c>
    </row>
    <row r="4567">
      <c r="A4567" s="16" t="inlineStr">
        <is>
          <t>5.8-5.14</t>
        </is>
      </c>
      <c r="B4567" s="16" t="inlineStr">
        <is>
          <t>PO-128-09727904318074064</t>
        </is>
      </c>
      <c r="C4567" s="16" t="inlineStr">
        <is>
          <t>Shipped</t>
        </is>
      </c>
      <c r="D4567" s="16" t="inlineStr">
        <is>
          <t>128-09727862375034064</t>
        </is>
      </c>
      <c r="E4567" s="16" t="inlineStr">
        <is>
          <t>Shipped</t>
        </is>
      </c>
      <c r="F4567" s="16" t="inlineStr">
        <is>
          <t>LV25W22</t>
        </is>
      </c>
      <c r="G456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67" s="16" t="inlineStr">
        <is>
          <t>LV25W32</t>
        </is>
      </c>
      <c r="I4567" s="16" t="n">
        <v>2</v>
      </c>
      <c r="J4567" s="17" t="n">
        <v>194</v>
      </c>
      <c r="K4567" s="17" t="n">
        <v>214.82</v>
      </c>
      <c r="L4567" s="17" t="n">
        <v>25.86</v>
      </c>
      <c r="M4567" s="17" t="n">
        <v>0</v>
      </c>
      <c r="N4567" s="17">
        <f>K4567*0.08+L4567*0.08</f>
        <v/>
      </c>
      <c r="O4567" s="17">
        <f>-(K4567*0.025+L4567*0.025)</f>
        <v/>
      </c>
      <c r="P4567" s="17">
        <f>32</f>
        <v/>
      </c>
      <c r="Q4567" s="17">
        <f>J4567+L4567+N4567+O4567-P4567-M4567</f>
        <v/>
      </c>
    </row>
    <row r="4568">
      <c r="A4568" s="16" t="inlineStr">
        <is>
          <t>5.8-5.14</t>
        </is>
      </c>
      <c r="B4568" s="16" t="inlineStr">
        <is>
          <t>PO-128-09802719406712466</t>
        </is>
      </c>
      <c r="C4568" s="16" t="inlineStr">
        <is>
          <t>Shipped</t>
        </is>
      </c>
      <c r="D4568" s="16" t="inlineStr">
        <is>
          <t>128-09802677463672466</t>
        </is>
      </c>
      <c r="E4568" s="16" t="inlineStr">
        <is>
          <t>Shipped</t>
        </is>
      </c>
      <c r="F4568" s="16" t="inlineStr">
        <is>
          <t>MCM-001A</t>
        </is>
      </c>
      <c r="G4568" s="16" t="inlineStr">
        <is>
          <t>Musicord Altavoz Inalámbrico BT Portátil: ¡Sonido impactante, luces LED multicolores y 4 horas de autonomía! Compatible con TWS, FM, TF y USB – Imprescindible para fiestas y viajes</t>
        </is>
      </c>
      <c r="H4568" s="16" t="inlineStr">
        <is>
          <t>AZUL</t>
        </is>
      </c>
      <c r="I4568" s="16" t="n">
        <v>1</v>
      </c>
      <c r="J4568" s="17" t="n">
        <v>51.08</v>
      </c>
      <c r="K4568" s="17" t="n">
        <v>16.37</v>
      </c>
      <c r="L4568" s="17" t="n">
        <v>25.86</v>
      </c>
      <c r="M4568" s="17" t="n">
        <v>0</v>
      </c>
      <c r="N4568" s="17">
        <f>K4568*0.08+L4568*0.08</f>
        <v/>
      </c>
      <c r="O4568" s="17">
        <f>-(K4568*0.025+L4568*0.025)</f>
        <v/>
      </c>
      <c r="P4568" s="17">
        <f>32</f>
        <v/>
      </c>
      <c r="Q4568" s="17">
        <f>J4568+L4568+N4568+O4568-P4568-M4568</f>
        <v/>
      </c>
    </row>
    <row r="4569">
      <c r="A4569" s="16" t="inlineStr">
        <is>
          <t>5.8-5.14</t>
        </is>
      </c>
      <c r="B4569" s="16" t="inlineStr">
        <is>
          <t>PO-128-09666866668153213</t>
        </is>
      </c>
      <c r="C4569" s="16" t="inlineStr">
        <is>
          <t>Shipped</t>
        </is>
      </c>
      <c r="D4569" s="16" t="inlineStr">
        <is>
          <t>128-09667030508153213</t>
        </is>
      </c>
      <c r="E4569" s="16" t="inlineStr">
        <is>
          <t>Shipped</t>
        </is>
      </c>
      <c r="F4569" s="16" t="inlineStr">
        <is>
          <t>T5050RGB07</t>
        </is>
      </c>
      <c r="G4569"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4569" s="16" t="inlineStr">
        <is>
          <t>T5050RGB07</t>
        </is>
      </c>
      <c r="I4569" s="16" t="n">
        <v>1</v>
      </c>
      <c r="J4569" s="17" t="n">
        <v>56.4</v>
      </c>
      <c r="K4569" s="17" t="n">
        <v>62.74</v>
      </c>
      <c r="L4569" s="17" t="n">
        <v>0</v>
      </c>
      <c r="M4569" s="17" t="n">
        <v>0</v>
      </c>
      <c r="N4569" s="17">
        <f>K4569*0.08+L4569*0.08</f>
        <v/>
      </c>
      <c r="O4569" s="17">
        <f>-(K4569*0.025+L4569*0.025)</f>
        <v/>
      </c>
      <c r="P4569" s="17">
        <f>32</f>
        <v/>
      </c>
      <c r="Q4569" s="17">
        <f>J4569+L4569+N4569+O4569-P4569-M4569</f>
        <v/>
      </c>
    </row>
    <row r="4570">
      <c r="A4570" s="16" t="inlineStr">
        <is>
          <t>5.8-5.14</t>
        </is>
      </c>
      <c r="B4570" s="16" t="inlineStr">
        <is>
          <t>PO-128-09666866668153213</t>
        </is>
      </c>
      <c r="C4570" s="16" t="inlineStr">
        <is>
          <t>Shipped</t>
        </is>
      </c>
      <c r="D4570" s="16" t="inlineStr">
        <is>
          <t>128-09666988565113213</t>
        </is>
      </c>
      <c r="E4570" s="16" t="inlineStr">
        <is>
          <t>Shipped</t>
        </is>
      </c>
      <c r="F4570" s="16" t="inlineStr">
        <is>
          <t>LV25W22</t>
        </is>
      </c>
      <c r="G45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70" s="16" t="inlineStr">
        <is>
          <t>LV25W32</t>
        </is>
      </c>
      <c r="I4570" s="16" t="n">
        <v>2</v>
      </c>
      <c r="J4570" s="17" t="n">
        <v>194</v>
      </c>
      <c r="K4570" s="17" t="n">
        <v>182.74</v>
      </c>
      <c r="L4570" s="17" t="n">
        <v>0</v>
      </c>
      <c r="M4570" s="17" t="n">
        <v>0</v>
      </c>
      <c r="N4570" s="17">
        <f>K4570*0.08+L4570*0.08</f>
        <v/>
      </c>
      <c r="O4570" s="17">
        <f>-(K4570*0.025+L4570*0.025)</f>
        <v/>
      </c>
      <c r="P4570" s="17">
        <f>32</f>
        <v/>
      </c>
      <c r="Q4570" s="17">
        <f>J4570+L4570+N4570+O4570-P4570-M4570</f>
        <v/>
      </c>
    </row>
    <row r="4571">
      <c r="A4571" s="16" t="inlineStr">
        <is>
          <t>5.8-5.14</t>
        </is>
      </c>
      <c r="B4571" s="16" t="inlineStr">
        <is>
          <t>PO-128-09833790792312411</t>
        </is>
      </c>
      <c r="C4571" s="16" t="inlineStr">
        <is>
          <t>Shipped</t>
        </is>
      </c>
      <c r="D4571" s="16" t="inlineStr">
        <is>
          <t>128-09833748849272411</t>
        </is>
      </c>
      <c r="E4571" s="16" t="inlineStr">
        <is>
          <t>Shipped</t>
        </is>
      </c>
      <c r="F4571" s="16" t="inlineStr">
        <is>
          <t>KTS-1678Y</t>
        </is>
      </c>
      <c r="G4571" s="16" t="inlineStr">
        <is>
          <t>Bocina portátil Inalámbrico, de 3 pulgadas, tamaño de bolsillo, 170 g, con asa, compatible con TF, USB y Micro SD, con radio FM y función TWS (True Wireless Stereo), adecuada para relajarse en casa o viajar al aire libre.</t>
        </is>
      </c>
      <c r="H4571" s="16" t="inlineStr">
        <is>
          <t>KTS-1678Y</t>
        </is>
      </c>
      <c r="I4571" s="16" t="n">
        <v>1</v>
      </c>
      <c r="J4571" s="17" t="n">
        <v>41</v>
      </c>
      <c r="K4571" s="17" t="n">
        <v>47.2</v>
      </c>
      <c r="L4571" s="17" t="n">
        <v>25.86</v>
      </c>
      <c r="M4571" s="17" t="n">
        <v>0</v>
      </c>
      <c r="N4571" s="17">
        <f>K4571*0.08+L4571*0.08</f>
        <v/>
      </c>
      <c r="O4571" s="17">
        <f>-(K4571*0.025+L4571*0.025)</f>
        <v/>
      </c>
      <c r="P4571" s="17">
        <f>32</f>
        <v/>
      </c>
      <c r="Q4571" s="17">
        <f>J4571+L4571+N4571+O4571-P4571-M4571</f>
        <v/>
      </c>
    </row>
    <row r="4572">
      <c r="A4572" s="16" t="inlineStr">
        <is>
          <t>5.8-5.14</t>
        </is>
      </c>
      <c r="B4572" s="16" t="inlineStr">
        <is>
          <t>PO-128-09802621184632466</t>
        </is>
      </c>
      <c r="C4572" s="16" t="inlineStr">
        <is>
          <t>Shipped</t>
        </is>
      </c>
      <c r="D4572" s="16" t="inlineStr">
        <is>
          <t>128-09802726042232466</t>
        </is>
      </c>
      <c r="E4572" s="16" t="inlineStr">
        <is>
          <t>Shipped</t>
        </is>
      </c>
      <c r="F4572" s="16" t="inlineStr">
        <is>
          <t>SA325T</t>
        </is>
      </c>
      <c r="G4572" s="16" t="inlineStr">
        <is>
          <t>Subwoofer Portátil Inalámbrico con Luces RGB, Sonido de Alta Potencia y Batería Duradera, TWS TF USB, Perfecto para Campamento Fiestas y Entretenimiento en Casa</t>
        </is>
      </c>
      <c r="H4572" s="16" t="inlineStr">
        <is>
          <t>NEGRO</t>
        </is>
      </c>
      <c r="I4572" s="16" t="n">
        <v>1</v>
      </c>
      <c r="J4572" s="17" t="n">
        <v>38</v>
      </c>
      <c r="K4572" s="17" t="n">
        <v>3.96</v>
      </c>
      <c r="L4572" s="17" t="n">
        <v>25.86</v>
      </c>
      <c r="M4572" s="17" t="n">
        <v>0</v>
      </c>
      <c r="N4572" s="17">
        <f>K4572*0.08+L4572*0.08</f>
        <v/>
      </c>
      <c r="O4572" s="17">
        <f>-(K4572*0.025+L4572*0.025)</f>
        <v/>
      </c>
      <c r="P4572" s="17">
        <f>32</f>
        <v/>
      </c>
      <c r="Q4572" s="17">
        <f>J4572+L4572+N4572+O4572-P4572-M4572</f>
        <v/>
      </c>
    </row>
    <row r="4573">
      <c r="A4573" s="16" t="inlineStr">
        <is>
          <t>5.8-5.14</t>
        </is>
      </c>
      <c r="B4573" s="16" t="inlineStr">
        <is>
          <t>PO-128-10224533043830912</t>
        </is>
      </c>
      <c r="C4573" s="16" t="inlineStr">
        <is>
          <t>Shipped</t>
        </is>
      </c>
      <c r="D4573" s="16" t="inlineStr">
        <is>
          <t>128-10224491100790912</t>
        </is>
      </c>
      <c r="E4573" s="16" t="inlineStr">
        <is>
          <t>Shipped</t>
        </is>
      </c>
      <c r="F4573" s="16" t="inlineStr">
        <is>
          <t>SA8056T</t>
        </is>
      </c>
      <c r="G457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573" s="16" t="inlineStr">
        <is>
          <t>SA8056T</t>
        </is>
      </c>
      <c r="I4573" s="16" t="n">
        <v>2</v>
      </c>
      <c r="J4573" s="17" t="n">
        <v>247.8</v>
      </c>
      <c r="K4573" s="17" t="n">
        <v>288.56</v>
      </c>
      <c r="L4573" s="17" t="n">
        <v>0</v>
      </c>
      <c r="M4573" s="17" t="n">
        <v>0</v>
      </c>
      <c r="N4573" s="17">
        <f>K4573*0.08+L4573*0.08</f>
        <v/>
      </c>
      <c r="O4573" s="17">
        <f>-(K4573*0.025+L4573*0.025)</f>
        <v/>
      </c>
      <c r="P4573" s="17">
        <f>32</f>
        <v/>
      </c>
      <c r="Q4573" s="17">
        <f>J4573+L4573+N4573+O4573-P4573-M4573</f>
        <v/>
      </c>
    </row>
    <row r="4574">
      <c r="A4574" s="16" t="inlineStr">
        <is>
          <t>5.8-5.14</t>
        </is>
      </c>
      <c r="B4574" s="16" t="inlineStr">
        <is>
          <t>PO-128-09729446697593862</t>
        </is>
      </c>
      <c r="C4574" s="16" t="inlineStr">
        <is>
          <t>Shipped</t>
        </is>
      </c>
      <c r="D4574" s="16" t="inlineStr">
        <is>
          <t>128-09729459804793862</t>
        </is>
      </c>
      <c r="E4574" s="16" t="inlineStr">
        <is>
          <t>Shipped</t>
        </is>
      </c>
      <c r="F4574" s="16" t="inlineStr">
        <is>
          <t>MB-185N</t>
        </is>
      </c>
      <c r="G4574" s="16" t="inlineStr">
        <is>
          <t>Bocina Radio FM/Reproductor, Compatible con Tarjeta TF, USB, Bluetooth, Aplicable para celular, computadora, Ipad y consola.</t>
        </is>
      </c>
      <c r="H4574" s="16" t="inlineStr">
        <is>
          <t>NEGRO/MB-185</t>
        </is>
      </c>
      <c r="I4574" s="16" t="n">
        <v>1</v>
      </c>
      <c r="J4574" s="17" t="n">
        <v>75.5</v>
      </c>
      <c r="K4574" s="17" t="n">
        <v>79.34</v>
      </c>
      <c r="L4574" s="17" t="n">
        <v>25.86</v>
      </c>
      <c r="M4574" s="17" t="n">
        <v>0</v>
      </c>
      <c r="N4574" s="17">
        <f>K4574*0.08+L4574*0.08</f>
        <v/>
      </c>
      <c r="O4574" s="17">
        <f>-(K4574*0.025+L4574*0.025)</f>
        <v/>
      </c>
      <c r="P4574" s="17">
        <f>32</f>
        <v/>
      </c>
      <c r="Q4574" s="17">
        <f>J4574+L4574+N4574+O4574-P4574-M4574</f>
        <v/>
      </c>
    </row>
    <row r="4575">
      <c r="A4575" s="16" t="inlineStr">
        <is>
          <t>5.8-5.14</t>
        </is>
      </c>
      <c r="B4575" s="16" t="inlineStr">
        <is>
          <t>PO-128-09806994135672504</t>
        </is>
      </c>
      <c r="C4575" s="16" t="inlineStr">
        <is>
          <t>Shipped</t>
        </is>
      </c>
      <c r="D4575" s="16" t="inlineStr">
        <is>
          <t>128-09806967921272504</t>
        </is>
      </c>
      <c r="E4575" s="16" t="inlineStr">
        <is>
          <t>Shipped</t>
        </is>
      </c>
      <c r="F4575" s="16" t="inlineStr">
        <is>
          <t>LV25W22</t>
        </is>
      </c>
      <c r="G45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75" s="16" t="inlineStr">
        <is>
          <t>LV25W32</t>
        </is>
      </c>
      <c r="I4575" s="16" t="n">
        <v>1</v>
      </c>
      <c r="J4575" s="17" t="n">
        <v>97</v>
      </c>
      <c r="K4575" s="17" t="n">
        <v>107.41</v>
      </c>
      <c r="L4575" s="17" t="n">
        <v>25.86</v>
      </c>
      <c r="M4575" s="17" t="n">
        <v>0</v>
      </c>
      <c r="N4575" s="17">
        <f>K4575*0.08+L4575*0.08</f>
        <v/>
      </c>
      <c r="O4575" s="17">
        <f>-(K4575*0.025+L4575*0.025)</f>
        <v/>
      </c>
      <c r="P4575" s="17">
        <f>32</f>
        <v/>
      </c>
      <c r="Q4575" s="17">
        <f>J4575+L4575+N4575+O4575-P4575-M4575</f>
        <v/>
      </c>
    </row>
    <row r="4576">
      <c r="A4576" s="16" t="inlineStr">
        <is>
          <t>5.8-5.14</t>
        </is>
      </c>
      <c r="B4576" s="16" t="inlineStr">
        <is>
          <t>PO-128-10077771377271850</t>
        </is>
      </c>
      <c r="C4576" s="16" t="inlineStr">
        <is>
          <t>Shipped</t>
        </is>
      </c>
      <c r="D4576" s="16" t="inlineStr">
        <is>
          <t>128-10077750405751850</t>
        </is>
      </c>
      <c r="E4576" s="16" t="inlineStr">
        <is>
          <t>Shipped</t>
        </is>
      </c>
      <c r="F4576" s="16" t="inlineStr">
        <is>
          <t>FA028</t>
        </is>
      </c>
      <c r="G4576" s="16" t="inlineStr">
        <is>
          <t>Extractor de agua para garrafas de agua, compatible con carga USB, extractor de agua automático, práctico, con dos modos de toma de agua: manual y programado, ideal para dormitorios, salones, oficinas, uso al aire libre y otros escenarios.</t>
        </is>
      </c>
      <c r="H4576" s="16" t="inlineStr">
        <is>
          <t>FA028</t>
        </is>
      </c>
      <c r="I4576" s="16" t="n">
        <v>1</v>
      </c>
      <c r="J4576" s="17" t="n">
        <v>30</v>
      </c>
      <c r="K4576" s="17" t="n">
        <v>33.63</v>
      </c>
      <c r="L4576" s="17" t="n">
        <v>25.86</v>
      </c>
      <c r="M4576" s="17" t="n">
        <v>0</v>
      </c>
      <c r="N4576" s="17">
        <f>K4576*0.08+L4576*0.08</f>
        <v/>
      </c>
      <c r="O4576" s="17">
        <f>-(K4576*0.025+L4576*0.025)</f>
        <v/>
      </c>
      <c r="P4576" s="17">
        <f>32</f>
        <v/>
      </c>
      <c r="Q4576" s="17">
        <f>J4576+L4576+N4576+O4576-P4576-M4576</f>
        <v/>
      </c>
    </row>
    <row r="4577">
      <c r="A4577" s="16" t="inlineStr">
        <is>
          <t>5.8-5.14</t>
        </is>
      </c>
      <c r="B4577" s="16" t="inlineStr">
        <is>
          <t>PO-128-09889577948793036</t>
        </is>
      </c>
      <c r="C4577" s="16" t="inlineStr">
        <is>
          <t>Shipped</t>
        </is>
      </c>
      <c r="D4577" s="16" t="inlineStr">
        <is>
          <t>128-09889567463033036</t>
        </is>
      </c>
      <c r="E4577" s="16" t="inlineStr">
        <is>
          <t>Shipped</t>
        </is>
      </c>
      <c r="F4577" s="16" t="inlineStr">
        <is>
          <t>MB-184N</t>
        </is>
      </c>
      <c r="G4577" s="16" t="inlineStr">
        <is>
          <t>Link bits Portable Bluetooth Speaker - 800W Peak Power, 50W Full-Range Audio with Dual Bass System &amp; Deep Bass Membranes, Powerful &amp; Distortion-Free Sound, IP65 Waterproof Dustproof, TWS Support &amp; 6H Battery for Outdoor/Party</t>
        </is>
      </c>
      <c r="H4577" s="16" t="inlineStr">
        <is>
          <t>NEGRO/MB-184</t>
        </is>
      </c>
      <c r="I4577" s="16" t="n">
        <v>1</v>
      </c>
      <c r="J4577" s="17" t="n">
        <v>630</v>
      </c>
      <c r="K4577" s="17" t="n">
        <v>670.46</v>
      </c>
      <c r="L4577" s="17" t="n">
        <v>0</v>
      </c>
      <c r="M4577" s="17" t="n">
        <v>0</v>
      </c>
      <c r="N4577" s="17">
        <f>K4577*0.08+L4577*0.08</f>
        <v/>
      </c>
      <c r="O4577" s="17">
        <f>-(K4577*0.025+L4577*0.025)</f>
        <v/>
      </c>
      <c r="P4577" s="17">
        <f>32</f>
        <v/>
      </c>
      <c r="Q4577" s="17">
        <f>J4577+L4577+N4577+O4577-P4577-M4577</f>
        <v/>
      </c>
    </row>
    <row r="4578">
      <c r="A4578" s="16" t="inlineStr">
        <is>
          <t>5.8-5.14</t>
        </is>
      </c>
      <c r="B4578" s="16" t="inlineStr">
        <is>
          <t>PO-128-09752018862713728</t>
        </is>
      </c>
      <c r="C4578" s="16" t="inlineStr">
        <is>
          <t>Shipped</t>
        </is>
      </c>
      <c r="D4578" s="16" t="inlineStr">
        <is>
          <t>128-09752087020153728</t>
        </is>
      </c>
      <c r="E4578" s="16" t="inlineStr">
        <is>
          <t>Shipped</t>
        </is>
      </c>
      <c r="F4578" s="16" t="inlineStr">
        <is>
          <t>MB-185N</t>
        </is>
      </c>
      <c r="G4578" s="16" t="inlineStr">
        <is>
          <t>Bocina Radio FM/Reproductor, Compatible con Tarjeta TF, USB, Bluetooth, Aplicable para celular, computadora, Ipad y consola.</t>
        </is>
      </c>
      <c r="H4578" s="16" t="inlineStr">
        <is>
          <t>NEGRO/MB-185</t>
        </is>
      </c>
      <c r="I4578" s="16" t="n">
        <v>1</v>
      </c>
      <c r="J4578" s="17" t="n">
        <v>75.5</v>
      </c>
      <c r="K4578" s="17" t="n">
        <v>88.45999999999999</v>
      </c>
      <c r="L4578" s="17" t="n">
        <v>25.86</v>
      </c>
      <c r="M4578" s="17" t="n">
        <v>0</v>
      </c>
      <c r="N4578" s="17">
        <f>K4578*0.08+L4578*0.08</f>
        <v/>
      </c>
      <c r="O4578" s="17">
        <f>-(K4578*0.025+L4578*0.025)</f>
        <v/>
      </c>
      <c r="P4578" s="17">
        <f>32</f>
        <v/>
      </c>
      <c r="Q4578" s="17">
        <f>J4578+L4578+N4578+O4578-P4578-M4578</f>
        <v/>
      </c>
    </row>
    <row r="4579">
      <c r="A4579" s="16" t="inlineStr">
        <is>
          <t>5.8-5.14</t>
        </is>
      </c>
      <c r="B4579" s="16" t="inlineStr">
        <is>
          <t>PO-128-10235495015030974</t>
        </is>
      </c>
      <c r="C4579" s="16" t="inlineStr">
        <is>
          <t>Shipped</t>
        </is>
      </c>
      <c r="D4579" s="16" t="inlineStr">
        <is>
          <t>128-10235479286390974</t>
        </is>
      </c>
      <c r="E4579" s="16" t="inlineStr">
        <is>
          <t>Shipped</t>
        </is>
      </c>
      <c r="F4579" s="16" t="inlineStr">
        <is>
          <t>KTS-1678R</t>
        </is>
      </c>
      <c r="G4579" s="16" t="inlineStr">
        <is>
          <t>Bocina portátil Inalámbrico, de 3 pulgadas, tamaño de bolsillo, 170 g, con asa, compatible con TF, USB y Micro SD, con radio FM y función TWS (True Wireless Stereo), adecuada para relajarse en casa o viajar al aire libre.</t>
        </is>
      </c>
      <c r="H4579" s="16" t="inlineStr">
        <is>
          <t>KTS-1678R</t>
        </is>
      </c>
      <c r="I4579" s="16" t="n">
        <v>1</v>
      </c>
      <c r="J4579" s="17" t="n">
        <v>42.5</v>
      </c>
      <c r="K4579" s="17" t="n">
        <v>50.77</v>
      </c>
      <c r="L4579" s="17" t="n">
        <v>25.86</v>
      </c>
      <c r="M4579" s="17" t="n">
        <v>0</v>
      </c>
      <c r="N4579" s="17">
        <f>K4579*0.08+L4579*0.08</f>
        <v/>
      </c>
      <c r="O4579" s="17">
        <f>-(K4579*0.025+L4579*0.025)</f>
        <v/>
      </c>
      <c r="P4579" s="17">
        <f>32</f>
        <v/>
      </c>
      <c r="Q4579" s="17">
        <f>J4579+L4579+N4579+O4579-P4579-M4579</f>
        <v/>
      </c>
    </row>
    <row r="4580">
      <c r="A4580" s="16" t="inlineStr">
        <is>
          <t>5.8-5.14</t>
        </is>
      </c>
      <c r="B4580" s="16" t="inlineStr">
        <is>
          <t>PO-128-09990120617591287</t>
        </is>
      </c>
      <c r="C4580" s="16" t="inlineStr">
        <is>
          <t>Shipped</t>
        </is>
      </c>
      <c r="D4580" s="16" t="inlineStr">
        <is>
          <t>128-09990158628471287</t>
        </is>
      </c>
      <c r="E4580" s="16" t="inlineStr">
        <is>
          <t>Shipped</t>
        </is>
      </c>
      <c r="F4580" s="16" t="inlineStr">
        <is>
          <t>LB02235-rojo</t>
        </is>
      </c>
      <c r="G4580" s="16" t="inlineStr">
        <is>
          <t>Audífonos Inalámbricos para la Cabeza, Recargables y Multifuncionales - Conectan a Varios Dispositivos, soportan Radio FM, Tarjeta TF y AUX - 4 Horas de Reproducción Musical - Ideal para Trabajo Cotidiano, Juegos y Estudio</t>
        </is>
      </c>
      <c r="H4580" s="16" t="inlineStr">
        <is>
          <t>ROJO</t>
        </is>
      </c>
      <c r="I4580" s="16" t="n">
        <v>1</v>
      </c>
      <c r="J4580" s="17" t="n">
        <v>38</v>
      </c>
      <c r="K4580" s="17" t="n">
        <v>51.12</v>
      </c>
      <c r="L4580" s="17" t="n">
        <v>25.86</v>
      </c>
      <c r="M4580" s="17" t="n">
        <v>0</v>
      </c>
      <c r="N4580" s="17">
        <f>K4580*0.08+L4580*0.08</f>
        <v/>
      </c>
      <c r="O4580" s="17">
        <f>-(K4580*0.025+L4580*0.025)</f>
        <v/>
      </c>
      <c r="P4580" s="17">
        <f>32</f>
        <v/>
      </c>
      <c r="Q4580" s="17">
        <f>J4580+L4580+N4580+O4580-P4580-M4580</f>
        <v/>
      </c>
    </row>
    <row r="4581">
      <c r="A4581" s="16" t="inlineStr">
        <is>
          <t>5.8-5.14</t>
        </is>
      </c>
      <c r="B4581" s="16" t="inlineStr">
        <is>
          <t>PO-128-10221085932150100</t>
        </is>
      </c>
      <c r="C4581" s="16" t="inlineStr">
        <is>
          <t>Shipped</t>
        </is>
      </c>
      <c r="D4581" s="16" t="inlineStr">
        <is>
          <t>128-10221028260470100</t>
        </is>
      </c>
      <c r="E4581" s="16" t="inlineStr">
        <is>
          <t>Shipped</t>
        </is>
      </c>
      <c r="F4581" s="16" t="inlineStr">
        <is>
          <t>FA028</t>
        </is>
      </c>
      <c r="G4581" s="16" t="inlineStr">
        <is>
          <t>Extractor de agua para garrafas de agua, compatible con carga USB, extractor de agua automático, práctico, con dos modos de toma de agua: manual y programado, ideal para dormitorios, salones, oficinas, uso al aire libre y otros escenarios.</t>
        </is>
      </c>
      <c r="H4581" s="16" t="inlineStr">
        <is>
          <t>FA028</t>
        </is>
      </c>
      <c r="I4581" s="16" t="n">
        <v>1</v>
      </c>
      <c r="J4581" s="17" t="n">
        <v>30</v>
      </c>
      <c r="K4581" s="17" t="n">
        <v>39.58</v>
      </c>
      <c r="L4581" s="17" t="n">
        <v>25.86</v>
      </c>
      <c r="M4581" s="17" t="n">
        <v>0</v>
      </c>
      <c r="N4581" s="17">
        <f>K4581*0.08+L4581*0.08</f>
        <v/>
      </c>
      <c r="O4581" s="17">
        <f>-(K4581*0.025+L4581*0.025)</f>
        <v/>
      </c>
      <c r="P4581" s="17">
        <f>32</f>
        <v/>
      </c>
      <c r="Q4581" s="17">
        <f>J4581+L4581+N4581+O4581-P4581-M4581</f>
        <v/>
      </c>
    </row>
    <row r="4582">
      <c r="A4582" s="16" t="inlineStr">
        <is>
          <t>5.8-5.14</t>
        </is>
      </c>
      <c r="B4582" s="16" t="inlineStr">
        <is>
          <t>PO-128-10083691981431881</t>
        </is>
      </c>
      <c r="C4582" s="16" t="inlineStr">
        <is>
          <t>Shipped</t>
        </is>
      </c>
      <c r="D4582" s="16" t="inlineStr">
        <is>
          <t>128-10083733924471881</t>
        </is>
      </c>
      <c r="E4582" s="16" t="inlineStr">
        <is>
          <t>Shipped</t>
        </is>
      </c>
      <c r="F4582" s="16" t="inlineStr">
        <is>
          <t>EM04W36-2PZS</t>
        </is>
      </c>
      <c r="G4582"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582" s="16" t="inlineStr">
        <is>
          <t>2 piezas</t>
        </is>
      </c>
      <c r="I4582" s="16" t="n">
        <v>1</v>
      </c>
      <c r="J4582" s="17" t="n">
        <v>135.2</v>
      </c>
      <c r="K4582" s="17" t="n">
        <v>172.67</v>
      </c>
      <c r="L4582" s="17" t="n">
        <v>25.86</v>
      </c>
      <c r="M4582" s="17" t="n">
        <v>0</v>
      </c>
      <c r="N4582" s="17">
        <f>K4582*0.08+L4582*0.08</f>
        <v/>
      </c>
      <c r="O4582" s="17">
        <f>-(K4582*0.025+L4582*0.025)</f>
        <v/>
      </c>
      <c r="P4582" s="17">
        <f>32</f>
        <v/>
      </c>
      <c r="Q4582" s="17">
        <f>J4582+L4582+N4582+O4582-P4582-M4582</f>
        <v/>
      </c>
    </row>
    <row r="4583">
      <c r="A4583" s="16" t="inlineStr">
        <is>
          <t>5.8-5.14</t>
        </is>
      </c>
      <c r="B4583" s="16" t="inlineStr">
        <is>
          <t>PO-128-10218911058550115</t>
        </is>
      </c>
      <c r="C4583" s="16" t="inlineStr">
        <is>
          <t>Shipped</t>
        </is>
      </c>
      <c r="D4583" s="16" t="inlineStr">
        <is>
          <t>128-10218869115510115</t>
        </is>
      </c>
      <c r="E4583" s="16" t="inlineStr">
        <is>
          <t>Shipped</t>
        </is>
      </c>
      <c r="F4583" s="16" t="inlineStr">
        <is>
          <t>MCM-001R</t>
        </is>
      </c>
      <c r="G4583" s="16" t="inlineStr">
        <is>
          <t>Musicord Altavoz Inalámbrico BT Portátil: ¡Sonido impactante, luces LED multicolores y 4 horas de autonomía! Compatible con TWS, FM, TF y USB – Imprescindible para fiestas y viajes</t>
        </is>
      </c>
      <c r="H4583" s="16" t="inlineStr">
        <is>
          <t>ROJO</t>
        </is>
      </c>
      <c r="I4583" s="16" t="n">
        <v>1</v>
      </c>
      <c r="J4583" s="17" t="n">
        <v>66.5</v>
      </c>
      <c r="K4583" s="17" t="n">
        <v>77.77</v>
      </c>
      <c r="L4583" s="17" t="n">
        <v>25.86</v>
      </c>
      <c r="M4583" s="17" t="n">
        <v>0</v>
      </c>
      <c r="N4583" s="17">
        <f>K4583*0.08+L4583*0.08</f>
        <v/>
      </c>
      <c r="O4583" s="17">
        <f>-(K4583*0.025+L4583*0.025)</f>
        <v/>
      </c>
      <c r="P4583" s="17">
        <f>32</f>
        <v/>
      </c>
      <c r="Q4583" s="17">
        <f>J4583+L4583+N4583+O4583-P4583-M4583</f>
        <v/>
      </c>
    </row>
    <row r="4584">
      <c r="A4584" s="16" t="inlineStr">
        <is>
          <t>5.8-5.14</t>
        </is>
      </c>
      <c r="B4584" s="16" t="inlineStr">
        <is>
          <t>PO-128-10261521664630885</t>
        </is>
      </c>
      <c r="C4584" s="16" t="inlineStr">
        <is>
          <t>Shipped</t>
        </is>
      </c>
      <c r="D4584" s="16" t="inlineStr">
        <is>
          <t>128-10261500693110885</t>
        </is>
      </c>
      <c r="E4584" s="16" t="inlineStr">
        <is>
          <t>Shipped</t>
        </is>
      </c>
      <c r="F4584" s="16" t="inlineStr">
        <is>
          <t>MCM-001A</t>
        </is>
      </c>
      <c r="G4584" s="16" t="inlineStr">
        <is>
          <t>Musicord Altavoz Inalámbrico BT Portátil: ¡Sonido impactante, luces LED multicolores y 4 horas de autonomía! Compatible con TWS, FM, TF y USB – Imprescindible para fiestas y viajes</t>
        </is>
      </c>
      <c r="H4584" s="16" t="inlineStr">
        <is>
          <t>AZUL</t>
        </is>
      </c>
      <c r="I4584" s="16" t="n">
        <v>1</v>
      </c>
      <c r="J4584" s="17" t="n">
        <v>51.08</v>
      </c>
      <c r="K4584" s="17" t="n">
        <v>59.47</v>
      </c>
      <c r="L4584" s="17" t="n">
        <v>25.86</v>
      </c>
      <c r="M4584" s="17" t="n">
        <v>0</v>
      </c>
      <c r="N4584" s="17">
        <f>K4584*0.08+L4584*0.08</f>
        <v/>
      </c>
      <c r="O4584" s="17">
        <f>-(K4584*0.025+L4584*0.025)</f>
        <v/>
      </c>
      <c r="P4584" s="17">
        <f>32</f>
        <v/>
      </c>
      <c r="Q4584" s="17">
        <f>J4584+L4584+N4584+O4584-P4584-M4584</f>
        <v/>
      </c>
    </row>
    <row r="4585">
      <c r="A4585" s="16" t="inlineStr">
        <is>
          <t>5.8-5.14</t>
        </is>
      </c>
      <c r="B4585" s="16" t="inlineStr">
        <is>
          <t>PO-128-10002640906871402</t>
        </is>
      </c>
      <c r="C4585" s="16" t="inlineStr">
        <is>
          <t>Shipped</t>
        </is>
      </c>
      <c r="D4585" s="16" t="inlineStr">
        <is>
          <t>128-10002619935351402</t>
        </is>
      </c>
      <c r="E4585" s="16" t="inlineStr">
        <is>
          <t>Shipped</t>
        </is>
      </c>
      <c r="F4585" s="16" t="inlineStr">
        <is>
          <t>LV25W22</t>
        </is>
      </c>
      <c r="G45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85" s="16" t="inlineStr">
        <is>
          <t>LV25W32</t>
        </is>
      </c>
      <c r="I4585" s="16" t="n">
        <v>1</v>
      </c>
      <c r="J4585" s="17" t="n">
        <v>97</v>
      </c>
      <c r="K4585" s="17" t="n">
        <v>107.41</v>
      </c>
      <c r="L4585" s="17" t="n">
        <v>25.86</v>
      </c>
      <c r="M4585" s="17" t="n">
        <v>0</v>
      </c>
      <c r="N4585" s="17">
        <f>K4585*0.08+L4585*0.08</f>
        <v/>
      </c>
      <c r="O4585" s="17">
        <f>-(K4585*0.025+L4585*0.025)</f>
        <v/>
      </c>
      <c r="P4585" s="17">
        <f>32</f>
        <v/>
      </c>
      <c r="Q4585" s="17">
        <f>J4585+L4585+N4585+O4585-P4585-M4585</f>
        <v/>
      </c>
    </row>
    <row r="4586">
      <c r="A4586" s="16" t="inlineStr">
        <is>
          <t>5.8-5.14</t>
        </is>
      </c>
      <c r="B4586" s="16" t="inlineStr">
        <is>
          <t>PO-128-09622959852153475</t>
        </is>
      </c>
      <c r="C4586" s="16" t="inlineStr">
        <is>
          <t>Shipped</t>
        </is>
      </c>
      <c r="D4586" s="16" t="inlineStr">
        <is>
          <t>128-09622986066553475</t>
        </is>
      </c>
      <c r="E4586" s="16" t="inlineStr">
        <is>
          <t>Shipped</t>
        </is>
      </c>
      <c r="F4586" s="16" t="inlineStr">
        <is>
          <t>LV25W22</t>
        </is>
      </c>
      <c r="G45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86" s="16" t="inlineStr">
        <is>
          <t>LV25W32</t>
        </is>
      </c>
      <c r="I4586" s="16" t="n">
        <v>1</v>
      </c>
      <c r="J4586" s="17" t="n">
        <v>97</v>
      </c>
      <c r="K4586" s="17" t="n">
        <v>107.41</v>
      </c>
      <c r="L4586" s="17" t="n">
        <v>25.86</v>
      </c>
      <c r="M4586" s="17" t="n">
        <v>0</v>
      </c>
      <c r="N4586" s="17">
        <f>K4586*0.08+L4586*0.08</f>
        <v/>
      </c>
      <c r="O4586" s="17">
        <f>-(K4586*0.025+L4586*0.025)</f>
        <v/>
      </c>
      <c r="P4586" s="17">
        <f>32</f>
        <v/>
      </c>
      <c r="Q4586" s="17">
        <f>J4586+L4586+N4586+O4586-P4586-M4586</f>
        <v/>
      </c>
    </row>
    <row r="4587">
      <c r="A4587" s="16" t="inlineStr">
        <is>
          <t>5.8-5.14</t>
        </is>
      </c>
      <c r="B4587" s="16" t="inlineStr">
        <is>
          <t>PO-128-09884377610873005</t>
        </is>
      </c>
      <c r="C4587" s="16" t="inlineStr">
        <is>
          <t>Shipped</t>
        </is>
      </c>
      <c r="D4587" s="16" t="inlineStr">
        <is>
          <t>128-09884330424953005</t>
        </is>
      </c>
      <c r="E4587" s="16" t="inlineStr">
        <is>
          <t>Shipped</t>
        </is>
      </c>
      <c r="F4587" s="16" t="inlineStr">
        <is>
          <t>LB02235-rojo</t>
        </is>
      </c>
      <c r="G4587" s="16" t="inlineStr">
        <is>
          <t>Audífonos Inalámbricos para la Cabeza, Recargables y Multifuncionales - Conectan a Varios Dispositivos, soportan Radio FM, Tarjeta TF y AUX - 4 Horas de Reproducción Musical - Ideal para Trabajo Cotidiano, Juegos y Estudio</t>
        </is>
      </c>
      <c r="H4587" s="16" t="inlineStr">
        <is>
          <t>ROJO</t>
        </is>
      </c>
      <c r="I4587" s="16" t="n">
        <v>1</v>
      </c>
      <c r="J4587" s="17" t="n">
        <v>38</v>
      </c>
      <c r="K4587" s="17" t="n">
        <v>48.9</v>
      </c>
      <c r="L4587" s="17" t="n">
        <v>25.86</v>
      </c>
      <c r="M4587" s="17" t="n">
        <v>0</v>
      </c>
      <c r="N4587" s="17">
        <f>K4587*0.08+L4587*0.08</f>
        <v/>
      </c>
      <c r="O4587" s="17">
        <f>-(K4587*0.025+L4587*0.025)</f>
        <v/>
      </c>
      <c r="P4587" s="17">
        <f>32</f>
        <v/>
      </c>
      <c r="Q4587" s="17">
        <f>J4587+L4587+N4587+O4587-P4587-M4587</f>
        <v/>
      </c>
    </row>
    <row r="4588">
      <c r="A4588" s="16" t="inlineStr">
        <is>
          <t>5.8-5.14</t>
        </is>
      </c>
      <c r="B4588" s="16" t="inlineStr">
        <is>
          <t>PO-128-10143398247030437</t>
        </is>
      </c>
      <c r="C4588" s="16" t="inlineStr">
        <is>
          <t>Shipped</t>
        </is>
      </c>
      <c r="D4588" s="16" t="inlineStr">
        <is>
          <t>128-10143440190070437</t>
        </is>
      </c>
      <c r="E4588" s="16" t="inlineStr">
        <is>
          <t>Shipped</t>
        </is>
      </c>
      <c r="F4588" s="16" t="inlineStr">
        <is>
          <t>LB02235-azul</t>
        </is>
      </c>
      <c r="G4588" s="16" t="inlineStr">
        <is>
          <t>Audífonos Inalámbricos para la Cabeza, Recargables y Multifuncionales - Conectan a Varios Dispositivos, soportan Radio FM, Tarjeta TF y AUX - 4 Horas de Reproducción Musical - Ideal para Trabajo Cotidiano, Juegos y Estudio</t>
        </is>
      </c>
      <c r="H4588" s="16" t="inlineStr">
        <is>
          <t>AZUL</t>
        </is>
      </c>
      <c r="I4588" s="16" t="n">
        <v>1</v>
      </c>
      <c r="J4588" s="17" t="n">
        <v>37.6</v>
      </c>
      <c r="K4588" s="17" t="n">
        <v>50.72</v>
      </c>
      <c r="L4588" s="17" t="n">
        <v>25.86</v>
      </c>
      <c r="M4588" s="17" t="n">
        <v>0</v>
      </c>
      <c r="N4588" s="17">
        <f>K4588*0.08+L4588*0.08</f>
        <v/>
      </c>
      <c r="O4588" s="17">
        <f>-(K4588*0.025+L4588*0.025)</f>
        <v/>
      </c>
      <c r="P4588" s="17">
        <f>32</f>
        <v/>
      </c>
      <c r="Q4588" s="17">
        <f>J4588+L4588+N4588+O4588-P4588-M4588</f>
        <v/>
      </c>
    </row>
    <row r="4589">
      <c r="A4589" s="16" t="inlineStr">
        <is>
          <t>5.8-5.14</t>
        </is>
      </c>
      <c r="B4589" s="16" t="inlineStr">
        <is>
          <t>PO-128-09752425185913726</t>
        </is>
      </c>
      <c r="C4589" s="16" t="inlineStr">
        <is>
          <t>Shipped</t>
        </is>
      </c>
      <c r="D4589" s="16" t="inlineStr">
        <is>
          <t>128-09752383242873726</t>
        </is>
      </c>
      <c r="E4589" s="16" t="inlineStr">
        <is>
          <t>Shipped</t>
        </is>
      </c>
      <c r="F4589" s="16" t="inlineStr">
        <is>
          <t>LV25W22</t>
        </is>
      </c>
      <c r="G45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89" s="16" t="inlineStr">
        <is>
          <t>LV25W32</t>
        </is>
      </c>
      <c r="I4589" s="16" t="n">
        <v>1</v>
      </c>
      <c r="J4589" s="17" t="n">
        <v>97</v>
      </c>
      <c r="K4589" s="17" t="n">
        <v>107.41</v>
      </c>
      <c r="L4589" s="17" t="n">
        <v>25.86</v>
      </c>
      <c r="M4589" s="17" t="n">
        <v>0</v>
      </c>
      <c r="N4589" s="17">
        <f>K4589*0.08+L4589*0.08</f>
        <v/>
      </c>
      <c r="O4589" s="17">
        <f>-(K4589*0.025+L4589*0.025)</f>
        <v/>
      </c>
      <c r="P4589" s="17">
        <f>32</f>
        <v/>
      </c>
      <c r="Q4589" s="17">
        <f>J4589+L4589+N4589+O4589-P4589-M4589</f>
        <v/>
      </c>
    </row>
    <row r="4590">
      <c r="A4590" s="16" t="inlineStr">
        <is>
          <t>5.8-5.14</t>
        </is>
      </c>
      <c r="B4590" s="16" t="inlineStr">
        <is>
          <t>PO-128-10058809191031965</t>
        </is>
      </c>
      <c r="C4590" s="16" t="inlineStr">
        <is>
          <t>Shipped</t>
        </is>
      </c>
      <c r="D4590" s="16" t="inlineStr">
        <is>
          <t>128-10058914048631965</t>
        </is>
      </c>
      <c r="E4590" s="16" t="inlineStr">
        <is>
          <t>Shipped</t>
        </is>
      </c>
      <c r="F4590" s="16" t="inlineStr">
        <is>
          <t>LB02235-rojo</t>
        </is>
      </c>
      <c r="G4590" s="16" t="inlineStr">
        <is>
          <t>Audífonos Inalámbricos para la Cabeza, Recargables y Multifuncionales - Conectan a Varios Dispositivos, soportan Radio FM, Tarjeta TF y AUX - 4 Horas de Reproducción Musical - Ideal para Trabajo Cotidiano, Juegos y Estudio</t>
        </is>
      </c>
      <c r="H4590" s="16" t="inlineStr">
        <is>
          <t>ROJO</t>
        </is>
      </c>
      <c r="I4590" s="16" t="n">
        <v>1</v>
      </c>
      <c r="J4590" s="17" t="n">
        <v>38</v>
      </c>
      <c r="K4590" s="17" t="n">
        <v>51.12</v>
      </c>
      <c r="L4590" s="17" t="n">
        <v>25.86</v>
      </c>
      <c r="M4590" s="17" t="n">
        <v>0</v>
      </c>
      <c r="N4590" s="17">
        <f>K4590*0.08+L4590*0.08</f>
        <v/>
      </c>
      <c r="O4590" s="17">
        <f>-(K4590*0.025+L4590*0.025)</f>
        <v/>
      </c>
      <c r="P4590" s="17">
        <f>32</f>
        <v/>
      </c>
      <c r="Q4590" s="17">
        <f>J4590+L4590+N4590+O4590-P4590-M4590</f>
        <v/>
      </c>
    </row>
    <row r="4591">
      <c r="A4591" s="16" t="inlineStr">
        <is>
          <t>5.8-5.14</t>
        </is>
      </c>
      <c r="B4591" s="16" t="inlineStr">
        <is>
          <t>PO-128-09992040571511339</t>
        </is>
      </c>
      <c r="C4591" s="16" t="inlineStr">
        <is>
          <t>Shipped</t>
        </is>
      </c>
      <c r="D4591" s="16" t="inlineStr">
        <is>
          <t>128-09992061543031339</t>
        </is>
      </c>
      <c r="E4591" s="16" t="inlineStr">
        <is>
          <t>Shipped</t>
        </is>
      </c>
      <c r="F4591" s="16" t="inlineStr">
        <is>
          <t>LB02235-rojo</t>
        </is>
      </c>
      <c r="G4591" s="16" t="inlineStr">
        <is>
          <t>Audífonos Inalámbricos para la Cabeza, Recargables y Multifuncionales - Conectan a Varios Dispositivos, soportan Radio FM, Tarjeta TF y AUX - 4 Horas de Reproducción Musical - Ideal para Trabajo Cotidiano, Juegos y Estudio</t>
        </is>
      </c>
      <c r="H4591" s="16" t="inlineStr">
        <is>
          <t>ROJO</t>
        </is>
      </c>
      <c r="I4591" s="16" t="n">
        <v>1</v>
      </c>
      <c r="J4591" s="17" t="n">
        <v>38</v>
      </c>
      <c r="K4591" s="17" t="n">
        <v>51.12</v>
      </c>
      <c r="L4591" s="17" t="n">
        <v>25.86</v>
      </c>
      <c r="M4591" s="17" t="n">
        <v>0</v>
      </c>
      <c r="N4591" s="17">
        <f>K4591*0.08+L4591*0.08</f>
        <v/>
      </c>
      <c r="O4591" s="17">
        <f>-(K4591*0.025+L4591*0.025)</f>
        <v/>
      </c>
      <c r="P4591" s="17">
        <f>32</f>
        <v/>
      </c>
      <c r="Q4591" s="17">
        <f>J4591+L4591+N4591+O4591-P4591-M4591</f>
        <v/>
      </c>
    </row>
    <row r="4592">
      <c r="A4592" s="16" t="inlineStr">
        <is>
          <t>5.8-5.14</t>
        </is>
      </c>
      <c r="B4592" s="16" t="inlineStr">
        <is>
          <t>PO-128-10064391895671994</t>
        </is>
      </c>
      <c r="C4592" s="16" t="inlineStr">
        <is>
          <t>Shipped</t>
        </is>
      </c>
      <c r="D4592" s="16" t="inlineStr">
        <is>
          <t>128-10064433838711994</t>
        </is>
      </c>
      <c r="E4592" s="16" t="inlineStr">
        <is>
          <t>Shipped</t>
        </is>
      </c>
      <c r="F4592" s="16" t="inlineStr">
        <is>
          <t>LV25W22</t>
        </is>
      </c>
      <c r="G45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92" s="16" t="inlineStr">
        <is>
          <t>LV25W32</t>
        </is>
      </c>
      <c r="I4592" s="16" t="n">
        <v>2</v>
      </c>
      <c r="J4592" s="17" t="n">
        <v>194</v>
      </c>
      <c r="K4592" s="17" t="n">
        <v>214.82</v>
      </c>
      <c r="L4592" s="17" t="n">
        <v>0</v>
      </c>
      <c r="M4592" s="17" t="n">
        <v>0</v>
      </c>
      <c r="N4592" s="17">
        <f>K4592*0.08+L4592*0.08</f>
        <v/>
      </c>
      <c r="O4592" s="17">
        <f>-(K4592*0.025+L4592*0.025)</f>
        <v/>
      </c>
      <c r="P4592" s="17">
        <f>32</f>
        <v/>
      </c>
      <c r="Q4592" s="17">
        <f>J4592+L4592+N4592+O4592-P4592-M4592</f>
        <v/>
      </c>
    </row>
    <row r="4593">
      <c r="A4593" s="16" t="inlineStr">
        <is>
          <t>5.8-5.14</t>
        </is>
      </c>
      <c r="B4593" s="16" t="inlineStr">
        <is>
          <t>PO-128-10064391895671994</t>
        </is>
      </c>
      <c r="C4593" s="16" t="inlineStr">
        <is>
          <t>Shipped</t>
        </is>
      </c>
      <c r="D4593" s="16" t="inlineStr">
        <is>
          <t>128-10064454810231994</t>
        </is>
      </c>
      <c r="E4593" s="16" t="inlineStr">
        <is>
          <t>Shipped</t>
        </is>
      </c>
      <c r="F4593" s="16" t="inlineStr">
        <is>
          <t>LB02235-azul</t>
        </is>
      </c>
      <c r="G4593" s="16" t="inlineStr">
        <is>
          <t>Audífonos Inalámbricos para la Cabeza, Recargables y Multifuncionales - Conectan a Varios Dispositivos, soportan Radio FM, Tarjeta TF y AUX - 4 Horas de Reproducción Musical - Ideal para Trabajo Cotidiano, Juegos y Estudio</t>
        </is>
      </c>
      <c r="H4593" s="16" t="inlineStr">
        <is>
          <t>AZUL</t>
        </is>
      </c>
      <c r="I4593" s="16" t="n">
        <v>1</v>
      </c>
      <c r="J4593" s="17" t="n">
        <v>37.6</v>
      </c>
      <c r="K4593" s="17" t="n">
        <v>50.72</v>
      </c>
      <c r="L4593" s="17" t="n">
        <v>0</v>
      </c>
      <c r="M4593" s="17" t="n">
        <v>0</v>
      </c>
      <c r="N4593" s="17">
        <f>K4593*0.08+L4593*0.08</f>
        <v/>
      </c>
      <c r="O4593" s="17">
        <f>-(K4593*0.025+L4593*0.025)</f>
        <v/>
      </c>
      <c r="P4593" s="17">
        <f>32</f>
        <v/>
      </c>
      <c r="Q4593" s="17">
        <f>J4593+L4593+N4593+O4593-P4593-M4593</f>
        <v/>
      </c>
    </row>
    <row r="4594">
      <c r="A4594" s="16" t="inlineStr">
        <is>
          <t>5.8-5.14</t>
        </is>
      </c>
      <c r="B4594" s="16" t="inlineStr">
        <is>
          <t>PO-128-09701969060473194</t>
        </is>
      </c>
      <c r="C4594" s="16" t="inlineStr">
        <is>
          <t>Shipped</t>
        </is>
      </c>
      <c r="D4594" s="16" t="inlineStr">
        <is>
          <t>128-09702073918073194</t>
        </is>
      </c>
      <c r="E4594" s="16" t="inlineStr">
        <is>
          <t>Shipped</t>
        </is>
      </c>
      <c r="F4594" s="16" t="inlineStr">
        <is>
          <t>S09W18IB</t>
        </is>
      </c>
      <c r="G4594"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594" s="16" t="inlineStr">
        <is>
          <t>1 pieza</t>
        </is>
      </c>
      <c r="I4594" s="16" t="n">
        <v>2</v>
      </c>
      <c r="J4594" s="17" t="n">
        <v>58</v>
      </c>
      <c r="K4594" s="17" t="n">
        <v>79.28</v>
      </c>
      <c r="L4594" s="17" t="n">
        <v>25.86</v>
      </c>
      <c r="M4594" s="17" t="n">
        <v>0</v>
      </c>
      <c r="N4594" s="17">
        <f>K4594*0.08+L4594*0.08</f>
        <v/>
      </c>
      <c r="O4594" s="17">
        <f>-(K4594*0.025+L4594*0.025)</f>
        <v/>
      </c>
      <c r="P4594" s="17">
        <f>32</f>
        <v/>
      </c>
      <c r="Q4594" s="17">
        <f>J4594+L4594+N4594+O4594-P4594-M4594</f>
        <v/>
      </c>
    </row>
    <row r="4595">
      <c r="A4595" s="16" t="inlineStr">
        <is>
          <t>5.8-5.14</t>
        </is>
      </c>
      <c r="B4595" s="16" t="inlineStr">
        <is>
          <t>PO-128-09953312389752592</t>
        </is>
      </c>
      <c r="C4595" s="16" t="inlineStr">
        <is>
          <t>Shipped</t>
        </is>
      </c>
      <c r="D4595" s="16" t="inlineStr">
        <is>
          <t>128-09953280932472592</t>
        </is>
      </c>
      <c r="E4595" s="16" t="inlineStr">
        <is>
          <t>Shipped</t>
        </is>
      </c>
      <c r="F4595" s="16" t="inlineStr">
        <is>
          <t>LV64W25</t>
        </is>
      </c>
      <c r="G4595" s="16" t="inlineStr">
        <is>
          <t>Ventilador de Techo LED TIANLAI con 5 Aspas, Control Remoto, 3 Colores Luz, 3 Velocidades, Temporizador, Fácil Instalación, E27 para Baño Cocina Dormitorio Salón</t>
        </is>
      </c>
      <c r="H4595" s="16" t="inlineStr">
        <is>
          <t>LV64W25</t>
        </is>
      </c>
      <c r="I4595" s="16" t="n">
        <v>1</v>
      </c>
      <c r="J4595" s="17" t="n">
        <v>156</v>
      </c>
      <c r="K4595" s="17" t="n">
        <v>199.11</v>
      </c>
      <c r="L4595" s="17" t="n">
        <v>25.86</v>
      </c>
      <c r="M4595" s="17" t="n">
        <v>0</v>
      </c>
      <c r="N4595" s="17">
        <f>K4595*0.08+L4595*0.08</f>
        <v/>
      </c>
      <c r="O4595" s="17">
        <f>-(K4595*0.025+L4595*0.025)</f>
        <v/>
      </c>
      <c r="P4595" s="17">
        <f>32</f>
        <v/>
      </c>
      <c r="Q4595" s="17">
        <f>J4595+L4595+N4595+O4595-P4595-M4595</f>
        <v/>
      </c>
    </row>
    <row r="4596">
      <c r="A4596" s="16" t="inlineStr">
        <is>
          <t>5.8-5.14</t>
        </is>
      </c>
      <c r="B4596" s="16" t="inlineStr">
        <is>
          <t>PO-128-10259708068470894</t>
        </is>
      </c>
      <c r="C4596" s="16" t="inlineStr">
        <is>
          <t>Shipped</t>
        </is>
      </c>
      <c r="D4596" s="16" t="inlineStr">
        <is>
          <t>128-10259729039990894</t>
        </is>
      </c>
      <c r="E4596" s="16" t="inlineStr">
        <is>
          <t>Shipped</t>
        </is>
      </c>
      <c r="F4596" s="16" t="inlineStr">
        <is>
          <t>SA325T</t>
        </is>
      </c>
      <c r="G4596" s="16" t="inlineStr">
        <is>
          <t>Subwoofer Portátil Inalámbrico con Luces RGB, Sonido de Alta Potencia y Batería Duradera, TWS TF USB, Perfecto para Campamento Fiestas y Entretenimiento en Casa</t>
        </is>
      </c>
      <c r="H4596" s="16" t="inlineStr">
        <is>
          <t>NEGRO</t>
        </is>
      </c>
      <c r="I4596" s="16" t="n">
        <v>1</v>
      </c>
      <c r="J4596" s="17" t="n">
        <v>38</v>
      </c>
      <c r="K4596" s="17" t="n">
        <v>47.06</v>
      </c>
      <c r="L4596" s="17" t="n">
        <v>25.86</v>
      </c>
      <c r="M4596" s="17" t="n">
        <v>0</v>
      </c>
      <c r="N4596" s="17">
        <f>K4596*0.08+L4596*0.08</f>
        <v/>
      </c>
      <c r="O4596" s="17">
        <f>-(K4596*0.025+L4596*0.025)</f>
        <v/>
      </c>
      <c r="P4596" s="17">
        <f>32</f>
        <v/>
      </c>
      <c r="Q4596" s="17">
        <f>J4596+L4596+N4596+O4596-P4596-M4596</f>
        <v/>
      </c>
    </row>
    <row r="4597">
      <c r="A4597" s="16" t="inlineStr">
        <is>
          <t>5.8-5.14</t>
        </is>
      </c>
      <c r="B4597" s="16" t="inlineStr">
        <is>
          <t>PO-128-10139545662070394</t>
        </is>
      </c>
      <c r="C4597" s="16" t="inlineStr">
        <is>
          <t>Shipped</t>
        </is>
      </c>
      <c r="D4597" s="16" t="inlineStr">
        <is>
          <t>128-10139587605110394</t>
        </is>
      </c>
      <c r="E4597" s="16" t="inlineStr">
        <is>
          <t>Shipped</t>
        </is>
      </c>
      <c r="F4597" s="16" t="inlineStr">
        <is>
          <t>LV25W22</t>
        </is>
      </c>
      <c r="G45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97" s="16" t="inlineStr">
        <is>
          <t>LV25W32</t>
        </is>
      </c>
      <c r="I4597" s="16" t="n">
        <v>1</v>
      </c>
      <c r="J4597" s="17" t="n">
        <v>97</v>
      </c>
      <c r="K4597" s="17" t="n">
        <v>47.07</v>
      </c>
      <c r="L4597" s="17" t="n">
        <v>25.86</v>
      </c>
      <c r="M4597" s="17" t="n">
        <v>0</v>
      </c>
      <c r="N4597" s="17">
        <f>K4597*0.08+L4597*0.08</f>
        <v/>
      </c>
      <c r="O4597" s="17">
        <f>-(K4597*0.025+L4597*0.025)</f>
        <v/>
      </c>
      <c r="P4597" s="17">
        <f>32</f>
        <v/>
      </c>
      <c r="Q4597" s="17">
        <f>J4597+L4597+N4597+O4597-P4597-M4597</f>
        <v/>
      </c>
    </row>
    <row r="4598">
      <c r="A4598" s="16" t="inlineStr">
        <is>
          <t>5.8-5.14</t>
        </is>
      </c>
      <c r="B4598" s="16" t="inlineStr">
        <is>
          <t>PO-128-09857699676792074</t>
        </is>
      </c>
      <c r="C4598" s="16" t="inlineStr">
        <is>
          <t>Shipped</t>
        </is>
      </c>
      <c r="D4598" s="16" t="inlineStr">
        <is>
          <t>128-09857652490872074</t>
        </is>
      </c>
      <c r="E4598" s="16" t="inlineStr">
        <is>
          <t>Shipped</t>
        </is>
      </c>
      <c r="F4598" s="16" t="inlineStr">
        <is>
          <t>LV25W22</t>
        </is>
      </c>
      <c r="G45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598" s="16" t="inlineStr">
        <is>
          <t>LV25W32</t>
        </is>
      </c>
      <c r="I4598" s="16" t="n">
        <v>1</v>
      </c>
      <c r="J4598" s="17" t="n">
        <v>97</v>
      </c>
      <c r="K4598" s="17" t="n">
        <v>93.76000000000001</v>
      </c>
      <c r="L4598" s="17" t="n">
        <v>25.86</v>
      </c>
      <c r="M4598" s="17" t="n">
        <v>0</v>
      </c>
      <c r="N4598" s="17">
        <f>K4598*0.08+L4598*0.08</f>
        <v/>
      </c>
      <c r="O4598" s="17">
        <f>-(K4598*0.025+L4598*0.025)</f>
        <v/>
      </c>
      <c r="P4598" s="17">
        <f>32</f>
        <v/>
      </c>
      <c r="Q4598" s="17">
        <f>J4598+L4598+N4598+O4598-P4598-M4598</f>
        <v/>
      </c>
    </row>
    <row r="4599">
      <c r="A4599" s="16" t="inlineStr">
        <is>
          <t>5.8-5.14</t>
        </is>
      </c>
      <c r="B4599" s="16" t="inlineStr">
        <is>
          <t>PO-128-10117466532471550</t>
        </is>
      </c>
      <c r="C4599" s="16" t="inlineStr">
        <is>
          <t>Shipped</t>
        </is>
      </c>
      <c r="D4599" s="16" t="inlineStr">
        <is>
          <t>128-10117424589431550</t>
        </is>
      </c>
      <c r="E4599" s="16" t="inlineStr">
        <is>
          <t>Shipped</t>
        </is>
      </c>
      <c r="F4599" s="16" t="inlineStr">
        <is>
          <t>LV34W04</t>
        </is>
      </c>
      <c r="G4599"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599" s="16" t="inlineStr">
        <is>
          <t>LV34W04</t>
        </is>
      </c>
      <c r="I4599" s="16" t="n">
        <v>1</v>
      </c>
      <c r="J4599" s="17" t="n">
        <v>279</v>
      </c>
      <c r="K4599" s="17" t="n">
        <v>270.25</v>
      </c>
      <c r="L4599" s="17" t="n">
        <v>0</v>
      </c>
      <c r="M4599" s="17" t="n">
        <v>0</v>
      </c>
      <c r="N4599" s="17">
        <f>K4599*0.08+L4599*0.08</f>
        <v/>
      </c>
      <c r="O4599" s="17">
        <f>-(K4599*0.025+L4599*0.025)</f>
        <v/>
      </c>
      <c r="P4599" s="17">
        <f>32</f>
        <v/>
      </c>
      <c r="Q4599" s="17">
        <f>J4599+L4599+N4599+O4599-P4599-M4599</f>
        <v/>
      </c>
    </row>
    <row r="4600">
      <c r="A4600" s="16" t="inlineStr">
        <is>
          <t>5.8-5.14</t>
        </is>
      </c>
      <c r="B4600" s="16" t="inlineStr">
        <is>
          <t>PO-128-10064862843511993</t>
        </is>
      </c>
      <c r="C4600" s="16" t="inlineStr">
        <is>
          <t>Shipped</t>
        </is>
      </c>
      <c r="D4600" s="16" t="inlineStr">
        <is>
          <t>128-10064839905911993</t>
        </is>
      </c>
      <c r="E4600" s="16" t="inlineStr">
        <is>
          <t>Shipped</t>
        </is>
      </c>
      <c r="F4600" s="16" t="inlineStr">
        <is>
          <t>LB02235-blanco</t>
        </is>
      </c>
      <c r="G4600" s="16" t="inlineStr">
        <is>
          <t>Audífonos Inalámbricos para la Cabeza, Recargables y Multifuncionales - Conectan a Varios Dispositivos, soportan Radio FM, Tarjeta TF y AUX - 4 Horas de Reproducción Musical - Ideal para Trabajo Cotidiano, Juegos y Estudio</t>
        </is>
      </c>
      <c r="H4600" s="16" t="inlineStr">
        <is>
          <t>BLANCO</t>
        </is>
      </c>
      <c r="I4600" s="16" t="n">
        <v>1</v>
      </c>
      <c r="J4600" s="17" t="n">
        <v>38</v>
      </c>
      <c r="K4600" s="17" t="n">
        <v>51.12</v>
      </c>
      <c r="L4600" s="17" t="n">
        <v>25.86</v>
      </c>
      <c r="M4600" s="17" t="n">
        <v>0</v>
      </c>
      <c r="N4600" s="17">
        <f>K4600*0.08+L4600*0.08</f>
        <v/>
      </c>
      <c r="O4600" s="17">
        <f>-(K4600*0.025+L4600*0.025)</f>
        <v/>
      </c>
      <c r="P4600" s="17">
        <f>32</f>
        <v/>
      </c>
      <c r="Q4600" s="17">
        <f>J4600+L4600+N4600+O4600-P4600-M4600</f>
        <v/>
      </c>
    </row>
    <row r="4601">
      <c r="A4601" s="16" t="inlineStr">
        <is>
          <t>5.8-5.14</t>
        </is>
      </c>
      <c r="B4601" s="16" t="inlineStr">
        <is>
          <t>PO-128-09896956631673056</t>
        </is>
      </c>
      <c r="C4601" s="16" t="inlineStr">
        <is>
          <t>Shipped</t>
        </is>
      </c>
      <c r="D4601" s="16" t="inlineStr">
        <is>
          <t>128-09896917310073056</t>
        </is>
      </c>
      <c r="E4601" s="16" t="inlineStr">
        <is>
          <t>Shipped</t>
        </is>
      </c>
      <c r="F4601" s="16" t="inlineStr">
        <is>
          <t>LV25W22</t>
        </is>
      </c>
      <c r="G46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01" s="16" t="inlineStr">
        <is>
          <t>LV25W32</t>
        </is>
      </c>
      <c r="I4601" s="16" t="n">
        <v>1</v>
      </c>
      <c r="J4601" s="17" t="n">
        <v>97</v>
      </c>
      <c r="K4601" s="17" t="n">
        <v>107.41</v>
      </c>
      <c r="L4601" s="17" t="n">
        <v>25.86</v>
      </c>
      <c r="M4601" s="17" t="n">
        <v>0</v>
      </c>
      <c r="N4601" s="17">
        <f>K4601*0.08+L4601*0.08</f>
        <v/>
      </c>
      <c r="O4601" s="17">
        <f>-(K4601*0.025+L4601*0.025)</f>
        <v/>
      </c>
      <c r="P4601" s="17">
        <f>32</f>
        <v/>
      </c>
      <c r="Q4601" s="17">
        <f>J4601+L4601+N4601+O4601-P4601-M4601</f>
        <v/>
      </c>
    </row>
    <row r="4602">
      <c r="A4602" s="16" t="inlineStr">
        <is>
          <t>5.8-5.14</t>
        </is>
      </c>
      <c r="B4602" s="16" t="inlineStr">
        <is>
          <t>PO-128-09769995638393815</t>
        </is>
      </c>
      <c r="C4602" s="16" t="inlineStr">
        <is>
          <t>Shipped</t>
        </is>
      </c>
      <c r="D4602" s="16" t="inlineStr">
        <is>
          <t>128-09770016609913815</t>
        </is>
      </c>
      <c r="E4602" s="16" t="inlineStr">
        <is>
          <t>Shipped</t>
        </is>
      </c>
      <c r="F4602" s="16" t="inlineStr">
        <is>
          <t>LB02235-rojo</t>
        </is>
      </c>
      <c r="G4602" s="16" t="inlineStr">
        <is>
          <t>Audífonos Inalámbricos para la Cabeza, Recargables y Multifuncionales - Conectan a Varios Dispositivos, soportan Radio FM, Tarjeta TF y AUX - 4 Horas de Reproducción Musical - Ideal para Trabajo Cotidiano, Juegos y Estudio</t>
        </is>
      </c>
      <c r="H4602" s="16" t="inlineStr">
        <is>
          <t>ROJO</t>
        </is>
      </c>
      <c r="I4602" s="16" t="n">
        <v>1</v>
      </c>
      <c r="J4602" s="17" t="n">
        <v>38</v>
      </c>
      <c r="K4602" s="17" t="n">
        <v>51.12</v>
      </c>
      <c r="L4602" s="17" t="n">
        <v>25.86</v>
      </c>
      <c r="M4602" s="17" t="n">
        <v>0</v>
      </c>
      <c r="N4602" s="17">
        <f>K4602*0.08+L4602*0.08</f>
        <v/>
      </c>
      <c r="O4602" s="17">
        <f>-(K4602*0.025+L4602*0.025)</f>
        <v/>
      </c>
      <c r="P4602" s="17">
        <f>32</f>
        <v/>
      </c>
      <c r="Q4602" s="17">
        <f>J4602+L4602+N4602+O4602-P4602-M4602</f>
        <v/>
      </c>
    </row>
    <row r="4603">
      <c r="A4603" s="16" t="inlineStr">
        <is>
          <t>5.8-5.14</t>
        </is>
      </c>
      <c r="B4603" s="16" t="inlineStr">
        <is>
          <t>PO-128-09750527263353739</t>
        </is>
      </c>
      <c r="C4603" s="16" t="inlineStr">
        <is>
          <t>Shipped</t>
        </is>
      </c>
      <c r="D4603" s="16" t="inlineStr">
        <is>
          <t>128-09750548234873739</t>
        </is>
      </c>
      <c r="E4603" s="16" t="inlineStr">
        <is>
          <t>Shipped</t>
        </is>
      </c>
      <c r="F4603" s="16" t="inlineStr">
        <is>
          <t>MCM-001N</t>
        </is>
      </c>
      <c r="G4603" s="16" t="inlineStr">
        <is>
          <t>Musicord Altavoz Inalámbrico BT Portátil: ¡Sonido impactante, luces LED multicolores y 4 horas de autonomía! Compatible con TWS, FM, TF y USB – Imprescindible para fiestas y viajes</t>
        </is>
      </c>
      <c r="H4603" s="16" t="inlineStr">
        <is>
          <t>NEGRO</t>
        </is>
      </c>
      <c r="I4603" s="16" t="n">
        <v>1</v>
      </c>
      <c r="J4603" s="17" t="n">
        <v>61</v>
      </c>
      <c r="K4603" s="17" t="n">
        <v>29.17</v>
      </c>
      <c r="L4603" s="17" t="n">
        <v>25.86</v>
      </c>
      <c r="M4603" s="17" t="n">
        <v>0</v>
      </c>
      <c r="N4603" s="17">
        <f>K4603*0.08+L4603*0.08</f>
        <v/>
      </c>
      <c r="O4603" s="17">
        <f>-(K4603*0.025+L4603*0.025)</f>
        <v/>
      </c>
      <c r="P4603" s="17">
        <f>32</f>
        <v/>
      </c>
      <c r="Q4603" s="17">
        <f>J4603+L4603+N4603+O4603-P4603-M4603</f>
        <v/>
      </c>
    </row>
    <row r="4604">
      <c r="A4604" s="16" t="inlineStr">
        <is>
          <t>5.8-5.14</t>
        </is>
      </c>
      <c r="B4604" s="16" t="inlineStr">
        <is>
          <t>PO-128-09800245453432480</t>
        </is>
      </c>
      <c r="C4604" s="16" t="inlineStr">
        <is>
          <t>Shipped</t>
        </is>
      </c>
      <c r="D4604" s="16" t="inlineStr">
        <is>
          <t>128-09800325407352480</t>
        </is>
      </c>
      <c r="E4604" s="16" t="inlineStr">
        <is>
          <t>Shipped</t>
        </is>
      </c>
      <c r="F4604" s="16" t="inlineStr">
        <is>
          <t>LV25W22</t>
        </is>
      </c>
      <c r="G46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04" s="16" t="inlineStr">
        <is>
          <t>LV25W32</t>
        </is>
      </c>
      <c r="I4604" s="16" t="n">
        <v>1</v>
      </c>
      <c r="J4604" s="17" t="n">
        <v>97</v>
      </c>
      <c r="K4604" s="17" t="n">
        <v>80.56</v>
      </c>
      <c r="L4604" s="17" t="n">
        <v>25.86</v>
      </c>
      <c r="M4604" s="17" t="n">
        <v>0</v>
      </c>
      <c r="N4604" s="17">
        <f>K4604*0.08+L4604*0.08</f>
        <v/>
      </c>
      <c r="O4604" s="17">
        <f>-(K4604*0.025+L4604*0.025)</f>
        <v/>
      </c>
      <c r="P4604" s="17">
        <f>32</f>
        <v/>
      </c>
      <c r="Q4604" s="17">
        <f>J4604+L4604+N4604+O4604-P4604-M4604</f>
        <v/>
      </c>
    </row>
    <row r="4605">
      <c r="A4605" s="16" t="inlineStr">
        <is>
          <t>5.8-5.14</t>
        </is>
      </c>
      <c r="B4605" s="16" t="inlineStr">
        <is>
          <t>PO-128-09686801618553095</t>
        </is>
      </c>
      <c r="C4605" s="16" t="inlineStr">
        <is>
          <t>Shipped</t>
        </is>
      </c>
      <c r="D4605" s="16" t="inlineStr">
        <is>
          <t>128-09686759675513095</t>
        </is>
      </c>
      <c r="E4605" s="16" t="inlineStr">
        <is>
          <t>Shipped</t>
        </is>
      </c>
      <c r="F4605" s="16" t="inlineStr">
        <is>
          <t>LV25W22</t>
        </is>
      </c>
      <c r="G46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05" s="16" t="inlineStr">
        <is>
          <t>LV25W32</t>
        </is>
      </c>
      <c r="I4605" s="16" t="n">
        <v>1</v>
      </c>
      <c r="J4605" s="17" t="n">
        <v>97</v>
      </c>
      <c r="K4605" s="17" t="n">
        <v>85.93000000000001</v>
      </c>
      <c r="L4605" s="17" t="n">
        <v>25.86</v>
      </c>
      <c r="M4605" s="17" t="n">
        <v>0</v>
      </c>
      <c r="N4605" s="17">
        <f>K4605*0.08+L4605*0.08</f>
        <v/>
      </c>
      <c r="O4605" s="17">
        <f>-(K4605*0.025+L4605*0.025)</f>
        <v/>
      </c>
      <c r="P4605" s="17">
        <f>32</f>
        <v/>
      </c>
      <c r="Q4605" s="17">
        <f>J4605+L4605+N4605+O4605-P4605-M4605</f>
        <v/>
      </c>
    </row>
    <row r="4606">
      <c r="A4606" s="16" t="inlineStr">
        <is>
          <t>5.8-5.14</t>
        </is>
      </c>
      <c r="B4606" s="16" t="inlineStr">
        <is>
          <t>PO-128-10262999081590874</t>
        </is>
      </c>
      <c r="C4606" s="16" t="inlineStr">
        <is>
          <t>Shipped</t>
        </is>
      </c>
      <c r="D4606" s="16" t="inlineStr">
        <is>
          <t>128-10263103939190874</t>
        </is>
      </c>
      <c r="E4606" s="16" t="inlineStr">
        <is>
          <t>Shipped</t>
        </is>
      </c>
      <c r="F4606" s="16" t="inlineStr">
        <is>
          <t>LV25W22</t>
        </is>
      </c>
      <c r="G46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06" s="16" t="inlineStr">
        <is>
          <t>LV25W32</t>
        </is>
      </c>
      <c r="I4606" s="16" t="n">
        <v>1</v>
      </c>
      <c r="J4606" s="17" t="n">
        <v>97</v>
      </c>
      <c r="K4606" s="17" t="n">
        <v>64.31</v>
      </c>
      <c r="L4606" s="17" t="n">
        <v>25.86</v>
      </c>
      <c r="M4606" s="17" t="n">
        <v>0</v>
      </c>
      <c r="N4606" s="17">
        <f>K4606*0.08+L4606*0.08</f>
        <v/>
      </c>
      <c r="O4606" s="17">
        <f>-(K4606*0.025+L4606*0.025)</f>
        <v/>
      </c>
      <c r="P4606" s="17">
        <f>32</f>
        <v/>
      </c>
      <c r="Q4606" s="17">
        <f>J4606+L4606+N4606+O4606-P4606-M4606</f>
        <v/>
      </c>
    </row>
    <row r="4607">
      <c r="A4607" s="16" t="inlineStr">
        <is>
          <t>5.8-5.14</t>
        </is>
      </c>
      <c r="B4607" s="16" t="inlineStr">
        <is>
          <t>PO-128-09820234639992363</t>
        </is>
      </c>
      <c r="C4607" s="16" t="inlineStr">
        <is>
          <t>Shipped</t>
        </is>
      </c>
      <c r="D4607" s="16" t="inlineStr">
        <is>
          <t>128-09820339497592363</t>
        </is>
      </c>
      <c r="E4607" s="16" t="inlineStr">
        <is>
          <t>Shipped</t>
        </is>
      </c>
      <c r="F4607" s="16" t="inlineStr">
        <is>
          <t>EM04W36</t>
        </is>
      </c>
      <c r="G4607"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607" s="16" t="inlineStr">
        <is>
          <t>1 pieza</t>
        </is>
      </c>
      <c r="I4607" s="16" t="n">
        <v>1</v>
      </c>
      <c r="J4607" s="17" t="n">
        <v>68.90000000000001</v>
      </c>
      <c r="K4607" s="17" t="n">
        <v>88.37</v>
      </c>
      <c r="L4607" s="17" t="n">
        <v>25.86</v>
      </c>
      <c r="M4607" s="17" t="n">
        <v>0</v>
      </c>
      <c r="N4607" s="17">
        <f>K4607*0.08+L4607*0.08</f>
        <v/>
      </c>
      <c r="O4607" s="17">
        <f>-(K4607*0.025+L4607*0.025)</f>
        <v/>
      </c>
      <c r="P4607" s="17">
        <f>32</f>
        <v/>
      </c>
      <c r="Q4607" s="17">
        <f>J4607+L4607+N4607+O4607-P4607-M4607</f>
        <v/>
      </c>
    </row>
    <row r="4608">
      <c r="A4608" s="16" t="inlineStr">
        <is>
          <t>5.8-5.14</t>
        </is>
      </c>
      <c r="B4608" s="16" t="inlineStr">
        <is>
          <t>PO-128-09743792865913907</t>
        </is>
      </c>
      <c r="C4608" s="16" t="inlineStr">
        <is>
          <t>Shipped</t>
        </is>
      </c>
      <c r="D4608" s="16" t="inlineStr">
        <is>
          <t>128-09743861023353907</t>
        </is>
      </c>
      <c r="E4608" s="16" t="inlineStr">
        <is>
          <t>Shipped</t>
        </is>
      </c>
      <c r="F4608" s="16" t="inlineStr">
        <is>
          <t>KTS-1678Y</t>
        </is>
      </c>
      <c r="G4608" s="16" t="inlineStr">
        <is>
          <t>Bocina portátil Inalámbrico, de 3 pulgadas, tamaño de bolsillo, 170 g, con asa, compatible con TF, USB y Micro SD, con radio FM y función TWS (True Wireless Stereo), adecuada para relajarse en casa o viajar al aire libre.</t>
        </is>
      </c>
      <c r="H4608" s="16" t="inlineStr">
        <is>
          <t>KTS-1678Y</t>
        </is>
      </c>
      <c r="I4608" s="16" t="n">
        <v>1</v>
      </c>
      <c r="J4608" s="17" t="n">
        <v>41</v>
      </c>
      <c r="K4608" s="17" t="n">
        <v>37.76</v>
      </c>
      <c r="L4608" s="17" t="n">
        <v>25.86</v>
      </c>
      <c r="M4608" s="17" t="n">
        <v>0</v>
      </c>
      <c r="N4608" s="17">
        <f>K4608*0.08+L4608*0.08</f>
        <v/>
      </c>
      <c r="O4608" s="17">
        <f>-(K4608*0.025+L4608*0.025)</f>
        <v/>
      </c>
      <c r="P4608" s="17">
        <f>32</f>
        <v/>
      </c>
      <c r="Q4608" s="17">
        <f>J4608+L4608+N4608+O4608-P4608-M4608</f>
        <v/>
      </c>
    </row>
    <row r="4609">
      <c r="A4609" s="16" t="inlineStr">
        <is>
          <t>5.8-5.14</t>
        </is>
      </c>
      <c r="B4609" s="16" t="inlineStr">
        <is>
          <t>PO-128-10191799793270213</t>
        </is>
      </c>
      <c r="C4609" s="16" t="inlineStr">
        <is>
          <t>Shipped</t>
        </is>
      </c>
      <c r="D4609" s="16" t="inlineStr">
        <is>
          <t>128-10191757850230213</t>
        </is>
      </c>
      <c r="E4609" s="16" t="inlineStr">
        <is>
          <t>Shipped</t>
        </is>
      </c>
      <c r="F4609" s="16" t="inlineStr">
        <is>
          <t>LB02235-rojo</t>
        </is>
      </c>
      <c r="G4609" s="16" t="inlineStr">
        <is>
          <t>Audífonos Inalámbricos para la Cabeza, Recargables y Multifuncionales - Conectan a Varios Dispositivos, soportan Radio FM, Tarjeta TF y AUX - 4 Horas de Reproducción Musical - Ideal para Trabajo Cotidiano, Juegos y Estudio</t>
        </is>
      </c>
      <c r="H4609" s="16" t="inlineStr">
        <is>
          <t>ROJO</t>
        </is>
      </c>
      <c r="I4609" s="16" t="n">
        <v>1</v>
      </c>
      <c r="J4609" s="17" t="n">
        <v>38</v>
      </c>
      <c r="K4609" s="17" t="n">
        <v>51.12</v>
      </c>
      <c r="L4609" s="17" t="n">
        <v>25.86</v>
      </c>
      <c r="M4609" s="17" t="n">
        <v>0</v>
      </c>
      <c r="N4609" s="17">
        <f>K4609*0.08+L4609*0.08</f>
        <v/>
      </c>
      <c r="O4609" s="17">
        <f>-(K4609*0.025+L4609*0.025)</f>
        <v/>
      </c>
      <c r="P4609" s="17">
        <f>32</f>
        <v/>
      </c>
      <c r="Q4609" s="17">
        <f>J4609+L4609+N4609+O4609-P4609-M4609</f>
        <v/>
      </c>
    </row>
    <row r="4610">
      <c r="A4610" s="16" t="inlineStr">
        <is>
          <t>5.8-5.14</t>
        </is>
      </c>
      <c r="B4610" s="16" t="inlineStr">
        <is>
          <t>PO-128-10262029522550880</t>
        </is>
      </c>
      <c r="C4610" s="16" t="inlineStr">
        <is>
          <t>Shipped</t>
        </is>
      </c>
      <c r="D4610" s="16" t="inlineStr">
        <is>
          <t>128-10261977093750880</t>
        </is>
      </c>
      <c r="E4610" s="16" t="inlineStr">
        <is>
          <t>Shipped</t>
        </is>
      </c>
      <c r="F4610" s="16" t="inlineStr">
        <is>
          <t>S39W48</t>
        </is>
      </c>
      <c r="G4610"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610" s="16" t="inlineStr">
        <is>
          <t>1 pieza</t>
        </is>
      </c>
      <c r="I4610" s="16" t="n">
        <v>1</v>
      </c>
      <c r="J4610" s="17" t="n">
        <v>30</v>
      </c>
      <c r="K4610" s="17" t="n">
        <v>25.56</v>
      </c>
      <c r="L4610" s="17" t="n">
        <v>25.86</v>
      </c>
      <c r="M4610" s="17" t="n">
        <v>0</v>
      </c>
      <c r="N4610" s="17">
        <f>K4610*0.08+L4610*0.08</f>
        <v/>
      </c>
      <c r="O4610" s="17">
        <f>-(K4610*0.025+L4610*0.025)</f>
        <v/>
      </c>
      <c r="P4610" s="17">
        <f>32</f>
        <v/>
      </c>
      <c r="Q4610" s="17">
        <f>J4610+L4610+N4610+O4610-P4610-M4610</f>
        <v/>
      </c>
    </row>
    <row r="4611">
      <c r="A4611" s="16" t="inlineStr">
        <is>
          <t>5.8-5.14</t>
        </is>
      </c>
      <c r="B4611" s="16" t="inlineStr">
        <is>
          <t>PO-128-09908611594872861</t>
        </is>
      </c>
      <c r="C4611" s="16" t="inlineStr">
        <is>
          <t>Shipped</t>
        </is>
      </c>
      <c r="D4611" s="16" t="inlineStr">
        <is>
          <t>128-09908590623352861</t>
        </is>
      </c>
      <c r="E4611" s="16" t="inlineStr">
        <is>
          <t>Shipped</t>
        </is>
      </c>
      <c r="F4611" s="16" t="inlineStr">
        <is>
          <t>LV25W22</t>
        </is>
      </c>
      <c r="G46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11" s="16" t="inlineStr">
        <is>
          <t>LV25W32</t>
        </is>
      </c>
      <c r="I4611" s="16" t="n">
        <v>3</v>
      </c>
      <c r="J4611" s="17" t="n">
        <v>291</v>
      </c>
      <c r="K4611" s="17" t="n">
        <v>257.8</v>
      </c>
      <c r="L4611" s="17" t="n">
        <v>0</v>
      </c>
      <c r="M4611" s="17" t="n">
        <v>0</v>
      </c>
      <c r="N4611" s="17">
        <f>K4611*0.08+L4611*0.08</f>
        <v/>
      </c>
      <c r="O4611" s="17">
        <f>-(K4611*0.025+L4611*0.025)</f>
        <v/>
      </c>
      <c r="P4611" s="17">
        <f>32</f>
        <v/>
      </c>
      <c r="Q4611" s="17">
        <f>J4611+L4611+N4611+O4611-P4611-M4611</f>
        <v/>
      </c>
    </row>
    <row r="4612">
      <c r="A4612" s="16" t="inlineStr">
        <is>
          <t>5.8-5.14</t>
        </is>
      </c>
      <c r="B4612" s="16" t="inlineStr">
        <is>
          <t>PO-128-09651336622713368</t>
        </is>
      </c>
      <c r="C4612" s="16" t="inlineStr">
        <is>
          <t>Shipped</t>
        </is>
      </c>
      <c r="D4612" s="16" t="inlineStr">
        <is>
          <t>128-09651315651193368</t>
        </is>
      </c>
      <c r="E4612" s="16" t="inlineStr">
        <is>
          <t>Shipped</t>
        </is>
      </c>
      <c r="F4612" s="16" t="inlineStr">
        <is>
          <t>LV25W22</t>
        </is>
      </c>
      <c r="G46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12" s="16" t="inlineStr">
        <is>
          <t>LV25W32</t>
        </is>
      </c>
      <c r="I4612" s="16" t="n">
        <v>1</v>
      </c>
      <c r="J4612" s="17" t="n">
        <v>97</v>
      </c>
      <c r="K4612" s="17" t="n">
        <v>107.41</v>
      </c>
      <c r="L4612" s="17" t="n">
        <v>25.86</v>
      </c>
      <c r="M4612" s="17" t="n">
        <v>0</v>
      </c>
      <c r="N4612" s="17">
        <f>K4612*0.08+L4612*0.08</f>
        <v/>
      </c>
      <c r="O4612" s="17">
        <f>-(K4612*0.025+L4612*0.025)</f>
        <v/>
      </c>
      <c r="P4612" s="17">
        <f>32</f>
        <v/>
      </c>
      <c r="Q4612" s="17">
        <f>J4612+L4612+N4612+O4612-P4612-M4612</f>
        <v/>
      </c>
    </row>
    <row r="4613">
      <c r="A4613" s="16" t="inlineStr">
        <is>
          <t>5.8-5.14</t>
        </is>
      </c>
      <c r="B4613" s="16" t="inlineStr">
        <is>
          <t>PO-128-09949698652792614</t>
        </is>
      </c>
      <c r="C4613" s="16" t="inlineStr">
        <is>
          <t>Shipped</t>
        </is>
      </c>
      <c r="D4613" s="16" t="inlineStr">
        <is>
          <t>128-09949656709752614</t>
        </is>
      </c>
      <c r="E4613" s="16" t="inlineStr">
        <is>
          <t>Shipped</t>
        </is>
      </c>
      <c r="F4613" s="16" t="inlineStr">
        <is>
          <t>MCM-001A</t>
        </is>
      </c>
      <c r="G4613" s="16" t="inlineStr">
        <is>
          <t>Musicord Altavoz Inalámbrico BT Portátil: ¡Sonido impactante, luces LED multicolores y 4 horas de autonomía! Compatible con TWS, FM, TF y USB – Imprescindible para fiestas y viajes</t>
        </is>
      </c>
      <c r="H4613" s="16" t="inlineStr">
        <is>
          <t>AZUL</t>
        </is>
      </c>
      <c r="I4613" s="16" t="n">
        <v>1</v>
      </c>
      <c r="J4613" s="17" t="n">
        <v>51.08</v>
      </c>
      <c r="K4613" s="17" t="n">
        <v>6.02</v>
      </c>
      <c r="L4613" s="17" t="n">
        <v>25.86</v>
      </c>
      <c r="M4613" s="17" t="n">
        <v>0</v>
      </c>
      <c r="N4613" s="17">
        <f>K4613*0.08+L4613*0.08</f>
        <v/>
      </c>
      <c r="O4613" s="17">
        <f>-(K4613*0.025+L4613*0.025)</f>
        <v/>
      </c>
      <c r="P4613" s="17">
        <f>32</f>
        <v/>
      </c>
      <c r="Q4613" s="17">
        <f>J4613+L4613+N4613+O4613-P4613-M4613</f>
        <v/>
      </c>
    </row>
    <row r="4614">
      <c r="A4614" s="16" t="inlineStr">
        <is>
          <t>5.8-5.14</t>
        </is>
      </c>
      <c r="B4614" s="16" t="inlineStr">
        <is>
          <t>PO-128-09918479944312928</t>
        </is>
      </c>
      <c r="C4614" s="16" t="inlineStr">
        <is>
          <t>Shipped</t>
        </is>
      </c>
      <c r="D4614" s="16" t="inlineStr">
        <is>
          <t>128-09918500915832928</t>
        </is>
      </c>
      <c r="E4614" s="16" t="inlineStr">
        <is>
          <t>Shipped</t>
        </is>
      </c>
      <c r="F4614" s="16" t="inlineStr">
        <is>
          <t>SA325T</t>
        </is>
      </c>
      <c r="G4614" s="16" t="inlineStr">
        <is>
          <t>Subwoofer Portátil Inalámbrico con Luces RGB, Sonido de Alta Potencia y Batería Duradera, TWS TF USB, Perfecto para Campamento Fiestas y Entretenimiento en Casa</t>
        </is>
      </c>
      <c r="H4614" s="16" t="inlineStr">
        <is>
          <t>NEGRO</t>
        </is>
      </c>
      <c r="I4614" s="16" t="n">
        <v>1</v>
      </c>
      <c r="J4614" s="17" t="n">
        <v>38</v>
      </c>
      <c r="K4614" s="17" t="n">
        <v>47.06</v>
      </c>
      <c r="L4614" s="17" t="n">
        <v>25.86</v>
      </c>
      <c r="M4614" s="17" t="n">
        <v>0</v>
      </c>
      <c r="N4614" s="17">
        <f>K4614*0.08+L4614*0.08</f>
        <v/>
      </c>
      <c r="O4614" s="17">
        <f>-(K4614*0.025+L4614*0.025)</f>
        <v/>
      </c>
      <c r="P4614" s="17">
        <f>32</f>
        <v/>
      </c>
      <c r="Q4614" s="17">
        <f>J4614+L4614+N4614+O4614-P4614-M4614</f>
        <v/>
      </c>
    </row>
    <row r="4615">
      <c r="A4615" s="16" t="inlineStr">
        <is>
          <t>5.8-5.14</t>
        </is>
      </c>
      <c r="B4615" s="16" t="inlineStr">
        <is>
          <t>PO-128-09779925443193626</t>
        </is>
      </c>
      <c r="C4615" s="16" t="inlineStr">
        <is>
          <t>Shipped</t>
        </is>
      </c>
      <c r="D4615" s="16" t="inlineStr">
        <is>
          <t>128-09779883500153626</t>
        </is>
      </c>
      <c r="E4615" s="16" t="inlineStr">
        <is>
          <t>Shipped</t>
        </is>
      </c>
      <c r="F4615" s="16" t="inlineStr">
        <is>
          <t>MB-185N</t>
        </is>
      </c>
      <c r="G4615" s="16" t="inlineStr">
        <is>
          <t>Bocina Radio FM/Reproductor, Compatible con Tarjeta TF, USB, Bluetooth, Aplicable para celular, computadora, Ipad y consola.</t>
        </is>
      </c>
      <c r="H4615" s="16" t="inlineStr">
        <is>
          <t>NEGRO/MB-185</t>
        </is>
      </c>
      <c r="I4615" s="16" t="n">
        <v>1</v>
      </c>
      <c r="J4615" s="17" t="n">
        <v>75.5</v>
      </c>
      <c r="K4615" s="17" t="n">
        <v>2.25</v>
      </c>
      <c r="L4615" s="17" t="n">
        <v>25.86</v>
      </c>
      <c r="M4615" s="17" t="n">
        <v>0</v>
      </c>
      <c r="N4615" s="17">
        <f>K4615*0.08+L4615*0.08</f>
        <v/>
      </c>
      <c r="O4615" s="17">
        <f>-(K4615*0.025+L4615*0.025)</f>
        <v/>
      </c>
      <c r="P4615" s="17">
        <f>32</f>
        <v/>
      </c>
      <c r="Q4615" s="17">
        <f>J4615+L4615+N4615+O4615-P4615-M4615</f>
        <v/>
      </c>
    </row>
    <row r="4616">
      <c r="A4616" s="16" t="inlineStr">
        <is>
          <t>5.8-5.14</t>
        </is>
      </c>
      <c r="B4616" s="16" t="inlineStr">
        <is>
          <t>PO-128-09783778878073669</t>
        </is>
      </c>
      <c r="C4616" s="16" t="inlineStr">
        <is>
          <t>Shipped</t>
        </is>
      </c>
      <c r="D4616" s="16" t="inlineStr">
        <is>
          <t>128-09783736935033669</t>
        </is>
      </c>
      <c r="E4616" s="16" t="inlineStr">
        <is>
          <t>Shipped</t>
        </is>
      </c>
      <c r="F4616" s="16" t="inlineStr">
        <is>
          <t>VB347T</t>
        </is>
      </c>
      <c r="G461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616" s="16" t="inlineStr">
        <is>
          <t>1 pieza</t>
        </is>
      </c>
      <c r="I4616" s="16" t="n">
        <v>1</v>
      </c>
      <c r="J4616" s="17" t="n">
        <v>79.90000000000001</v>
      </c>
      <c r="K4616" s="17" t="n">
        <v>94.51000000000001</v>
      </c>
      <c r="L4616" s="17" t="n">
        <v>25.86</v>
      </c>
      <c r="M4616" s="17" t="n">
        <v>0</v>
      </c>
      <c r="N4616" s="17">
        <f>K4616*0.08+L4616*0.08</f>
        <v/>
      </c>
      <c r="O4616" s="17">
        <f>-(K4616*0.025+L4616*0.025)</f>
        <v/>
      </c>
      <c r="P4616" s="17">
        <f>32</f>
        <v/>
      </c>
      <c r="Q4616" s="17">
        <f>J4616+L4616+N4616+O4616-P4616-M4616</f>
        <v/>
      </c>
    </row>
    <row r="4617">
      <c r="A4617" s="16" t="inlineStr">
        <is>
          <t>5.8-5.14</t>
        </is>
      </c>
      <c r="B4617" s="16" t="inlineStr">
        <is>
          <t>PO-128-10216931246710127</t>
        </is>
      </c>
      <c r="C4617" s="16" t="inlineStr">
        <is>
          <t>Shipped</t>
        </is>
      </c>
      <c r="D4617" s="16" t="inlineStr">
        <is>
          <t>128-10216868332150127</t>
        </is>
      </c>
      <c r="E4617" s="16" t="inlineStr">
        <is>
          <t>Shipped</t>
        </is>
      </c>
      <c r="F4617" s="16" t="inlineStr">
        <is>
          <t>VA396T</t>
        </is>
      </c>
      <c r="G4617"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4617" s="16" t="inlineStr">
        <is>
          <t>VA396T</t>
        </is>
      </c>
      <c r="I4617" s="16" t="n">
        <v>1</v>
      </c>
      <c r="J4617" s="17" t="n">
        <v>41</v>
      </c>
      <c r="K4617" s="17" t="n">
        <v>42.04</v>
      </c>
      <c r="L4617" s="17" t="n">
        <v>25.86</v>
      </c>
      <c r="M4617" s="17" t="n">
        <v>0</v>
      </c>
      <c r="N4617" s="17">
        <f>K4617*0.08+L4617*0.08</f>
        <v/>
      </c>
      <c r="O4617" s="17">
        <f>-(K4617*0.025+L4617*0.025)</f>
        <v/>
      </c>
      <c r="P4617" s="17">
        <f>32</f>
        <v/>
      </c>
      <c r="Q4617" s="17">
        <f>J4617+L4617+N4617+O4617-P4617-M4617</f>
        <v/>
      </c>
    </row>
    <row r="4618">
      <c r="A4618" s="16" t="inlineStr">
        <is>
          <t>5.8-5.14</t>
        </is>
      </c>
      <c r="B4618" s="16" t="inlineStr">
        <is>
          <t>PO-128-10018455511671244</t>
        </is>
      </c>
      <c r="C4618" s="16" t="inlineStr">
        <is>
          <t>Shipped</t>
        </is>
      </c>
      <c r="D4618" s="16" t="inlineStr">
        <is>
          <t>128-10018476483191244</t>
        </is>
      </c>
      <c r="E4618" s="16" t="inlineStr">
        <is>
          <t>Shipped</t>
        </is>
      </c>
      <c r="F4618" s="16" t="inlineStr">
        <is>
          <t>S09W18IB-8PZS</t>
        </is>
      </c>
      <c r="G461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618" s="16" t="inlineStr">
        <is>
          <t>8 piezas</t>
        </is>
      </c>
      <c r="I4618" s="16" t="n">
        <v>1</v>
      </c>
      <c r="J4618" s="17" t="n">
        <v>265</v>
      </c>
      <c r="K4618" s="17" t="n">
        <v>302.96</v>
      </c>
      <c r="L4618" s="17" t="n">
        <v>0</v>
      </c>
      <c r="M4618" s="17" t="n">
        <v>0</v>
      </c>
      <c r="N4618" s="17">
        <f>K4618*0.08+L4618*0.08</f>
        <v/>
      </c>
      <c r="O4618" s="17">
        <f>-(K4618*0.025+L4618*0.025)</f>
        <v/>
      </c>
      <c r="P4618" s="17">
        <f>32</f>
        <v/>
      </c>
      <c r="Q4618" s="17">
        <f>J4618+L4618+N4618+O4618-P4618-M4618</f>
        <v/>
      </c>
    </row>
    <row r="4619">
      <c r="A4619" s="16" t="inlineStr">
        <is>
          <t>5.8-5.14</t>
        </is>
      </c>
      <c r="B4619" s="16" t="inlineStr">
        <is>
          <t>PO-128-10082398669431825</t>
        </is>
      </c>
      <c r="C4619" s="16" t="inlineStr">
        <is>
          <t>Shipped</t>
        </is>
      </c>
      <c r="D4619" s="16" t="inlineStr">
        <is>
          <t>128-10082356726391825</t>
        </is>
      </c>
      <c r="E4619" s="16" t="inlineStr">
        <is>
          <t>Shipped</t>
        </is>
      </c>
      <c r="F4619" s="16" t="inlineStr">
        <is>
          <t>S09W18IB</t>
        </is>
      </c>
      <c r="G4619"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619" s="16" t="inlineStr">
        <is>
          <t>1 pieza</t>
        </is>
      </c>
      <c r="I4619" s="16" t="n">
        <v>6</v>
      </c>
      <c r="J4619" s="17" t="n">
        <v>174</v>
      </c>
      <c r="K4619" s="17" t="n">
        <v>221.97</v>
      </c>
      <c r="L4619" s="17" t="n">
        <v>25.86</v>
      </c>
      <c r="M4619" s="17" t="n">
        <v>0</v>
      </c>
      <c r="N4619" s="17">
        <f>K4619*0.08+L4619*0.08</f>
        <v/>
      </c>
      <c r="O4619" s="17">
        <f>-(K4619*0.025+L4619*0.025)</f>
        <v/>
      </c>
      <c r="P4619" s="17">
        <f>32</f>
        <v/>
      </c>
      <c r="Q4619" s="17">
        <f>J4619+L4619+N4619+O4619-P4619-M4619</f>
        <v/>
      </c>
    </row>
    <row r="4620">
      <c r="A4620" s="16" t="inlineStr">
        <is>
          <t>5.8-5.14</t>
        </is>
      </c>
      <c r="B4620" s="16" t="inlineStr">
        <is>
          <t>PO-128-10250880184950818</t>
        </is>
      </c>
      <c r="C4620" s="16" t="inlineStr">
        <is>
          <t>Shipped</t>
        </is>
      </c>
      <c r="D4620" s="16" t="inlineStr">
        <is>
          <t>128-10250888704630818</t>
        </is>
      </c>
      <c r="E4620" s="16" t="inlineStr">
        <is>
          <t>Shipped</t>
        </is>
      </c>
      <c r="F4620" s="16" t="inlineStr">
        <is>
          <t>LB02235-blanco</t>
        </is>
      </c>
      <c r="G4620" s="16" t="inlineStr">
        <is>
          <t>Audífonos Inalámbricos para la Cabeza, Recargables y Multifuncionales - Conectan a Varios Dispositivos, soportan Radio FM, Tarjeta TF y AUX - 4 Horas de Reproducción Musical - Ideal para Trabajo Cotidiano, Juegos y Estudio</t>
        </is>
      </c>
      <c r="H4620" s="16" t="inlineStr">
        <is>
          <t>BLANCO</t>
        </is>
      </c>
      <c r="I4620" s="16" t="n">
        <v>1</v>
      </c>
      <c r="J4620" s="17" t="n">
        <v>38</v>
      </c>
      <c r="K4620" s="17" t="n">
        <v>51.12</v>
      </c>
      <c r="L4620" s="17" t="n">
        <v>25.86</v>
      </c>
      <c r="M4620" s="17" t="n">
        <v>0</v>
      </c>
      <c r="N4620" s="17">
        <f>K4620*0.08+L4620*0.08</f>
        <v/>
      </c>
      <c r="O4620" s="17">
        <f>-(K4620*0.025+L4620*0.025)</f>
        <v/>
      </c>
      <c r="P4620" s="17">
        <f>32</f>
        <v/>
      </c>
      <c r="Q4620" s="17">
        <f>J4620+L4620+N4620+O4620-P4620-M4620</f>
        <v/>
      </c>
    </row>
    <row r="4621">
      <c r="A4621" s="16" t="inlineStr">
        <is>
          <t>5.8-5.14</t>
        </is>
      </c>
      <c r="B4621" s="16" t="inlineStr">
        <is>
          <t>PO-128-10212699966070086</t>
        </is>
      </c>
      <c r="C4621" s="16" t="inlineStr">
        <is>
          <t>Shipped</t>
        </is>
      </c>
      <c r="D4621" s="16" t="inlineStr">
        <is>
          <t>128-10212684237430086</t>
        </is>
      </c>
      <c r="E4621" s="16" t="inlineStr">
        <is>
          <t>Shipped</t>
        </is>
      </c>
      <c r="F4621" s="16" t="inlineStr">
        <is>
          <t>VB347T</t>
        </is>
      </c>
      <c r="G462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621" s="16" t="inlineStr">
        <is>
          <t>1 pieza</t>
        </is>
      </c>
      <c r="I4621" s="16" t="n">
        <v>1</v>
      </c>
      <c r="J4621" s="17" t="n">
        <v>79.90000000000001</v>
      </c>
      <c r="K4621" s="17" t="n">
        <v>94.51000000000001</v>
      </c>
      <c r="L4621" s="17" t="n">
        <v>25.86</v>
      </c>
      <c r="M4621" s="17" t="n">
        <v>0</v>
      </c>
      <c r="N4621" s="17">
        <f>K4621*0.08+L4621*0.08</f>
        <v/>
      </c>
      <c r="O4621" s="17">
        <f>-(K4621*0.025+L4621*0.025)</f>
        <v/>
      </c>
      <c r="P4621" s="17">
        <f>32</f>
        <v/>
      </c>
      <c r="Q4621" s="17">
        <f>J4621+L4621+N4621+O4621-P4621-M4621</f>
        <v/>
      </c>
    </row>
    <row r="4622">
      <c r="A4622" s="16" t="inlineStr">
        <is>
          <t>5.8-5.14</t>
        </is>
      </c>
      <c r="B4622" s="16" t="inlineStr">
        <is>
          <t>PO-128-15519832858231223</t>
        </is>
      </c>
      <c r="C4622" s="16" t="inlineStr">
        <is>
          <t>Shipped</t>
        </is>
      </c>
      <c r="D4622" s="16" t="inlineStr">
        <is>
          <t>128-15519811886711223</t>
        </is>
      </c>
      <c r="E4622" s="16" t="inlineStr">
        <is>
          <t>Shipped</t>
        </is>
      </c>
      <c r="F4622" s="16" t="inlineStr">
        <is>
          <t>LV25W22</t>
        </is>
      </c>
      <c r="G462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2" s="16" t="inlineStr">
        <is>
          <t>LV25W32</t>
        </is>
      </c>
      <c r="I4622" s="16" t="n">
        <v>2</v>
      </c>
      <c r="J4622" s="17" t="n">
        <v>194</v>
      </c>
      <c r="K4622" s="17" t="n">
        <v>214.82</v>
      </c>
      <c r="L4622" s="17" t="n">
        <v>25.86</v>
      </c>
      <c r="M4622" s="17" t="n">
        <v>0</v>
      </c>
      <c r="N4622" s="17">
        <f>K4622*0.08+L4622*0.08</f>
        <v/>
      </c>
      <c r="O4622" s="17">
        <f>-(K4622*0.025+L4622*0.025)</f>
        <v/>
      </c>
      <c r="P4622" s="17">
        <f>32</f>
        <v/>
      </c>
      <c r="Q4622" s="17">
        <f>J4622+L4622+N4622+O4622-P4622-M4622</f>
        <v/>
      </c>
    </row>
    <row r="4623">
      <c r="A4623" s="16" t="inlineStr">
        <is>
          <t>5.8-5.14</t>
        </is>
      </c>
      <c r="B4623" s="16" t="inlineStr">
        <is>
          <t>PO-128-15562117402231995</t>
        </is>
      </c>
      <c r="C4623" s="16" t="inlineStr">
        <is>
          <t>Shipped</t>
        </is>
      </c>
      <c r="D4623" s="16" t="inlineStr">
        <is>
          <t>128-15562138373751995</t>
        </is>
      </c>
      <c r="E4623" s="16" t="inlineStr">
        <is>
          <t>Shipped</t>
        </is>
      </c>
      <c r="F4623" s="16" t="inlineStr">
        <is>
          <t>LV25W22</t>
        </is>
      </c>
      <c r="G462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3" s="16" t="inlineStr">
        <is>
          <t>LV25W32</t>
        </is>
      </c>
      <c r="I4623" s="16" t="n">
        <v>1</v>
      </c>
      <c r="J4623" s="17" t="n">
        <v>97</v>
      </c>
      <c r="K4623" s="17" t="n">
        <v>96.67</v>
      </c>
      <c r="L4623" s="17" t="n">
        <v>25.86</v>
      </c>
      <c r="M4623" s="17" t="n">
        <v>0</v>
      </c>
      <c r="N4623" s="17">
        <f>K4623*0.08+L4623*0.08</f>
        <v/>
      </c>
      <c r="O4623" s="17">
        <f>-(K4623*0.025+L4623*0.025)</f>
        <v/>
      </c>
      <c r="P4623" s="17">
        <f>32</f>
        <v/>
      </c>
      <c r="Q4623" s="17">
        <f>J4623+L4623+N4623+O4623-P4623-M4623</f>
        <v/>
      </c>
    </row>
    <row r="4624">
      <c r="A4624" s="16" t="inlineStr">
        <is>
          <t>5.8-5.14</t>
        </is>
      </c>
      <c r="B4624" s="16" t="inlineStr">
        <is>
          <t>PO-128-15148139932793375</t>
        </is>
      </c>
      <c r="C4624" s="16" t="inlineStr">
        <is>
          <t>Shipped</t>
        </is>
      </c>
      <c r="D4624" s="16" t="inlineStr">
        <is>
          <t>128-15148097989753375</t>
        </is>
      </c>
      <c r="E4624" s="16" t="inlineStr">
        <is>
          <t>Shipped</t>
        </is>
      </c>
      <c r="F4624" s="16" t="inlineStr">
        <is>
          <t>LV34W04</t>
        </is>
      </c>
      <c r="G4624"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624" s="16" t="inlineStr">
        <is>
          <t>LV34W04</t>
        </is>
      </c>
      <c r="I4624" s="16" t="n">
        <v>1</v>
      </c>
      <c r="J4624" s="17" t="n">
        <v>279</v>
      </c>
      <c r="K4624" s="17" t="n">
        <v>304.03</v>
      </c>
      <c r="L4624" s="17" t="n">
        <v>0</v>
      </c>
      <c r="M4624" s="17" t="n">
        <v>0</v>
      </c>
      <c r="N4624" s="17">
        <f>K4624*0.08+L4624*0.08</f>
        <v/>
      </c>
      <c r="O4624" s="17">
        <f>-(K4624*0.025+L4624*0.025)</f>
        <v/>
      </c>
      <c r="P4624" s="17">
        <f>32</f>
        <v/>
      </c>
      <c r="Q4624" s="17">
        <f>J4624+L4624+N4624+O4624-P4624-M4624</f>
        <v/>
      </c>
    </row>
    <row r="4625">
      <c r="A4625" s="16" t="inlineStr">
        <is>
          <t>5.8-5.14</t>
        </is>
      </c>
      <c r="B4625" s="16" t="inlineStr">
        <is>
          <t>PO-128-15475925189751485</t>
        </is>
      </c>
      <c r="C4625" s="16" t="inlineStr">
        <is>
          <t>Shipped</t>
        </is>
      </c>
      <c r="D4625" s="16" t="inlineStr">
        <is>
          <t>128-15475946161271485</t>
        </is>
      </c>
      <c r="E4625" s="16" t="inlineStr">
        <is>
          <t>Shipped</t>
        </is>
      </c>
      <c r="F4625" s="16" t="inlineStr">
        <is>
          <t>LV25W22</t>
        </is>
      </c>
      <c r="G46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5" s="16" t="inlineStr">
        <is>
          <t>LV25W32</t>
        </is>
      </c>
      <c r="I4625" s="16" t="n">
        <v>2</v>
      </c>
      <c r="J4625" s="17" t="n">
        <v>194</v>
      </c>
      <c r="K4625" s="17" t="n">
        <v>214.82</v>
      </c>
      <c r="L4625" s="17" t="n">
        <v>25.86</v>
      </c>
      <c r="M4625" s="17" t="n">
        <v>0</v>
      </c>
      <c r="N4625" s="17">
        <f>K4625*0.08+L4625*0.08</f>
        <v/>
      </c>
      <c r="O4625" s="17">
        <f>-(K4625*0.025+L4625*0.025)</f>
        <v/>
      </c>
      <c r="P4625" s="17">
        <f>32</f>
        <v/>
      </c>
      <c r="Q4625" s="17">
        <f>J4625+L4625+N4625+O4625-P4625-M4625</f>
        <v/>
      </c>
    </row>
    <row r="4626">
      <c r="A4626" s="16" t="inlineStr">
        <is>
          <t>5.8-5.14</t>
        </is>
      </c>
      <c r="B4626" s="16" t="inlineStr">
        <is>
          <t>PO-128-15510931899511210</t>
        </is>
      </c>
      <c r="C4626" s="16" t="inlineStr">
        <is>
          <t>Shipped</t>
        </is>
      </c>
      <c r="D4626" s="16" t="inlineStr">
        <is>
          <t>128-15510942385271210</t>
        </is>
      </c>
      <c r="E4626" s="16" t="inlineStr">
        <is>
          <t>Shipped</t>
        </is>
      </c>
      <c r="F4626" s="16" t="inlineStr">
        <is>
          <t>LV25W22</t>
        </is>
      </c>
      <c r="G46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6" s="16" t="inlineStr">
        <is>
          <t>LV25W32</t>
        </is>
      </c>
      <c r="I4626" s="16" t="n">
        <v>1</v>
      </c>
      <c r="J4626" s="17" t="n">
        <v>97</v>
      </c>
      <c r="K4626" s="17" t="n">
        <v>80.37</v>
      </c>
      <c r="L4626" s="17" t="n">
        <v>25.86</v>
      </c>
      <c r="M4626" s="17" t="n">
        <v>0</v>
      </c>
      <c r="N4626" s="17">
        <f>K4626*0.08+L4626*0.08</f>
        <v/>
      </c>
      <c r="O4626" s="17">
        <f>-(K4626*0.025+L4626*0.025)</f>
        <v/>
      </c>
      <c r="P4626" s="17">
        <f>32</f>
        <v/>
      </c>
      <c r="Q4626" s="17">
        <f>J4626+L4626+N4626+O4626-P4626-M4626</f>
        <v/>
      </c>
    </row>
    <row r="4627">
      <c r="A4627" s="16" t="inlineStr">
        <is>
          <t>5.8-5.14</t>
        </is>
      </c>
      <c r="B4627" s="16" t="inlineStr">
        <is>
          <t>PO-128-15581106721911880</t>
        </is>
      </c>
      <c r="C4627" s="16" t="inlineStr">
        <is>
          <t>Shipped</t>
        </is>
      </c>
      <c r="D4627" s="16" t="inlineStr">
        <is>
          <t>128-15581127693431880</t>
        </is>
      </c>
      <c r="E4627" s="16" t="inlineStr">
        <is>
          <t>Shipped</t>
        </is>
      </c>
      <c r="F4627" s="16" t="inlineStr">
        <is>
          <t>LV25W22</t>
        </is>
      </c>
      <c r="G46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7" s="16" t="inlineStr">
        <is>
          <t>LV25W32</t>
        </is>
      </c>
      <c r="I4627" s="16" t="n">
        <v>1</v>
      </c>
      <c r="J4627" s="17" t="n">
        <v>97</v>
      </c>
      <c r="K4627" s="17" t="n">
        <v>64.31</v>
      </c>
      <c r="L4627" s="17" t="n">
        <v>25.86</v>
      </c>
      <c r="M4627" s="17" t="n">
        <v>0</v>
      </c>
      <c r="N4627" s="17">
        <f>K4627*0.08+L4627*0.08</f>
        <v/>
      </c>
      <c r="O4627" s="17">
        <f>-(K4627*0.025+L4627*0.025)</f>
        <v/>
      </c>
      <c r="P4627" s="17">
        <f>32</f>
        <v/>
      </c>
      <c r="Q4627" s="17">
        <f>J4627+L4627+N4627+O4627-P4627-M4627</f>
        <v/>
      </c>
    </row>
    <row r="4628">
      <c r="A4628" s="16" t="inlineStr">
        <is>
          <t>5.8-5.14</t>
        </is>
      </c>
      <c r="B4628" s="16" t="inlineStr">
        <is>
          <t>PO-128-15795986509430601</t>
        </is>
      </c>
      <c r="C4628" s="16" t="inlineStr">
        <is>
          <t>Shipped</t>
        </is>
      </c>
      <c r="D4628" s="16" t="inlineStr">
        <is>
          <t>128-15795944566390601</t>
        </is>
      </c>
      <c r="E4628" s="16" t="inlineStr">
        <is>
          <t>Shipped</t>
        </is>
      </c>
      <c r="F4628" s="16" t="inlineStr">
        <is>
          <t>LB02235-azul</t>
        </is>
      </c>
      <c r="G4628" s="16" t="inlineStr">
        <is>
          <t>Audífonos Inalámbricos para la Cabeza, Recargables y Multifuncionales - Conectan a Varios Dispositivos, soportan Radio FM, Tarjeta TF y AUX - 4 Horas de Reproducción Musical - Ideal para Trabajo Cotidiano, Juegos y Estudio</t>
        </is>
      </c>
      <c r="H4628" s="16" t="inlineStr">
        <is>
          <t>AZUL</t>
        </is>
      </c>
      <c r="I4628" s="16" t="n">
        <v>1</v>
      </c>
      <c r="J4628" s="17" t="n">
        <v>37.6</v>
      </c>
      <c r="K4628" s="17" t="n">
        <v>45.16</v>
      </c>
      <c r="L4628" s="17" t="n">
        <v>25.86</v>
      </c>
      <c r="M4628" s="17" t="n">
        <v>0</v>
      </c>
      <c r="N4628" s="17">
        <f>K4628*0.08+L4628*0.08</f>
        <v/>
      </c>
      <c r="O4628" s="17">
        <f>-(K4628*0.025+L4628*0.025)</f>
        <v/>
      </c>
      <c r="P4628" s="17">
        <f>32</f>
        <v/>
      </c>
      <c r="Q4628" s="17">
        <f>J4628+L4628+N4628+O4628-P4628-M4628</f>
        <v/>
      </c>
    </row>
    <row r="4629">
      <c r="A4629" s="16" t="inlineStr">
        <is>
          <t>5.8-5.14</t>
        </is>
      </c>
      <c r="B4629" s="16" t="inlineStr">
        <is>
          <t>PO-128-15292644088952449</t>
        </is>
      </c>
      <c r="C4629" s="16" t="inlineStr">
        <is>
          <t>Shipped</t>
        </is>
      </c>
      <c r="D4629" s="16" t="inlineStr">
        <is>
          <t>128-15292682099832449</t>
        </is>
      </c>
      <c r="E4629" s="16" t="inlineStr">
        <is>
          <t>Shipped</t>
        </is>
      </c>
      <c r="F4629" s="16" t="inlineStr">
        <is>
          <t>LV25W22</t>
        </is>
      </c>
      <c r="G46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29" s="16" t="inlineStr">
        <is>
          <t>LV25W32</t>
        </is>
      </c>
      <c r="I4629" s="16" t="n">
        <v>1</v>
      </c>
      <c r="J4629" s="17" t="n">
        <v>97</v>
      </c>
      <c r="K4629" s="17" t="n">
        <v>107.41</v>
      </c>
      <c r="L4629" s="17" t="n">
        <v>25.86</v>
      </c>
      <c r="M4629" s="17" t="n">
        <v>0</v>
      </c>
      <c r="N4629" s="17">
        <f>K4629*0.08+L4629*0.08</f>
        <v/>
      </c>
      <c r="O4629" s="17">
        <f>-(K4629*0.025+L4629*0.025)</f>
        <v/>
      </c>
      <c r="P4629" s="17">
        <f>32</f>
        <v/>
      </c>
      <c r="Q4629" s="17">
        <f>J4629+L4629+N4629+O4629-P4629-M4629</f>
        <v/>
      </c>
    </row>
    <row r="4630">
      <c r="A4630" s="16" t="inlineStr">
        <is>
          <t>5.8-5.14</t>
        </is>
      </c>
      <c r="B4630" s="16" t="inlineStr">
        <is>
          <t>PO-128-15370818737272175</t>
        </is>
      </c>
      <c r="C4630" s="16" t="inlineStr">
        <is>
          <t>Shipped</t>
        </is>
      </c>
      <c r="D4630" s="16" t="inlineStr">
        <is>
          <t>128-15370923594872175</t>
        </is>
      </c>
      <c r="E4630" s="16" t="inlineStr">
        <is>
          <t>Shipped</t>
        </is>
      </c>
      <c r="F4630" s="16" t="inlineStr">
        <is>
          <t>MCM-001G</t>
        </is>
      </c>
      <c r="G4630" s="16" t="inlineStr">
        <is>
          <t>Musicord Altavoz Inalámbrico BT Portátil: ¡Sonido impactante, luces LED multicolores y 4 horas de autonomía! Compatible con TWS, FM, TF y USB – Imprescindible para fiestas y viajes</t>
        </is>
      </c>
      <c r="H4630" s="16" t="inlineStr">
        <is>
          <t>GRIS</t>
        </is>
      </c>
      <c r="I4630" s="16" t="n">
        <v>1</v>
      </c>
      <c r="J4630" s="17" t="n">
        <v>51.07</v>
      </c>
      <c r="K4630" s="17" t="n">
        <v>62.34</v>
      </c>
      <c r="L4630" s="17" t="n">
        <v>25.86</v>
      </c>
      <c r="M4630" s="17" t="n">
        <v>0</v>
      </c>
      <c r="N4630" s="17">
        <f>K4630*0.08+L4630*0.08</f>
        <v/>
      </c>
      <c r="O4630" s="17">
        <f>-(K4630*0.025+L4630*0.025)</f>
        <v/>
      </c>
      <c r="P4630" s="17">
        <f>32</f>
        <v/>
      </c>
      <c r="Q4630" s="17">
        <f>J4630+L4630+N4630+O4630-P4630-M4630</f>
        <v/>
      </c>
    </row>
    <row r="4631">
      <c r="A4631" s="16" t="inlineStr">
        <is>
          <t>5.8-5.14</t>
        </is>
      </c>
      <c r="B4631" s="16" t="inlineStr">
        <is>
          <t>PO-128-15366166666872139</t>
        </is>
      </c>
      <c r="C4631" s="16" t="inlineStr">
        <is>
          <t>Shipped</t>
        </is>
      </c>
      <c r="D4631" s="16" t="inlineStr">
        <is>
          <t>128-15366103752312139</t>
        </is>
      </c>
      <c r="E4631" s="16" t="inlineStr">
        <is>
          <t>Shipped</t>
        </is>
      </c>
      <c r="F4631" s="16" t="inlineStr">
        <is>
          <t>LV34W04</t>
        </is>
      </c>
      <c r="G4631"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4631" s="16" t="inlineStr">
        <is>
          <t>LV34W04</t>
        </is>
      </c>
      <c r="I4631" s="16" t="n">
        <v>1</v>
      </c>
      <c r="J4631" s="17" t="n">
        <v>279</v>
      </c>
      <c r="K4631" s="17" t="n">
        <v>337.81</v>
      </c>
      <c r="L4631" s="17" t="n">
        <v>0</v>
      </c>
      <c r="M4631" s="17" t="n">
        <v>0</v>
      </c>
      <c r="N4631" s="17">
        <f>K4631*0.08+L4631*0.08</f>
        <v/>
      </c>
      <c r="O4631" s="17">
        <f>-(K4631*0.025+L4631*0.025)</f>
        <v/>
      </c>
      <c r="P4631" s="17">
        <f>32</f>
        <v/>
      </c>
      <c r="Q4631" s="17">
        <f>J4631+L4631+N4631+O4631-P4631-M4631</f>
        <v/>
      </c>
    </row>
    <row r="4632">
      <c r="A4632" s="16" t="inlineStr">
        <is>
          <t>5.8-5.14</t>
        </is>
      </c>
      <c r="B4632" s="16" t="inlineStr">
        <is>
          <t>PO-128-15126571740793503</t>
        </is>
      </c>
      <c r="C4632" s="16" t="inlineStr">
        <is>
          <t>Shipped</t>
        </is>
      </c>
      <c r="D4632" s="16" t="inlineStr">
        <is>
          <t>128-15126550769273503</t>
        </is>
      </c>
      <c r="E4632" s="16" t="inlineStr">
        <is>
          <t>Shipped</t>
        </is>
      </c>
      <c r="F4632" s="16" t="inlineStr">
        <is>
          <t>LV25W22</t>
        </is>
      </c>
      <c r="G463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32" s="16" t="inlineStr">
        <is>
          <t>LV25W32</t>
        </is>
      </c>
      <c r="I4632" s="16" t="n">
        <v>1</v>
      </c>
      <c r="J4632" s="17" t="n">
        <v>97</v>
      </c>
      <c r="K4632" s="17" t="n">
        <v>100.61</v>
      </c>
      <c r="L4632" s="17" t="n">
        <v>25.86</v>
      </c>
      <c r="M4632" s="17" t="n">
        <v>0</v>
      </c>
      <c r="N4632" s="17">
        <f>K4632*0.08+L4632*0.08</f>
        <v/>
      </c>
      <c r="O4632" s="17">
        <f>-(K4632*0.025+L4632*0.025)</f>
        <v/>
      </c>
      <c r="P4632" s="17">
        <f>32</f>
        <v/>
      </c>
      <c r="Q4632" s="17">
        <f>J4632+L4632+N4632+O4632-P4632-M4632</f>
        <v/>
      </c>
    </row>
    <row r="4633">
      <c r="A4633" s="16" t="inlineStr">
        <is>
          <t>5.8-5.14</t>
        </is>
      </c>
      <c r="B4633" s="16" t="inlineStr">
        <is>
          <t>PO-128-15308777741432545</t>
        </is>
      </c>
      <c r="C4633" s="16" t="inlineStr">
        <is>
          <t>Shipped</t>
        </is>
      </c>
      <c r="D4633" s="16" t="inlineStr">
        <is>
          <t>128-15308819684472545</t>
        </is>
      </c>
      <c r="E4633" s="16" t="inlineStr">
        <is>
          <t>Shipped</t>
        </is>
      </c>
      <c r="F4633" s="16" t="inlineStr">
        <is>
          <t>LV25W22</t>
        </is>
      </c>
      <c r="G463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33" s="16" t="inlineStr">
        <is>
          <t>LV25W32</t>
        </is>
      </c>
      <c r="I4633" s="16" t="n">
        <v>3</v>
      </c>
      <c r="J4633" s="17" t="n">
        <v>291</v>
      </c>
      <c r="K4633" s="17" t="n">
        <v>322.23</v>
      </c>
      <c r="L4633" s="17" t="n">
        <v>0</v>
      </c>
      <c r="M4633" s="17" t="n">
        <v>0</v>
      </c>
      <c r="N4633" s="17">
        <f>K4633*0.08+L4633*0.08</f>
        <v/>
      </c>
      <c r="O4633" s="17">
        <f>-(K4633*0.025+L4633*0.025)</f>
        <v/>
      </c>
      <c r="P4633" s="17">
        <f>32</f>
        <v/>
      </c>
      <c r="Q4633" s="17">
        <f>J4633+L4633+N4633+O4633-P4633-M4633</f>
        <v/>
      </c>
    </row>
    <row r="4634">
      <c r="A4634" s="16" t="inlineStr">
        <is>
          <t>5.8-5.14</t>
        </is>
      </c>
      <c r="B4634" s="16" t="inlineStr">
        <is>
          <t>PO-128-15789047063670512</t>
        </is>
      </c>
      <c r="C4634" s="16" t="inlineStr">
        <is>
          <t>Shipped</t>
        </is>
      </c>
      <c r="D4634" s="16" t="inlineStr">
        <is>
          <t>128-15789044442230512</t>
        </is>
      </c>
      <c r="E4634" s="16" t="inlineStr">
        <is>
          <t>Shipped</t>
        </is>
      </c>
      <c r="F4634" s="16" t="inlineStr">
        <is>
          <t>LV25W22</t>
        </is>
      </c>
      <c r="G463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34" s="16" t="inlineStr">
        <is>
          <t>LV25W32</t>
        </is>
      </c>
      <c r="I4634" s="16" t="n">
        <v>1</v>
      </c>
      <c r="J4634" s="17" t="n">
        <v>97</v>
      </c>
      <c r="K4634" s="17" t="n">
        <v>107.41</v>
      </c>
      <c r="L4634" s="17" t="n">
        <v>25.86</v>
      </c>
      <c r="M4634" s="17" t="n">
        <v>0</v>
      </c>
      <c r="N4634" s="17">
        <f>K4634*0.08+L4634*0.08</f>
        <v/>
      </c>
      <c r="O4634" s="17">
        <f>-(K4634*0.025+L4634*0.025)</f>
        <v/>
      </c>
      <c r="P4634" s="17">
        <f>32</f>
        <v/>
      </c>
      <c r="Q4634" s="17">
        <f>J4634+L4634+N4634+O4634-P4634-M4634</f>
        <v/>
      </c>
    </row>
    <row r="4635">
      <c r="A4635" s="16" t="inlineStr">
        <is>
          <t>5.8-5.14</t>
        </is>
      </c>
      <c r="B4635" s="16" t="inlineStr">
        <is>
          <t>PO-128-15550775268471935</t>
        </is>
      </c>
      <c r="C4635" s="16" t="inlineStr">
        <is>
          <t>Shipped</t>
        </is>
      </c>
      <c r="D4635" s="16" t="inlineStr">
        <is>
          <t>128-15550785754231935</t>
        </is>
      </c>
      <c r="E4635" s="16" t="inlineStr">
        <is>
          <t>Shipped</t>
        </is>
      </c>
      <c r="F4635" s="16" t="inlineStr">
        <is>
          <t>KTS-1678Y</t>
        </is>
      </c>
      <c r="G4635" s="16" t="inlineStr">
        <is>
          <t>Bocina portátil Inalámbrico, de 3 pulgadas, tamaño de bolsillo, 170 g, con asa, compatible con TF, USB y Micro SD, con radio FM y función TWS (True Wireless Stereo), adecuada para relajarse en casa o viajar al aire libre.</t>
        </is>
      </c>
      <c r="H4635" s="16" t="inlineStr">
        <is>
          <t>KTS-1678Y</t>
        </is>
      </c>
      <c r="I4635" s="16" t="n">
        <v>1</v>
      </c>
      <c r="J4635" s="17" t="n">
        <v>41</v>
      </c>
      <c r="K4635" s="17" t="n">
        <v>42.48</v>
      </c>
      <c r="L4635" s="17" t="n">
        <v>25.86</v>
      </c>
      <c r="M4635" s="17" t="n">
        <v>0</v>
      </c>
      <c r="N4635" s="17">
        <f>K4635*0.08+L4635*0.08</f>
        <v/>
      </c>
      <c r="O4635" s="17">
        <f>-(K4635*0.025+L4635*0.025)</f>
        <v/>
      </c>
      <c r="P4635" s="17">
        <f>32</f>
        <v/>
      </c>
      <c r="Q4635" s="17">
        <f>J4635+L4635+N4635+O4635-P4635-M4635</f>
        <v/>
      </c>
    </row>
    <row r="4636">
      <c r="A4636" s="16" t="inlineStr">
        <is>
          <t>5.8-5.14</t>
        </is>
      </c>
      <c r="B4636" s="16" t="inlineStr">
        <is>
          <t>PO-128-15656996531830276</t>
        </is>
      </c>
      <c r="C4636" s="16" t="inlineStr">
        <is>
          <t>Shipped</t>
        </is>
      </c>
      <c r="D4636" s="16" t="inlineStr">
        <is>
          <t>128-15656954588790276</t>
        </is>
      </c>
      <c r="E4636" s="16" t="inlineStr">
        <is>
          <t>Shipped</t>
        </is>
      </c>
      <c r="F4636" s="16" t="inlineStr">
        <is>
          <t>MCM-001A</t>
        </is>
      </c>
      <c r="G4636" s="16" t="inlineStr">
        <is>
          <t>Musicord Altavoz Inalámbrico BT Portátil: ¡Sonido impactante, luces LED multicolores y 4 horas de autonomía! Compatible con TWS, FM, TF y USB – Imprescindible para fiestas y viajes</t>
        </is>
      </c>
      <c r="H4636" s="16" t="inlineStr">
        <is>
          <t>AZUL</t>
        </is>
      </c>
      <c r="I4636" s="16" t="n">
        <v>1</v>
      </c>
      <c r="J4636" s="17" t="n">
        <v>51.08</v>
      </c>
      <c r="K4636" s="17" t="n">
        <v>6.02</v>
      </c>
      <c r="L4636" s="17" t="n">
        <v>25.86</v>
      </c>
      <c r="M4636" s="17" t="n">
        <v>0</v>
      </c>
      <c r="N4636" s="17">
        <f>K4636*0.08+L4636*0.08</f>
        <v/>
      </c>
      <c r="O4636" s="17">
        <f>-(K4636*0.025+L4636*0.025)</f>
        <v/>
      </c>
      <c r="P4636" s="17">
        <f>32</f>
        <v/>
      </c>
      <c r="Q4636" s="17">
        <f>J4636+L4636+N4636+O4636-P4636-M4636</f>
        <v/>
      </c>
    </row>
    <row r="4637">
      <c r="A4637" s="16" t="inlineStr">
        <is>
          <t>5.8-5.14</t>
        </is>
      </c>
      <c r="B4637" s="16" t="inlineStr">
        <is>
          <t>PO-128-15688227310710219</t>
        </is>
      </c>
      <c r="C4637" s="16" t="inlineStr">
        <is>
          <t>Shipped</t>
        </is>
      </c>
      <c r="D4637" s="16" t="inlineStr">
        <is>
          <t>128-15688363625590219</t>
        </is>
      </c>
      <c r="E4637" s="16" t="inlineStr">
        <is>
          <t>Shipped</t>
        </is>
      </c>
      <c r="F4637" s="16" t="inlineStr">
        <is>
          <t>LB02235-negro</t>
        </is>
      </c>
      <c r="G4637" s="16" t="inlineStr">
        <is>
          <t>Audífonos Inalámbricos para la Cabeza, Recargables y Multifuncionales - Conectan a Varios Dispositivos, soportan Radio FM, Tarjeta TF y AUX - 4 Horas de Reproducción Musical - Ideal para Trabajo Cotidiano, Juegos y Estudio</t>
        </is>
      </c>
      <c r="H4637" s="16" t="inlineStr">
        <is>
          <t>NEGRO</t>
        </is>
      </c>
      <c r="I4637" s="16" t="n">
        <v>1</v>
      </c>
      <c r="J4637" s="17" t="n">
        <v>45.31</v>
      </c>
      <c r="K4637" s="17" t="n">
        <v>1.47</v>
      </c>
      <c r="L4637" s="17" t="n">
        <v>25.86</v>
      </c>
      <c r="M4637" s="17" t="n">
        <v>0</v>
      </c>
      <c r="N4637" s="17">
        <f>K4637*0.08+L4637*0.08</f>
        <v/>
      </c>
      <c r="O4637" s="17">
        <f>-(K4637*0.025+L4637*0.025)</f>
        <v/>
      </c>
      <c r="P4637" s="17">
        <f>32</f>
        <v/>
      </c>
      <c r="Q4637" s="17">
        <f>J4637+L4637+N4637+O4637-P4637-M4637</f>
        <v/>
      </c>
    </row>
    <row r="4638">
      <c r="A4638" s="16" t="inlineStr">
        <is>
          <t>5.8-5.14</t>
        </is>
      </c>
      <c r="B4638" s="16" t="inlineStr">
        <is>
          <t>PO-128-15266667925113818</t>
        </is>
      </c>
      <c r="C4638" s="16" t="inlineStr">
        <is>
          <t>Shipped</t>
        </is>
      </c>
      <c r="D4638" s="16" t="inlineStr">
        <is>
          <t>128-15266646953593818</t>
        </is>
      </c>
      <c r="E4638" s="16" t="inlineStr">
        <is>
          <t>Shipped</t>
        </is>
      </c>
      <c r="F4638" s="16" t="inlineStr">
        <is>
          <t>FA028</t>
        </is>
      </c>
      <c r="G4638" s="16" t="inlineStr">
        <is>
          <t>Extractor de agua para garrafas de agua, compatible con carga USB, extractor de agua automático, práctico, con dos modos de toma de agua: manual y programado, ideal para dormitorios, salones, oficinas, uso al aire libre y otros escenarios.</t>
        </is>
      </c>
      <c r="H4638" s="16" t="inlineStr">
        <is>
          <t>FA028</t>
        </is>
      </c>
      <c r="I4638" s="16" t="n">
        <v>1</v>
      </c>
      <c r="J4638" s="17" t="n">
        <v>30</v>
      </c>
      <c r="K4638" s="17" t="n">
        <v>39.58</v>
      </c>
      <c r="L4638" s="17" t="n">
        <v>25.86</v>
      </c>
      <c r="M4638" s="17" t="n">
        <v>0</v>
      </c>
      <c r="N4638" s="17">
        <f>K4638*0.08+L4638*0.08</f>
        <v/>
      </c>
      <c r="O4638" s="17">
        <f>-(K4638*0.025+L4638*0.025)</f>
        <v/>
      </c>
      <c r="P4638" s="17">
        <f>32</f>
        <v/>
      </c>
      <c r="Q4638" s="17">
        <f>J4638+L4638+N4638+O4638-P4638-M4638</f>
        <v/>
      </c>
    </row>
    <row r="4639">
      <c r="A4639" s="16" t="inlineStr">
        <is>
          <t>5.8-5.14</t>
        </is>
      </c>
      <c r="B4639" s="16" t="inlineStr">
        <is>
          <t>PO-128-15155141463673397</t>
        </is>
      </c>
      <c r="C4639" s="16" t="inlineStr">
        <is>
          <t>Shipped</t>
        </is>
      </c>
      <c r="D4639" s="16" t="inlineStr">
        <is>
          <t>128-15155162435193397</t>
        </is>
      </c>
      <c r="E4639" s="16" t="inlineStr">
        <is>
          <t>Shipped</t>
        </is>
      </c>
      <c r="F4639" s="16" t="inlineStr">
        <is>
          <t>VB347T</t>
        </is>
      </c>
      <c r="G4639"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639" s="16" t="inlineStr">
        <is>
          <t>1 pieza</t>
        </is>
      </c>
      <c r="I4639" s="16" t="n">
        <v>1</v>
      </c>
      <c r="J4639" s="17" t="n">
        <v>79.90000000000001</v>
      </c>
      <c r="K4639" s="17" t="n">
        <v>75.59999999999999</v>
      </c>
      <c r="L4639" s="17" t="n">
        <v>25.86</v>
      </c>
      <c r="M4639" s="17" t="n">
        <v>0</v>
      </c>
      <c r="N4639" s="17">
        <f>K4639*0.08+L4639*0.08</f>
        <v/>
      </c>
      <c r="O4639" s="17">
        <f>-(K4639*0.025+L4639*0.025)</f>
        <v/>
      </c>
      <c r="P4639" s="17">
        <f>32</f>
        <v/>
      </c>
      <c r="Q4639" s="17">
        <f>J4639+L4639+N4639+O4639-P4639-M4639</f>
        <v/>
      </c>
    </row>
    <row r="4640">
      <c r="A4640" s="16" t="inlineStr">
        <is>
          <t>5.8-5.14</t>
        </is>
      </c>
      <c r="B4640" s="16" t="inlineStr">
        <is>
          <t>PO-128-15502901896311386</t>
        </is>
      </c>
      <c r="C4640" s="16" t="inlineStr">
        <is>
          <t>Shipped</t>
        </is>
      </c>
      <c r="D4640" s="16" t="inlineStr">
        <is>
          <t>128-15502943839351386</t>
        </is>
      </c>
      <c r="E4640" s="16" t="inlineStr">
        <is>
          <t>Shipped</t>
        </is>
      </c>
      <c r="F4640" s="16" t="inlineStr">
        <is>
          <t>SA8056T</t>
        </is>
      </c>
      <c r="G464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640" s="16" t="inlineStr">
        <is>
          <t>SA8056T</t>
        </is>
      </c>
      <c r="I4640" s="16" t="n">
        <v>1</v>
      </c>
      <c r="J4640" s="17" t="n">
        <v>123.9</v>
      </c>
      <c r="K4640" s="17" t="n">
        <v>129.86</v>
      </c>
      <c r="L4640" s="17" t="n">
        <v>25.86</v>
      </c>
      <c r="M4640" s="17" t="n">
        <v>0</v>
      </c>
      <c r="N4640" s="17">
        <f>K4640*0.08+L4640*0.08</f>
        <v/>
      </c>
      <c r="O4640" s="17">
        <f>-(K4640*0.025+L4640*0.025)</f>
        <v/>
      </c>
      <c r="P4640" s="17">
        <f>32</f>
        <v/>
      </c>
      <c r="Q4640" s="17">
        <f>J4640+L4640+N4640+O4640-P4640-M4640</f>
        <v/>
      </c>
    </row>
    <row r="4641">
      <c r="A4641" s="16" t="inlineStr">
        <is>
          <t>5.8-5.14</t>
        </is>
      </c>
      <c r="B4641" s="16" t="inlineStr">
        <is>
          <t>PO-128-15160765187193427</t>
        </is>
      </c>
      <c r="C4641" s="16" t="inlineStr">
        <is>
          <t>Shipped</t>
        </is>
      </c>
      <c r="D4641" s="16" t="inlineStr">
        <is>
          <t>128-15160870044793427</t>
        </is>
      </c>
      <c r="E4641" s="16" t="inlineStr">
        <is>
          <t>Shipped</t>
        </is>
      </c>
      <c r="F4641" s="16" t="inlineStr">
        <is>
          <t>SA323T</t>
        </is>
      </c>
      <c r="G4641" s="16" t="inlineStr">
        <is>
          <t>Linkbits Bocina Portátil Parlantes BT Portátiles con Iluminación de Ambiente | 1 Hora de Duración, FM, TWS, TF/Micro SD | Ideal para Hogar, Fiestas y Viajes</t>
        </is>
      </c>
      <c r="H4641" s="16" t="inlineStr">
        <is>
          <t>SA323T</t>
        </is>
      </c>
      <c r="I4641" s="16" t="n">
        <v>1</v>
      </c>
      <c r="J4641" s="17" t="n">
        <v>46</v>
      </c>
      <c r="K4641" s="17" t="n">
        <v>44.03</v>
      </c>
      <c r="L4641" s="17" t="n">
        <v>25.86</v>
      </c>
      <c r="M4641" s="17" t="n">
        <v>0</v>
      </c>
      <c r="N4641" s="17">
        <f>K4641*0.08+L4641*0.08</f>
        <v/>
      </c>
      <c r="O4641" s="17">
        <f>-(K4641*0.025+L4641*0.025)</f>
        <v/>
      </c>
      <c r="P4641" s="17">
        <f>32</f>
        <v/>
      </c>
      <c r="Q4641" s="17">
        <f>J4641+L4641+N4641+O4641-P4641-M4641</f>
        <v/>
      </c>
    </row>
    <row r="4642">
      <c r="A4642" s="16" t="inlineStr">
        <is>
          <t>5.8-5.14</t>
        </is>
      </c>
      <c r="B4642" s="16" t="inlineStr">
        <is>
          <t>PO-128-15311557484152529</t>
        </is>
      </c>
      <c r="C4642" s="16" t="inlineStr">
        <is>
          <t>Shipped</t>
        </is>
      </c>
      <c r="D4642" s="16" t="inlineStr">
        <is>
          <t>128-15311515541112529</t>
        </is>
      </c>
      <c r="E4642" s="16" t="inlineStr">
        <is>
          <t>Shipped</t>
        </is>
      </c>
      <c r="F4642" s="16" t="inlineStr">
        <is>
          <t>LV25W22</t>
        </is>
      </c>
      <c r="G464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42" s="16" t="inlineStr">
        <is>
          <t>LV25W32</t>
        </is>
      </c>
      <c r="I4642" s="16" t="n">
        <v>1</v>
      </c>
      <c r="J4642" s="17" t="n">
        <v>97</v>
      </c>
      <c r="K4642" s="17" t="n">
        <v>64.31</v>
      </c>
      <c r="L4642" s="17" t="n">
        <v>25.86</v>
      </c>
      <c r="M4642" s="17" t="n">
        <v>0</v>
      </c>
      <c r="N4642" s="17">
        <f>K4642*0.08+L4642*0.08</f>
        <v/>
      </c>
      <c r="O4642" s="17">
        <f>-(K4642*0.025+L4642*0.025)</f>
        <v/>
      </c>
      <c r="P4642" s="17">
        <f>32</f>
        <v/>
      </c>
      <c r="Q4642" s="17">
        <f>J4642+L4642+N4642+O4642-P4642-M4642</f>
        <v/>
      </c>
    </row>
    <row r="4643">
      <c r="A4643" s="16" t="inlineStr">
        <is>
          <t>5.8-5.14</t>
        </is>
      </c>
      <c r="B4643" s="16" t="inlineStr">
        <is>
          <t>PO-128-15229980419193847</t>
        </is>
      </c>
      <c r="C4643" s="16" t="inlineStr">
        <is>
          <t>Shipped</t>
        </is>
      </c>
      <c r="D4643" s="16" t="inlineStr">
        <is>
          <t>128-15229938476153847</t>
        </is>
      </c>
      <c r="E4643" s="16" t="inlineStr">
        <is>
          <t>Shipped</t>
        </is>
      </c>
      <c r="F4643" s="16" t="inlineStr">
        <is>
          <t>LV25W22</t>
        </is>
      </c>
      <c r="G464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43" s="16" t="inlineStr">
        <is>
          <t>LV25W32</t>
        </is>
      </c>
      <c r="I4643" s="16" t="n">
        <v>1</v>
      </c>
      <c r="J4643" s="17" t="n">
        <v>97</v>
      </c>
      <c r="K4643" s="17" t="n">
        <v>107.41</v>
      </c>
      <c r="L4643" s="17" t="n">
        <v>25.86</v>
      </c>
      <c r="M4643" s="17" t="n">
        <v>0</v>
      </c>
      <c r="N4643" s="17">
        <f>K4643*0.08+L4643*0.08</f>
        <v/>
      </c>
      <c r="O4643" s="17">
        <f>-(K4643*0.025+L4643*0.025)</f>
        <v/>
      </c>
      <c r="P4643" s="17">
        <f>32</f>
        <v/>
      </c>
      <c r="Q4643" s="17">
        <f>J4643+L4643+N4643+O4643-P4643-M4643</f>
        <v/>
      </c>
    </row>
    <row r="4644">
      <c r="A4644" s="16" t="inlineStr">
        <is>
          <t>5.8-5.14</t>
        </is>
      </c>
      <c r="B4644" s="16" t="inlineStr">
        <is>
          <t>PO-128-15492475149431320</t>
        </is>
      </c>
      <c r="C4644" s="16" t="inlineStr">
        <is>
          <t>Shipped</t>
        </is>
      </c>
      <c r="D4644" s="16" t="inlineStr">
        <is>
          <t>128-15492517092471320</t>
        </is>
      </c>
      <c r="E4644" s="16" t="inlineStr">
        <is>
          <t>Shipped</t>
        </is>
      </c>
      <c r="F4644" s="16" t="inlineStr">
        <is>
          <t>LB02235-negro</t>
        </is>
      </c>
      <c r="G4644" s="16" t="inlineStr">
        <is>
          <t>Audífonos Inalámbricos para la Cabeza, Recargables y Multifuncionales - Conectan a Varios Dispositivos, soportan Radio FM, Tarjeta TF y AUX - 4 Horas de Reproducción Musical - Ideal para Trabajo Cotidiano, Juegos y Estudio</t>
        </is>
      </c>
      <c r="H4644" s="16" t="inlineStr">
        <is>
          <t>NEGRO</t>
        </is>
      </c>
      <c r="I4644" s="16" t="n">
        <v>1</v>
      </c>
      <c r="J4644" s="17" t="n">
        <v>45.31</v>
      </c>
      <c r="K4644" s="17" t="n">
        <v>4.97</v>
      </c>
      <c r="L4644" s="17" t="n">
        <v>25.86</v>
      </c>
      <c r="M4644" s="17" t="n">
        <v>0</v>
      </c>
      <c r="N4644" s="17">
        <f>K4644*0.08+L4644*0.08</f>
        <v/>
      </c>
      <c r="O4644" s="17">
        <f>-(K4644*0.025+L4644*0.025)</f>
        <v/>
      </c>
      <c r="P4644" s="17">
        <f>32</f>
        <v/>
      </c>
      <c r="Q4644" s="17">
        <f>J4644+L4644+N4644+O4644-P4644-M4644</f>
        <v/>
      </c>
    </row>
    <row r="4645">
      <c r="A4645" s="16" t="inlineStr">
        <is>
          <t>5.8-5.14</t>
        </is>
      </c>
      <c r="B4645" s="16" t="inlineStr">
        <is>
          <t>PO-128-15492536438391320</t>
        </is>
      </c>
      <c r="C4645" s="16" t="inlineStr">
        <is>
          <t>Shipped</t>
        </is>
      </c>
      <c r="D4645" s="16" t="inlineStr">
        <is>
          <t>128-15492557409911320</t>
        </is>
      </c>
      <c r="E4645" s="16" t="inlineStr">
        <is>
          <t>Shipped</t>
        </is>
      </c>
      <c r="F4645" s="16" t="inlineStr">
        <is>
          <t>LB02235-rojo</t>
        </is>
      </c>
      <c r="G4645" s="16" t="inlineStr">
        <is>
          <t>Audífonos Inalámbricos para la Cabeza, Recargables y Multifuncionales - Conectan a Varios Dispositivos, soportan Radio FM, Tarjeta TF y AUX - 4 Horas de Reproducción Musical - Ideal para Trabajo Cotidiano, Juegos y Estudio</t>
        </is>
      </c>
      <c r="H4645" s="16" t="inlineStr">
        <is>
          <t>ROJO</t>
        </is>
      </c>
      <c r="I4645" s="16" t="n">
        <v>1</v>
      </c>
      <c r="J4645" s="17" t="n">
        <v>38</v>
      </c>
      <c r="K4645" s="17" t="n">
        <v>8.02</v>
      </c>
      <c r="L4645" s="17" t="n">
        <v>25.86</v>
      </c>
      <c r="M4645" s="17" t="n">
        <v>0</v>
      </c>
      <c r="N4645" s="17">
        <f>K4645*0.08+L4645*0.08</f>
        <v/>
      </c>
      <c r="O4645" s="17">
        <f>-(K4645*0.025+L4645*0.025)</f>
        <v/>
      </c>
      <c r="P4645" s="17">
        <f>32</f>
        <v/>
      </c>
      <c r="Q4645" s="17">
        <f>J4645+L4645+N4645+O4645-P4645-M4645</f>
        <v/>
      </c>
    </row>
    <row r="4646">
      <c r="A4646" s="16" t="inlineStr">
        <is>
          <t>5.8-5.14</t>
        </is>
      </c>
      <c r="B4646" s="16" t="inlineStr">
        <is>
          <t>PO-128-15652764470390495</t>
        </is>
      </c>
      <c r="C4646" s="16" t="inlineStr">
        <is>
          <t>Shipped</t>
        </is>
      </c>
      <c r="D4646" s="16" t="inlineStr">
        <is>
          <t>128-15652785441910495</t>
        </is>
      </c>
      <c r="E4646" s="16" t="inlineStr">
        <is>
          <t>Shipped</t>
        </is>
      </c>
      <c r="F4646" s="16" t="inlineStr">
        <is>
          <t>MCM-001N</t>
        </is>
      </c>
      <c r="G4646" s="16" t="inlineStr">
        <is>
          <t>Musicord Altavoz Inalámbrico BT Portátil: ¡Sonido impactante, luces LED multicolores y 4 horas de autonomía! Compatible con TWS, FM, TF y USB – Imprescindible para fiestas y viajes</t>
        </is>
      </c>
      <c r="H4646" s="16" t="inlineStr">
        <is>
          <t>NEGRO</t>
        </is>
      </c>
      <c r="I4646" s="16" t="n">
        <v>1</v>
      </c>
      <c r="J4646" s="17" t="n">
        <v>61</v>
      </c>
      <c r="K4646" s="17" t="n">
        <v>50.6</v>
      </c>
      <c r="L4646" s="17" t="n">
        <v>25.86</v>
      </c>
      <c r="M4646" s="17" t="n">
        <v>0</v>
      </c>
      <c r="N4646" s="17">
        <f>K4646*0.08+L4646*0.08</f>
        <v/>
      </c>
      <c r="O4646" s="17">
        <f>-(K4646*0.025+L4646*0.025)</f>
        <v/>
      </c>
      <c r="P4646" s="17">
        <f>32</f>
        <v/>
      </c>
      <c r="Q4646" s="17">
        <f>J4646+L4646+N4646+O4646-P4646-M4646</f>
        <v/>
      </c>
    </row>
    <row r="4647">
      <c r="A4647" s="16" t="inlineStr">
        <is>
          <t>5.8-5.14</t>
        </is>
      </c>
      <c r="B4647" s="16" t="inlineStr">
        <is>
          <t>PO-128-15683701141110180</t>
        </is>
      </c>
      <c r="C4647" s="16" t="inlineStr">
        <is>
          <t>Shipped</t>
        </is>
      </c>
      <c r="D4647" s="16" t="inlineStr">
        <is>
          <t>128-15683722112630180</t>
        </is>
      </c>
      <c r="E4647" s="16" t="inlineStr">
        <is>
          <t>Shipped</t>
        </is>
      </c>
      <c r="F4647" s="16" t="inlineStr">
        <is>
          <t>LV25W22</t>
        </is>
      </c>
      <c r="G46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47" s="16" t="inlineStr">
        <is>
          <t>LV25W32</t>
        </is>
      </c>
      <c r="I4647" s="16" t="n">
        <v>1</v>
      </c>
      <c r="J4647" s="17" t="n">
        <v>97</v>
      </c>
      <c r="K4647" s="17" t="n">
        <v>107.41</v>
      </c>
      <c r="L4647" s="17" t="n">
        <v>25.86</v>
      </c>
      <c r="M4647" s="17" t="n">
        <v>0</v>
      </c>
      <c r="N4647" s="17">
        <f>K4647*0.08+L4647*0.08</f>
        <v/>
      </c>
      <c r="O4647" s="17">
        <f>-(K4647*0.025+L4647*0.025)</f>
        <v/>
      </c>
      <c r="P4647" s="17">
        <f>32</f>
        <v/>
      </c>
      <c r="Q4647" s="17">
        <f>J4647+L4647+N4647+O4647-P4647-M4647</f>
        <v/>
      </c>
    </row>
    <row r="4648">
      <c r="A4648" s="16" t="inlineStr">
        <is>
          <t>5.8-5.14</t>
        </is>
      </c>
      <c r="B4648" s="16" t="inlineStr">
        <is>
          <t>PO-128-15164813010553211</t>
        </is>
      </c>
      <c r="C4648" s="16" t="inlineStr">
        <is>
          <t>Shipped</t>
        </is>
      </c>
      <c r="D4648" s="16" t="inlineStr">
        <is>
          <t>128-15164854953593211</t>
        </is>
      </c>
      <c r="E4648" s="16" t="inlineStr">
        <is>
          <t>Shipped</t>
        </is>
      </c>
      <c r="F4648" s="16" t="inlineStr">
        <is>
          <t>SA325T</t>
        </is>
      </c>
      <c r="G4648" s="16" t="inlineStr">
        <is>
          <t>Subwoofer Portátil Inalámbrico con Luces RGB, Sonido de Alta Potencia y Batería Duradera, TWS TF USB, Perfecto para Campamento Fiestas y Entretenimiento en Casa</t>
        </is>
      </c>
      <c r="H4648" s="16" t="inlineStr">
        <is>
          <t>NEGRO</t>
        </is>
      </c>
      <c r="I4648" s="16" t="n">
        <v>1</v>
      </c>
      <c r="J4648" s="17" t="n">
        <v>38</v>
      </c>
      <c r="K4648" s="17" t="n">
        <v>32.53</v>
      </c>
      <c r="L4648" s="17" t="n">
        <v>25.86</v>
      </c>
      <c r="M4648" s="17" t="n">
        <v>0</v>
      </c>
      <c r="N4648" s="17">
        <f>K4648*0.08+L4648*0.08</f>
        <v/>
      </c>
      <c r="O4648" s="17">
        <f>-(K4648*0.025+L4648*0.025)</f>
        <v/>
      </c>
      <c r="P4648" s="17">
        <f>32</f>
        <v/>
      </c>
      <c r="Q4648" s="17">
        <f>J4648+L4648+N4648+O4648-P4648-M4648</f>
        <v/>
      </c>
    </row>
    <row r="4649">
      <c r="A4649" s="16" t="inlineStr">
        <is>
          <t>5.8-5.14</t>
        </is>
      </c>
      <c r="B4649" s="16" t="inlineStr">
        <is>
          <t>PO-128-15444808648312564</t>
        </is>
      </c>
      <c r="C4649" s="16" t="inlineStr">
        <is>
          <t>Shipped</t>
        </is>
      </c>
      <c r="D4649" s="16" t="inlineStr">
        <is>
          <t>128-15444913505912564</t>
        </is>
      </c>
      <c r="E4649" s="16" t="inlineStr">
        <is>
          <t>Shipped</t>
        </is>
      </c>
      <c r="F4649" s="16" t="inlineStr">
        <is>
          <t>LB02235-rojo</t>
        </is>
      </c>
      <c r="G4649" s="16" t="inlineStr">
        <is>
          <t>Audífonos Inalámbricos para la Cabeza, Recargables y Multifuncionales - Conectan a Varios Dispositivos, soportan Radio FM, Tarjeta TF y AUX - 4 Horas de Reproducción Musical - Ideal para Trabajo Cotidiano, Juegos y Estudio</t>
        </is>
      </c>
      <c r="H4649" s="16" t="inlineStr">
        <is>
          <t>ROJO</t>
        </is>
      </c>
      <c r="I4649" s="16" t="n">
        <v>1</v>
      </c>
      <c r="J4649" s="17" t="n">
        <v>38</v>
      </c>
      <c r="K4649" s="17" t="n">
        <v>8.02</v>
      </c>
      <c r="L4649" s="17" t="n">
        <v>25.86</v>
      </c>
      <c r="M4649" s="17" t="n">
        <v>0</v>
      </c>
      <c r="N4649" s="17">
        <f>K4649*0.08+L4649*0.08</f>
        <v/>
      </c>
      <c r="O4649" s="17">
        <f>-(K4649*0.025+L4649*0.025)</f>
        <v/>
      </c>
      <c r="P4649" s="17">
        <f>32</f>
        <v/>
      </c>
      <c r="Q4649" s="17">
        <f>J4649+L4649+N4649+O4649-P4649-M4649</f>
        <v/>
      </c>
    </row>
    <row r="4650">
      <c r="A4650" s="16" t="inlineStr">
        <is>
          <t>5.8-5.14</t>
        </is>
      </c>
      <c r="B4650" s="16" t="inlineStr">
        <is>
          <t>PO-128-15563595177591984</t>
        </is>
      </c>
      <c r="C4650" s="16" t="inlineStr">
        <is>
          <t>Shipped</t>
        </is>
      </c>
      <c r="D4650" s="16" t="inlineStr">
        <is>
          <t>128-15563637120631984</t>
        </is>
      </c>
      <c r="E4650" s="16" t="inlineStr">
        <is>
          <t>Shipped</t>
        </is>
      </c>
      <c r="F4650" s="16" t="inlineStr">
        <is>
          <t>S09W18IB-8PZS</t>
        </is>
      </c>
      <c r="G465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650" s="16" t="inlineStr">
        <is>
          <t>8 piezas</t>
        </is>
      </c>
      <c r="I4650" s="16" t="n">
        <v>1</v>
      </c>
      <c r="J4650" s="17" t="n">
        <v>265</v>
      </c>
      <c r="K4650" s="17" t="n">
        <v>302.96</v>
      </c>
      <c r="L4650" s="17" t="n">
        <v>0</v>
      </c>
      <c r="M4650" s="17" t="n">
        <v>0</v>
      </c>
      <c r="N4650" s="17">
        <f>K4650*0.08+L4650*0.08</f>
        <v/>
      </c>
      <c r="O4650" s="17">
        <f>-(K4650*0.025+L4650*0.025)</f>
        <v/>
      </c>
      <c r="P4650" s="17">
        <f>32</f>
        <v/>
      </c>
      <c r="Q4650" s="17">
        <f>J4650+L4650+N4650+O4650-P4650-M4650</f>
        <v/>
      </c>
    </row>
    <row r="4651">
      <c r="A4651" s="16" t="inlineStr">
        <is>
          <t>5.8-5.14</t>
        </is>
      </c>
      <c r="B4651" s="16" t="inlineStr">
        <is>
          <t>PO-128-15218418701434042</t>
        </is>
      </c>
      <c r="C4651" s="16" t="inlineStr">
        <is>
          <t>Shipped</t>
        </is>
      </c>
      <c r="D4651" s="16" t="inlineStr">
        <is>
          <t>128-15218376758394042</t>
        </is>
      </c>
      <c r="E4651" s="16" t="inlineStr">
        <is>
          <t>Shipped</t>
        </is>
      </c>
      <c r="F4651" s="16" t="inlineStr">
        <is>
          <t>LV25W22</t>
        </is>
      </c>
      <c r="G46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51" s="16" t="inlineStr">
        <is>
          <t>LV25W32</t>
        </is>
      </c>
      <c r="I4651" s="16" t="n">
        <v>1</v>
      </c>
      <c r="J4651" s="17" t="n">
        <v>97</v>
      </c>
      <c r="K4651" s="17" t="n">
        <v>64.31</v>
      </c>
      <c r="L4651" s="17" t="n">
        <v>25.86</v>
      </c>
      <c r="M4651" s="17" t="n">
        <v>0</v>
      </c>
      <c r="N4651" s="17">
        <f>K4651*0.08+L4651*0.08</f>
        <v/>
      </c>
      <c r="O4651" s="17">
        <f>-(K4651*0.025+L4651*0.025)</f>
        <v/>
      </c>
      <c r="P4651" s="17">
        <f>32</f>
        <v/>
      </c>
      <c r="Q4651" s="17">
        <f>J4651+L4651+N4651+O4651-P4651-M4651</f>
        <v/>
      </c>
    </row>
    <row r="4652">
      <c r="A4652" s="16" t="inlineStr">
        <is>
          <t>5.8-5.14</t>
        </is>
      </c>
      <c r="B4652" s="16" t="inlineStr">
        <is>
          <t>PO-128-15410867420792897</t>
        </is>
      </c>
      <c r="C4652" s="16" t="inlineStr">
        <is>
          <t>Shipped</t>
        </is>
      </c>
      <c r="D4652" s="16" t="inlineStr">
        <is>
          <t>128-15410825477752897</t>
        </is>
      </c>
      <c r="E4652" s="16" t="inlineStr">
        <is>
          <t>Shipped</t>
        </is>
      </c>
      <c r="F4652" s="16" t="inlineStr">
        <is>
          <t>SA325T</t>
        </is>
      </c>
      <c r="G4652" s="16" t="inlineStr">
        <is>
          <t>Subwoofer Portátil Inalámbrico con Luces RGB, Sonido de Alta Potencia y Batería Duradera, TWS TF USB, Perfecto para Campamento Fiestas y Entretenimiento en Casa</t>
        </is>
      </c>
      <c r="H4652" s="16" t="inlineStr">
        <is>
          <t>NEGRO</t>
        </is>
      </c>
      <c r="I4652" s="16" t="n">
        <v>1</v>
      </c>
      <c r="J4652" s="17" t="n">
        <v>38</v>
      </c>
      <c r="K4652" s="17" t="n">
        <v>47.06</v>
      </c>
      <c r="L4652" s="17" t="n">
        <v>25.86</v>
      </c>
      <c r="M4652" s="17" t="n">
        <v>0</v>
      </c>
      <c r="N4652" s="17">
        <f>K4652*0.08+L4652*0.08</f>
        <v/>
      </c>
      <c r="O4652" s="17">
        <f>-(K4652*0.025+L4652*0.025)</f>
        <v/>
      </c>
      <c r="P4652" s="17">
        <f>32</f>
        <v/>
      </c>
      <c r="Q4652" s="17">
        <f>J4652+L4652+N4652+O4652-P4652-M4652</f>
        <v/>
      </c>
    </row>
    <row r="4653">
      <c r="A4653" s="16" t="inlineStr">
        <is>
          <t>5.8-5.14</t>
        </is>
      </c>
      <c r="B4653" s="16" t="inlineStr">
        <is>
          <t>PO-128-15738074535031008</t>
        </is>
      </c>
      <c r="C4653" s="16" t="inlineStr">
        <is>
          <t>Shipped</t>
        </is>
      </c>
      <c r="D4653" s="16" t="inlineStr">
        <is>
          <t>128-15738064049271008</t>
        </is>
      </c>
      <c r="E4653" s="16" t="inlineStr">
        <is>
          <t>Shipped</t>
        </is>
      </c>
      <c r="F4653" s="16" t="inlineStr">
        <is>
          <t>KTS-1943-N</t>
        </is>
      </c>
      <c r="G465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653" s="16" t="inlineStr">
        <is>
          <t>NEGRO</t>
        </is>
      </c>
      <c r="I4653" s="16" t="n">
        <v>1</v>
      </c>
      <c r="J4653" s="17" t="n">
        <v>67.5</v>
      </c>
      <c r="K4653" s="17" t="n">
        <v>68.48999999999999</v>
      </c>
      <c r="L4653" s="17" t="n">
        <v>25.86</v>
      </c>
      <c r="M4653" s="17" t="n">
        <v>0</v>
      </c>
      <c r="N4653" s="17">
        <f>K4653*0.08+L4653*0.08</f>
        <v/>
      </c>
      <c r="O4653" s="17">
        <f>-(K4653*0.025+L4653*0.025)</f>
        <v/>
      </c>
      <c r="P4653" s="17">
        <f>32</f>
        <v/>
      </c>
      <c r="Q4653" s="17">
        <f>J4653+L4653+N4653+O4653-P4653-M4653</f>
        <v/>
      </c>
    </row>
    <row r="4654">
      <c r="A4654" s="16" t="inlineStr">
        <is>
          <t>5.8-5.14</t>
        </is>
      </c>
      <c r="B4654" s="16" t="inlineStr">
        <is>
          <t>PO-128-15729429458550932</t>
        </is>
      </c>
      <c r="C4654" s="16" t="inlineStr">
        <is>
          <t>Shipped</t>
        </is>
      </c>
      <c r="D4654" s="16" t="inlineStr">
        <is>
          <t>128-15729450430070932</t>
        </is>
      </c>
      <c r="E4654" s="16" t="inlineStr">
        <is>
          <t>Shipped</t>
        </is>
      </c>
      <c r="F4654" s="16" t="inlineStr">
        <is>
          <t>LV25W22</t>
        </is>
      </c>
      <c r="G46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54" s="16" t="inlineStr">
        <is>
          <t>LV25W32</t>
        </is>
      </c>
      <c r="I4654" s="16" t="n">
        <v>2</v>
      </c>
      <c r="J4654" s="17" t="n">
        <v>194</v>
      </c>
      <c r="K4654" s="17" t="n">
        <v>214.82</v>
      </c>
      <c r="L4654" s="17" t="n">
        <v>25.86</v>
      </c>
      <c r="M4654" s="17" t="n">
        <v>0</v>
      </c>
      <c r="N4654" s="17">
        <f>K4654*0.08+L4654*0.08</f>
        <v/>
      </c>
      <c r="O4654" s="17">
        <f>-(K4654*0.025+L4654*0.025)</f>
        <v/>
      </c>
      <c r="P4654" s="17">
        <f>32</f>
        <v/>
      </c>
      <c r="Q4654" s="17">
        <f>J4654+L4654+N4654+O4654-P4654-M4654</f>
        <v/>
      </c>
    </row>
    <row r="4655">
      <c r="A4655" s="16" t="inlineStr">
        <is>
          <t>5.8-5.14</t>
        </is>
      </c>
      <c r="B4655" s="16" t="inlineStr">
        <is>
          <t>PO-128-15612271045751566</t>
        </is>
      </c>
      <c r="C4655" s="16" t="inlineStr">
        <is>
          <t>Shipped</t>
        </is>
      </c>
      <c r="D4655" s="16" t="inlineStr">
        <is>
          <t>128-15612312988791566</t>
        </is>
      </c>
      <c r="E4655" s="16" t="inlineStr">
        <is>
          <t>Shipped</t>
        </is>
      </c>
      <c r="F4655" s="16" t="inlineStr">
        <is>
          <t>LV25W22</t>
        </is>
      </c>
      <c r="G46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55" s="16" t="inlineStr">
        <is>
          <t>LV25W32</t>
        </is>
      </c>
      <c r="I4655" s="16" t="n">
        <v>3</v>
      </c>
      <c r="J4655" s="17" t="n">
        <v>291</v>
      </c>
      <c r="K4655" s="17" t="n">
        <v>279.13</v>
      </c>
      <c r="L4655" s="17" t="n">
        <v>0</v>
      </c>
      <c r="M4655" s="17" t="n">
        <v>0</v>
      </c>
      <c r="N4655" s="17">
        <f>K4655*0.08+L4655*0.08</f>
        <v/>
      </c>
      <c r="O4655" s="17">
        <f>-(K4655*0.025+L4655*0.025)</f>
        <v/>
      </c>
      <c r="P4655" s="17">
        <f>32</f>
        <v/>
      </c>
      <c r="Q4655" s="17">
        <f>J4655+L4655+N4655+O4655-P4655-M4655</f>
        <v/>
      </c>
    </row>
    <row r="4656">
      <c r="A4656" s="16" t="inlineStr">
        <is>
          <t>5.8-5.14</t>
        </is>
      </c>
      <c r="B4656" s="16" t="inlineStr">
        <is>
          <t>PO-128-15510086065271153</t>
        </is>
      </c>
      <c r="C4656" s="16" t="inlineStr">
        <is>
          <t>Shipped</t>
        </is>
      </c>
      <c r="D4656" s="16" t="inlineStr">
        <is>
          <t>128-15510128008311153</t>
        </is>
      </c>
      <c r="E4656" s="16" t="inlineStr">
        <is>
          <t>Shipped</t>
        </is>
      </c>
      <c r="F4656" s="16" t="inlineStr">
        <is>
          <t>FA028</t>
        </is>
      </c>
      <c r="G4656" s="16" t="inlineStr">
        <is>
          <t>Extractor de agua para garrafas de agua, compatible con carga USB, extractor de agua automático, práctico, con dos modos de toma de agua: manual y programado, ideal para dormitorios, salones, oficinas, uso al aire libre y otros escenarios.</t>
        </is>
      </c>
      <c r="H4656" s="16" t="inlineStr">
        <is>
          <t>FA028</t>
        </is>
      </c>
      <c r="I4656" s="16" t="n">
        <v>1</v>
      </c>
      <c r="J4656" s="17" t="n">
        <v>30</v>
      </c>
      <c r="K4656" s="17" t="n">
        <v>39.58</v>
      </c>
      <c r="L4656" s="17" t="n">
        <v>25.86</v>
      </c>
      <c r="M4656" s="17" t="n">
        <v>0</v>
      </c>
      <c r="N4656" s="17">
        <f>K4656*0.08+L4656*0.08</f>
        <v/>
      </c>
      <c r="O4656" s="17">
        <f>-(K4656*0.025+L4656*0.025)</f>
        <v/>
      </c>
      <c r="P4656" s="17">
        <f>32</f>
        <v/>
      </c>
      <c r="Q4656" s="17">
        <f>J4656+L4656+N4656+O4656-P4656-M4656</f>
        <v/>
      </c>
    </row>
    <row r="4657">
      <c r="A4657" s="16" t="inlineStr">
        <is>
          <t>5.8-5.14</t>
        </is>
      </c>
      <c r="B4657" s="16" t="inlineStr">
        <is>
          <t>PO-128-15704394171510059</t>
        </is>
      </c>
      <c r="C4657" s="16" t="inlineStr">
        <is>
          <t>Shipped</t>
        </is>
      </c>
      <c r="D4657" s="16" t="inlineStr">
        <is>
          <t>128-15704436114550059</t>
        </is>
      </c>
      <c r="E4657" s="16" t="inlineStr">
        <is>
          <t>Shipped</t>
        </is>
      </c>
      <c r="F4657" s="16" t="inlineStr">
        <is>
          <t>LB02235-rojo</t>
        </is>
      </c>
      <c r="G4657" s="16" t="inlineStr">
        <is>
          <t>Audífonos Inalámbricos para la Cabeza, Recargables y Multifuncionales - Conectan a Varios Dispositivos, soportan Radio FM, Tarjeta TF y AUX - 4 Horas de Reproducción Musical - Ideal para Trabajo Cotidiano, Juegos y Estudio</t>
        </is>
      </c>
      <c r="H4657" s="16" t="inlineStr">
        <is>
          <t>ROJO</t>
        </is>
      </c>
      <c r="I4657" s="16" t="n">
        <v>1</v>
      </c>
      <c r="J4657" s="17" t="n">
        <v>38</v>
      </c>
      <c r="K4657" s="17" t="n">
        <v>8.02</v>
      </c>
      <c r="L4657" s="17" t="n">
        <v>25.86</v>
      </c>
      <c r="M4657" s="17" t="n">
        <v>0</v>
      </c>
      <c r="N4657" s="17">
        <f>K4657*0.08+L4657*0.08</f>
        <v/>
      </c>
      <c r="O4657" s="17">
        <f>-(K4657*0.025+L4657*0.025)</f>
        <v/>
      </c>
      <c r="P4657" s="17">
        <f>32</f>
        <v/>
      </c>
      <c r="Q4657" s="17">
        <f>J4657+L4657+N4657+O4657-P4657-M4657</f>
        <v/>
      </c>
    </row>
    <row r="4658">
      <c r="A4658" s="16" t="inlineStr">
        <is>
          <t>5.8-5.14</t>
        </is>
      </c>
      <c r="B4658" s="16" t="inlineStr">
        <is>
          <t>PO-128-15743146870390786</t>
        </is>
      </c>
      <c r="C4658" s="16" t="inlineStr">
        <is>
          <t>Shipped</t>
        </is>
      </c>
      <c r="D4658" s="16" t="inlineStr">
        <is>
          <t>128-15743104927350786</t>
        </is>
      </c>
      <c r="E4658" s="16" t="inlineStr">
        <is>
          <t>Shipped</t>
        </is>
      </c>
      <c r="F4658" s="16" t="inlineStr">
        <is>
          <t>LB02235-negro</t>
        </is>
      </c>
      <c r="G4658" s="16" t="inlineStr">
        <is>
          <t>Audífonos Inalámbricos para la Cabeza, Recargables y Multifuncionales - Conectan a Varios Dispositivos, soportan Radio FM, Tarjeta TF y AUX - 4 Horas de Reproducción Musical - Ideal para Trabajo Cotidiano, Juegos y Estudio</t>
        </is>
      </c>
      <c r="H4658" s="16" t="inlineStr">
        <is>
          <t>NEGRO</t>
        </is>
      </c>
      <c r="I4658" s="16" t="n">
        <v>1</v>
      </c>
      <c r="J4658" s="17" t="n">
        <v>45.31</v>
      </c>
      <c r="K4658" s="17" t="n">
        <v>58.42</v>
      </c>
      <c r="L4658" s="17" t="n">
        <v>25.86</v>
      </c>
      <c r="M4658" s="17" t="n">
        <v>0</v>
      </c>
      <c r="N4658" s="17">
        <f>K4658*0.08+L4658*0.08</f>
        <v/>
      </c>
      <c r="O4658" s="17">
        <f>-(K4658*0.025+L4658*0.025)</f>
        <v/>
      </c>
      <c r="P4658" s="17">
        <f>32</f>
        <v/>
      </c>
      <c r="Q4658" s="17">
        <f>J4658+L4658+N4658+O4658-P4658-M4658</f>
        <v/>
      </c>
    </row>
    <row r="4659">
      <c r="A4659" s="16" t="inlineStr">
        <is>
          <t>5.8-5.14</t>
        </is>
      </c>
      <c r="B4659" s="16" t="inlineStr">
        <is>
          <t>PO-128-15705418440310053</t>
        </is>
      </c>
      <c r="C4659" s="16" t="inlineStr">
        <is>
          <t>Shipped</t>
        </is>
      </c>
      <c r="D4659" s="16" t="inlineStr">
        <is>
          <t>128-15705470869110053</t>
        </is>
      </c>
      <c r="E4659" s="16" t="inlineStr">
        <is>
          <t>Shipped</t>
        </is>
      </c>
      <c r="F4659" s="16" t="inlineStr">
        <is>
          <t>LV25W22</t>
        </is>
      </c>
      <c r="G46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59" s="16" t="inlineStr">
        <is>
          <t>LV25W32</t>
        </is>
      </c>
      <c r="I4659" s="16" t="n">
        <v>1</v>
      </c>
      <c r="J4659" s="17" t="n">
        <v>97</v>
      </c>
      <c r="K4659" s="17" t="n">
        <v>107.41</v>
      </c>
      <c r="L4659" s="17" t="n">
        <v>25.86</v>
      </c>
      <c r="M4659" s="17" t="n">
        <v>0</v>
      </c>
      <c r="N4659" s="17">
        <f>K4659*0.08+L4659*0.08</f>
        <v/>
      </c>
      <c r="O4659" s="17">
        <f>-(K4659*0.025+L4659*0.025)</f>
        <v/>
      </c>
      <c r="P4659" s="17">
        <f>32</f>
        <v/>
      </c>
      <c r="Q4659" s="17">
        <f>J4659+L4659+N4659+O4659-P4659-M4659</f>
        <v/>
      </c>
    </row>
    <row r="4660">
      <c r="A4660" s="16" t="inlineStr">
        <is>
          <t>5.8-5.14</t>
        </is>
      </c>
      <c r="B4660" s="16" t="inlineStr">
        <is>
          <t>PO-128-15738120248951008</t>
        </is>
      </c>
      <c r="C4660" s="16" t="inlineStr">
        <is>
          <t>Shipped</t>
        </is>
      </c>
      <c r="D4660" s="16" t="inlineStr">
        <is>
          <t>128-15738149740151008</t>
        </is>
      </c>
      <c r="E4660" s="16" t="inlineStr">
        <is>
          <t>Shipped</t>
        </is>
      </c>
      <c r="F4660" s="16" t="inlineStr">
        <is>
          <t>MCM-001A</t>
        </is>
      </c>
      <c r="G4660" s="16" t="inlineStr">
        <is>
          <t>Musicord Altavoz Inalámbrico BT Portátil: ¡Sonido impactante, luces LED multicolores y 4 horas de autonomía! Compatible con TWS, FM, TF y USB – Imprescindible para fiestas y viajes</t>
        </is>
      </c>
      <c r="H4660" s="16" t="inlineStr">
        <is>
          <t>AZUL</t>
        </is>
      </c>
      <c r="I4660" s="16" t="n">
        <v>1</v>
      </c>
      <c r="J4660" s="17" t="n">
        <v>51.08</v>
      </c>
      <c r="K4660" s="17" t="n">
        <v>59.47</v>
      </c>
      <c r="L4660" s="17" t="n">
        <v>25.86</v>
      </c>
      <c r="M4660" s="17" t="n">
        <v>0</v>
      </c>
      <c r="N4660" s="17">
        <f>K4660*0.08+L4660*0.08</f>
        <v/>
      </c>
      <c r="O4660" s="17">
        <f>-(K4660*0.025+L4660*0.025)</f>
        <v/>
      </c>
      <c r="P4660" s="17">
        <f>32</f>
        <v/>
      </c>
      <c r="Q4660" s="17">
        <f>J4660+L4660+N4660+O4660-P4660-M4660</f>
        <v/>
      </c>
    </row>
    <row r="4661">
      <c r="A4661" s="16" t="inlineStr">
        <is>
          <t>5.8-5.14</t>
        </is>
      </c>
      <c r="B4661" s="16" t="inlineStr">
        <is>
          <t>PO-128-15623560658551629</t>
        </is>
      </c>
      <c r="C4661" s="16" t="inlineStr">
        <is>
          <t>Shipped</t>
        </is>
      </c>
      <c r="D4661" s="16" t="inlineStr">
        <is>
          <t>128-15623581630071629</t>
        </is>
      </c>
      <c r="E4661" s="16" t="inlineStr">
        <is>
          <t>Shipped</t>
        </is>
      </c>
      <c r="F4661" s="16" t="inlineStr">
        <is>
          <t>LV25W22</t>
        </is>
      </c>
      <c r="G466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61" s="16" t="inlineStr">
        <is>
          <t>LV25W32</t>
        </is>
      </c>
      <c r="I4661" s="16" t="n">
        <v>1</v>
      </c>
      <c r="J4661" s="17" t="n">
        <v>97</v>
      </c>
      <c r="K4661" s="17" t="n">
        <v>107.41</v>
      </c>
      <c r="L4661" s="17" t="n">
        <v>25.86</v>
      </c>
      <c r="M4661" s="17" t="n">
        <v>0</v>
      </c>
      <c r="N4661" s="17">
        <f>K4661*0.08+L4661*0.08</f>
        <v/>
      </c>
      <c r="O4661" s="17">
        <f>-(K4661*0.025+L4661*0.025)</f>
        <v/>
      </c>
      <c r="P4661" s="17">
        <f>32</f>
        <v/>
      </c>
      <c r="Q4661" s="17">
        <f>J4661+L4661+N4661+O4661-P4661-M4661</f>
        <v/>
      </c>
    </row>
    <row r="4662">
      <c r="A4662" s="16" t="inlineStr">
        <is>
          <t>5.8-5.14</t>
        </is>
      </c>
      <c r="B4662" s="16" t="inlineStr">
        <is>
          <t>PO-128-15395967155833049</t>
        </is>
      </c>
      <c r="C4662" s="16" t="inlineStr">
        <is>
          <t>Shipped</t>
        </is>
      </c>
      <c r="D4662" s="16" t="inlineStr">
        <is>
          <t>128-15396103470713049</t>
        </is>
      </c>
      <c r="E4662" s="16" t="inlineStr">
        <is>
          <t>Shipped</t>
        </is>
      </c>
      <c r="F4662" s="16" t="inlineStr">
        <is>
          <t>LV25W22</t>
        </is>
      </c>
      <c r="G466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62" s="16" t="inlineStr">
        <is>
          <t>LV25W32</t>
        </is>
      </c>
      <c r="I4662" s="16" t="n">
        <v>1</v>
      </c>
      <c r="J4662" s="17" t="n">
        <v>97</v>
      </c>
      <c r="K4662" s="17" t="n">
        <v>64.31</v>
      </c>
      <c r="L4662" s="17" t="n">
        <v>25.86</v>
      </c>
      <c r="M4662" s="17" t="n">
        <v>0</v>
      </c>
      <c r="N4662" s="17">
        <f>K4662*0.08+L4662*0.08</f>
        <v/>
      </c>
      <c r="O4662" s="17">
        <f>-(K4662*0.025+L4662*0.025)</f>
        <v/>
      </c>
      <c r="P4662" s="17">
        <f>32</f>
        <v/>
      </c>
      <c r="Q4662" s="17">
        <f>J4662+L4662+N4662+O4662-P4662-M4662</f>
        <v/>
      </c>
    </row>
    <row r="4663">
      <c r="A4663" s="16" t="inlineStr">
        <is>
          <t>5.8-5.14</t>
        </is>
      </c>
      <c r="B4663" s="16" t="inlineStr">
        <is>
          <t>PO-128-15192627379833109</t>
        </is>
      </c>
      <c r="C4663" s="16" t="inlineStr">
        <is>
          <t>Shipped</t>
        </is>
      </c>
      <c r="D4663" s="16" t="inlineStr">
        <is>
          <t>128-15192679808633109</t>
        </is>
      </c>
      <c r="E4663" s="16" t="inlineStr">
        <is>
          <t>Shipped</t>
        </is>
      </c>
      <c r="F4663" s="16" t="inlineStr">
        <is>
          <t>MCM-001N</t>
        </is>
      </c>
      <c r="G4663" s="16" t="inlineStr">
        <is>
          <t>Musicord Altavoz Inalámbrico BT Portátil: ¡Sonido impactante, luces LED multicolores y 4 horas de autonomía! Compatible con TWS, FM, TF y USB – Imprescindible para fiestas y viajes</t>
        </is>
      </c>
      <c r="H4663" s="16" t="inlineStr">
        <is>
          <t>NEGRO</t>
        </is>
      </c>
      <c r="I4663" s="16" t="n">
        <v>1</v>
      </c>
      <c r="J4663" s="17" t="n">
        <v>61</v>
      </c>
      <c r="K4663" s="17" t="n">
        <v>72.27</v>
      </c>
      <c r="L4663" s="17" t="n">
        <v>25.86</v>
      </c>
      <c r="M4663" s="17" t="n">
        <v>0</v>
      </c>
      <c r="N4663" s="17">
        <f>K4663*0.08+L4663*0.08</f>
        <v/>
      </c>
      <c r="O4663" s="17">
        <f>-(K4663*0.025+L4663*0.025)</f>
        <v/>
      </c>
      <c r="P4663" s="17">
        <f>32</f>
        <v/>
      </c>
      <c r="Q4663" s="17">
        <f>J4663+L4663+N4663+O4663-P4663-M4663</f>
        <v/>
      </c>
    </row>
    <row r="4664">
      <c r="A4664" s="16" t="inlineStr">
        <is>
          <t>5.8-5.14</t>
        </is>
      </c>
      <c r="B4664" s="16" t="inlineStr">
        <is>
          <t>PO-128-15779207631990765</t>
        </is>
      </c>
      <c r="C4664" s="16" t="inlineStr">
        <is>
          <t>Shipped</t>
        </is>
      </c>
      <c r="D4664" s="16" t="inlineStr">
        <is>
          <t>128-15779249575030765</t>
        </is>
      </c>
      <c r="E4664" s="16" t="inlineStr">
        <is>
          <t>Shipped</t>
        </is>
      </c>
      <c r="F4664" s="16" t="inlineStr">
        <is>
          <t>SA325T</t>
        </is>
      </c>
      <c r="G4664" s="16" t="inlineStr">
        <is>
          <t>Subwoofer Portátil Inalámbrico con Luces RGB, Sonido de Alta Potencia y Batería Duradera, TWS TF USB, Perfecto para Campamento Fiestas y Entretenimiento en Casa</t>
        </is>
      </c>
      <c r="H4664" s="16" t="inlineStr">
        <is>
          <t>NEGRO</t>
        </is>
      </c>
      <c r="I4664" s="16" t="n">
        <v>1</v>
      </c>
      <c r="J4664" s="17" t="n">
        <v>38</v>
      </c>
      <c r="K4664" s="17" t="n">
        <v>40.01</v>
      </c>
      <c r="L4664" s="17" t="n">
        <v>25.86</v>
      </c>
      <c r="M4664" s="17" t="n">
        <v>0</v>
      </c>
      <c r="N4664" s="17">
        <f>K4664*0.08+L4664*0.08</f>
        <v/>
      </c>
      <c r="O4664" s="17">
        <f>-(K4664*0.025+L4664*0.025)</f>
        <v/>
      </c>
      <c r="P4664" s="17">
        <f>32</f>
        <v/>
      </c>
      <c r="Q4664" s="17">
        <f>J4664+L4664+N4664+O4664-P4664-M4664</f>
        <v/>
      </c>
    </row>
    <row r="4665">
      <c r="A4665" s="16" t="inlineStr">
        <is>
          <t>5.8-5.14</t>
        </is>
      </c>
      <c r="B4665" s="16" t="inlineStr">
        <is>
          <t>PO-128-15325366533752380</t>
        </is>
      </c>
      <c r="C4665" s="16" t="inlineStr">
        <is>
          <t>Shipped</t>
        </is>
      </c>
      <c r="D4665" s="16" t="inlineStr">
        <is>
          <t>128-15325408476792380</t>
        </is>
      </c>
      <c r="E4665" s="16" t="inlineStr">
        <is>
          <t>Shipped</t>
        </is>
      </c>
      <c r="F4665" s="16" t="inlineStr">
        <is>
          <t>SA323T</t>
        </is>
      </c>
      <c r="G4665" s="16" t="inlineStr">
        <is>
          <t>Linkbits Bocina Portátil Parlantes BT Portátiles con Iluminación de Ambiente | 1 Hora de Duración, FM, TWS, TF/Micro SD | Ideal para Hogar, Fiestas y Viajes</t>
        </is>
      </c>
      <c r="H4665" s="16" t="inlineStr">
        <is>
          <t>SA323T</t>
        </is>
      </c>
      <c r="I4665" s="16" t="n">
        <v>1</v>
      </c>
      <c r="J4665" s="17" t="n">
        <v>46</v>
      </c>
      <c r="K4665" s="17" t="n">
        <v>11.94</v>
      </c>
      <c r="L4665" s="17" t="n">
        <v>25.86</v>
      </c>
      <c r="M4665" s="17" t="n">
        <v>0</v>
      </c>
      <c r="N4665" s="17">
        <f>K4665*0.08+L4665*0.08</f>
        <v/>
      </c>
      <c r="O4665" s="17">
        <f>-(K4665*0.025+L4665*0.025)</f>
        <v/>
      </c>
      <c r="P4665" s="17">
        <f>32</f>
        <v/>
      </c>
      <c r="Q4665" s="17">
        <f>J4665+L4665+N4665+O4665-P4665-M4665</f>
        <v/>
      </c>
    </row>
    <row r="4666">
      <c r="A4666" s="16" t="inlineStr">
        <is>
          <t>5.8-5.14</t>
        </is>
      </c>
      <c r="B4666" s="16" t="inlineStr">
        <is>
          <t>PO-128-15558110139511955</t>
        </is>
      </c>
      <c r="C4666" s="16" t="inlineStr">
        <is>
          <t>Shipped</t>
        </is>
      </c>
      <c r="D4666" s="16" t="inlineStr">
        <is>
          <t>128-15558162568311955</t>
        </is>
      </c>
      <c r="E4666" s="16" t="inlineStr">
        <is>
          <t>Shipped</t>
        </is>
      </c>
      <c r="F4666" s="16" t="inlineStr">
        <is>
          <t>MCM-001A</t>
        </is>
      </c>
      <c r="G4666" s="16" t="inlineStr">
        <is>
          <t>Musicord Altavoz Inalámbrico BT Portátil: ¡Sonido impactante, luces LED multicolores y 4 horas de autonomía! Compatible con TWS, FM, TF y USB – Imprescindible para fiestas y viajes</t>
        </is>
      </c>
      <c r="H4666" s="16" t="inlineStr">
        <is>
          <t>AZUL</t>
        </is>
      </c>
      <c r="I4666" s="16" t="n">
        <v>1</v>
      </c>
      <c r="J4666" s="17" t="n">
        <v>51.08</v>
      </c>
      <c r="K4666" s="17" t="n">
        <v>59.47</v>
      </c>
      <c r="L4666" s="17" t="n">
        <v>25.86</v>
      </c>
      <c r="M4666" s="17" t="n">
        <v>0</v>
      </c>
      <c r="N4666" s="17">
        <f>K4666*0.08+L4666*0.08</f>
        <v/>
      </c>
      <c r="O4666" s="17">
        <f>-(K4666*0.025+L4666*0.025)</f>
        <v/>
      </c>
      <c r="P4666" s="17">
        <f>32</f>
        <v/>
      </c>
      <c r="Q4666" s="17">
        <f>J4666+L4666+N4666+O4666-P4666-M4666</f>
        <v/>
      </c>
    </row>
    <row r="4667">
      <c r="A4667" s="16" t="inlineStr">
        <is>
          <t>5.8-5.14</t>
        </is>
      </c>
      <c r="B4667" s="16" t="inlineStr">
        <is>
          <t>PO-128-15158973927033436</t>
        </is>
      </c>
      <c r="C4667" s="16" t="inlineStr">
        <is>
          <t>Shipped</t>
        </is>
      </c>
      <c r="D4667" s="16" t="inlineStr">
        <is>
          <t>128-15158966062713436</t>
        </is>
      </c>
      <c r="E4667" s="16" t="inlineStr">
        <is>
          <t>Shipped</t>
        </is>
      </c>
      <c r="F4667" s="16" t="inlineStr">
        <is>
          <t>LV25W22</t>
        </is>
      </c>
      <c r="G466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67" s="16" t="inlineStr">
        <is>
          <t>LV25W32</t>
        </is>
      </c>
      <c r="I4667" s="16" t="n">
        <v>1</v>
      </c>
      <c r="J4667" s="17" t="n">
        <v>97</v>
      </c>
      <c r="K4667" s="17" t="n">
        <v>107.41</v>
      </c>
      <c r="L4667" s="17" t="n">
        <v>25.86</v>
      </c>
      <c r="M4667" s="17" t="n">
        <v>0</v>
      </c>
      <c r="N4667" s="17">
        <f>K4667*0.08+L4667*0.08</f>
        <v/>
      </c>
      <c r="O4667" s="17">
        <f>-(K4667*0.025+L4667*0.025)</f>
        <v/>
      </c>
      <c r="P4667" s="17">
        <f>32</f>
        <v/>
      </c>
      <c r="Q4667" s="17">
        <f>J4667+L4667+N4667+O4667-P4667-M4667</f>
        <v/>
      </c>
    </row>
    <row r="4668">
      <c r="A4668" s="16" t="inlineStr">
        <is>
          <t>5.8-5.14</t>
        </is>
      </c>
      <c r="B4668" s="16" t="inlineStr">
        <is>
          <t>PO-128-15203187971193172</t>
        </is>
      </c>
      <c r="C4668" s="16" t="inlineStr">
        <is>
          <t>Shipped</t>
        </is>
      </c>
      <c r="D4668" s="16" t="inlineStr">
        <is>
          <t>128-15203340014713172</t>
        </is>
      </c>
      <c r="E4668" s="16" t="inlineStr">
        <is>
          <t>Shipped</t>
        </is>
      </c>
      <c r="F4668" s="16" t="inlineStr">
        <is>
          <t>LV25W22</t>
        </is>
      </c>
      <c r="G46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68" s="16" t="inlineStr">
        <is>
          <t>LV25W32</t>
        </is>
      </c>
      <c r="I4668" s="16" t="n">
        <v>1</v>
      </c>
      <c r="J4668" s="17" t="n">
        <v>97</v>
      </c>
      <c r="K4668" s="17" t="n">
        <v>107.41</v>
      </c>
      <c r="L4668" s="17" t="n">
        <v>25.86</v>
      </c>
      <c r="M4668" s="17" t="n">
        <v>0</v>
      </c>
      <c r="N4668" s="17">
        <f>K4668*0.08+L4668*0.08</f>
        <v/>
      </c>
      <c r="O4668" s="17">
        <f>-(K4668*0.025+L4668*0.025)</f>
        <v/>
      </c>
      <c r="P4668" s="17">
        <f>32</f>
        <v/>
      </c>
      <c r="Q4668" s="17">
        <f>J4668+L4668+N4668+O4668-P4668-M4668</f>
        <v/>
      </c>
    </row>
    <row r="4669">
      <c r="A4669" s="16" t="inlineStr">
        <is>
          <t>5.8-5.14</t>
        </is>
      </c>
      <c r="B4669" s="16" t="inlineStr">
        <is>
          <t>PO-128-15625796787831615</t>
        </is>
      </c>
      <c r="C4669" s="16" t="inlineStr">
        <is>
          <t>Shipped</t>
        </is>
      </c>
      <c r="D4669" s="16" t="inlineStr">
        <is>
          <t>128-15625836764791615</t>
        </is>
      </c>
      <c r="E4669" s="16" t="inlineStr">
        <is>
          <t>Shipped</t>
        </is>
      </c>
      <c r="F4669" s="16" t="inlineStr">
        <is>
          <t>LB02235-rojo</t>
        </is>
      </c>
      <c r="G4669" s="16" t="inlineStr">
        <is>
          <t>Audífonos Inalámbricos para la Cabeza, Recargables y Multifuncionales - Conectan a Varios Dispositivos, soportan Radio FM, Tarjeta TF y AUX - 4 Horas de Reproducción Musical - Ideal para Trabajo Cotidiano, Juegos y Estudio</t>
        </is>
      </c>
      <c r="H4669" s="16" t="inlineStr">
        <is>
          <t>ROJO</t>
        </is>
      </c>
      <c r="I4669" s="16" t="n">
        <v>2</v>
      </c>
      <c r="J4669" s="17" t="n">
        <v>76</v>
      </c>
      <c r="K4669" s="17" t="n">
        <v>102.24</v>
      </c>
      <c r="L4669" s="17" t="n">
        <v>25.86</v>
      </c>
      <c r="M4669" s="17" t="n">
        <v>0</v>
      </c>
      <c r="N4669" s="17">
        <f>K4669*0.08+L4669*0.08</f>
        <v/>
      </c>
      <c r="O4669" s="17">
        <f>-(K4669*0.025+L4669*0.025)</f>
        <v/>
      </c>
      <c r="P4669" s="17">
        <f>32</f>
        <v/>
      </c>
      <c r="Q4669" s="17">
        <f>J4669+L4669+N4669+O4669-P4669-M4669</f>
        <v/>
      </c>
    </row>
    <row r="4670">
      <c r="A4670" s="16" t="inlineStr">
        <is>
          <t>5.8-5.14</t>
        </is>
      </c>
      <c r="B4670" s="16" t="inlineStr">
        <is>
          <t>PO-128-15198954427513198</t>
        </is>
      </c>
      <c r="C4670" s="16" t="inlineStr">
        <is>
          <t>Shipped</t>
        </is>
      </c>
      <c r="D4670" s="16" t="inlineStr">
        <is>
          <t>128-15198912484473198</t>
        </is>
      </c>
      <c r="E4670" s="16" t="inlineStr">
        <is>
          <t>Shipped</t>
        </is>
      </c>
      <c r="F4670" s="16" t="inlineStr">
        <is>
          <t>KTS-1678Y</t>
        </is>
      </c>
      <c r="G4670" s="16" t="inlineStr">
        <is>
          <t>Bocina portátil Inalámbrico, de 3 pulgadas, tamaño de bolsillo, 170 g, con asa, compatible con TF, USB y Micro SD, con radio FM y función TWS (True Wireless Stereo), adecuada para relajarse en casa o viajar al aire libre.</t>
        </is>
      </c>
      <c r="H4670" s="16" t="inlineStr">
        <is>
          <t>KTS-1678Y</t>
        </is>
      </c>
      <c r="I4670" s="16" t="n">
        <v>2</v>
      </c>
      <c r="J4670" s="17" t="n">
        <v>82</v>
      </c>
      <c r="K4670" s="17" t="n">
        <v>51.3</v>
      </c>
      <c r="L4670" s="17" t="n">
        <v>25.86</v>
      </c>
      <c r="M4670" s="17" t="n">
        <v>0</v>
      </c>
      <c r="N4670" s="17">
        <f>K4670*0.08+L4670*0.08</f>
        <v/>
      </c>
      <c r="O4670" s="17">
        <f>-(K4670*0.025+L4670*0.025)</f>
        <v/>
      </c>
      <c r="P4670" s="17">
        <f>32</f>
        <v/>
      </c>
      <c r="Q4670" s="17">
        <f>J4670+L4670+N4670+O4670-P4670-M4670</f>
        <v/>
      </c>
    </row>
    <row r="4671">
      <c r="A4671" s="16" t="inlineStr">
        <is>
          <t>5.8-5.14</t>
        </is>
      </c>
      <c r="B4671" s="16" t="inlineStr">
        <is>
          <t>PO-128-15799208320630580</t>
        </is>
      </c>
      <c r="C4671" s="16" t="inlineStr">
        <is>
          <t>Shipped</t>
        </is>
      </c>
      <c r="D4671" s="16" t="inlineStr">
        <is>
          <t>128-15799155891830580</t>
        </is>
      </c>
      <c r="E4671" s="16" t="inlineStr">
        <is>
          <t>Shipped</t>
        </is>
      </c>
      <c r="F4671" s="16" t="inlineStr">
        <is>
          <t>LB02235-rojo</t>
        </is>
      </c>
      <c r="G4671" s="16" t="inlineStr">
        <is>
          <t>Audífonos Inalámbricos para la Cabeza, Recargables y Multifuncionales - Conectan a Varios Dispositivos, soportan Radio FM, Tarjeta TF y AUX - 4 Horas de Reproducción Musical - Ideal para Trabajo Cotidiano, Juegos y Estudio</t>
        </is>
      </c>
      <c r="H4671" s="16" t="inlineStr">
        <is>
          <t>ROJO</t>
        </is>
      </c>
      <c r="I4671" s="16" t="n">
        <v>1</v>
      </c>
      <c r="J4671" s="17" t="n">
        <v>38</v>
      </c>
      <c r="K4671" s="17" t="n">
        <v>51.12</v>
      </c>
      <c r="L4671" s="17" t="n">
        <v>25.86</v>
      </c>
      <c r="M4671" s="17" t="n">
        <v>0</v>
      </c>
      <c r="N4671" s="17">
        <f>K4671*0.08+L4671*0.08</f>
        <v/>
      </c>
      <c r="O4671" s="17">
        <f>-(K4671*0.025+L4671*0.025)</f>
        <v/>
      </c>
      <c r="P4671" s="17">
        <f>32</f>
        <v/>
      </c>
      <c r="Q4671" s="17">
        <f>J4671+L4671+N4671+O4671-P4671-M4671</f>
        <v/>
      </c>
    </row>
    <row r="4672">
      <c r="A4672" s="16" t="inlineStr">
        <is>
          <t>5.8-5.14</t>
        </is>
      </c>
      <c r="B4672" s="16" t="inlineStr">
        <is>
          <t>PO-128-15461005345912660</t>
        </is>
      </c>
      <c r="C4672" s="16" t="inlineStr">
        <is>
          <t>Shipped</t>
        </is>
      </c>
      <c r="D4672" s="16" t="inlineStr">
        <is>
          <t>128-15460963402872660</t>
        </is>
      </c>
      <c r="E4672" s="16" t="inlineStr">
        <is>
          <t>Shipped</t>
        </is>
      </c>
      <c r="F4672" s="16" t="inlineStr">
        <is>
          <t>MCM-001A</t>
        </is>
      </c>
      <c r="G4672" s="16" t="inlineStr">
        <is>
          <t>Musicord Altavoz Inalámbrico BT Portátil: ¡Sonido impactante, luces LED multicolores y 4 horas de autonomía! Compatible con TWS, FM, TF y USB – Imprescindible para fiestas y viajes</t>
        </is>
      </c>
      <c r="H4672" s="16" t="inlineStr">
        <is>
          <t>AZUL</t>
        </is>
      </c>
      <c r="I4672" s="16" t="n">
        <v>1</v>
      </c>
      <c r="J4672" s="17" t="n">
        <v>51.08</v>
      </c>
      <c r="K4672" s="17" t="n">
        <v>7.75</v>
      </c>
      <c r="L4672" s="17" t="n">
        <v>25.86</v>
      </c>
      <c r="M4672" s="17" t="n">
        <v>0</v>
      </c>
      <c r="N4672" s="17">
        <f>K4672*0.08+L4672*0.08</f>
        <v/>
      </c>
      <c r="O4672" s="17">
        <f>-(K4672*0.025+L4672*0.025)</f>
        <v/>
      </c>
      <c r="P4672" s="17">
        <f>32</f>
        <v/>
      </c>
      <c r="Q4672" s="17">
        <f>J4672+L4672+N4672+O4672-P4672-M4672</f>
        <v/>
      </c>
    </row>
    <row r="4673">
      <c r="A4673" s="16" t="inlineStr">
        <is>
          <t>5.8-5.14</t>
        </is>
      </c>
      <c r="B4673" s="16" t="inlineStr">
        <is>
          <t>PO-128-15773245770870673</t>
        </is>
      </c>
      <c r="C4673" s="16" t="inlineStr">
        <is>
          <t>Shipped</t>
        </is>
      </c>
      <c r="D4673" s="16" t="inlineStr">
        <is>
          <t>128-15773261499510673</t>
        </is>
      </c>
      <c r="E4673" s="16" t="inlineStr">
        <is>
          <t>Shipped</t>
        </is>
      </c>
      <c r="F4673" s="16" t="inlineStr">
        <is>
          <t>LV25W22</t>
        </is>
      </c>
      <c r="G46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73" s="16" t="inlineStr">
        <is>
          <t>LV25W32</t>
        </is>
      </c>
      <c r="I4673" s="16" t="n">
        <v>3</v>
      </c>
      <c r="J4673" s="17" t="n">
        <v>291</v>
      </c>
      <c r="K4673" s="17" t="n">
        <v>322.23</v>
      </c>
      <c r="L4673" s="17" t="n">
        <v>0</v>
      </c>
      <c r="M4673" s="17" t="n">
        <v>0</v>
      </c>
      <c r="N4673" s="17">
        <f>K4673*0.08+L4673*0.08</f>
        <v/>
      </c>
      <c r="O4673" s="17">
        <f>-(K4673*0.025+L4673*0.025)</f>
        <v/>
      </c>
      <c r="P4673" s="17">
        <f>32</f>
        <v/>
      </c>
      <c r="Q4673" s="17">
        <f>J4673+L4673+N4673+O4673-P4673-M4673</f>
        <v/>
      </c>
    </row>
    <row r="4674">
      <c r="A4674" s="16" t="inlineStr">
        <is>
          <t>5.8-5.14</t>
        </is>
      </c>
      <c r="B4674" s="16" t="inlineStr">
        <is>
          <t>PO-128-15544981967991137</t>
        </is>
      </c>
      <c r="C4674" s="16" t="inlineStr">
        <is>
          <t>Shipped</t>
        </is>
      </c>
      <c r="D4674" s="16" t="inlineStr">
        <is>
          <t>128-15544992453751137</t>
        </is>
      </c>
      <c r="E4674" s="16" t="inlineStr">
        <is>
          <t>Shipped</t>
        </is>
      </c>
      <c r="F4674" s="16" t="inlineStr">
        <is>
          <t>LV25W22</t>
        </is>
      </c>
      <c r="G46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74" s="16" t="inlineStr">
        <is>
          <t>LV25W32</t>
        </is>
      </c>
      <c r="I4674" s="16" t="n">
        <v>1</v>
      </c>
      <c r="J4674" s="17" t="n">
        <v>97</v>
      </c>
      <c r="K4674" s="17" t="n">
        <v>107.41</v>
      </c>
      <c r="L4674" s="17" t="n">
        <v>25.86</v>
      </c>
      <c r="M4674" s="17" t="n">
        <v>0</v>
      </c>
      <c r="N4674" s="17">
        <f>K4674*0.08+L4674*0.08</f>
        <v/>
      </c>
      <c r="O4674" s="17">
        <f>-(K4674*0.025+L4674*0.025)</f>
        <v/>
      </c>
      <c r="P4674" s="17">
        <f>32</f>
        <v/>
      </c>
      <c r="Q4674" s="17">
        <f>J4674+L4674+N4674+O4674-P4674-M4674</f>
        <v/>
      </c>
    </row>
    <row r="4675">
      <c r="A4675" s="16" t="inlineStr">
        <is>
          <t>5.8-5.14</t>
        </is>
      </c>
      <c r="B4675" s="16" t="inlineStr">
        <is>
          <t>PO-128-15468154506871467</t>
        </is>
      </c>
      <c r="C4675" s="16" t="inlineStr">
        <is>
          <t>Shipped</t>
        </is>
      </c>
      <c r="D4675" s="16" t="inlineStr">
        <is>
          <t>128-15468133535351467</t>
        </is>
      </c>
      <c r="E4675" s="16" t="inlineStr">
        <is>
          <t>Shipped</t>
        </is>
      </c>
      <c r="F4675" s="16" t="inlineStr">
        <is>
          <t>LV25W22</t>
        </is>
      </c>
      <c r="G46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75" s="16" t="inlineStr">
        <is>
          <t>LV25W32</t>
        </is>
      </c>
      <c r="I4675" s="16" t="n">
        <v>2</v>
      </c>
      <c r="J4675" s="17" t="n">
        <v>194</v>
      </c>
      <c r="K4675" s="17" t="n">
        <v>171.87</v>
      </c>
      <c r="L4675" s="17" t="n">
        <v>25.86</v>
      </c>
      <c r="M4675" s="17" t="n">
        <v>0</v>
      </c>
      <c r="N4675" s="17">
        <f>K4675*0.08+L4675*0.08</f>
        <v/>
      </c>
      <c r="O4675" s="17">
        <f>-(K4675*0.025+L4675*0.025)</f>
        <v/>
      </c>
      <c r="P4675" s="17">
        <f>32</f>
        <v/>
      </c>
      <c r="Q4675" s="17">
        <f>J4675+L4675+N4675+O4675-P4675-M4675</f>
        <v/>
      </c>
    </row>
    <row r="4676">
      <c r="A4676" s="16" t="inlineStr">
        <is>
          <t>5.8-5.14</t>
        </is>
      </c>
      <c r="B4676" s="16" t="inlineStr">
        <is>
          <t>PO-128-15772817728630675</t>
        </is>
      </c>
      <c r="C4676" s="16" t="inlineStr">
        <is>
          <t>Shipped</t>
        </is>
      </c>
      <c r="D4676" s="16" t="inlineStr">
        <is>
          <t>128-15772786271350675</t>
        </is>
      </c>
      <c r="E4676" s="16" t="inlineStr">
        <is>
          <t>Shipped</t>
        </is>
      </c>
      <c r="F4676" s="16" t="inlineStr">
        <is>
          <t>LB02235-negro</t>
        </is>
      </c>
      <c r="G4676" s="16" t="inlineStr">
        <is>
          <t>Audífonos Inalámbricos para la Cabeza, Recargables y Multifuncionales - Conectan a Varios Dispositivos, soportan Radio FM, Tarjeta TF y AUX - 4 Horas de Reproducción Musical - Ideal para Trabajo Cotidiano, Juegos y Estudio</t>
        </is>
      </c>
      <c r="H4676" s="16" t="inlineStr">
        <is>
          <t>NEGRO</t>
        </is>
      </c>
      <c r="I4676" s="16" t="n">
        <v>1</v>
      </c>
      <c r="J4676" s="17" t="n">
        <v>45.31</v>
      </c>
      <c r="K4676" s="17" t="n">
        <v>47.61</v>
      </c>
      <c r="L4676" s="17" t="n">
        <v>25.86</v>
      </c>
      <c r="M4676" s="17" t="n">
        <v>0</v>
      </c>
      <c r="N4676" s="17">
        <f>K4676*0.08+L4676*0.08</f>
        <v/>
      </c>
      <c r="O4676" s="17">
        <f>-(K4676*0.025+L4676*0.025)</f>
        <v/>
      </c>
      <c r="P4676" s="17">
        <f>32</f>
        <v/>
      </c>
      <c r="Q4676" s="17">
        <f>J4676+L4676+N4676+O4676-P4676-M4676</f>
        <v/>
      </c>
    </row>
    <row r="4677">
      <c r="A4677" s="16" t="inlineStr">
        <is>
          <t>5.8-5.14</t>
        </is>
      </c>
      <c r="B4677" s="16" t="inlineStr">
        <is>
          <t>PO-128-15798570294390584</t>
        </is>
      </c>
      <c r="C4677" s="16" t="inlineStr">
        <is>
          <t>Shipped</t>
        </is>
      </c>
      <c r="D4677" s="16" t="inlineStr">
        <is>
          <t>128-15798528351350584</t>
        </is>
      </c>
      <c r="E4677" s="16" t="inlineStr">
        <is>
          <t>Shipped</t>
        </is>
      </c>
      <c r="F4677" s="16" t="inlineStr">
        <is>
          <t>LB02235-azul</t>
        </is>
      </c>
      <c r="G4677" s="16" t="inlineStr">
        <is>
          <t>Audífonos Inalámbricos para la Cabeza, Recargables y Multifuncionales - Conectan a Varios Dispositivos, soportan Radio FM, Tarjeta TF y AUX - 4 Horas de Reproducción Musical - Ideal para Trabajo Cotidiano, Juegos y Estudio</t>
        </is>
      </c>
      <c r="H4677" s="16" t="inlineStr">
        <is>
          <t>AZUL</t>
        </is>
      </c>
      <c r="I4677" s="16" t="n">
        <v>1</v>
      </c>
      <c r="J4677" s="17" t="n">
        <v>37.6</v>
      </c>
      <c r="K4677" s="17" t="n">
        <v>7.62</v>
      </c>
      <c r="L4677" s="17" t="n">
        <v>25.86</v>
      </c>
      <c r="M4677" s="17" t="n">
        <v>0</v>
      </c>
      <c r="N4677" s="17">
        <f>K4677*0.08+L4677*0.08</f>
        <v/>
      </c>
      <c r="O4677" s="17">
        <f>-(K4677*0.025+L4677*0.025)</f>
        <v/>
      </c>
      <c r="P4677" s="17">
        <f>32</f>
        <v/>
      </c>
      <c r="Q4677" s="17">
        <f>J4677+L4677+N4677+O4677-P4677-M4677</f>
        <v/>
      </c>
    </row>
    <row r="4678">
      <c r="A4678" s="16" t="inlineStr">
        <is>
          <t>5.8-5.14</t>
        </is>
      </c>
      <c r="B4678" s="16" t="inlineStr">
        <is>
          <t>PO-128-15523064026231266</t>
        </is>
      </c>
      <c r="C4678" s="16" t="inlineStr">
        <is>
          <t>Shipped</t>
        </is>
      </c>
      <c r="D4678" s="16" t="inlineStr">
        <is>
          <t>128-15523084997751266</t>
        </is>
      </c>
      <c r="E4678" s="16" t="inlineStr">
        <is>
          <t>Shipped</t>
        </is>
      </c>
      <c r="F4678" s="16" t="inlineStr">
        <is>
          <t>LV25W22</t>
        </is>
      </c>
      <c r="G46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78" s="16" t="inlineStr">
        <is>
          <t>LV25W32</t>
        </is>
      </c>
      <c r="I4678" s="16" t="n">
        <v>1</v>
      </c>
      <c r="J4678" s="17" t="n">
        <v>97</v>
      </c>
      <c r="K4678" s="17" t="n">
        <v>85.93000000000001</v>
      </c>
      <c r="L4678" s="17" t="n">
        <v>25.86</v>
      </c>
      <c r="M4678" s="17" t="n">
        <v>0</v>
      </c>
      <c r="N4678" s="17">
        <f>K4678*0.08+L4678*0.08</f>
        <v/>
      </c>
      <c r="O4678" s="17">
        <f>-(K4678*0.025+L4678*0.025)</f>
        <v/>
      </c>
      <c r="P4678" s="17">
        <f>32</f>
        <v/>
      </c>
      <c r="Q4678" s="17">
        <f>J4678+L4678+N4678+O4678-P4678-M4678</f>
        <v/>
      </c>
    </row>
    <row r="4679">
      <c r="A4679" s="16" t="inlineStr">
        <is>
          <t>5.8-5.14</t>
        </is>
      </c>
      <c r="B4679" s="16" t="inlineStr">
        <is>
          <t>PO-128-15236534554233934</t>
        </is>
      </c>
      <c r="C4679" s="16" t="inlineStr">
        <is>
          <t>Shipped</t>
        </is>
      </c>
      <c r="D4679" s="16" t="inlineStr">
        <is>
          <t>128-15236492611193934</t>
        </is>
      </c>
      <c r="E4679" s="16" t="inlineStr">
        <is>
          <t>Shipped</t>
        </is>
      </c>
      <c r="F4679" s="16" t="inlineStr">
        <is>
          <t>KTS-1678Y</t>
        </is>
      </c>
      <c r="G4679" s="16" t="inlineStr">
        <is>
          <t>Bocina portátil Inalámbrico, de 3 pulgadas, tamaño de bolsillo, 170 g, con asa, compatible con TF, USB y Micro SD, con radio FM y función TWS (True Wireless Stereo), adecuada para relajarse en casa o viajar al aire libre.</t>
        </is>
      </c>
      <c r="H4679" s="16" t="inlineStr">
        <is>
          <t>KTS-1678Y</t>
        </is>
      </c>
      <c r="I4679" s="16" t="n">
        <v>1</v>
      </c>
      <c r="J4679" s="17" t="n">
        <v>41</v>
      </c>
      <c r="K4679" s="17" t="n">
        <v>47.2</v>
      </c>
      <c r="L4679" s="17" t="n">
        <v>25.86</v>
      </c>
      <c r="M4679" s="17" t="n">
        <v>0</v>
      </c>
      <c r="N4679" s="17">
        <f>K4679*0.08+L4679*0.08</f>
        <v/>
      </c>
      <c r="O4679" s="17">
        <f>-(K4679*0.025+L4679*0.025)</f>
        <v/>
      </c>
      <c r="P4679" s="17">
        <f>32</f>
        <v/>
      </c>
      <c r="Q4679" s="17">
        <f>J4679+L4679+N4679+O4679-P4679-M4679</f>
        <v/>
      </c>
    </row>
    <row r="4680">
      <c r="A4680" s="16" t="inlineStr">
        <is>
          <t>5.8-5.14</t>
        </is>
      </c>
      <c r="B4680" s="16" t="inlineStr">
        <is>
          <t>PO-128-15153007631993408</t>
        </is>
      </c>
      <c r="C4680" s="16" t="inlineStr">
        <is>
          <t>Shipped</t>
        </is>
      </c>
      <c r="D4680" s="16" t="inlineStr">
        <is>
          <t>128-15152965688953408</t>
        </is>
      </c>
      <c r="E4680" s="16" t="inlineStr">
        <is>
          <t>Shipped</t>
        </is>
      </c>
      <c r="F4680" s="16" t="inlineStr">
        <is>
          <t>SA325T</t>
        </is>
      </c>
      <c r="G4680" s="16" t="inlineStr">
        <is>
          <t>Subwoofer Portátil Inalámbrico con Luces RGB, Sonido de Alta Potencia y Batería Duradera, TWS TF USB, Perfecto para Campamento Fiestas y Entretenimiento en Casa</t>
        </is>
      </c>
      <c r="H4680" s="16" t="inlineStr">
        <is>
          <t>NEGRO</t>
        </is>
      </c>
      <c r="I4680" s="16" t="n">
        <v>1</v>
      </c>
      <c r="J4680" s="17" t="n">
        <v>38</v>
      </c>
      <c r="K4680" s="17" t="n">
        <v>3.96</v>
      </c>
      <c r="L4680" s="17" t="n">
        <v>25.86</v>
      </c>
      <c r="M4680" s="17" t="n">
        <v>0</v>
      </c>
      <c r="N4680" s="17">
        <f>K4680*0.08+L4680*0.08</f>
        <v/>
      </c>
      <c r="O4680" s="17">
        <f>-(K4680*0.025+L4680*0.025)</f>
        <v/>
      </c>
      <c r="P4680" s="17">
        <f>32</f>
        <v/>
      </c>
      <c r="Q4680" s="17">
        <f>J4680+L4680+N4680+O4680-P4680-M4680</f>
        <v/>
      </c>
    </row>
    <row r="4681">
      <c r="A4681" s="16" t="inlineStr">
        <is>
          <t>5.8-5.14</t>
        </is>
      </c>
      <c r="B4681" s="16" t="inlineStr">
        <is>
          <t>PO-128-15363911160952086</t>
        </is>
      </c>
      <c r="C4681" s="16" t="inlineStr">
        <is>
          <t>Shipped</t>
        </is>
      </c>
      <c r="D4681" s="16" t="inlineStr">
        <is>
          <t>128-15363958346872086</t>
        </is>
      </c>
      <c r="E4681" s="16" t="inlineStr">
        <is>
          <t>Shipped</t>
        </is>
      </c>
      <c r="F4681" s="16" t="inlineStr">
        <is>
          <t>LB02235-rojo</t>
        </is>
      </c>
      <c r="G4681" s="16" t="inlineStr">
        <is>
          <t>Audífonos Inalámbricos para la Cabeza, Recargables y Multifuncionales - Conectan a Varios Dispositivos, soportan Radio FM, Tarjeta TF y AUX - 4 Horas de Reproducción Musical - Ideal para Trabajo Cotidiano, Juegos y Estudio</t>
        </is>
      </c>
      <c r="H4681" s="16" t="inlineStr">
        <is>
          <t>ROJO</t>
        </is>
      </c>
      <c r="I4681" s="16" t="n">
        <v>2</v>
      </c>
      <c r="J4681" s="17" t="n">
        <v>76</v>
      </c>
      <c r="K4681" s="17" t="n">
        <v>102.24</v>
      </c>
      <c r="L4681" s="17" t="n">
        <v>25.86</v>
      </c>
      <c r="M4681" s="17" t="n">
        <v>0</v>
      </c>
      <c r="N4681" s="17">
        <f>K4681*0.08+L4681*0.08</f>
        <v/>
      </c>
      <c r="O4681" s="17">
        <f>-(K4681*0.025+L4681*0.025)</f>
        <v/>
      </c>
      <c r="P4681" s="17">
        <f>32</f>
        <v/>
      </c>
      <c r="Q4681" s="17">
        <f>J4681+L4681+N4681+O4681-P4681-M4681</f>
        <v/>
      </c>
    </row>
    <row r="4682">
      <c r="A4682" s="16" t="inlineStr">
        <is>
          <t>5.8-5.14</t>
        </is>
      </c>
      <c r="B4682" s="16" t="inlineStr">
        <is>
          <t>PO-128-15358229581432056</t>
        </is>
      </c>
      <c r="C4682" s="16" t="inlineStr">
        <is>
          <t>Shipped</t>
        </is>
      </c>
      <c r="D4682" s="16" t="inlineStr">
        <is>
          <t>128-15358234824312056</t>
        </is>
      </c>
      <c r="E4682" s="16" t="inlineStr">
        <is>
          <t>Shipped</t>
        </is>
      </c>
      <c r="F4682" s="16" t="inlineStr">
        <is>
          <t>LV25W22</t>
        </is>
      </c>
      <c r="G468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82" s="16" t="inlineStr">
        <is>
          <t>LV25W32</t>
        </is>
      </c>
      <c r="I4682" s="16" t="n">
        <v>1</v>
      </c>
      <c r="J4682" s="17" t="n">
        <v>97</v>
      </c>
      <c r="K4682" s="17" t="n">
        <v>95.78</v>
      </c>
      <c r="L4682" s="17" t="n">
        <v>25.86</v>
      </c>
      <c r="M4682" s="17" t="n">
        <v>0</v>
      </c>
      <c r="N4682" s="17">
        <f>K4682*0.08+L4682*0.08</f>
        <v/>
      </c>
      <c r="O4682" s="17">
        <f>-(K4682*0.025+L4682*0.025)</f>
        <v/>
      </c>
      <c r="P4682" s="17">
        <f>32</f>
        <v/>
      </c>
      <c r="Q4682" s="17">
        <f>J4682+L4682+N4682+O4682-P4682-M4682</f>
        <v/>
      </c>
    </row>
    <row r="4683">
      <c r="A4683" s="16" t="inlineStr">
        <is>
          <t>5.8-5.14</t>
        </is>
      </c>
      <c r="B4683" s="16" t="inlineStr">
        <is>
          <t>PO-128-15707078085750043</t>
        </is>
      </c>
      <c r="C4683" s="16" t="inlineStr">
        <is>
          <t>Shipped</t>
        </is>
      </c>
      <c r="D4683" s="16" t="inlineStr">
        <is>
          <t>128-15707120028790043</t>
        </is>
      </c>
      <c r="E4683" s="16" t="inlineStr">
        <is>
          <t>Shipped</t>
        </is>
      </c>
      <c r="F4683" s="16" t="inlineStr">
        <is>
          <t>FA028</t>
        </is>
      </c>
      <c r="G4683" s="16" t="inlineStr">
        <is>
          <t>Extractor de agua para garrafas de agua, compatible con carga USB, extractor de agua automático, práctico, con dos modos de toma de agua: manual y programado, ideal para dormitorios, salones, oficinas, uso al aire libre y otros escenarios.</t>
        </is>
      </c>
      <c r="H4683" s="16" t="inlineStr">
        <is>
          <t>FA028</t>
        </is>
      </c>
      <c r="I4683" s="16" t="n">
        <v>2</v>
      </c>
      <c r="J4683" s="17" t="n">
        <v>60</v>
      </c>
      <c r="K4683" s="17" t="n">
        <v>63.34</v>
      </c>
      <c r="L4683" s="17" t="n">
        <v>25.86</v>
      </c>
      <c r="M4683" s="17" t="n">
        <v>0</v>
      </c>
      <c r="N4683" s="17">
        <f>K4683*0.08+L4683*0.08</f>
        <v/>
      </c>
      <c r="O4683" s="17">
        <f>-(K4683*0.025+L4683*0.025)</f>
        <v/>
      </c>
      <c r="P4683" s="17">
        <f>32</f>
        <v/>
      </c>
      <c r="Q4683" s="17">
        <f>J4683+L4683+N4683+O4683-P4683-M4683</f>
        <v/>
      </c>
    </row>
    <row r="4684">
      <c r="A4684" s="16" t="inlineStr">
        <is>
          <t>5.8-5.14</t>
        </is>
      </c>
      <c r="B4684" s="16" t="inlineStr">
        <is>
          <t>PO-128-15304849534072502</t>
        </is>
      </c>
      <c r="C4684" s="16" t="inlineStr">
        <is>
          <t>Shipped</t>
        </is>
      </c>
      <c r="D4684" s="16" t="inlineStr">
        <is>
          <t>128-15305013374072502</t>
        </is>
      </c>
      <c r="E4684" s="16" t="inlineStr">
        <is>
          <t>Shipped</t>
        </is>
      </c>
      <c r="F4684" s="16" t="inlineStr">
        <is>
          <t>SA325T</t>
        </is>
      </c>
      <c r="G4684" s="16" t="inlineStr">
        <is>
          <t>Subwoofer Portátil Inalámbrico con Luces RGB, Sonido de Alta Potencia y Batería Duradera, TWS TF USB, Perfecto para Campamento Fiestas y Entretenimiento en Casa</t>
        </is>
      </c>
      <c r="H4684" s="16" t="inlineStr">
        <is>
          <t>NEGRO</t>
        </is>
      </c>
      <c r="I4684" s="16" t="n">
        <v>1</v>
      </c>
      <c r="J4684" s="17" t="n">
        <v>38</v>
      </c>
      <c r="K4684" s="17" t="n">
        <v>3.96</v>
      </c>
      <c r="L4684" s="17" t="n">
        <v>25.86</v>
      </c>
      <c r="M4684" s="17" t="n">
        <v>0</v>
      </c>
      <c r="N4684" s="17">
        <f>K4684*0.08+L4684*0.08</f>
        <v/>
      </c>
      <c r="O4684" s="17">
        <f>-(K4684*0.025+L4684*0.025)</f>
        <v/>
      </c>
      <c r="P4684" s="17">
        <f>32</f>
        <v/>
      </c>
      <c r="Q4684" s="17">
        <f>J4684+L4684+N4684+O4684-P4684-M4684</f>
        <v/>
      </c>
    </row>
    <row r="4685">
      <c r="A4685" s="16" t="inlineStr">
        <is>
          <t>5.8-5.14</t>
        </is>
      </c>
      <c r="B4685" s="16" t="inlineStr">
        <is>
          <t>PO-128-15645507689590472</t>
        </is>
      </c>
      <c r="C4685" s="16" t="inlineStr">
        <is>
          <t>Shipped</t>
        </is>
      </c>
      <c r="D4685" s="16" t="inlineStr">
        <is>
          <t>128-15645497203830472</t>
        </is>
      </c>
      <c r="E4685" s="16" t="inlineStr">
        <is>
          <t>Shipped</t>
        </is>
      </c>
      <c r="F4685" s="16" t="inlineStr">
        <is>
          <t>LB02235-rojo</t>
        </is>
      </c>
      <c r="G4685" s="16" t="inlineStr">
        <is>
          <t>Audífonos Inalámbricos para la Cabeza, Recargables y Multifuncionales - Conectan a Varios Dispositivos, soportan Radio FM, Tarjeta TF y AUX - 4 Horas de Reproducción Musical - Ideal para Trabajo Cotidiano, Juegos y Estudio</t>
        </is>
      </c>
      <c r="H4685" s="16" t="inlineStr">
        <is>
          <t>ROJO</t>
        </is>
      </c>
      <c r="I4685" s="16" t="n">
        <v>1</v>
      </c>
      <c r="J4685" s="17" t="n">
        <v>38</v>
      </c>
      <c r="K4685" s="17" t="n">
        <v>40.89</v>
      </c>
      <c r="L4685" s="17" t="n">
        <v>25.86</v>
      </c>
      <c r="M4685" s="17" t="n">
        <v>0</v>
      </c>
      <c r="N4685" s="17">
        <f>K4685*0.08+L4685*0.08</f>
        <v/>
      </c>
      <c r="O4685" s="17">
        <f>-(K4685*0.025+L4685*0.025)</f>
        <v/>
      </c>
      <c r="P4685" s="17">
        <f>32</f>
        <v/>
      </c>
      <c r="Q4685" s="17">
        <f>J4685+L4685+N4685+O4685-P4685-M4685</f>
        <v/>
      </c>
    </row>
    <row r="4686">
      <c r="A4686" s="16" t="inlineStr">
        <is>
          <t>5.8-5.14</t>
        </is>
      </c>
      <c r="B4686" s="16" t="inlineStr">
        <is>
          <t>PO-128-15729161096310935</t>
        </is>
      </c>
      <c r="C4686" s="16" t="inlineStr">
        <is>
          <t>Shipped</t>
        </is>
      </c>
      <c r="D4686" s="16" t="inlineStr">
        <is>
          <t>128-15729213525110935</t>
        </is>
      </c>
      <c r="E4686" s="16" t="inlineStr">
        <is>
          <t>Shipped</t>
        </is>
      </c>
      <c r="F4686" s="16" t="inlineStr">
        <is>
          <t>MCM-001A</t>
        </is>
      </c>
      <c r="G4686" s="16" t="inlineStr">
        <is>
          <t>Musicord Altavoz Inalámbrico BT Portátil: ¡Sonido impactante, luces LED multicolores y 4 horas de autonomía! Compatible con TWS, FM, TF y USB – Imprescindible para fiestas y viajes</t>
        </is>
      </c>
      <c r="H4686" s="16" t="inlineStr">
        <is>
          <t>AZUL</t>
        </is>
      </c>
      <c r="I4686" s="16" t="n">
        <v>1</v>
      </c>
      <c r="J4686" s="17" t="n">
        <v>51.08</v>
      </c>
      <c r="K4686" s="17" t="n">
        <v>59.47</v>
      </c>
      <c r="L4686" s="17" t="n">
        <v>25.86</v>
      </c>
      <c r="M4686" s="17" t="n">
        <v>0</v>
      </c>
      <c r="N4686" s="17">
        <f>K4686*0.08+L4686*0.08</f>
        <v/>
      </c>
      <c r="O4686" s="17">
        <f>-(K4686*0.025+L4686*0.025)</f>
        <v/>
      </c>
      <c r="P4686" s="17">
        <f>32</f>
        <v/>
      </c>
      <c r="Q4686" s="17">
        <f>J4686+L4686+N4686+O4686-P4686-M4686</f>
        <v/>
      </c>
    </row>
    <row r="4687">
      <c r="A4687" s="16" t="inlineStr">
        <is>
          <t>5.8-5.14</t>
        </is>
      </c>
      <c r="B4687" s="16" t="inlineStr">
        <is>
          <t>PO-128-15320424525432346</t>
        </is>
      </c>
      <c r="C4687" s="16" t="inlineStr">
        <is>
          <t>Shipped</t>
        </is>
      </c>
      <c r="D4687" s="16" t="inlineStr">
        <is>
          <t>128-15320382582392346</t>
        </is>
      </c>
      <c r="E4687" s="16" t="inlineStr">
        <is>
          <t>Shipped</t>
        </is>
      </c>
      <c r="F4687" s="16" t="inlineStr">
        <is>
          <t>MB-178-B</t>
        </is>
      </c>
      <c r="G4687" s="16" t="inlineStr">
        <is>
          <t>Bocina de Barra Bluetooth LINK BITS con dos altavoces, sonido de alta calidad y multifuncional (Bluetooth, Radio FM, USB, TF, AUX, TWS), ideal para juegos, reuniones, oficina y cine en casa.</t>
        </is>
      </c>
      <c r="H4687" s="16" t="inlineStr">
        <is>
          <t>BLANCO</t>
        </is>
      </c>
      <c r="I4687" s="16" t="n">
        <v>1</v>
      </c>
      <c r="J4687" s="17" t="n">
        <v>129</v>
      </c>
      <c r="K4687" s="17" t="n">
        <v>124.23</v>
      </c>
      <c r="L4687" s="17" t="n">
        <v>25.86</v>
      </c>
      <c r="M4687" s="17" t="n">
        <v>0</v>
      </c>
      <c r="N4687" s="17">
        <f>K4687*0.08+L4687*0.08</f>
        <v/>
      </c>
      <c r="O4687" s="17">
        <f>-(K4687*0.025+L4687*0.025)</f>
        <v/>
      </c>
      <c r="P4687" s="17">
        <f>32</f>
        <v/>
      </c>
      <c r="Q4687" s="17">
        <f>J4687+L4687+N4687+O4687-P4687-M4687</f>
        <v/>
      </c>
    </row>
    <row r="4688">
      <c r="A4688" s="16" t="inlineStr">
        <is>
          <t>5.8-5.14</t>
        </is>
      </c>
      <c r="B4688" s="16" t="inlineStr">
        <is>
          <t>PO-128-15412928248952882</t>
        </is>
      </c>
      <c r="C4688" s="16" t="inlineStr">
        <is>
          <t>Shipped</t>
        </is>
      </c>
      <c r="D4688" s="16" t="inlineStr">
        <is>
          <t>128-15413033106552882</t>
        </is>
      </c>
      <c r="E4688" s="16" t="inlineStr">
        <is>
          <t>Shipped</t>
        </is>
      </c>
      <c r="F4688" s="16" t="inlineStr">
        <is>
          <t>SA323T</t>
        </is>
      </c>
      <c r="G4688" s="16" t="inlineStr">
        <is>
          <t>Linkbits Bocina Portátil Parlantes BT Portátiles con Iluminación de Ambiente | 1 Hora de Duración, FM, TWS, TF/Micro SD | Ideal para Hogar, Fiestas y Viajes</t>
        </is>
      </c>
      <c r="H4688" s="16" t="inlineStr">
        <is>
          <t>SA323T</t>
        </is>
      </c>
      <c r="I4688" s="16" t="n">
        <v>1</v>
      </c>
      <c r="J4688" s="17" t="n">
        <v>46</v>
      </c>
      <c r="K4688" s="17" t="n">
        <v>55.04</v>
      </c>
      <c r="L4688" s="17" t="n">
        <v>25.86</v>
      </c>
      <c r="M4688" s="17" t="n">
        <v>0</v>
      </c>
      <c r="N4688" s="17">
        <f>K4688*0.08+L4688*0.08</f>
        <v/>
      </c>
      <c r="O4688" s="17">
        <f>-(K4688*0.025+L4688*0.025)</f>
        <v/>
      </c>
      <c r="P4688" s="17">
        <f>32</f>
        <v/>
      </c>
      <c r="Q4688" s="17">
        <f>J4688+L4688+N4688+O4688-P4688-M4688</f>
        <v/>
      </c>
    </row>
    <row r="4689">
      <c r="A4689" s="16" t="inlineStr">
        <is>
          <t>5.8-5.14</t>
        </is>
      </c>
      <c r="B4689" s="16" t="inlineStr">
        <is>
          <t>PO-128-15502608305271388</t>
        </is>
      </c>
      <c r="C4689" s="16" t="inlineStr">
        <is>
          <t>Shipped</t>
        </is>
      </c>
      <c r="D4689" s="16" t="inlineStr">
        <is>
          <t>128-15502629276791388</t>
        </is>
      </c>
      <c r="E4689" s="16" t="inlineStr">
        <is>
          <t>Shipped</t>
        </is>
      </c>
      <c r="F4689" s="16" t="inlineStr">
        <is>
          <t>SA325T</t>
        </is>
      </c>
      <c r="G4689" s="16" t="inlineStr">
        <is>
          <t>Subwoofer Portátil Inalámbrico con Luces RGB, Sonido de Alta Potencia y Batería Duradera, TWS TF USB, Perfecto para Campamento Fiestas y Entretenimiento en Casa</t>
        </is>
      </c>
      <c r="H4689" s="16" t="inlineStr">
        <is>
          <t>NEGRO</t>
        </is>
      </c>
      <c r="I4689" s="16" t="n">
        <v>20</v>
      </c>
      <c r="J4689" s="17" t="n">
        <v>760</v>
      </c>
      <c r="K4689" s="17" t="n">
        <v>800.03</v>
      </c>
      <c r="L4689" s="17" t="n">
        <v>0</v>
      </c>
      <c r="M4689" s="17" t="n">
        <v>0</v>
      </c>
      <c r="N4689" s="17">
        <f>K4689*0.08+L4689*0.08</f>
        <v/>
      </c>
      <c r="O4689" s="17">
        <f>-(K4689*0.025+L4689*0.025)</f>
        <v/>
      </c>
      <c r="P4689" s="17">
        <f>32</f>
        <v/>
      </c>
      <c r="Q4689" s="17">
        <f>J4689+L4689+N4689+O4689-P4689-M4689</f>
        <v/>
      </c>
    </row>
    <row r="4690">
      <c r="A4690" s="16" t="inlineStr">
        <is>
          <t>5.8-5.14</t>
        </is>
      </c>
      <c r="B4690" s="16" t="inlineStr">
        <is>
          <t>PO-128-15240697654393911</t>
        </is>
      </c>
      <c r="C4690" s="16" t="inlineStr">
        <is>
          <t>Shipped</t>
        </is>
      </c>
      <c r="D4690" s="16" t="inlineStr">
        <is>
          <t>128-15240718625913911</t>
        </is>
      </c>
      <c r="E4690" s="16" t="inlineStr">
        <is>
          <t>Shipped</t>
        </is>
      </c>
      <c r="F4690" s="16" t="inlineStr">
        <is>
          <t>KTS-1678V</t>
        </is>
      </c>
      <c r="G4690" s="16" t="inlineStr">
        <is>
          <t>Bocina portátil Inalámbrico, de 3 pulgadas, tamaño de bolsillo, 170 g, con asa, compatible con TF, USB y Micro SD, con radio FM y función TWS (True Wireless Stereo), adecuada para relajarse en casa o viajar al aire libre.</t>
        </is>
      </c>
      <c r="H4690" s="16" t="inlineStr">
        <is>
          <t>KTS-1678V</t>
        </is>
      </c>
      <c r="I4690" s="16" t="n">
        <v>1</v>
      </c>
      <c r="J4690" s="17" t="n">
        <v>42.5</v>
      </c>
      <c r="K4690" s="17" t="n">
        <v>7.67</v>
      </c>
      <c r="L4690" s="17" t="n">
        <v>25.86</v>
      </c>
      <c r="M4690" s="17" t="n">
        <v>0</v>
      </c>
      <c r="N4690" s="17">
        <f>K4690*0.08+L4690*0.08</f>
        <v/>
      </c>
      <c r="O4690" s="17">
        <f>-(K4690*0.025+L4690*0.025)</f>
        <v/>
      </c>
      <c r="P4690" s="17">
        <f>32</f>
        <v/>
      </c>
      <c r="Q4690" s="17">
        <f>J4690+L4690+N4690+O4690-P4690-M4690</f>
        <v/>
      </c>
    </row>
    <row r="4691">
      <c r="A4691" s="16" t="inlineStr">
        <is>
          <t>5.8-5.14</t>
        </is>
      </c>
      <c r="B4691" s="16" t="inlineStr">
        <is>
          <t>PO-128-15214202125434005</t>
        </is>
      </c>
      <c r="C4691" s="16" t="inlineStr">
        <is>
          <t>Shipped</t>
        </is>
      </c>
      <c r="D4691" s="16" t="inlineStr">
        <is>
          <t>128-15214246689914005</t>
        </is>
      </c>
      <c r="E4691" s="16" t="inlineStr">
        <is>
          <t>Shipped</t>
        </is>
      </c>
      <c r="F4691" s="16" t="inlineStr">
        <is>
          <t>MCM-001G</t>
        </is>
      </c>
      <c r="G4691" s="16" t="inlineStr">
        <is>
          <t>Musicord Altavoz Inalámbrico BT Portátil: ¡Sonido impactante, luces LED multicolores y 4 horas de autonomía! Compatible con TWS, FM, TF y USB – Imprescindible para fiestas y viajes</t>
        </is>
      </c>
      <c r="H4691" s="16" t="inlineStr">
        <is>
          <t>GRIS</t>
        </is>
      </c>
      <c r="I4691" s="16" t="n">
        <v>1</v>
      </c>
      <c r="J4691" s="17" t="n">
        <v>51.07</v>
      </c>
      <c r="K4691" s="17" t="n">
        <v>54.35</v>
      </c>
      <c r="L4691" s="17" t="n">
        <v>13.24</v>
      </c>
      <c r="M4691" s="17" t="n">
        <v>0</v>
      </c>
      <c r="N4691" s="17">
        <f>K4691*0.08+L4691*0.08</f>
        <v/>
      </c>
      <c r="O4691" s="17">
        <f>-(K4691*0.025+L4691*0.025)</f>
        <v/>
      </c>
      <c r="P4691" s="17">
        <f>32</f>
        <v/>
      </c>
      <c r="Q4691" s="17">
        <f>J4691+L4691+N4691+O4691-P4691-M4691</f>
        <v/>
      </c>
    </row>
    <row r="4692">
      <c r="A4692" s="16" t="inlineStr">
        <is>
          <t>5.8-5.14</t>
        </is>
      </c>
      <c r="B4692" s="16" t="inlineStr">
        <is>
          <t>PO-128-15214202125434005</t>
        </is>
      </c>
      <c r="C4692" s="16" t="inlineStr">
        <is>
          <t>Shipped</t>
        </is>
      </c>
      <c r="D4692" s="16" t="inlineStr">
        <is>
          <t>128-15214233582714005</t>
        </is>
      </c>
      <c r="E4692" s="16" t="inlineStr">
        <is>
          <t>Shipped</t>
        </is>
      </c>
      <c r="F4692" s="16" t="inlineStr">
        <is>
          <t>MCM-001A</t>
        </is>
      </c>
      <c r="G4692" s="16" t="inlineStr">
        <is>
          <t>Musicord Altavoz Inalámbrico BT Portátil: ¡Sonido impactante, luces LED multicolores y 4 horas de autonomía! Compatible con TWS, FM, TF y USB – Imprescindible para fiestas y viajes</t>
        </is>
      </c>
      <c r="H4692" s="16" t="inlineStr">
        <is>
          <t>AZUL</t>
        </is>
      </c>
      <c r="I4692" s="16" t="n">
        <v>1</v>
      </c>
      <c r="J4692" s="17" t="n">
        <v>51.08</v>
      </c>
      <c r="K4692" s="17" t="n">
        <v>51.84</v>
      </c>
      <c r="L4692" s="17" t="n">
        <v>12.62</v>
      </c>
      <c r="M4692" s="17" t="n">
        <v>0</v>
      </c>
      <c r="N4692" s="17">
        <f>K4692*0.08+L4692*0.08</f>
        <v/>
      </c>
      <c r="O4692" s="17">
        <f>-(K4692*0.025+L4692*0.025)</f>
        <v/>
      </c>
      <c r="P4692" s="17">
        <f>32</f>
        <v/>
      </c>
      <c r="Q4692" s="17">
        <f>J4692+L4692+N4692+O4692-P4692-M4692</f>
        <v/>
      </c>
    </row>
    <row r="4693">
      <c r="A4693" s="16" t="inlineStr">
        <is>
          <t>5.8-5.14</t>
        </is>
      </c>
      <c r="B4693" s="16" t="inlineStr">
        <is>
          <t>PO-128-15369577795192119</t>
        </is>
      </c>
      <c r="C4693" s="16" t="inlineStr">
        <is>
          <t>Shipped</t>
        </is>
      </c>
      <c r="D4693" s="16" t="inlineStr">
        <is>
          <t>128-15369535852152119</t>
        </is>
      </c>
      <c r="E4693" s="16" t="inlineStr">
        <is>
          <t>Shipped</t>
        </is>
      </c>
      <c r="F4693" s="16" t="inlineStr">
        <is>
          <t>MCM-001A</t>
        </is>
      </c>
      <c r="G4693" s="16" t="inlineStr">
        <is>
          <t>Musicord Altavoz Inalámbrico BT Portátil: ¡Sonido impactante, luces LED multicolores y 4 horas de autonomía! Compatible con TWS, FM, TF y USB – Imprescindible para fiestas y viajes</t>
        </is>
      </c>
      <c r="H4693" s="16" t="inlineStr">
        <is>
          <t>AZUL</t>
        </is>
      </c>
      <c r="I4693" s="16" t="n">
        <v>1</v>
      </c>
      <c r="J4693" s="17" t="n">
        <v>51.08</v>
      </c>
      <c r="K4693" s="17" t="n">
        <v>6.02</v>
      </c>
      <c r="L4693" s="17" t="n">
        <v>25.86</v>
      </c>
      <c r="M4693" s="17" t="n">
        <v>0</v>
      </c>
      <c r="N4693" s="17">
        <f>K4693*0.08+L4693*0.08</f>
        <v/>
      </c>
      <c r="O4693" s="17">
        <f>-(K4693*0.025+L4693*0.025)</f>
        <v/>
      </c>
      <c r="P4693" s="17">
        <f>32</f>
        <v/>
      </c>
      <c r="Q4693" s="17">
        <f>J4693+L4693+N4693+O4693-P4693-M4693</f>
        <v/>
      </c>
    </row>
    <row r="4694">
      <c r="A4694" s="16" t="inlineStr">
        <is>
          <t>5.8-5.14</t>
        </is>
      </c>
      <c r="B4694" s="16" t="inlineStr">
        <is>
          <t>PO-128-15439533919352788</t>
        </is>
      </c>
      <c r="C4694" s="16" t="inlineStr">
        <is>
          <t>Shipped</t>
        </is>
      </c>
      <c r="D4694" s="16" t="inlineStr">
        <is>
          <t>128-15439491976312788</t>
        </is>
      </c>
      <c r="E4694" s="16" t="inlineStr">
        <is>
          <t>Shipped</t>
        </is>
      </c>
      <c r="F4694" s="16" t="inlineStr">
        <is>
          <t>LB02235-rojo</t>
        </is>
      </c>
      <c r="G4694" s="16" t="inlineStr">
        <is>
          <t>Audífonos Inalámbricos para la Cabeza, Recargables y Multifuncionales - Conectan a Varios Dispositivos, soportan Radio FM, Tarjeta TF y AUX - 4 Horas de Reproducción Musical - Ideal para Trabajo Cotidiano, Juegos y Estudio</t>
        </is>
      </c>
      <c r="H4694" s="16" t="inlineStr">
        <is>
          <t>ROJO</t>
        </is>
      </c>
      <c r="I4694" s="16" t="n">
        <v>1</v>
      </c>
      <c r="J4694" s="17" t="n">
        <v>38</v>
      </c>
      <c r="K4694" s="17" t="n">
        <v>40.9</v>
      </c>
      <c r="L4694" s="17" t="n">
        <v>25.86</v>
      </c>
      <c r="M4694" s="17" t="n">
        <v>0</v>
      </c>
      <c r="N4694" s="17">
        <f>K4694*0.08+L4694*0.08</f>
        <v/>
      </c>
      <c r="O4694" s="17">
        <f>-(K4694*0.025+L4694*0.025)</f>
        <v/>
      </c>
      <c r="P4694" s="17">
        <f>32</f>
        <v/>
      </c>
      <c r="Q4694" s="17">
        <f>J4694+L4694+N4694+O4694-P4694-M4694</f>
        <v/>
      </c>
    </row>
    <row r="4695">
      <c r="A4695" s="16" t="inlineStr">
        <is>
          <t>5.8-5.14</t>
        </is>
      </c>
      <c r="B4695" s="16" t="inlineStr">
        <is>
          <t>PO-128-15575381171831850</t>
        </is>
      </c>
      <c r="C4695" s="16" t="inlineStr">
        <is>
          <t>Shipped</t>
        </is>
      </c>
      <c r="D4695" s="16" t="inlineStr">
        <is>
          <t>128-15575421148791850</t>
        </is>
      </c>
      <c r="E4695" s="16" t="inlineStr">
        <is>
          <t>Shipped</t>
        </is>
      </c>
      <c r="F4695" s="16" t="inlineStr">
        <is>
          <t>MCM-001A</t>
        </is>
      </c>
      <c r="G4695" s="16" t="inlineStr">
        <is>
          <t>Musicord Altavoz Inalámbrico BT Portátil: ¡Sonido impactante, luces LED multicolores y 4 horas de autonomía! Compatible con TWS, FM, TF y USB – Imprescindible para fiestas y viajes</t>
        </is>
      </c>
      <c r="H4695" s="16" t="inlineStr">
        <is>
          <t>AZUL</t>
        </is>
      </c>
      <c r="I4695" s="16" t="n">
        <v>1</v>
      </c>
      <c r="J4695" s="17" t="n">
        <v>51.08</v>
      </c>
      <c r="K4695" s="17" t="n">
        <v>59.47</v>
      </c>
      <c r="L4695" s="17" t="n">
        <v>25.86</v>
      </c>
      <c r="M4695" s="17" t="n">
        <v>0</v>
      </c>
      <c r="N4695" s="17">
        <f>K4695*0.08+L4695*0.08</f>
        <v/>
      </c>
      <c r="O4695" s="17">
        <f>-(K4695*0.025+L4695*0.025)</f>
        <v/>
      </c>
      <c r="P4695" s="17">
        <f>32</f>
        <v/>
      </c>
      <c r="Q4695" s="17">
        <f>J4695+L4695+N4695+O4695-P4695-M4695</f>
        <v/>
      </c>
    </row>
    <row r="4696">
      <c r="A4696" s="16" t="inlineStr">
        <is>
          <t>5.8-5.14</t>
        </is>
      </c>
      <c r="B4696" s="16" t="inlineStr">
        <is>
          <t>PO-128-15596763039351725</t>
        </is>
      </c>
      <c r="C4696" s="16" t="inlineStr">
        <is>
          <t>Shipped</t>
        </is>
      </c>
      <c r="D4696" s="16" t="inlineStr">
        <is>
          <t>128-15596752553591725</t>
        </is>
      </c>
      <c r="E4696" s="16" t="inlineStr">
        <is>
          <t>Shipped</t>
        </is>
      </c>
      <c r="F4696" s="16" t="inlineStr">
        <is>
          <t>LV25W22</t>
        </is>
      </c>
      <c r="G46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96" s="16" t="inlineStr">
        <is>
          <t>LV25W32</t>
        </is>
      </c>
      <c r="I4696" s="16" t="n">
        <v>3</v>
      </c>
      <c r="J4696" s="17" t="n">
        <v>291</v>
      </c>
      <c r="K4696" s="17" t="n">
        <v>281.91</v>
      </c>
      <c r="L4696" s="17" t="n">
        <v>0</v>
      </c>
      <c r="M4696" s="17" t="n">
        <v>0</v>
      </c>
      <c r="N4696" s="17">
        <f>K4696*0.08+L4696*0.08</f>
        <v/>
      </c>
      <c r="O4696" s="17">
        <f>-(K4696*0.025+L4696*0.025)</f>
        <v/>
      </c>
      <c r="P4696" s="17">
        <f>32</f>
        <v/>
      </c>
      <c r="Q4696" s="17">
        <f>J4696+L4696+N4696+O4696-P4696-M4696</f>
        <v/>
      </c>
    </row>
    <row r="4697">
      <c r="A4697" s="16" t="inlineStr">
        <is>
          <t>5.8-5.14</t>
        </is>
      </c>
      <c r="B4697" s="16" t="inlineStr">
        <is>
          <t>PO-128-15620813089911581</t>
        </is>
      </c>
      <c r="C4697" s="16" t="inlineStr">
        <is>
          <t>Shipped</t>
        </is>
      </c>
      <c r="D4697" s="16" t="inlineStr">
        <is>
          <t>128-15620855032951581</t>
        </is>
      </c>
      <c r="E4697" s="16" t="inlineStr">
        <is>
          <t>Shipped</t>
        </is>
      </c>
      <c r="F4697" s="16" t="inlineStr">
        <is>
          <t>LV25W22</t>
        </is>
      </c>
      <c r="G46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697" s="16" t="inlineStr">
        <is>
          <t>LV25W32</t>
        </is>
      </c>
      <c r="I4697" s="16" t="n">
        <v>2</v>
      </c>
      <c r="J4697" s="17" t="n">
        <v>194</v>
      </c>
      <c r="K4697" s="17" t="n">
        <v>214.82</v>
      </c>
      <c r="L4697" s="17" t="n">
        <v>25.86</v>
      </c>
      <c r="M4697" s="17" t="n">
        <v>0</v>
      </c>
      <c r="N4697" s="17">
        <f>K4697*0.08+L4697*0.08</f>
        <v/>
      </c>
      <c r="O4697" s="17">
        <f>-(K4697*0.025+L4697*0.025)</f>
        <v/>
      </c>
      <c r="P4697" s="17">
        <f>32</f>
        <v/>
      </c>
      <c r="Q4697" s="17">
        <f>J4697+L4697+N4697+O4697-P4697-M4697</f>
        <v/>
      </c>
    </row>
    <row r="4698">
      <c r="A4698" s="16" t="inlineStr">
        <is>
          <t>5.8-5.14</t>
        </is>
      </c>
      <c r="B4698" s="16" t="inlineStr">
        <is>
          <t>PO-128-15683221970550185</t>
        </is>
      </c>
      <c r="C4698" s="16" t="inlineStr">
        <is>
          <t>Shipped</t>
        </is>
      </c>
      <c r="D4698" s="16" t="inlineStr">
        <is>
          <t>128-15683195756150185</t>
        </is>
      </c>
      <c r="E4698" s="16" t="inlineStr">
        <is>
          <t>Shipped</t>
        </is>
      </c>
      <c r="F4698" s="16" t="inlineStr">
        <is>
          <t>LB02235-azul</t>
        </is>
      </c>
      <c r="G4698" s="16" t="inlineStr">
        <is>
          <t>Audífonos Inalámbricos para la Cabeza, Recargables y Multifuncionales - Conectan a Varios Dispositivos, soportan Radio FM, Tarjeta TF y AUX - 4 Horas de Reproducción Musical - Ideal para Trabajo Cotidiano, Juegos y Estudio</t>
        </is>
      </c>
      <c r="H4698" s="16" t="inlineStr">
        <is>
          <t>AZUL</t>
        </is>
      </c>
      <c r="I4698" s="16" t="n">
        <v>1</v>
      </c>
      <c r="J4698" s="17" t="n">
        <v>37.6</v>
      </c>
      <c r="K4698" s="17" t="n">
        <v>47.31</v>
      </c>
      <c r="L4698" s="17" t="n">
        <v>25.86</v>
      </c>
      <c r="M4698" s="17" t="n">
        <v>0</v>
      </c>
      <c r="N4698" s="17">
        <f>K4698*0.08+L4698*0.08</f>
        <v/>
      </c>
      <c r="O4698" s="17">
        <f>-(K4698*0.025+L4698*0.025)</f>
        <v/>
      </c>
      <c r="P4698" s="17">
        <f>32</f>
        <v/>
      </c>
      <c r="Q4698" s="17">
        <f>J4698+L4698+N4698+O4698-P4698-M4698</f>
        <v/>
      </c>
    </row>
    <row r="4699">
      <c r="A4699" s="16" t="inlineStr">
        <is>
          <t>5.8-5.14</t>
        </is>
      </c>
      <c r="B4699" s="16" t="inlineStr">
        <is>
          <t>PO-128-15514410870391191</t>
        </is>
      </c>
      <c r="C4699" s="16" t="inlineStr">
        <is>
          <t>Shipped</t>
        </is>
      </c>
      <c r="D4699" s="16" t="inlineStr">
        <is>
          <t>128-15514421356151191</t>
        </is>
      </c>
      <c r="E4699" s="16" t="inlineStr">
        <is>
          <t>Shipped</t>
        </is>
      </c>
      <c r="F4699" s="16" t="inlineStr">
        <is>
          <t>SA325T</t>
        </is>
      </c>
      <c r="G4699" s="16" t="inlineStr">
        <is>
          <t>Subwoofer Portátil Inalámbrico con Luces RGB, Sonido de Alta Potencia y Batería Duradera, TWS TF USB, Perfecto para Campamento Fiestas y Entretenimiento en Casa</t>
        </is>
      </c>
      <c r="H4699" s="16" t="inlineStr">
        <is>
          <t>NEGRO</t>
        </is>
      </c>
      <c r="I4699" s="16" t="n">
        <v>1</v>
      </c>
      <c r="J4699" s="17" t="n">
        <v>38</v>
      </c>
      <c r="K4699" s="17" t="n">
        <v>47.06</v>
      </c>
      <c r="L4699" s="17" t="n">
        <v>25.86</v>
      </c>
      <c r="M4699" s="17" t="n">
        <v>0</v>
      </c>
      <c r="N4699" s="17">
        <f>K4699*0.08+L4699*0.08</f>
        <v/>
      </c>
      <c r="O4699" s="17">
        <f>-(K4699*0.025+L4699*0.025)</f>
        <v/>
      </c>
      <c r="P4699" s="17">
        <f>32</f>
        <v/>
      </c>
      <c r="Q4699" s="17">
        <f>J4699+L4699+N4699+O4699-P4699-M4699</f>
        <v/>
      </c>
    </row>
    <row r="4700">
      <c r="A4700" s="16" t="inlineStr">
        <is>
          <t>5.8-5.14</t>
        </is>
      </c>
      <c r="B4700" s="16" t="inlineStr">
        <is>
          <t>PO-128-15592713772151685</t>
        </is>
      </c>
      <c r="C4700" s="16" t="inlineStr">
        <is>
          <t>Shipped</t>
        </is>
      </c>
      <c r="D4700" s="16" t="inlineStr">
        <is>
          <t>128-15592671829111685</t>
        </is>
      </c>
      <c r="E4700" s="16" t="inlineStr">
        <is>
          <t>Shipped</t>
        </is>
      </c>
      <c r="F4700" s="16" t="inlineStr">
        <is>
          <t>LV25W22</t>
        </is>
      </c>
      <c r="G470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00" s="16" t="inlineStr">
        <is>
          <t>LV25W32</t>
        </is>
      </c>
      <c r="I4700" s="16" t="n">
        <v>1</v>
      </c>
      <c r="J4700" s="17" t="n">
        <v>97</v>
      </c>
      <c r="K4700" s="17" t="n">
        <v>64.31</v>
      </c>
      <c r="L4700" s="17" t="n">
        <v>25.86</v>
      </c>
      <c r="M4700" s="17" t="n">
        <v>0</v>
      </c>
      <c r="N4700" s="17">
        <f>K4700*0.08+L4700*0.08</f>
        <v/>
      </c>
      <c r="O4700" s="17">
        <f>-(K4700*0.025+L4700*0.025)</f>
        <v/>
      </c>
      <c r="P4700" s="17">
        <f>32</f>
        <v/>
      </c>
      <c r="Q4700" s="17">
        <f>J4700+L4700+N4700+O4700-P4700-M4700</f>
        <v/>
      </c>
    </row>
    <row r="4701">
      <c r="A4701" s="16" t="inlineStr">
        <is>
          <t>5.8-5.14</t>
        </is>
      </c>
      <c r="B4701" s="16" t="inlineStr">
        <is>
          <t>PO-128-15180544760953309</t>
        </is>
      </c>
      <c r="C4701" s="16" t="inlineStr">
        <is>
          <t>Shipped</t>
        </is>
      </c>
      <c r="D4701" s="16" t="inlineStr">
        <is>
          <t>128-15180555246713309</t>
        </is>
      </c>
      <c r="E4701" s="16" t="inlineStr">
        <is>
          <t>Shipped</t>
        </is>
      </c>
      <c r="F4701" s="16" t="inlineStr">
        <is>
          <t>LV25W22</t>
        </is>
      </c>
      <c r="G47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01" s="16" t="inlineStr">
        <is>
          <t>LV25W32</t>
        </is>
      </c>
      <c r="I4701" s="16" t="n">
        <v>2</v>
      </c>
      <c r="J4701" s="17" t="n">
        <v>194</v>
      </c>
      <c r="K4701" s="17" t="n">
        <v>204.99</v>
      </c>
      <c r="L4701" s="17" t="n">
        <v>25.86</v>
      </c>
      <c r="M4701" s="17" t="n">
        <v>0</v>
      </c>
      <c r="N4701" s="17">
        <f>K4701*0.08+L4701*0.08</f>
        <v/>
      </c>
      <c r="O4701" s="17">
        <f>-(K4701*0.025+L4701*0.025)</f>
        <v/>
      </c>
      <c r="P4701" s="17">
        <f>32</f>
        <v/>
      </c>
      <c r="Q4701" s="17">
        <f>J4701+L4701+N4701+O4701-P4701-M4701</f>
        <v/>
      </c>
    </row>
    <row r="4702">
      <c r="A4702" s="16" t="inlineStr">
        <is>
          <t>5.8-5.14</t>
        </is>
      </c>
      <c r="B4702" s="16" t="inlineStr">
        <is>
          <t>PO-128-15221620841594089</t>
        </is>
      </c>
      <c r="C4702" s="16" t="inlineStr">
        <is>
          <t>Shipped</t>
        </is>
      </c>
      <c r="D4702" s="16" t="inlineStr">
        <is>
          <t>128-15221578898554089</t>
        </is>
      </c>
      <c r="E4702" s="16" t="inlineStr">
        <is>
          <t>Shipped</t>
        </is>
      </c>
      <c r="F4702" s="16" t="inlineStr">
        <is>
          <t>LB02235-rojo</t>
        </is>
      </c>
      <c r="G4702" s="16" t="inlineStr">
        <is>
          <t>Audífonos Inalámbricos para la Cabeza, Recargables y Multifuncionales - Conectan a Varios Dispositivos, soportan Radio FM, Tarjeta TF y AUX - 4 Horas de Reproducción Musical - Ideal para Trabajo Cotidiano, Juegos y Estudio</t>
        </is>
      </c>
      <c r="H4702" s="16" t="inlineStr">
        <is>
          <t>ROJO</t>
        </is>
      </c>
      <c r="I4702" s="16" t="n">
        <v>1</v>
      </c>
      <c r="J4702" s="17" t="n">
        <v>38</v>
      </c>
      <c r="K4702" s="17" t="n">
        <v>8.02</v>
      </c>
      <c r="L4702" s="17" t="n">
        <v>25.86</v>
      </c>
      <c r="M4702" s="17" t="n">
        <v>0</v>
      </c>
      <c r="N4702" s="17">
        <f>K4702*0.08+L4702*0.08</f>
        <v/>
      </c>
      <c r="O4702" s="17">
        <f>-(K4702*0.025+L4702*0.025)</f>
        <v/>
      </c>
      <c r="P4702" s="17">
        <f>32</f>
        <v/>
      </c>
      <c r="Q4702" s="17">
        <f>J4702+L4702+N4702+O4702-P4702-M4702</f>
        <v/>
      </c>
    </row>
    <row r="4703">
      <c r="A4703" s="16" t="inlineStr">
        <is>
          <t>5.8-5.14</t>
        </is>
      </c>
      <c r="B4703" s="16" t="inlineStr">
        <is>
          <t>PO-128-15711375683190081</t>
        </is>
      </c>
      <c r="C4703" s="16" t="inlineStr">
        <is>
          <t>Shipped</t>
        </is>
      </c>
      <c r="D4703" s="16" t="inlineStr">
        <is>
          <t>128-15711370440310081</t>
        </is>
      </c>
      <c r="E4703" s="16" t="inlineStr">
        <is>
          <t>Shipped</t>
        </is>
      </c>
      <c r="F4703" s="16" t="inlineStr">
        <is>
          <t>LB02235-negro</t>
        </is>
      </c>
      <c r="G4703" s="16" t="inlineStr">
        <is>
          <t>Audífonos Inalámbricos para la Cabeza, Recargables y Multifuncionales - Conectan a Varios Dispositivos, soportan Radio FM, Tarjeta TF y AUX - 4 Horas de Reproducción Musical - Ideal para Trabajo Cotidiano, Juegos y Estudio</t>
        </is>
      </c>
      <c r="H4703" s="16" t="inlineStr">
        <is>
          <t>NEGRO</t>
        </is>
      </c>
      <c r="I4703" s="16" t="n">
        <v>1</v>
      </c>
      <c r="J4703" s="17" t="n">
        <v>45.31</v>
      </c>
      <c r="K4703" s="17" t="n">
        <v>44.31</v>
      </c>
      <c r="L4703" s="17" t="n">
        <v>0</v>
      </c>
      <c r="M4703" s="17" t="n">
        <v>0</v>
      </c>
      <c r="N4703" s="17">
        <f>K4703*0.08+L4703*0.08</f>
        <v/>
      </c>
      <c r="O4703" s="17">
        <f>-(K4703*0.025+L4703*0.025)</f>
        <v/>
      </c>
      <c r="P4703" s="17">
        <f>32</f>
        <v/>
      </c>
      <c r="Q4703" s="17">
        <f>J4703+L4703+N4703+O4703-P4703-M4703</f>
        <v/>
      </c>
    </row>
    <row r="4704">
      <c r="A4704" s="16" t="inlineStr">
        <is>
          <t>5.8-5.14</t>
        </is>
      </c>
      <c r="B4704" s="16" t="inlineStr">
        <is>
          <t>PO-128-15711375683190081</t>
        </is>
      </c>
      <c r="C4704" s="16" t="inlineStr">
        <is>
          <t>Shipped</t>
        </is>
      </c>
      <c r="D4704" s="16" t="inlineStr">
        <is>
          <t>128-15711380926070081</t>
        </is>
      </c>
      <c r="E4704" s="16" t="inlineStr">
        <is>
          <t>Shipped</t>
        </is>
      </c>
      <c r="F4704" s="16" t="inlineStr">
        <is>
          <t>MCM-001G</t>
        </is>
      </c>
      <c r="G4704" s="16" t="inlineStr">
        <is>
          <t>Musicord Altavoz Inalámbrico BT Portátil: ¡Sonido impactante, luces LED multicolores y 4 horas de autonomía! Compatible con TWS, FM, TF y USB – Imprescindible para fiestas y viajes</t>
        </is>
      </c>
      <c r="H4704" s="16" t="inlineStr">
        <is>
          <t>GRIS</t>
        </is>
      </c>
      <c r="I4704" s="16" t="n">
        <v>1</v>
      </c>
      <c r="J4704" s="17" t="n">
        <v>51.07</v>
      </c>
      <c r="K4704" s="17" t="n">
        <v>47.28</v>
      </c>
      <c r="L4704" s="17" t="n">
        <v>0</v>
      </c>
      <c r="M4704" s="17" t="n">
        <v>0</v>
      </c>
      <c r="N4704" s="17">
        <f>K4704*0.08+L4704*0.08</f>
        <v/>
      </c>
      <c r="O4704" s="17">
        <f>-(K4704*0.025+L4704*0.025)</f>
        <v/>
      </c>
      <c r="P4704" s="17">
        <f>32</f>
        <v/>
      </c>
      <c r="Q4704" s="17">
        <f>J4704+L4704+N4704+O4704-P4704-M4704</f>
        <v/>
      </c>
    </row>
    <row r="4705">
      <c r="A4705" s="16" t="inlineStr">
        <is>
          <t>5.8-5.14</t>
        </is>
      </c>
      <c r="B4705" s="16" t="inlineStr">
        <is>
          <t>PO-128-15711375683190081</t>
        </is>
      </c>
      <c r="C4705" s="16" t="inlineStr">
        <is>
          <t>Shipped</t>
        </is>
      </c>
      <c r="D4705" s="16" t="inlineStr">
        <is>
          <t>128-15711386168950081</t>
        </is>
      </c>
      <c r="E4705" s="16" t="inlineStr">
        <is>
          <t>Shipped</t>
        </is>
      </c>
      <c r="F4705" s="16" t="inlineStr">
        <is>
          <t>LB02235-rojo</t>
        </is>
      </c>
      <c r="G4705" s="16" t="inlineStr">
        <is>
          <t>Audífonos Inalámbricos para la Cabeza, Recargables y Multifuncionales - Conectan a Varios Dispositivos, soportan Radio FM, Tarjeta TF y AUX - 4 Horas de Reproducción Musical - Ideal para Trabajo Cotidiano, Juegos y Estudio</t>
        </is>
      </c>
      <c r="H4705" s="16" t="inlineStr">
        <is>
          <t>ROJO</t>
        </is>
      </c>
      <c r="I4705" s="16" t="n">
        <v>2</v>
      </c>
      <c r="J4705" s="17" t="n">
        <v>76</v>
      </c>
      <c r="K4705" s="17" t="n">
        <v>77.55</v>
      </c>
      <c r="L4705" s="17" t="n">
        <v>0</v>
      </c>
      <c r="M4705" s="17" t="n">
        <v>0</v>
      </c>
      <c r="N4705" s="17">
        <f>K4705*0.08+L4705*0.08</f>
        <v/>
      </c>
      <c r="O4705" s="17">
        <f>-(K4705*0.025+L4705*0.025)</f>
        <v/>
      </c>
      <c r="P4705" s="17">
        <f>32</f>
        <v/>
      </c>
      <c r="Q4705" s="17">
        <f>J4705+L4705+N4705+O4705-P4705-M4705</f>
        <v/>
      </c>
    </row>
    <row r="4706">
      <c r="A4706" s="16" t="inlineStr">
        <is>
          <t>5.8-5.14</t>
        </is>
      </c>
      <c r="B4706" s="16" t="inlineStr">
        <is>
          <t>PO-128-15711375683190081</t>
        </is>
      </c>
      <c r="C4706" s="16" t="inlineStr">
        <is>
          <t>Shipped</t>
        </is>
      </c>
      <c r="D4706" s="16" t="inlineStr">
        <is>
          <t>128-15711391411830081</t>
        </is>
      </c>
      <c r="E4706" s="16" t="inlineStr">
        <is>
          <t>Shipped</t>
        </is>
      </c>
      <c r="F4706" s="16" t="inlineStr">
        <is>
          <t>LB02235-azul</t>
        </is>
      </c>
      <c r="G4706" s="16" t="inlineStr">
        <is>
          <t>Audífonos Inalámbricos para la Cabeza, Recargables y Multifuncionales - Conectan a Varios Dispositivos, soportan Radio FM, Tarjeta TF y AUX - 4 Horas de Reproducción Musical - Ideal para Trabajo Cotidiano, Juegos y Estudio</t>
        </is>
      </c>
      <c r="H4706" s="16" t="inlineStr">
        <is>
          <t>AZUL</t>
        </is>
      </c>
      <c r="I4706" s="16" t="n">
        <v>2</v>
      </c>
      <c r="J4706" s="17" t="n">
        <v>75.2</v>
      </c>
      <c r="K4706" s="17" t="n">
        <v>76.94</v>
      </c>
      <c r="L4706" s="17" t="n">
        <v>0</v>
      </c>
      <c r="M4706" s="17" t="n">
        <v>0</v>
      </c>
      <c r="N4706" s="17">
        <f>K4706*0.08+L4706*0.08</f>
        <v/>
      </c>
      <c r="O4706" s="17">
        <f>-(K4706*0.025+L4706*0.025)</f>
        <v/>
      </c>
      <c r="P4706" s="17">
        <f>32</f>
        <v/>
      </c>
      <c r="Q4706" s="17">
        <f>J4706+L4706+N4706+O4706-P4706-M4706</f>
        <v/>
      </c>
    </row>
    <row r="4707">
      <c r="A4707" s="16" t="inlineStr">
        <is>
          <t>5.8-5.14</t>
        </is>
      </c>
      <c r="B4707" s="16" t="inlineStr">
        <is>
          <t>PO-128-15575105580151852</t>
        </is>
      </c>
      <c r="C4707" s="16" t="inlineStr">
        <is>
          <t>Shipped</t>
        </is>
      </c>
      <c r="D4707" s="16" t="inlineStr">
        <is>
          <t>128-15575095811191852</t>
        </is>
      </c>
      <c r="E4707" s="16" t="inlineStr">
        <is>
          <t>Shipped</t>
        </is>
      </c>
      <c r="F4707" s="16" t="inlineStr">
        <is>
          <t>LV25W22</t>
        </is>
      </c>
      <c r="G47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07" s="16" t="inlineStr">
        <is>
          <t>LV25W32</t>
        </is>
      </c>
      <c r="I4707" s="16" t="n">
        <v>1</v>
      </c>
      <c r="J4707" s="17" t="n">
        <v>97</v>
      </c>
      <c r="K4707" s="17" t="n">
        <v>107.41</v>
      </c>
      <c r="L4707" s="17" t="n">
        <v>12.93</v>
      </c>
      <c r="M4707" s="17" t="n">
        <v>0</v>
      </c>
      <c r="N4707" s="17">
        <f>K4707*0.08+L4707*0.08</f>
        <v/>
      </c>
      <c r="O4707" s="17">
        <f>-(K4707*0.025+L4707*0.025)</f>
        <v/>
      </c>
      <c r="P4707" s="17">
        <f>32</f>
        <v/>
      </c>
      <c r="Q4707" s="17">
        <f>J4707+L4707+N4707+O4707-P4707-M4707</f>
        <v/>
      </c>
    </row>
    <row r="4708">
      <c r="A4708" s="16" t="inlineStr">
        <is>
          <t>5.8-5.14</t>
        </is>
      </c>
      <c r="B4708" s="16" t="inlineStr">
        <is>
          <t>PO-128-15575105580151852</t>
        </is>
      </c>
      <c r="C4708" s="16" t="inlineStr">
        <is>
          <t>Shipped</t>
        </is>
      </c>
      <c r="D4708" s="16" t="inlineStr">
        <is>
          <t>128-15575063637111852</t>
        </is>
      </c>
      <c r="E4708" s="16" t="inlineStr">
        <is>
          <t>Shipped</t>
        </is>
      </c>
      <c r="F4708" s="16" t="inlineStr">
        <is>
          <t>LV25W22</t>
        </is>
      </c>
      <c r="G470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08" s="16" t="inlineStr">
        <is>
          <t>LV25W32</t>
        </is>
      </c>
      <c r="I4708" s="16" t="n">
        <v>1</v>
      </c>
      <c r="J4708" s="17" t="n">
        <v>97</v>
      </c>
      <c r="K4708" s="17" t="n">
        <v>107.41</v>
      </c>
      <c r="L4708" s="17" t="n">
        <v>12.93</v>
      </c>
      <c r="M4708" s="17" t="n">
        <v>0</v>
      </c>
      <c r="N4708" s="17">
        <f>K4708*0.08+L4708*0.08</f>
        <v/>
      </c>
      <c r="O4708" s="17">
        <f>-(K4708*0.025+L4708*0.025)</f>
        <v/>
      </c>
      <c r="P4708" s="17">
        <f>32</f>
        <v/>
      </c>
      <c r="Q4708" s="17">
        <f>J4708+L4708+N4708+O4708-P4708-M4708</f>
        <v/>
      </c>
    </row>
    <row r="4709">
      <c r="A4709" s="16" t="inlineStr">
        <is>
          <t>5.8-5.14</t>
        </is>
      </c>
      <c r="B4709" s="16" t="inlineStr">
        <is>
          <t>PO-128-15630045801591652</t>
        </is>
      </c>
      <c r="C4709" s="16" t="inlineStr">
        <is>
          <t>Shipped</t>
        </is>
      </c>
      <c r="D4709" s="16" t="inlineStr">
        <is>
          <t>128-15630087744631652</t>
        </is>
      </c>
      <c r="E4709" s="16" t="inlineStr">
        <is>
          <t>Shipped</t>
        </is>
      </c>
      <c r="F4709" s="16" t="inlineStr">
        <is>
          <t>LB02235-rojo</t>
        </is>
      </c>
      <c r="G4709" s="16" t="inlineStr">
        <is>
          <t>Audífonos Inalámbricos para la Cabeza, Recargables y Multifuncionales - Conectan a Varios Dispositivos, soportan Radio FM, Tarjeta TF y AUX - 4 Horas de Reproducción Musical - Ideal para Trabajo Cotidiano, Juegos y Estudio</t>
        </is>
      </c>
      <c r="H4709" s="16" t="inlineStr">
        <is>
          <t>ROJO</t>
        </is>
      </c>
      <c r="I4709" s="16" t="n">
        <v>1</v>
      </c>
      <c r="J4709" s="17" t="n">
        <v>38</v>
      </c>
      <c r="K4709" s="17" t="n">
        <v>8.02</v>
      </c>
      <c r="L4709" s="17" t="n">
        <v>25.86</v>
      </c>
      <c r="M4709" s="17" t="n">
        <v>0</v>
      </c>
      <c r="N4709" s="17">
        <f>K4709*0.08+L4709*0.08</f>
        <v/>
      </c>
      <c r="O4709" s="17">
        <f>-(K4709*0.025+L4709*0.025)</f>
        <v/>
      </c>
      <c r="P4709" s="17">
        <f>32</f>
        <v/>
      </c>
      <c r="Q4709" s="17">
        <f>J4709+L4709+N4709+O4709-P4709-M4709</f>
        <v/>
      </c>
    </row>
    <row r="4710">
      <c r="A4710" s="16" t="inlineStr">
        <is>
          <t>5.8-5.14</t>
        </is>
      </c>
      <c r="B4710" s="16" t="inlineStr">
        <is>
          <t>PO-128-15318238518392361</t>
        </is>
      </c>
      <c r="C4710" s="16" t="inlineStr">
        <is>
          <t>Shipped</t>
        </is>
      </c>
      <c r="D4710" s="16" t="inlineStr">
        <is>
          <t>128-15318196575352361</t>
        </is>
      </c>
      <c r="E4710" s="16" t="inlineStr">
        <is>
          <t>Shipped</t>
        </is>
      </c>
      <c r="F4710" s="16" t="inlineStr">
        <is>
          <t>LV25W22</t>
        </is>
      </c>
      <c r="G47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10" s="16" t="inlineStr">
        <is>
          <t>LV25W32</t>
        </is>
      </c>
      <c r="I4710" s="16" t="n">
        <v>1</v>
      </c>
      <c r="J4710" s="17" t="n">
        <v>97</v>
      </c>
      <c r="K4710" s="17" t="n">
        <v>107.41</v>
      </c>
      <c r="L4710" s="17" t="n">
        <v>25.86</v>
      </c>
      <c r="M4710" s="17" t="n">
        <v>0</v>
      </c>
      <c r="N4710" s="17">
        <f>K4710*0.08+L4710*0.08</f>
        <v/>
      </c>
      <c r="O4710" s="17">
        <f>-(K4710*0.025+L4710*0.025)</f>
        <v/>
      </c>
      <c r="P4710" s="17">
        <f>32</f>
        <v/>
      </c>
      <c r="Q4710" s="17">
        <f>J4710+L4710+N4710+O4710-P4710-M4710</f>
        <v/>
      </c>
    </row>
    <row r="4711">
      <c r="A4711" s="16" t="inlineStr">
        <is>
          <t>5.8-5.14</t>
        </is>
      </c>
      <c r="B4711" s="16" t="inlineStr">
        <is>
          <t>PO-128-15394727591033057</t>
        </is>
      </c>
      <c r="C4711" s="16" t="inlineStr">
        <is>
          <t>Shipped</t>
        </is>
      </c>
      <c r="D4711" s="16" t="inlineStr">
        <is>
          <t>128-15394748562553057</t>
        </is>
      </c>
      <c r="E4711" s="16" t="inlineStr">
        <is>
          <t>Shipped</t>
        </is>
      </c>
      <c r="F4711" s="16" t="inlineStr">
        <is>
          <t>MCM-001A</t>
        </is>
      </c>
      <c r="G4711" s="16" t="inlineStr">
        <is>
          <t>Musicord Altavoz Inalámbrico BT Portátil: ¡Sonido impactante, luces LED multicolores y 4 horas de autonomía! Compatible con TWS, FM, TF y USB – Imprescindible para fiestas y viajes</t>
        </is>
      </c>
      <c r="H4711" s="16" t="inlineStr">
        <is>
          <t>AZUL</t>
        </is>
      </c>
      <c r="I4711" s="16" t="n">
        <v>1</v>
      </c>
      <c r="J4711" s="17" t="n">
        <v>51.08</v>
      </c>
      <c r="K4711" s="17" t="n">
        <v>16.37</v>
      </c>
      <c r="L4711" s="17" t="n">
        <v>25.86</v>
      </c>
      <c r="M4711" s="17" t="n">
        <v>0</v>
      </c>
      <c r="N4711" s="17">
        <f>K4711*0.08+L4711*0.08</f>
        <v/>
      </c>
      <c r="O4711" s="17">
        <f>-(K4711*0.025+L4711*0.025)</f>
        <v/>
      </c>
      <c r="P4711" s="17">
        <f>32</f>
        <v/>
      </c>
      <c r="Q4711" s="17">
        <f>J4711+L4711+N4711+O4711-P4711-M4711</f>
        <v/>
      </c>
    </row>
    <row r="4712">
      <c r="A4712" s="16" t="inlineStr">
        <is>
          <t>5.8-5.14</t>
        </is>
      </c>
      <c r="B4712" s="16" t="inlineStr">
        <is>
          <t>PO-128-15607238313591788</t>
        </is>
      </c>
      <c r="C4712" s="16" t="inlineStr">
        <is>
          <t>Shipped</t>
        </is>
      </c>
      <c r="D4712" s="16" t="inlineStr">
        <is>
          <t>128-15607280256631788</t>
        </is>
      </c>
      <c r="E4712" s="16" t="inlineStr">
        <is>
          <t>Shipped</t>
        </is>
      </c>
      <c r="F4712" s="16" t="inlineStr">
        <is>
          <t>MCM-001A</t>
        </is>
      </c>
      <c r="G4712" s="16" t="inlineStr">
        <is>
          <t>Musicord Altavoz Inalámbrico BT Portátil: ¡Sonido impactante, luces LED multicolores y 4 horas de autonomía! Compatible con TWS, FM, TF y USB – Imprescindible para fiestas y viajes</t>
        </is>
      </c>
      <c r="H4712" s="16" t="inlineStr">
        <is>
          <t>AZUL</t>
        </is>
      </c>
      <c r="I4712" s="16" t="n">
        <v>1</v>
      </c>
      <c r="J4712" s="17" t="n">
        <v>51.08</v>
      </c>
      <c r="K4712" s="17" t="n">
        <v>59.47</v>
      </c>
      <c r="L4712" s="17" t="n">
        <v>25.86</v>
      </c>
      <c r="M4712" s="17" t="n">
        <v>0</v>
      </c>
      <c r="N4712" s="17">
        <f>K4712*0.08+L4712*0.08</f>
        <v/>
      </c>
      <c r="O4712" s="17">
        <f>-(K4712*0.025+L4712*0.025)</f>
        <v/>
      </c>
      <c r="P4712" s="17">
        <f>32</f>
        <v/>
      </c>
      <c r="Q4712" s="17">
        <f>J4712+L4712+N4712+O4712-P4712-M4712</f>
        <v/>
      </c>
    </row>
    <row r="4713">
      <c r="A4713" s="16" t="inlineStr">
        <is>
          <t>5.8-5.14</t>
        </is>
      </c>
      <c r="B4713" s="16" t="inlineStr">
        <is>
          <t>PO-128-15606739471991729</t>
        </is>
      </c>
      <c r="C4713" s="16" t="inlineStr">
        <is>
          <t>Shipped</t>
        </is>
      </c>
      <c r="D4713" s="16" t="inlineStr">
        <is>
          <t>128-15606718500471729</t>
        </is>
      </c>
      <c r="E4713" s="16" t="inlineStr">
        <is>
          <t>Shipped</t>
        </is>
      </c>
      <c r="F4713" s="16" t="inlineStr">
        <is>
          <t>LV25W22</t>
        </is>
      </c>
      <c r="G47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13" s="16" t="inlineStr">
        <is>
          <t>LV25W32</t>
        </is>
      </c>
      <c r="I4713" s="16" t="n">
        <v>1</v>
      </c>
      <c r="J4713" s="17" t="n">
        <v>97</v>
      </c>
      <c r="K4713" s="17" t="n">
        <v>107.41</v>
      </c>
      <c r="L4713" s="17" t="n">
        <v>25.86</v>
      </c>
      <c r="M4713" s="17" t="n">
        <v>0</v>
      </c>
      <c r="N4713" s="17">
        <f>K4713*0.08+L4713*0.08</f>
        <v/>
      </c>
      <c r="O4713" s="17">
        <f>-(K4713*0.025+L4713*0.025)</f>
        <v/>
      </c>
      <c r="P4713" s="17">
        <f>32</f>
        <v/>
      </c>
      <c r="Q4713" s="17">
        <f>J4713+L4713+N4713+O4713-P4713-M4713</f>
        <v/>
      </c>
    </row>
    <row r="4714">
      <c r="A4714" s="16" t="inlineStr">
        <is>
          <t>5.8-5.14</t>
        </is>
      </c>
      <c r="B4714" s="16" t="inlineStr">
        <is>
          <t>PO-128-15620271762551582</t>
        </is>
      </c>
      <c r="C4714" s="16" t="inlineStr">
        <is>
          <t>Shipped</t>
        </is>
      </c>
      <c r="D4714" s="16" t="inlineStr">
        <is>
          <t>128-15620267830391582</t>
        </is>
      </c>
      <c r="E4714" s="16" t="inlineStr">
        <is>
          <t>Shipped</t>
        </is>
      </c>
      <c r="F4714" s="16" t="inlineStr">
        <is>
          <t>LB02235-rojo</t>
        </is>
      </c>
      <c r="G4714" s="16" t="inlineStr">
        <is>
          <t>Audífonos Inalámbricos para la Cabeza, Recargables y Multifuncionales - Conectan a Varios Dispositivos, soportan Radio FM, Tarjeta TF y AUX - 4 Horas de Reproducción Musical - Ideal para Trabajo Cotidiano, Juegos y Estudio</t>
        </is>
      </c>
      <c r="H4714" s="16" t="inlineStr">
        <is>
          <t>ROJO</t>
        </is>
      </c>
      <c r="I4714" s="16" t="n">
        <v>1</v>
      </c>
      <c r="J4714" s="17" t="n">
        <v>38</v>
      </c>
      <c r="K4714" s="17" t="n">
        <v>51.12</v>
      </c>
      <c r="L4714" s="17" t="n">
        <v>25.86</v>
      </c>
      <c r="M4714" s="17" t="n">
        <v>0</v>
      </c>
      <c r="N4714" s="17">
        <f>K4714*0.08+L4714*0.08</f>
        <v/>
      </c>
      <c r="O4714" s="17">
        <f>-(K4714*0.025+L4714*0.025)</f>
        <v/>
      </c>
      <c r="P4714" s="17">
        <f>32</f>
        <v/>
      </c>
      <c r="Q4714" s="17">
        <f>J4714+L4714+N4714+O4714-P4714-M4714</f>
        <v/>
      </c>
    </row>
    <row r="4715">
      <c r="A4715" s="16" t="inlineStr">
        <is>
          <t>5.8-5.14</t>
        </is>
      </c>
      <c r="B4715" s="16" t="inlineStr">
        <is>
          <t>PO-128-15193358085753105</t>
        </is>
      </c>
      <c r="C4715" s="16" t="inlineStr">
        <is>
          <t>Shipped</t>
        </is>
      </c>
      <c r="D4715" s="16" t="inlineStr">
        <is>
          <t>128-15193337114233105</t>
        </is>
      </c>
      <c r="E4715" s="16" t="inlineStr">
        <is>
          <t>Shipped</t>
        </is>
      </c>
      <c r="F4715" s="16" t="inlineStr">
        <is>
          <t>LB02235-rojo</t>
        </is>
      </c>
      <c r="G4715" s="16" t="inlineStr">
        <is>
          <t>Audífonos Inalámbricos para la Cabeza, Recargables y Multifuncionales - Conectan a Varios Dispositivos, soportan Radio FM, Tarjeta TF y AUX - 4 Horas de Reproducción Musical - Ideal para Trabajo Cotidiano, Juegos y Estudio</t>
        </is>
      </c>
      <c r="H4715" s="16" t="inlineStr">
        <is>
          <t>ROJO</t>
        </is>
      </c>
      <c r="I4715" s="16" t="n">
        <v>1</v>
      </c>
      <c r="J4715" s="17" t="n">
        <v>38</v>
      </c>
      <c r="K4715" s="17" t="n">
        <v>51.12</v>
      </c>
      <c r="L4715" s="17" t="n">
        <v>25.86</v>
      </c>
      <c r="M4715" s="17" t="n">
        <v>0</v>
      </c>
      <c r="N4715" s="17">
        <f>K4715*0.08+L4715*0.08</f>
        <v/>
      </c>
      <c r="O4715" s="17">
        <f>-(K4715*0.025+L4715*0.025)</f>
        <v/>
      </c>
      <c r="P4715" s="17">
        <f>32</f>
        <v/>
      </c>
      <c r="Q4715" s="17">
        <f>J4715+L4715+N4715+O4715-P4715-M4715</f>
        <v/>
      </c>
    </row>
    <row r="4716">
      <c r="A4716" s="16" t="inlineStr">
        <is>
          <t>5.8-5.14</t>
        </is>
      </c>
      <c r="B4716" s="16" t="inlineStr">
        <is>
          <t>PO-128-15600430802551703</t>
        </is>
      </c>
      <c r="C4716" s="16" t="inlineStr">
        <is>
          <t>Shipped</t>
        </is>
      </c>
      <c r="D4716" s="16" t="inlineStr">
        <is>
          <t>128-15600388859511703</t>
        </is>
      </c>
      <c r="E4716" s="16" t="inlineStr">
        <is>
          <t>Shipped</t>
        </is>
      </c>
      <c r="F4716" s="16" t="inlineStr">
        <is>
          <t>LV25W22</t>
        </is>
      </c>
      <c r="G47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16" s="16" t="inlineStr">
        <is>
          <t>LV25W32</t>
        </is>
      </c>
      <c r="I4716" s="16" t="n">
        <v>1</v>
      </c>
      <c r="J4716" s="17" t="n">
        <v>97</v>
      </c>
      <c r="K4716" s="17" t="n">
        <v>64.31</v>
      </c>
      <c r="L4716" s="17" t="n">
        <v>25.86</v>
      </c>
      <c r="M4716" s="17" t="n">
        <v>0</v>
      </c>
      <c r="N4716" s="17">
        <f>K4716*0.08+L4716*0.08</f>
        <v/>
      </c>
      <c r="O4716" s="17">
        <f>-(K4716*0.025+L4716*0.025)</f>
        <v/>
      </c>
      <c r="P4716" s="17">
        <f>32</f>
        <v/>
      </c>
      <c r="Q4716" s="17">
        <f>J4716+L4716+N4716+O4716-P4716-M4716</f>
        <v/>
      </c>
    </row>
    <row r="4717">
      <c r="A4717" s="16" t="inlineStr">
        <is>
          <t>5.8-5.14</t>
        </is>
      </c>
      <c r="B4717" s="16" t="inlineStr">
        <is>
          <t>PO-128-15310010220152536</t>
        </is>
      </c>
      <c r="C4717" s="16" t="inlineStr">
        <is>
          <t>Shipped</t>
        </is>
      </c>
      <c r="D4717" s="16" t="inlineStr">
        <is>
          <t>128-15309949927032536</t>
        </is>
      </c>
      <c r="E4717" s="16" t="inlineStr">
        <is>
          <t>Shipped</t>
        </is>
      </c>
      <c r="F4717" s="16" t="inlineStr">
        <is>
          <t>FA028</t>
        </is>
      </c>
      <c r="G4717" s="16" t="inlineStr">
        <is>
          <t>Extractor de agua para garrafas de agua, compatible con carga USB, extractor de agua automático, práctico, con dos modos de toma de agua: manual y programado, ideal para dormitorios, salones, oficinas, uso al aire libre y otros escenarios.</t>
        </is>
      </c>
      <c r="H4717" s="16" t="inlineStr">
        <is>
          <t>FA028</t>
        </is>
      </c>
      <c r="I4717" s="16" t="n">
        <v>1</v>
      </c>
      <c r="J4717" s="17" t="n">
        <v>30</v>
      </c>
      <c r="K4717" s="17" t="n">
        <v>39.58</v>
      </c>
      <c r="L4717" s="17" t="n">
        <v>25.86</v>
      </c>
      <c r="M4717" s="17" t="n">
        <v>0</v>
      </c>
      <c r="N4717" s="17">
        <f>K4717*0.08+L4717*0.08</f>
        <v/>
      </c>
      <c r="O4717" s="17">
        <f>-(K4717*0.025+L4717*0.025)</f>
        <v/>
      </c>
      <c r="P4717" s="17">
        <f>32</f>
        <v/>
      </c>
      <c r="Q4717" s="17">
        <f>J4717+L4717+N4717+O4717-P4717-M4717</f>
        <v/>
      </c>
    </row>
    <row r="4718">
      <c r="A4718" s="16" t="inlineStr">
        <is>
          <t>5.8-5.14</t>
        </is>
      </c>
      <c r="B4718" s="16" t="inlineStr">
        <is>
          <t>PO-128-15518695153271228</t>
        </is>
      </c>
      <c r="C4718" s="16" t="inlineStr">
        <is>
          <t>Shipped</t>
        </is>
      </c>
      <c r="D4718" s="16" t="inlineStr">
        <is>
          <t>128-15518714158711228</t>
        </is>
      </c>
      <c r="E4718" s="16" t="inlineStr">
        <is>
          <t>Shipped</t>
        </is>
      </c>
      <c r="F4718" s="16" t="inlineStr">
        <is>
          <t>LV25W22</t>
        </is>
      </c>
      <c r="G47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18" s="16" t="inlineStr">
        <is>
          <t>LV25W32</t>
        </is>
      </c>
      <c r="I4718" s="16" t="n">
        <v>1</v>
      </c>
      <c r="J4718" s="17" t="n">
        <v>97</v>
      </c>
      <c r="K4718" s="17" t="n">
        <v>107.41</v>
      </c>
      <c r="L4718" s="17" t="n">
        <v>25.86</v>
      </c>
      <c r="M4718" s="17" t="n">
        <v>0</v>
      </c>
      <c r="N4718" s="17">
        <f>K4718*0.08+L4718*0.08</f>
        <v/>
      </c>
      <c r="O4718" s="17">
        <f>-(K4718*0.025+L4718*0.025)</f>
        <v/>
      </c>
      <c r="P4718" s="17">
        <f>32</f>
        <v/>
      </c>
      <c r="Q4718" s="17">
        <f>J4718+L4718+N4718+O4718-P4718-M4718</f>
        <v/>
      </c>
    </row>
    <row r="4719">
      <c r="A4719" s="16" t="inlineStr">
        <is>
          <t>5.8-5.14</t>
        </is>
      </c>
      <c r="B4719" s="16" t="inlineStr">
        <is>
          <t>PO-128-15573550285431799</t>
        </is>
      </c>
      <c r="C4719" s="16" t="inlineStr">
        <is>
          <t>Shipped</t>
        </is>
      </c>
      <c r="D4719" s="16" t="inlineStr">
        <is>
          <t>128-15573560771191799</t>
        </is>
      </c>
      <c r="E4719" s="16" t="inlineStr">
        <is>
          <t>Shipped</t>
        </is>
      </c>
      <c r="F4719" s="16" t="inlineStr">
        <is>
          <t>SA323T</t>
        </is>
      </c>
      <c r="G4719" s="16" t="inlineStr">
        <is>
          <t>Linkbits Bocina Portátil Parlantes BT Portátiles con Iluminación de Ambiente | 1 Hora de Duración, FM, TWS, TF/Micro SD | Ideal para Hogar, Fiestas y Viajes</t>
        </is>
      </c>
      <c r="H4719" s="16" t="inlineStr">
        <is>
          <t>SA323T</t>
        </is>
      </c>
      <c r="I4719" s="16" t="n">
        <v>1</v>
      </c>
      <c r="J4719" s="17" t="n">
        <v>46</v>
      </c>
      <c r="K4719" s="17" t="n">
        <v>55.04</v>
      </c>
      <c r="L4719" s="17" t="n">
        <v>25.86</v>
      </c>
      <c r="M4719" s="17" t="n">
        <v>0</v>
      </c>
      <c r="N4719" s="17">
        <f>K4719*0.08+L4719*0.08</f>
        <v/>
      </c>
      <c r="O4719" s="17">
        <f>-(K4719*0.025+L4719*0.025)</f>
        <v/>
      </c>
      <c r="P4719" s="17">
        <f>32</f>
        <v/>
      </c>
      <c r="Q4719" s="17">
        <f>J4719+L4719+N4719+O4719-P4719-M4719</f>
        <v/>
      </c>
    </row>
    <row r="4720">
      <c r="A4720" s="16" t="inlineStr">
        <is>
          <t>5.8-5.14</t>
        </is>
      </c>
      <c r="B4720" s="16" t="inlineStr">
        <is>
          <t>PO-128-15614801347191553</t>
        </is>
      </c>
      <c r="C4720" s="16" t="inlineStr">
        <is>
          <t>Shipped</t>
        </is>
      </c>
      <c r="D4720" s="16" t="inlineStr">
        <is>
          <t>128-15614759404151553</t>
        </is>
      </c>
      <c r="E4720" s="16" t="inlineStr">
        <is>
          <t>Shipped</t>
        </is>
      </c>
      <c r="F4720" s="16" t="inlineStr">
        <is>
          <t>T5050RGB07</t>
        </is>
      </c>
      <c r="G4720" s="16" t="inlineStr">
        <is>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is>
      </c>
      <c r="H4720" s="16" t="inlineStr">
        <is>
          <t>T5050RGB07</t>
        </is>
      </c>
      <c r="I4720" s="16" t="n">
        <v>1</v>
      </c>
      <c r="J4720" s="17" t="n">
        <v>56.4</v>
      </c>
      <c r="K4720" s="17" t="n">
        <v>73.76000000000001</v>
      </c>
      <c r="L4720" s="17" t="n">
        <v>25.86</v>
      </c>
      <c r="M4720" s="17" t="n">
        <v>0</v>
      </c>
      <c r="N4720" s="17">
        <f>K4720*0.08+L4720*0.08</f>
        <v/>
      </c>
      <c r="O4720" s="17">
        <f>-(K4720*0.025+L4720*0.025)</f>
        <v/>
      </c>
      <c r="P4720" s="17">
        <f>32</f>
        <v/>
      </c>
      <c r="Q4720" s="17">
        <f>J4720+L4720+N4720+O4720-P4720-M4720</f>
        <v/>
      </c>
    </row>
    <row r="4721">
      <c r="A4721" s="16" t="inlineStr">
        <is>
          <t>5.8-5.14</t>
        </is>
      </c>
      <c r="B4721" s="16" t="inlineStr">
        <is>
          <t>PO-128-15608885924471778</t>
        </is>
      </c>
      <c r="C4721" s="16" t="inlineStr">
        <is>
          <t>Shipped</t>
        </is>
      </c>
      <c r="D4721" s="16" t="inlineStr">
        <is>
          <t>128-15608906895991778</t>
        </is>
      </c>
      <c r="E4721" s="16" t="inlineStr">
        <is>
          <t>Shipped</t>
        </is>
      </c>
      <c r="F4721" s="16" t="inlineStr">
        <is>
          <t>LB02235-azul</t>
        </is>
      </c>
      <c r="G4721" s="16" t="inlineStr">
        <is>
          <t>Audífonos Inalámbricos para la Cabeza, Recargables y Multifuncionales - Conectan a Varios Dispositivos, soportan Radio FM, Tarjeta TF y AUX - 4 Horas de Reproducción Musical - Ideal para Trabajo Cotidiano, Juegos y Estudio</t>
        </is>
      </c>
      <c r="H4721" s="16" t="inlineStr">
        <is>
          <t>AZUL</t>
        </is>
      </c>
      <c r="I4721" s="16" t="n">
        <v>1</v>
      </c>
      <c r="J4721" s="17" t="n">
        <v>37.6</v>
      </c>
      <c r="K4721" s="17" t="n">
        <v>50.72</v>
      </c>
      <c r="L4721" s="17" t="n">
        <v>25.86</v>
      </c>
      <c r="M4721" s="17" t="n">
        <v>0</v>
      </c>
      <c r="N4721" s="17">
        <f>K4721*0.08+L4721*0.08</f>
        <v/>
      </c>
      <c r="O4721" s="17">
        <f>-(K4721*0.025+L4721*0.025)</f>
        <v/>
      </c>
      <c r="P4721" s="17">
        <f>32</f>
        <v/>
      </c>
      <c r="Q4721" s="17">
        <f>J4721+L4721+N4721+O4721-P4721-M4721</f>
        <v/>
      </c>
    </row>
    <row r="4722">
      <c r="A4722" s="16" t="inlineStr">
        <is>
          <t>5.8-5.14</t>
        </is>
      </c>
      <c r="B4722" s="16" t="inlineStr">
        <is>
          <t>PO-128-15594097838711674</t>
        </is>
      </c>
      <c r="C4722" s="16" t="inlineStr">
        <is>
          <t>Shipped</t>
        </is>
      </c>
      <c r="D4722" s="16" t="inlineStr">
        <is>
          <t>128-15594234153591674</t>
        </is>
      </c>
      <c r="E4722" s="16" t="inlineStr">
        <is>
          <t>Shipped</t>
        </is>
      </c>
      <c r="F4722" s="16" t="inlineStr">
        <is>
          <t>KTS-1678R</t>
        </is>
      </c>
      <c r="G4722" s="16" t="inlineStr">
        <is>
          <t>Bocina portátil Inalámbrico, de 3 pulgadas, tamaño de bolsillo, 170 g, con asa, compatible con TF, USB y Micro SD, con radio FM y función TWS (True Wireless Stereo), adecuada para relajarse en casa o viajar al aire libre.</t>
        </is>
      </c>
      <c r="H4722" s="16" t="inlineStr">
        <is>
          <t>KTS-1678R</t>
        </is>
      </c>
      <c r="I4722" s="16" t="n">
        <v>1</v>
      </c>
      <c r="J4722" s="17" t="n">
        <v>42.5</v>
      </c>
      <c r="K4722" s="17" t="n">
        <v>7.67</v>
      </c>
      <c r="L4722" s="17" t="n">
        <v>25.86</v>
      </c>
      <c r="M4722" s="17" t="n">
        <v>0</v>
      </c>
      <c r="N4722" s="17">
        <f>K4722*0.08+L4722*0.08</f>
        <v/>
      </c>
      <c r="O4722" s="17">
        <f>-(K4722*0.025+L4722*0.025)</f>
        <v/>
      </c>
      <c r="P4722" s="17">
        <f>32</f>
        <v/>
      </c>
      <c r="Q4722" s="17">
        <f>J4722+L4722+N4722+O4722-P4722-M4722</f>
        <v/>
      </c>
    </row>
    <row r="4723">
      <c r="A4723" s="16" t="inlineStr">
        <is>
          <t>5.8-5.14</t>
        </is>
      </c>
      <c r="B4723" s="16" t="inlineStr">
        <is>
          <t>PO-128-15416438794872927</t>
        </is>
      </c>
      <c r="C4723" s="16" t="inlineStr">
        <is>
          <t>Shipped</t>
        </is>
      </c>
      <c r="D4723" s="16" t="inlineStr">
        <is>
          <t>128-15416543652472927</t>
        </is>
      </c>
      <c r="E4723" s="16" t="inlineStr">
        <is>
          <t>Shipped</t>
        </is>
      </c>
      <c r="F4723" s="16" t="inlineStr">
        <is>
          <t>SA325T</t>
        </is>
      </c>
      <c r="G4723" s="16" t="inlineStr">
        <is>
          <t>Subwoofer Portátil Inalámbrico con Luces RGB, Sonido de Alta Potencia y Batería Duradera, TWS TF USB, Perfecto para Campamento Fiestas y Entretenimiento en Casa</t>
        </is>
      </c>
      <c r="H4723" s="16" t="inlineStr">
        <is>
          <t>NEGRO</t>
        </is>
      </c>
      <c r="I4723" s="16" t="n">
        <v>1</v>
      </c>
      <c r="J4723" s="17" t="n">
        <v>38</v>
      </c>
      <c r="K4723" s="17" t="n">
        <v>47.06</v>
      </c>
      <c r="L4723" s="17" t="n">
        <v>25.86</v>
      </c>
      <c r="M4723" s="17" t="n">
        <v>0</v>
      </c>
      <c r="N4723" s="17">
        <f>K4723*0.08+L4723*0.08</f>
        <v/>
      </c>
      <c r="O4723" s="17">
        <f>-(K4723*0.025+L4723*0.025)</f>
        <v/>
      </c>
      <c r="P4723" s="17">
        <f>32</f>
        <v/>
      </c>
      <c r="Q4723" s="17">
        <f>J4723+L4723+N4723+O4723-P4723-M4723</f>
        <v/>
      </c>
    </row>
    <row r="4724">
      <c r="A4724" s="16" t="inlineStr">
        <is>
          <t>5.8-5.14</t>
        </is>
      </c>
      <c r="B4724" s="16" t="inlineStr">
        <is>
          <t>PO-128-15706701046390045</t>
        </is>
      </c>
      <c r="C4724" s="16" t="inlineStr">
        <is>
          <t>Shipped</t>
        </is>
      </c>
      <c r="D4724" s="16" t="inlineStr">
        <is>
          <t>128-15706722017910045</t>
        </is>
      </c>
      <c r="E4724" s="16" t="inlineStr">
        <is>
          <t>Shipped</t>
        </is>
      </c>
      <c r="F4724" s="16" t="inlineStr">
        <is>
          <t>LV25W22</t>
        </is>
      </c>
      <c r="G47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24" s="16" t="inlineStr">
        <is>
          <t>LV25W32</t>
        </is>
      </c>
      <c r="I4724" s="16" t="n">
        <v>1</v>
      </c>
      <c r="J4724" s="17" t="n">
        <v>97</v>
      </c>
      <c r="K4724" s="17" t="n">
        <v>107.41</v>
      </c>
      <c r="L4724" s="17" t="n">
        <v>25.86</v>
      </c>
      <c r="M4724" s="17" t="n">
        <v>0</v>
      </c>
      <c r="N4724" s="17">
        <f>K4724*0.08+L4724*0.08</f>
        <v/>
      </c>
      <c r="O4724" s="17">
        <f>-(K4724*0.025+L4724*0.025)</f>
        <v/>
      </c>
      <c r="P4724" s="17">
        <f>32</f>
        <v/>
      </c>
      <c r="Q4724" s="17">
        <f>J4724+L4724+N4724+O4724-P4724-M4724</f>
        <v/>
      </c>
    </row>
    <row r="4725">
      <c r="A4725" s="16" t="inlineStr">
        <is>
          <t>5.8-5.14</t>
        </is>
      </c>
      <c r="B4725" s="16" t="inlineStr">
        <is>
          <t>PO-128-15391381135993013</t>
        </is>
      </c>
      <c r="C4725" s="16" t="inlineStr">
        <is>
          <t>Shipped</t>
        </is>
      </c>
      <c r="D4725" s="16" t="inlineStr">
        <is>
          <t>128-15391415214713013</t>
        </is>
      </c>
      <c r="E4725" s="16" t="inlineStr">
        <is>
          <t>Shipped</t>
        </is>
      </c>
      <c r="F4725" s="16" t="inlineStr">
        <is>
          <t>LV25W22</t>
        </is>
      </c>
      <c r="G47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25" s="16" t="inlineStr">
        <is>
          <t>LV25W32</t>
        </is>
      </c>
      <c r="I4725" s="16" t="n">
        <v>1</v>
      </c>
      <c r="J4725" s="17" t="n">
        <v>97</v>
      </c>
      <c r="K4725" s="17" t="n">
        <v>107.41</v>
      </c>
      <c r="L4725" s="17" t="n">
        <v>25.86</v>
      </c>
      <c r="M4725" s="17" t="n">
        <v>0</v>
      </c>
      <c r="N4725" s="17">
        <f>K4725*0.08+L4725*0.08</f>
        <v/>
      </c>
      <c r="O4725" s="17">
        <f>-(K4725*0.025+L4725*0.025)</f>
        <v/>
      </c>
      <c r="P4725" s="17">
        <f>32</f>
        <v/>
      </c>
      <c r="Q4725" s="17">
        <f>J4725+L4725+N4725+O4725-P4725-M4725</f>
        <v/>
      </c>
    </row>
    <row r="4726">
      <c r="A4726" s="16" t="inlineStr">
        <is>
          <t>5.8-5.14</t>
        </is>
      </c>
      <c r="B4726" s="16" t="inlineStr">
        <is>
          <t>PO-128-15378799319672958</t>
        </is>
      </c>
      <c r="C4726" s="16" t="inlineStr">
        <is>
          <t>Shipped</t>
        </is>
      </c>
      <c r="D4726" s="16" t="inlineStr">
        <is>
          <t>128-15378757376632958</t>
        </is>
      </c>
      <c r="E4726" s="16" t="inlineStr">
        <is>
          <t>Shipped</t>
        </is>
      </c>
      <c r="F4726" s="16" t="inlineStr">
        <is>
          <t>KTS-1943-R</t>
        </is>
      </c>
      <c r="G4726"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726" s="16" t="inlineStr">
        <is>
          <t>ROJO</t>
        </is>
      </c>
      <c r="I4726" s="16" t="n">
        <v>1</v>
      </c>
      <c r="J4726" s="17" t="n">
        <v>75</v>
      </c>
      <c r="K4726" s="17" t="n">
        <v>4.41</v>
      </c>
      <c r="L4726" s="17" t="n">
        <v>25.86</v>
      </c>
      <c r="M4726" s="17" t="n">
        <v>0</v>
      </c>
      <c r="N4726" s="17">
        <f>K4726*0.08+L4726*0.08</f>
        <v/>
      </c>
      <c r="O4726" s="17">
        <f>-(K4726*0.025+L4726*0.025)</f>
        <v/>
      </c>
      <c r="P4726" s="17">
        <f>32</f>
        <v/>
      </c>
      <c r="Q4726" s="17">
        <f>J4726+L4726+N4726+O4726-P4726-M4726</f>
        <v/>
      </c>
    </row>
    <row r="4727">
      <c r="A4727" s="16" t="inlineStr">
        <is>
          <t>5.8-5.14</t>
        </is>
      </c>
      <c r="B4727" s="16" t="inlineStr">
        <is>
          <t>PO-128-15665015573110292</t>
        </is>
      </c>
      <c r="C4727" s="16" t="inlineStr">
        <is>
          <t>Shipped</t>
        </is>
      </c>
      <c r="D4727" s="16" t="inlineStr">
        <is>
          <t>128-15665039166070292</t>
        </is>
      </c>
      <c r="E4727" s="16" t="inlineStr">
        <is>
          <t>Shipped</t>
        </is>
      </c>
      <c r="F4727" s="16" t="inlineStr">
        <is>
          <t>MCM-001N</t>
        </is>
      </c>
      <c r="G4727" s="16" t="inlineStr">
        <is>
          <t>Musicord Altavoz Inalámbrico BT Portátil: ¡Sonido impactante, luces LED multicolores y 4 horas de autonomía! Compatible con TWS, FM, TF y USB – Imprescindible para fiestas y viajes</t>
        </is>
      </c>
      <c r="H4727" s="16" t="inlineStr">
        <is>
          <t>NEGRO</t>
        </is>
      </c>
      <c r="I4727" s="16" t="n">
        <v>1</v>
      </c>
      <c r="J4727" s="17" t="n">
        <v>61</v>
      </c>
      <c r="K4727" s="17" t="n">
        <v>72.27</v>
      </c>
      <c r="L4727" s="17" t="n">
        <v>25.86</v>
      </c>
      <c r="M4727" s="17" t="n">
        <v>0</v>
      </c>
      <c r="N4727" s="17">
        <f>K4727*0.08+L4727*0.08</f>
        <v/>
      </c>
      <c r="O4727" s="17">
        <f>-(K4727*0.025+L4727*0.025)</f>
        <v/>
      </c>
      <c r="P4727" s="17">
        <f>32</f>
        <v/>
      </c>
      <c r="Q4727" s="17">
        <f>J4727+L4727+N4727+O4727-P4727-M4727</f>
        <v/>
      </c>
    </row>
    <row r="4728">
      <c r="A4728" s="16" t="inlineStr">
        <is>
          <t>5.8-5.14</t>
        </is>
      </c>
      <c r="B4728" s="16" t="inlineStr">
        <is>
          <t>PO-128-15621676575351574</t>
        </is>
      </c>
      <c r="C4728" s="16" t="inlineStr">
        <is>
          <t>Shipped</t>
        </is>
      </c>
      <c r="D4728" s="16" t="inlineStr">
        <is>
          <t>128-15621666089591574</t>
        </is>
      </c>
      <c r="E4728" s="16" t="inlineStr">
        <is>
          <t>Shipped</t>
        </is>
      </c>
      <c r="F4728" s="16" t="inlineStr">
        <is>
          <t>LB02235-rojo</t>
        </is>
      </c>
      <c r="G4728" s="16" t="inlineStr">
        <is>
          <t>Audífonos Inalámbricos para la Cabeza, Recargables y Multifuncionales - Conectan a Varios Dispositivos, soportan Radio FM, Tarjeta TF y AUX - 4 Horas de Reproducción Musical - Ideal para Trabajo Cotidiano, Juegos y Estudio</t>
        </is>
      </c>
      <c r="H4728" s="16" t="inlineStr">
        <is>
          <t>ROJO</t>
        </is>
      </c>
      <c r="I4728" s="16" t="n">
        <v>1</v>
      </c>
      <c r="J4728" s="17" t="n">
        <v>38</v>
      </c>
      <c r="K4728" s="17" t="n">
        <v>51.12</v>
      </c>
      <c r="L4728" s="17" t="n">
        <v>25.86</v>
      </c>
      <c r="M4728" s="17" t="n">
        <v>0</v>
      </c>
      <c r="N4728" s="17">
        <f>K4728*0.08+L4728*0.08</f>
        <v/>
      </c>
      <c r="O4728" s="17">
        <f>-(K4728*0.025+L4728*0.025)</f>
        <v/>
      </c>
      <c r="P4728" s="17">
        <f>32</f>
        <v/>
      </c>
      <c r="Q4728" s="17">
        <f>J4728+L4728+N4728+O4728-P4728-M4728</f>
        <v/>
      </c>
    </row>
    <row r="4729">
      <c r="A4729" s="16" t="inlineStr">
        <is>
          <t>5.8-5.14</t>
        </is>
      </c>
      <c r="B4729" s="16" t="inlineStr">
        <is>
          <t>PO-128-15456350351992625</t>
        </is>
      </c>
      <c r="C4729" s="16" t="inlineStr">
        <is>
          <t>Shipped</t>
        </is>
      </c>
      <c r="D4729" s="16" t="inlineStr">
        <is>
          <t>128-15456384430712625</t>
        </is>
      </c>
      <c r="E4729" s="16" t="inlineStr">
        <is>
          <t>Shipped</t>
        </is>
      </c>
      <c r="F4729" s="16" t="inlineStr">
        <is>
          <t>LV25W22</t>
        </is>
      </c>
      <c r="G472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29" s="16" t="inlineStr">
        <is>
          <t>LV25W32</t>
        </is>
      </c>
      <c r="I4729" s="16" t="n">
        <v>1</v>
      </c>
      <c r="J4729" s="17" t="n">
        <v>97</v>
      </c>
      <c r="K4729" s="17" t="n">
        <v>85.94</v>
      </c>
      <c r="L4729" s="17" t="n">
        <v>25.86</v>
      </c>
      <c r="M4729" s="17" t="n">
        <v>0</v>
      </c>
      <c r="N4729" s="17">
        <f>K4729*0.08+L4729*0.08</f>
        <v/>
      </c>
      <c r="O4729" s="17">
        <f>-(K4729*0.025+L4729*0.025)</f>
        <v/>
      </c>
      <c r="P4729" s="17">
        <f>32</f>
        <v/>
      </c>
      <c r="Q4729" s="17">
        <f>J4729+L4729+N4729+O4729-P4729-M4729</f>
        <v/>
      </c>
    </row>
    <row r="4730">
      <c r="A4730" s="16" t="inlineStr">
        <is>
          <t>5.8-5.14</t>
        </is>
      </c>
      <c r="B4730" s="16" t="inlineStr">
        <is>
          <t>PO-128-15145609083513388</t>
        </is>
      </c>
      <c r="C4730" s="16" t="inlineStr">
        <is>
          <t>Shipped</t>
        </is>
      </c>
      <c r="D4730" s="16" t="inlineStr">
        <is>
          <t>128-15145619569273388</t>
        </is>
      </c>
      <c r="E4730" s="16" t="inlineStr">
        <is>
          <t>Shipped</t>
        </is>
      </c>
      <c r="F4730" s="16" t="inlineStr">
        <is>
          <t>S09W18IB</t>
        </is>
      </c>
      <c r="G473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730" s="16" t="inlineStr">
        <is>
          <t>1 pieza</t>
        </is>
      </c>
      <c r="I4730" s="16" t="n">
        <v>5</v>
      </c>
      <c r="J4730" s="17" t="n">
        <v>145</v>
      </c>
      <c r="K4730" s="17" t="n">
        <v>182.36</v>
      </c>
      <c r="L4730" s="17" t="n">
        <v>25.85</v>
      </c>
      <c r="M4730" s="17" t="n">
        <v>0</v>
      </c>
      <c r="N4730" s="17">
        <f>K4730*0.08+L4730*0.08</f>
        <v/>
      </c>
      <c r="O4730" s="17">
        <f>-(K4730*0.025+L4730*0.025)</f>
        <v/>
      </c>
      <c r="P4730" s="17">
        <f>32</f>
        <v/>
      </c>
      <c r="Q4730" s="17">
        <f>J4730+L4730+N4730+O4730-P4730-M4730</f>
        <v/>
      </c>
    </row>
    <row r="4731">
      <c r="A4731" s="16" t="inlineStr">
        <is>
          <t>5.8-5.14</t>
        </is>
      </c>
      <c r="B4731" s="16" t="inlineStr">
        <is>
          <t>PO-128-15282149955193662</t>
        </is>
      </c>
      <c r="C4731" s="16" t="inlineStr">
        <is>
          <t>Shipped</t>
        </is>
      </c>
      <c r="D4731" s="16" t="inlineStr">
        <is>
          <t>128-15282170926713662</t>
        </is>
      </c>
      <c r="E4731" s="16" t="inlineStr">
        <is>
          <t>Shipped</t>
        </is>
      </c>
      <c r="F4731" s="16" t="inlineStr">
        <is>
          <t>EM04W36</t>
        </is>
      </c>
      <c r="G473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731" s="16" t="inlineStr">
        <is>
          <t>1 pieza</t>
        </is>
      </c>
      <c r="I4731" s="16" t="n">
        <v>1</v>
      </c>
      <c r="J4731" s="17" t="n">
        <v>68.90000000000001</v>
      </c>
      <c r="K4731" s="17" t="n">
        <v>2.16</v>
      </c>
      <c r="L4731" s="17" t="n">
        <v>25.86</v>
      </c>
      <c r="M4731" s="17" t="n">
        <v>0</v>
      </c>
      <c r="N4731" s="17">
        <f>K4731*0.08+L4731*0.08</f>
        <v/>
      </c>
      <c r="O4731" s="17">
        <f>-(K4731*0.025+L4731*0.025)</f>
        <v/>
      </c>
      <c r="P4731" s="17">
        <f>32</f>
        <v/>
      </c>
      <c r="Q4731" s="17">
        <f>J4731+L4731+N4731+O4731-P4731-M4731</f>
        <v/>
      </c>
    </row>
    <row r="4732">
      <c r="A4732" s="16" t="inlineStr">
        <is>
          <t>5.8-5.14</t>
        </is>
      </c>
      <c r="B4732" s="16" t="inlineStr">
        <is>
          <t>PO-128-15134746174073580</t>
        </is>
      </c>
      <c r="C4732" s="16" t="inlineStr">
        <is>
          <t>Shipped</t>
        </is>
      </c>
      <c r="D4732" s="16" t="inlineStr">
        <is>
          <t>128-15134882488953580</t>
        </is>
      </c>
      <c r="E4732" s="16" t="inlineStr">
        <is>
          <t>Shipped</t>
        </is>
      </c>
      <c r="F4732" s="16" t="inlineStr">
        <is>
          <t>SA323T</t>
        </is>
      </c>
      <c r="G4732" s="16" t="inlineStr">
        <is>
          <t>Linkbits Bocina Portátil Parlantes BT Portátiles con Iluminación de Ambiente | 1 Hora de Duración, FM, TWS, TF/Micro SD | Ideal para Hogar, Fiestas y Viajes</t>
        </is>
      </c>
      <c r="H4732" s="16" t="inlineStr">
        <is>
          <t>SA323T</t>
        </is>
      </c>
      <c r="I4732" s="16" t="n">
        <v>1</v>
      </c>
      <c r="J4732" s="17" t="n">
        <v>46</v>
      </c>
      <c r="K4732" s="17" t="n">
        <v>55.04</v>
      </c>
      <c r="L4732" s="17" t="n">
        <v>25.86</v>
      </c>
      <c r="M4732" s="17" t="n">
        <v>0</v>
      </c>
      <c r="N4732" s="17">
        <f>K4732*0.08+L4732*0.08</f>
        <v/>
      </c>
      <c r="O4732" s="17">
        <f>-(K4732*0.025+L4732*0.025)</f>
        <v/>
      </c>
      <c r="P4732" s="17">
        <f>32</f>
        <v/>
      </c>
      <c r="Q4732" s="17">
        <f>J4732+L4732+N4732+O4732-P4732-M4732</f>
        <v/>
      </c>
    </row>
    <row r="4733">
      <c r="A4733" s="16" t="inlineStr">
        <is>
          <t>5.8-5.14</t>
        </is>
      </c>
      <c r="B4733" s="16" t="inlineStr">
        <is>
          <t>PO-128-15618868680311593</t>
        </is>
      </c>
      <c r="C4733" s="16" t="inlineStr">
        <is>
          <t>Shipped</t>
        </is>
      </c>
      <c r="D4733" s="16" t="inlineStr">
        <is>
          <t>128-15618889651831593</t>
        </is>
      </c>
      <c r="E4733" s="16" t="inlineStr">
        <is>
          <t>Shipped</t>
        </is>
      </c>
      <c r="F4733" s="16" t="inlineStr">
        <is>
          <t>KTS-1678V</t>
        </is>
      </c>
      <c r="G4733" s="16" t="inlineStr">
        <is>
          <t>Bocina portátil Inalámbrico, de 3 pulgadas, tamaño de bolsillo, 170 g, con asa, compatible con TF, USB y Micro SD, con radio FM y función TWS (True Wireless Stereo), adecuada para relajarse en casa o viajar al aire libre.</t>
        </is>
      </c>
      <c r="H4733" s="16" t="inlineStr">
        <is>
          <t>KTS-1678V</t>
        </is>
      </c>
      <c r="I4733" s="16" t="n">
        <v>1</v>
      </c>
      <c r="J4733" s="17" t="n">
        <v>42.5</v>
      </c>
      <c r="K4733" s="17" t="n">
        <v>7.67</v>
      </c>
      <c r="L4733" s="17" t="n">
        <v>25.86</v>
      </c>
      <c r="M4733" s="17" t="n">
        <v>0</v>
      </c>
      <c r="N4733" s="17">
        <f>K4733*0.08+L4733*0.08</f>
        <v/>
      </c>
      <c r="O4733" s="17">
        <f>-(K4733*0.025+L4733*0.025)</f>
        <v/>
      </c>
      <c r="P4733" s="17">
        <f>32</f>
        <v/>
      </c>
      <c r="Q4733" s="17">
        <f>J4733+L4733+N4733+O4733-P4733-M4733</f>
        <v/>
      </c>
    </row>
    <row r="4734">
      <c r="A4734" s="16" t="inlineStr">
        <is>
          <t>5.8-5.14</t>
        </is>
      </c>
      <c r="B4734" s="16" t="inlineStr">
        <is>
          <t>PO-128-15531255695991027</t>
        </is>
      </c>
      <c r="C4734" s="16" t="inlineStr">
        <is>
          <t>Shipped</t>
        </is>
      </c>
      <c r="D4734" s="16" t="inlineStr">
        <is>
          <t>128-15531297639031027</t>
        </is>
      </c>
      <c r="E4734" s="16" t="inlineStr">
        <is>
          <t>Shipped</t>
        </is>
      </c>
      <c r="F4734" s="16" t="inlineStr">
        <is>
          <t>FA028</t>
        </is>
      </c>
      <c r="G4734" s="16" t="inlineStr">
        <is>
          <t>Extractor de agua para garrafas de agua, compatible con carga USB, extractor de agua automático, práctico, con dos modos de toma de agua: manual y programado, ideal para dormitorios, salones, oficinas, uso al aire libre y otros escenarios.</t>
        </is>
      </c>
      <c r="H4734" s="16" t="inlineStr">
        <is>
          <t>FA028</t>
        </is>
      </c>
      <c r="I4734" s="16" t="n">
        <v>1</v>
      </c>
      <c r="J4734" s="17" t="n">
        <v>30</v>
      </c>
      <c r="K4734" s="17" t="n">
        <v>39.58</v>
      </c>
      <c r="L4734" s="17" t="n">
        <v>25.86</v>
      </c>
      <c r="M4734" s="17" t="n">
        <v>0</v>
      </c>
      <c r="N4734" s="17">
        <f>K4734*0.08+L4734*0.08</f>
        <v/>
      </c>
      <c r="O4734" s="17">
        <f>-(K4734*0.025+L4734*0.025)</f>
        <v/>
      </c>
      <c r="P4734" s="17">
        <f>32</f>
        <v/>
      </c>
      <c r="Q4734" s="17">
        <f>J4734+L4734+N4734+O4734-P4734-M4734</f>
        <v/>
      </c>
    </row>
    <row r="4735">
      <c r="A4735" s="16" t="inlineStr">
        <is>
          <t>5.8-5.14</t>
        </is>
      </c>
      <c r="B4735" s="16" t="inlineStr">
        <is>
          <t>PO-128-15429067162232722</t>
        </is>
      </c>
      <c r="C4735" s="16" t="inlineStr">
        <is>
          <t>Shipped</t>
        </is>
      </c>
      <c r="D4735" s="16" t="inlineStr">
        <is>
          <t>128-15429109105272722</t>
        </is>
      </c>
      <c r="E4735" s="16" t="inlineStr">
        <is>
          <t>Shipped</t>
        </is>
      </c>
      <c r="F4735" s="16" t="inlineStr">
        <is>
          <t>LB02235-negro</t>
        </is>
      </c>
      <c r="G4735" s="16" t="inlineStr">
        <is>
          <t>Audífonos Inalámbricos para la Cabeza, Recargables y Multifuncionales - Conectan a Varios Dispositivos, soportan Radio FM, Tarjeta TF y AUX - 4 Horas de Reproducción Musical - Ideal para Trabajo Cotidiano, Juegos y Estudio</t>
        </is>
      </c>
      <c r="H4735" s="16" t="inlineStr">
        <is>
          <t>NEGRO</t>
        </is>
      </c>
      <c r="I4735" s="16" t="n">
        <v>1</v>
      </c>
      <c r="J4735" s="17" t="n">
        <v>45.31</v>
      </c>
      <c r="K4735" s="17" t="n">
        <v>4.97</v>
      </c>
      <c r="L4735" s="17" t="n">
        <v>25.86</v>
      </c>
      <c r="M4735" s="17" t="n">
        <v>0</v>
      </c>
      <c r="N4735" s="17">
        <f>K4735*0.08+L4735*0.08</f>
        <v/>
      </c>
      <c r="O4735" s="17">
        <f>-(K4735*0.025+L4735*0.025)</f>
        <v/>
      </c>
      <c r="P4735" s="17">
        <f>32</f>
        <v/>
      </c>
      <c r="Q4735" s="17">
        <f>J4735+L4735+N4735+O4735-P4735-M4735</f>
        <v/>
      </c>
    </row>
    <row r="4736">
      <c r="A4736" s="16" t="inlineStr">
        <is>
          <t>5.8-5.14</t>
        </is>
      </c>
      <c r="B4736" s="16" t="inlineStr">
        <is>
          <t>PO-128-15666872489590347</t>
        </is>
      </c>
      <c r="C4736" s="16" t="inlineStr">
        <is>
          <t>Shipped</t>
        </is>
      </c>
      <c r="D4736" s="16" t="inlineStr">
        <is>
          <t>128-15666830546550347</t>
        </is>
      </c>
      <c r="E4736" s="16" t="inlineStr">
        <is>
          <t>Shipped</t>
        </is>
      </c>
      <c r="F4736" s="16" t="inlineStr">
        <is>
          <t>MCM-001G</t>
        </is>
      </c>
      <c r="G4736" s="16" t="inlineStr">
        <is>
          <t>Musicord Altavoz Inalámbrico BT Portátil: ¡Sonido impactante, luces LED multicolores y 4 horas de autonomía! Compatible con TWS, FM, TF y USB – Imprescindible para fiestas y viajes</t>
        </is>
      </c>
      <c r="H4736" s="16" t="inlineStr">
        <is>
          <t>GRIS</t>
        </is>
      </c>
      <c r="I4736" s="16" t="n">
        <v>2</v>
      </c>
      <c r="J4736" s="17" t="n">
        <v>102.14</v>
      </c>
      <c r="K4736" s="17" t="n">
        <v>23.23</v>
      </c>
      <c r="L4736" s="17" t="n">
        <v>25.86</v>
      </c>
      <c r="M4736" s="17" t="n">
        <v>0</v>
      </c>
      <c r="N4736" s="17">
        <f>K4736*0.08+L4736*0.08</f>
        <v/>
      </c>
      <c r="O4736" s="17">
        <f>-(K4736*0.025+L4736*0.025)</f>
        <v/>
      </c>
      <c r="P4736" s="17">
        <f>32</f>
        <v/>
      </c>
      <c r="Q4736" s="17">
        <f>J4736+L4736+N4736+O4736-P4736-M4736</f>
        <v/>
      </c>
    </row>
    <row r="4737">
      <c r="A4737" s="16" t="inlineStr">
        <is>
          <t>5.8-5.14</t>
        </is>
      </c>
      <c r="B4737" s="16" t="inlineStr">
        <is>
          <t>PO-128-15448191068792608</t>
        </is>
      </c>
      <c r="C4737" s="16" t="inlineStr">
        <is>
          <t>Shipped</t>
        </is>
      </c>
      <c r="D4737" s="16" t="inlineStr">
        <is>
          <t>128-15448212040312608</t>
        </is>
      </c>
      <c r="E4737" s="16" t="inlineStr">
        <is>
          <t>Shipped</t>
        </is>
      </c>
      <c r="F4737" s="16" t="inlineStr">
        <is>
          <t>LV25W22</t>
        </is>
      </c>
      <c r="G47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37" s="16" t="inlineStr">
        <is>
          <t>LV25W32</t>
        </is>
      </c>
      <c r="I4737" s="16" t="n">
        <v>1</v>
      </c>
      <c r="J4737" s="17" t="n">
        <v>97</v>
      </c>
      <c r="K4737" s="17" t="n">
        <v>107.41</v>
      </c>
      <c r="L4737" s="17" t="n">
        <v>25.86</v>
      </c>
      <c r="M4737" s="17" t="n">
        <v>0</v>
      </c>
      <c r="N4737" s="17">
        <f>K4737*0.08+L4737*0.08</f>
        <v/>
      </c>
      <c r="O4737" s="17">
        <f>-(K4737*0.025+L4737*0.025)</f>
        <v/>
      </c>
      <c r="P4737" s="17">
        <f>32</f>
        <v/>
      </c>
      <c r="Q4737" s="17">
        <f>J4737+L4737+N4737+O4737-P4737-M4737</f>
        <v/>
      </c>
    </row>
    <row r="4738">
      <c r="A4738" s="16" t="inlineStr">
        <is>
          <t>5.8-5.14</t>
        </is>
      </c>
      <c r="B4738" s="16" t="inlineStr">
        <is>
          <t>PO-128-15595971502711665</t>
        </is>
      </c>
      <c r="C4738" s="16" t="inlineStr">
        <is>
          <t>Shipped</t>
        </is>
      </c>
      <c r="D4738" s="16" t="inlineStr">
        <is>
          <t>128-15595992474231665</t>
        </is>
      </c>
      <c r="E4738" s="16" t="inlineStr">
        <is>
          <t>Shipped</t>
        </is>
      </c>
      <c r="F4738" s="16" t="inlineStr">
        <is>
          <t>MCM-001N</t>
        </is>
      </c>
      <c r="G4738" s="16" t="inlineStr">
        <is>
          <t>Musicord Altavoz Inalámbrico BT Portátil: ¡Sonido impactante, luces LED multicolores y 4 horas de autonomía! Compatible con TWS, FM, TF y USB – Imprescindible para fiestas y viajes</t>
        </is>
      </c>
      <c r="H4738" s="16" t="inlineStr">
        <is>
          <t>NEGRO</t>
        </is>
      </c>
      <c r="I4738" s="16" t="n">
        <v>1</v>
      </c>
      <c r="J4738" s="17" t="n">
        <v>61</v>
      </c>
      <c r="K4738" s="17" t="n">
        <v>61.43</v>
      </c>
      <c r="L4738" s="17" t="n">
        <v>25.86</v>
      </c>
      <c r="M4738" s="17" t="n">
        <v>0</v>
      </c>
      <c r="N4738" s="17">
        <f>K4738*0.08+L4738*0.08</f>
        <v/>
      </c>
      <c r="O4738" s="17">
        <f>-(K4738*0.025+L4738*0.025)</f>
        <v/>
      </c>
      <c r="P4738" s="17">
        <f>32</f>
        <v/>
      </c>
      <c r="Q4738" s="17">
        <f>J4738+L4738+N4738+O4738-P4738-M4738</f>
        <v/>
      </c>
    </row>
    <row r="4739">
      <c r="A4739" s="16" t="inlineStr">
        <is>
          <t>5.8-5.14</t>
        </is>
      </c>
      <c r="B4739" s="16" t="inlineStr">
        <is>
          <t>PO-128-15314940150392314</t>
        </is>
      </c>
      <c r="C4739" s="16" t="inlineStr">
        <is>
          <t>Shipped</t>
        </is>
      </c>
      <c r="D4739" s="16" t="inlineStr">
        <is>
          <t>128-15314945393272314</t>
        </is>
      </c>
      <c r="E4739" s="16" t="inlineStr">
        <is>
          <t>Shipped</t>
        </is>
      </c>
      <c r="F4739" s="16" t="inlineStr">
        <is>
          <t>LB02235-azul</t>
        </is>
      </c>
      <c r="G4739" s="16" t="inlineStr">
        <is>
          <t>Audífonos Inalámbricos para la Cabeza, Recargables y Multifuncionales - Conectan a Varios Dispositivos, soportan Radio FM, Tarjeta TF y AUX - 4 Horas de Reproducción Musical - Ideal para Trabajo Cotidiano, Juegos y Estudio</t>
        </is>
      </c>
      <c r="H4739" s="16" t="inlineStr">
        <is>
          <t>AZUL</t>
        </is>
      </c>
      <c r="I4739" s="16" t="n">
        <v>1</v>
      </c>
      <c r="J4739" s="17" t="n">
        <v>37.6</v>
      </c>
      <c r="K4739" s="17" t="n">
        <v>50.72</v>
      </c>
      <c r="L4739" s="17" t="n">
        <v>25.86</v>
      </c>
      <c r="M4739" s="17" t="n">
        <v>0</v>
      </c>
      <c r="N4739" s="17">
        <f>K4739*0.08+L4739*0.08</f>
        <v/>
      </c>
      <c r="O4739" s="17">
        <f>-(K4739*0.025+L4739*0.025)</f>
        <v/>
      </c>
      <c r="P4739" s="17">
        <f>32</f>
        <v/>
      </c>
      <c r="Q4739" s="17">
        <f>J4739+L4739+N4739+O4739-P4739-M4739</f>
        <v/>
      </c>
    </row>
    <row r="4740">
      <c r="A4740" s="16" t="inlineStr">
        <is>
          <t>5.8-5.14</t>
        </is>
      </c>
      <c r="B4740" s="16" t="inlineStr">
        <is>
          <t>PO-128-15370617723512174</t>
        </is>
      </c>
      <c r="C4740" s="16" t="inlineStr">
        <is>
          <t>Shipped</t>
        </is>
      </c>
      <c r="D4740" s="16" t="inlineStr">
        <is>
          <t>128-15370777631352174</t>
        </is>
      </c>
      <c r="E4740" s="16" t="inlineStr">
        <is>
          <t>Shipped</t>
        </is>
      </c>
      <c r="F4740" s="16" t="inlineStr">
        <is>
          <t>S58W60</t>
        </is>
      </c>
      <c r="G4740"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4740" s="16" t="inlineStr">
        <is>
          <t>1 pieza</t>
        </is>
      </c>
      <c r="I4740" s="16" t="n">
        <v>5</v>
      </c>
      <c r="J4740" s="17" t="n">
        <v>250</v>
      </c>
      <c r="K4740" s="17" t="n">
        <v>270.08</v>
      </c>
      <c r="L4740" s="17" t="n">
        <v>0</v>
      </c>
      <c r="M4740" s="17" t="n">
        <v>0</v>
      </c>
      <c r="N4740" s="17">
        <f>K4740*0.08+L4740*0.08</f>
        <v/>
      </c>
      <c r="O4740" s="17">
        <f>-(K4740*0.025+L4740*0.025)</f>
        <v/>
      </c>
      <c r="P4740" s="17">
        <f>32</f>
        <v/>
      </c>
      <c r="Q4740" s="17">
        <f>J4740+L4740+N4740+O4740-P4740-M4740</f>
        <v/>
      </c>
    </row>
    <row r="4741">
      <c r="A4741" s="16" t="inlineStr">
        <is>
          <t>5.8-5.14</t>
        </is>
      </c>
      <c r="B4741" s="16" t="inlineStr">
        <is>
          <t>PO-128-15216934748794053</t>
        </is>
      </c>
      <c r="C4741" s="16" t="inlineStr">
        <is>
          <t>Shipped</t>
        </is>
      </c>
      <c r="D4741" s="16" t="inlineStr">
        <is>
          <t>128-15216913777274053</t>
        </is>
      </c>
      <c r="E4741" s="16" t="inlineStr">
        <is>
          <t>Shipped</t>
        </is>
      </c>
      <c r="F4741" s="16" t="inlineStr">
        <is>
          <t>LB02235-blanco</t>
        </is>
      </c>
      <c r="G4741" s="16" t="inlineStr">
        <is>
          <t>Audífonos Inalámbricos para la Cabeza, Recargables y Multifuncionales - Conectan a Varios Dispositivos, soportan Radio FM, Tarjeta TF y AUX - 4 Horas de Reproducción Musical - Ideal para Trabajo Cotidiano, Juegos y Estudio</t>
        </is>
      </c>
      <c r="H4741" s="16" t="inlineStr">
        <is>
          <t>BLANCO</t>
        </is>
      </c>
      <c r="I4741" s="16" t="n">
        <v>1</v>
      </c>
      <c r="J4741" s="17" t="n">
        <v>38</v>
      </c>
      <c r="K4741" s="17" t="n">
        <v>51.12</v>
      </c>
      <c r="L4741" s="17" t="n">
        <v>25.86</v>
      </c>
      <c r="M4741" s="17" t="n">
        <v>0</v>
      </c>
      <c r="N4741" s="17">
        <f>K4741*0.08+L4741*0.08</f>
        <v/>
      </c>
      <c r="O4741" s="17">
        <f>-(K4741*0.025+L4741*0.025)</f>
        <v/>
      </c>
      <c r="P4741" s="17">
        <f>32</f>
        <v/>
      </c>
      <c r="Q4741" s="17">
        <f>J4741+L4741+N4741+O4741-P4741-M4741</f>
        <v/>
      </c>
    </row>
    <row r="4742">
      <c r="A4742" s="16" t="inlineStr">
        <is>
          <t>5.8-5.14</t>
        </is>
      </c>
      <c r="B4742" s="16" t="inlineStr">
        <is>
          <t>PO-128-15480897434231519</t>
        </is>
      </c>
      <c r="C4742" s="16" t="inlineStr">
        <is>
          <t>Shipped</t>
        </is>
      </c>
      <c r="D4742" s="16" t="inlineStr">
        <is>
          <t>128-15480907919991519</t>
        </is>
      </c>
      <c r="E4742" s="16" t="inlineStr">
        <is>
          <t>Shipped</t>
        </is>
      </c>
      <c r="F4742" s="16" t="inlineStr">
        <is>
          <t>MCM-001G</t>
        </is>
      </c>
      <c r="G4742" s="16" t="inlineStr">
        <is>
          <t>Musicord Altavoz Inalámbrico BT Portátil: ¡Sonido impactante, luces LED multicolores y 4 horas de autonomía! Compatible con TWS, FM, TF y USB – Imprescindible para fiestas y viajes</t>
        </is>
      </c>
      <c r="H4742" s="16" t="inlineStr">
        <is>
          <t>GRIS</t>
        </is>
      </c>
      <c r="I4742" s="16" t="n">
        <v>1</v>
      </c>
      <c r="J4742" s="17" t="n">
        <v>51.07</v>
      </c>
      <c r="K4742" s="17" t="n">
        <v>62.34</v>
      </c>
      <c r="L4742" s="17" t="n">
        <v>25.86</v>
      </c>
      <c r="M4742" s="17" t="n">
        <v>0</v>
      </c>
      <c r="N4742" s="17">
        <f>K4742*0.08+L4742*0.08</f>
        <v/>
      </c>
      <c r="O4742" s="17">
        <f>-(K4742*0.025+L4742*0.025)</f>
        <v/>
      </c>
      <c r="P4742" s="17">
        <f>32</f>
        <v/>
      </c>
      <c r="Q4742" s="17">
        <f>J4742+L4742+N4742+O4742-P4742-M4742</f>
        <v/>
      </c>
    </row>
    <row r="4743">
      <c r="A4743" s="16" t="inlineStr">
        <is>
          <t>5.8-5.14</t>
        </is>
      </c>
      <c r="B4743" s="16" t="inlineStr">
        <is>
          <t>PO-128-15398417244792843</t>
        </is>
      </c>
      <c r="C4743" s="16" t="inlineStr">
        <is>
          <t>Shipped</t>
        </is>
      </c>
      <c r="D4743" s="16" t="inlineStr">
        <is>
          <t>128-15398432973432843</t>
        </is>
      </c>
      <c r="E4743" s="16" t="inlineStr">
        <is>
          <t>Shipped</t>
        </is>
      </c>
      <c r="F4743" s="16" t="inlineStr">
        <is>
          <t>LB02235-blanco</t>
        </is>
      </c>
      <c r="G4743" s="16" t="inlineStr">
        <is>
          <t>Audífonos Inalámbricos para la Cabeza, Recargables y Multifuncionales - Conectan a Varios Dispositivos, soportan Radio FM, Tarjeta TF y AUX - 4 Horas de Reproducción Musical - Ideal para Trabajo Cotidiano, Juegos y Estudio</t>
        </is>
      </c>
      <c r="H4743" s="16" t="inlineStr">
        <is>
          <t>BLANCO</t>
        </is>
      </c>
      <c r="I4743" s="16" t="n">
        <v>3</v>
      </c>
      <c r="J4743" s="17" t="n">
        <v>114</v>
      </c>
      <c r="K4743" s="17" t="n">
        <v>127.15</v>
      </c>
      <c r="L4743" s="17" t="n">
        <v>25.86</v>
      </c>
      <c r="M4743" s="17" t="n">
        <v>0</v>
      </c>
      <c r="N4743" s="17">
        <f>K4743*0.08+L4743*0.08</f>
        <v/>
      </c>
      <c r="O4743" s="17">
        <f>-(K4743*0.025+L4743*0.025)</f>
        <v/>
      </c>
      <c r="P4743" s="17">
        <f>32</f>
        <v/>
      </c>
      <c r="Q4743" s="17">
        <f>J4743+L4743+N4743+O4743-P4743-M4743</f>
        <v/>
      </c>
    </row>
    <row r="4744">
      <c r="A4744" s="16" t="inlineStr">
        <is>
          <t>5.8-5.14</t>
        </is>
      </c>
      <c r="B4744" s="16" t="inlineStr">
        <is>
          <t>PO-128-15633812030070414</t>
        </is>
      </c>
      <c r="C4744" s="16" t="inlineStr">
        <is>
          <t>Shipped</t>
        </is>
      </c>
      <c r="D4744" s="16" t="inlineStr">
        <is>
          <t>128-15633838244470414</t>
        </is>
      </c>
      <c r="E4744" s="16" t="inlineStr">
        <is>
          <t>Shipped</t>
        </is>
      </c>
      <c r="F4744" s="16" t="inlineStr">
        <is>
          <t>LV25W22</t>
        </is>
      </c>
      <c r="G47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44" s="16" t="inlineStr">
        <is>
          <t>LV25W32</t>
        </is>
      </c>
      <c r="I4744" s="16" t="n">
        <v>1</v>
      </c>
      <c r="J4744" s="17" t="n">
        <v>97</v>
      </c>
      <c r="K4744" s="17" t="n">
        <v>85.93000000000001</v>
      </c>
      <c r="L4744" s="17" t="n">
        <v>25.86</v>
      </c>
      <c r="M4744" s="17" t="n">
        <v>0</v>
      </c>
      <c r="N4744" s="17">
        <f>K4744*0.08+L4744*0.08</f>
        <v/>
      </c>
      <c r="O4744" s="17">
        <f>-(K4744*0.025+L4744*0.025)</f>
        <v/>
      </c>
      <c r="P4744" s="17">
        <f>32</f>
        <v/>
      </c>
      <c r="Q4744" s="17">
        <f>J4744+L4744+N4744+O4744-P4744-M4744</f>
        <v/>
      </c>
    </row>
    <row r="4745">
      <c r="A4745" s="16" t="inlineStr">
        <is>
          <t>5.8-5.14</t>
        </is>
      </c>
      <c r="B4745" s="16" t="inlineStr">
        <is>
          <t>PO-128-15174738094713278</t>
        </is>
      </c>
      <c r="C4745" s="16" t="inlineStr">
        <is>
          <t>Shipped</t>
        </is>
      </c>
      <c r="D4745" s="16" t="inlineStr">
        <is>
          <t>128-15174717123193278</t>
        </is>
      </c>
      <c r="E4745" s="16" t="inlineStr">
        <is>
          <t>Shipped</t>
        </is>
      </c>
      <c r="F4745" s="16" t="inlineStr">
        <is>
          <t>LV25W22</t>
        </is>
      </c>
      <c r="G474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45" s="16" t="inlineStr">
        <is>
          <t>LV25W32</t>
        </is>
      </c>
      <c r="I4745" s="16" t="n">
        <v>1</v>
      </c>
      <c r="J4745" s="17" t="n">
        <v>97</v>
      </c>
      <c r="K4745" s="17" t="n">
        <v>107.41</v>
      </c>
      <c r="L4745" s="17" t="n">
        <v>25.86</v>
      </c>
      <c r="M4745" s="17" t="n">
        <v>0</v>
      </c>
      <c r="N4745" s="17">
        <f>K4745*0.08+L4745*0.08</f>
        <v/>
      </c>
      <c r="O4745" s="17">
        <f>-(K4745*0.025+L4745*0.025)</f>
        <v/>
      </c>
      <c r="P4745" s="17">
        <f>32</f>
        <v/>
      </c>
      <c r="Q4745" s="17">
        <f>J4745+L4745+N4745+O4745-P4745-M4745</f>
        <v/>
      </c>
    </row>
    <row r="4746">
      <c r="A4746" s="16" t="inlineStr">
        <is>
          <t>5.8-5.14</t>
        </is>
      </c>
      <c r="B4746" s="16" t="inlineStr">
        <is>
          <t>PO-128-15559631493752008</t>
        </is>
      </c>
      <c r="C4746" s="16" t="inlineStr">
        <is>
          <t>Shipped</t>
        </is>
      </c>
      <c r="D4746" s="16" t="inlineStr">
        <is>
          <t>128-15559652465272008</t>
        </is>
      </c>
      <c r="E4746" s="16" t="inlineStr">
        <is>
          <t>Shipped</t>
        </is>
      </c>
      <c r="F4746" s="16" t="inlineStr">
        <is>
          <t>LB02235-rojo</t>
        </is>
      </c>
      <c r="G4746" s="16" t="inlineStr">
        <is>
          <t>Audífonos Inalámbricos para la Cabeza, Recargables y Multifuncionales - Conectan a Varios Dispositivos, soportan Radio FM, Tarjeta TF y AUX - 4 Horas de Reproducción Musical - Ideal para Trabajo Cotidiano, Juegos y Estudio</t>
        </is>
      </c>
      <c r="H4746" s="16" t="inlineStr">
        <is>
          <t>ROJO</t>
        </is>
      </c>
      <c r="I4746" s="16" t="n">
        <v>1</v>
      </c>
      <c r="J4746" s="17" t="n">
        <v>38</v>
      </c>
      <c r="K4746" s="17" t="n">
        <v>51.12</v>
      </c>
      <c r="L4746" s="17" t="n">
        <v>25.86</v>
      </c>
      <c r="M4746" s="17" t="n">
        <v>0</v>
      </c>
      <c r="N4746" s="17">
        <f>K4746*0.08+L4746*0.08</f>
        <v/>
      </c>
      <c r="O4746" s="17">
        <f>-(K4746*0.025+L4746*0.025)</f>
        <v/>
      </c>
      <c r="P4746" s="17">
        <f>32</f>
        <v/>
      </c>
      <c r="Q4746" s="17">
        <f>J4746+L4746+N4746+O4746-P4746-M4746</f>
        <v/>
      </c>
    </row>
    <row r="4747">
      <c r="A4747" s="16" t="inlineStr">
        <is>
          <t>5.8-5.14</t>
        </is>
      </c>
      <c r="B4747" s="16" t="inlineStr">
        <is>
          <t>PO-128-15498538793591348</t>
        </is>
      </c>
      <c r="C4747" s="16" t="inlineStr">
        <is>
          <t>Shipped</t>
        </is>
      </c>
      <c r="D4747" s="16" t="inlineStr">
        <is>
          <t>128-15498496850551348</t>
        </is>
      </c>
      <c r="E4747" s="16" t="inlineStr">
        <is>
          <t>Shipped</t>
        </is>
      </c>
      <c r="F4747" s="16" t="inlineStr">
        <is>
          <t>LB02235-negro</t>
        </is>
      </c>
      <c r="G4747" s="16" t="inlineStr">
        <is>
          <t>Audífonos Inalámbricos para la Cabeza, Recargables y Multifuncionales - Conectan a Varios Dispositivos, soportan Radio FM, Tarjeta TF y AUX - 4 Horas de Reproducción Musical - Ideal para Trabajo Cotidiano, Juegos y Estudio</t>
        </is>
      </c>
      <c r="H4747" s="16" t="inlineStr">
        <is>
          <t>NEGRO</t>
        </is>
      </c>
      <c r="I4747" s="16" t="n">
        <v>1</v>
      </c>
      <c r="J4747" s="17" t="n">
        <v>45.31</v>
      </c>
      <c r="K4747" s="17" t="n">
        <v>58.42</v>
      </c>
      <c r="L4747" s="17" t="n">
        <v>25.86</v>
      </c>
      <c r="M4747" s="17" t="n">
        <v>0</v>
      </c>
      <c r="N4747" s="17">
        <f>K4747*0.08+L4747*0.08</f>
        <v/>
      </c>
      <c r="O4747" s="17">
        <f>-(K4747*0.025+L4747*0.025)</f>
        <v/>
      </c>
      <c r="P4747" s="17">
        <f>32</f>
        <v/>
      </c>
      <c r="Q4747" s="17">
        <f>J4747+L4747+N4747+O4747-P4747-M4747</f>
        <v/>
      </c>
    </row>
    <row r="4748">
      <c r="A4748" s="16" t="inlineStr">
        <is>
          <t>5.8-5.14</t>
        </is>
      </c>
      <c r="B4748" s="16" t="inlineStr">
        <is>
          <t>PO-128-15473968312951494</t>
        </is>
      </c>
      <c r="C4748" s="16" t="inlineStr">
        <is>
          <t>Shipped</t>
        </is>
      </c>
      <c r="D4748" s="16" t="inlineStr">
        <is>
          <t>128-15473984041591494</t>
        </is>
      </c>
      <c r="E4748" s="16" t="inlineStr">
        <is>
          <t>Shipped</t>
        </is>
      </c>
      <c r="F4748" s="16" t="inlineStr">
        <is>
          <t>LV25W22</t>
        </is>
      </c>
      <c r="G474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48" s="16" t="inlineStr">
        <is>
          <t>LV25W32</t>
        </is>
      </c>
      <c r="I4748" s="16" t="n">
        <v>1</v>
      </c>
      <c r="J4748" s="17" t="n">
        <v>97</v>
      </c>
      <c r="K4748" s="17" t="n">
        <v>107.41</v>
      </c>
      <c r="L4748" s="17" t="n">
        <v>25.86</v>
      </c>
      <c r="M4748" s="17" t="n">
        <v>0</v>
      </c>
      <c r="N4748" s="17">
        <f>K4748*0.08+L4748*0.08</f>
        <v/>
      </c>
      <c r="O4748" s="17">
        <f>-(K4748*0.025+L4748*0.025)</f>
        <v/>
      </c>
      <c r="P4748" s="17">
        <f>32</f>
        <v/>
      </c>
      <c r="Q4748" s="17">
        <f>J4748+L4748+N4748+O4748-P4748-M4748</f>
        <v/>
      </c>
    </row>
    <row r="4749">
      <c r="A4749" s="16" t="inlineStr">
        <is>
          <t>5.8-5.14</t>
        </is>
      </c>
      <c r="B4749" s="16" t="inlineStr">
        <is>
          <t>PO-128-15252718817913775</t>
        </is>
      </c>
      <c r="C4749" s="16" t="inlineStr">
        <is>
          <t>Shipped</t>
        </is>
      </c>
      <c r="D4749" s="16" t="inlineStr">
        <is>
          <t>128-15252745032313775</t>
        </is>
      </c>
      <c r="E4749" s="16" t="inlineStr">
        <is>
          <t>Shipped</t>
        </is>
      </c>
      <c r="F4749" s="16" t="inlineStr">
        <is>
          <t>LV25W22</t>
        </is>
      </c>
      <c r="G474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49" s="16" t="inlineStr">
        <is>
          <t>LV25W32</t>
        </is>
      </c>
      <c r="I4749" s="16" t="n">
        <v>1</v>
      </c>
      <c r="J4749" s="17" t="n">
        <v>97</v>
      </c>
      <c r="K4749" s="17" t="n">
        <v>107.41</v>
      </c>
      <c r="L4749" s="17" t="n">
        <v>25.86</v>
      </c>
      <c r="M4749" s="17" t="n">
        <v>0</v>
      </c>
      <c r="N4749" s="17">
        <f>K4749*0.08+L4749*0.08</f>
        <v/>
      </c>
      <c r="O4749" s="17">
        <f>-(K4749*0.025+L4749*0.025)</f>
        <v/>
      </c>
      <c r="P4749" s="17">
        <f>32</f>
        <v/>
      </c>
      <c r="Q4749" s="17">
        <f>J4749+L4749+N4749+O4749-P4749-M4749</f>
        <v/>
      </c>
    </row>
    <row r="4750">
      <c r="A4750" s="16" t="inlineStr">
        <is>
          <t>5.8-5.14</t>
        </is>
      </c>
      <c r="B4750" s="16" t="inlineStr">
        <is>
          <t>PO-128-15523407299191264</t>
        </is>
      </c>
      <c r="C4750" s="16" t="inlineStr">
        <is>
          <t>Shipped</t>
        </is>
      </c>
      <c r="D4750" s="16" t="inlineStr">
        <is>
          <t>128-15523428270711264</t>
        </is>
      </c>
      <c r="E4750" s="16" t="inlineStr">
        <is>
          <t>Shipped</t>
        </is>
      </c>
      <c r="F4750" s="16" t="inlineStr">
        <is>
          <t>LV25W22</t>
        </is>
      </c>
      <c r="G47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50" s="16" t="inlineStr">
        <is>
          <t>LV25W32</t>
        </is>
      </c>
      <c r="I4750" s="16" t="n">
        <v>1</v>
      </c>
      <c r="J4750" s="17" t="n">
        <v>97</v>
      </c>
      <c r="K4750" s="17" t="n">
        <v>107.41</v>
      </c>
      <c r="L4750" s="17" t="n">
        <v>25.86</v>
      </c>
      <c r="M4750" s="17" t="n">
        <v>0</v>
      </c>
      <c r="N4750" s="17">
        <f>K4750*0.08+L4750*0.08</f>
        <v/>
      </c>
      <c r="O4750" s="17">
        <f>-(K4750*0.025+L4750*0.025)</f>
        <v/>
      </c>
      <c r="P4750" s="17">
        <f>32</f>
        <v/>
      </c>
      <c r="Q4750" s="17">
        <f>J4750+L4750+N4750+O4750-P4750-M4750</f>
        <v/>
      </c>
    </row>
    <row r="4751">
      <c r="A4751" s="16" t="inlineStr">
        <is>
          <t>5.8-5.14</t>
        </is>
      </c>
      <c r="B4751" s="16" t="inlineStr">
        <is>
          <t>PO-128-15409221089912904</t>
        </is>
      </c>
      <c r="C4751" s="16" t="inlineStr">
        <is>
          <t>Shipped</t>
        </is>
      </c>
      <c r="D4751" s="16" t="inlineStr">
        <is>
          <t>128-15409357404792904</t>
        </is>
      </c>
      <c r="E4751" s="16" t="inlineStr">
        <is>
          <t>Shipped</t>
        </is>
      </c>
      <c r="F4751" s="16" t="inlineStr">
        <is>
          <t>LV25W22</t>
        </is>
      </c>
      <c r="G47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51" s="16" t="inlineStr">
        <is>
          <t>LV25W32</t>
        </is>
      </c>
      <c r="I4751" s="16" t="n">
        <v>3</v>
      </c>
      <c r="J4751" s="17" t="n">
        <v>291</v>
      </c>
      <c r="K4751" s="17" t="n">
        <v>270.51</v>
      </c>
      <c r="L4751" s="17" t="n">
        <v>0</v>
      </c>
      <c r="M4751" s="17" t="n">
        <v>0</v>
      </c>
      <c r="N4751" s="17">
        <f>K4751*0.08+L4751*0.08</f>
        <v/>
      </c>
      <c r="O4751" s="17">
        <f>-(K4751*0.025+L4751*0.025)</f>
        <v/>
      </c>
      <c r="P4751" s="17">
        <f>32</f>
        <v/>
      </c>
      <c r="Q4751" s="17">
        <f>J4751+L4751+N4751+O4751-P4751-M4751</f>
        <v/>
      </c>
    </row>
    <row r="4752">
      <c r="A4752" s="16" t="inlineStr">
        <is>
          <t>5.8-5.14</t>
        </is>
      </c>
      <c r="B4752" s="16" t="inlineStr">
        <is>
          <t>PO-128-15684740608630174</t>
        </is>
      </c>
      <c r="C4752" s="16" t="inlineStr">
        <is>
          <t>Shipped</t>
        </is>
      </c>
      <c r="D4752" s="16" t="inlineStr">
        <is>
          <t>128-15684709151350174</t>
        </is>
      </c>
      <c r="E4752" s="16" t="inlineStr">
        <is>
          <t>Shipped</t>
        </is>
      </c>
      <c r="F4752" s="16" t="inlineStr">
        <is>
          <t>LV25W22</t>
        </is>
      </c>
      <c r="G475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52" s="16" t="inlineStr">
        <is>
          <t>LV25W32</t>
        </is>
      </c>
      <c r="I4752" s="16" t="n">
        <v>1</v>
      </c>
      <c r="J4752" s="17" t="n">
        <v>97</v>
      </c>
      <c r="K4752" s="17" t="n">
        <v>107.41</v>
      </c>
      <c r="L4752" s="17" t="n">
        <v>25.86</v>
      </c>
      <c r="M4752" s="17" t="n">
        <v>0</v>
      </c>
      <c r="N4752" s="17">
        <f>K4752*0.08+L4752*0.08</f>
        <v/>
      </c>
      <c r="O4752" s="17">
        <f>-(K4752*0.025+L4752*0.025)</f>
        <v/>
      </c>
      <c r="P4752" s="17">
        <f>32</f>
        <v/>
      </c>
      <c r="Q4752" s="17">
        <f>J4752+L4752+N4752+O4752-P4752-M4752</f>
        <v/>
      </c>
    </row>
    <row r="4753">
      <c r="A4753" s="16" t="inlineStr">
        <is>
          <t>5.8-5.14</t>
        </is>
      </c>
      <c r="B4753" s="16" t="inlineStr">
        <is>
          <t>PO-128-15221188055674091</t>
        </is>
      </c>
      <c r="C4753" s="16" t="inlineStr">
        <is>
          <t>Shipped</t>
        </is>
      </c>
      <c r="D4753" s="16" t="inlineStr">
        <is>
          <t>128-15221229998714091</t>
        </is>
      </c>
      <c r="E4753" s="16" t="inlineStr">
        <is>
          <t>Shipped</t>
        </is>
      </c>
      <c r="F4753" s="16" t="inlineStr">
        <is>
          <t>MCM-001G</t>
        </is>
      </c>
      <c r="G4753" s="16" t="inlineStr">
        <is>
          <t>Musicord Altavoz Inalámbrico BT Portátil: ¡Sonido impactante, luces LED multicolores y 4 horas de autonomía! Compatible con TWS, FM, TF y USB – Imprescindible para fiestas y viajes</t>
        </is>
      </c>
      <c r="H4753" s="16" t="inlineStr">
        <is>
          <t>GRIS</t>
        </is>
      </c>
      <c r="I4753" s="16" t="n">
        <v>2</v>
      </c>
      <c r="J4753" s="17" t="n">
        <v>102.14</v>
      </c>
      <c r="K4753" s="17" t="n">
        <v>64.34</v>
      </c>
      <c r="L4753" s="17" t="n">
        <v>25.86</v>
      </c>
      <c r="M4753" s="17" t="n">
        <v>3.6</v>
      </c>
      <c r="N4753" s="17">
        <f>K4753*0.08+L4753*0.08</f>
        <v/>
      </c>
      <c r="O4753" s="17">
        <f>-(K4753*0.025+L4753*0.025)</f>
        <v/>
      </c>
      <c r="P4753" s="17">
        <f>32</f>
        <v/>
      </c>
      <c r="Q4753" s="17">
        <f>J4753+L4753+N4753+O4753-P4753-M4753</f>
        <v/>
      </c>
    </row>
    <row r="4754">
      <c r="A4754" s="16" t="inlineStr">
        <is>
          <t>5.8-5.14</t>
        </is>
      </c>
      <c r="B4754" s="16" t="inlineStr">
        <is>
          <t>PO-128-15540407122551098</t>
        </is>
      </c>
      <c r="C4754" s="16" t="inlineStr">
        <is>
          <t>Shipped</t>
        </is>
      </c>
      <c r="D4754" s="16" t="inlineStr">
        <is>
          <t>128-15540454308471098</t>
        </is>
      </c>
      <c r="E4754" s="16" t="inlineStr">
        <is>
          <t>Shipped</t>
        </is>
      </c>
      <c r="F4754" s="16" t="inlineStr">
        <is>
          <t>KTS-1678Y</t>
        </is>
      </c>
      <c r="G4754" s="16" t="inlineStr">
        <is>
          <t>Bocina portátil Inalámbrico, de 3 pulgadas, tamaño de bolsillo, 170 g, con asa, compatible con TF, USB y Micro SD, con radio FM y función TWS (True Wireless Stereo), adecuada para relajarse en casa o viajar al aire libre.</t>
        </is>
      </c>
      <c r="H4754" s="16" t="inlineStr">
        <is>
          <t>KTS-1678Y</t>
        </is>
      </c>
      <c r="I4754" s="16" t="n">
        <v>1</v>
      </c>
      <c r="J4754" s="17" t="n">
        <v>42.5</v>
      </c>
      <c r="K4754" s="17" t="n">
        <v>48.7</v>
      </c>
      <c r="L4754" s="17" t="n">
        <v>25.86</v>
      </c>
      <c r="M4754" s="17" t="n">
        <v>0</v>
      </c>
      <c r="N4754" s="17">
        <f>K4754*0.08+L4754*0.08</f>
        <v/>
      </c>
      <c r="O4754" s="17">
        <f>-(K4754*0.025+L4754*0.025)</f>
        <v/>
      </c>
      <c r="P4754" s="17">
        <f>32</f>
        <v/>
      </c>
      <c r="Q4754" s="17">
        <f>J4754+L4754+N4754+O4754-P4754-M4754</f>
        <v/>
      </c>
    </row>
    <row r="4755">
      <c r="A4755" s="16" t="inlineStr">
        <is>
          <t>5.8-5.14</t>
        </is>
      </c>
      <c r="B4755" s="16" t="inlineStr">
        <is>
          <t>PO-128-15620006810231584</t>
        </is>
      </c>
      <c r="C4755" s="16" t="inlineStr">
        <is>
          <t>Shipped</t>
        </is>
      </c>
      <c r="D4755" s="16" t="inlineStr">
        <is>
          <t>128-15620027781751584</t>
        </is>
      </c>
      <c r="E4755" s="16" t="inlineStr">
        <is>
          <t>Shipped</t>
        </is>
      </c>
      <c r="F4755" s="16" t="inlineStr">
        <is>
          <t>S39W48-5PZS</t>
        </is>
      </c>
      <c r="G4755"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755" s="16" t="inlineStr">
        <is>
          <t>5 piezas</t>
        </is>
      </c>
      <c r="I4755" s="16" t="n">
        <v>1</v>
      </c>
      <c r="J4755" s="17" t="n">
        <v>150</v>
      </c>
      <c r="K4755" s="17" t="n">
        <v>146.92</v>
      </c>
      <c r="L4755" s="17" t="n">
        <v>0</v>
      </c>
      <c r="M4755" s="17" t="n">
        <v>0</v>
      </c>
      <c r="N4755" s="17">
        <f>K4755*0.08+L4755*0.08</f>
        <v/>
      </c>
      <c r="O4755" s="17">
        <f>-(K4755*0.025+L4755*0.025)</f>
        <v/>
      </c>
      <c r="P4755" s="17">
        <f>32</f>
        <v/>
      </c>
      <c r="Q4755" s="17">
        <f>J4755+L4755+N4755+O4755-P4755-M4755</f>
        <v/>
      </c>
    </row>
    <row r="4756">
      <c r="A4756" s="16" t="inlineStr">
        <is>
          <t>5.8-5.14</t>
        </is>
      </c>
      <c r="B4756" s="16" t="inlineStr">
        <is>
          <t>PO-128-15620006810231584</t>
        </is>
      </c>
      <c r="C4756" s="16" t="inlineStr">
        <is>
          <t>Shipped</t>
        </is>
      </c>
      <c r="D4756" s="16" t="inlineStr">
        <is>
          <t>128-15619996324471584</t>
        </is>
      </c>
      <c r="E4756" s="16" t="inlineStr">
        <is>
          <t>Shipped</t>
        </is>
      </c>
      <c r="F4756" s="16" t="inlineStr">
        <is>
          <t>S58W60</t>
        </is>
      </c>
      <c r="G4756"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4756" s="16" t="inlineStr">
        <is>
          <t>1 pieza</t>
        </is>
      </c>
      <c r="I4756" s="16" t="n">
        <v>1</v>
      </c>
      <c r="J4756" s="17" t="n">
        <v>50</v>
      </c>
      <c r="K4756" s="17" t="n">
        <v>47.26</v>
      </c>
      <c r="L4756" s="17" t="n">
        <v>0</v>
      </c>
      <c r="M4756" s="17" t="n">
        <v>0</v>
      </c>
      <c r="N4756" s="17">
        <f>K4756*0.08+L4756*0.08</f>
        <v/>
      </c>
      <c r="O4756" s="17">
        <f>-(K4756*0.025+L4756*0.025)</f>
        <v/>
      </c>
      <c r="P4756" s="17">
        <f>32</f>
        <v/>
      </c>
      <c r="Q4756" s="17">
        <f>J4756+L4756+N4756+O4756-P4756-M4756</f>
        <v/>
      </c>
    </row>
    <row r="4757">
      <c r="A4757" s="16" t="inlineStr">
        <is>
          <t>5.8-5.14</t>
        </is>
      </c>
      <c r="B4757" s="16" t="inlineStr">
        <is>
          <t>PO-128-15781182792310753</t>
        </is>
      </c>
      <c r="C4757" s="16" t="inlineStr">
        <is>
          <t>Shipped</t>
        </is>
      </c>
      <c r="D4757" s="16" t="inlineStr">
        <is>
          <t>128-15781203763830753</t>
        </is>
      </c>
      <c r="E4757" s="16" t="inlineStr">
        <is>
          <t>Shipped</t>
        </is>
      </c>
      <c r="F4757" s="16" t="inlineStr">
        <is>
          <t>LV25W22</t>
        </is>
      </c>
      <c r="G475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57" s="16" t="inlineStr">
        <is>
          <t>LV25W32</t>
        </is>
      </c>
      <c r="I4757" s="16" t="n">
        <v>1</v>
      </c>
      <c r="J4757" s="17" t="n">
        <v>97</v>
      </c>
      <c r="K4757" s="17" t="n">
        <v>107.41</v>
      </c>
      <c r="L4757" s="17" t="n">
        <v>25.86</v>
      </c>
      <c r="M4757" s="17" t="n">
        <v>0</v>
      </c>
      <c r="N4757" s="17">
        <f>K4757*0.08+L4757*0.08</f>
        <v/>
      </c>
      <c r="O4757" s="17">
        <f>-(K4757*0.025+L4757*0.025)</f>
        <v/>
      </c>
      <c r="P4757" s="17">
        <f>32</f>
        <v/>
      </c>
      <c r="Q4757" s="17">
        <f>J4757+L4757+N4757+O4757-P4757-M4757</f>
        <v/>
      </c>
    </row>
    <row r="4758">
      <c r="A4758" s="16" t="inlineStr">
        <is>
          <t>5.8-5.14</t>
        </is>
      </c>
      <c r="B4758" s="16" t="inlineStr">
        <is>
          <t>PO-128-15685445857910170</t>
        </is>
      </c>
      <c r="C4758" s="16" t="inlineStr">
        <is>
          <t>Shipped</t>
        </is>
      </c>
      <c r="D4758" s="16" t="inlineStr">
        <is>
          <t>128-15685514015350170</t>
        </is>
      </c>
      <c r="E4758" s="16" t="inlineStr">
        <is>
          <t>Shipped</t>
        </is>
      </c>
      <c r="F4758" s="16" t="inlineStr">
        <is>
          <t>S39W48-5PZS</t>
        </is>
      </c>
      <c r="G4758"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758" s="16" t="inlineStr">
        <is>
          <t>5 piezas</t>
        </is>
      </c>
      <c r="I4758" s="16" t="n">
        <v>2</v>
      </c>
      <c r="J4758" s="17" t="n">
        <v>300</v>
      </c>
      <c r="K4758" s="17" t="n">
        <v>251.9</v>
      </c>
      <c r="L4758" s="17" t="n">
        <v>0</v>
      </c>
      <c r="M4758" s="17" t="n">
        <v>0</v>
      </c>
      <c r="N4758" s="17">
        <f>K4758*0.08+L4758*0.08</f>
        <v/>
      </c>
      <c r="O4758" s="17">
        <f>-(K4758*0.025+L4758*0.025)</f>
        <v/>
      </c>
      <c r="P4758" s="17">
        <f>32</f>
        <v/>
      </c>
      <c r="Q4758" s="17">
        <f>J4758+L4758+N4758+O4758-P4758-M4758</f>
        <v/>
      </c>
    </row>
    <row r="4759">
      <c r="A4759" s="16" t="inlineStr">
        <is>
          <t>5.8-5.14</t>
        </is>
      </c>
      <c r="B4759" s="16" t="inlineStr">
        <is>
          <t>PO-128-15357386302072063</t>
        </is>
      </c>
      <c r="C4759" s="16" t="inlineStr">
        <is>
          <t>Shipped</t>
        </is>
      </c>
      <c r="D4759" s="16" t="inlineStr">
        <is>
          <t>128-15357407273592063</t>
        </is>
      </c>
      <c r="E4759" s="16" t="inlineStr">
        <is>
          <t>Shipped</t>
        </is>
      </c>
      <c r="F4759" s="16" t="inlineStr">
        <is>
          <t>MCM-001G</t>
        </is>
      </c>
      <c r="G4759" s="16" t="inlineStr">
        <is>
          <t>Musicord Altavoz Inalámbrico BT Portátil: ¡Sonido impactante, luces LED multicolores y 4 horas de autonomía! Compatible con TWS, FM, TF y USB – Imprescindible para fiestas y viajes</t>
        </is>
      </c>
      <c r="H4759" s="16" t="inlineStr">
        <is>
          <t>GRIS</t>
        </is>
      </c>
      <c r="I4759" s="16" t="n">
        <v>1</v>
      </c>
      <c r="J4759" s="17" t="n">
        <v>51.07</v>
      </c>
      <c r="K4759" s="17" t="n">
        <v>62.34</v>
      </c>
      <c r="L4759" s="17" t="n">
        <v>25.86</v>
      </c>
      <c r="M4759" s="17" t="n">
        <v>0</v>
      </c>
      <c r="N4759" s="17">
        <f>K4759*0.08+L4759*0.08</f>
        <v/>
      </c>
      <c r="O4759" s="17">
        <f>-(K4759*0.025+L4759*0.025)</f>
        <v/>
      </c>
      <c r="P4759" s="17">
        <f>32</f>
        <v/>
      </c>
      <c r="Q4759" s="17">
        <f>J4759+L4759+N4759+O4759-P4759-M4759</f>
        <v/>
      </c>
    </row>
    <row r="4760">
      <c r="A4760" s="16" t="inlineStr">
        <is>
          <t>5.8-5.14</t>
        </is>
      </c>
      <c r="B4760" s="16" t="inlineStr">
        <is>
          <t>PO-128-15672370709110376</t>
        </is>
      </c>
      <c r="C4760" s="16" t="inlineStr">
        <is>
          <t>Shipped</t>
        </is>
      </c>
      <c r="D4760" s="16" t="inlineStr">
        <is>
          <t>128-15672423137910376</t>
        </is>
      </c>
      <c r="E4760" s="16" t="inlineStr">
        <is>
          <t>Shipped</t>
        </is>
      </c>
      <c r="F4760" s="16" t="inlineStr">
        <is>
          <t>LV25W22</t>
        </is>
      </c>
      <c r="G476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60" s="16" t="inlineStr">
        <is>
          <t>LV25W32</t>
        </is>
      </c>
      <c r="I4760" s="16" t="n">
        <v>1</v>
      </c>
      <c r="J4760" s="17" t="n">
        <v>97</v>
      </c>
      <c r="K4760" s="17" t="n">
        <v>107.41</v>
      </c>
      <c r="L4760" s="17" t="n">
        <v>25.86</v>
      </c>
      <c r="M4760" s="17" t="n">
        <v>0</v>
      </c>
      <c r="N4760" s="17">
        <f>K4760*0.08+L4760*0.08</f>
        <v/>
      </c>
      <c r="O4760" s="17">
        <f>-(K4760*0.025+L4760*0.025)</f>
        <v/>
      </c>
      <c r="P4760" s="17">
        <f>32</f>
        <v/>
      </c>
      <c r="Q4760" s="17">
        <f>J4760+L4760+N4760+O4760-P4760-M4760</f>
        <v/>
      </c>
    </row>
    <row r="4761">
      <c r="A4761" s="16" t="inlineStr">
        <is>
          <t>5.8-5.14</t>
        </is>
      </c>
      <c r="B4761" s="16" t="inlineStr">
        <is>
          <t>PO-128-15355332383352074</t>
        </is>
      </c>
      <c r="C4761" s="16" t="inlineStr">
        <is>
          <t>Shipped</t>
        </is>
      </c>
      <c r="D4761" s="16" t="inlineStr">
        <is>
          <t>128-15355248497272074</t>
        </is>
      </c>
      <c r="E4761" s="16" t="inlineStr">
        <is>
          <t>Shipped</t>
        </is>
      </c>
      <c r="F4761" s="16" t="inlineStr">
        <is>
          <t>LB02235-azul</t>
        </is>
      </c>
      <c r="G4761" s="16" t="inlineStr">
        <is>
          <t>Audífonos Inalámbricos para la Cabeza, Recargables y Multifuncionales - Conectan a Varios Dispositivos, soportan Radio FM, Tarjeta TF y AUX - 4 Horas de Reproducción Musical - Ideal para Trabajo Cotidiano, Juegos y Estudio</t>
        </is>
      </c>
      <c r="H4761" s="16" t="inlineStr">
        <is>
          <t>AZUL</t>
        </is>
      </c>
      <c r="I4761" s="16" t="n">
        <v>11</v>
      </c>
      <c r="J4761" s="17" t="n">
        <v>415.03</v>
      </c>
      <c r="K4761" s="17" t="n">
        <v>447.42</v>
      </c>
      <c r="L4761" s="17" t="n">
        <v>0</v>
      </c>
      <c r="M4761" s="17" t="n">
        <v>0</v>
      </c>
      <c r="N4761" s="17">
        <f>K4761*0.08+L4761*0.08</f>
        <v/>
      </c>
      <c r="O4761" s="17">
        <f>-(K4761*0.025+L4761*0.025)</f>
        <v/>
      </c>
      <c r="P4761" s="17">
        <f>32</f>
        <v/>
      </c>
      <c r="Q4761" s="17">
        <f>J4761+L4761+N4761+O4761-P4761-M4761</f>
        <v/>
      </c>
    </row>
    <row r="4762">
      <c r="A4762" s="16" t="inlineStr">
        <is>
          <t>5.8-5.14</t>
        </is>
      </c>
      <c r="B4762" s="16" t="inlineStr">
        <is>
          <t>PO-128-15355332383352074</t>
        </is>
      </c>
      <c r="C4762" s="16" t="inlineStr">
        <is>
          <t>Shipped</t>
        </is>
      </c>
      <c r="D4762" s="16" t="inlineStr">
        <is>
          <t>128-15355290440312074</t>
        </is>
      </c>
      <c r="E4762" s="16" t="inlineStr">
        <is>
          <t>Shipped</t>
        </is>
      </c>
      <c r="F4762" s="16" t="inlineStr">
        <is>
          <t>LB02235-rojo</t>
        </is>
      </c>
      <c r="G4762" s="16" t="inlineStr">
        <is>
          <t>Audífonos Inalámbricos para la Cabeza, Recargables y Multifuncionales - Conectan a Varios Dispositivos, soportan Radio FM, Tarjeta TF y AUX - 4 Horas de Reproducción Musical - Ideal para Trabajo Cotidiano, Juegos y Estudio</t>
        </is>
      </c>
      <c r="H4762" s="16" t="inlineStr">
        <is>
          <t>ROJO</t>
        </is>
      </c>
      <c r="I4762" s="16" t="n">
        <v>10</v>
      </c>
      <c r="J4762" s="17" t="n">
        <v>380</v>
      </c>
      <c r="K4762" s="17" t="n">
        <v>409</v>
      </c>
      <c r="L4762" s="17" t="n">
        <v>0</v>
      </c>
      <c r="M4762" s="17" t="n">
        <v>0</v>
      </c>
      <c r="N4762" s="17">
        <f>K4762*0.08+L4762*0.08</f>
        <v/>
      </c>
      <c r="O4762" s="17">
        <f>-(K4762*0.025+L4762*0.025)</f>
        <v/>
      </c>
      <c r="P4762" s="17">
        <f>32</f>
        <v/>
      </c>
      <c r="Q4762" s="17">
        <f>J4762+L4762+N4762+O4762-P4762-M4762</f>
        <v/>
      </c>
    </row>
    <row r="4763">
      <c r="A4763" s="16" t="inlineStr">
        <is>
          <t>5.8-5.14</t>
        </is>
      </c>
      <c r="B4763" s="16" t="inlineStr">
        <is>
          <t>PO-128-15355224627832074</t>
        </is>
      </c>
      <c r="C4763" s="16" t="inlineStr">
        <is>
          <t>Shipped</t>
        </is>
      </c>
      <c r="D4763" s="16" t="inlineStr">
        <is>
          <t>128-15355266570872074</t>
        </is>
      </c>
      <c r="E4763" s="16" t="inlineStr">
        <is>
          <t>Shipped</t>
        </is>
      </c>
      <c r="F4763" s="16" t="inlineStr">
        <is>
          <t>LB02235-rojo</t>
        </is>
      </c>
      <c r="G4763" s="16" t="inlineStr">
        <is>
          <t>Audífonos Inalámbricos para la Cabeza, Recargables y Multifuncionales - Conectan a Varios Dispositivos, soportan Radio FM, Tarjeta TF y AUX - 4 Horas de Reproducción Musical - Ideal para Trabajo Cotidiano, Juegos y Estudio</t>
        </is>
      </c>
      <c r="H4763" s="16" t="inlineStr">
        <is>
          <t>ROJO</t>
        </is>
      </c>
      <c r="I4763" s="16" t="n">
        <v>21</v>
      </c>
      <c r="J4763" s="17" t="n">
        <v>798</v>
      </c>
      <c r="K4763" s="17" t="n">
        <v>858.9</v>
      </c>
      <c r="L4763" s="17" t="n">
        <v>0</v>
      </c>
      <c r="M4763" s="17" t="n">
        <v>0</v>
      </c>
      <c r="N4763" s="17">
        <f>K4763*0.08+L4763*0.08</f>
        <v/>
      </c>
      <c r="O4763" s="17">
        <f>-(K4763*0.025+L4763*0.025)</f>
        <v/>
      </c>
      <c r="P4763" s="17">
        <f>32</f>
        <v/>
      </c>
      <c r="Q4763" s="17">
        <f>J4763+L4763+N4763+O4763-P4763-M4763</f>
        <v/>
      </c>
    </row>
    <row r="4764">
      <c r="A4764" s="16" t="inlineStr">
        <is>
          <t>5.8-5.14</t>
        </is>
      </c>
      <c r="B4764" s="16" t="inlineStr">
        <is>
          <t>PO-128-15537265019511119</t>
        </is>
      </c>
      <c r="C4764" s="16" t="inlineStr">
        <is>
          <t>Shipped</t>
        </is>
      </c>
      <c r="D4764" s="16" t="inlineStr">
        <is>
          <t>128-15537233562231119</t>
        </is>
      </c>
      <c r="E4764" s="16" t="inlineStr">
        <is>
          <t>Shipped</t>
        </is>
      </c>
      <c r="F4764" s="16" t="inlineStr">
        <is>
          <t>KTS-1943-N</t>
        </is>
      </c>
      <c r="G4764"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764" s="16" t="inlineStr">
        <is>
          <t>NEGRO</t>
        </is>
      </c>
      <c r="I4764" s="16" t="n">
        <v>1</v>
      </c>
      <c r="J4764" s="17" t="n">
        <v>67.5</v>
      </c>
      <c r="K4764" s="17" t="n">
        <v>62.34</v>
      </c>
      <c r="L4764" s="17" t="n">
        <v>25.86</v>
      </c>
      <c r="M4764" s="17" t="n">
        <v>0</v>
      </c>
      <c r="N4764" s="17">
        <f>K4764*0.08+L4764*0.08</f>
        <v/>
      </c>
      <c r="O4764" s="17">
        <f>-(K4764*0.025+L4764*0.025)</f>
        <v/>
      </c>
      <c r="P4764" s="17">
        <f>32</f>
        <v/>
      </c>
      <c r="Q4764" s="17">
        <f>J4764+L4764+N4764+O4764-P4764-M4764</f>
        <v/>
      </c>
    </row>
    <row r="4765">
      <c r="A4765" s="16" t="inlineStr">
        <is>
          <t>5.8-5.14</t>
        </is>
      </c>
      <c r="B4765" s="16" t="inlineStr">
        <is>
          <t>PO-128-15186494751353080</t>
        </is>
      </c>
      <c r="C4765" s="16" t="inlineStr">
        <is>
          <t>Shipped</t>
        </is>
      </c>
      <c r="D4765" s="16" t="inlineStr">
        <is>
          <t>128-15186547180153080</t>
        </is>
      </c>
      <c r="E4765" s="16" t="inlineStr">
        <is>
          <t>Shipped</t>
        </is>
      </c>
      <c r="F4765" s="16" t="inlineStr">
        <is>
          <t>SA325T</t>
        </is>
      </c>
      <c r="G4765" s="16" t="inlineStr">
        <is>
          <t>Subwoofer Portátil Inalámbrico con Luces RGB, Sonido de Alta Potencia y Batería Duradera, TWS TF USB, Perfecto para Campamento Fiestas y Entretenimiento en Casa</t>
        </is>
      </c>
      <c r="H4765" s="16" t="inlineStr">
        <is>
          <t>NEGRO</t>
        </is>
      </c>
      <c r="I4765" s="16" t="n">
        <v>1</v>
      </c>
      <c r="J4765" s="17" t="n">
        <v>38</v>
      </c>
      <c r="K4765" s="17" t="n">
        <v>47.06</v>
      </c>
      <c r="L4765" s="17" t="n">
        <v>25.86</v>
      </c>
      <c r="M4765" s="17" t="n">
        <v>0</v>
      </c>
      <c r="N4765" s="17">
        <f>K4765*0.08+L4765*0.08</f>
        <v/>
      </c>
      <c r="O4765" s="17">
        <f>-(K4765*0.025+L4765*0.025)</f>
        <v/>
      </c>
      <c r="P4765" s="17">
        <f>32</f>
        <v/>
      </c>
      <c r="Q4765" s="17">
        <f>J4765+L4765+N4765+O4765-P4765-M4765</f>
        <v/>
      </c>
    </row>
    <row r="4766">
      <c r="A4766" s="16" t="inlineStr">
        <is>
          <t>5.8-5.14</t>
        </is>
      </c>
      <c r="B4766" s="16" t="inlineStr">
        <is>
          <t>PO-128-15605165476471736</t>
        </is>
      </c>
      <c r="C4766" s="16" t="inlineStr">
        <is>
          <t>Shipped</t>
        </is>
      </c>
      <c r="D4766" s="16" t="inlineStr">
        <is>
          <t>128-15605317519991736</t>
        </is>
      </c>
      <c r="E4766" s="16" t="inlineStr">
        <is>
          <t>Shipped</t>
        </is>
      </c>
      <c r="F4766" s="16" t="inlineStr">
        <is>
          <t>LB02235-negro</t>
        </is>
      </c>
      <c r="G4766" s="16" t="inlineStr">
        <is>
          <t>Audífonos Inalámbricos para la Cabeza, Recargables y Multifuncionales - Conectan a Varios Dispositivos, soportan Radio FM, Tarjeta TF y AUX - 4 Horas de Reproducción Musical - Ideal para Trabajo Cotidiano, Juegos y Estudio</t>
        </is>
      </c>
      <c r="H4766" s="16" t="inlineStr">
        <is>
          <t>NEGRO</t>
        </is>
      </c>
      <c r="I4766" s="16" t="n">
        <v>1</v>
      </c>
      <c r="J4766" s="17" t="n">
        <v>45.31</v>
      </c>
      <c r="K4766" s="17" t="n">
        <v>15.32</v>
      </c>
      <c r="L4766" s="17" t="n">
        <v>25.86</v>
      </c>
      <c r="M4766" s="17" t="n">
        <v>0</v>
      </c>
      <c r="N4766" s="17">
        <f>K4766*0.08+L4766*0.08</f>
        <v/>
      </c>
      <c r="O4766" s="17">
        <f>-(K4766*0.025+L4766*0.025)</f>
        <v/>
      </c>
      <c r="P4766" s="17">
        <f>32</f>
        <v/>
      </c>
      <c r="Q4766" s="17">
        <f>J4766+L4766+N4766+O4766-P4766-M4766</f>
        <v/>
      </c>
    </row>
    <row r="4767">
      <c r="A4767" s="16" t="inlineStr">
        <is>
          <t>5.8-5.14</t>
        </is>
      </c>
      <c r="B4767" s="16" t="inlineStr">
        <is>
          <t>PO-128-15706431160950047</t>
        </is>
      </c>
      <c r="C4767" s="16" t="inlineStr">
        <is>
          <t>Shipped</t>
        </is>
      </c>
      <c r="D4767" s="16" t="inlineStr">
        <is>
          <t>128-15706452132470047</t>
        </is>
      </c>
      <c r="E4767" s="16" t="inlineStr">
        <is>
          <t>Shipped</t>
        </is>
      </c>
      <c r="F4767" s="16" t="inlineStr">
        <is>
          <t>SA323T</t>
        </is>
      </c>
      <c r="G4767" s="16" t="inlineStr">
        <is>
          <t>Linkbits Bocina Portátil Parlantes BT Portátiles con Iluminación de Ambiente | 1 Hora de Duración, FM, TWS, TF/Micro SD | Ideal para Hogar, Fiestas y Viajes</t>
        </is>
      </c>
      <c r="H4767" s="16" t="inlineStr">
        <is>
          <t>SA323T</t>
        </is>
      </c>
      <c r="I4767" s="16" t="n">
        <v>5</v>
      </c>
      <c r="J4767" s="17" t="n">
        <v>230</v>
      </c>
      <c r="K4767" s="17" t="n">
        <v>212.84</v>
      </c>
      <c r="L4767" s="17" t="n">
        <v>0</v>
      </c>
      <c r="M4767" s="17" t="n">
        <v>0</v>
      </c>
      <c r="N4767" s="17">
        <f>K4767*0.08+L4767*0.08</f>
        <v/>
      </c>
      <c r="O4767" s="17">
        <f>-(K4767*0.025+L4767*0.025)</f>
        <v/>
      </c>
      <c r="P4767" s="17">
        <f>32</f>
        <v/>
      </c>
      <c r="Q4767" s="17">
        <f>J4767+L4767+N4767+O4767-P4767-M4767</f>
        <v/>
      </c>
    </row>
    <row r="4768">
      <c r="A4768" s="16" t="inlineStr">
        <is>
          <t>5.8-5.14</t>
        </is>
      </c>
      <c r="B4768" s="16" t="inlineStr">
        <is>
          <t>PO-128-15577791416951836</t>
        </is>
      </c>
      <c r="C4768" s="16" t="inlineStr">
        <is>
          <t>Shipped</t>
        </is>
      </c>
      <c r="D4768" s="16" t="inlineStr">
        <is>
          <t>128-15577749473911836</t>
        </is>
      </c>
      <c r="E4768" s="16" t="inlineStr">
        <is>
          <t>Shipped</t>
        </is>
      </c>
      <c r="F4768" s="16" t="inlineStr">
        <is>
          <t>LV25W22</t>
        </is>
      </c>
      <c r="G47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68" s="16" t="inlineStr">
        <is>
          <t>LV25W32</t>
        </is>
      </c>
      <c r="I4768" s="16" t="n">
        <v>2</v>
      </c>
      <c r="J4768" s="17" t="n">
        <v>194</v>
      </c>
      <c r="K4768" s="17" t="n">
        <v>214.82</v>
      </c>
      <c r="L4768" s="17" t="n">
        <v>25.86</v>
      </c>
      <c r="M4768" s="17" t="n">
        <v>0</v>
      </c>
      <c r="N4768" s="17">
        <f>K4768*0.08+L4768*0.08</f>
        <v/>
      </c>
      <c r="O4768" s="17">
        <f>-(K4768*0.025+L4768*0.025)</f>
        <v/>
      </c>
      <c r="P4768" s="17">
        <f>32</f>
        <v/>
      </c>
      <c r="Q4768" s="17">
        <f>J4768+L4768+N4768+O4768-P4768-M4768</f>
        <v/>
      </c>
    </row>
    <row r="4769">
      <c r="A4769" s="16" t="inlineStr">
        <is>
          <t>5.8-5.14</t>
        </is>
      </c>
      <c r="B4769" s="16" t="inlineStr">
        <is>
          <t>PO-128-15691370230390201</t>
        </is>
      </c>
      <c r="C4769" s="16" t="inlineStr">
        <is>
          <t>Shipped</t>
        </is>
      </c>
      <c r="D4769" s="16" t="inlineStr">
        <is>
          <t>128-15691328287350201</t>
        </is>
      </c>
      <c r="E4769" s="16" t="inlineStr">
        <is>
          <t>Shipped</t>
        </is>
      </c>
      <c r="F4769" s="16" t="inlineStr">
        <is>
          <t>LV25W22</t>
        </is>
      </c>
      <c r="G47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69" s="16" t="inlineStr">
        <is>
          <t>LV25W32</t>
        </is>
      </c>
      <c r="I4769" s="16" t="n">
        <v>1</v>
      </c>
      <c r="J4769" s="17" t="n">
        <v>97</v>
      </c>
      <c r="K4769" s="17" t="n">
        <v>96.67</v>
      </c>
      <c r="L4769" s="17" t="n">
        <v>25.86</v>
      </c>
      <c r="M4769" s="17" t="n">
        <v>0</v>
      </c>
      <c r="N4769" s="17">
        <f>K4769*0.08+L4769*0.08</f>
        <v/>
      </c>
      <c r="O4769" s="17">
        <f>-(K4769*0.025+L4769*0.025)</f>
        <v/>
      </c>
      <c r="P4769" s="17">
        <f>32</f>
        <v/>
      </c>
      <c r="Q4769" s="17">
        <f>J4769+L4769+N4769+O4769-P4769-M4769</f>
        <v/>
      </c>
    </row>
    <row r="4770">
      <c r="A4770" s="16" t="inlineStr">
        <is>
          <t>5.8-5.14</t>
        </is>
      </c>
      <c r="B4770" s="16" t="inlineStr">
        <is>
          <t>PO-128-15456909312632684</t>
        </is>
      </c>
      <c r="C4770" s="16" t="inlineStr">
        <is>
          <t>Shipped</t>
        </is>
      </c>
      <c r="D4770" s="16" t="inlineStr">
        <is>
          <t>128-15456877855352684</t>
        </is>
      </c>
      <c r="E4770" s="16" t="inlineStr">
        <is>
          <t>Shipped</t>
        </is>
      </c>
      <c r="F4770" s="16" t="inlineStr">
        <is>
          <t>LB02235-azul</t>
        </is>
      </c>
      <c r="G4770" s="16" t="inlineStr">
        <is>
          <t>Audífonos Inalámbricos para la Cabeza, Recargables y Multifuncionales - Conectan a Varios Dispositivos, soportan Radio FM, Tarjeta TF y AUX - 4 Horas de Reproducción Musical - Ideal para Trabajo Cotidiano, Juegos y Estudio</t>
        </is>
      </c>
      <c r="H4770" s="16" t="inlineStr">
        <is>
          <t>AZUL</t>
        </is>
      </c>
      <c r="I4770" s="16" t="n">
        <v>1</v>
      </c>
      <c r="J4770" s="17" t="n">
        <v>37.73</v>
      </c>
      <c r="K4770" s="17" t="n">
        <v>50.84</v>
      </c>
      <c r="L4770" s="17" t="n">
        <v>25.86</v>
      </c>
      <c r="M4770" s="17" t="n">
        <v>0</v>
      </c>
      <c r="N4770" s="17">
        <f>K4770*0.08+L4770*0.08</f>
        <v/>
      </c>
      <c r="O4770" s="17">
        <f>-(K4770*0.025+L4770*0.025)</f>
        <v/>
      </c>
      <c r="P4770" s="17">
        <f>32</f>
        <v/>
      </c>
      <c r="Q4770" s="17">
        <f>J4770+L4770+N4770+O4770-P4770-M4770</f>
        <v/>
      </c>
    </row>
    <row r="4771">
      <c r="A4771" s="16" t="inlineStr">
        <is>
          <t>5.8-5.14</t>
        </is>
      </c>
      <c r="B4771" s="16" t="inlineStr">
        <is>
          <t>PO-128-15323074273912394</t>
        </is>
      </c>
      <c r="C4771" s="16" t="inlineStr">
        <is>
          <t>Shipped</t>
        </is>
      </c>
      <c r="D4771" s="16" t="inlineStr">
        <is>
          <t>128-15323095245432394</t>
        </is>
      </c>
      <c r="E4771" s="16" t="inlineStr">
        <is>
          <t>Shipped</t>
        </is>
      </c>
      <c r="F4771" s="16" t="inlineStr">
        <is>
          <t>LV25W22</t>
        </is>
      </c>
      <c r="G477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71" s="16" t="inlineStr">
        <is>
          <t>LV25W32</t>
        </is>
      </c>
      <c r="I4771" s="16" t="n">
        <v>1</v>
      </c>
      <c r="J4771" s="17" t="n">
        <v>97</v>
      </c>
      <c r="K4771" s="17" t="n">
        <v>107.41</v>
      </c>
      <c r="L4771" s="17" t="n">
        <v>25.86</v>
      </c>
      <c r="M4771" s="17" t="n">
        <v>0</v>
      </c>
      <c r="N4771" s="17">
        <f>K4771*0.08+L4771*0.08</f>
        <v/>
      </c>
      <c r="O4771" s="17">
        <f>-(K4771*0.025+L4771*0.025)</f>
        <v/>
      </c>
      <c r="P4771" s="17">
        <f>32</f>
        <v/>
      </c>
      <c r="Q4771" s="17">
        <f>J4771+L4771+N4771+O4771-P4771-M4771</f>
        <v/>
      </c>
    </row>
    <row r="4772">
      <c r="A4772" s="16" t="inlineStr">
        <is>
          <t>5.8-5.14</t>
        </is>
      </c>
      <c r="B4772" s="16" t="inlineStr">
        <is>
          <t>PO-128-15514106511991193</t>
        </is>
      </c>
      <c r="C4772" s="16" t="inlineStr">
        <is>
          <t>Shipped</t>
        </is>
      </c>
      <c r="D4772" s="16" t="inlineStr">
        <is>
          <t>128-15514088161911193</t>
        </is>
      </c>
      <c r="E4772" s="16" t="inlineStr">
        <is>
          <t>Shipped</t>
        </is>
      </c>
      <c r="F4772" s="16" t="inlineStr">
        <is>
          <t>LB02235-azul</t>
        </is>
      </c>
      <c r="G4772" s="16" t="inlineStr">
        <is>
          <t>Audífonos Inalámbricos para la Cabeza, Recargables y Multifuncionales - Conectan a Varios Dispositivos, soportan Radio FM, Tarjeta TF y AUX - 4 Horas de Reproducción Musical - Ideal para Trabajo Cotidiano, Juegos y Estudio</t>
        </is>
      </c>
      <c r="H4772" s="16" t="inlineStr">
        <is>
          <t>AZUL</t>
        </is>
      </c>
      <c r="I4772" s="16" t="n">
        <v>1</v>
      </c>
      <c r="J4772" s="17" t="n">
        <v>37.73</v>
      </c>
      <c r="K4772" s="17" t="n">
        <v>50.84</v>
      </c>
      <c r="L4772" s="17" t="n">
        <v>12.89</v>
      </c>
      <c r="M4772" s="17" t="n">
        <v>0</v>
      </c>
      <c r="N4772" s="17">
        <f>K4772*0.08+L4772*0.08</f>
        <v/>
      </c>
      <c r="O4772" s="17">
        <f>-(K4772*0.025+L4772*0.025)</f>
        <v/>
      </c>
      <c r="P4772" s="17">
        <f>32</f>
        <v/>
      </c>
      <c r="Q4772" s="17">
        <f>J4772+L4772+N4772+O4772-P4772-M4772</f>
        <v/>
      </c>
    </row>
    <row r="4773">
      <c r="A4773" s="16" t="inlineStr">
        <is>
          <t>5.8-5.14</t>
        </is>
      </c>
      <c r="B4773" s="16" t="inlineStr">
        <is>
          <t>PO-128-15514106511991193</t>
        </is>
      </c>
      <c r="C4773" s="16" t="inlineStr">
        <is>
          <t>Shipped</t>
        </is>
      </c>
      <c r="D4773" s="16" t="inlineStr">
        <is>
          <t>128-15514077676151193</t>
        </is>
      </c>
      <c r="E4773" s="16" t="inlineStr">
        <is>
          <t>Shipped</t>
        </is>
      </c>
      <c r="F4773" s="16" t="inlineStr">
        <is>
          <t>LB02235-rojo</t>
        </is>
      </c>
      <c r="G4773" s="16" t="inlineStr">
        <is>
          <t>Audífonos Inalámbricos para la Cabeza, Recargables y Multifuncionales - Conectan a Varios Dispositivos, soportan Radio FM, Tarjeta TF y AUX - 4 Horas de Reproducción Musical - Ideal para Trabajo Cotidiano, Juegos y Estudio</t>
        </is>
      </c>
      <c r="H4773" s="16" t="inlineStr">
        <is>
          <t>ROJO</t>
        </is>
      </c>
      <c r="I4773" s="16" t="n">
        <v>1</v>
      </c>
      <c r="J4773" s="17" t="n">
        <v>38</v>
      </c>
      <c r="K4773" s="17" t="n">
        <v>51.12</v>
      </c>
      <c r="L4773" s="17" t="n">
        <v>12.97</v>
      </c>
      <c r="M4773" s="17" t="n">
        <v>0</v>
      </c>
      <c r="N4773" s="17">
        <f>K4773*0.08+L4773*0.08</f>
        <v/>
      </c>
      <c r="O4773" s="17">
        <f>-(K4773*0.025+L4773*0.025)</f>
        <v/>
      </c>
      <c r="P4773" s="17">
        <f>32</f>
        <v/>
      </c>
      <c r="Q4773" s="17">
        <f>J4773+L4773+N4773+O4773-P4773-M4773</f>
        <v/>
      </c>
    </row>
    <row r="4774">
      <c r="A4774" s="16" t="inlineStr">
        <is>
          <t>5.8-5.14</t>
        </is>
      </c>
      <c r="B4774" s="16" t="inlineStr">
        <is>
          <t>PO-128-15770373325430688</t>
        </is>
      </c>
      <c r="C4774" s="16" t="inlineStr">
        <is>
          <t>Shipped</t>
        </is>
      </c>
      <c r="D4774" s="16" t="inlineStr">
        <is>
          <t>128-15770331382390688</t>
        </is>
      </c>
      <c r="E4774" s="16" t="inlineStr">
        <is>
          <t>Shipped</t>
        </is>
      </c>
      <c r="F4774" s="16" t="inlineStr">
        <is>
          <t>SA325T</t>
        </is>
      </c>
      <c r="G4774" s="16" t="inlineStr">
        <is>
          <t>Subwoofer Portátil Inalámbrico con Luces RGB, Sonido de Alta Potencia y Batería Duradera, TWS TF USB, Perfecto para Campamento Fiestas y Entretenimiento en Casa</t>
        </is>
      </c>
      <c r="H4774" s="16" t="inlineStr">
        <is>
          <t>NEGRO</t>
        </is>
      </c>
      <c r="I4774" s="16" t="n">
        <v>5</v>
      </c>
      <c r="J4774" s="17" t="n">
        <v>190</v>
      </c>
      <c r="K4774" s="17" t="n">
        <v>235.3</v>
      </c>
      <c r="L4774" s="17" t="n">
        <v>25.85</v>
      </c>
      <c r="M4774" s="17" t="n">
        <v>0</v>
      </c>
      <c r="N4774" s="17">
        <f>K4774*0.08+L4774*0.08</f>
        <v/>
      </c>
      <c r="O4774" s="17">
        <f>-(K4774*0.025+L4774*0.025)</f>
        <v/>
      </c>
      <c r="P4774" s="17">
        <f>32</f>
        <v/>
      </c>
      <c r="Q4774" s="17">
        <f>J4774+L4774+N4774+O4774-P4774-M4774</f>
        <v/>
      </c>
    </row>
    <row r="4775">
      <c r="A4775" s="16" t="inlineStr">
        <is>
          <t>5.8-5.14</t>
        </is>
      </c>
      <c r="B4775" s="16" t="inlineStr">
        <is>
          <t>PO-128-15152701645433411</t>
        </is>
      </c>
      <c r="C4775" s="16" t="inlineStr">
        <is>
          <t>Shipped</t>
        </is>
      </c>
      <c r="D4775" s="16" t="inlineStr">
        <is>
          <t>128-15152718684793411</t>
        </is>
      </c>
      <c r="E4775" s="16" t="inlineStr">
        <is>
          <t>Shipped</t>
        </is>
      </c>
      <c r="F4775" s="16" t="inlineStr">
        <is>
          <t>EM04W36-2PZS</t>
        </is>
      </c>
      <c r="G477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775" s="16" t="inlineStr">
        <is>
          <t>2 piezas</t>
        </is>
      </c>
      <c r="I4775" s="16" t="n">
        <v>1</v>
      </c>
      <c r="J4775" s="17" t="n">
        <v>135.2</v>
      </c>
      <c r="K4775" s="17" t="n">
        <v>172.67</v>
      </c>
      <c r="L4775" s="17" t="n">
        <v>25.86</v>
      </c>
      <c r="M4775" s="17" t="n">
        <v>0</v>
      </c>
      <c r="N4775" s="17">
        <f>K4775*0.08+L4775*0.08</f>
        <v/>
      </c>
      <c r="O4775" s="17">
        <f>-(K4775*0.025+L4775*0.025)</f>
        <v/>
      </c>
      <c r="P4775" s="17">
        <f>32</f>
        <v/>
      </c>
      <c r="Q4775" s="17">
        <f>J4775+L4775+N4775+O4775-P4775-M4775</f>
        <v/>
      </c>
    </row>
    <row r="4776">
      <c r="A4776" s="16" t="inlineStr">
        <is>
          <t>5.8-5.14</t>
        </is>
      </c>
      <c r="B4776" s="16" t="inlineStr">
        <is>
          <t>PO-128-15232069755513896</t>
        </is>
      </c>
      <c r="C4776" s="16" t="inlineStr">
        <is>
          <t>Shipped</t>
        </is>
      </c>
      <c r="D4776" s="16" t="inlineStr">
        <is>
          <t>128-15232059269753896</t>
        </is>
      </c>
      <c r="E4776" s="16" t="inlineStr">
        <is>
          <t>Shipped</t>
        </is>
      </c>
      <c r="F4776" s="16" t="inlineStr">
        <is>
          <t>LB02235-blanco</t>
        </is>
      </c>
      <c r="G4776" s="16" t="inlineStr">
        <is>
          <t>Audífonos Inalámbricos para la Cabeza, Recargables y Multifuncionales - Conectan a Varios Dispositivos, soportan Radio FM, Tarjeta TF y AUX - 4 Horas de Reproducción Musical - Ideal para Trabajo Cotidiano, Juegos y Estudio</t>
        </is>
      </c>
      <c r="H4776" s="16" t="inlineStr">
        <is>
          <t>BLANCO</t>
        </is>
      </c>
      <c r="I4776" s="16" t="n">
        <v>1</v>
      </c>
      <c r="J4776" s="17" t="n">
        <v>45.31</v>
      </c>
      <c r="K4776" s="17" t="n">
        <v>58.42</v>
      </c>
      <c r="L4776" s="17" t="n">
        <v>25.86</v>
      </c>
      <c r="M4776" s="17" t="n">
        <v>0</v>
      </c>
      <c r="N4776" s="17">
        <f>K4776*0.08+L4776*0.08</f>
        <v/>
      </c>
      <c r="O4776" s="17">
        <f>-(K4776*0.025+L4776*0.025)</f>
        <v/>
      </c>
      <c r="P4776" s="17">
        <f>32</f>
        <v/>
      </c>
      <c r="Q4776" s="17">
        <f>J4776+L4776+N4776+O4776-P4776-M4776</f>
        <v/>
      </c>
    </row>
    <row r="4777">
      <c r="A4777" s="16" t="inlineStr">
        <is>
          <t>5.8-5.14</t>
        </is>
      </c>
      <c r="B4777" s="16" t="inlineStr">
        <is>
          <t>PO-128-15269928510073609</t>
        </is>
      </c>
      <c r="C4777" s="16" t="inlineStr">
        <is>
          <t>Shipped</t>
        </is>
      </c>
      <c r="D4777" s="16" t="inlineStr">
        <is>
          <t>128-15269886567033609</t>
        </is>
      </c>
      <c r="E4777" s="16" t="inlineStr">
        <is>
          <t>Shipped</t>
        </is>
      </c>
      <c r="F4777" s="16" t="inlineStr">
        <is>
          <t>LB02235-rojo</t>
        </is>
      </c>
      <c r="G4777" s="16" t="inlineStr">
        <is>
          <t>Audífonos Inalámbricos para la Cabeza, Recargables y Multifuncionales - Conectan a Varios Dispositivos, soportan Radio FM, Tarjeta TF y AUX - 4 Horas de Reproducción Musical - Ideal para Trabajo Cotidiano, Juegos y Estudio</t>
        </is>
      </c>
      <c r="H4777" s="16" t="inlineStr">
        <is>
          <t>ROJO</t>
        </is>
      </c>
      <c r="I4777" s="16" t="n">
        <v>1</v>
      </c>
      <c r="J4777" s="17" t="n">
        <v>38</v>
      </c>
      <c r="K4777" s="17" t="n">
        <v>51.12</v>
      </c>
      <c r="L4777" s="17" t="n">
        <v>25.86</v>
      </c>
      <c r="M4777" s="17" t="n">
        <v>0</v>
      </c>
      <c r="N4777" s="17">
        <f>K4777*0.08+L4777*0.08</f>
        <v/>
      </c>
      <c r="O4777" s="17">
        <f>-(K4777*0.025+L4777*0.025)</f>
        <v/>
      </c>
      <c r="P4777" s="17">
        <f>32</f>
        <v/>
      </c>
      <c r="Q4777" s="17">
        <f>J4777+L4777+N4777+O4777-P4777-M4777</f>
        <v/>
      </c>
    </row>
    <row r="4778">
      <c r="A4778" s="16" t="inlineStr">
        <is>
          <t>5.8-5.14</t>
        </is>
      </c>
      <c r="B4778" s="16" t="inlineStr">
        <is>
          <t>PO-128-15222481879674083</t>
        </is>
      </c>
      <c r="C4778" s="16" t="inlineStr">
        <is>
          <t>Shipped</t>
        </is>
      </c>
      <c r="D4778" s="16" t="inlineStr">
        <is>
          <t>128-15222618194554083</t>
        </is>
      </c>
      <c r="E4778" s="16" t="inlineStr">
        <is>
          <t>Shipped</t>
        </is>
      </c>
      <c r="F4778" s="16" t="inlineStr">
        <is>
          <t>LV25W22</t>
        </is>
      </c>
      <c r="G47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78" s="16" t="inlineStr">
        <is>
          <t>LV25W32</t>
        </is>
      </c>
      <c r="I4778" s="16" t="n">
        <v>1</v>
      </c>
      <c r="J4778" s="17" t="n">
        <v>97</v>
      </c>
      <c r="K4778" s="17" t="n">
        <v>107.41</v>
      </c>
      <c r="L4778" s="17" t="n">
        <v>25.86</v>
      </c>
      <c r="M4778" s="17" t="n">
        <v>0</v>
      </c>
      <c r="N4778" s="17">
        <f>K4778*0.08+L4778*0.08</f>
        <v/>
      </c>
      <c r="O4778" s="17">
        <f>-(K4778*0.025+L4778*0.025)</f>
        <v/>
      </c>
      <c r="P4778" s="17">
        <f>32</f>
        <v/>
      </c>
      <c r="Q4778" s="17">
        <f>J4778+L4778+N4778+O4778-P4778-M4778</f>
        <v/>
      </c>
    </row>
    <row r="4779">
      <c r="A4779" s="16" t="inlineStr">
        <is>
          <t>5.8-5.14</t>
        </is>
      </c>
      <c r="B4779" s="16" t="inlineStr">
        <is>
          <t>PO-128-15487226348151289</t>
        </is>
      </c>
      <c r="C4779" s="16" t="inlineStr">
        <is>
          <t>Shipped</t>
        </is>
      </c>
      <c r="D4779" s="16" t="inlineStr">
        <is>
          <t>128-15487362663031289</t>
        </is>
      </c>
      <c r="E4779" s="16" t="inlineStr">
        <is>
          <t>Shipped</t>
        </is>
      </c>
      <c r="F4779" s="16" t="inlineStr">
        <is>
          <t>MCM-001R</t>
        </is>
      </c>
      <c r="G4779" s="16" t="inlineStr">
        <is>
          <t>Musicord Altavoz Inalámbrico BT Portátil: ¡Sonido impactante, luces LED multicolores y 4 horas de autonomía! Compatible con TWS, FM, TF y USB – Imprescindible para fiestas y viajes</t>
        </is>
      </c>
      <c r="H4779" s="16" t="inlineStr">
        <is>
          <t>ROJO</t>
        </is>
      </c>
      <c r="I4779" s="16" t="n">
        <v>1</v>
      </c>
      <c r="J4779" s="17" t="n">
        <v>66.5</v>
      </c>
      <c r="K4779" s="17" t="n">
        <v>34.67</v>
      </c>
      <c r="L4779" s="17" t="n">
        <v>25.86</v>
      </c>
      <c r="M4779" s="17" t="n">
        <v>0</v>
      </c>
      <c r="N4779" s="17">
        <f>K4779*0.08+L4779*0.08</f>
        <v/>
      </c>
      <c r="O4779" s="17">
        <f>-(K4779*0.025+L4779*0.025)</f>
        <v/>
      </c>
      <c r="P4779" s="17">
        <f>32</f>
        <v/>
      </c>
      <c r="Q4779" s="17">
        <f>J4779+L4779+N4779+O4779-P4779-M4779</f>
        <v/>
      </c>
    </row>
    <row r="4780">
      <c r="A4780" s="16" t="inlineStr">
        <is>
          <t>5.8-5.14</t>
        </is>
      </c>
      <c r="B4780" s="16" t="inlineStr">
        <is>
          <t>PO-128-04417872981112882</t>
        </is>
      </c>
      <c r="C4780" s="16" t="inlineStr">
        <is>
          <t>Shipped</t>
        </is>
      </c>
      <c r="D4780" s="16" t="inlineStr">
        <is>
          <t>128-04417925409912882</t>
        </is>
      </c>
      <c r="E4780" s="16" t="inlineStr">
        <is>
          <t>Shipped</t>
        </is>
      </c>
      <c r="F4780" s="16" t="inlineStr">
        <is>
          <t>VB347T</t>
        </is>
      </c>
      <c r="G478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80" s="16" t="inlineStr">
        <is>
          <t>1 pieza</t>
        </is>
      </c>
      <c r="I4780" s="16" t="n">
        <v>5</v>
      </c>
      <c r="J4780" s="17" t="n">
        <v>399.5</v>
      </c>
      <c r="K4780" s="17" t="n">
        <v>378.02</v>
      </c>
      <c r="L4780" s="17" t="n">
        <v>0</v>
      </c>
      <c r="M4780" s="17" t="n">
        <v>0</v>
      </c>
      <c r="N4780" s="17">
        <f>K4780*0.08+L4780*0.08</f>
        <v/>
      </c>
      <c r="O4780" s="17">
        <f>-(K4780*0.025+L4780*0.025)</f>
        <v/>
      </c>
      <c r="P4780" s="17">
        <f>32</f>
        <v/>
      </c>
      <c r="Q4780" s="17">
        <f>J4780+L4780+N4780+O4780-P4780-M4780</f>
        <v/>
      </c>
    </row>
    <row r="4781">
      <c r="A4781" s="16" t="inlineStr">
        <is>
          <t>5.8-5.14</t>
        </is>
      </c>
      <c r="B4781" s="16" t="inlineStr">
        <is>
          <t>PO-128-04447724649592576</t>
        </is>
      </c>
      <c r="C4781" s="16" t="inlineStr">
        <is>
          <t>Shipped</t>
        </is>
      </c>
      <c r="D4781" s="16" t="inlineStr">
        <is>
          <t>128-04447701711992576</t>
        </is>
      </c>
      <c r="E4781" s="16" t="inlineStr">
        <is>
          <t>Shipped</t>
        </is>
      </c>
      <c r="F4781" s="16" t="inlineStr">
        <is>
          <t>LV25W22</t>
        </is>
      </c>
      <c r="G478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81" s="16" t="inlineStr">
        <is>
          <t>LV25W32</t>
        </is>
      </c>
      <c r="I4781" s="16" t="n">
        <v>1</v>
      </c>
      <c r="J4781" s="17" t="n">
        <v>97</v>
      </c>
      <c r="K4781" s="17" t="n">
        <v>87.64</v>
      </c>
      <c r="L4781" s="17" t="n">
        <v>25.86</v>
      </c>
      <c r="M4781" s="17" t="n">
        <v>0</v>
      </c>
      <c r="N4781" s="17">
        <f>K4781*0.08+L4781*0.08</f>
        <v/>
      </c>
      <c r="O4781" s="17">
        <f>-(K4781*0.025+L4781*0.025)</f>
        <v/>
      </c>
      <c r="P4781" s="17">
        <f>32</f>
        <v/>
      </c>
      <c r="Q4781" s="17">
        <f>J4781+L4781+N4781+O4781-P4781-M4781</f>
        <v/>
      </c>
    </row>
    <row r="4782">
      <c r="A4782" s="16" t="inlineStr">
        <is>
          <t>5.8-5.14</t>
        </is>
      </c>
      <c r="B4782" s="16" t="inlineStr">
        <is>
          <t>PO-128-04246900503673967</t>
        </is>
      </c>
      <c r="C4782" s="16" t="inlineStr">
        <is>
          <t>Shipped</t>
        </is>
      </c>
      <c r="D4782" s="16" t="inlineStr">
        <is>
          <t>128-04246879532153967</t>
        </is>
      </c>
      <c r="E4782" s="16" t="inlineStr">
        <is>
          <t>Shipped</t>
        </is>
      </c>
      <c r="F4782" s="16" t="inlineStr">
        <is>
          <t>MB-178-N</t>
        </is>
      </c>
      <c r="G4782" s="16" t="inlineStr">
        <is>
          <t>Bocina de Barra Bluetooth LINK BITS con dos altavoces, sonido de alta calidad y multifuncional (Bluetooth, Radio FM, USB, TF, AUX, TWS), ideal para juegos, reuniones, oficina y cine en casa.</t>
        </is>
      </c>
      <c r="H4782" s="16" t="inlineStr">
        <is>
          <t>NEGRO</t>
        </is>
      </c>
      <c r="I4782" s="16" t="n">
        <v>1</v>
      </c>
      <c r="J4782" s="17" t="n">
        <v>135</v>
      </c>
      <c r="K4782" s="17" t="n">
        <v>154.33</v>
      </c>
      <c r="L4782" s="17" t="n">
        <v>25.86</v>
      </c>
      <c r="M4782" s="17" t="n">
        <v>0</v>
      </c>
      <c r="N4782" s="17">
        <f>K4782*0.08+L4782*0.08</f>
        <v/>
      </c>
      <c r="O4782" s="17">
        <f>-(K4782*0.025+L4782*0.025)</f>
        <v/>
      </c>
      <c r="P4782" s="17">
        <f>32</f>
        <v/>
      </c>
      <c r="Q4782" s="17">
        <f>J4782+L4782+N4782+O4782-P4782-M4782</f>
        <v/>
      </c>
    </row>
    <row r="4783">
      <c r="A4783" s="16" t="inlineStr">
        <is>
          <t>5.8-5.14</t>
        </is>
      </c>
      <c r="B4783" s="16" t="inlineStr">
        <is>
          <t>PO-128-04305831867512526</t>
        </is>
      </c>
      <c r="C4783" s="16" t="inlineStr">
        <is>
          <t>Shipped</t>
        </is>
      </c>
      <c r="D4783" s="16" t="inlineStr">
        <is>
          <t>128-04305869878392526</t>
        </is>
      </c>
      <c r="E4783" s="16" t="inlineStr">
        <is>
          <t>Shipped</t>
        </is>
      </c>
      <c r="F4783" s="16" t="inlineStr">
        <is>
          <t>MB-185N</t>
        </is>
      </c>
      <c r="G4783" s="16" t="inlineStr">
        <is>
          <t>Bocina Radio FM/Reproductor, Compatible con Tarjeta TF, USB, Bluetooth, Aplicable para celular, computadora, Ipad y consola.</t>
        </is>
      </c>
      <c r="H4783" s="16" t="inlineStr">
        <is>
          <t>NEGRO/MB-185</t>
        </is>
      </c>
      <c r="I4783" s="16" t="n">
        <v>1</v>
      </c>
      <c r="J4783" s="17" t="n">
        <v>75.5</v>
      </c>
      <c r="K4783" s="17" t="n">
        <v>88.45999999999999</v>
      </c>
      <c r="L4783" s="17" t="n">
        <v>25.86</v>
      </c>
      <c r="M4783" s="17" t="n">
        <v>0</v>
      </c>
      <c r="N4783" s="17">
        <f>K4783*0.08+L4783*0.08</f>
        <v/>
      </c>
      <c r="O4783" s="17">
        <f>-(K4783*0.025+L4783*0.025)</f>
        <v/>
      </c>
      <c r="P4783" s="17">
        <f>32</f>
        <v/>
      </c>
      <c r="Q4783" s="17">
        <f>J4783+L4783+N4783+O4783-P4783-M4783</f>
        <v/>
      </c>
    </row>
    <row r="4784">
      <c r="A4784" s="16" t="inlineStr">
        <is>
          <t>5.8-5.14</t>
        </is>
      </c>
      <c r="B4784" s="16" t="inlineStr">
        <is>
          <t>PO-128-04568698780791985</t>
        </is>
      </c>
      <c r="C4784" s="16" t="inlineStr">
        <is>
          <t>Shipped</t>
        </is>
      </c>
      <c r="D4784" s="16" t="inlineStr">
        <is>
          <t>128-04568646351991985</t>
        </is>
      </c>
      <c r="E4784" s="16" t="inlineStr">
        <is>
          <t>Shipped</t>
        </is>
      </c>
      <c r="F4784" s="16" t="inlineStr">
        <is>
          <t>SA323T</t>
        </is>
      </c>
      <c r="G4784" s="16" t="inlineStr">
        <is>
          <t>Linkbits Bocina Portátil Parlantes BT Portátiles con Iluminación de Ambiente | 1 Hora de Duración, FM, TWS, TF/Micro SD | Ideal para Hogar, Fiestas y Viajes</t>
        </is>
      </c>
      <c r="H4784" s="16" t="inlineStr">
        <is>
          <t>SA323T</t>
        </is>
      </c>
      <c r="I4784" s="16" t="n">
        <v>1</v>
      </c>
      <c r="J4784" s="17" t="n">
        <v>46</v>
      </c>
      <c r="K4784" s="17" t="n">
        <v>55.04</v>
      </c>
      <c r="L4784" s="17" t="n">
        <v>25.86</v>
      </c>
      <c r="M4784" s="17" t="n">
        <v>0</v>
      </c>
      <c r="N4784" s="17">
        <f>K4784*0.08+L4784*0.08</f>
        <v/>
      </c>
      <c r="O4784" s="17">
        <f>-(K4784*0.025+L4784*0.025)</f>
        <v/>
      </c>
      <c r="P4784" s="17">
        <f>32</f>
        <v/>
      </c>
      <c r="Q4784" s="17">
        <f>J4784+L4784+N4784+O4784-P4784-M4784</f>
        <v/>
      </c>
    </row>
    <row r="4785">
      <c r="A4785" s="16" t="inlineStr">
        <is>
          <t>5.8-5.14</t>
        </is>
      </c>
      <c r="B4785" s="16" t="inlineStr">
        <is>
          <t>PO-128-04432913042552728</t>
        </is>
      </c>
      <c r="C4785" s="16" t="inlineStr">
        <is>
          <t>Shipped</t>
        </is>
      </c>
      <c r="D4785" s="16" t="inlineStr">
        <is>
          <t>128-04432881585272728</t>
        </is>
      </c>
      <c r="E4785" s="16" t="inlineStr">
        <is>
          <t>Shipped</t>
        </is>
      </c>
      <c r="F4785" s="16" t="inlineStr">
        <is>
          <t>MB-185R</t>
        </is>
      </c>
      <c r="G4785" s="16" t="inlineStr">
        <is>
          <t>Bocina Radio FM/Reproductor, Compatible con Tarjeta TF, USB, Bluetooth, Aplicable para celular, computadora, Ipad y consola.</t>
        </is>
      </c>
      <c r="H4785" s="16" t="inlineStr">
        <is>
          <t>ROJO/MB-185</t>
        </is>
      </c>
      <c r="I4785" s="16" t="n">
        <v>1</v>
      </c>
      <c r="J4785" s="17" t="n">
        <v>75.59999999999999</v>
      </c>
      <c r="K4785" s="17" t="n">
        <v>88.55</v>
      </c>
      <c r="L4785" s="17" t="n">
        <v>25.86</v>
      </c>
      <c r="M4785" s="17" t="n">
        <v>0</v>
      </c>
      <c r="N4785" s="17">
        <f>K4785*0.08+L4785*0.08</f>
        <v/>
      </c>
      <c r="O4785" s="17">
        <f>-(K4785*0.025+L4785*0.025)</f>
        <v/>
      </c>
      <c r="P4785" s="17">
        <f>32</f>
        <v/>
      </c>
      <c r="Q4785" s="17">
        <f>J4785+L4785+N4785+O4785-P4785-M4785</f>
        <v/>
      </c>
    </row>
    <row r="4786">
      <c r="A4786" s="16" t="inlineStr">
        <is>
          <t>5.8-5.14</t>
        </is>
      </c>
      <c r="B4786" s="16" t="inlineStr">
        <is>
          <t>PO-128-04497209063031323</t>
        </is>
      </c>
      <c r="C4786" s="16" t="inlineStr">
        <is>
          <t>Shipped</t>
        </is>
      </c>
      <c r="D4786" s="16" t="inlineStr">
        <is>
          <t>128-04497251006071323</t>
        </is>
      </c>
      <c r="E4786" s="16" t="inlineStr">
        <is>
          <t>Shipped</t>
        </is>
      </c>
      <c r="F4786" s="16" t="inlineStr">
        <is>
          <t>MCM-001G</t>
        </is>
      </c>
      <c r="G4786" s="16" t="inlineStr">
        <is>
          <t>Musicord Altavoz Inalámbrico BT Portátil: ¡Sonido impactante, luces LED multicolores y 4 horas de autonomía! Compatible con TWS, FM, TF y USB – Imprescindible para fiestas y viajes</t>
        </is>
      </c>
      <c r="H4786" s="16" t="inlineStr">
        <is>
          <t>GRIS</t>
        </is>
      </c>
      <c r="I4786" s="16" t="n">
        <v>1</v>
      </c>
      <c r="J4786" s="17" t="n">
        <v>51.07</v>
      </c>
      <c r="K4786" s="17" t="n">
        <v>8.890000000000001</v>
      </c>
      <c r="L4786" s="17" t="n">
        <v>25.86</v>
      </c>
      <c r="M4786" s="17" t="n">
        <v>0</v>
      </c>
      <c r="N4786" s="17">
        <f>K4786*0.08+L4786*0.08</f>
        <v/>
      </c>
      <c r="O4786" s="17">
        <f>-(K4786*0.025+L4786*0.025)</f>
        <v/>
      </c>
      <c r="P4786" s="17">
        <f>32</f>
        <v/>
      </c>
      <c r="Q4786" s="17">
        <f>J4786+L4786+N4786+O4786-P4786-M4786</f>
        <v/>
      </c>
    </row>
    <row r="4787">
      <c r="A4787" s="16" t="inlineStr">
        <is>
          <t>5.8-5.14</t>
        </is>
      </c>
      <c r="B4787" s="16" t="inlineStr">
        <is>
          <t>PO-128-04450363930232560</t>
        </is>
      </c>
      <c r="C4787" s="16" t="inlineStr">
        <is>
          <t>Shipped</t>
        </is>
      </c>
      <c r="D4787" s="16" t="inlineStr">
        <is>
          <t>128-04450342958712560</t>
        </is>
      </c>
      <c r="E4787" s="16" t="inlineStr">
        <is>
          <t>Shipped</t>
        </is>
      </c>
      <c r="F4787" s="16" t="inlineStr">
        <is>
          <t>FA028</t>
        </is>
      </c>
      <c r="G4787" s="16" t="inlineStr">
        <is>
          <t>Extractor de agua para garrafas de agua, compatible con carga USB, extractor de agua automático, práctico, con dos modos de toma de agua: manual y programado, ideal para dormitorios, salones, oficinas, uso al aire libre y otros escenarios.</t>
        </is>
      </c>
      <c r="H4787" s="16" t="inlineStr">
        <is>
          <t>FA028</t>
        </is>
      </c>
      <c r="I4787" s="16" t="n">
        <v>1</v>
      </c>
      <c r="J4787" s="17" t="n">
        <v>33</v>
      </c>
      <c r="K4787" s="17" t="n">
        <v>42.58</v>
      </c>
      <c r="L4787" s="17" t="n">
        <v>25.86</v>
      </c>
      <c r="M4787" s="17" t="n">
        <v>0</v>
      </c>
      <c r="N4787" s="17">
        <f>K4787*0.08+L4787*0.08</f>
        <v/>
      </c>
      <c r="O4787" s="17">
        <f>-(K4787*0.025+L4787*0.025)</f>
        <v/>
      </c>
      <c r="P4787" s="17">
        <f>32</f>
        <v/>
      </c>
      <c r="Q4787" s="17">
        <f>J4787+L4787+N4787+O4787-P4787-M4787</f>
        <v/>
      </c>
    </row>
    <row r="4788">
      <c r="A4788" s="16" t="inlineStr">
        <is>
          <t>5.8-5.14</t>
        </is>
      </c>
      <c r="B4788" s="16" t="inlineStr">
        <is>
          <t>PO-128-04805425298550636</t>
        </is>
      </c>
      <c r="C4788" s="16" t="inlineStr">
        <is>
          <t>Shipped</t>
        </is>
      </c>
      <c r="D4788" s="16" t="inlineStr">
        <is>
          <t>128-04805372869750636</t>
        </is>
      </c>
      <c r="E4788" s="16" t="inlineStr">
        <is>
          <t>Shipped</t>
        </is>
      </c>
      <c r="F4788" s="16" t="inlineStr">
        <is>
          <t>LV25W22</t>
        </is>
      </c>
      <c r="G47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88" s="16" t="inlineStr">
        <is>
          <t>LV25W32</t>
        </is>
      </c>
      <c r="I4788" s="16" t="n">
        <v>1</v>
      </c>
      <c r="J4788" s="17" t="n">
        <v>97</v>
      </c>
      <c r="K4788" s="17" t="n">
        <v>85.93000000000001</v>
      </c>
      <c r="L4788" s="17" t="n">
        <v>25.86</v>
      </c>
      <c r="M4788" s="17" t="n">
        <v>0</v>
      </c>
      <c r="N4788" s="17">
        <f>K4788*0.08+L4788*0.08</f>
        <v/>
      </c>
      <c r="O4788" s="17">
        <f>-(K4788*0.025+L4788*0.025)</f>
        <v/>
      </c>
      <c r="P4788" s="17">
        <f>32</f>
        <v/>
      </c>
      <c r="Q4788" s="17">
        <f>J4788+L4788+N4788+O4788-P4788-M4788</f>
        <v/>
      </c>
    </row>
    <row r="4789">
      <c r="A4789" s="16" t="inlineStr">
        <is>
          <t>5.8-5.14</t>
        </is>
      </c>
      <c r="B4789" s="16" t="inlineStr">
        <is>
          <t>PO-128-04691424999030165</t>
        </is>
      </c>
      <c r="C4789" s="16" t="inlineStr">
        <is>
          <t>Shipped</t>
        </is>
      </c>
      <c r="D4789" s="16" t="inlineStr">
        <is>
          <t>128-04691561313910165</t>
        </is>
      </c>
      <c r="E4789" s="16" t="inlineStr">
        <is>
          <t>Shipped</t>
        </is>
      </c>
      <c r="F4789" s="16" t="inlineStr">
        <is>
          <t>SA8056T</t>
        </is>
      </c>
      <c r="G478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789" s="16" t="inlineStr">
        <is>
          <t>SA8056T</t>
        </is>
      </c>
      <c r="I4789" s="16" t="n">
        <v>1</v>
      </c>
      <c r="J4789" s="17" t="n">
        <v>123.9</v>
      </c>
      <c r="K4789" s="17" t="n">
        <v>61.52</v>
      </c>
      <c r="L4789" s="17" t="n">
        <v>25.86</v>
      </c>
      <c r="M4789" s="17" t="n">
        <v>0</v>
      </c>
      <c r="N4789" s="17">
        <f>K4789*0.08+L4789*0.08</f>
        <v/>
      </c>
      <c r="O4789" s="17">
        <f>-(K4789*0.025+L4789*0.025)</f>
        <v/>
      </c>
      <c r="P4789" s="17">
        <f>32</f>
        <v/>
      </c>
      <c r="Q4789" s="17">
        <f>J4789+L4789+N4789+O4789-P4789-M4789</f>
        <v/>
      </c>
    </row>
    <row r="4790">
      <c r="A4790" s="16" t="inlineStr">
        <is>
          <t>5.8-5.14</t>
        </is>
      </c>
      <c r="B4790" s="16" t="inlineStr">
        <is>
          <t>PO-128-04778625569910732</t>
        </is>
      </c>
      <c r="C4790" s="16" t="inlineStr">
        <is>
          <t>Shipped</t>
        </is>
      </c>
      <c r="D4790" s="16" t="inlineStr">
        <is>
          <t>128-04778583626870732</t>
        </is>
      </c>
      <c r="E4790" s="16" t="inlineStr">
        <is>
          <t>Shipped</t>
        </is>
      </c>
      <c r="F4790" s="16" t="inlineStr">
        <is>
          <t>SA325T</t>
        </is>
      </c>
      <c r="G4790" s="16" t="inlineStr">
        <is>
          <t>Subwoofer Portátil Inalámbrico con Luces RGB, Sonido de Alta Potencia y Batería Duradera, TWS TF USB, Perfecto para Campamento Fiestas y Entretenimiento en Casa</t>
        </is>
      </c>
      <c r="H4790" s="16" t="inlineStr">
        <is>
          <t>NEGRO</t>
        </is>
      </c>
      <c r="I4790" s="16" t="n">
        <v>1</v>
      </c>
      <c r="J4790" s="17" t="n">
        <v>38</v>
      </c>
      <c r="K4790" s="17" t="n">
        <v>47.06</v>
      </c>
      <c r="L4790" s="17" t="n">
        <v>25.86</v>
      </c>
      <c r="M4790" s="17" t="n">
        <v>0</v>
      </c>
      <c r="N4790" s="17">
        <f>K4790*0.08+L4790*0.08</f>
        <v/>
      </c>
      <c r="O4790" s="17">
        <f>-(K4790*0.025+L4790*0.025)</f>
        <v/>
      </c>
      <c r="P4790" s="17">
        <f>32</f>
        <v/>
      </c>
      <c r="Q4790" s="17">
        <f>J4790+L4790+N4790+O4790-P4790-M4790</f>
        <v/>
      </c>
    </row>
    <row r="4791">
      <c r="A4791" s="16" t="inlineStr">
        <is>
          <t>5.8-5.14</t>
        </is>
      </c>
      <c r="B4791" s="16" t="inlineStr">
        <is>
          <t>PO-128-04314638011512539</t>
        </is>
      </c>
      <c r="C4791" s="16" t="inlineStr">
        <is>
          <t>Shipped</t>
        </is>
      </c>
      <c r="D4791" s="16" t="inlineStr">
        <is>
          <t>128-04314658983032539</t>
        </is>
      </c>
      <c r="E4791" s="16" t="inlineStr">
        <is>
          <t>Shipped</t>
        </is>
      </c>
      <c r="F4791" s="16" t="inlineStr">
        <is>
          <t>LV25W22</t>
        </is>
      </c>
      <c r="G479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91" s="16" t="inlineStr">
        <is>
          <t>LV25W32</t>
        </is>
      </c>
      <c r="I4791" s="16" t="n">
        <v>1</v>
      </c>
      <c r="J4791" s="17" t="n">
        <v>97</v>
      </c>
      <c r="K4791" s="17" t="n">
        <v>85.93000000000001</v>
      </c>
      <c r="L4791" s="17" t="n">
        <v>25.86</v>
      </c>
      <c r="M4791" s="17" t="n">
        <v>0</v>
      </c>
      <c r="N4791" s="17">
        <f>K4791*0.08+L4791*0.08</f>
        <v/>
      </c>
      <c r="O4791" s="17">
        <f>-(K4791*0.025+L4791*0.025)</f>
        <v/>
      </c>
      <c r="P4791" s="17">
        <f>32</f>
        <v/>
      </c>
      <c r="Q4791" s="17">
        <f>J4791+L4791+N4791+O4791-P4791-M4791</f>
        <v/>
      </c>
    </row>
    <row r="4792">
      <c r="A4792" s="16" t="inlineStr">
        <is>
          <t>5.8-5.14</t>
        </is>
      </c>
      <c r="B4792" s="16" t="inlineStr">
        <is>
          <t>PO-128-04639866238070409</t>
        </is>
      </c>
      <c r="C4792" s="16" t="inlineStr">
        <is>
          <t>Shipped</t>
        </is>
      </c>
      <c r="D4792" s="16" t="inlineStr">
        <is>
          <t>128-04639904248950409</t>
        </is>
      </c>
      <c r="E4792" s="16" t="inlineStr">
        <is>
          <t>Shipped</t>
        </is>
      </c>
      <c r="F4792" s="16" t="inlineStr">
        <is>
          <t>LB02235-blanco</t>
        </is>
      </c>
      <c r="G4792" s="16" t="inlineStr">
        <is>
          <t>Audífonos Inalámbricos para la Cabeza, Recargables y Multifuncionales - Conectan a Varios Dispositivos, soportan Radio FM, Tarjeta TF y AUX - 4 Horas de Reproducción Musical - Ideal para Trabajo Cotidiano, Juegos y Estudio</t>
        </is>
      </c>
      <c r="H4792" s="16" t="inlineStr">
        <is>
          <t>BLANCO</t>
        </is>
      </c>
      <c r="I4792" s="16" t="n">
        <v>2</v>
      </c>
      <c r="J4792" s="17" t="n">
        <v>90.62</v>
      </c>
      <c r="K4792" s="17" t="n">
        <v>116.84</v>
      </c>
      <c r="L4792" s="17" t="n">
        <v>25.86</v>
      </c>
      <c r="M4792" s="17" t="n">
        <v>0</v>
      </c>
      <c r="N4792" s="17">
        <f>K4792*0.08+L4792*0.08</f>
        <v/>
      </c>
      <c r="O4792" s="17">
        <f>-(K4792*0.025+L4792*0.025)</f>
        <v/>
      </c>
      <c r="P4792" s="17">
        <f>32</f>
        <v/>
      </c>
      <c r="Q4792" s="17">
        <f>J4792+L4792+N4792+O4792-P4792-M4792</f>
        <v/>
      </c>
    </row>
    <row r="4793">
      <c r="A4793" s="16" t="inlineStr">
        <is>
          <t>5.8-5.14</t>
        </is>
      </c>
      <c r="B4793" s="16" t="inlineStr">
        <is>
          <t>PO-128-04537416105591083</t>
        </is>
      </c>
      <c r="C4793" s="16" t="inlineStr">
        <is>
          <t>Shipped</t>
        </is>
      </c>
      <c r="D4793" s="16" t="inlineStr">
        <is>
          <t>128-04537426591351083</t>
        </is>
      </c>
      <c r="E4793" s="16" t="inlineStr">
        <is>
          <t>Shipped</t>
        </is>
      </c>
      <c r="F4793" s="16" t="inlineStr">
        <is>
          <t>LB02235-azul</t>
        </is>
      </c>
      <c r="G4793" s="16" t="inlineStr">
        <is>
          <t>Audífonos Inalámbricos para la Cabeza, Recargables y Multifuncionales - Conectan a Varios Dispositivos, soportan Radio FM, Tarjeta TF y AUX - 4 Horas de Reproducción Musical - Ideal para Trabajo Cotidiano, Juegos y Estudio</t>
        </is>
      </c>
      <c r="H4793" s="16" t="inlineStr">
        <is>
          <t>AZUL</t>
        </is>
      </c>
      <c r="I4793" s="16" t="n">
        <v>1</v>
      </c>
      <c r="J4793" s="17" t="n">
        <v>37.73</v>
      </c>
      <c r="K4793" s="17" t="n">
        <v>50.84</v>
      </c>
      <c r="L4793" s="17" t="n">
        <v>12.89</v>
      </c>
      <c r="M4793" s="17" t="n">
        <v>0</v>
      </c>
      <c r="N4793" s="17">
        <f>K4793*0.08+L4793*0.08</f>
        <v/>
      </c>
      <c r="O4793" s="17">
        <f>-(K4793*0.025+L4793*0.025)</f>
        <v/>
      </c>
      <c r="P4793" s="17">
        <f>32</f>
        <v/>
      </c>
      <c r="Q4793" s="17">
        <f>J4793+L4793+N4793+O4793-P4793-M4793</f>
        <v/>
      </c>
    </row>
    <row r="4794">
      <c r="A4794" s="16" t="inlineStr">
        <is>
          <t>5.8-5.14</t>
        </is>
      </c>
      <c r="B4794" s="16" t="inlineStr">
        <is>
          <t>PO-128-04537416105591083</t>
        </is>
      </c>
      <c r="C4794" s="16" t="inlineStr">
        <is>
          <t>Shipped</t>
        </is>
      </c>
      <c r="D4794" s="16" t="inlineStr">
        <is>
          <t>128-04537447562871083</t>
        </is>
      </c>
      <c r="E4794" s="16" t="inlineStr">
        <is>
          <t>Shipped</t>
        </is>
      </c>
      <c r="F4794" s="16" t="inlineStr">
        <is>
          <t>LB02235-rojo</t>
        </is>
      </c>
      <c r="G4794" s="16" t="inlineStr">
        <is>
          <t>Audífonos Inalámbricos para la Cabeza, Recargables y Multifuncionales - Conectan a Varios Dispositivos, soportan Radio FM, Tarjeta TF y AUX - 4 Horas de Reproducción Musical - Ideal para Trabajo Cotidiano, Juegos y Estudio</t>
        </is>
      </c>
      <c r="H4794" s="16" t="inlineStr">
        <is>
          <t>ROJO</t>
        </is>
      </c>
      <c r="I4794" s="16" t="n">
        <v>1</v>
      </c>
      <c r="J4794" s="17" t="n">
        <v>38</v>
      </c>
      <c r="K4794" s="17" t="n">
        <v>51.12</v>
      </c>
      <c r="L4794" s="17" t="n">
        <v>12.97</v>
      </c>
      <c r="M4794" s="17" t="n">
        <v>0</v>
      </c>
      <c r="N4794" s="17">
        <f>K4794*0.08+L4794*0.08</f>
        <v/>
      </c>
      <c r="O4794" s="17">
        <f>-(K4794*0.025+L4794*0.025)</f>
        <v/>
      </c>
      <c r="P4794" s="17">
        <f>32</f>
        <v/>
      </c>
      <c r="Q4794" s="17">
        <f>J4794+L4794+N4794+O4794-P4794-M4794</f>
        <v/>
      </c>
    </row>
    <row r="4795">
      <c r="A4795" s="16" t="inlineStr">
        <is>
          <t>5.8-5.14</t>
        </is>
      </c>
      <c r="B4795" s="16" t="inlineStr">
        <is>
          <t>PO-128-04263898319993800</t>
        </is>
      </c>
      <c r="C4795" s="16" t="inlineStr">
        <is>
          <t>Shipped</t>
        </is>
      </c>
      <c r="D4795" s="16" t="inlineStr">
        <is>
          <t>128-04263856376953800</t>
        </is>
      </c>
      <c r="E4795" s="16" t="inlineStr">
        <is>
          <t>Shipped</t>
        </is>
      </c>
      <c r="F4795" s="16" t="inlineStr">
        <is>
          <t>LB02235-blanco</t>
        </is>
      </c>
      <c r="G4795" s="16" t="inlineStr">
        <is>
          <t>Audífonos Inalámbricos para la Cabeza, Recargables y Multifuncionales - Conectan a Varios Dispositivos, soportan Radio FM, Tarjeta TF y AUX - 4 Horas de Reproducción Musical - Ideal para Trabajo Cotidiano, Juegos y Estudio</t>
        </is>
      </c>
      <c r="H4795" s="16" t="inlineStr">
        <is>
          <t>BLANCO</t>
        </is>
      </c>
      <c r="I4795" s="16" t="n">
        <v>1</v>
      </c>
      <c r="J4795" s="17" t="n">
        <v>45.31</v>
      </c>
      <c r="K4795" s="17" t="n">
        <v>15.32</v>
      </c>
      <c r="L4795" s="17" t="n">
        <v>25.86</v>
      </c>
      <c r="M4795" s="17" t="n">
        <v>0</v>
      </c>
      <c r="N4795" s="17">
        <f>K4795*0.08+L4795*0.08</f>
        <v/>
      </c>
      <c r="O4795" s="17">
        <f>-(K4795*0.025+L4795*0.025)</f>
        <v/>
      </c>
      <c r="P4795" s="17">
        <f>32</f>
        <v/>
      </c>
      <c r="Q4795" s="17">
        <f>J4795+L4795+N4795+O4795-P4795-M4795</f>
        <v/>
      </c>
    </row>
    <row r="4796">
      <c r="A4796" s="16" t="inlineStr">
        <is>
          <t>5.8-5.14</t>
        </is>
      </c>
      <c r="B4796" s="16" t="inlineStr">
        <is>
          <t>PO-128-04330439969912381</t>
        </is>
      </c>
      <c r="C4796" s="16" t="inlineStr">
        <is>
          <t>Shipped</t>
        </is>
      </c>
      <c r="D4796" s="16" t="inlineStr">
        <is>
          <t>128-04330481912952381</t>
        </is>
      </c>
      <c r="E4796" s="16" t="inlineStr">
        <is>
          <t>Shipped</t>
        </is>
      </c>
      <c r="F4796" s="16" t="inlineStr">
        <is>
          <t>VB347T</t>
        </is>
      </c>
      <c r="G479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796" s="16" t="inlineStr">
        <is>
          <t>1 pieza</t>
        </is>
      </c>
      <c r="I4796" s="16" t="n">
        <v>1</v>
      </c>
      <c r="J4796" s="17" t="n">
        <v>79.90000000000001</v>
      </c>
      <c r="K4796" s="17" t="n">
        <v>94.51000000000001</v>
      </c>
      <c r="L4796" s="17" t="n">
        <v>25.86</v>
      </c>
      <c r="M4796" s="17" t="n">
        <v>0</v>
      </c>
      <c r="N4796" s="17">
        <f>K4796*0.08+L4796*0.08</f>
        <v/>
      </c>
      <c r="O4796" s="17">
        <f>-(K4796*0.025+L4796*0.025)</f>
        <v/>
      </c>
      <c r="P4796" s="17">
        <f>32</f>
        <v/>
      </c>
      <c r="Q4796" s="17">
        <f>J4796+L4796+N4796+O4796-P4796-M4796</f>
        <v/>
      </c>
    </row>
    <row r="4797">
      <c r="A4797" s="16" t="inlineStr">
        <is>
          <t>5.8-5.14</t>
        </is>
      </c>
      <c r="B4797" s="16" t="inlineStr">
        <is>
          <t>PO-128-04239718651513880</t>
        </is>
      </c>
      <c r="C4797" s="16" t="inlineStr">
        <is>
          <t>Shipped</t>
        </is>
      </c>
      <c r="D4797" s="16" t="inlineStr">
        <is>
          <t>128-04239708165753880</t>
        </is>
      </c>
      <c r="E4797" s="16" t="inlineStr">
        <is>
          <t>Shipped</t>
        </is>
      </c>
      <c r="F4797" s="16" t="inlineStr">
        <is>
          <t>SA325T</t>
        </is>
      </c>
      <c r="G4797" s="16" t="inlineStr">
        <is>
          <t>Subwoofer Portátil Inalámbrico con Luces RGB, Sonido de Alta Potencia y Batería Duradera, TWS TF USB, Perfecto para Campamento Fiestas y Entretenimiento en Casa</t>
        </is>
      </c>
      <c r="H4797" s="16" t="inlineStr">
        <is>
          <t>NEGRO</t>
        </is>
      </c>
      <c r="I4797" s="16" t="n">
        <v>1</v>
      </c>
      <c r="J4797" s="17" t="n">
        <v>38</v>
      </c>
      <c r="K4797" s="17" t="n">
        <v>47.06</v>
      </c>
      <c r="L4797" s="17" t="n">
        <v>25.86</v>
      </c>
      <c r="M4797" s="17" t="n">
        <v>0</v>
      </c>
      <c r="N4797" s="17">
        <f>K4797*0.08+L4797*0.08</f>
        <v/>
      </c>
      <c r="O4797" s="17">
        <f>-(K4797*0.025+L4797*0.025)</f>
        <v/>
      </c>
      <c r="P4797" s="17">
        <f>32</f>
        <v/>
      </c>
      <c r="Q4797" s="17">
        <f>J4797+L4797+N4797+O4797-P4797-M4797</f>
        <v/>
      </c>
    </row>
    <row r="4798">
      <c r="A4798" s="16" t="inlineStr">
        <is>
          <t>5.8-5.14</t>
        </is>
      </c>
      <c r="B4798" s="16" t="inlineStr">
        <is>
          <t>PO-128-04629739966071621</t>
        </is>
      </c>
      <c r="C4798" s="16" t="inlineStr">
        <is>
          <t>Shipped</t>
        </is>
      </c>
      <c r="D4798" s="16" t="inlineStr">
        <is>
          <t>128-04629760937591621</t>
        </is>
      </c>
      <c r="E4798" s="16" t="inlineStr">
        <is>
          <t>Shipped</t>
        </is>
      </c>
      <c r="F4798" s="16" t="inlineStr">
        <is>
          <t>LV25W22</t>
        </is>
      </c>
      <c r="G47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798" s="16" t="inlineStr">
        <is>
          <t>LV25W32</t>
        </is>
      </c>
      <c r="I4798" s="16" t="n">
        <v>1</v>
      </c>
      <c r="J4798" s="17" t="n">
        <v>97</v>
      </c>
      <c r="K4798" s="17" t="n">
        <v>95.31999999999999</v>
      </c>
      <c r="L4798" s="17" t="n">
        <v>25.86</v>
      </c>
      <c r="M4798" s="17" t="n">
        <v>0</v>
      </c>
      <c r="N4798" s="17">
        <f>K4798*0.08+L4798*0.08</f>
        <v/>
      </c>
      <c r="O4798" s="17">
        <f>-(K4798*0.025+L4798*0.025)</f>
        <v/>
      </c>
      <c r="P4798" s="17">
        <f>32</f>
        <v/>
      </c>
      <c r="Q4798" s="17">
        <f>J4798+L4798+N4798+O4798-P4798-M4798</f>
        <v/>
      </c>
    </row>
    <row r="4799">
      <c r="A4799" s="16" t="inlineStr">
        <is>
          <t>5.8-5.14</t>
        </is>
      </c>
      <c r="B4799" s="16" t="inlineStr">
        <is>
          <t>PO-128-04691879416950163</t>
        </is>
      </c>
      <c r="C4799" s="16" t="inlineStr">
        <is>
          <t>Shipped</t>
        </is>
      </c>
      <c r="D4799" s="16" t="inlineStr">
        <is>
          <t>128-04691837473910163</t>
        </is>
      </c>
      <c r="E4799" s="16" t="inlineStr">
        <is>
          <t>Shipped</t>
        </is>
      </c>
      <c r="F4799" s="16" t="inlineStr">
        <is>
          <t>S39W48</t>
        </is>
      </c>
      <c r="G4799"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799" s="16" t="inlineStr">
        <is>
          <t>1 pieza</t>
        </is>
      </c>
      <c r="I4799" s="16" t="n">
        <v>1</v>
      </c>
      <c r="J4799" s="17" t="n">
        <v>30</v>
      </c>
      <c r="K4799" s="17" t="n">
        <v>42.59</v>
      </c>
      <c r="L4799" s="17" t="n">
        <v>25.86</v>
      </c>
      <c r="M4799" s="17" t="n">
        <v>0</v>
      </c>
      <c r="N4799" s="17">
        <f>K4799*0.08+L4799*0.08</f>
        <v/>
      </c>
      <c r="O4799" s="17">
        <f>-(K4799*0.025+L4799*0.025)</f>
        <v/>
      </c>
      <c r="P4799" s="17">
        <f>32</f>
        <v/>
      </c>
      <c r="Q4799" s="17">
        <f>J4799+L4799+N4799+O4799-P4799-M4799</f>
        <v/>
      </c>
    </row>
    <row r="4800">
      <c r="A4800" s="16" t="inlineStr">
        <is>
          <t>5.8-5.14</t>
        </is>
      </c>
      <c r="B4800" s="16" t="inlineStr">
        <is>
          <t>PO-128-04157498138233410</t>
        </is>
      </c>
      <c r="C4800" s="16" t="inlineStr">
        <is>
          <t>Shipped</t>
        </is>
      </c>
      <c r="D4800" s="16" t="inlineStr">
        <is>
          <t>128-04157550567033410</t>
        </is>
      </c>
      <c r="E4800" s="16" t="inlineStr">
        <is>
          <t>Shipped</t>
        </is>
      </c>
      <c r="F4800" s="16" t="inlineStr">
        <is>
          <t>VB347T</t>
        </is>
      </c>
      <c r="G480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800" s="16" t="inlineStr">
        <is>
          <t>1 pieza</t>
        </is>
      </c>
      <c r="I4800" s="16" t="n">
        <v>1</v>
      </c>
      <c r="J4800" s="17" t="n">
        <v>79.90000000000001</v>
      </c>
      <c r="K4800" s="17" t="n">
        <v>94.51000000000001</v>
      </c>
      <c r="L4800" s="17" t="n">
        <v>25.86</v>
      </c>
      <c r="M4800" s="17" t="n">
        <v>0</v>
      </c>
      <c r="N4800" s="17">
        <f>K4800*0.08+L4800*0.08</f>
        <v/>
      </c>
      <c r="O4800" s="17">
        <f>-(K4800*0.025+L4800*0.025)</f>
        <v/>
      </c>
      <c r="P4800" s="17">
        <f>32</f>
        <v/>
      </c>
      <c r="Q4800" s="17">
        <f>J4800+L4800+N4800+O4800-P4800-M4800</f>
        <v/>
      </c>
    </row>
    <row r="4801">
      <c r="A4801" s="16" t="inlineStr">
        <is>
          <t>5.8-5.14</t>
        </is>
      </c>
      <c r="B4801" s="16" t="inlineStr">
        <is>
          <t>PO-128-04699820867190243</t>
        </is>
      </c>
      <c r="C4801" s="16" t="inlineStr">
        <is>
          <t>Shipped</t>
        </is>
      </c>
      <c r="D4801" s="16" t="inlineStr">
        <is>
          <t>128-04699852324470243</t>
        </is>
      </c>
      <c r="E4801" s="16" t="inlineStr">
        <is>
          <t>Shipped</t>
        </is>
      </c>
      <c r="F4801" s="16" t="inlineStr">
        <is>
          <t>LV25W22</t>
        </is>
      </c>
      <c r="G48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01" s="16" t="inlineStr">
        <is>
          <t>LV25W32</t>
        </is>
      </c>
      <c r="I4801" s="16" t="n">
        <v>1</v>
      </c>
      <c r="J4801" s="17" t="n">
        <v>97</v>
      </c>
      <c r="K4801" s="17" t="n">
        <v>107.41</v>
      </c>
      <c r="L4801" s="17" t="n">
        <v>25.86</v>
      </c>
      <c r="M4801" s="17" t="n">
        <v>0</v>
      </c>
      <c r="N4801" s="17">
        <f>K4801*0.08+L4801*0.08</f>
        <v/>
      </c>
      <c r="O4801" s="17">
        <f>-(K4801*0.025+L4801*0.025)</f>
        <v/>
      </c>
      <c r="P4801" s="17">
        <f>32</f>
        <v/>
      </c>
      <c r="Q4801" s="17">
        <f>J4801+L4801+N4801+O4801-P4801-M4801</f>
        <v/>
      </c>
    </row>
    <row r="4802">
      <c r="A4802" s="16" t="inlineStr">
        <is>
          <t>5.8-5.14</t>
        </is>
      </c>
      <c r="B4802" s="16" t="inlineStr">
        <is>
          <t>PO-128-04179375765113281</t>
        </is>
      </c>
      <c r="C4802" s="16" t="inlineStr">
        <is>
          <t>Shipped</t>
        </is>
      </c>
      <c r="D4802" s="16" t="inlineStr">
        <is>
          <t>128-04179388872313281</t>
        </is>
      </c>
      <c r="E4802" s="16" t="inlineStr">
        <is>
          <t>Shipped</t>
        </is>
      </c>
      <c r="F4802" s="16" t="inlineStr">
        <is>
          <t>MB-178-N</t>
        </is>
      </c>
      <c r="G4802" s="16" t="inlineStr">
        <is>
          <t>Bocina de Barra Bluetooth LINK BITS con dos altavoces, sonido de alta calidad y multifuncional (Bluetooth, Radio FM, USB, TF, AUX, TWS), ideal para juegos, reuniones, oficina y cine en casa.</t>
        </is>
      </c>
      <c r="H4802" s="16" t="inlineStr">
        <is>
          <t>NEGRO</t>
        </is>
      </c>
      <c r="I4802" s="16" t="n">
        <v>1</v>
      </c>
      <c r="J4802" s="17" t="n">
        <v>135</v>
      </c>
      <c r="K4802" s="17" t="n">
        <v>154.33</v>
      </c>
      <c r="L4802" s="17" t="n">
        <v>25.86</v>
      </c>
      <c r="M4802" s="17" t="n">
        <v>0</v>
      </c>
      <c r="N4802" s="17">
        <f>K4802*0.08+L4802*0.08</f>
        <v/>
      </c>
      <c r="O4802" s="17">
        <f>-(K4802*0.025+L4802*0.025)</f>
        <v/>
      </c>
      <c r="P4802" s="17">
        <f>32</f>
        <v/>
      </c>
      <c r="Q4802" s="17">
        <f>J4802+L4802+N4802+O4802-P4802-M4802</f>
        <v/>
      </c>
    </row>
    <row r="4803">
      <c r="A4803" s="16" t="inlineStr">
        <is>
          <t>5.8-5.14</t>
        </is>
      </c>
      <c r="B4803" s="16" t="inlineStr">
        <is>
          <t>PO-128-04354806042232298</t>
        </is>
      </c>
      <c r="C4803" s="16" t="inlineStr">
        <is>
          <t>Shipped</t>
        </is>
      </c>
      <c r="D4803" s="16" t="inlineStr">
        <is>
          <t>128-04354827013752298</t>
        </is>
      </c>
      <c r="E4803" s="16" t="inlineStr">
        <is>
          <t>Shipped</t>
        </is>
      </c>
      <c r="F4803" s="16" t="inlineStr">
        <is>
          <t>MCM-001G</t>
        </is>
      </c>
      <c r="G4803" s="16" t="inlineStr">
        <is>
          <t>Musicord Altavoz Inalámbrico BT Portátil: ¡Sonido impactante, luces LED multicolores y 4 horas de autonomía! Compatible con TWS, FM, TF y USB – Imprescindible para fiestas y viajes</t>
        </is>
      </c>
      <c r="H4803" s="16" t="inlineStr">
        <is>
          <t>GRIS</t>
        </is>
      </c>
      <c r="I4803" s="16" t="n">
        <v>1</v>
      </c>
      <c r="J4803" s="17" t="n">
        <v>51.07</v>
      </c>
      <c r="K4803" s="17" t="n">
        <v>19.24</v>
      </c>
      <c r="L4803" s="17" t="n">
        <v>25.86</v>
      </c>
      <c r="M4803" s="17" t="n">
        <v>0</v>
      </c>
      <c r="N4803" s="17">
        <f>K4803*0.08+L4803*0.08</f>
        <v/>
      </c>
      <c r="O4803" s="17">
        <f>-(K4803*0.025+L4803*0.025)</f>
        <v/>
      </c>
      <c r="P4803" s="17">
        <f>32</f>
        <v/>
      </c>
      <c r="Q4803" s="17">
        <f>J4803+L4803+N4803+O4803-P4803-M4803</f>
        <v/>
      </c>
    </row>
    <row r="4804">
      <c r="A4804" s="16" t="inlineStr">
        <is>
          <t>5.8-5.14</t>
        </is>
      </c>
      <c r="B4804" s="16" t="inlineStr">
        <is>
          <t>PO-128-04220166262394060</t>
        </is>
      </c>
      <c r="C4804" s="16" t="inlineStr">
        <is>
          <t>Shipped</t>
        </is>
      </c>
      <c r="D4804" s="16" t="inlineStr">
        <is>
          <t>128-04220158398074060</t>
        </is>
      </c>
      <c r="E4804" s="16" t="inlineStr">
        <is>
          <t>Shipped</t>
        </is>
      </c>
      <c r="F4804" s="16" t="inlineStr">
        <is>
          <t>LV25W22</t>
        </is>
      </c>
      <c r="G480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04" s="16" t="inlineStr">
        <is>
          <t>LV25W32</t>
        </is>
      </c>
      <c r="I4804" s="16" t="n">
        <v>1</v>
      </c>
      <c r="J4804" s="17" t="n">
        <v>97</v>
      </c>
      <c r="K4804" s="17" t="n">
        <v>91.3</v>
      </c>
      <c r="L4804" s="17" t="n">
        <v>25.86</v>
      </c>
      <c r="M4804" s="17" t="n">
        <v>0</v>
      </c>
      <c r="N4804" s="17">
        <f>K4804*0.08+L4804*0.08</f>
        <v/>
      </c>
      <c r="O4804" s="17">
        <f>-(K4804*0.025+L4804*0.025)</f>
        <v/>
      </c>
      <c r="P4804" s="17">
        <f>32</f>
        <v/>
      </c>
      <c r="Q4804" s="17">
        <f>J4804+L4804+N4804+O4804-P4804-M4804</f>
        <v/>
      </c>
    </row>
    <row r="4805">
      <c r="A4805" s="16" t="inlineStr">
        <is>
          <t>5.8-5.14</t>
        </is>
      </c>
      <c r="B4805" s="16" t="inlineStr">
        <is>
          <t>PO-128-04334900178552416</t>
        </is>
      </c>
      <c r="C4805" s="16" t="inlineStr">
        <is>
          <t>Shipped</t>
        </is>
      </c>
      <c r="D4805" s="16" t="inlineStr">
        <is>
          <t>128-04334934257272416</t>
        </is>
      </c>
      <c r="E4805" s="16" t="inlineStr">
        <is>
          <t>Shipped</t>
        </is>
      </c>
      <c r="F4805" s="16" t="inlineStr">
        <is>
          <t>SA8056T</t>
        </is>
      </c>
      <c r="G480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805" s="16" t="inlineStr">
        <is>
          <t>SA8056T</t>
        </is>
      </c>
      <c r="I4805" s="16" t="n">
        <v>10</v>
      </c>
      <c r="J4805" s="17" t="n">
        <v>1239</v>
      </c>
      <c r="K4805" s="17" t="n">
        <v>1442.8</v>
      </c>
      <c r="L4805" s="17" t="n">
        <v>0</v>
      </c>
      <c r="M4805" s="17" t="n">
        <v>0</v>
      </c>
      <c r="N4805" s="17">
        <f>K4805*0.08+L4805*0.08</f>
        <v/>
      </c>
      <c r="O4805" s="17">
        <f>-(K4805*0.025+L4805*0.025)</f>
        <v/>
      </c>
      <c r="P4805" s="17">
        <f>32</f>
        <v/>
      </c>
      <c r="Q4805" s="17">
        <f>J4805+L4805+N4805+O4805-P4805-M4805</f>
        <v/>
      </c>
    </row>
    <row r="4806">
      <c r="A4806" s="16" t="inlineStr">
        <is>
          <t>5.8-5.14</t>
        </is>
      </c>
      <c r="B4806" s="16" t="inlineStr">
        <is>
          <t>PO-128-04590213781111857</t>
        </is>
      </c>
      <c r="C4806" s="16" t="inlineStr">
        <is>
          <t>Shipped</t>
        </is>
      </c>
      <c r="D4806" s="16" t="inlineStr">
        <is>
          <t>128-04590239995511857</t>
        </is>
      </c>
      <c r="E4806" s="16" t="inlineStr">
        <is>
          <t>Shipped</t>
        </is>
      </c>
      <c r="F4806" s="16" t="inlineStr">
        <is>
          <t>KTS-1678R</t>
        </is>
      </c>
      <c r="G4806" s="16" t="inlineStr">
        <is>
          <t>Bocina portátil Inalámbrico, de 3 pulgadas, tamaño de bolsillo, 170 g, con asa, compatible con TF, USB y Micro SD, con radio FM y función TWS (True Wireless Stereo), adecuada para relajarse en casa o viajar al aire libre.</t>
        </is>
      </c>
      <c r="H4806" s="16" t="inlineStr">
        <is>
          <t>KTS-1678R</t>
        </is>
      </c>
      <c r="I4806" s="16" t="n">
        <v>1</v>
      </c>
      <c r="J4806" s="17" t="n">
        <v>42.5</v>
      </c>
      <c r="K4806" s="17" t="n">
        <v>50.77</v>
      </c>
      <c r="L4806" s="17" t="n">
        <v>25.86</v>
      </c>
      <c r="M4806" s="17" t="n">
        <v>0</v>
      </c>
      <c r="N4806" s="17">
        <f>K4806*0.08+L4806*0.08</f>
        <v/>
      </c>
      <c r="O4806" s="17">
        <f>-(K4806*0.025+L4806*0.025)</f>
        <v/>
      </c>
      <c r="P4806" s="17">
        <f>32</f>
        <v/>
      </c>
      <c r="Q4806" s="17">
        <f>J4806+L4806+N4806+O4806-P4806-M4806</f>
        <v/>
      </c>
    </row>
    <row r="4807">
      <c r="A4807" s="16" t="inlineStr">
        <is>
          <t>5.8-5.14</t>
        </is>
      </c>
      <c r="B4807" s="16" t="inlineStr">
        <is>
          <t>PO-128-04437829586552765</t>
        </is>
      </c>
      <c r="C4807" s="16" t="inlineStr">
        <is>
          <t>Shipped</t>
        </is>
      </c>
      <c r="D4807" s="16" t="inlineStr">
        <is>
          <t>128-04437905608312765</t>
        </is>
      </c>
      <c r="E4807" s="16" t="inlineStr">
        <is>
          <t>Shipped</t>
        </is>
      </c>
      <c r="F4807" s="16" t="inlineStr">
        <is>
          <t>LB02235-negro</t>
        </is>
      </c>
      <c r="G4807" s="16" t="inlineStr">
        <is>
          <t>Audífonos Inalámbricos para la Cabeza, Recargables y Multifuncionales - Conectan a Varios Dispositivos, soportan Radio FM, Tarjeta TF y AUX - 4 Horas de Reproducción Musical - Ideal para Trabajo Cotidiano, Juegos y Estudio</t>
        </is>
      </c>
      <c r="H4807" s="16" t="inlineStr">
        <is>
          <t>NEGRO</t>
        </is>
      </c>
      <c r="I4807" s="16" t="n">
        <v>1</v>
      </c>
      <c r="J4807" s="17" t="n">
        <v>45.31</v>
      </c>
      <c r="K4807" s="17" t="n">
        <v>15.32</v>
      </c>
      <c r="L4807" s="17" t="n">
        <v>25.86</v>
      </c>
      <c r="M4807" s="17" t="n">
        <v>0</v>
      </c>
      <c r="N4807" s="17">
        <f>K4807*0.08+L4807*0.08</f>
        <v/>
      </c>
      <c r="O4807" s="17">
        <f>-(K4807*0.025+L4807*0.025)</f>
        <v/>
      </c>
      <c r="P4807" s="17">
        <f>32</f>
        <v/>
      </c>
      <c r="Q4807" s="17">
        <f>J4807+L4807+N4807+O4807-P4807-M4807</f>
        <v/>
      </c>
    </row>
    <row r="4808">
      <c r="A4808" s="16" t="inlineStr">
        <is>
          <t>5.8-5.14</t>
        </is>
      </c>
      <c r="B4808" s="16" t="inlineStr">
        <is>
          <t>PO-128-04367170063992096</t>
        </is>
      </c>
      <c r="C4808" s="16" t="inlineStr">
        <is>
          <t>Shipped</t>
        </is>
      </c>
      <c r="D4808" s="16" t="inlineStr">
        <is>
          <t>128-04367212007032096</t>
        </is>
      </c>
      <c r="E4808" s="16" t="inlineStr">
        <is>
          <t>Shipped</t>
        </is>
      </c>
      <c r="F4808" s="16" t="inlineStr">
        <is>
          <t>LB02235-negro</t>
        </is>
      </c>
      <c r="G4808" s="16" t="inlineStr">
        <is>
          <t>Audífonos Inalámbricos para la Cabeza, Recargables y Multifuncionales - Conectan a Varios Dispositivos, soportan Radio FM, Tarjeta TF y AUX - 4 Horas de Reproducción Musical - Ideal para Trabajo Cotidiano, Juegos y Estudio</t>
        </is>
      </c>
      <c r="H4808" s="16" t="inlineStr">
        <is>
          <t>NEGRO</t>
        </is>
      </c>
      <c r="I4808" s="16" t="n">
        <v>1</v>
      </c>
      <c r="J4808" s="17" t="n">
        <v>45.31</v>
      </c>
      <c r="K4808" s="17" t="n">
        <v>58.42</v>
      </c>
      <c r="L4808" s="17" t="n">
        <v>25.86</v>
      </c>
      <c r="M4808" s="17" t="n">
        <v>0</v>
      </c>
      <c r="N4808" s="17">
        <f>K4808*0.08+L4808*0.08</f>
        <v/>
      </c>
      <c r="O4808" s="17">
        <f>-(K4808*0.025+L4808*0.025)</f>
        <v/>
      </c>
      <c r="P4808" s="17">
        <f>32</f>
        <v/>
      </c>
      <c r="Q4808" s="17">
        <f>J4808+L4808+N4808+O4808-P4808-M4808</f>
        <v/>
      </c>
    </row>
    <row r="4809">
      <c r="A4809" s="16" t="inlineStr">
        <is>
          <t>5.8-5.14</t>
        </is>
      </c>
      <c r="B4809" s="16" t="inlineStr">
        <is>
          <t>PO-128-04280075676793641</t>
        </is>
      </c>
      <c r="C4809" s="16" t="inlineStr">
        <is>
          <t>Shipped</t>
        </is>
      </c>
      <c r="D4809" s="16" t="inlineStr">
        <is>
          <t>128-04280096648313641</t>
        </is>
      </c>
      <c r="E4809" s="16" t="inlineStr">
        <is>
          <t>Shipped</t>
        </is>
      </c>
      <c r="F4809" s="16" t="inlineStr">
        <is>
          <t>LV25W22</t>
        </is>
      </c>
      <c r="G480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09" s="16" t="inlineStr">
        <is>
          <t>LV25W32</t>
        </is>
      </c>
      <c r="I4809" s="16" t="n">
        <v>1</v>
      </c>
      <c r="J4809" s="17" t="n">
        <v>97</v>
      </c>
      <c r="K4809" s="17" t="n">
        <v>107.41</v>
      </c>
      <c r="L4809" s="17" t="n">
        <v>25.86</v>
      </c>
      <c r="M4809" s="17" t="n">
        <v>0</v>
      </c>
      <c r="N4809" s="17">
        <f>K4809*0.08+L4809*0.08</f>
        <v/>
      </c>
      <c r="O4809" s="17">
        <f>-(K4809*0.025+L4809*0.025)</f>
        <v/>
      </c>
      <c r="P4809" s="17">
        <f>32</f>
        <v/>
      </c>
      <c r="Q4809" s="17">
        <f>J4809+L4809+N4809+O4809-P4809-M4809</f>
        <v/>
      </c>
    </row>
    <row r="4810">
      <c r="A4810" s="16" t="inlineStr">
        <is>
          <t>5.8-5.14</t>
        </is>
      </c>
      <c r="B4810" s="16" t="inlineStr">
        <is>
          <t>PO-128-04408177075832876</t>
        </is>
      </c>
      <c r="C4810" s="16" t="inlineStr">
        <is>
          <t>Shipped</t>
        </is>
      </c>
      <c r="D4810" s="16" t="inlineStr">
        <is>
          <t>128-04408203290232876</t>
        </is>
      </c>
      <c r="E4810" s="16" t="inlineStr">
        <is>
          <t>Shipped</t>
        </is>
      </c>
      <c r="F4810" s="16" t="inlineStr">
        <is>
          <t>MB-185N</t>
        </is>
      </c>
      <c r="G4810" s="16" t="inlineStr">
        <is>
          <t>Bocina Radio FM/Reproductor, Compatible con Tarjeta TF, USB, Bluetooth, Aplicable para celular, computadora, Ipad y consola.</t>
        </is>
      </c>
      <c r="H4810" s="16" t="inlineStr">
        <is>
          <t>NEGRO/MB-185</t>
        </is>
      </c>
      <c r="I4810" s="16" t="n">
        <v>1</v>
      </c>
      <c r="J4810" s="17" t="n">
        <v>75.5</v>
      </c>
      <c r="K4810" s="17" t="n">
        <v>33.95</v>
      </c>
      <c r="L4810" s="17" t="n">
        <v>25.86</v>
      </c>
      <c r="M4810" s="17" t="n">
        <v>0</v>
      </c>
      <c r="N4810" s="17">
        <f>K4810*0.08+L4810*0.08</f>
        <v/>
      </c>
      <c r="O4810" s="17">
        <f>-(K4810*0.025+L4810*0.025)</f>
        <v/>
      </c>
      <c r="P4810" s="17">
        <f>32</f>
        <v/>
      </c>
      <c r="Q4810" s="17">
        <f>J4810+L4810+N4810+O4810-P4810-M4810</f>
        <v/>
      </c>
    </row>
    <row r="4811">
      <c r="A4811" s="16" t="inlineStr">
        <is>
          <t>5.8-5.14</t>
        </is>
      </c>
      <c r="B4811" s="16" t="inlineStr">
        <is>
          <t>PO-128-04733890463350934</t>
        </is>
      </c>
      <c r="C4811" s="16" t="inlineStr">
        <is>
          <t>Shipped</t>
        </is>
      </c>
      <c r="D4811" s="16" t="inlineStr">
        <is>
          <t>128-04733874734710934</t>
        </is>
      </c>
      <c r="E4811" s="16" t="inlineStr">
        <is>
          <t>Shipped</t>
        </is>
      </c>
      <c r="F4811" s="16" t="inlineStr">
        <is>
          <t>S39W48</t>
        </is>
      </c>
      <c r="G4811"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4811" s="16" t="inlineStr">
        <is>
          <t>1 pieza</t>
        </is>
      </c>
      <c r="I4811" s="16" t="n">
        <v>1</v>
      </c>
      <c r="J4811" s="17" t="n">
        <v>30</v>
      </c>
      <c r="K4811" s="17" t="n">
        <v>42.59</v>
      </c>
      <c r="L4811" s="17" t="n">
        <v>25.86</v>
      </c>
      <c r="M4811" s="17" t="n">
        <v>0</v>
      </c>
      <c r="N4811" s="17">
        <f>K4811*0.08+L4811*0.08</f>
        <v/>
      </c>
      <c r="O4811" s="17">
        <f>-(K4811*0.025+L4811*0.025)</f>
        <v/>
      </c>
      <c r="P4811" s="17">
        <f>32</f>
        <v/>
      </c>
      <c r="Q4811" s="17">
        <f>J4811+L4811+N4811+O4811-P4811-M4811</f>
        <v/>
      </c>
    </row>
    <row r="4812">
      <c r="A4812" s="16" t="inlineStr">
        <is>
          <t>5.8-5.14</t>
        </is>
      </c>
      <c r="B4812" s="16" t="inlineStr">
        <is>
          <t>PO-128-04397840758393067</t>
        </is>
      </c>
      <c r="C4812" s="16" t="inlineStr">
        <is>
          <t>Shipped</t>
        </is>
      </c>
      <c r="D4812" s="16" t="inlineStr">
        <is>
          <t>128-04397861729913067</t>
        </is>
      </c>
      <c r="E4812" s="16" t="inlineStr">
        <is>
          <t>Shipped</t>
        </is>
      </c>
      <c r="F4812" s="16" t="inlineStr">
        <is>
          <t>LV25W22</t>
        </is>
      </c>
      <c r="G48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12" s="16" t="inlineStr">
        <is>
          <t>LV25W32</t>
        </is>
      </c>
      <c r="I4812" s="16" t="n">
        <v>1</v>
      </c>
      <c r="J4812" s="17" t="n">
        <v>97</v>
      </c>
      <c r="K4812" s="17" t="n">
        <v>85.93000000000001</v>
      </c>
      <c r="L4812" s="17" t="n">
        <v>25.86</v>
      </c>
      <c r="M4812" s="17" t="n">
        <v>0</v>
      </c>
      <c r="N4812" s="17">
        <f>K4812*0.08+L4812*0.08</f>
        <v/>
      </c>
      <c r="O4812" s="17">
        <f>-(K4812*0.025+L4812*0.025)</f>
        <v/>
      </c>
      <c r="P4812" s="17">
        <f>32</f>
        <v/>
      </c>
      <c r="Q4812" s="17">
        <f>J4812+L4812+N4812+O4812-P4812-M4812</f>
        <v/>
      </c>
    </row>
    <row r="4813">
      <c r="A4813" s="16" t="inlineStr">
        <is>
          <t>5.8-5.14</t>
        </is>
      </c>
      <c r="B4813" s="16" t="inlineStr">
        <is>
          <t>PO-128-04666061450870317</t>
        </is>
      </c>
      <c r="C4813" s="16" t="inlineStr">
        <is>
          <t>Shipped</t>
        </is>
      </c>
      <c r="D4813" s="16" t="inlineStr">
        <is>
          <t>128-04666040479350317</t>
        </is>
      </c>
      <c r="E4813" s="16" t="inlineStr">
        <is>
          <t>Shipped</t>
        </is>
      </c>
      <c r="F4813" s="16" t="inlineStr">
        <is>
          <t>KTS-1943-R</t>
        </is>
      </c>
      <c r="G481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813" s="16" t="inlineStr">
        <is>
          <t>ROJO</t>
        </is>
      </c>
      <c r="I4813" s="16" t="n">
        <v>1</v>
      </c>
      <c r="J4813" s="17" t="n">
        <v>75</v>
      </c>
      <c r="K4813" s="17" t="n">
        <v>90.62</v>
      </c>
      <c r="L4813" s="17" t="n">
        <v>25.86</v>
      </c>
      <c r="M4813" s="17" t="n">
        <v>0</v>
      </c>
      <c r="N4813" s="17">
        <f>K4813*0.08+L4813*0.08</f>
        <v/>
      </c>
      <c r="O4813" s="17">
        <f>-(K4813*0.025+L4813*0.025)</f>
        <v/>
      </c>
      <c r="P4813" s="17">
        <f>32</f>
        <v/>
      </c>
      <c r="Q4813" s="17">
        <f>J4813+L4813+N4813+O4813-P4813-M4813</f>
        <v/>
      </c>
    </row>
    <row r="4814">
      <c r="A4814" s="16" t="inlineStr">
        <is>
          <t>5.8-5.14</t>
        </is>
      </c>
      <c r="B4814" s="16" t="inlineStr">
        <is>
          <t>PO-128-04713284583030035</t>
        </is>
      </c>
      <c r="C4814" s="16" t="inlineStr">
        <is>
          <t>Shipped</t>
        </is>
      </c>
      <c r="D4814" s="16" t="inlineStr">
        <is>
          <t>128-04713378954870035</t>
        </is>
      </c>
      <c r="E4814" s="16" t="inlineStr">
        <is>
          <t>Shipped</t>
        </is>
      </c>
      <c r="F4814" s="16" t="inlineStr">
        <is>
          <t>LB02235-rojo</t>
        </is>
      </c>
      <c r="G4814" s="16" t="inlineStr">
        <is>
          <t>Audífonos Inalámbricos para la Cabeza, Recargables y Multifuncionales - Conectan a Varios Dispositivos, soportan Radio FM, Tarjeta TF y AUX - 4 Horas de Reproducción Musical - Ideal para Trabajo Cotidiano, Juegos y Estudio</t>
        </is>
      </c>
      <c r="H4814" s="16" t="inlineStr">
        <is>
          <t>ROJO</t>
        </is>
      </c>
      <c r="I4814" s="16" t="n">
        <v>1</v>
      </c>
      <c r="J4814" s="17" t="n">
        <v>38</v>
      </c>
      <c r="K4814" s="17" t="n">
        <v>51.12</v>
      </c>
      <c r="L4814" s="17" t="n">
        <v>8.65</v>
      </c>
      <c r="M4814" s="17" t="n">
        <v>0</v>
      </c>
      <c r="N4814" s="17">
        <f>K4814*0.08+L4814*0.08</f>
        <v/>
      </c>
      <c r="O4814" s="17">
        <f>-(K4814*0.025+L4814*0.025)</f>
        <v/>
      </c>
      <c r="P4814" s="17">
        <f>32</f>
        <v/>
      </c>
      <c r="Q4814" s="17">
        <f>J4814+L4814+N4814+O4814-P4814-M4814</f>
        <v/>
      </c>
    </row>
    <row r="4815">
      <c r="A4815" s="16" t="inlineStr">
        <is>
          <t>5.8-5.14</t>
        </is>
      </c>
      <c r="B4815" s="16" t="inlineStr">
        <is>
          <t>PO-128-04713284583030035</t>
        </is>
      </c>
      <c r="C4815" s="16" t="inlineStr">
        <is>
          <t>Shipped</t>
        </is>
      </c>
      <c r="D4815" s="16" t="inlineStr">
        <is>
          <t>128-04713326526070035</t>
        </is>
      </c>
      <c r="E4815" s="16" t="inlineStr">
        <is>
          <t>Shipped</t>
        </is>
      </c>
      <c r="F4815" s="16" t="inlineStr">
        <is>
          <t>LB02235-azul</t>
        </is>
      </c>
      <c r="G4815" s="16" t="inlineStr">
        <is>
          <t>Audífonos Inalámbricos para la Cabeza, Recargables y Multifuncionales - Conectan a Varios Dispositivos, soportan Radio FM, Tarjeta TF y AUX - 4 Horas de Reproducción Musical - Ideal para Trabajo Cotidiano, Juegos y Estudio</t>
        </is>
      </c>
      <c r="H4815" s="16" t="inlineStr">
        <is>
          <t>AZUL</t>
        </is>
      </c>
      <c r="I4815" s="16" t="n">
        <v>2</v>
      </c>
      <c r="J4815" s="17" t="n">
        <v>75.45999999999999</v>
      </c>
      <c r="K4815" s="17" t="n">
        <v>101.68</v>
      </c>
      <c r="L4815" s="17" t="n">
        <v>17.21</v>
      </c>
      <c r="M4815" s="17" t="n">
        <v>0</v>
      </c>
      <c r="N4815" s="17">
        <f>K4815*0.08+L4815*0.08</f>
        <v/>
      </c>
      <c r="O4815" s="17">
        <f>-(K4815*0.025+L4815*0.025)</f>
        <v/>
      </c>
      <c r="P4815" s="17">
        <f>32</f>
        <v/>
      </c>
      <c r="Q4815" s="17">
        <f>J4815+L4815+N4815+O4815-P4815-M4815</f>
        <v/>
      </c>
    </row>
    <row r="4816">
      <c r="A4816" s="16" t="inlineStr">
        <is>
          <t>5.8-5.14</t>
        </is>
      </c>
      <c r="B4816" s="16" t="inlineStr">
        <is>
          <t>PO-128-04598524900471679</t>
        </is>
      </c>
      <c r="C4816" s="16" t="inlineStr">
        <is>
          <t>Shipped</t>
        </is>
      </c>
      <c r="D4816" s="16" t="inlineStr">
        <is>
          <t>128-04598535386231679</t>
        </is>
      </c>
      <c r="E4816" s="16" t="inlineStr">
        <is>
          <t>Shipped</t>
        </is>
      </c>
      <c r="F4816" s="16" t="inlineStr">
        <is>
          <t>LV25W22</t>
        </is>
      </c>
      <c r="G48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16" s="16" t="inlineStr">
        <is>
          <t>LV25W32</t>
        </is>
      </c>
      <c r="I4816" s="16" t="n">
        <v>1</v>
      </c>
      <c r="J4816" s="17" t="n">
        <v>97</v>
      </c>
      <c r="K4816" s="17" t="n">
        <v>88.75</v>
      </c>
      <c r="L4816" s="17" t="n">
        <v>25.86</v>
      </c>
      <c r="M4816" s="17" t="n">
        <v>0</v>
      </c>
      <c r="N4816" s="17">
        <f>K4816*0.08+L4816*0.08</f>
        <v/>
      </c>
      <c r="O4816" s="17">
        <f>-(K4816*0.025+L4816*0.025)</f>
        <v/>
      </c>
      <c r="P4816" s="17">
        <f>32</f>
        <v/>
      </c>
      <c r="Q4816" s="17">
        <f>J4816+L4816+N4816+O4816-P4816-M4816</f>
        <v/>
      </c>
    </row>
    <row r="4817">
      <c r="A4817" s="16" t="inlineStr">
        <is>
          <t>5.8-5.14</t>
        </is>
      </c>
      <c r="B4817" s="16" t="inlineStr">
        <is>
          <t>PO-128-04254229857913731</t>
        </is>
      </c>
      <c r="C4817" s="16" t="inlineStr">
        <is>
          <t>Shipped</t>
        </is>
      </c>
      <c r="D4817" s="16" t="inlineStr">
        <is>
          <t>128-04254334715513731</t>
        </is>
      </c>
      <c r="E4817" s="16" t="inlineStr">
        <is>
          <t>Shipped</t>
        </is>
      </c>
      <c r="F4817" s="16" t="inlineStr">
        <is>
          <t>LV25W22</t>
        </is>
      </c>
      <c r="G48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17" s="16" t="inlineStr">
        <is>
          <t>LV25W32</t>
        </is>
      </c>
      <c r="I4817" s="16" t="n">
        <v>1</v>
      </c>
      <c r="J4817" s="17" t="n">
        <v>97</v>
      </c>
      <c r="K4817" s="17" t="n">
        <v>75.19</v>
      </c>
      <c r="L4817" s="17" t="n">
        <v>25.86</v>
      </c>
      <c r="M4817" s="17" t="n">
        <v>0</v>
      </c>
      <c r="N4817" s="17">
        <f>K4817*0.08+L4817*0.08</f>
        <v/>
      </c>
      <c r="O4817" s="17">
        <f>-(K4817*0.025+L4817*0.025)</f>
        <v/>
      </c>
      <c r="P4817" s="17">
        <f>32</f>
        <v/>
      </c>
      <c r="Q4817" s="17">
        <f>J4817+L4817+N4817+O4817-P4817-M4817</f>
        <v/>
      </c>
    </row>
    <row r="4818">
      <c r="A4818" s="16" t="inlineStr">
        <is>
          <t>5.8-5.14</t>
        </is>
      </c>
      <c r="B4818" s="16" t="inlineStr">
        <is>
          <t>PO-128-04502054016631356</t>
        </is>
      </c>
      <c r="C4818" s="16" t="inlineStr">
        <is>
          <t>Shipped</t>
        </is>
      </c>
      <c r="D4818" s="16" t="inlineStr">
        <is>
          <t>128-04502095959671356</t>
        </is>
      </c>
      <c r="E4818" s="16" t="inlineStr">
        <is>
          <t>Shipped</t>
        </is>
      </c>
      <c r="F4818" s="16" t="inlineStr">
        <is>
          <t>KTS-1678Y</t>
        </is>
      </c>
      <c r="G4818" s="16" t="inlineStr">
        <is>
          <t>Bocina portátil Inalámbrico, de 3 pulgadas, tamaño de bolsillo, 170 g, con asa, compatible con TF, USB y Micro SD, con radio FM y función TWS (True Wireless Stereo), adecuada para relajarse en casa o viajar al aire libre.</t>
        </is>
      </c>
      <c r="H4818" s="16" t="inlineStr">
        <is>
          <t>KTS-1678Y</t>
        </is>
      </c>
      <c r="I4818" s="16" t="n">
        <v>1</v>
      </c>
      <c r="J4818" s="17" t="n">
        <v>42.5</v>
      </c>
      <c r="K4818" s="17" t="n">
        <v>48.7</v>
      </c>
      <c r="L4818" s="17" t="n">
        <v>25.86</v>
      </c>
      <c r="M4818" s="17" t="n">
        <v>0</v>
      </c>
      <c r="N4818" s="17">
        <f>K4818*0.08+L4818*0.08</f>
        <v/>
      </c>
      <c r="O4818" s="17">
        <f>-(K4818*0.025+L4818*0.025)</f>
        <v/>
      </c>
      <c r="P4818" s="17">
        <f>32</f>
        <v/>
      </c>
      <c r="Q4818" s="17">
        <f>J4818+L4818+N4818+O4818-P4818-M4818</f>
        <v/>
      </c>
    </row>
    <row r="4819">
      <c r="A4819" s="16" t="inlineStr">
        <is>
          <t>5.8-5.14</t>
        </is>
      </c>
      <c r="B4819" s="16" t="inlineStr">
        <is>
          <t>PO-128-04627160169591570</t>
        </is>
      </c>
      <c r="C4819" s="16" t="inlineStr">
        <is>
          <t>Shipped</t>
        </is>
      </c>
      <c r="D4819" s="16" t="inlineStr">
        <is>
          <t>128-04627320077431570</t>
        </is>
      </c>
      <c r="E4819" s="16" t="inlineStr">
        <is>
          <t>Shipped</t>
        </is>
      </c>
      <c r="F4819" s="16" t="inlineStr">
        <is>
          <t>LV25W22</t>
        </is>
      </c>
      <c r="G48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19" s="16" t="inlineStr">
        <is>
          <t>LV25W32</t>
        </is>
      </c>
      <c r="I4819" s="16" t="n">
        <v>2</v>
      </c>
      <c r="J4819" s="17" t="n">
        <v>194</v>
      </c>
      <c r="K4819" s="17" t="n">
        <v>214.82</v>
      </c>
      <c r="L4819" s="17" t="n">
        <v>25.86</v>
      </c>
      <c r="M4819" s="17" t="n">
        <v>0</v>
      </c>
      <c r="N4819" s="17">
        <f>K4819*0.08+L4819*0.08</f>
        <v/>
      </c>
      <c r="O4819" s="17">
        <f>-(K4819*0.025+L4819*0.025)</f>
        <v/>
      </c>
      <c r="P4819" s="17">
        <f>32</f>
        <v/>
      </c>
      <c r="Q4819" s="17">
        <f>J4819+L4819+N4819+O4819-P4819-M4819</f>
        <v/>
      </c>
    </row>
    <row r="4820">
      <c r="A4820" s="16" t="inlineStr">
        <is>
          <t>5.8-5.14</t>
        </is>
      </c>
      <c r="B4820" s="16" t="inlineStr">
        <is>
          <t>PO-128-04499091256951374</t>
        </is>
      </c>
      <c r="C4820" s="16" t="inlineStr">
        <is>
          <t>Shipped</t>
        </is>
      </c>
      <c r="D4820" s="16" t="inlineStr">
        <is>
          <t>128-04499112228471374</t>
        </is>
      </c>
      <c r="E4820" s="16" t="inlineStr">
        <is>
          <t>Shipped</t>
        </is>
      </c>
      <c r="F4820" s="16" t="inlineStr">
        <is>
          <t>VB347T</t>
        </is>
      </c>
      <c r="G482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820" s="16" t="inlineStr">
        <is>
          <t>1 pieza</t>
        </is>
      </c>
      <c r="I4820" s="16" t="n">
        <v>8</v>
      </c>
      <c r="J4820" s="17" t="n">
        <v>639.2</v>
      </c>
      <c r="K4820" s="17" t="n">
        <v>756.08</v>
      </c>
      <c r="L4820" s="17" t="n">
        <v>0</v>
      </c>
      <c r="M4820" s="17" t="n">
        <v>0</v>
      </c>
      <c r="N4820" s="17">
        <f>K4820*0.08+L4820*0.08</f>
        <v/>
      </c>
      <c r="O4820" s="17">
        <f>-(K4820*0.025+L4820*0.025)</f>
        <v/>
      </c>
      <c r="P4820" s="17">
        <f>32</f>
        <v/>
      </c>
      <c r="Q4820" s="17">
        <f>J4820+L4820+N4820+O4820-P4820-M4820</f>
        <v/>
      </c>
    </row>
    <row r="4821">
      <c r="A4821" s="16" t="inlineStr">
        <is>
          <t>5.8-5.14</t>
        </is>
      </c>
      <c r="B4821" s="16" t="inlineStr">
        <is>
          <t>PO-128-04311029304952497</t>
        </is>
      </c>
      <c r="C4821" s="16" t="inlineStr">
        <is>
          <t>Shipped</t>
        </is>
      </c>
      <c r="D4821" s="16" t="inlineStr">
        <is>
          <t>128-04311050276472497</t>
        </is>
      </c>
      <c r="E4821" s="16" t="inlineStr">
        <is>
          <t>Shipped</t>
        </is>
      </c>
      <c r="F4821" s="16" t="inlineStr">
        <is>
          <t>MB-185N</t>
        </is>
      </c>
      <c r="G4821" s="16" t="inlineStr">
        <is>
          <t>Bocina Radio FM/Reproductor, Compatible con Tarjeta TF, USB, Bluetooth, Aplicable para celular, computadora, Ipad y consola.</t>
        </is>
      </c>
      <c r="H4821" s="16" t="inlineStr">
        <is>
          <t>NEGRO/MB-185</t>
        </is>
      </c>
      <c r="I4821" s="16" t="n">
        <v>1</v>
      </c>
      <c r="J4821" s="17" t="n">
        <v>75.5</v>
      </c>
      <c r="K4821" s="17" t="n">
        <v>88.45999999999999</v>
      </c>
      <c r="L4821" s="17" t="n">
        <v>25.86</v>
      </c>
      <c r="M4821" s="17" t="n">
        <v>0</v>
      </c>
      <c r="N4821" s="17">
        <f>K4821*0.08+L4821*0.08</f>
        <v/>
      </c>
      <c r="O4821" s="17">
        <f>-(K4821*0.025+L4821*0.025)</f>
        <v/>
      </c>
      <c r="P4821" s="17">
        <f>32</f>
        <v/>
      </c>
      <c r="Q4821" s="17">
        <f>J4821+L4821+N4821+O4821-P4821-M4821</f>
        <v/>
      </c>
    </row>
    <row r="4822">
      <c r="A4822" s="16" t="inlineStr">
        <is>
          <t>5.8-5.14</t>
        </is>
      </c>
      <c r="B4822" s="16" t="inlineStr">
        <is>
          <t>PO-128-04381483461752973</t>
        </is>
      </c>
      <c r="C4822" s="16" t="inlineStr">
        <is>
          <t>Shipped</t>
        </is>
      </c>
      <c r="D4822" s="16" t="inlineStr">
        <is>
          <t>128-04381504433272973</t>
        </is>
      </c>
      <c r="E4822" s="16" t="inlineStr">
        <is>
          <t>Shipped</t>
        </is>
      </c>
      <c r="F4822" s="16" t="inlineStr">
        <is>
          <t>LB02235-rojo</t>
        </is>
      </c>
      <c r="G4822" s="16" t="inlineStr">
        <is>
          <t>Audífonos Inalámbricos para la Cabeza, Recargables y Multifuncionales - Conectan a Varios Dispositivos, soportan Radio FM, Tarjeta TF y AUX - 4 Horas de Reproducción Musical - Ideal para Trabajo Cotidiano, Juegos y Estudio</t>
        </is>
      </c>
      <c r="H4822" s="16" t="inlineStr">
        <is>
          <t>ROJO</t>
        </is>
      </c>
      <c r="I4822" s="16" t="n">
        <v>1</v>
      </c>
      <c r="J4822" s="17" t="n">
        <v>38</v>
      </c>
      <c r="K4822" s="17" t="n">
        <v>51.12</v>
      </c>
      <c r="L4822" s="17" t="n">
        <v>25.86</v>
      </c>
      <c r="M4822" s="17" t="n">
        <v>0</v>
      </c>
      <c r="N4822" s="17">
        <f>K4822*0.08+L4822*0.08</f>
        <v/>
      </c>
      <c r="O4822" s="17">
        <f>-(K4822*0.025+L4822*0.025)</f>
        <v/>
      </c>
      <c r="P4822" s="17">
        <f>32</f>
        <v/>
      </c>
      <c r="Q4822" s="17">
        <f>J4822+L4822+N4822+O4822-P4822-M4822</f>
        <v/>
      </c>
    </row>
    <row r="4823">
      <c r="A4823" s="16" t="inlineStr">
        <is>
          <t>5.8-5.14</t>
        </is>
      </c>
      <c r="B4823" s="16" t="inlineStr">
        <is>
          <t>PO-128-04774979364470691</t>
        </is>
      </c>
      <c r="C4823" s="16" t="inlineStr">
        <is>
          <t>Shipped</t>
        </is>
      </c>
      <c r="D4823" s="16" t="inlineStr">
        <is>
          <t>128-04775010821750691</t>
        </is>
      </c>
      <c r="E4823" s="16" t="inlineStr">
        <is>
          <t>Shipped</t>
        </is>
      </c>
      <c r="F4823" s="16" t="inlineStr">
        <is>
          <t>LV25W22</t>
        </is>
      </c>
      <c r="G482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23" s="16" t="inlineStr">
        <is>
          <t>LV25W32</t>
        </is>
      </c>
      <c r="I4823" s="16" t="n">
        <v>1</v>
      </c>
      <c r="J4823" s="17" t="n">
        <v>97</v>
      </c>
      <c r="K4823" s="17" t="n">
        <v>107.41</v>
      </c>
      <c r="L4823" s="17" t="n">
        <v>25.86</v>
      </c>
      <c r="M4823" s="17" t="n">
        <v>0</v>
      </c>
      <c r="N4823" s="17">
        <f>K4823*0.08+L4823*0.08</f>
        <v/>
      </c>
      <c r="O4823" s="17">
        <f>-(K4823*0.025+L4823*0.025)</f>
        <v/>
      </c>
      <c r="P4823" s="17">
        <f>32</f>
        <v/>
      </c>
      <c r="Q4823" s="17">
        <f>J4823+L4823+N4823+O4823-P4823-M4823</f>
        <v/>
      </c>
    </row>
    <row r="4824">
      <c r="A4824" s="16" t="inlineStr">
        <is>
          <t>5.8-5.14</t>
        </is>
      </c>
      <c r="B4824" s="16" t="inlineStr">
        <is>
          <t>PO-128-04524711337591223</t>
        </is>
      </c>
      <c r="C4824" s="16" t="inlineStr">
        <is>
          <t>Shipped</t>
        </is>
      </c>
      <c r="D4824" s="16" t="inlineStr">
        <is>
          <t>128-04524669394551223</t>
        </is>
      </c>
      <c r="E4824" s="16" t="inlineStr">
        <is>
          <t>Shipped</t>
        </is>
      </c>
      <c r="F4824" s="16" t="inlineStr">
        <is>
          <t>LV25W22</t>
        </is>
      </c>
      <c r="G48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24" s="16" t="inlineStr">
        <is>
          <t>LV25W32</t>
        </is>
      </c>
      <c r="I4824" s="16" t="n">
        <v>1</v>
      </c>
      <c r="J4824" s="17" t="n">
        <v>97</v>
      </c>
      <c r="K4824" s="17" t="n">
        <v>107.41</v>
      </c>
      <c r="L4824" s="17" t="n">
        <v>25.86</v>
      </c>
      <c r="M4824" s="17" t="n">
        <v>0</v>
      </c>
      <c r="N4824" s="17">
        <f>K4824*0.08+L4824*0.08</f>
        <v/>
      </c>
      <c r="O4824" s="17">
        <f>-(K4824*0.025+L4824*0.025)</f>
        <v/>
      </c>
      <c r="P4824" s="17">
        <f>32</f>
        <v/>
      </c>
      <c r="Q4824" s="17">
        <f>J4824+L4824+N4824+O4824-P4824-M4824</f>
        <v/>
      </c>
    </row>
    <row r="4825">
      <c r="A4825" s="16" t="inlineStr">
        <is>
          <t>5.8-5.14</t>
        </is>
      </c>
      <c r="B4825" s="16" t="inlineStr">
        <is>
          <t>PO-128-04485423181431521</t>
        </is>
      </c>
      <c r="C4825" s="16" t="inlineStr">
        <is>
          <t>Shipped</t>
        </is>
      </c>
      <c r="D4825" s="16" t="inlineStr">
        <is>
          <t>128-04485528039031521</t>
        </is>
      </c>
      <c r="E4825" s="16" t="inlineStr">
        <is>
          <t>Shipped</t>
        </is>
      </c>
      <c r="F4825" s="16" t="inlineStr">
        <is>
          <t>MCM-001N</t>
        </is>
      </c>
      <c r="G4825" s="16" t="inlineStr">
        <is>
          <t>Musicord Altavoz Inalámbrico BT Portátil: ¡Sonido impactante, luces LED multicolores y 4 horas de autonomía! Compatible con TWS, FM, TF y USB – Imprescindible para fiestas y viajes</t>
        </is>
      </c>
      <c r="H4825" s="16" t="inlineStr">
        <is>
          <t>NEGRO</t>
        </is>
      </c>
      <c r="I4825" s="16" t="n">
        <v>1</v>
      </c>
      <c r="J4825" s="17" t="n">
        <v>61</v>
      </c>
      <c r="K4825" s="17" t="n">
        <v>29.17</v>
      </c>
      <c r="L4825" s="17" t="n">
        <v>25.86</v>
      </c>
      <c r="M4825" s="17" t="n">
        <v>0</v>
      </c>
      <c r="N4825" s="17">
        <f>K4825*0.08+L4825*0.08</f>
        <v/>
      </c>
      <c r="O4825" s="17">
        <f>-(K4825*0.025+L4825*0.025)</f>
        <v/>
      </c>
      <c r="P4825" s="17">
        <f>32</f>
        <v/>
      </c>
      <c r="Q4825" s="17">
        <f>J4825+L4825+N4825+O4825-P4825-M4825</f>
        <v/>
      </c>
    </row>
    <row r="4826">
      <c r="A4826" s="16" t="inlineStr">
        <is>
          <t>5.8-5.14</t>
        </is>
      </c>
      <c r="B4826" s="16" t="inlineStr">
        <is>
          <t>PO-128-04155916672633421</t>
        </is>
      </c>
      <c r="C4826" s="16" t="inlineStr">
        <is>
          <t>Shipped</t>
        </is>
      </c>
      <c r="D4826" s="16" t="inlineStr">
        <is>
          <t>128-04156021530233421</t>
        </is>
      </c>
      <c r="E4826" s="16" t="inlineStr">
        <is>
          <t>Shipped</t>
        </is>
      </c>
      <c r="F4826" s="16" t="inlineStr">
        <is>
          <t>LV25W22</t>
        </is>
      </c>
      <c r="G48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26" s="16" t="inlineStr">
        <is>
          <t>LV25W32</t>
        </is>
      </c>
      <c r="I4826" s="16" t="n">
        <v>1</v>
      </c>
      <c r="J4826" s="17" t="n">
        <v>97</v>
      </c>
      <c r="K4826" s="17" t="n">
        <v>107.41</v>
      </c>
      <c r="L4826" s="17" t="n">
        <v>25.86</v>
      </c>
      <c r="M4826" s="17" t="n">
        <v>0</v>
      </c>
      <c r="N4826" s="17">
        <f>K4826*0.08+L4826*0.08</f>
        <v/>
      </c>
      <c r="O4826" s="17">
        <f>-(K4826*0.025+L4826*0.025)</f>
        <v/>
      </c>
      <c r="P4826" s="17">
        <f>32</f>
        <v/>
      </c>
      <c r="Q4826" s="17">
        <f>J4826+L4826+N4826+O4826-P4826-M4826</f>
        <v/>
      </c>
    </row>
    <row r="4827">
      <c r="A4827" s="16" t="inlineStr">
        <is>
          <t>5.8-5.14</t>
        </is>
      </c>
      <c r="B4827" s="16" t="inlineStr">
        <is>
          <t>PO-128-04356344591992291</t>
        </is>
      </c>
      <c r="C4827" s="16" t="inlineStr">
        <is>
          <t>Shipped</t>
        </is>
      </c>
      <c r="D4827" s="16" t="inlineStr">
        <is>
          <t>128-04356347213432291</t>
        </is>
      </c>
      <c r="E4827" s="16" t="inlineStr">
        <is>
          <t>Shipped</t>
        </is>
      </c>
      <c r="F4827" s="16" t="inlineStr">
        <is>
          <t>LV64W25</t>
        </is>
      </c>
      <c r="G4827" s="16" t="inlineStr">
        <is>
          <t>Ventilador de Techo LED TIANLAI con 5 Aspas, Control Remoto, 3 Colores Luz, 3 Velocidades, Temporizador, Fácil Instalación, E27 para Baño Cocina Dormitorio Salón</t>
        </is>
      </c>
      <c r="H4827" s="16" t="inlineStr">
        <is>
          <t>LV64W25</t>
        </is>
      </c>
      <c r="I4827" s="16" t="n">
        <v>2</v>
      </c>
      <c r="J4827" s="17" t="n">
        <v>312</v>
      </c>
      <c r="K4827" s="17" t="n">
        <v>394.11</v>
      </c>
      <c r="L4827" s="17" t="n">
        <v>0</v>
      </c>
      <c r="M4827" s="17" t="n">
        <v>0</v>
      </c>
      <c r="N4827" s="17">
        <f>K4827*0.08+L4827*0.08</f>
        <v/>
      </c>
      <c r="O4827" s="17">
        <f>-(K4827*0.025+L4827*0.025)</f>
        <v/>
      </c>
      <c r="P4827" s="17">
        <f>32</f>
        <v/>
      </c>
      <c r="Q4827" s="17">
        <f>J4827+L4827+N4827+O4827-P4827-M4827</f>
        <v/>
      </c>
    </row>
    <row r="4828">
      <c r="A4828" s="16" t="inlineStr">
        <is>
          <t>5.8-5.14</t>
        </is>
      </c>
      <c r="B4828" s="16" t="inlineStr">
        <is>
          <t>PO-128-04339381253752198</t>
        </is>
      </c>
      <c r="C4828" s="16" t="inlineStr">
        <is>
          <t>Shipped</t>
        </is>
      </c>
      <c r="D4828" s="16" t="inlineStr">
        <is>
          <t>128-04339402225272198</t>
        </is>
      </c>
      <c r="E4828" s="16" t="inlineStr">
        <is>
          <t>Shipped</t>
        </is>
      </c>
      <c r="F4828" s="16" t="inlineStr">
        <is>
          <t>LB02235-negro</t>
        </is>
      </c>
      <c r="G4828" s="16" t="inlineStr">
        <is>
          <t>Audífonos Inalámbricos para la Cabeza, Recargables y Multifuncionales - Conectan a Varios Dispositivos, soportan Radio FM, Tarjeta TF y AUX - 4 Horas de Reproducción Musical - Ideal para Trabajo Cotidiano, Juegos y Estudio</t>
        </is>
      </c>
      <c r="H4828" s="16" t="inlineStr">
        <is>
          <t>NEGRO</t>
        </is>
      </c>
      <c r="I4828" s="16" t="n">
        <v>1</v>
      </c>
      <c r="J4828" s="17" t="n">
        <v>45.31</v>
      </c>
      <c r="K4828" s="17" t="n">
        <v>39.39</v>
      </c>
      <c r="L4828" s="17" t="n">
        <v>25.86</v>
      </c>
      <c r="M4828" s="17" t="n">
        <v>0</v>
      </c>
      <c r="N4828" s="17">
        <f>K4828*0.08+L4828*0.08</f>
        <v/>
      </c>
      <c r="O4828" s="17">
        <f>-(K4828*0.025+L4828*0.025)</f>
        <v/>
      </c>
      <c r="P4828" s="17">
        <f>32</f>
        <v/>
      </c>
      <c r="Q4828" s="17">
        <f>J4828+L4828+N4828+O4828-P4828-M4828</f>
        <v/>
      </c>
    </row>
    <row r="4829">
      <c r="A4829" s="16" t="inlineStr">
        <is>
          <t>5.8-5.14</t>
        </is>
      </c>
      <c r="B4829" s="16" t="inlineStr">
        <is>
          <t>PO-128-04567950380151989</t>
        </is>
      </c>
      <c r="C4829" s="16" t="inlineStr">
        <is>
          <t>Shipped</t>
        </is>
      </c>
      <c r="D4829" s="16" t="inlineStr">
        <is>
          <t>128-04567981837431989</t>
        </is>
      </c>
      <c r="E4829" s="16" t="inlineStr">
        <is>
          <t>Shipped</t>
        </is>
      </c>
      <c r="F4829" s="16" t="inlineStr">
        <is>
          <t>MCM-001G</t>
        </is>
      </c>
      <c r="G4829" s="16" t="inlineStr">
        <is>
          <t>Musicord Altavoz Inalámbrico BT Portátil: ¡Sonido impactante, luces LED multicolores y 4 horas de autonomía! Compatible con TWS, FM, TF y USB – Imprescindible para fiestas y viajes</t>
        </is>
      </c>
      <c r="H4829" s="16" t="inlineStr">
        <is>
          <t>GRIS</t>
        </is>
      </c>
      <c r="I4829" s="16" t="n">
        <v>3</v>
      </c>
      <c r="J4829" s="17" t="n">
        <v>153.21</v>
      </c>
      <c r="K4829" s="17" t="n">
        <v>171</v>
      </c>
      <c r="L4829" s="17" t="n">
        <v>25.86</v>
      </c>
      <c r="M4829" s="17" t="n">
        <v>0</v>
      </c>
      <c r="N4829" s="17">
        <f>K4829*0.08+L4829*0.08</f>
        <v/>
      </c>
      <c r="O4829" s="17">
        <f>-(K4829*0.025+L4829*0.025)</f>
        <v/>
      </c>
      <c r="P4829" s="17">
        <f>32</f>
        <v/>
      </c>
      <c r="Q4829" s="17">
        <f>J4829+L4829+N4829+O4829-P4829-M4829</f>
        <v/>
      </c>
    </row>
    <row r="4830">
      <c r="A4830" s="16" t="inlineStr">
        <is>
          <t>5.8-5.14</t>
        </is>
      </c>
      <c r="B4830" s="16" t="inlineStr">
        <is>
          <t>PO-128-04687879399030187</t>
        </is>
      </c>
      <c r="C4830" s="16" t="inlineStr">
        <is>
          <t>Shipped</t>
        </is>
      </c>
      <c r="D4830" s="16" t="inlineStr">
        <is>
          <t>128-04687837455990187</t>
        </is>
      </c>
      <c r="E4830" s="16" t="inlineStr">
        <is>
          <t>Shipped</t>
        </is>
      </c>
      <c r="F4830" s="16" t="inlineStr">
        <is>
          <t>LV25W22</t>
        </is>
      </c>
      <c r="G483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30" s="16" t="inlineStr">
        <is>
          <t>LV25W32</t>
        </is>
      </c>
      <c r="I4830" s="16" t="n">
        <v>1</v>
      </c>
      <c r="J4830" s="17" t="n">
        <v>97</v>
      </c>
      <c r="K4830" s="17" t="n">
        <v>107.41</v>
      </c>
      <c r="L4830" s="17" t="n">
        <v>25.86</v>
      </c>
      <c r="M4830" s="17" t="n">
        <v>0</v>
      </c>
      <c r="N4830" s="17">
        <f>K4830*0.08+L4830*0.08</f>
        <v/>
      </c>
      <c r="O4830" s="17">
        <f>-(K4830*0.025+L4830*0.025)</f>
        <v/>
      </c>
      <c r="P4830" s="17">
        <f>32</f>
        <v/>
      </c>
      <c r="Q4830" s="17">
        <f>J4830+L4830+N4830+O4830-P4830-M4830</f>
        <v/>
      </c>
    </row>
    <row r="4831">
      <c r="A4831" s="16" t="inlineStr">
        <is>
          <t>5.8-5.14</t>
        </is>
      </c>
      <c r="B4831" s="16" t="inlineStr">
        <is>
          <t>PO-128-04518398695031197</t>
        </is>
      </c>
      <c r="C4831" s="16" t="inlineStr">
        <is>
          <t>Shipped</t>
        </is>
      </c>
      <c r="D4831" s="16" t="inlineStr">
        <is>
          <t>128-04518356751991197</t>
        </is>
      </c>
      <c r="E4831" s="16" t="inlineStr">
        <is>
          <t>Shipped</t>
        </is>
      </c>
      <c r="F4831" s="16" t="inlineStr">
        <is>
          <t>SA325T</t>
        </is>
      </c>
      <c r="G4831" s="16" t="inlineStr">
        <is>
          <t>Subwoofer Portátil Inalámbrico con Luces RGB, Sonido de Alta Potencia y Batería Duradera, TWS TF USB, Perfecto para Campamento Fiestas y Entretenimiento en Casa</t>
        </is>
      </c>
      <c r="H4831" s="16" t="inlineStr">
        <is>
          <t>NEGRO</t>
        </is>
      </c>
      <c r="I4831" s="16" t="n">
        <v>1</v>
      </c>
      <c r="J4831" s="17" t="n">
        <v>38</v>
      </c>
      <c r="K4831" s="17" t="n">
        <v>47.06</v>
      </c>
      <c r="L4831" s="17" t="n">
        <v>25.86</v>
      </c>
      <c r="M4831" s="17" t="n">
        <v>0</v>
      </c>
      <c r="N4831" s="17">
        <f>K4831*0.08+L4831*0.08</f>
        <v/>
      </c>
      <c r="O4831" s="17">
        <f>-(K4831*0.025+L4831*0.025)</f>
        <v/>
      </c>
      <c r="P4831" s="17">
        <f>32</f>
        <v/>
      </c>
      <c r="Q4831" s="17">
        <f>J4831+L4831+N4831+O4831-P4831-M4831</f>
        <v/>
      </c>
    </row>
    <row r="4832">
      <c r="A4832" s="16" t="inlineStr">
        <is>
          <t>5.8-5.14</t>
        </is>
      </c>
      <c r="B4832" s="16" t="inlineStr">
        <is>
          <t>PO-128-04439627300472752</t>
        </is>
      </c>
      <c r="C4832" s="16" t="inlineStr">
        <is>
          <t>Shipped</t>
        </is>
      </c>
      <c r="D4832" s="16" t="inlineStr">
        <is>
          <t>128-04439616814712752</t>
        </is>
      </c>
      <c r="E4832" s="16" t="inlineStr">
        <is>
          <t>Shipped</t>
        </is>
      </c>
      <c r="F4832" s="16" t="inlineStr">
        <is>
          <t>LV25W22</t>
        </is>
      </c>
      <c r="G483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32" s="16" t="inlineStr">
        <is>
          <t>LV25W32</t>
        </is>
      </c>
      <c r="I4832" s="16" t="n">
        <v>1</v>
      </c>
      <c r="J4832" s="17" t="n">
        <v>97</v>
      </c>
      <c r="K4832" s="17" t="n">
        <v>107.41</v>
      </c>
      <c r="L4832" s="17" t="n">
        <v>25.86</v>
      </c>
      <c r="M4832" s="17" t="n">
        <v>0</v>
      </c>
      <c r="N4832" s="17">
        <f>K4832*0.08+L4832*0.08</f>
        <v/>
      </c>
      <c r="O4832" s="17">
        <f>-(K4832*0.025+L4832*0.025)</f>
        <v/>
      </c>
      <c r="P4832" s="17">
        <f>32</f>
        <v/>
      </c>
      <c r="Q4832" s="17">
        <f>J4832+L4832+N4832+O4832-P4832-M4832</f>
        <v/>
      </c>
    </row>
    <row r="4833">
      <c r="A4833" s="16" t="inlineStr">
        <is>
          <t>5.8-5.14</t>
        </is>
      </c>
      <c r="B4833" s="16" t="inlineStr">
        <is>
          <t>PO-128-04233496579193855</t>
        </is>
      </c>
      <c r="C4833" s="16" t="inlineStr">
        <is>
          <t>Shipped</t>
        </is>
      </c>
      <c r="D4833" s="16" t="inlineStr">
        <is>
          <t>128-04233507064953855</t>
        </is>
      </c>
      <c r="E4833" s="16" t="inlineStr">
        <is>
          <t>Shipped</t>
        </is>
      </c>
      <c r="F4833" s="16" t="inlineStr">
        <is>
          <t>SA325T</t>
        </is>
      </c>
      <c r="G4833" s="16" t="inlineStr">
        <is>
          <t>Subwoofer Portátil Inalámbrico con Luces RGB, Sonido de Alta Potencia y Batería Duradera, TWS TF USB, Perfecto para Campamento Fiestas y Entretenimiento en Casa</t>
        </is>
      </c>
      <c r="H4833" s="16" t="inlineStr">
        <is>
          <t>NEGRO</t>
        </is>
      </c>
      <c r="I4833" s="16" t="n">
        <v>1</v>
      </c>
      <c r="J4833" s="17" t="n">
        <v>38</v>
      </c>
      <c r="K4833" s="17" t="n">
        <v>47.06</v>
      </c>
      <c r="L4833" s="17" t="n">
        <v>25.86</v>
      </c>
      <c r="M4833" s="17" t="n">
        <v>0</v>
      </c>
      <c r="N4833" s="17">
        <f>K4833*0.08+L4833*0.08</f>
        <v/>
      </c>
      <c r="O4833" s="17">
        <f>-(K4833*0.025+L4833*0.025)</f>
        <v/>
      </c>
      <c r="P4833" s="17">
        <f>32</f>
        <v/>
      </c>
      <c r="Q4833" s="17">
        <f>J4833+L4833+N4833+O4833-P4833-M4833</f>
        <v/>
      </c>
    </row>
    <row r="4834">
      <c r="A4834" s="16" t="inlineStr">
        <is>
          <t>5.8-5.14</t>
        </is>
      </c>
      <c r="B4834" s="16" t="inlineStr">
        <is>
          <t>PO-128-04376763141752169</t>
        </is>
      </c>
      <c r="C4834" s="16" t="inlineStr">
        <is>
          <t>Shipped</t>
        </is>
      </c>
      <c r="D4834" s="16" t="inlineStr">
        <is>
          <t>128-04376831299192169</t>
        </is>
      </c>
      <c r="E4834" s="16" t="inlineStr">
        <is>
          <t>Shipped</t>
        </is>
      </c>
      <c r="F4834" s="16" t="inlineStr">
        <is>
          <t>MCM-001N</t>
        </is>
      </c>
      <c r="G4834" s="16" t="inlineStr">
        <is>
          <t>Musicord Altavoz Inalámbrico BT Portátil: ¡Sonido impactante, luces LED multicolores y 4 horas de autonomía! Compatible con TWS, FM, TF y USB – Imprescindible para fiestas y viajes</t>
        </is>
      </c>
      <c r="H4834" s="16" t="inlineStr">
        <is>
          <t>NEGRO</t>
        </is>
      </c>
      <c r="I4834" s="16" t="n">
        <v>1</v>
      </c>
      <c r="J4834" s="17" t="n">
        <v>61</v>
      </c>
      <c r="K4834" s="17" t="n">
        <v>72.27</v>
      </c>
      <c r="L4834" s="17" t="n">
        <v>25.86</v>
      </c>
      <c r="M4834" s="17" t="n">
        <v>0</v>
      </c>
      <c r="N4834" s="17">
        <f>K4834*0.08+L4834*0.08</f>
        <v/>
      </c>
      <c r="O4834" s="17">
        <f>-(K4834*0.025+L4834*0.025)</f>
        <v/>
      </c>
      <c r="P4834" s="17">
        <f>32</f>
        <v/>
      </c>
      <c r="Q4834" s="17">
        <f>J4834+L4834+N4834+O4834-P4834-M4834</f>
        <v/>
      </c>
    </row>
    <row r="4835">
      <c r="A4835" s="16" t="inlineStr">
        <is>
          <t>5.8-5.14</t>
        </is>
      </c>
      <c r="B4835" s="16" t="inlineStr">
        <is>
          <t>PO-128-04748125630070787</t>
        </is>
      </c>
      <c r="C4835" s="16" t="inlineStr">
        <is>
          <t>Shipped</t>
        </is>
      </c>
      <c r="D4835" s="16" t="inlineStr">
        <is>
          <t>128-04748141358710787</t>
        </is>
      </c>
      <c r="E4835" s="16" t="inlineStr">
        <is>
          <t>Shipped</t>
        </is>
      </c>
      <c r="F4835" s="16" t="inlineStr">
        <is>
          <t>MB-183R</t>
        </is>
      </c>
      <c r="G4835" s="16" t="inlineStr">
        <is>
          <t>Linkbits Altavoz Bluetooth Portátil con Stereo Inalámbrico TWS Impermeable y a Prueba de Polvo IP65 Altavoz de Graves de Rango Completo de 52mm con Doble Unidad Ligero de 215g para Camping Senderismo y Fiestas al Aire Libre</t>
        </is>
      </c>
      <c r="H4835" s="16" t="inlineStr">
        <is>
          <t>ROJO/MB-183</t>
        </is>
      </c>
      <c r="I4835" s="16" t="n">
        <v>1</v>
      </c>
      <c r="J4835" s="17" t="n">
        <v>84.90000000000001</v>
      </c>
      <c r="K4835" s="17" t="n">
        <v>86.43000000000001</v>
      </c>
      <c r="L4835" s="17" t="n">
        <v>25.86</v>
      </c>
      <c r="M4835" s="17" t="n">
        <v>0</v>
      </c>
      <c r="N4835" s="17">
        <f>K4835*0.08+L4835*0.08</f>
        <v/>
      </c>
      <c r="O4835" s="17">
        <f>-(K4835*0.025+L4835*0.025)</f>
        <v/>
      </c>
      <c r="P4835" s="17">
        <f>32</f>
        <v/>
      </c>
      <c r="Q4835" s="17">
        <f>J4835+L4835+N4835+O4835-P4835-M4835</f>
        <v/>
      </c>
    </row>
    <row r="4836">
      <c r="A4836" s="16" t="inlineStr">
        <is>
          <t>5.8-5.14</t>
        </is>
      </c>
      <c r="B4836" s="16" t="inlineStr">
        <is>
          <t>PO-128-04684810284150141</t>
        </is>
      </c>
      <c r="C4836" s="16" t="inlineStr">
        <is>
          <t>Shipped</t>
        </is>
      </c>
      <c r="D4836" s="16" t="inlineStr">
        <is>
          <t>128-04684831255670141</t>
        </is>
      </c>
      <c r="E4836" s="16" t="inlineStr">
        <is>
          <t>Shipped</t>
        </is>
      </c>
      <c r="F4836" s="16" t="inlineStr">
        <is>
          <t>SA325T</t>
        </is>
      </c>
      <c r="G4836" s="16" t="inlineStr">
        <is>
          <t>Subwoofer Portátil Inalámbrico con Luces RGB, Sonido de Alta Potencia y Batería Duradera, TWS TF USB, Perfecto para Campamento Fiestas y Entretenimiento en Casa</t>
        </is>
      </c>
      <c r="H4836" s="16" t="inlineStr">
        <is>
          <t>NEGRO</t>
        </is>
      </c>
      <c r="I4836" s="16" t="n">
        <v>1</v>
      </c>
      <c r="J4836" s="17" t="n">
        <v>38</v>
      </c>
      <c r="K4836" s="17" t="n">
        <v>44.72</v>
      </c>
      <c r="L4836" s="17" t="n">
        <v>25.86</v>
      </c>
      <c r="M4836" s="17" t="n">
        <v>0</v>
      </c>
      <c r="N4836" s="17">
        <f>K4836*0.08+L4836*0.08</f>
        <v/>
      </c>
      <c r="O4836" s="17">
        <f>-(K4836*0.025+L4836*0.025)</f>
        <v/>
      </c>
      <c r="P4836" s="17">
        <f>32</f>
        <v/>
      </c>
      <c r="Q4836" s="17">
        <f>J4836+L4836+N4836+O4836-P4836-M4836</f>
        <v/>
      </c>
    </row>
    <row r="4837">
      <c r="A4837" s="16" t="inlineStr">
        <is>
          <t>5.8-5.14</t>
        </is>
      </c>
      <c r="B4837" s="16" t="inlineStr">
        <is>
          <t>PO-128-04178333046393286</t>
        </is>
      </c>
      <c r="C4837" s="16" t="inlineStr">
        <is>
          <t>Shipped</t>
        </is>
      </c>
      <c r="D4837" s="16" t="inlineStr">
        <is>
          <t>128-04178291103353286</t>
        </is>
      </c>
      <c r="E4837" s="16" t="inlineStr">
        <is>
          <t>Shipped</t>
        </is>
      </c>
      <c r="F4837" s="16" t="inlineStr">
        <is>
          <t>LV25W22</t>
        </is>
      </c>
      <c r="G48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37" s="16" t="inlineStr">
        <is>
          <t>LV25W32</t>
        </is>
      </c>
      <c r="I4837" s="16" t="n">
        <v>1</v>
      </c>
      <c r="J4837" s="17" t="n">
        <v>97</v>
      </c>
      <c r="K4837" s="17" t="n">
        <v>107.41</v>
      </c>
      <c r="L4837" s="17" t="n">
        <v>25.86</v>
      </c>
      <c r="M4837" s="17" t="n">
        <v>0</v>
      </c>
      <c r="N4837" s="17">
        <f>K4837*0.08+L4837*0.08</f>
        <v/>
      </c>
      <c r="O4837" s="17">
        <f>-(K4837*0.025+L4837*0.025)</f>
        <v/>
      </c>
      <c r="P4837" s="17">
        <f>32</f>
        <v/>
      </c>
      <c r="Q4837" s="17">
        <f>J4837+L4837+N4837+O4837-P4837-M4837</f>
        <v/>
      </c>
    </row>
    <row r="4838">
      <c r="A4838" s="16" t="inlineStr">
        <is>
          <t>5.8-5.14</t>
        </is>
      </c>
      <c r="B4838" s="16" t="inlineStr">
        <is>
          <t>PO-128-04244264965753919</t>
        </is>
      </c>
      <c r="C4838" s="16" t="inlineStr">
        <is>
          <t>Shipped</t>
        </is>
      </c>
      <c r="D4838" s="16" t="inlineStr">
        <is>
          <t>128-04244223022713919</t>
        </is>
      </c>
      <c r="E4838" s="16" t="inlineStr">
        <is>
          <t>Shipped</t>
        </is>
      </c>
      <c r="F4838" s="16" t="inlineStr">
        <is>
          <t>LB02235-azul</t>
        </is>
      </c>
      <c r="G4838" s="16" t="inlineStr">
        <is>
          <t>Audífonos Inalámbricos para la Cabeza, Recargables y Multifuncionales - Conectan a Varios Dispositivos, soportan Radio FM, Tarjeta TF y AUX - 4 Horas de Reproducción Musical - Ideal para Trabajo Cotidiano, Juegos y Estudio</t>
        </is>
      </c>
      <c r="H4838" s="16" t="inlineStr">
        <is>
          <t>AZUL</t>
        </is>
      </c>
      <c r="I4838" s="16" t="n">
        <v>1</v>
      </c>
      <c r="J4838" s="17" t="n">
        <v>37.73</v>
      </c>
      <c r="K4838" s="17" t="n">
        <v>7.74</v>
      </c>
      <c r="L4838" s="17" t="n">
        <v>25.86</v>
      </c>
      <c r="M4838" s="17" t="n">
        <v>0</v>
      </c>
      <c r="N4838" s="17">
        <f>K4838*0.08+L4838*0.08</f>
        <v/>
      </c>
      <c r="O4838" s="17">
        <f>-(K4838*0.025+L4838*0.025)</f>
        <v/>
      </c>
      <c r="P4838" s="17">
        <f>32</f>
        <v/>
      </c>
      <c r="Q4838" s="17">
        <f>J4838+L4838+N4838+O4838-P4838-M4838</f>
        <v/>
      </c>
    </row>
    <row r="4839">
      <c r="A4839" s="16" t="inlineStr">
        <is>
          <t>5.8-5.14</t>
        </is>
      </c>
      <c r="B4839" s="16" t="inlineStr">
        <is>
          <t>PO-128-04514424740471154</t>
        </is>
      </c>
      <c r="C4839" s="16" t="inlineStr">
        <is>
          <t>Shipped</t>
        </is>
      </c>
      <c r="D4839" s="16" t="inlineStr">
        <is>
          <t>128-04514561055351154</t>
        </is>
      </c>
      <c r="E4839" s="16" t="inlineStr">
        <is>
          <t>Shipped</t>
        </is>
      </c>
      <c r="F4839" s="16" t="inlineStr">
        <is>
          <t>MCM-001N</t>
        </is>
      </c>
      <c r="G4839" s="16" t="inlineStr">
        <is>
          <t>Musicord Altavoz Inalámbrico BT Portátil: ¡Sonido impactante, luces LED multicolores y 4 horas de autonomía! Compatible con TWS, FM, TF y USB – Imprescindible para fiestas y viajes</t>
        </is>
      </c>
      <c r="H4839" s="16" t="inlineStr">
        <is>
          <t>NEGRO</t>
        </is>
      </c>
      <c r="I4839" s="16" t="n">
        <v>1</v>
      </c>
      <c r="J4839" s="17" t="n">
        <v>61</v>
      </c>
      <c r="K4839" s="17" t="n">
        <v>18.82</v>
      </c>
      <c r="L4839" s="17" t="n">
        <v>25.86</v>
      </c>
      <c r="M4839" s="17" t="n">
        <v>0</v>
      </c>
      <c r="N4839" s="17">
        <f>K4839*0.08+L4839*0.08</f>
        <v/>
      </c>
      <c r="O4839" s="17">
        <f>-(K4839*0.025+L4839*0.025)</f>
        <v/>
      </c>
      <c r="P4839" s="17">
        <f>32</f>
        <v/>
      </c>
      <c r="Q4839" s="17">
        <f>J4839+L4839+N4839+O4839-P4839-M4839</f>
        <v/>
      </c>
    </row>
    <row r="4840">
      <c r="A4840" s="16" t="inlineStr">
        <is>
          <t>5.8-5.14</t>
        </is>
      </c>
      <c r="B4840" s="16" t="inlineStr">
        <is>
          <t>PO-128-04367906161272092</t>
        </is>
      </c>
      <c r="C4840" s="16" t="inlineStr">
        <is>
          <t>Shipped</t>
        </is>
      </c>
      <c r="D4840" s="16" t="inlineStr">
        <is>
          <t>128-04367937618552092</t>
        </is>
      </c>
      <c r="E4840" s="16" t="inlineStr">
        <is>
          <t>Shipped</t>
        </is>
      </c>
      <c r="F4840" s="16" t="inlineStr">
        <is>
          <t>MCM-001G</t>
        </is>
      </c>
      <c r="G4840" s="16" t="inlineStr">
        <is>
          <t>Musicord Altavoz Inalámbrico BT Portátil: ¡Sonido impactante, luces LED multicolores y 4 horas de autonomía! Compatible con TWS, FM, TF y USB – Imprescindible para fiestas y viajes</t>
        </is>
      </c>
      <c r="H4840" s="16" t="inlineStr">
        <is>
          <t>GRIS</t>
        </is>
      </c>
      <c r="I4840" s="16" t="n">
        <v>1</v>
      </c>
      <c r="J4840" s="17" t="n">
        <v>51</v>
      </c>
      <c r="K4840" s="17" t="n">
        <v>49.82</v>
      </c>
      <c r="L4840" s="17" t="n">
        <v>25.86</v>
      </c>
      <c r="M4840" s="17" t="n">
        <v>0</v>
      </c>
      <c r="N4840" s="17">
        <f>K4840*0.08+L4840*0.08</f>
        <v/>
      </c>
      <c r="O4840" s="17">
        <f>-(K4840*0.025+L4840*0.025)</f>
        <v/>
      </c>
      <c r="P4840" s="17">
        <f>32</f>
        <v/>
      </c>
      <c r="Q4840" s="17">
        <f>J4840+L4840+N4840+O4840-P4840-M4840</f>
        <v/>
      </c>
    </row>
    <row r="4841">
      <c r="A4841" s="16" t="inlineStr">
        <is>
          <t>5.8-5.14</t>
        </is>
      </c>
      <c r="B4841" s="16" t="inlineStr">
        <is>
          <t>PO-128-04417967463032883</t>
        </is>
      </c>
      <c r="C4841" s="16" t="inlineStr">
        <is>
          <t>Shipped</t>
        </is>
      </c>
      <c r="D4841" s="16" t="inlineStr">
        <is>
          <t>128-04417963530872883</t>
        </is>
      </c>
      <c r="E4841" s="16" t="inlineStr">
        <is>
          <t>Shipped</t>
        </is>
      </c>
      <c r="F4841" s="16" t="inlineStr">
        <is>
          <t>SA8056T</t>
        </is>
      </c>
      <c r="G4841"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841" s="16" t="inlineStr">
        <is>
          <t>SA8056T</t>
        </is>
      </c>
      <c r="I4841" s="16" t="n">
        <v>2</v>
      </c>
      <c r="J4841" s="17" t="n">
        <v>276</v>
      </c>
      <c r="K4841" s="17" t="n">
        <v>253.42</v>
      </c>
      <c r="L4841" s="17" t="n">
        <v>0</v>
      </c>
      <c r="M4841" s="17" t="n">
        <v>22.58</v>
      </c>
      <c r="N4841" s="17">
        <f>K4841*0.08+L4841*0.08</f>
        <v/>
      </c>
      <c r="O4841" s="17">
        <f>-(K4841*0.025+L4841*0.025)</f>
        <v/>
      </c>
      <c r="P4841" s="17">
        <f>32</f>
        <v/>
      </c>
      <c r="Q4841" s="17">
        <f>J4841+L4841+N4841+O4841-P4841-M4841</f>
        <v/>
      </c>
    </row>
    <row r="4842">
      <c r="A4842" s="16" t="inlineStr">
        <is>
          <t>5.8-5.14</t>
        </is>
      </c>
      <c r="B4842" s="16" t="inlineStr">
        <is>
          <t>PO-128-04247849155193961</t>
        </is>
      </c>
      <c r="C4842" s="16" t="inlineStr">
        <is>
          <t>Shipped</t>
        </is>
      </c>
      <c r="D4842" s="16" t="inlineStr">
        <is>
          <t>128-04247954012793961</t>
        </is>
      </c>
      <c r="E4842" s="16" t="inlineStr">
        <is>
          <t>Shipped</t>
        </is>
      </c>
      <c r="F4842" s="16" t="inlineStr">
        <is>
          <t>SA325T</t>
        </is>
      </c>
      <c r="G4842" s="16" t="inlineStr">
        <is>
          <t>Subwoofer Portátil Inalámbrico con Luces RGB, Sonido de Alta Potencia y Batería Duradera, TWS TF USB, Perfecto para Campamento Fiestas y Entretenimiento en Casa</t>
        </is>
      </c>
      <c r="H4842" s="16" t="inlineStr">
        <is>
          <t>NEGRO</t>
        </is>
      </c>
      <c r="I4842" s="16" t="n">
        <v>10</v>
      </c>
      <c r="J4842" s="17" t="n">
        <v>360</v>
      </c>
      <c r="K4842" s="17" t="n">
        <v>450.6</v>
      </c>
      <c r="L4842" s="17" t="n">
        <v>0</v>
      </c>
      <c r="M4842" s="17" t="n">
        <v>0</v>
      </c>
      <c r="N4842" s="17">
        <f>K4842*0.08+L4842*0.08</f>
        <v/>
      </c>
      <c r="O4842" s="17">
        <f>-(K4842*0.025+L4842*0.025)</f>
        <v/>
      </c>
      <c r="P4842" s="17">
        <f>32</f>
        <v/>
      </c>
      <c r="Q4842" s="17">
        <f>J4842+L4842+N4842+O4842-P4842-M4842</f>
        <v/>
      </c>
    </row>
    <row r="4843">
      <c r="A4843" s="16" t="inlineStr">
        <is>
          <t>5.8-5.14</t>
        </is>
      </c>
      <c r="B4843" s="16" t="inlineStr">
        <is>
          <t>PO-128-04721465180790112</t>
        </is>
      </c>
      <c r="C4843" s="16" t="inlineStr">
        <is>
          <t>Shipped</t>
        </is>
      </c>
      <c r="D4843" s="16" t="inlineStr">
        <is>
          <t>128-04721570038390112</t>
        </is>
      </c>
      <c r="E4843" s="16" t="inlineStr">
        <is>
          <t>Shipped</t>
        </is>
      </c>
      <c r="F4843" s="16" t="inlineStr">
        <is>
          <t>MB-185N</t>
        </is>
      </c>
      <c r="G4843" s="16" t="inlineStr">
        <is>
          <t>Bocina Radio FM/Reproductor, Compatible con Tarjeta TF, USB, Bluetooth, Aplicable para celular, computadora, Ipad y consola.</t>
        </is>
      </c>
      <c r="H4843" s="16" t="inlineStr">
        <is>
          <t>NEGRO/MB-185</t>
        </is>
      </c>
      <c r="I4843" s="16" t="n">
        <v>1</v>
      </c>
      <c r="J4843" s="17" t="n">
        <v>71.31</v>
      </c>
      <c r="K4843" s="17" t="n">
        <v>84.26000000000001</v>
      </c>
      <c r="L4843" s="17" t="n">
        <v>25.86</v>
      </c>
      <c r="M4843" s="17" t="n">
        <v>0</v>
      </c>
      <c r="N4843" s="17">
        <f>K4843*0.08+L4843*0.08</f>
        <v/>
      </c>
      <c r="O4843" s="17">
        <f>-(K4843*0.025+L4843*0.025)</f>
        <v/>
      </c>
      <c r="P4843" s="17">
        <f>32</f>
        <v/>
      </c>
      <c r="Q4843" s="17">
        <f>J4843+L4843+N4843+O4843-P4843-M4843</f>
        <v/>
      </c>
    </row>
    <row r="4844">
      <c r="A4844" s="16" t="inlineStr">
        <is>
          <t>5.8-5.14</t>
        </is>
      </c>
      <c r="B4844" s="16" t="inlineStr">
        <is>
          <t>PO-128-04215026483834029</t>
        </is>
      </c>
      <c r="C4844" s="16" t="inlineStr">
        <is>
          <t>Shipped</t>
        </is>
      </c>
      <c r="D4844" s="16" t="inlineStr">
        <is>
          <t>128-04215102505594029</t>
        </is>
      </c>
      <c r="E4844" s="16" t="inlineStr">
        <is>
          <t>Shipped</t>
        </is>
      </c>
      <c r="F4844" s="16" t="inlineStr">
        <is>
          <t>LV25W22</t>
        </is>
      </c>
      <c r="G48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44" s="16" t="inlineStr">
        <is>
          <t>LV25W32</t>
        </is>
      </c>
      <c r="I4844" s="16" t="n">
        <v>2</v>
      </c>
      <c r="J4844" s="17" t="n">
        <v>180</v>
      </c>
      <c r="K4844" s="17" t="n">
        <v>200.82</v>
      </c>
      <c r="L4844" s="17" t="n">
        <v>25.86</v>
      </c>
      <c r="M4844" s="17" t="n">
        <v>0</v>
      </c>
      <c r="N4844" s="17">
        <f>K4844*0.08+L4844*0.08</f>
        <v/>
      </c>
      <c r="O4844" s="17">
        <f>-(K4844*0.025+L4844*0.025)</f>
        <v/>
      </c>
      <c r="P4844" s="17">
        <f>32</f>
        <v/>
      </c>
      <c r="Q4844" s="17">
        <f>J4844+L4844+N4844+O4844-P4844-M4844</f>
        <v/>
      </c>
    </row>
    <row r="4845">
      <c r="A4845" s="16" t="inlineStr">
        <is>
          <t>5.8-5.14</t>
        </is>
      </c>
      <c r="B4845" s="16" t="inlineStr">
        <is>
          <t>PO-128-04460862505592626</t>
        </is>
      </c>
      <c r="C4845" s="16" t="inlineStr">
        <is>
          <t>Shipped</t>
        </is>
      </c>
      <c r="D4845" s="16" t="inlineStr">
        <is>
          <t>128-04460820562552626</t>
        </is>
      </c>
      <c r="E4845" s="16" t="inlineStr">
        <is>
          <t>Shipped</t>
        </is>
      </c>
      <c r="F4845" s="16" t="inlineStr">
        <is>
          <t>MCM-001G</t>
        </is>
      </c>
      <c r="G4845" s="16" t="inlineStr">
        <is>
          <t>Musicord Altavoz Inalámbrico BT Portátil: ¡Sonido impactante, luces LED multicolores y 4 horas de autonomía! Compatible con TWS, FM, TF y USB – Imprescindible para fiestas y viajes</t>
        </is>
      </c>
      <c r="H4845" s="16" t="inlineStr">
        <is>
          <t>GRIS</t>
        </is>
      </c>
      <c r="I4845" s="16" t="n">
        <v>1</v>
      </c>
      <c r="J4845" s="17" t="n">
        <v>51</v>
      </c>
      <c r="K4845" s="17" t="n">
        <v>19.17</v>
      </c>
      <c r="L4845" s="17" t="n">
        <v>25.86</v>
      </c>
      <c r="M4845" s="17" t="n">
        <v>0</v>
      </c>
      <c r="N4845" s="17">
        <f>K4845*0.08+L4845*0.08</f>
        <v/>
      </c>
      <c r="O4845" s="17">
        <f>-(K4845*0.025+L4845*0.025)</f>
        <v/>
      </c>
      <c r="P4845" s="17">
        <f>32</f>
        <v/>
      </c>
      <c r="Q4845" s="17">
        <f>J4845+L4845+N4845+O4845-P4845-M4845</f>
        <v/>
      </c>
    </row>
    <row r="4846">
      <c r="A4846" s="16" t="inlineStr">
        <is>
          <t>5.8-5.14</t>
        </is>
      </c>
      <c r="B4846" s="16" t="inlineStr">
        <is>
          <t>PO-128-04411690117752857</t>
        </is>
      </c>
      <c r="C4846" s="16" t="inlineStr">
        <is>
          <t>Shipped</t>
        </is>
      </c>
      <c r="D4846" s="16" t="inlineStr">
        <is>
          <t>128-04411700603512857</t>
        </is>
      </c>
      <c r="E4846" s="16" t="inlineStr">
        <is>
          <t>Shipped</t>
        </is>
      </c>
      <c r="F4846" s="16" t="inlineStr">
        <is>
          <t>LB02235-blanco</t>
        </is>
      </c>
      <c r="G4846" s="16" t="inlineStr">
        <is>
          <t>Audífonos Inalámbricos para la Cabeza, Recargables y Multifuncionales - Conectan a Varios Dispositivos, soportan Radio FM, Tarjeta TF y AUX - 4 Horas de Reproducción Musical - Ideal para Trabajo Cotidiano, Juegos y Estudio</t>
        </is>
      </c>
      <c r="H4846" s="16" t="inlineStr">
        <is>
          <t>BLANCO</t>
        </is>
      </c>
      <c r="I4846" s="16" t="n">
        <v>1</v>
      </c>
      <c r="J4846" s="17" t="n">
        <v>36.5</v>
      </c>
      <c r="K4846" s="17" t="n">
        <v>49.62</v>
      </c>
      <c r="L4846" s="17" t="n">
        <v>25.86</v>
      </c>
      <c r="M4846" s="17" t="n">
        <v>0</v>
      </c>
      <c r="N4846" s="17">
        <f>K4846*0.08+L4846*0.08</f>
        <v/>
      </c>
      <c r="O4846" s="17">
        <f>-(K4846*0.025+L4846*0.025)</f>
        <v/>
      </c>
      <c r="P4846" s="17">
        <f>32</f>
        <v/>
      </c>
      <c r="Q4846" s="17">
        <f>J4846+L4846+N4846+O4846-P4846-M4846</f>
        <v/>
      </c>
    </row>
    <row r="4847">
      <c r="A4847" s="16" t="inlineStr">
        <is>
          <t>5.8-5.14</t>
        </is>
      </c>
      <c r="B4847" s="16" t="inlineStr">
        <is>
          <t>PO-128-04411753615992854</t>
        </is>
      </c>
      <c r="C4847" s="16" t="inlineStr">
        <is>
          <t>Shipped</t>
        </is>
      </c>
      <c r="D4847" s="16" t="inlineStr">
        <is>
          <t>128-04411889930872854</t>
        </is>
      </c>
      <c r="E4847" s="16" t="inlineStr">
        <is>
          <t>Shipped</t>
        </is>
      </c>
      <c r="F4847" s="16" t="inlineStr">
        <is>
          <t>LV25W22</t>
        </is>
      </c>
      <c r="G48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47" s="16" t="inlineStr">
        <is>
          <t>LV25W32</t>
        </is>
      </c>
      <c r="I4847" s="16" t="n">
        <v>3</v>
      </c>
      <c r="J4847" s="17" t="n">
        <v>270</v>
      </c>
      <c r="K4847" s="17" t="n">
        <v>301.23</v>
      </c>
      <c r="L4847" s="17" t="n">
        <v>0</v>
      </c>
      <c r="M4847" s="17" t="n">
        <v>0</v>
      </c>
      <c r="N4847" s="17">
        <f>K4847*0.08+L4847*0.08</f>
        <v/>
      </c>
      <c r="O4847" s="17">
        <f>-(K4847*0.025+L4847*0.025)</f>
        <v/>
      </c>
      <c r="P4847" s="17">
        <f>32</f>
        <v/>
      </c>
      <c r="Q4847" s="17">
        <f>J4847+L4847+N4847+O4847-P4847-M4847</f>
        <v/>
      </c>
    </row>
    <row r="4848">
      <c r="A4848" s="16" t="inlineStr">
        <is>
          <t>5.8-5.14</t>
        </is>
      </c>
      <c r="B4848" s="16" t="inlineStr">
        <is>
          <t>PO-128-04271178619513820</t>
        </is>
      </c>
      <c r="C4848" s="16" t="inlineStr">
        <is>
          <t>Shipped</t>
        </is>
      </c>
      <c r="D4848" s="16" t="inlineStr">
        <is>
          <t>128-04271157647993820</t>
        </is>
      </c>
      <c r="E4848" s="16" t="inlineStr">
        <is>
          <t>Shipped</t>
        </is>
      </c>
      <c r="F4848" s="16" t="inlineStr">
        <is>
          <t>FA028</t>
        </is>
      </c>
      <c r="G4848" s="16" t="inlineStr">
        <is>
          <t>Extractor de agua para garrafas de agua, compatible con carga USB, extractor de agua automático, práctico, con dos modos de toma de agua: manual y programado, ideal para dormitorios, salones, oficinas, uso al aire libre y otros escenarios.</t>
        </is>
      </c>
      <c r="H4848" s="16" t="inlineStr">
        <is>
          <t>FA028</t>
        </is>
      </c>
      <c r="I4848" s="16" t="n">
        <v>3</v>
      </c>
      <c r="J4848" s="17" t="n">
        <v>88.5</v>
      </c>
      <c r="K4848" s="17" t="n">
        <v>107.16</v>
      </c>
      <c r="L4848" s="17" t="n">
        <v>25.86</v>
      </c>
      <c r="M4848" s="17" t="n">
        <v>0</v>
      </c>
      <c r="N4848" s="17">
        <f>K4848*0.08+L4848*0.08</f>
        <v/>
      </c>
      <c r="O4848" s="17">
        <f>-(K4848*0.025+L4848*0.025)</f>
        <v/>
      </c>
      <c r="P4848" s="17">
        <f>32</f>
        <v/>
      </c>
      <c r="Q4848" s="17">
        <f>J4848+L4848+N4848+O4848-P4848-M4848</f>
        <v/>
      </c>
    </row>
    <row r="4849">
      <c r="A4849" s="16" t="inlineStr">
        <is>
          <t>5.8-5.14</t>
        </is>
      </c>
      <c r="B4849" s="16" t="inlineStr">
        <is>
          <t>PO-128-04160363541113395</t>
        </is>
      </c>
      <c r="C4849" s="16" t="inlineStr">
        <is>
          <t>Shipped</t>
        </is>
      </c>
      <c r="D4849" s="16" t="inlineStr">
        <is>
          <t>128-04160384512633395</t>
        </is>
      </c>
      <c r="E4849" s="16" t="inlineStr">
        <is>
          <t>Shipped</t>
        </is>
      </c>
      <c r="F4849" s="16" t="inlineStr">
        <is>
          <t>LB02235-rojo</t>
        </is>
      </c>
      <c r="G4849" s="16" t="inlineStr">
        <is>
          <t>Audífonos Inalámbricos para la Cabeza, Recargables y Multifuncionales - Conectan a Varios Dispositivos, soportan Radio FM, Tarjeta TF y AUX - 4 Horas de Reproducción Musical - Ideal para Trabajo Cotidiano, Juegos y Estudio</t>
        </is>
      </c>
      <c r="H4849" s="16" t="inlineStr">
        <is>
          <t>ROJO</t>
        </is>
      </c>
      <c r="I4849" s="16" t="n">
        <v>1</v>
      </c>
      <c r="J4849" s="17" t="n">
        <v>36.5</v>
      </c>
      <c r="K4849" s="17" t="n">
        <v>6.52</v>
      </c>
      <c r="L4849" s="17" t="n">
        <v>25.86</v>
      </c>
      <c r="M4849" s="17" t="n">
        <v>0</v>
      </c>
      <c r="N4849" s="17">
        <f>K4849*0.08+L4849*0.08</f>
        <v/>
      </c>
      <c r="O4849" s="17">
        <f>-(K4849*0.025+L4849*0.025)</f>
        <v/>
      </c>
      <c r="P4849" s="17">
        <f>32</f>
        <v/>
      </c>
      <c r="Q4849" s="17">
        <f>J4849+L4849+N4849+O4849-P4849-M4849</f>
        <v/>
      </c>
    </row>
    <row r="4850">
      <c r="A4850" s="16" t="inlineStr">
        <is>
          <t>5.8-5.14</t>
        </is>
      </c>
      <c r="B4850" s="16" t="inlineStr">
        <is>
          <t>PO-128-04465065216632667</t>
        </is>
      </c>
      <c r="C4850" s="16" t="inlineStr">
        <is>
          <t>Shipped</t>
        </is>
      </c>
      <c r="D4850" s="16" t="inlineStr">
        <is>
          <t>128-04465075702392667</t>
        </is>
      </c>
      <c r="E4850" s="16" t="inlineStr">
        <is>
          <t>Shipped</t>
        </is>
      </c>
      <c r="F4850" s="16" t="inlineStr">
        <is>
          <t>LB02235-rojo</t>
        </is>
      </c>
      <c r="G4850" s="16" t="inlineStr">
        <is>
          <t>Audífonos Inalámbricos para la Cabeza, Recargables y Multifuncionales - Conectan a Varios Dispositivos, soportan Radio FM, Tarjeta TF y AUX - 4 Horas de Reproducción Musical - Ideal para Trabajo Cotidiano, Juegos y Estudio</t>
        </is>
      </c>
      <c r="H4850" s="16" t="inlineStr">
        <is>
          <t>ROJO</t>
        </is>
      </c>
      <c r="I4850" s="16" t="n">
        <v>1</v>
      </c>
      <c r="J4850" s="17" t="n">
        <v>36.5</v>
      </c>
      <c r="K4850" s="17" t="n">
        <v>39.73</v>
      </c>
      <c r="L4850" s="17" t="n">
        <v>25.86</v>
      </c>
      <c r="M4850" s="17" t="n">
        <v>0</v>
      </c>
      <c r="N4850" s="17">
        <f>K4850*0.08+L4850*0.08</f>
        <v/>
      </c>
      <c r="O4850" s="17">
        <f>-(K4850*0.025+L4850*0.025)</f>
        <v/>
      </c>
      <c r="P4850" s="17">
        <f>32</f>
        <v/>
      </c>
      <c r="Q4850" s="17">
        <f>J4850+L4850+N4850+O4850-P4850-M4850</f>
        <v/>
      </c>
    </row>
    <row r="4851">
      <c r="A4851" s="16" t="inlineStr">
        <is>
          <t>5.8-5.14</t>
        </is>
      </c>
      <c r="B4851" s="16" t="inlineStr">
        <is>
          <t>PO-128-04784764549750761</t>
        </is>
      </c>
      <c r="C4851" s="16" t="inlineStr">
        <is>
          <t>Shipped</t>
        </is>
      </c>
      <c r="D4851" s="16" t="inlineStr">
        <is>
          <t>128-04784722606710761</t>
        </is>
      </c>
      <c r="E4851" s="16" t="inlineStr">
        <is>
          <t>Shipped</t>
        </is>
      </c>
      <c r="F4851" s="16" t="inlineStr">
        <is>
          <t>KTS-1678Y</t>
        </is>
      </c>
      <c r="G4851" s="16" t="inlineStr">
        <is>
          <t>Bocina portátil Inalámbrico, de 3 pulgadas, tamaño de bolsillo, 170 g, con asa, compatible con TF, USB y Micro SD, con radio FM y función TWS (True Wireless Stereo), adecuada para relajarse en casa o viajar al aire libre.</t>
        </is>
      </c>
      <c r="H4851" s="16" t="inlineStr">
        <is>
          <t>KTS-1678Y</t>
        </is>
      </c>
      <c r="I4851" s="16" t="n">
        <v>1</v>
      </c>
      <c r="J4851" s="17" t="n">
        <v>37.71</v>
      </c>
      <c r="K4851" s="17" t="n">
        <v>43.91</v>
      </c>
      <c r="L4851" s="17" t="n">
        <v>25.86</v>
      </c>
      <c r="M4851" s="17" t="n">
        <v>0</v>
      </c>
      <c r="N4851" s="17">
        <f>K4851*0.08+L4851*0.08</f>
        <v/>
      </c>
      <c r="O4851" s="17">
        <f>-(K4851*0.025+L4851*0.025)</f>
        <v/>
      </c>
      <c r="P4851" s="17">
        <f>32</f>
        <v/>
      </c>
      <c r="Q4851" s="17">
        <f>J4851+L4851+N4851+O4851-P4851-M4851</f>
        <v/>
      </c>
    </row>
    <row r="4852">
      <c r="A4852" s="16" t="inlineStr">
        <is>
          <t>5.8-5.14</t>
        </is>
      </c>
      <c r="B4852" s="16" t="inlineStr">
        <is>
          <t>PO-128-04694048348790212</t>
        </is>
      </c>
      <c r="C4852" s="16" t="inlineStr">
        <is>
          <t>Shipped</t>
        </is>
      </c>
      <c r="D4852" s="16" t="inlineStr">
        <is>
          <t>128-04694027377270212</t>
        </is>
      </c>
      <c r="E4852" s="16" t="inlineStr">
        <is>
          <t>Shipped</t>
        </is>
      </c>
      <c r="F4852" s="16" t="inlineStr">
        <is>
          <t>LB02235-rojo</t>
        </is>
      </c>
      <c r="G4852" s="16" t="inlineStr">
        <is>
          <t>Audífonos Inalámbricos para la Cabeza, Recargables y Multifuncionales - Conectan a Varios Dispositivos, soportan Radio FM, Tarjeta TF y AUX - 4 Horas de Reproducción Musical - Ideal para Trabajo Cotidiano, Juegos y Estudio</t>
        </is>
      </c>
      <c r="H4852" s="16" t="inlineStr">
        <is>
          <t>ROJO</t>
        </is>
      </c>
      <c r="I4852" s="16" t="n">
        <v>1</v>
      </c>
      <c r="J4852" s="17" t="n">
        <v>36.5</v>
      </c>
      <c r="K4852" s="17" t="n">
        <v>49.62</v>
      </c>
      <c r="L4852" s="17" t="n">
        <v>25.86</v>
      </c>
      <c r="M4852" s="17" t="n">
        <v>0</v>
      </c>
      <c r="N4852" s="17">
        <f>K4852*0.08+L4852*0.08</f>
        <v/>
      </c>
      <c r="O4852" s="17">
        <f>-(K4852*0.025+L4852*0.025)</f>
        <v/>
      </c>
      <c r="P4852" s="17">
        <f>32</f>
        <v/>
      </c>
      <c r="Q4852" s="17">
        <f>J4852+L4852+N4852+O4852-P4852-M4852</f>
        <v/>
      </c>
    </row>
    <row r="4853">
      <c r="A4853" s="16" t="inlineStr">
        <is>
          <t>5.8-5.14</t>
        </is>
      </c>
      <c r="B4853" s="16" t="inlineStr">
        <is>
          <t>PO-128-04277440266873593</t>
        </is>
      </c>
      <c r="C4853" s="16" t="inlineStr">
        <is>
          <t>Shipped</t>
        </is>
      </c>
      <c r="D4853" s="16" t="inlineStr">
        <is>
          <t>128-04277411431033593</t>
        </is>
      </c>
      <c r="E4853" s="16" t="inlineStr">
        <is>
          <t>Shipped</t>
        </is>
      </c>
      <c r="F4853" s="16" t="inlineStr">
        <is>
          <t>LV64W25</t>
        </is>
      </c>
      <c r="G4853" s="16" t="inlineStr">
        <is>
          <t>Ventilador de Techo LED TIANLAI con 5 Aspas, Control Remoto, 3 Colores Luz, 3 Velocidades, Temporizador, Fácil Instalación, E27 para Baño Cocina Dormitorio Salón</t>
        </is>
      </c>
      <c r="H4853" s="16" t="inlineStr">
        <is>
          <t>LV64W25</t>
        </is>
      </c>
      <c r="I4853" s="16" t="n">
        <v>2</v>
      </c>
      <c r="J4853" s="17" t="n">
        <v>240</v>
      </c>
      <c r="K4853" s="17" t="n">
        <v>293.6</v>
      </c>
      <c r="L4853" s="17" t="n">
        <v>0</v>
      </c>
      <c r="M4853" s="17" t="n">
        <v>0</v>
      </c>
      <c r="N4853" s="17">
        <f>K4853*0.08+L4853*0.08</f>
        <v/>
      </c>
      <c r="O4853" s="17">
        <f>-(K4853*0.025+L4853*0.025)</f>
        <v/>
      </c>
      <c r="P4853" s="17">
        <f>32</f>
        <v/>
      </c>
      <c r="Q4853" s="17">
        <f>J4853+L4853+N4853+O4853-P4853-M4853</f>
        <v/>
      </c>
    </row>
    <row r="4854">
      <c r="A4854" s="16" t="inlineStr">
        <is>
          <t>5.8-5.14</t>
        </is>
      </c>
      <c r="B4854" s="16" t="inlineStr">
        <is>
          <t>PO-128-04277440266873593</t>
        </is>
      </c>
      <c r="C4854" s="16" t="inlineStr">
        <is>
          <t>Shipped</t>
        </is>
      </c>
      <c r="D4854" s="16" t="inlineStr">
        <is>
          <t>128-04277421916793593</t>
        </is>
      </c>
      <c r="E4854" s="16" t="inlineStr">
        <is>
          <t>Shipped</t>
        </is>
      </c>
      <c r="F4854" s="16" t="inlineStr">
        <is>
          <t>LV25W22</t>
        </is>
      </c>
      <c r="G48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54" s="16" t="inlineStr">
        <is>
          <t>LV25W32</t>
        </is>
      </c>
      <c r="I4854" s="16" t="n">
        <v>2</v>
      </c>
      <c r="J4854" s="17" t="n">
        <v>180</v>
      </c>
      <c r="K4854" s="17" t="n">
        <v>200.82</v>
      </c>
      <c r="L4854" s="17" t="n">
        <v>0</v>
      </c>
      <c r="M4854" s="17" t="n">
        <v>0</v>
      </c>
      <c r="N4854" s="17">
        <f>K4854*0.08+L4854*0.08</f>
        <v/>
      </c>
      <c r="O4854" s="17">
        <f>-(K4854*0.025+L4854*0.025)</f>
        <v/>
      </c>
      <c r="P4854" s="17">
        <f>32</f>
        <v/>
      </c>
      <c r="Q4854" s="17">
        <f>J4854+L4854+N4854+O4854-P4854-M4854</f>
        <v/>
      </c>
    </row>
    <row r="4855">
      <c r="A4855" s="16" t="inlineStr">
        <is>
          <t>5.8-5.14</t>
        </is>
      </c>
      <c r="B4855" s="16" t="inlineStr">
        <is>
          <t>PO-128-04310473615992498</t>
        </is>
      </c>
      <c r="C4855" s="16" t="inlineStr">
        <is>
          <t>Shipped</t>
        </is>
      </c>
      <c r="D4855" s="16" t="inlineStr">
        <is>
          <t>128-04310515559032498</t>
        </is>
      </c>
      <c r="E4855" s="16" t="inlineStr">
        <is>
          <t>Shipped</t>
        </is>
      </c>
      <c r="F4855" s="16" t="inlineStr">
        <is>
          <t>KTS-1678V</t>
        </is>
      </c>
      <c r="G4855" s="16" t="inlineStr">
        <is>
          <t>Bocina portátil Inalámbrico, de 3 pulgadas, tamaño de bolsillo, 170 g, con asa, compatible con TF, USB y Micro SD, con radio FM y función TWS (True Wireless Stereo), adecuada para relajarse en casa o viajar al aire libre.</t>
        </is>
      </c>
      <c r="H4855" s="16" t="inlineStr">
        <is>
          <t>KTS-1678V</t>
        </is>
      </c>
      <c r="I4855" s="16" t="n">
        <v>1</v>
      </c>
      <c r="J4855" s="17" t="n">
        <v>37.71</v>
      </c>
      <c r="K4855" s="17" t="n">
        <v>45.97</v>
      </c>
      <c r="L4855" s="17" t="n">
        <v>25.86</v>
      </c>
      <c r="M4855" s="17" t="n">
        <v>0</v>
      </c>
      <c r="N4855" s="17">
        <f>K4855*0.08+L4855*0.08</f>
        <v/>
      </c>
      <c r="O4855" s="17">
        <f>-(K4855*0.025+L4855*0.025)</f>
        <v/>
      </c>
      <c r="P4855" s="17">
        <f>32</f>
        <v/>
      </c>
      <c r="Q4855" s="17">
        <f>J4855+L4855+N4855+O4855-P4855-M4855</f>
        <v/>
      </c>
    </row>
    <row r="4856">
      <c r="A4856" s="16" t="inlineStr">
        <is>
          <t>5.8-5.14</t>
        </is>
      </c>
      <c r="B4856" s="16" t="inlineStr">
        <is>
          <t>PO-128-04652373074550460</t>
        </is>
      </c>
      <c r="C4856" s="16" t="inlineStr">
        <is>
          <t>Shipped</t>
        </is>
      </c>
      <c r="D4856" s="16" t="inlineStr">
        <is>
          <t>128-04652415017590460</t>
        </is>
      </c>
      <c r="E4856" s="16" t="inlineStr">
        <is>
          <t>Shipped</t>
        </is>
      </c>
      <c r="F4856" s="16" t="inlineStr">
        <is>
          <t>LB02235-blanco</t>
        </is>
      </c>
      <c r="G4856" s="16" t="inlineStr">
        <is>
          <t>Audífonos Inalámbricos para la Cabeza, Recargables y Multifuncionales - Conectan a Varios Dispositivos, soportan Radio FM, Tarjeta TF y AUX - 4 Horas de Reproducción Musical - Ideal para Trabajo Cotidiano, Juegos y Estudio</t>
        </is>
      </c>
      <c r="H4856" s="16" t="inlineStr">
        <is>
          <t>BLANCO</t>
        </is>
      </c>
      <c r="I4856" s="16" t="n">
        <v>1</v>
      </c>
      <c r="J4856" s="17" t="n">
        <v>36.5</v>
      </c>
      <c r="K4856" s="17" t="n">
        <v>49.62</v>
      </c>
      <c r="L4856" s="17" t="n">
        <v>25.86</v>
      </c>
      <c r="M4856" s="17" t="n">
        <v>0</v>
      </c>
      <c r="N4856" s="17">
        <f>K4856*0.08+L4856*0.08</f>
        <v/>
      </c>
      <c r="O4856" s="17">
        <f>-(K4856*0.025+L4856*0.025)</f>
        <v/>
      </c>
      <c r="P4856" s="17">
        <f>32</f>
        <v/>
      </c>
      <c r="Q4856" s="17">
        <f>J4856+L4856+N4856+O4856-P4856-M4856</f>
        <v/>
      </c>
    </row>
    <row r="4857">
      <c r="A4857" s="16" t="inlineStr">
        <is>
          <t>5.8-5.14</t>
        </is>
      </c>
      <c r="B4857" s="16" t="inlineStr">
        <is>
          <t>PO-128-04531713434231053</t>
        </is>
      </c>
      <c r="C4857" s="16" t="inlineStr">
        <is>
          <t>Shipped</t>
        </is>
      </c>
      <c r="D4857" s="16" t="inlineStr">
        <is>
          <t>128-04531765863031053</t>
        </is>
      </c>
      <c r="E4857" s="16" t="inlineStr">
        <is>
          <t>Shipped</t>
        </is>
      </c>
      <c r="F4857" s="16" t="inlineStr">
        <is>
          <t>MB-185A</t>
        </is>
      </c>
      <c r="G4857" s="16" t="inlineStr">
        <is>
          <t>Bocina Radio FM/Reproductor, Compatible con Tarjeta TF, USB, Bluetooth, Aplicable para celular, computadora, Ipad y consola.</t>
        </is>
      </c>
      <c r="H4857" s="16" t="inlineStr">
        <is>
          <t>AZUL/MB-185</t>
        </is>
      </c>
      <c r="I4857" s="16" t="n">
        <v>1</v>
      </c>
      <c r="J4857" s="17" t="n">
        <v>71.31</v>
      </c>
      <c r="K4857" s="17" t="n">
        <v>84.26000000000001</v>
      </c>
      <c r="L4857" s="17" t="n">
        <v>25.86</v>
      </c>
      <c r="M4857" s="17" t="n">
        <v>0</v>
      </c>
      <c r="N4857" s="17">
        <f>K4857*0.08+L4857*0.08</f>
        <v/>
      </c>
      <c r="O4857" s="17">
        <f>-(K4857*0.025+L4857*0.025)</f>
        <v/>
      </c>
      <c r="P4857" s="17">
        <f>32</f>
        <v/>
      </c>
      <c r="Q4857" s="17">
        <f>J4857+L4857+N4857+O4857-P4857-M4857</f>
        <v/>
      </c>
    </row>
    <row r="4858">
      <c r="A4858" s="16" t="inlineStr">
        <is>
          <t>5.8-5.14</t>
        </is>
      </c>
      <c r="B4858" s="16" t="inlineStr">
        <is>
          <t>PO-128-04553627023991947</t>
        </is>
      </c>
      <c r="C4858" s="16" t="inlineStr">
        <is>
          <t>Shipped</t>
        </is>
      </c>
      <c r="D4858" s="16" t="inlineStr">
        <is>
          <t>128-04553647995511947</t>
        </is>
      </c>
      <c r="E4858" s="16" t="inlineStr">
        <is>
          <t>Shipped</t>
        </is>
      </c>
      <c r="F4858" s="16" t="inlineStr">
        <is>
          <t>MB-185A</t>
        </is>
      </c>
      <c r="G4858" s="16" t="inlineStr">
        <is>
          <t>Bocina Radio FM/Reproductor, Compatible con Tarjeta TF, USB, Bluetooth, Aplicable para celular, computadora, Ipad y consola.</t>
        </is>
      </c>
      <c r="H4858" s="16" t="inlineStr">
        <is>
          <t>AZUL/MB-185</t>
        </is>
      </c>
      <c r="I4858" s="16" t="n">
        <v>1</v>
      </c>
      <c r="J4858" s="17" t="n">
        <v>71.31</v>
      </c>
      <c r="K4858" s="17" t="n">
        <v>84.26000000000001</v>
      </c>
      <c r="L4858" s="17" t="n">
        <v>25.86</v>
      </c>
      <c r="M4858" s="17" t="n">
        <v>0</v>
      </c>
      <c r="N4858" s="17">
        <f>K4858*0.08+L4858*0.08</f>
        <v/>
      </c>
      <c r="O4858" s="17">
        <f>-(K4858*0.025+L4858*0.025)</f>
        <v/>
      </c>
      <c r="P4858" s="17">
        <f>32</f>
        <v/>
      </c>
      <c r="Q4858" s="17">
        <f>J4858+L4858+N4858+O4858-P4858-M4858</f>
        <v/>
      </c>
    </row>
    <row r="4859">
      <c r="A4859" s="16" t="inlineStr">
        <is>
          <t>5.8-5.14</t>
        </is>
      </c>
      <c r="B4859" s="16" t="inlineStr">
        <is>
          <t>PO-128-04201854997113147</t>
        </is>
      </c>
      <c r="C4859" s="16" t="inlineStr">
        <is>
          <t>Shipped</t>
        </is>
      </c>
      <c r="D4859" s="16" t="inlineStr">
        <is>
          <t>128-04202020803193147</t>
        </is>
      </c>
      <c r="E4859" s="16" t="inlineStr">
        <is>
          <t>Shipped</t>
        </is>
      </c>
      <c r="F4859" s="16" t="inlineStr">
        <is>
          <t>LB02235-azul</t>
        </is>
      </c>
      <c r="G4859" s="16" t="inlineStr">
        <is>
          <t>Audífonos Inalámbricos para la Cabeza, Recargables y Multifuncionales - Conectan a Varios Dispositivos, soportan Radio FM, Tarjeta TF y AUX - 4 Horas de Reproducción Musical - Ideal para Trabajo Cotidiano, Juegos y Estudio</t>
        </is>
      </c>
      <c r="H4859" s="16" t="inlineStr">
        <is>
          <t>AZUL</t>
        </is>
      </c>
      <c r="I4859" s="16" t="n">
        <v>1</v>
      </c>
      <c r="J4859" s="17" t="n">
        <v>35</v>
      </c>
      <c r="K4859" s="17" t="n">
        <v>48.12</v>
      </c>
      <c r="L4859" s="17" t="n">
        <v>25.86</v>
      </c>
      <c r="M4859" s="17" t="n">
        <v>0</v>
      </c>
      <c r="N4859" s="17">
        <f>K4859*0.08+L4859*0.08</f>
        <v/>
      </c>
      <c r="O4859" s="17">
        <f>-(K4859*0.025+L4859*0.025)</f>
        <v/>
      </c>
      <c r="P4859" s="17">
        <f>32</f>
        <v/>
      </c>
      <c r="Q4859" s="17">
        <f>J4859+L4859+N4859+O4859-P4859-M4859</f>
        <v/>
      </c>
    </row>
    <row r="4860">
      <c r="A4860" s="16" t="inlineStr">
        <is>
          <t>5.8-5.14</t>
        </is>
      </c>
      <c r="B4860" s="16" t="inlineStr">
        <is>
          <t>PO-128-04182680371833324</t>
        </is>
      </c>
      <c r="C4860" s="16" t="inlineStr">
        <is>
          <t>Shipped</t>
        </is>
      </c>
      <c r="D4860" s="16" t="inlineStr">
        <is>
          <t>128-04182701343353324</t>
        </is>
      </c>
      <c r="E4860" s="16" t="inlineStr">
        <is>
          <t>Shipped</t>
        </is>
      </c>
      <c r="F4860" s="16" t="inlineStr">
        <is>
          <t>LB02235-rojo</t>
        </is>
      </c>
      <c r="G4860" s="16" t="inlineStr">
        <is>
          <t>Audífonos Inalámbricos para la Cabeza, Recargables y Multifuncionales - Conectan a Varios Dispositivos, soportan Radio FM, Tarjeta TF y AUX - 4 Horas de Reproducción Musical - Ideal para Trabajo Cotidiano, Juegos y Estudio</t>
        </is>
      </c>
      <c r="H4860" s="16" t="inlineStr">
        <is>
          <t>ROJO</t>
        </is>
      </c>
      <c r="I4860" s="16" t="n">
        <v>1</v>
      </c>
      <c r="J4860" s="17" t="n">
        <v>36.5</v>
      </c>
      <c r="K4860" s="17" t="n">
        <v>49.62</v>
      </c>
      <c r="L4860" s="17" t="n">
        <v>25.86</v>
      </c>
      <c r="M4860" s="17" t="n">
        <v>0</v>
      </c>
      <c r="N4860" s="17">
        <f>K4860*0.08+L4860*0.08</f>
        <v/>
      </c>
      <c r="O4860" s="17">
        <f>-(K4860*0.025+L4860*0.025)</f>
        <v/>
      </c>
      <c r="P4860" s="17">
        <f>32</f>
        <v/>
      </c>
      <c r="Q4860" s="17">
        <f>J4860+L4860+N4860+O4860-P4860-M4860</f>
        <v/>
      </c>
    </row>
    <row r="4861">
      <c r="A4861" s="16" t="inlineStr">
        <is>
          <t>5.8-5.14</t>
        </is>
      </c>
      <c r="B4861" s="16" t="inlineStr">
        <is>
          <t>PO-128-04466074010232661</t>
        </is>
      </c>
      <c r="C4861" s="16" t="inlineStr">
        <is>
          <t>Shipped</t>
        </is>
      </c>
      <c r="D4861" s="16" t="inlineStr">
        <is>
          <t>128-04466094735992661</t>
        </is>
      </c>
      <c r="E4861" s="16" t="inlineStr">
        <is>
          <t>Shipped</t>
        </is>
      </c>
      <c r="F4861" s="16" t="inlineStr">
        <is>
          <t>MCM-001G</t>
        </is>
      </c>
      <c r="G4861" s="16" t="inlineStr">
        <is>
          <t>Musicord Altavoz Inalámbrico BT Portátil: ¡Sonido impactante, luces LED multicolores y 4 horas de autonomía! Compatible con TWS, FM, TF y USB – Imprescindible para fiestas y viajes</t>
        </is>
      </c>
      <c r="H4861" s="16" t="inlineStr">
        <is>
          <t>GRIS</t>
        </is>
      </c>
      <c r="I4861" s="16" t="n">
        <v>2</v>
      </c>
      <c r="J4861" s="17" t="n">
        <v>102</v>
      </c>
      <c r="K4861" s="17" t="n">
        <v>108.98</v>
      </c>
      <c r="L4861" s="17" t="n">
        <v>25.86</v>
      </c>
      <c r="M4861" s="17" t="n">
        <v>0</v>
      </c>
      <c r="N4861" s="17">
        <f>K4861*0.08+L4861*0.08</f>
        <v/>
      </c>
      <c r="O4861" s="17">
        <f>-(K4861*0.025+L4861*0.025)</f>
        <v/>
      </c>
      <c r="P4861" s="17">
        <f>32</f>
        <v/>
      </c>
      <c r="Q4861" s="17">
        <f>J4861+L4861+N4861+O4861-P4861-M4861</f>
        <v/>
      </c>
    </row>
    <row r="4862">
      <c r="A4862" s="16" t="inlineStr">
        <is>
          <t>5.8-5.14</t>
        </is>
      </c>
      <c r="B4862" s="16" t="inlineStr">
        <is>
          <t>PO-128-04147844096633341</t>
        </is>
      </c>
      <c r="C4862" s="16" t="inlineStr">
        <is>
          <t>Shipped</t>
        </is>
      </c>
      <c r="D4862" s="16" t="inlineStr">
        <is>
          <t>128-04147854582393341</t>
        </is>
      </c>
      <c r="E4862" s="16" t="inlineStr">
        <is>
          <t>Shipped</t>
        </is>
      </c>
      <c r="F4862" s="16" t="inlineStr">
        <is>
          <t>LB02235-rojo</t>
        </is>
      </c>
      <c r="G4862" s="16" t="inlineStr">
        <is>
          <t>Audífonos Inalámbricos para la Cabeza, Recargables y Multifuncionales - Conectan a Varios Dispositivos, soportan Radio FM, Tarjeta TF y AUX - 4 Horas de Reproducción Musical - Ideal para Trabajo Cotidiano, Juegos y Estudio</t>
        </is>
      </c>
      <c r="H4862" s="16" t="inlineStr">
        <is>
          <t>ROJO</t>
        </is>
      </c>
      <c r="I4862" s="16" t="n">
        <v>1</v>
      </c>
      <c r="J4862" s="17" t="n">
        <v>36.5</v>
      </c>
      <c r="K4862" s="17" t="n">
        <v>39.7</v>
      </c>
      <c r="L4862" s="17" t="n">
        <v>25.86</v>
      </c>
      <c r="M4862" s="17" t="n">
        <v>0</v>
      </c>
      <c r="N4862" s="17">
        <f>K4862*0.08+L4862*0.08</f>
        <v/>
      </c>
      <c r="O4862" s="17">
        <f>-(K4862*0.025+L4862*0.025)</f>
        <v/>
      </c>
      <c r="P4862" s="17">
        <f>32</f>
        <v/>
      </c>
      <c r="Q4862" s="17">
        <f>J4862+L4862+N4862+O4862-P4862-M4862</f>
        <v/>
      </c>
    </row>
    <row r="4863">
      <c r="A4863" s="16" t="inlineStr">
        <is>
          <t>5.8-5.14</t>
        </is>
      </c>
      <c r="B4863" s="16" t="inlineStr">
        <is>
          <t>PO-128-04144512952953553</t>
        </is>
      </c>
      <c r="C4863" s="16" t="inlineStr">
        <is>
          <t>Shipped</t>
        </is>
      </c>
      <c r="D4863" s="16" t="inlineStr">
        <is>
          <t>128-04144502467193553</t>
        </is>
      </c>
      <c r="E4863" s="16" t="inlineStr">
        <is>
          <t>Shipped</t>
        </is>
      </c>
      <c r="F4863" s="16" t="inlineStr">
        <is>
          <t>SA8056T</t>
        </is>
      </c>
      <c r="G486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863" s="16" t="inlineStr">
        <is>
          <t>SA8056T</t>
        </is>
      </c>
      <c r="I4863" s="16" t="n">
        <v>1</v>
      </c>
      <c r="J4863" s="17" t="n">
        <v>138</v>
      </c>
      <c r="K4863" s="17" t="n">
        <v>134.63</v>
      </c>
      <c r="L4863" s="17" t="n">
        <v>25.86</v>
      </c>
      <c r="M4863" s="17" t="n">
        <v>0</v>
      </c>
      <c r="N4863" s="17">
        <f>K4863*0.08+L4863*0.08</f>
        <v/>
      </c>
      <c r="O4863" s="17">
        <f>-(K4863*0.025+L4863*0.025)</f>
        <v/>
      </c>
      <c r="P4863" s="17">
        <f>32</f>
        <v/>
      </c>
      <c r="Q4863" s="17">
        <f>J4863+L4863+N4863+O4863-P4863-M4863</f>
        <v/>
      </c>
    </row>
    <row r="4864">
      <c r="A4864" s="16" t="inlineStr">
        <is>
          <t>5.8-5.14</t>
        </is>
      </c>
      <c r="B4864" s="16" t="inlineStr">
        <is>
          <t>PO-128-04295107502712462</t>
        </is>
      </c>
      <c r="C4864" s="16" t="inlineStr">
        <is>
          <t>Shipped</t>
        </is>
      </c>
      <c r="D4864" s="16" t="inlineStr">
        <is>
          <t>128-04295065559672462</t>
        </is>
      </c>
      <c r="E4864" s="16" t="inlineStr">
        <is>
          <t>Shipped</t>
        </is>
      </c>
      <c r="F4864" s="16" t="inlineStr">
        <is>
          <t>MCM-001R</t>
        </is>
      </c>
      <c r="G4864" s="16" t="inlineStr">
        <is>
          <t>Musicord Altavoz Inalámbrico BT Portátil: ¡Sonido impactante, luces LED multicolores y 4 horas de autonomía! Compatible con TWS, FM, TF y USB – Imprescindible para fiestas y viajes</t>
        </is>
      </c>
      <c r="H4864" s="16" t="inlineStr">
        <is>
          <t>ROJO</t>
        </is>
      </c>
      <c r="I4864" s="16" t="n">
        <v>1</v>
      </c>
      <c r="J4864" s="17" t="n">
        <v>66</v>
      </c>
      <c r="K4864" s="17" t="n">
        <v>77.27</v>
      </c>
      <c r="L4864" s="17" t="n">
        <v>25.86</v>
      </c>
      <c r="M4864" s="17" t="n">
        <v>0</v>
      </c>
      <c r="N4864" s="17">
        <f>K4864*0.08+L4864*0.08</f>
        <v/>
      </c>
      <c r="O4864" s="17">
        <f>-(K4864*0.025+L4864*0.025)</f>
        <v/>
      </c>
      <c r="P4864" s="17">
        <f>32</f>
        <v/>
      </c>
      <c r="Q4864" s="17">
        <f>J4864+L4864+N4864+O4864-P4864-M4864</f>
        <v/>
      </c>
    </row>
    <row r="4865">
      <c r="A4865" s="16" t="inlineStr">
        <is>
          <t>5.8-5.14</t>
        </is>
      </c>
      <c r="B4865" s="16" t="inlineStr">
        <is>
          <t>PO-128-04787336643190744</t>
        </is>
      </c>
      <c r="C4865" s="16" t="inlineStr">
        <is>
          <t>Shipped</t>
        </is>
      </c>
      <c r="D4865" s="16" t="inlineStr">
        <is>
          <t>128-04787294700150744</t>
        </is>
      </c>
      <c r="E4865" s="16" t="inlineStr">
        <is>
          <t>Shipped</t>
        </is>
      </c>
      <c r="F4865" s="16" t="inlineStr">
        <is>
          <t>FA028</t>
        </is>
      </c>
      <c r="G4865" s="16" t="inlineStr">
        <is>
          <t>Extractor de agua para garrafas de agua, compatible con carga USB, extractor de agua automático, práctico, con dos modos de toma de agua: manual y programado, ideal para dormitorios, salones, oficinas, uso al aire libre y otros escenarios.</t>
        </is>
      </c>
      <c r="H4865" s="16" t="inlineStr">
        <is>
          <t>FA028</t>
        </is>
      </c>
      <c r="I4865" s="16" t="n">
        <v>8</v>
      </c>
      <c r="J4865" s="17" t="n">
        <v>236</v>
      </c>
      <c r="K4865" s="17" t="n">
        <v>38.35</v>
      </c>
      <c r="L4865" s="17" t="n">
        <v>0</v>
      </c>
      <c r="M4865" s="17" t="n">
        <v>0</v>
      </c>
      <c r="N4865" s="17">
        <f>K4865*0.08+L4865*0.08</f>
        <v/>
      </c>
      <c r="O4865" s="17">
        <f>-(K4865*0.025+L4865*0.025)</f>
        <v/>
      </c>
      <c r="P4865" s="17">
        <f>32</f>
        <v/>
      </c>
      <c r="Q4865" s="17">
        <f>J4865+L4865+N4865+O4865-P4865-M4865</f>
        <v/>
      </c>
    </row>
    <row r="4866">
      <c r="A4866" s="16" t="inlineStr">
        <is>
          <t>5.8-5.14</t>
        </is>
      </c>
      <c r="B4866" s="16" t="inlineStr">
        <is>
          <t>PO-128-17001942190711605</t>
        </is>
      </c>
      <c r="C4866" s="16" t="inlineStr">
        <is>
          <t>Shipped</t>
        </is>
      </c>
      <c r="D4866" s="16" t="inlineStr">
        <is>
          <t>128-17001921219191605</t>
        </is>
      </c>
      <c r="E4866" s="16" t="inlineStr">
        <is>
          <t>Shipped</t>
        </is>
      </c>
      <c r="F4866" s="16" t="inlineStr">
        <is>
          <t>KTS-1678Y</t>
        </is>
      </c>
      <c r="G4866" s="16" t="inlineStr">
        <is>
          <t>Bocina portátil Inalámbrico, de 3 pulgadas, tamaño de bolsillo, 170 g, con asa, compatible con TF, USB y Micro SD, con radio FM y función TWS (True Wireless Stereo), adecuada para relajarse en casa o viajar al aire libre.</t>
        </is>
      </c>
      <c r="H4866" s="16" t="inlineStr">
        <is>
          <t>KTS-1678Y</t>
        </is>
      </c>
      <c r="I4866" s="16" t="n">
        <v>1</v>
      </c>
      <c r="J4866" s="17" t="n">
        <v>37.71</v>
      </c>
      <c r="K4866" s="17" t="n">
        <v>43.91</v>
      </c>
      <c r="L4866" s="17" t="n">
        <v>25.86</v>
      </c>
      <c r="M4866" s="17" t="n">
        <v>0</v>
      </c>
      <c r="N4866" s="17">
        <f>K4866*0.08+L4866*0.08</f>
        <v/>
      </c>
      <c r="O4866" s="17">
        <f>-(K4866*0.025+L4866*0.025)</f>
        <v/>
      </c>
      <c r="P4866" s="17">
        <f>32</f>
        <v/>
      </c>
      <c r="Q4866" s="17">
        <f>J4866+L4866+N4866+O4866-P4866-M4866</f>
        <v/>
      </c>
    </row>
    <row r="4867">
      <c r="A4867" s="16" t="inlineStr">
        <is>
          <t>5.8-5.14</t>
        </is>
      </c>
      <c r="B4867" s="16" t="inlineStr">
        <is>
          <t>PO-128-16696974244472399</t>
        </is>
      </c>
      <c r="C4867" s="16" t="inlineStr">
        <is>
          <t>Shipped</t>
        </is>
      </c>
      <c r="D4867" s="16" t="inlineStr">
        <is>
          <t>128-16696995215992399</t>
        </is>
      </c>
      <c r="E4867" s="16" t="inlineStr">
        <is>
          <t>Shipped</t>
        </is>
      </c>
      <c r="F4867" s="16" t="inlineStr">
        <is>
          <t>LB02235-rojo</t>
        </is>
      </c>
      <c r="G4867" s="16" t="inlineStr">
        <is>
          <t>Audífonos Inalámbricos para la Cabeza, Recargables y Multifuncionales - Conectan a Varios Dispositivos, soportan Radio FM, Tarjeta TF y AUX - 4 Horas de Reproducción Musical - Ideal para Trabajo Cotidiano, Juegos y Estudio</t>
        </is>
      </c>
      <c r="H4867" s="16" t="inlineStr">
        <is>
          <t>ROJO</t>
        </is>
      </c>
      <c r="I4867" s="16" t="n">
        <v>1</v>
      </c>
      <c r="J4867" s="17" t="n">
        <v>36.5</v>
      </c>
      <c r="K4867" s="17" t="n">
        <v>6.52</v>
      </c>
      <c r="L4867" s="17" t="n">
        <v>25.86</v>
      </c>
      <c r="M4867" s="17" t="n">
        <v>0</v>
      </c>
      <c r="N4867" s="17">
        <f>K4867*0.08+L4867*0.08</f>
        <v/>
      </c>
      <c r="O4867" s="17">
        <f>-(K4867*0.025+L4867*0.025)</f>
        <v/>
      </c>
      <c r="P4867" s="17">
        <f>32</f>
        <v/>
      </c>
      <c r="Q4867" s="17">
        <f>J4867+L4867+N4867+O4867-P4867-M4867</f>
        <v/>
      </c>
    </row>
    <row r="4868">
      <c r="A4868" s="16" t="inlineStr">
        <is>
          <t>5.8-5.14</t>
        </is>
      </c>
      <c r="B4868" s="16" t="inlineStr">
        <is>
          <t>PO-128-16533861806713435</t>
        </is>
      </c>
      <c r="C4868" s="16" t="inlineStr">
        <is>
          <t>Shipped</t>
        </is>
      </c>
      <c r="D4868" s="16" t="inlineStr">
        <is>
          <t>128-16533903749753435</t>
        </is>
      </c>
      <c r="E4868" s="16" t="inlineStr">
        <is>
          <t>Shipped</t>
        </is>
      </c>
      <c r="F4868" s="16" t="inlineStr">
        <is>
          <t>KTS-1678V</t>
        </is>
      </c>
      <c r="G4868" s="16" t="inlineStr">
        <is>
          <t>Bocina portátil Inalámbrico, de 3 pulgadas, tamaño de bolsillo, 170 g, con asa, compatible con TF, USB y Micro SD, con radio FM y función TWS (True Wireless Stereo), adecuada para relajarse en casa o viajar al aire libre.</t>
        </is>
      </c>
      <c r="H4868" s="16" t="inlineStr">
        <is>
          <t>KTS-1678V</t>
        </is>
      </c>
      <c r="I4868" s="16" t="n">
        <v>1</v>
      </c>
      <c r="J4868" s="17" t="n">
        <v>37.71</v>
      </c>
      <c r="K4868" s="17" t="n">
        <v>45.97</v>
      </c>
      <c r="L4868" s="17" t="n">
        <v>25.86</v>
      </c>
      <c r="M4868" s="17" t="n">
        <v>0</v>
      </c>
      <c r="N4868" s="17">
        <f>K4868*0.08+L4868*0.08</f>
        <v/>
      </c>
      <c r="O4868" s="17">
        <f>-(K4868*0.025+L4868*0.025)</f>
        <v/>
      </c>
      <c r="P4868" s="17">
        <f>32</f>
        <v/>
      </c>
      <c r="Q4868" s="17">
        <f>J4868+L4868+N4868+O4868-P4868-M4868</f>
        <v/>
      </c>
    </row>
    <row r="4869">
      <c r="A4869" s="16" t="inlineStr">
        <is>
          <t>5.8-5.14</t>
        </is>
      </c>
      <c r="B4869" s="16" t="inlineStr">
        <is>
          <t>PO-128-16950093271671848</t>
        </is>
      </c>
      <c r="C4869" s="16" t="inlineStr">
        <is>
          <t>Shipped</t>
        </is>
      </c>
      <c r="D4869" s="16" t="inlineStr">
        <is>
          <t>128-16950051328631848</t>
        </is>
      </c>
      <c r="E4869" s="16" t="inlineStr">
        <is>
          <t>Shipped</t>
        </is>
      </c>
      <c r="F4869" s="16" t="inlineStr">
        <is>
          <t>MB-178-N</t>
        </is>
      </c>
      <c r="G4869" s="16" t="inlineStr">
        <is>
          <t>Bocina de Barra Bluetooth LINK BITS con dos altavoces, sonido de alta calidad y multifuncional (Bluetooth, Radio FM, USB, TF, AUX, TWS), ideal para juegos, reuniones, oficina y cine en casa.</t>
        </is>
      </c>
      <c r="H4869" s="16" t="inlineStr">
        <is>
          <t>NEGRO</t>
        </is>
      </c>
      <c r="I4869" s="16" t="n">
        <v>1</v>
      </c>
      <c r="J4869" s="17" t="n">
        <v>119</v>
      </c>
      <c r="K4869" s="17" t="n">
        <v>138.33</v>
      </c>
      <c r="L4869" s="17" t="n">
        <v>25.86</v>
      </c>
      <c r="M4869" s="17" t="n">
        <v>0</v>
      </c>
      <c r="N4869" s="17">
        <f>K4869*0.08+L4869*0.08</f>
        <v/>
      </c>
      <c r="O4869" s="17">
        <f>-(K4869*0.025+L4869*0.025)</f>
        <v/>
      </c>
      <c r="P4869" s="17">
        <f>32</f>
        <v/>
      </c>
      <c r="Q4869" s="17">
        <f>J4869+L4869+N4869+O4869-P4869-M4869</f>
        <v/>
      </c>
    </row>
    <row r="4870">
      <c r="A4870" s="16" t="inlineStr">
        <is>
          <t>5.8-5.14</t>
        </is>
      </c>
      <c r="B4870" s="16" t="inlineStr">
        <is>
          <t>PO-128-16555856968313302</t>
        </is>
      </c>
      <c r="C4870" s="16" t="inlineStr">
        <is>
          <t>Shipped</t>
        </is>
      </c>
      <c r="D4870" s="16" t="inlineStr">
        <is>
          <t>128-16555893668473302</t>
        </is>
      </c>
      <c r="E4870" s="16" t="inlineStr">
        <is>
          <t>Shipped</t>
        </is>
      </c>
      <c r="F4870" s="16" t="inlineStr">
        <is>
          <t>FA028</t>
        </is>
      </c>
      <c r="G4870" s="16" t="inlineStr">
        <is>
          <t>Extractor de agua para garrafas de agua, compatible con carga USB, extractor de agua automático, práctico, con dos modos de toma de agua: manual y programado, ideal para dormitorios, salones, oficinas, uso al aire libre y otros escenarios.</t>
        </is>
      </c>
      <c r="H4870" s="16" t="inlineStr">
        <is>
          <t>FA028</t>
        </is>
      </c>
      <c r="I4870" s="16" t="n">
        <v>1</v>
      </c>
      <c r="J4870" s="17" t="n">
        <v>29.5</v>
      </c>
      <c r="K4870" s="17" t="n">
        <v>36.99</v>
      </c>
      <c r="L4870" s="17" t="n">
        <v>25.86</v>
      </c>
      <c r="M4870" s="17" t="n">
        <v>0</v>
      </c>
      <c r="N4870" s="17">
        <f>K4870*0.08+L4870*0.08</f>
        <v/>
      </c>
      <c r="O4870" s="17">
        <f>-(K4870*0.025+L4870*0.025)</f>
        <v/>
      </c>
      <c r="P4870" s="17">
        <f>32</f>
        <v/>
      </c>
      <c r="Q4870" s="17">
        <f>J4870+L4870+N4870+O4870-P4870-M4870</f>
        <v/>
      </c>
    </row>
    <row r="4871">
      <c r="A4871" s="16" t="inlineStr">
        <is>
          <t>5.8-5.14</t>
        </is>
      </c>
      <c r="B4871" s="16" t="inlineStr">
        <is>
          <t>PO-128-16548881234553281</t>
        </is>
      </c>
      <c r="C4871" s="16" t="inlineStr">
        <is>
          <t>Shipped</t>
        </is>
      </c>
      <c r="D4871" s="16" t="inlineStr">
        <is>
          <t>128-16548889098873281</t>
        </is>
      </c>
      <c r="E4871" s="16" t="inlineStr">
        <is>
          <t>Shipped</t>
        </is>
      </c>
      <c r="F4871" s="16" t="inlineStr">
        <is>
          <t>KTS-1678Y</t>
        </is>
      </c>
      <c r="G4871" s="16" t="inlineStr">
        <is>
          <t>Bocina portátil Inalámbrico, de 3 pulgadas, tamaño de bolsillo, 170 g, con asa, compatible con TF, USB y Micro SD, con radio FM y función TWS (True Wireless Stereo), adecuada para relajarse en casa o viajar al aire libre.</t>
        </is>
      </c>
      <c r="H4871" s="16" t="inlineStr">
        <is>
          <t>KTS-1678Y</t>
        </is>
      </c>
      <c r="I4871" s="16" t="n">
        <v>1</v>
      </c>
      <c r="J4871" s="17" t="n">
        <v>37.71</v>
      </c>
      <c r="K4871" s="17" t="n">
        <v>43.91</v>
      </c>
      <c r="L4871" s="17" t="n">
        <v>25.86</v>
      </c>
      <c r="M4871" s="17" t="n">
        <v>0</v>
      </c>
      <c r="N4871" s="17">
        <f>K4871*0.08+L4871*0.08</f>
        <v/>
      </c>
      <c r="O4871" s="17">
        <f>-(K4871*0.025+L4871*0.025)</f>
        <v/>
      </c>
      <c r="P4871" s="17">
        <f>32</f>
        <v/>
      </c>
      <c r="Q4871" s="17">
        <f>J4871+L4871+N4871+O4871-P4871-M4871</f>
        <v/>
      </c>
    </row>
    <row r="4872">
      <c r="A4872" s="16" t="inlineStr">
        <is>
          <t>5.8-5.14</t>
        </is>
      </c>
      <c r="B4872" s="16" t="inlineStr">
        <is>
          <t>PO-128-16606477194873896</t>
        </is>
      </c>
      <c r="C4872" s="16" t="inlineStr">
        <is>
          <t>Shipped</t>
        </is>
      </c>
      <c r="D4872" s="16" t="inlineStr">
        <is>
          <t>128-16606445737593896</t>
        </is>
      </c>
      <c r="E4872" s="16" t="inlineStr">
        <is>
          <t>Shipped</t>
        </is>
      </c>
      <c r="F4872" s="16" t="inlineStr">
        <is>
          <t>LB02235-negro</t>
        </is>
      </c>
      <c r="G4872" s="16" t="inlineStr">
        <is>
          <t>Audífonos Inalámbricos para la Cabeza, Recargables y Multifuncionales - Conectan a Varios Dispositivos, soportan Radio FM, Tarjeta TF y AUX - 4 Horas de Reproducción Musical - Ideal para Trabajo Cotidiano, Juegos y Estudio</t>
        </is>
      </c>
      <c r="H4872" s="16" t="inlineStr">
        <is>
          <t>NEGRO</t>
        </is>
      </c>
      <c r="I4872" s="16" t="n">
        <v>1</v>
      </c>
      <c r="J4872" s="17" t="n">
        <v>36.5</v>
      </c>
      <c r="K4872" s="17" t="n">
        <v>49.62</v>
      </c>
      <c r="L4872" s="17" t="n">
        <v>25.86</v>
      </c>
      <c r="M4872" s="17" t="n">
        <v>0</v>
      </c>
      <c r="N4872" s="17">
        <f>K4872*0.08+L4872*0.08</f>
        <v/>
      </c>
      <c r="O4872" s="17">
        <f>-(K4872*0.025+L4872*0.025)</f>
        <v/>
      </c>
      <c r="P4872" s="17">
        <f>32</f>
        <v/>
      </c>
      <c r="Q4872" s="17">
        <f>J4872+L4872+N4872+O4872-P4872-M4872</f>
        <v/>
      </c>
    </row>
    <row r="4873">
      <c r="A4873" s="16" t="inlineStr">
        <is>
          <t>5.8-5.14</t>
        </is>
      </c>
      <c r="B4873" s="16" t="inlineStr">
        <is>
          <t>PO-128-16951212083831843</t>
        </is>
      </c>
      <c r="C4873" s="16" t="inlineStr">
        <is>
          <t>Shipped</t>
        </is>
      </c>
      <c r="D4873" s="16" t="inlineStr">
        <is>
          <t>128-16951348398711843</t>
        </is>
      </c>
      <c r="E4873" s="16" t="inlineStr">
        <is>
          <t>Shipped</t>
        </is>
      </c>
      <c r="F4873" s="16" t="inlineStr">
        <is>
          <t>KTS-1678V</t>
        </is>
      </c>
      <c r="G4873" s="16" t="inlineStr">
        <is>
          <t>Bocina portátil Inalámbrico, de 3 pulgadas, tamaño de bolsillo, 170 g, con asa, compatible con TF, USB y Micro SD, con radio FM y función TWS (True Wireless Stereo), adecuada para relajarse en casa o viajar al aire libre.</t>
        </is>
      </c>
      <c r="H4873" s="16" t="inlineStr">
        <is>
          <t>KTS-1678V</t>
        </is>
      </c>
      <c r="I4873" s="16" t="n">
        <v>1</v>
      </c>
      <c r="J4873" s="17" t="n">
        <v>37.71</v>
      </c>
      <c r="K4873" s="17" t="n">
        <v>2.87</v>
      </c>
      <c r="L4873" s="17" t="n">
        <v>25.86</v>
      </c>
      <c r="M4873" s="17" t="n">
        <v>0</v>
      </c>
      <c r="N4873" s="17">
        <f>K4873*0.08+L4873*0.08</f>
        <v/>
      </c>
      <c r="O4873" s="17">
        <f>-(K4873*0.025+L4873*0.025)</f>
        <v/>
      </c>
      <c r="P4873" s="17">
        <f>32</f>
        <v/>
      </c>
      <c r="Q4873" s="17">
        <f>J4873+L4873+N4873+O4873-P4873-M4873</f>
        <v/>
      </c>
    </row>
    <row r="4874">
      <c r="A4874" s="16" t="inlineStr">
        <is>
          <t>5.8-5.14</t>
        </is>
      </c>
      <c r="B4874" s="16" t="inlineStr">
        <is>
          <t>PO-128-16606522880633896</t>
        </is>
      </c>
      <c r="C4874" s="16" t="inlineStr">
        <is>
          <t>Shipped</t>
        </is>
      </c>
      <c r="D4874" s="16" t="inlineStr">
        <is>
          <t>128-16606588416633896</t>
        </is>
      </c>
      <c r="E4874" s="16" t="inlineStr">
        <is>
          <t>Shipped</t>
        </is>
      </c>
      <c r="F4874" s="16" t="inlineStr">
        <is>
          <t>LB02235-blanco</t>
        </is>
      </c>
      <c r="G4874" s="16" t="inlineStr">
        <is>
          <t>Audífonos Inalámbricos para la Cabeza, Recargables y Multifuncionales - Conectan a Varios Dispositivos, soportan Radio FM, Tarjeta TF y AUX - 4 Horas de Reproducción Musical - Ideal para Trabajo Cotidiano, Juegos y Estudio</t>
        </is>
      </c>
      <c r="H4874" s="16" t="inlineStr">
        <is>
          <t>BLANCO</t>
        </is>
      </c>
      <c r="I4874" s="16" t="n">
        <v>1</v>
      </c>
      <c r="J4874" s="17" t="n">
        <v>36.5</v>
      </c>
      <c r="K4874" s="17" t="n">
        <v>49.62</v>
      </c>
      <c r="L4874" s="17" t="n">
        <v>25.86</v>
      </c>
      <c r="M4874" s="17" t="n">
        <v>0</v>
      </c>
      <c r="N4874" s="17">
        <f>K4874*0.08+L4874*0.08</f>
        <v/>
      </c>
      <c r="O4874" s="17">
        <f>-(K4874*0.025+L4874*0.025)</f>
        <v/>
      </c>
      <c r="P4874" s="17">
        <f>32</f>
        <v/>
      </c>
      <c r="Q4874" s="17">
        <f>J4874+L4874+N4874+O4874-P4874-M4874</f>
        <v/>
      </c>
    </row>
    <row r="4875">
      <c r="A4875" s="16" t="inlineStr">
        <is>
          <t>5.8-5.14</t>
        </is>
      </c>
      <c r="B4875" s="16" t="inlineStr">
        <is>
          <t>PO-128-16936793160311993</t>
        </is>
      </c>
      <c r="C4875" s="16" t="inlineStr">
        <is>
          <t>Shipped</t>
        </is>
      </c>
      <c r="D4875" s="16" t="inlineStr">
        <is>
          <t>128-16936814131831993</t>
        </is>
      </c>
      <c r="E4875" s="16" t="inlineStr">
        <is>
          <t>Shipped</t>
        </is>
      </c>
      <c r="F4875" s="16" t="inlineStr">
        <is>
          <t>MB-185A</t>
        </is>
      </c>
      <c r="G4875" s="16" t="inlineStr">
        <is>
          <t>Bocina Radio FM/Reproductor, Compatible con Tarjeta TF, USB, Bluetooth, Aplicable para celular, computadora, Ipad y consola.</t>
        </is>
      </c>
      <c r="H4875" s="16" t="inlineStr">
        <is>
          <t>AZUL/MB-185</t>
        </is>
      </c>
      <c r="I4875" s="16" t="n">
        <v>1</v>
      </c>
      <c r="J4875" s="17" t="n">
        <v>71.31</v>
      </c>
      <c r="K4875" s="17" t="n">
        <v>84.26000000000001</v>
      </c>
      <c r="L4875" s="17" t="n">
        <v>25.86</v>
      </c>
      <c r="M4875" s="17" t="n">
        <v>0</v>
      </c>
      <c r="N4875" s="17">
        <f>K4875*0.08+L4875*0.08</f>
        <v/>
      </c>
      <c r="O4875" s="17">
        <f>-(K4875*0.025+L4875*0.025)</f>
        <v/>
      </c>
      <c r="P4875" s="17">
        <f>32</f>
        <v/>
      </c>
      <c r="Q4875" s="17">
        <f>J4875+L4875+N4875+O4875-P4875-M4875</f>
        <v/>
      </c>
    </row>
    <row r="4876">
      <c r="A4876" s="16" t="inlineStr">
        <is>
          <t>5.8-5.14</t>
        </is>
      </c>
      <c r="B4876" s="16" t="inlineStr">
        <is>
          <t>PO-128-16945159721591815</t>
        </is>
      </c>
      <c r="C4876" s="16" t="inlineStr">
        <is>
          <t>Shipped</t>
        </is>
      </c>
      <c r="D4876" s="16" t="inlineStr">
        <is>
          <t>128-16945235743351815</t>
        </is>
      </c>
      <c r="E4876" s="16" t="inlineStr">
        <is>
          <t>Shipped</t>
        </is>
      </c>
      <c r="F4876" s="16" t="inlineStr">
        <is>
          <t>MB-185R</t>
        </is>
      </c>
      <c r="G4876" s="16" t="inlineStr">
        <is>
          <t>Bocina Radio FM/Reproductor, Compatible con Tarjeta TF, USB, Bluetooth, Aplicable para celular, computadora, Ipad y consola.</t>
        </is>
      </c>
      <c r="H4876" s="16" t="inlineStr">
        <is>
          <t>ROJO/MB-185</t>
        </is>
      </c>
      <c r="I4876" s="16" t="n">
        <v>1</v>
      </c>
      <c r="J4876" s="17" t="n">
        <v>71.31</v>
      </c>
      <c r="K4876" s="17" t="n">
        <v>70.23</v>
      </c>
      <c r="L4876" s="17" t="n">
        <v>0</v>
      </c>
      <c r="M4876" s="17" t="n">
        <v>0</v>
      </c>
      <c r="N4876" s="17">
        <f>K4876*0.08+L4876*0.08</f>
        <v/>
      </c>
      <c r="O4876" s="17">
        <f>-(K4876*0.025+L4876*0.025)</f>
        <v/>
      </c>
      <c r="P4876" s="17">
        <f>32</f>
        <v/>
      </c>
      <c r="Q4876" s="17">
        <f>J4876+L4876+N4876+O4876-P4876-M4876</f>
        <v/>
      </c>
    </row>
    <row r="4877">
      <c r="A4877" s="16" t="inlineStr">
        <is>
          <t>5.8-5.14</t>
        </is>
      </c>
      <c r="B4877" s="16" t="inlineStr">
        <is>
          <t>PO-128-16945159721591815</t>
        </is>
      </c>
      <c r="C4877" s="16" t="inlineStr">
        <is>
          <t>Shipped</t>
        </is>
      </c>
      <c r="D4877" s="16" t="inlineStr">
        <is>
          <t>128-16945319629431815</t>
        </is>
      </c>
      <c r="E4877" s="16" t="inlineStr">
        <is>
          <t>Shipped</t>
        </is>
      </c>
      <c r="F4877" s="16" t="inlineStr">
        <is>
          <t>MB-183R</t>
        </is>
      </c>
      <c r="G4877" s="16" t="inlineStr">
        <is>
          <t>Linkbits Altavoz Bluetooth Portátil con Stereo Inalámbrico TWS Impermeable y a Prueba de Polvo IP65 Altavoz de Graves de Rango Completo de 52mm con Doble Unidad Ligero de 215g para Camping Senderismo y Fiestas al Aire Libre</t>
        </is>
      </c>
      <c r="H4877" s="16" t="inlineStr">
        <is>
          <t>ROJO/MB-183</t>
        </is>
      </c>
      <c r="I4877" s="16" t="n">
        <v>1</v>
      </c>
      <c r="J4877" s="17" t="n">
        <v>70</v>
      </c>
      <c r="K4877" s="17" t="n">
        <v>72.86</v>
      </c>
      <c r="L4877" s="17" t="n">
        <v>0</v>
      </c>
      <c r="M4877" s="17" t="n">
        <v>0</v>
      </c>
      <c r="N4877" s="17">
        <f>K4877*0.08+L4877*0.08</f>
        <v/>
      </c>
      <c r="O4877" s="17">
        <f>-(K4877*0.025+L4877*0.025)</f>
        <v/>
      </c>
      <c r="P4877" s="17">
        <f>32</f>
        <v/>
      </c>
      <c r="Q4877" s="17">
        <f>J4877+L4877+N4877+O4877-P4877-M4877</f>
        <v/>
      </c>
    </row>
    <row r="4878">
      <c r="A4878" s="16" t="inlineStr">
        <is>
          <t>5.8-5.14</t>
        </is>
      </c>
      <c r="B4878" s="16" t="inlineStr">
        <is>
          <t>PO-128-16945159721591815</t>
        </is>
      </c>
      <c r="C4878" s="16" t="inlineStr">
        <is>
          <t>Shipped</t>
        </is>
      </c>
      <c r="D4878" s="16" t="inlineStr">
        <is>
          <t>128-16945277686391815</t>
        </is>
      </c>
      <c r="E4878" s="16" t="inlineStr">
        <is>
          <t>Shipped</t>
        </is>
      </c>
      <c r="F4878" s="16" t="inlineStr">
        <is>
          <t>MB-183B</t>
        </is>
      </c>
      <c r="G4878" s="16" t="inlineStr">
        <is>
          <t>Linkbits Altavoz Bluetooth Portátil con Stereo Inalámbrico TWS Impermeable y a Prueba de Polvo IP65 Altavoz de Graves de Rango Completo de 52mm con Doble Unidad Ligero de 215g para Camping Senderismo y Fiestas al Aire Libre</t>
        </is>
      </c>
      <c r="H4878" s="16" t="inlineStr">
        <is>
          <t>AZUL/MB-183</t>
        </is>
      </c>
      <c r="I4878" s="16" t="n">
        <v>1</v>
      </c>
      <c r="J4878" s="17" t="n">
        <v>70</v>
      </c>
      <c r="K4878" s="17" t="n">
        <v>72.84999999999999</v>
      </c>
      <c r="L4878" s="17" t="n">
        <v>0</v>
      </c>
      <c r="M4878" s="17" t="n">
        <v>0</v>
      </c>
      <c r="N4878" s="17">
        <f>K4878*0.08+L4878*0.08</f>
        <v/>
      </c>
      <c r="O4878" s="17">
        <f>-(K4878*0.025+L4878*0.025)</f>
        <v/>
      </c>
      <c r="P4878" s="17">
        <f>32</f>
        <v/>
      </c>
      <c r="Q4878" s="17">
        <f>J4878+L4878+N4878+O4878-P4878-M4878</f>
        <v/>
      </c>
    </row>
    <row r="4879">
      <c r="A4879" s="16" t="inlineStr">
        <is>
          <t>5.8-5.14</t>
        </is>
      </c>
      <c r="B4879" s="16" t="inlineStr">
        <is>
          <t>PO-128-17064530340470206</t>
        </is>
      </c>
      <c r="C4879" s="16" t="inlineStr">
        <is>
          <t>Shipped</t>
        </is>
      </c>
      <c r="D4879" s="16" t="inlineStr">
        <is>
          <t>128-17064606362230206</t>
        </is>
      </c>
      <c r="E4879" s="16" t="inlineStr">
        <is>
          <t>Shipped</t>
        </is>
      </c>
      <c r="F4879" s="16" t="inlineStr">
        <is>
          <t>KTS-1678V</t>
        </is>
      </c>
      <c r="G4879" s="16" t="inlineStr">
        <is>
          <t>Bocina portátil Inalámbrico, de 3 pulgadas, tamaño de bolsillo, 170 g, con asa, compatible con TF, USB y Micro SD, con radio FM y función TWS (True Wireless Stereo), adecuada para relajarse en casa o viajar al aire libre.</t>
        </is>
      </c>
      <c r="H4879" s="16" t="inlineStr">
        <is>
          <t>KTS-1678V</t>
        </is>
      </c>
      <c r="I4879" s="16" t="n">
        <v>1</v>
      </c>
      <c r="J4879" s="17" t="n">
        <v>37.71</v>
      </c>
      <c r="K4879" s="17" t="n">
        <v>45.97</v>
      </c>
      <c r="L4879" s="17" t="n">
        <v>25.86</v>
      </c>
      <c r="M4879" s="17" t="n">
        <v>0</v>
      </c>
      <c r="N4879" s="17">
        <f>K4879*0.08+L4879*0.08</f>
        <v/>
      </c>
      <c r="O4879" s="17">
        <f>-(K4879*0.025+L4879*0.025)</f>
        <v/>
      </c>
      <c r="P4879" s="17">
        <f>32</f>
        <v/>
      </c>
      <c r="Q4879" s="17">
        <f>J4879+L4879+N4879+O4879-P4879-M4879</f>
        <v/>
      </c>
    </row>
    <row r="4880">
      <c r="A4880" s="16" t="inlineStr">
        <is>
          <t>5.8-5.14</t>
        </is>
      </c>
      <c r="B4880" s="16" t="inlineStr">
        <is>
          <t>PO-128-16955620762231881</t>
        </is>
      </c>
      <c r="C4880" s="16" t="inlineStr">
        <is>
          <t>Shipped</t>
        </is>
      </c>
      <c r="D4880" s="16" t="inlineStr">
        <is>
          <t>128-16955662705271881</t>
        </is>
      </c>
      <c r="E4880" s="16" t="inlineStr">
        <is>
          <t>Shipped</t>
        </is>
      </c>
      <c r="F4880" s="16" t="inlineStr">
        <is>
          <t>LV25W22</t>
        </is>
      </c>
      <c r="G488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80" s="16" t="inlineStr">
        <is>
          <t>LV25W32</t>
        </is>
      </c>
      <c r="I4880" s="16" t="n">
        <v>1</v>
      </c>
      <c r="J4880" s="17" t="n">
        <v>90</v>
      </c>
      <c r="K4880" s="17" t="n">
        <v>17.65</v>
      </c>
      <c r="L4880" s="17" t="n">
        <v>25.86</v>
      </c>
      <c r="M4880" s="17" t="n">
        <v>0</v>
      </c>
      <c r="N4880" s="17">
        <f>K4880*0.08+L4880*0.08</f>
        <v/>
      </c>
      <c r="O4880" s="17">
        <f>-(K4880*0.025+L4880*0.025)</f>
        <v/>
      </c>
      <c r="P4880" s="17">
        <f>32</f>
        <v/>
      </c>
      <c r="Q4880" s="17">
        <f>J4880+L4880+N4880+O4880-P4880-M4880</f>
        <v/>
      </c>
    </row>
    <row r="4881">
      <c r="A4881" s="16" t="inlineStr">
        <is>
          <t>5.8-5.14</t>
        </is>
      </c>
      <c r="B4881" s="16" t="inlineStr">
        <is>
          <t>PO-128-16955689503351881</t>
        </is>
      </c>
      <c r="C4881" s="16" t="inlineStr">
        <is>
          <t>Shipped</t>
        </is>
      </c>
      <c r="D4881" s="16" t="inlineStr">
        <is>
          <t>128-16955647560311881</t>
        </is>
      </c>
      <c r="E4881" s="16" t="inlineStr">
        <is>
          <t>Shipped</t>
        </is>
      </c>
      <c r="F4881" s="16" t="inlineStr">
        <is>
          <t>LV25W22</t>
        </is>
      </c>
      <c r="G488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81" s="16" t="inlineStr">
        <is>
          <t>LV25W32</t>
        </is>
      </c>
      <c r="I4881" s="16" t="n">
        <v>1</v>
      </c>
      <c r="J4881" s="17" t="n">
        <v>90</v>
      </c>
      <c r="K4881" s="17" t="n">
        <v>17.65</v>
      </c>
      <c r="L4881" s="17" t="n">
        <v>25.86</v>
      </c>
      <c r="M4881" s="17" t="n">
        <v>0</v>
      </c>
      <c r="N4881" s="17">
        <f>K4881*0.08+L4881*0.08</f>
        <v/>
      </c>
      <c r="O4881" s="17">
        <f>-(K4881*0.025+L4881*0.025)</f>
        <v/>
      </c>
      <c r="P4881" s="17">
        <f>32</f>
        <v/>
      </c>
      <c r="Q4881" s="17">
        <f>J4881+L4881+N4881+O4881-P4881-M4881</f>
        <v/>
      </c>
    </row>
    <row r="4882">
      <c r="A4882" s="16" t="inlineStr">
        <is>
          <t>5.8-5.14</t>
        </is>
      </c>
      <c r="B4882" s="16" t="inlineStr">
        <is>
          <t>PO-128-17093948785270097</t>
        </is>
      </c>
      <c r="C4882" s="16" t="inlineStr">
        <is>
          <t>Shipped</t>
        </is>
      </c>
      <c r="D4882" s="16" t="inlineStr">
        <is>
          <t>128-17093906842230097</t>
        </is>
      </c>
      <c r="E4882" s="16" t="inlineStr">
        <is>
          <t>Shipped</t>
        </is>
      </c>
      <c r="F4882" s="16" t="inlineStr">
        <is>
          <t>SA8056T</t>
        </is>
      </c>
      <c r="G488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882" s="16" t="inlineStr">
        <is>
          <t>SA8056T</t>
        </is>
      </c>
      <c r="I4882" s="16" t="n">
        <v>2</v>
      </c>
      <c r="J4882" s="17" t="n">
        <v>276</v>
      </c>
      <c r="K4882" s="17" t="n">
        <v>316.76</v>
      </c>
      <c r="L4882" s="17" t="n">
        <v>0</v>
      </c>
      <c r="M4882" s="17" t="n">
        <v>0</v>
      </c>
      <c r="N4882" s="17">
        <f>K4882*0.08+L4882*0.08</f>
        <v/>
      </c>
      <c r="O4882" s="17">
        <f>-(K4882*0.025+L4882*0.025)</f>
        <v/>
      </c>
      <c r="P4882" s="17">
        <f>32</f>
        <v/>
      </c>
      <c r="Q4882" s="17">
        <f>J4882+L4882+N4882+O4882-P4882-M4882</f>
        <v/>
      </c>
    </row>
    <row r="4883">
      <c r="A4883" s="16" t="inlineStr">
        <is>
          <t>5.8-5.14</t>
        </is>
      </c>
      <c r="B4883" s="16" t="inlineStr">
        <is>
          <t>PO-128-16920372378231131</t>
        </is>
      </c>
      <c r="C4883" s="16" t="inlineStr">
        <is>
          <t>Shipped</t>
        </is>
      </c>
      <c r="D4883" s="16" t="inlineStr">
        <is>
          <t>128-16920414321271131</t>
        </is>
      </c>
      <c r="E4883" s="16" t="inlineStr">
        <is>
          <t>Shipped</t>
        </is>
      </c>
      <c r="F4883" s="16" t="inlineStr">
        <is>
          <t>MB-178-N</t>
        </is>
      </c>
      <c r="G4883" s="16" t="inlineStr">
        <is>
          <t>Bocina de Barra Bluetooth LINK BITS con dos altavoces, sonido de alta calidad y multifuncional (Bluetooth, Radio FM, USB, TF, AUX, TWS), ideal para juegos, reuniones, oficina y cine en casa.</t>
        </is>
      </c>
      <c r="H4883" s="16" t="inlineStr">
        <is>
          <t>NEGRO</t>
        </is>
      </c>
      <c r="I4883" s="16" t="n">
        <v>1</v>
      </c>
      <c r="J4883" s="17" t="n">
        <v>119</v>
      </c>
      <c r="K4883" s="17" t="n">
        <v>138.33</v>
      </c>
      <c r="L4883" s="17" t="n">
        <v>25.86</v>
      </c>
      <c r="M4883" s="17" t="n">
        <v>0</v>
      </c>
      <c r="N4883" s="17">
        <f>K4883*0.08+L4883*0.08</f>
        <v/>
      </c>
      <c r="O4883" s="17">
        <f>-(K4883*0.025+L4883*0.025)</f>
        <v/>
      </c>
      <c r="P4883" s="17">
        <f>32</f>
        <v/>
      </c>
      <c r="Q4883" s="17">
        <f>J4883+L4883+N4883+O4883-P4883-M4883</f>
        <v/>
      </c>
    </row>
    <row r="4884">
      <c r="A4884" s="16" t="inlineStr">
        <is>
          <t>5.8-5.14</t>
        </is>
      </c>
      <c r="B4884" s="16" t="inlineStr">
        <is>
          <t>PO-128-17032952740470266</t>
        </is>
      </c>
      <c r="C4884" s="16" t="inlineStr">
        <is>
          <t>Shipped</t>
        </is>
      </c>
      <c r="D4884" s="16" t="inlineStr">
        <is>
          <t>128-17032937011830266</t>
        </is>
      </c>
      <c r="E4884" s="16" t="inlineStr">
        <is>
          <t>Shipped</t>
        </is>
      </c>
      <c r="F4884" s="16" t="inlineStr">
        <is>
          <t>MB-185R</t>
        </is>
      </c>
      <c r="G4884" s="16" t="inlineStr">
        <is>
          <t>Bocina Radio FM/Reproductor, Compatible con Tarjeta TF, USB, Bluetooth, Aplicable para celular, computadora, Ipad y consola.</t>
        </is>
      </c>
      <c r="H4884" s="16" t="inlineStr">
        <is>
          <t>ROJO/MB-185</t>
        </is>
      </c>
      <c r="I4884" s="16" t="n">
        <v>1</v>
      </c>
      <c r="J4884" s="17" t="n">
        <v>71.31</v>
      </c>
      <c r="K4884" s="17" t="n">
        <v>67.41</v>
      </c>
      <c r="L4884" s="17" t="n">
        <v>25.86</v>
      </c>
      <c r="M4884" s="17" t="n">
        <v>0</v>
      </c>
      <c r="N4884" s="17">
        <f>K4884*0.08+L4884*0.08</f>
        <v/>
      </c>
      <c r="O4884" s="17">
        <f>-(K4884*0.025+L4884*0.025)</f>
        <v/>
      </c>
      <c r="P4884" s="17">
        <f>32</f>
        <v/>
      </c>
      <c r="Q4884" s="17">
        <f>J4884+L4884+N4884+O4884-P4884-M4884</f>
        <v/>
      </c>
    </row>
    <row r="4885">
      <c r="A4885" s="16" t="inlineStr">
        <is>
          <t>5.8-5.14</t>
        </is>
      </c>
      <c r="B4885" s="16" t="inlineStr">
        <is>
          <t>PO-128-17066661530230195</t>
        </is>
      </c>
      <c r="C4885" s="16" t="inlineStr">
        <is>
          <t>Shipped</t>
        </is>
      </c>
      <c r="D4885" s="16" t="inlineStr">
        <is>
          <t>128-17066630072950195</t>
        </is>
      </c>
      <c r="E4885" s="16" t="inlineStr">
        <is>
          <t>Shipped</t>
        </is>
      </c>
      <c r="F4885" s="16" t="inlineStr">
        <is>
          <t>EM04W36</t>
        </is>
      </c>
      <c r="G4885"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4885" s="16" t="inlineStr">
        <is>
          <t>1 pieza</t>
        </is>
      </c>
      <c r="I4885" s="16" t="n">
        <v>2</v>
      </c>
      <c r="J4885" s="17" t="n">
        <v>98</v>
      </c>
      <c r="K4885" s="17" t="n">
        <v>134.94</v>
      </c>
      <c r="L4885" s="17" t="n">
        <v>25.86</v>
      </c>
      <c r="M4885" s="17" t="n">
        <v>0</v>
      </c>
      <c r="N4885" s="17">
        <f>K4885*0.08+L4885*0.08</f>
        <v/>
      </c>
      <c r="O4885" s="17">
        <f>-(K4885*0.025+L4885*0.025)</f>
        <v/>
      </c>
      <c r="P4885" s="17">
        <f>32</f>
        <v/>
      </c>
      <c r="Q4885" s="17">
        <f>J4885+L4885+N4885+O4885-P4885-M4885</f>
        <v/>
      </c>
    </row>
    <row r="4886">
      <c r="A4886" s="16" t="inlineStr">
        <is>
          <t>5.8-5.14</t>
        </is>
      </c>
      <c r="B4886" s="16" t="inlineStr">
        <is>
          <t>PO-128-17051072676470158</t>
        </is>
      </c>
      <c r="C4886" s="16" t="inlineStr">
        <is>
          <t>Shipped</t>
        </is>
      </c>
      <c r="D4886" s="16" t="inlineStr">
        <is>
          <t>128-17051114619510158</t>
        </is>
      </c>
      <c r="E4886" s="16" t="inlineStr">
        <is>
          <t>Shipped</t>
        </is>
      </c>
      <c r="F4886" s="16" t="inlineStr">
        <is>
          <t>KTS-1678Y</t>
        </is>
      </c>
      <c r="G4886" s="16" t="inlineStr">
        <is>
          <t>Bocina portátil Inalámbrico, de 3 pulgadas, tamaño de bolsillo, 170 g, con asa, compatible con TF, USB y Micro SD, con radio FM y función TWS (True Wireless Stereo), adecuada para relajarse en casa o viajar al aire libre.</t>
        </is>
      </c>
      <c r="H4886" s="16" t="inlineStr">
        <is>
          <t>KTS-1678Y</t>
        </is>
      </c>
      <c r="I4886" s="16" t="n">
        <v>1</v>
      </c>
      <c r="J4886" s="17" t="n">
        <v>37.71</v>
      </c>
      <c r="K4886" s="17" t="n">
        <v>43.91</v>
      </c>
      <c r="L4886" s="17" t="n">
        <v>25.86</v>
      </c>
      <c r="M4886" s="17" t="n">
        <v>0</v>
      </c>
      <c r="N4886" s="17">
        <f>K4886*0.08+L4886*0.08</f>
        <v/>
      </c>
      <c r="O4886" s="17">
        <f>-(K4886*0.025+L4886*0.025)</f>
        <v/>
      </c>
      <c r="P4886" s="17">
        <f>32</f>
        <v/>
      </c>
      <c r="Q4886" s="17">
        <f>J4886+L4886+N4886+O4886-P4886-M4886</f>
        <v/>
      </c>
    </row>
    <row r="4887">
      <c r="A4887" s="16" t="inlineStr">
        <is>
          <t>5.8-5.14</t>
        </is>
      </c>
      <c r="B4887" s="16" t="inlineStr">
        <is>
          <t>PO-128-16853460542071528</t>
        </is>
      </c>
      <c r="C4887" s="16" t="inlineStr">
        <is>
          <t>Shipped</t>
        </is>
      </c>
      <c r="D4887" s="16" t="inlineStr">
        <is>
          <t>128-16853502485111528</t>
        </is>
      </c>
      <c r="E4887" s="16" t="inlineStr">
        <is>
          <t>Shipped</t>
        </is>
      </c>
      <c r="F4887" s="16" t="inlineStr">
        <is>
          <t>KTS-1678V</t>
        </is>
      </c>
      <c r="G4887" s="16" t="inlineStr">
        <is>
          <t>Bocina portátil Inalámbrico, de 3 pulgadas, tamaño de bolsillo, 170 g, con asa, compatible con TF, USB y Micro SD, con radio FM y función TWS (True Wireless Stereo), adecuada para relajarse en casa o viajar al aire libre.</t>
        </is>
      </c>
      <c r="H4887" s="16" t="inlineStr">
        <is>
          <t>KTS-1678V</t>
        </is>
      </c>
      <c r="I4887" s="16" t="n">
        <v>1</v>
      </c>
      <c r="J4887" s="17" t="n">
        <v>37.71</v>
      </c>
      <c r="K4887" s="17" t="n">
        <v>2.87</v>
      </c>
      <c r="L4887" s="17" t="n">
        <v>25.86</v>
      </c>
      <c r="M4887" s="17" t="n">
        <v>0</v>
      </c>
      <c r="N4887" s="17">
        <f>K4887*0.08+L4887*0.08</f>
        <v/>
      </c>
      <c r="O4887" s="17">
        <f>-(K4887*0.025+L4887*0.025)</f>
        <v/>
      </c>
      <c r="P4887" s="17">
        <f>32</f>
        <v/>
      </c>
      <c r="Q4887" s="17">
        <f>J4887+L4887+N4887+O4887-P4887-M4887</f>
        <v/>
      </c>
    </row>
    <row r="4888">
      <c r="A4888" s="16" t="inlineStr">
        <is>
          <t>5.8-5.14</t>
        </is>
      </c>
      <c r="B4888" s="16" t="inlineStr">
        <is>
          <t>PO-128-17021416243830465</t>
        </is>
      </c>
      <c r="C4888" s="16" t="inlineStr">
        <is>
          <t>Shipped</t>
        </is>
      </c>
      <c r="D4888" s="16" t="inlineStr">
        <is>
          <t>128-17021484401270465</t>
        </is>
      </c>
      <c r="E4888" s="16" t="inlineStr">
        <is>
          <t>Shipped</t>
        </is>
      </c>
      <c r="F4888" s="16" t="inlineStr">
        <is>
          <t>LB02235-rojo</t>
        </is>
      </c>
      <c r="G4888" s="16" t="inlineStr">
        <is>
          <t>Audífonos Inalámbricos para la Cabeza, Recargables y Multifuncionales - Conectan a Varios Dispositivos, soportan Radio FM, Tarjeta TF y AUX - 4 Horas de Reproducción Musical - Ideal para Trabajo Cotidiano, Juegos y Estudio</t>
        </is>
      </c>
      <c r="H4888" s="16" t="inlineStr">
        <is>
          <t>ROJO</t>
        </is>
      </c>
      <c r="I4888" s="16" t="n">
        <v>1</v>
      </c>
      <c r="J4888" s="17" t="n">
        <v>36.5</v>
      </c>
      <c r="K4888" s="17" t="n">
        <v>6.52</v>
      </c>
      <c r="L4888" s="17" t="n">
        <v>25.86</v>
      </c>
      <c r="M4888" s="17" t="n">
        <v>0</v>
      </c>
      <c r="N4888" s="17">
        <f>K4888*0.08+L4888*0.08</f>
        <v/>
      </c>
      <c r="O4888" s="17">
        <f>-(K4888*0.025+L4888*0.025)</f>
        <v/>
      </c>
      <c r="P4888" s="17">
        <f>32</f>
        <v/>
      </c>
      <c r="Q4888" s="17">
        <f>J4888+L4888+N4888+O4888-P4888-M4888</f>
        <v/>
      </c>
    </row>
    <row r="4889">
      <c r="A4889" s="16" t="inlineStr">
        <is>
          <t>5.8-5.14</t>
        </is>
      </c>
      <c r="B4889" s="16" t="inlineStr">
        <is>
          <t>PO-128-16981348076151790</t>
        </is>
      </c>
      <c r="C4889" s="16" t="inlineStr">
        <is>
          <t>Shipped</t>
        </is>
      </c>
      <c r="D4889" s="16" t="inlineStr">
        <is>
          <t>128-16981327104631790</t>
        </is>
      </c>
      <c r="E4889" s="16" t="inlineStr">
        <is>
          <t>Shipped</t>
        </is>
      </c>
      <c r="F4889" s="16" t="inlineStr">
        <is>
          <t>SA325T</t>
        </is>
      </c>
      <c r="G4889" s="16" t="inlineStr">
        <is>
          <t>Subwoofer Portátil Inalámbrico con Luces RGB, Sonido de Alta Potencia y Batería Duradera, TWS TF USB, Perfecto para Campamento Fiestas y Entretenimiento en Casa</t>
        </is>
      </c>
      <c r="H4889" s="16" t="inlineStr">
        <is>
          <t>NEGRO</t>
        </is>
      </c>
      <c r="I4889" s="16" t="n">
        <v>1</v>
      </c>
      <c r="J4889" s="17" t="n">
        <v>36</v>
      </c>
      <c r="K4889" s="17" t="n">
        <v>29.6</v>
      </c>
      <c r="L4889" s="17" t="n">
        <v>25.86</v>
      </c>
      <c r="M4889" s="17" t="n">
        <v>0</v>
      </c>
      <c r="N4889" s="17">
        <f>K4889*0.08+L4889*0.08</f>
        <v/>
      </c>
      <c r="O4889" s="17">
        <f>-(K4889*0.025+L4889*0.025)</f>
        <v/>
      </c>
      <c r="P4889" s="17">
        <f>32</f>
        <v/>
      </c>
      <c r="Q4889" s="17">
        <f>J4889+L4889+N4889+O4889-P4889-M4889</f>
        <v/>
      </c>
    </row>
    <row r="4890">
      <c r="A4890" s="16" t="inlineStr">
        <is>
          <t>5.8-5.14</t>
        </is>
      </c>
      <c r="B4890" s="16" t="inlineStr">
        <is>
          <t>PO-128-16627782677113771</t>
        </is>
      </c>
      <c r="C4890" s="16" t="inlineStr">
        <is>
          <t>Shipped</t>
        </is>
      </c>
      <c r="D4890" s="16" t="inlineStr">
        <is>
          <t>128-16627824620153771</t>
        </is>
      </c>
      <c r="E4890" s="16" t="inlineStr">
        <is>
          <t>Shipped</t>
        </is>
      </c>
      <c r="F4890" s="16" t="inlineStr">
        <is>
          <t>MB-178-N</t>
        </is>
      </c>
      <c r="G4890" s="16" t="inlineStr">
        <is>
          <t>Bocina de Barra Bluetooth LINK BITS con dos altavoces, sonido de alta calidad y multifuncional (Bluetooth, Radio FM, USB, TF, AUX, TWS), ideal para juegos, reuniones, oficina y cine en casa.</t>
        </is>
      </c>
      <c r="H4890" s="16" t="inlineStr">
        <is>
          <t>NEGRO</t>
        </is>
      </c>
      <c r="I4890" s="16" t="n">
        <v>1</v>
      </c>
      <c r="J4890" s="17" t="n">
        <v>119</v>
      </c>
      <c r="K4890" s="17" t="n">
        <v>138.33</v>
      </c>
      <c r="L4890" s="17" t="n">
        <v>25.86</v>
      </c>
      <c r="M4890" s="17" t="n">
        <v>0</v>
      </c>
      <c r="N4890" s="17">
        <f>K4890*0.08+L4890*0.08</f>
        <v/>
      </c>
      <c r="O4890" s="17">
        <f>-(K4890*0.025+L4890*0.025)</f>
        <v/>
      </c>
      <c r="P4890" s="17">
        <f>32</f>
        <v/>
      </c>
      <c r="Q4890" s="17">
        <f>J4890+L4890+N4890+O4890-P4890-M4890</f>
        <v/>
      </c>
    </row>
    <row r="4891">
      <c r="A4891" s="16" t="inlineStr">
        <is>
          <t>5.8-5.14</t>
        </is>
      </c>
      <c r="B4891" s="16" t="inlineStr">
        <is>
          <t>PO-128-16688443198072320</t>
        </is>
      </c>
      <c r="C4891" s="16" t="inlineStr">
        <is>
          <t>Shipped</t>
        </is>
      </c>
      <c r="D4891" s="16" t="inlineStr">
        <is>
          <t>128-16688401255032320</t>
        </is>
      </c>
      <c r="E4891" s="16" t="inlineStr">
        <is>
          <t>Shipped</t>
        </is>
      </c>
      <c r="F4891" s="16" t="inlineStr">
        <is>
          <t>LB02235-negro</t>
        </is>
      </c>
      <c r="G4891" s="16" t="inlineStr">
        <is>
          <t>Audífonos Inalámbricos para la Cabeza, Recargables y Multifuncionales - Conectan a Varios Dispositivos, soportan Radio FM, Tarjeta TF y AUX - 4 Horas de Reproducción Musical - Ideal para Trabajo Cotidiano, Juegos y Estudio</t>
        </is>
      </c>
      <c r="H4891" s="16" t="inlineStr">
        <is>
          <t>NEGRO</t>
        </is>
      </c>
      <c r="I4891" s="16" t="n">
        <v>1</v>
      </c>
      <c r="J4891" s="17" t="n">
        <v>36.5</v>
      </c>
      <c r="K4891" s="17" t="n">
        <v>49.62</v>
      </c>
      <c r="L4891" s="17" t="n">
        <v>12.93</v>
      </c>
      <c r="M4891" s="17" t="n">
        <v>0</v>
      </c>
      <c r="N4891" s="17">
        <f>K4891*0.08+L4891*0.08</f>
        <v/>
      </c>
      <c r="O4891" s="17">
        <f>-(K4891*0.025+L4891*0.025)</f>
        <v/>
      </c>
      <c r="P4891" s="17">
        <f>32</f>
        <v/>
      </c>
      <c r="Q4891" s="17">
        <f>J4891+L4891+N4891+O4891-P4891-M4891</f>
        <v/>
      </c>
    </row>
    <row r="4892">
      <c r="A4892" s="16" t="inlineStr">
        <is>
          <t>5.8-5.14</t>
        </is>
      </c>
      <c r="B4892" s="16" t="inlineStr">
        <is>
          <t>PO-128-16688443198072320</t>
        </is>
      </c>
      <c r="C4892" s="16" t="inlineStr">
        <is>
          <t>Shipped</t>
        </is>
      </c>
      <c r="D4892" s="16" t="inlineStr">
        <is>
          <t>128-16688420173432320</t>
        </is>
      </c>
      <c r="E4892" s="16" t="inlineStr">
        <is>
          <t>Shipped</t>
        </is>
      </c>
      <c r="F4892" s="16" t="inlineStr">
        <is>
          <t>LB02235-negro</t>
        </is>
      </c>
      <c r="G4892" s="16" t="inlineStr">
        <is>
          <t>Audífonos Inalámbricos para la Cabeza, Recargables y Multifuncionales - Conectan a Varios Dispositivos, soportan Radio FM, Tarjeta TF y AUX - 4 Horas de Reproducción Musical - Ideal para Trabajo Cotidiano, Juegos y Estudio</t>
        </is>
      </c>
      <c r="H4892" s="16" t="inlineStr">
        <is>
          <t>NEGRO</t>
        </is>
      </c>
      <c r="I4892" s="16" t="n">
        <v>1</v>
      </c>
      <c r="J4892" s="17" t="n">
        <v>36.5</v>
      </c>
      <c r="K4892" s="17" t="n">
        <v>49.62</v>
      </c>
      <c r="L4892" s="17" t="n">
        <v>12.93</v>
      </c>
      <c r="M4892" s="17" t="n">
        <v>0</v>
      </c>
      <c r="N4892" s="17">
        <f>K4892*0.08+L4892*0.08</f>
        <v/>
      </c>
      <c r="O4892" s="17">
        <f>-(K4892*0.025+L4892*0.025)</f>
        <v/>
      </c>
      <c r="P4892" s="17">
        <f>32</f>
        <v/>
      </c>
      <c r="Q4892" s="17">
        <f>J4892+L4892+N4892+O4892-P4892-M4892</f>
        <v/>
      </c>
    </row>
    <row r="4893">
      <c r="A4893" s="16" t="inlineStr">
        <is>
          <t>5.8-5.14</t>
        </is>
      </c>
      <c r="B4893" s="16" t="inlineStr">
        <is>
          <t>PO-128-16913136988791108</t>
        </is>
      </c>
      <c r="C4893" s="16" t="inlineStr">
        <is>
          <t>Shipped</t>
        </is>
      </c>
      <c r="D4893" s="16" t="inlineStr">
        <is>
          <t>128-16913129124471108</t>
        </is>
      </c>
      <c r="E4893" s="16" t="inlineStr">
        <is>
          <t>Shipped</t>
        </is>
      </c>
      <c r="F4893" s="16" t="inlineStr">
        <is>
          <t>LV25W22</t>
        </is>
      </c>
      <c r="G489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893" s="16" t="inlineStr">
        <is>
          <t>LV25W32</t>
        </is>
      </c>
      <c r="I4893" s="16" t="n">
        <v>3</v>
      </c>
      <c r="J4893" s="17" t="n">
        <v>270</v>
      </c>
      <c r="K4893" s="17" t="n">
        <v>284.97</v>
      </c>
      <c r="L4893" s="17" t="n">
        <v>0</v>
      </c>
      <c r="M4893" s="17" t="n">
        <v>0</v>
      </c>
      <c r="N4893" s="17">
        <f>K4893*0.08+L4893*0.08</f>
        <v/>
      </c>
      <c r="O4893" s="17">
        <f>-(K4893*0.025+L4893*0.025)</f>
        <v/>
      </c>
      <c r="P4893" s="17">
        <f>32</f>
        <v/>
      </c>
      <c r="Q4893" s="17">
        <f>J4893+L4893+N4893+O4893-P4893-M4893</f>
        <v/>
      </c>
    </row>
    <row r="4894">
      <c r="A4894" s="16" t="inlineStr">
        <is>
          <t>5.8-5.14</t>
        </is>
      </c>
      <c r="B4894" s="16" t="inlineStr">
        <is>
          <t>PO-128-16667035505272449</t>
        </is>
      </c>
      <c r="C4894" s="16" t="inlineStr">
        <is>
          <t>Shipped</t>
        </is>
      </c>
      <c r="D4894" s="16" t="inlineStr">
        <is>
          <t>128-16667027640952449</t>
        </is>
      </c>
      <c r="E4894" s="16" t="inlineStr">
        <is>
          <t>Shipped</t>
        </is>
      </c>
      <c r="F4894" s="16" t="inlineStr">
        <is>
          <t>MB-185A</t>
        </is>
      </c>
      <c r="G4894" s="16" t="inlineStr">
        <is>
          <t>Bocina Radio FM/Reproductor, Compatible con Tarjeta TF, USB, Bluetooth, Aplicable para celular, computadora, Ipad y consola.</t>
        </is>
      </c>
      <c r="H4894" s="16" t="inlineStr">
        <is>
          <t>AZUL/MB-185</t>
        </is>
      </c>
      <c r="I4894" s="16" t="n">
        <v>1</v>
      </c>
      <c r="J4894" s="17" t="n">
        <v>71.31</v>
      </c>
      <c r="K4894" s="17" t="n">
        <v>84.26000000000001</v>
      </c>
      <c r="L4894" s="17" t="n">
        <v>12.93</v>
      </c>
      <c r="M4894" s="17" t="n">
        <v>0</v>
      </c>
      <c r="N4894" s="17">
        <f>K4894*0.08+L4894*0.08</f>
        <v/>
      </c>
      <c r="O4894" s="17">
        <f>-(K4894*0.025+L4894*0.025)</f>
        <v/>
      </c>
      <c r="P4894" s="17">
        <f>32</f>
        <v/>
      </c>
      <c r="Q4894" s="17">
        <f>J4894+L4894+N4894+O4894-P4894-M4894</f>
        <v/>
      </c>
    </row>
    <row r="4895">
      <c r="A4895" s="16" t="inlineStr">
        <is>
          <t>5.8-5.14</t>
        </is>
      </c>
      <c r="B4895" s="16" t="inlineStr">
        <is>
          <t>PO-128-16667035505272449</t>
        </is>
      </c>
      <c r="C4895" s="16" t="inlineStr">
        <is>
          <t>Shipped</t>
        </is>
      </c>
      <c r="D4895" s="16" t="inlineStr">
        <is>
          <t>128-16667006669432449</t>
        </is>
      </c>
      <c r="E4895" s="16" t="inlineStr">
        <is>
          <t>Shipped</t>
        </is>
      </c>
      <c r="F4895" s="16" t="inlineStr">
        <is>
          <t>MB-185R</t>
        </is>
      </c>
      <c r="G4895" s="16" t="inlineStr">
        <is>
          <t>Bocina Radio FM/Reproductor, Compatible con Tarjeta TF, USB, Bluetooth, Aplicable para celular, computadora, Ipad y consola.</t>
        </is>
      </c>
      <c r="H4895" s="16" t="inlineStr">
        <is>
          <t>ROJO/MB-185</t>
        </is>
      </c>
      <c r="I4895" s="16" t="n">
        <v>1</v>
      </c>
      <c r="J4895" s="17" t="n">
        <v>71.31</v>
      </c>
      <c r="K4895" s="17" t="n">
        <v>84.26000000000001</v>
      </c>
      <c r="L4895" s="17" t="n">
        <v>12.93</v>
      </c>
      <c r="M4895" s="17" t="n">
        <v>0</v>
      </c>
      <c r="N4895" s="17">
        <f>K4895*0.08+L4895*0.08</f>
        <v/>
      </c>
      <c r="O4895" s="17">
        <f>-(K4895*0.025+L4895*0.025)</f>
        <v/>
      </c>
      <c r="P4895" s="17">
        <f>32</f>
        <v/>
      </c>
      <c r="Q4895" s="17">
        <f>J4895+L4895+N4895+O4895-P4895-M4895</f>
        <v/>
      </c>
    </row>
    <row r="4896">
      <c r="A4896" s="16" t="inlineStr">
        <is>
          <t>5.8-5.14</t>
        </is>
      </c>
      <c r="B4896" s="16" t="inlineStr">
        <is>
          <t>PO-128-16808107090552758</t>
        </is>
      </c>
      <c r="C4896" s="16" t="inlineStr">
        <is>
          <t>Shipped</t>
        </is>
      </c>
      <c r="D4896" s="16" t="inlineStr">
        <is>
          <t>128-16808211948152758</t>
        </is>
      </c>
      <c r="E4896" s="16" t="inlineStr">
        <is>
          <t>Shipped</t>
        </is>
      </c>
      <c r="F4896" s="16" t="inlineStr">
        <is>
          <t>SA323T</t>
        </is>
      </c>
      <c r="G4896" s="16" t="inlineStr">
        <is>
          <t>Linkbits Bocina Portátil Parlantes BT Portátiles con Iluminación de Ambiente | 1 Hora de Duración, FM, TWS, TF/Micro SD | Ideal para Hogar, Fiestas y Viajes</t>
        </is>
      </c>
      <c r="H4896" s="16" t="inlineStr">
        <is>
          <t>SA323T</t>
        </is>
      </c>
      <c r="I4896" s="16" t="n">
        <v>2</v>
      </c>
      <c r="J4896" s="17" t="n">
        <v>90</v>
      </c>
      <c r="K4896" s="17" t="n">
        <v>108.08</v>
      </c>
      <c r="L4896" s="17" t="n">
        <v>25.86</v>
      </c>
      <c r="M4896" s="17" t="n">
        <v>0</v>
      </c>
      <c r="N4896" s="17">
        <f>K4896*0.08+L4896*0.08</f>
        <v/>
      </c>
      <c r="O4896" s="17">
        <f>-(K4896*0.025+L4896*0.025)</f>
        <v/>
      </c>
      <c r="P4896" s="17">
        <f>32</f>
        <v/>
      </c>
      <c r="Q4896" s="17">
        <f>J4896+L4896+N4896+O4896-P4896-M4896</f>
        <v/>
      </c>
    </row>
    <row r="4897">
      <c r="A4897" s="16" t="inlineStr">
        <is>
          <t>5.8-5.14</t>
        </is>
      </c>
      <c r="B4897" s="16" t="inlineStr">
        <is>
          <t>PO-128-17067681280630253</t>
        </is>
      </c>
      <c r="C4897" s="16" t="inlineStr">
        <is>
          <t>Shipped</t>
        </is>
      </c>
      <c r="D4897" s="16" t="inlineStr">
        <is>
          <t>128-17067723223670253</t>
        </is>
      </c>
      <c r="E4897" s="16" t="inlineStr">
        <is>
          <t>Shipped</t>
        </is>
      </c>
      <c r="F4897" s="16" t="inlineStr">
        <is>
          <t>KTS-1678V</t>
        </is>
      </c>
      <c r="G4897" s="16" t="inlineStr">
        <is>
          <t>Bocina portátil Inalámbrico, de 3 pulgadas, tamaño de bolsillo, 170 g, con asa, compatible con TF, USB y Micro SD, con radio FM y función TWS (True Wireless Stereo), adecuada para relajarse en casa o viajar al aire libre.</t>
        </is>
      </c>
      <c r="H4897" s="16" t="inlineStr">
        <is>
          <t>KTS-1678V</t>
        </is>
      </c>
      <c r="I4897" s="16" t="n">
        <v>1</v>
      </c>
      <c r="J4897" s="17" t="n">
        <v>37.71</v>
      </c>
      <c r="K4897" s="17" t="n">
        <v>2.87</v>
      </c>
      <c r="L4897" s="17" t="n">
        <v>25.86</v>
      </c>
      <c r="M4897" s="17" t="n">
        <v>0</v>
      </c>
      <c r="N4897" s="17">
        <f>K4897*0.08+L4897*0.08</f>
        <v/>
      </c>
      <c r="O4897" s="17">
        <f>-(K4897*0.025+L4897*0.025)</f>
        <v/>
      </c>
      <c r="P4897" s="17">
        <f>32</f>
        <v/>
      </c>
      <c r="Q4897" s="17">
        <f>J4897+L4897+N4897+O4897-P4897-M4897</f>
        <v/>
      </c>
    </row>
    <row r="4898">
      <c r="A4898" s="16" t="inlineStr">
        <is>
          <t>5.8-5.14</t>
        </is>
      </c>
      <c r="B4898" s="16" t="inlineStr">
        <is>
          <t>PO-128-17162068152950523</t>
        </is>
      </c>
      <c r="C4898" s="16" t="inlineStr">
        <is>
          <t>Shipped</t>
        </is>
      </c>
      <c r="D4898" s="16" t="inlineStr">
        <is>
          <t>128-17162081260150523</t>
        </is>
      </c>
      <c r="E4898" s="16" t="inlineStr">
        <is>
          <t>Shipped</t>
        </is>
      </c>
      <c r="F4898" s="16" t="inlineStr">
        <is>
          <t>S09W18IB</t>
        </is>
      </c>
      <c r="G4898"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898" s="16" t="inlineStr">
        <is>
          <t>1 pieza</t>
        </is>
      </c>
      <c r="I4898" s="16" t="n">
        <v>2</v>
      </c>
      <c r="J4898" s="17" t="n">
        <v>47</v>
      </c>
      <c r="K4898" s="17" t="n">
        <v>68.28</v>
      </c>
      <c r="L4898" s="17" t="n">
        <v>25.86</v>
      </c>
      <c r="M4898" s="17" t="n">
        <v>0</v>
      </c>
      <c r="N4898" s="17">
        <f>K4898*0.08+L4898*0.08</f>
        <v/>
      </c>
      <c r="O4898" s="17">
        <f>-(K4898*0.025+L4898*0.025)</f>
        <v/>
      </c>
      <c r="P4898" s="17">
        <f>32</f>
        <v/>
      </c>
      <c r="Q4898" s="17">
        <f>J4898+L4898+N4898+O4898-P4898-M4898</f>
        <v/>
      </c>
    </row>
    <row r="4899">
      <c r="A4899" s="16" t="inlineStr">
        <is>
          <t>5.8-5.14</t>
        </is>
      </c>
      <c r="B4899" s="16" t="inlineStr">
        <is>
          <t>PO-128-17148356045430730</t>
        </is>
      </c>
      <c r="C4899" s="16" t="inlineStr">
        <is>
          <t>Shipped</t>
        </is>
      </c>
      <c r="D4899" s="16" t="inlineStr">
        <is>
          <t>128-17148361288310730</t>
        </is>
      </c>
      <c r="E4899" s="16" t="inlineStr">
        <is>
          <t>Shipped</t>
        </is>
      </c>
      <c r="F4899" s="16" t="inlineStr">
        <is>
          <t>MCM-001G</t>
        </is>
      </c>
      <c r="G4899" s="16" t="inlineStr">
        <is>
          <t>Musicord Altavoz Inalámbrico BT Portátil: ¡Sonido impactante, luces LED multicolores y 4 horas de autonomía! Compatible con TWS, FM, TF y USB – Imprescindible para fiestas y viajes</t>
        </is>
      </c>
      <c r="H4899" s="16" t="inlineStr">
        <is>
          <t>GRIS</t>
        </is>
      </c>
      <c r="I4899" s="16" t="n">
        <v>1</v>
      </c>
      <c r="J4899" s="17" t="n">
        <v>51</v>
      </c>
      <c r="K4899" s="17" t="n">
        <v>54.48</v>
      </c>
      <c r="L4899" s="17" t="n">
        <v>25.86</v>
      </c>
      <c r="M4899" s="17" t="n">
        <v>0</v>
      </c>
      <c r="N4899" s="17">
        <f>K4899*0.08+L4899*0.08</f>
        <v/>
      </c>
      <c r="O4899" s="17">
        <f>-(K4899*0.025+L4899*0.025)</f>
        <v/>
      </c>
      <c r="P4899" s="17">
        <f>32</f>
        <v/>
      </c>
      <c r="Q4899" s="17">
        <f>J4899+L4899+N4899+O4899-P4899-M4899</f>
        <v/>
      </c>
    </row>
    <row r="4900">
      <c r="A4900" s="16" t="inlineStr">
        <is>
          <t>5.8-5.14</t>
        </is>
      </c>
      <c r="B4900" s="16" t="inlineStr">
        <is>
          <t>PO-128-17103639992950935</t>
        </is>
      </c>
      <c r="C4900" s="16" t="inlineStr">
        <is>
          <t>Shipped</t>
        </is>
      </c>
      <c r="D4900" s="16" t="inlineStr">
        <is>
          <t>128-17103660964470935</t>
        </is>
      </c>
      <c r="E4900" s="16" t="inlineStr">
        <is>
          <t>Shipped</t>
        </is>
      </c>
      <c r="F4900" s="16" t="inlineStr">
        <is>
          <t>KTS-1678Y</t>
        </is>
      </c>
      <c r="G4900" s="16" t="inlineStr">
        <is>
          <t>Bocina portátil Inalámbrico, de 3 pulgadas, tamaño de bolsillo, 170 g, con asa, compatible con TF, USB y Micro SD, con radio FM y función TWS (True Wireless Stereo), adecuada para relajarse en casa o viajar al aire libre.</t>
        </is>
      </c>
      <c r="H4900" s="16" t="inlineStr">
        <is>
          <t>KTS-1678Y</t>
        </is>
      </c>
      <c r="I4900" s="16" t="n">
        <v>1</v>
      </c>
      <c r="J4900" s="17" t="n">
        <v>37.71</v>
      </c>
      <c r="K4900" s="17" t="n">
        <v>0.8100000000000001</v>
      </c>
      <c r="L4900" s="17" t="n">
        <v>25.86</v>
      </c>
      <c r="M4900" s="17" t="n">
        <v>0</v>
      </c>
      <c r="N4900" s="17">
        <f>K4900*0.08+L4900*0.08</f>
        <v/>
      </c>
      <c r="O4900" s="17">
        <f>-(K4900*0.025+L4900*0.025)</f>
        <v/>
      </c>
      <c r="P4900" s="17">
        <f>32</f>
        <v/>
      </c>
      <c r="Q4900" s="17">
        <f>J4900+L4900+N4900+O4900-P4900-M4900</f>
        <v/>
      </c>
    </row>
    <row r="4901">
      <c r="A4901" s="16" t="inlineStr">
        <is>
          <t>5.8-5.14</t>
        </is>
      </c>
      <c r="B4901" s="16" t="inlineStr">
        <is>
          <t>PO-128-16935228119672003</t>
        </is>
      </c>
      <c r="C4901" s="16" t="inlineStr">
        <is>
          <t>Shipped</t>
        </is>
      </c>
      <c r="D4901" s="16" t="inlineStr">
        <is>
          <t>128-16935238605432003</t>
        </is>
      </c>
      <c r="E4901" s="16" t="inlineStr">
        <is>
          <t>Shipped</t>
        </is>
      </c>
      <c r="F4901" s="16" t="inlineStr">
        <is>
          <t>LV25W22</t>
        </is>
      </c>
      <c r="G49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01" s="16" t="inlineStr">
        <is>
          <t>LV25W32</t>
        </is>
      </c>
      <c r="I4901" s="16" t="n">
        <v>2</v>
      </c>
      <c r="J4901" s="17" t="n">
        <v>180</v>
      </c>
      <c r="K4901" s="17" t="n">
        <v>200.82</v>
      </c>
      <c r="L4901" s="17" t="n">
        <v>25.86</v>
      </c>
      <c r="M4901" s="17" t="n">
        <v>0</v>
      </c>
      <c r="N4901" s="17">
        <f>K4901*0.08+L4901*0.08</f>
        <v/>
      </c>
      <c r="O4901" s="17">
        <f>-(K4901*0.025+L4901*0.025)</f>
        <v/>
      </c>
      <c r="P4901" s="17">
        <f>32</f>
        <v/>
      </c>
      <c r="Q4901" s="17">
        <f>J4901+L4901+N4901+O4901-P4901-M4901</f>
        <v/>
      </c>
    </row>
    <row r="4902">
      <c r="A4902" s="16" t="inlineStr">
        <is>
          <t>5.8-5.14</t>
        </is>
      </c>
      <c r="B4902" s="16" t="inlineStr">
        <is>
          <t>PO-128-16565812593273117</t>
        </is>
      </c>
      <c r="C4902" s="16" t="inlineStr">
        <is>
          <t>Shipped</t>
        </is>
      </c>
      <c r="D4902" s="16" t="inlineStr">
        <is>
          <t>128-16565770650233117</t>
        </is>
      </c>
      <c r="E4902" s="16" t="inlineStr">
        <is>
          <t>Shipped</t>
        </is>
      </c>
      <c r="F4902" s="16" t="inlineStr">
        <is>
          <t>MB-185N</t>
        </is>
      </c>
      <c r="G4902" s="16" t="inlineStr">
        <is>
          <t>Bocina Radio FM/Reproductor, Compatible con Tarjeta TF, USB, Bluetooth, Aplicable para celular, computadora, Ipad y consola.</t>
        </is>
      </c>
      <c r="H4902" s="16" t="inlineStr">
        <is>
          <t>NEGRO/MB-185</t>
        </is>
      </c>
      <c r="I4902" s="16" t="n">
        <v>1</v>
      </c>
      <c r="J4902" s="17" t="n">
        <v>71.31</v>
      </c>
      <c r="K4902" s="17" t="n">
        <v>67.42</v>
      </c>
      <c r="L4902" s="17" t="n">
        <v>25.86</v>
      </c>
      <c r="M4902" s="17" t="n">
        <v>0</v>
      </c>
      <c r="N4902" s="17">
        <f>K4902*0.08+L4902*0.08</f>
        <v/>
      </c>
      <c r="O4902" s="17">
        <f>-(K4902*0.025+L4902*0.025)</f>
        <v/>
      </c>
      <c r="P4902" s="17">
        <f>32</f>
        <v/>
      </c>
      <c r="Q4902" s="17">
        <f>J4902+L4902+N4902+O4902-P4902-M4902</f>
        <v/>
      </c>
    </row>
    <row r="4903">
      <c r="A4903" s="16" t="inlineStr">
        <is>
          <t>5.8-5.14</t>
        </is>
      </c>
      <c r="B4903" s="16" t="inlineStr">
        <is>
          <t>PO-128-16615275735673908</t>
        </is>
      </c>
      <c r="C4903" s="16" t="inlineStr">
        <is>
          <t>Shipped</t>
        </is>
      </c>
      <c r="D4903" s="16" t="inlineStr">
        <is>
          <t>128-16615233792633908</t>
        </is>
      </c>
      <c r="E4903" s="16" t="inlineStr">
        <is>
          <t>Shipped</t>
        </is>
      </c>
      <c r="F4903" s="16" t="inlineStr">
        <is>
          <t>MCM-001R</t>
        </is>
      </c>
      <c r="G4903" s="16" t="inlineStr">
        <is>
          <t>Musicord Altavoz Inalámbrico BT Portátil: ¡Sonido impactante, luces LED multicolores y 4 horas de autonomía! Compatible con TWS, FM, TF y USB – Imprescindible para fiestas y viajes</t>
        </is>
      </c>
      <c r="H4903" s="16" t="inlineStr">
        <is>
          <t>ROJO</t>
        </is>
      </c>
      <c r="I4903" s="16" t="n">
        <v>1</v>
      </c>
      <c r="J4903" s="17" t="n">
        <v>66</v>
      </c>
      <c r="K4903" s="17" t="n">
        <v>77.27</v>
      </c>
      <c r="L4903" s="17" t="n">
        <v>25.86</v>
      </c>
      <c r="M4903" s="17" t="n">
        <v>0</v>
      </c>
      <c r="N4903" s="17">
        <f>K4903*0.08+L4903*0.08</f>
        <v/>
      </c>
      <c r="O4903" s="17">
        <f>-(K4903*0.025+L4903*0.025)</f>
        <v/>
      </c>
      <c r="P4903" s="17">
        <f>32</f>
        <v/>
      </c>
      <c r="Q4903" s="17">
        <f>J4903+L4903+N4903+O4903-P4903-M4903</f>
        <v/>
      </c>
    </row>
    <row r="4904">
      <c r="A4904" s="16" t="inlineStr">
        <is>
          <t>5.8-5.14</t>
        </is>
      </c>
      <c r="B4904" s="16" t="inlineStr">
        <is>
          <t>PO-128-16782292357752848</t>
        </is>
      </c>
      <c r="C4904" s="16" t="inlineStr">
        <is>
          <t>Shipped</t>
        </is>
      </c>
      <c r="D4904" s="16" t="inlineStr">
        <is>
          <t>128-16782332334712848</t>
        </is>
      </c>
      <c r="E4904" s="16" t="inlineStr">
        <is>
          <t>Shipped</t>
        </is>
      </c>
      <c r="F4904" s="16" t="inlineStr">
        <is>
          <t>MCM-001G</t>
        </is>
      </c>
      <c r="G4904" s="16" t="inlineStr">
        <is>
          <t>Musicord Altavoz Inalámbrico BT Portátil: ¡Sonido impactante, luces LED multicolores y 4 horas de autonomía! Compatible con TWS, FM, TF y USB – Imprescindible para fiestas y viajes</t>
        </is>
      </c>
      <c r="H4904" s="16" t="inlineStr">
        <is>
          <t>GRIS</t>
        </is>
      </c>
      <c r="I4904" s="16" t="n">
        <v>1</v>
      </c>
      <c r="J4904" s="17" t="n">
        <v>51</v>
      </c>
      <c r="K4904" s="17" t="n">
        <v>62.27</v>
      </c>
      <c r="L4904" s="17" t="n">
        <v>25.86</v>
      </c>
      <c r="M4904" s="17" t="n">
        <v>0</v>
      </c>
      <c r="N4904" s="17">
        <f>K4904*0.08+L4904*0.08</f>
        <v/>
      </c>
      <c r="O4904" s="17">
        <f>-(K4904*0.025+L4904*0.025)</f>
        <v/>
      </c>
      <c r="P4904" s="17">
        <f>32</f>
        <v/>
      </c>
      <c r="Q4904" s="17">
        <f>J4904+L4904+N4904+O4904-P4904-M4904</f>
        <v/>
      </c>
    </row>
    <row r="4905">
      <c r="A4905" s="16" t="inlineStr">
        <is>
          <t>5.8-5.14</t>
        </is>
      </c>
      <c r="B4905" s="16" t="inlineStr">
        <is>
          <t>PO-128-17038122220150301</t>
        </is>
      </c>
      <c r="C4905" s="16" t="inlineStr">
        <is>
          <t>Shipped</t>
        </is>
      </c>
      <c r="D4905" s="16" t="inlineStr">
        <is>
          <t>128-17038174648950301</t>
        </is>
      </c>
      <c r="E4905" s="16" t="inlineStr">
        <is>
          <t>Shipped</t>
        </is>
      </c>
      <c r="F4905" s="16" t="inlineStr">
        <is>
          <t>KTS-1678V</t>
        </is>
      </c>
      <c r="G4905" s="16" t="inlineStr">
        <is>
          <t>Bocina portátil Inalámbrico, de 3 pulgadas, tamaño de bolsillo, 170 g, con asa, compatible con TF, USB y Micro SD, con radio FM y función TWS (True Wireless Stereo), adecuada para relajarse en casa o viajar al aire libre.</t>
        </is>
      </c>
      <c r="H4905" s="16" t="inlineStr">
        <is>
          <t>KTS-1678V</t>
        </is>
      </c>
      <c r="I4905" s="16" t="n">
        <v>1</v>
      </c>
      <c r="J4905" s="17" t="n">
        <v>37.71</v>
      </c>
      <c r="K4905" s="17" t="n">
        <v>45.97</v>
      </c>
      <c r="L4905" s="17" t="n">
        <v>25.86</v>
      </c>
      <c r="M4905" s="17" t="n">
        <v>0</v>
      </c>
      <c r="N4905" s="17">
        <f>K4905*0.08+L4905*0.08</f>
        <v/>
      </c>
      <c r="O4905" s="17">
        <f>-(K4905*0.025+L4905*0.025)</f>
        <v/>
      </c>
      <c r="P4905" s="17">
        <f>32</f>
        <v/>
      </c>
      <c r="Q4905" s="17">
        <f>J4905+L4905+N4905+O4905-P4905-M4905</f>
        <v/>
      </c>
    </row>
    <row r="4906">
      <c r="A4906" s="16" t="inlineStr">
        <is>
          <t>5.8-5.14</t>
        </is>
      </c>
      <c r="B4906" s="16" t="inlineStr">
        <is>
          <t>PO-128-17035211428470319</t>
        </is>
      </c>
      <c r="C4906" s="16" t="inlineStr">
        <is>
          <t>Shipped</t>
        </is>
      </c>
      <c r="D4906" s="16" t="inlineStr">
        <is>
          <t>128-17035245507190319</t>
        </is>
      </c>
      <c r="E4906" s="16" t="inlineStr">
        <is>
          <t>Shipped</t>
        </is>
      </c>
      <c r="F4906" s="16" t="inlineStr">
        <is>
          <t>LB02235-rojo</t>
        </is>
      </c>
      <c r="G4906" s="16" t="inlineStr">
        <is>
          <t>Audífonos Inalámbricos para la Cabeza, Recargables y Multifuncionales - Conectan a Varios Dispositivos, soportan Radio FM, Tarjeta TF y AUX - 4 Horas de Reproducción Musical - Ideal para Trabajo Cotidiano, Juegos y Estudio</t>
        </is>
      </c>
      <c r="H4906" s="16" t="inlineStr">
        <is>
          <t>ROJO</t>
        </is>
      </c>
      <c r="I4906" s="16" t="n">
        <v>1</v>
      </c>
      <c r="J4906" s="17" t="n">
        <v>36.5</v>
      </c>
      <c r="K4906" s="17" t="n">
        <v>39.69</v>
      </c>
      <c r="L4906" s="17" t="n">
        <v>25.86</v>
      </c>
      <c r="M4906" s="17" t="n">
        <v>0</v>
      </c>
      <c r="N4906" s="17">
        <f>K4906*0.08+L4906*0.08</f>
        <v/>
      </c>
      <c r="O4906" s="17">
        <f>-(K4906*0.025+L4906*0.025)</f>
        <v/>
      </c>
      <c r="P4906" s="17">
        <f>32</f>
        <v/>
      </c>
      <c r="Q4906" s="17">
        <f>J4906+L4906+N4906+O4906-P4906-M4906</f>
        <v/>
      </c>
    </row>
    <row r="4907">
      <c r="A4907" s="16" t="inlineStr">
        <is>
          <t>5.8-5.14</t>
        </is>
      </c>
      <c r="B4907" s="16" t="inlineStr">
        <is>
          <t>PO-128-16607434445433890</t>
        </is>
      </c>
      <c r="C4907" s="16" t="inlineStr">
        <is>
          <t>Shipped</t>
        </is>
      </c>
      <c r="D4907" s="16" t="inlineStr">
        <is>
          <t>128-16607510467193890</t>
        </is>
      </c>
      <c r="E4907" s="16" t="inlineStr">
        <is>
          <t>Shipped</t>
        </is>
      </c>
      <c r="F4907" s="16" t="inlineStr">
        <is>
          <t>LV25W22</t>
        </is>
      </c>
      <c r="G49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07" s="16" t="inlineStr">
        <is>
          <t>LV25W32</t>
        </is>
      </c>
      <c r="I4907" s="16" t="n">
        <v>3</v>
      </c>
      <c r="J4907" s="17" t="n">
        <v>270</v>
      </c>
      <c r="K4907" s="17" t="n">
        <v>282.76</v>
      </c>
      <c r="L4907" s="17" t="n">
        <v>0</v>
      </c>
      <c r="M4907" s="17" t="n">
        <v>0</v>
      </c>
      <c r="N4907" s="17">
        <f>K4907*0.08+L4907*0.08</f>
        <v/>
      </c>
      <c r="O4907" s="17">
        <f>-(K4907*0.025+L4907*0.025)</f>
        <v/>
      </c>
      <c r="P4907" s="17">
        <f>32</f>
        <v/>
      </c>
      <c r="Q4907" s="17">
        <f>J4907+L4907+N4907+O4907-P4907-M4907</f>
        <v/>
      </c>
    </row>
    <row r="4908">
      <c r="A4908" s="16" t="inlineStr">
        <is>
          <t>5.8-5.14</t>
        </is>
      </c>
      <c r="B4908" s="16" t="inlineStr">
        <is>
          <t>PO-128-16571550925433144</t>
        </is>
      </c>
      <c r="C4908" s="16" t="inlineStr">
        <is>
          <t>Shipped</t>
        </is>
      </c>
      <c r="D4908" s="16" t="inlineStr">
        <is>
          <t>128-16571655783033144</t>
        </is>
      </c>
      <c r="E4908" s="16" t="inlineStr">
        <is>
          <t>Shipped</t>
        </is>
      </c>
      <c r="F4908" s="16" t="inlineStr">
        <is>
          <t>SA323T</t>
        </is>
      </c>
      <c r="G4908" s="16" t="inlineStr">
        <is>
          <t>Linkbits Bocina Portátil Parlantes BT Portátiles con Iluminación de Ambiente | 1 Hora de Duración, FM, TWS, TF/Micro SD | Ideal para Hogar, Fiestas y Viajes</t>
        </is>
      </c>
      <c r="H4908" s="16" t="inlineStr">
        <is>
          <t>SA323T</t>
        </is>
      </c>
      <c r="I4908" s="16" t="n">
        <v>1</v>
      </c>
      <c r="J4908" s="17" t="n">
        <v>45</v>
      </c>
      <c r="K4908" s="17" t="n">
        <v>6.63</v>
      </c>
      <c r="L4908" s="17" t="n">
        <v>25.86</v>
      </c>
      <c r="M4908" s="17" t="n">
        <v>0</v>
      </c>
      <c r="N4908" s="17">
        <f>K4908*0.08+L4908*0.08</f>
        <v/>
      </c>
      <c r="O4908" s="17">
        <f>-(K4908*0.025+L4908*0.025)</f>
        <v/>
      </c>
      <c r="P4908" s="17">
        <f>32</f>
        <v/>
      </c>
      <c r="Q4908" s="17">
        <f>J4908+L4908+N4908+O4908-P4908-M4908</f>
        <v/>
      </c>
    </row>
    <row r="4909">
      <c r="A4909" s="16" t="inlineStr">
        <is>
          <t>5.8-5.14</t>
        </is>
      </c>
      <c r="B4909" s="16" t="inlineStr">
        <is>
          <t>PO-128-17127258133110856</t>
        </is>
      </c>
      <c r="C4909" s="16" t="inlineStr">
        <is>
          <t>Shipped</t>
        </is>
      </c>
      <c r="D4909" s="16" t="inlineStr">
        <is>
          <t>128-17127300076150856</t>
        </is>
      </c>
      <c r="E4909" s="16" t="inlineStr">
        <is>
          <t>Shipped</t>
        </is>
      </c>
      <c r="F4909" s="16" t="inlineStr">
        <is>
          <t>LB02235-rojo</t>
        </is>
      </c>
      <c r="G4909" s="16" t="inlineStr">
        <is>
          <t>Audífonos Inalámbricos para la Cabeza, Recargables y Multifuncionales - Conectan a Varios Dispositivos, soportan Radio FM, Tarjeta TF y AUX - 4 Horas de Reproducción Musical - Ideal para Trabajo Cotidiano, Juegos y Estudio</t>
        </is>
      </c>
      <c r="H4909" s="16" t="inlineStr">
        <is>
          <t>ROJO</t>
        </is>
      </c>
      <c r="I4909" s="16" t="n">
        <v>1</v>
      </c>
      <c r="J4909" s="17" t="n">
        <v>36.5</v>
      </c>
      <c r="K4909" s="17" t="n">
        <v>49.62</v>
      </c>
      <c r="L4909" s="17" t="n">
        <v>25.86</v>
      </c>
      <c r="M4909" s="17" t="n">
        <v>0</v>
      </c>
      <c r="N4909" s="17">
        <f>K4909*0.08+L4909*0.08</f>
        <v/>
      </c>
      <c r="O4909" s="17">
        <f>-(K4909*0.025+L4909*0.025)</f>
        <v/>
      </c>
      <c r="P4909" s="17">
        <f>32</f>
        <v/>
      </c>
      <c r="Q4909" s="17">
        <f>J4909+L4909+N4909+O4909-P4909-M4909</f>
        <v/>
      </c>
    </row>
    <row r="4910">
      <c r="A4910" s="16" t="inlineStr">
        <is>
          <t>5.8-5.14</t>
        </is>
      </c>
      <c r="B4910" s="16" t="inlineStr">
        <is>
          <t>PO-128-16935291034232000</t>
        </is>
      </c>
      <c r="C4910" s="16" t="inlineStr">
        <is>
          <t>Shipped</t>
        </is>
      </c>
      <c r="D4910" s="16" t="inlineStr">
        <is>
          <t>128-16935270062712000</t>
        </is>
      </c>
      <c r="E4910" s="16" t="inlineStr">
        <is>
          <t>Shipped</t>
        </is>
      </c>
      <c r="F4910" s="16" t="inlineStr">
        <is>
          <t>FA028</t>
        </is>
      </c>
      <c r="G4910" s="16" t="inlineStr">
        <is>
          <t>Extractor de agua para garrafas de agua, compatible con carga USB, extractor de agua automático, práctico, con dos modos de toma de agua: manual y programado, ideal para dormitorios, salones, oficinas, uso al aire libre y otros escenarios.</t>
        </is>
      </c>
      <c r="H4910" s="16" t="inlineStr">
        <is>
          <t>FA028</t>
        </is>
      </c>
      <c r="I4910" s="16" t="n">
        <v>1</v>
      </c>
      <c r="J4910" s="17" t="n">
        <v>29.5</v>
      </c>
      <c r="K4910" s="17" t="n">
        <v>39.08</v>
      </c>
      <c r="L4910" s="17" t="n">
        <v>25.86</v>
      </c>
      <c r="M4910" s="17" t="n">
        <v>0</v>
      </c>
      <c r="N4910" s="17">
        <f>K4910*0.08+L4910*0.08</f>
        <v/>
      </c>
      <c r="O4910" s="17">
        <f>-(K4910*0.025+L4910*0.025)</f>
        <v/>
      </c>
      <c r="P4910" s="17">
        <f>32</f>
        <v/>
      </c>
      <c r="Q4910" s="17">
        <f>J4910+L4910+N4910+O4910-P4910-M4910</f>
        <v/>
      </c>
    </row>
    <row r="4911">
      <c r="A4911" s="16" t="inlineStr">
        <is>
          <t>5.8-5.14</t>
        </is>
      </c>
      <c r="B4911" s="16" t="inlineStr">
        <is>
          <t>PO-128-16586830541434015</t>
        </is>
      </c>
      <c r="C4911" s="16" t="inlineStr">
        <is>
          <t>Shipped</t>
        </is>
      </c>
      <c r="D4911" s="16" t="inlineStr">
        <is>
          <t>128-16586820055674015</t>
        </is>
      </c>
      <c r="E4911" s="16" t="inlineStr">
        <is>
          <t>Shipped</t>
        </is>
      </c>
      <c r="F4911" s="16" t="inlineStr">
        <is>
          <t>VB347T</t>
        </is>
      </c>
      <c r="G491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11" s="16" t="inlineStr">
        <is>
          <t>1 pieza</t>
        </is>
      </c>
      <c r="I4911" s="16" t="n">
        <v>1</v>
      </c>
      <c r="J4911" s="17" t="n">
        <v>77.90000000000001</v>
      </c>
      <c r="K4911" s="17" t="n">
        <v>92.51000000000001</v>
      </c>
      <c r="L4911" s="17" t="n">
        <v>25.86</v>
      </c>
      <c r="M4911" s="17" t="n">
        <v>0</v>
      </c>
      <c r="N4911" s="17">
        <f>K4911*0.08+L4911*0.08</f>
        <v/>
      </c>
      <c r="O4911" s="17">
        <f>-(K4911*0.025+L4911*0.025)</f>
        <v/>
      </c>
      <c r="P4911" s="17">
        <f>32</f>
        <v/>
      </c>
      <c r="Q4911" s="17">
        <f>J4911+L4911+N4911+O4911-P4911-M4911</f>
        <v/>
      </c>
    </row>
    <row r="4912">
      <c r="A4912" s="16" t="inlineStr">
        <is>
          <t>5.8-5.14</t>
        </is>
      </c>
      <c r="B4912" s="16" t="inlineStr">
        <is>
          <t>PO-128-16975155692151701</t>
        </is>
      </c>
      <c r="C4912" s="16" t="inlineStr">
        <is>
          <t>Shipped</t>
        </is>
      </c>
      <c r="D4912" s="16" t="inlineStr">
        <is>
          <t>128-16975113749111701</t>
        </is>
      </c>
      <c r="E4912" s="16" t="inlineStr">
        <is>
          <t>Shipped</t>
        </is>
      </c>
      <c r="F4912" s="16" t="inlineStr">
        <is>
          <t>SA323T</t>
        </is>
      </c>
      <c r="G4912" s="16" t="inlineStr">
        <is>
          <t>Linkbits Bocina Portátil Parlantes BT Portátiles con Iluminación de Ambiente | 1 Hora de Duración, FM, TWS, TF/Micro SD | Ideal para Hogar, Fiestas y Viajes</t>
        </is>
      </c>
      <c r="H4912" s="16" t="inlineStr">
        <is>
          <t>SA323T</t>
        </is>
      </c>
      <c r="I4912" s="16" t="n">
        <v>1</v>
      </c>
      <c r="J4912" s="17" t="n">
        <v>45</v>
      </c>
      <c r="K4912" s="17" t="n">
        <v>0.59</v>
      </c>
      <c r="L4912" s="17" t="n">
        <v>25.86</v>
      </c>
      <c r="M4912" s="17" t="n">
        <v>0</v>
      </c>
      <c r="N4912" s="17">
        <f>K4912*0.08+L4912*0.08</f>
        <v/>
      </c>
      <c r="O4912" s="17">
        <f>-(K4912*0.025+L4912*0.025)</f>
        <v/>
      </c>
      <c r="P4912" s="17">
        <f>32</f>
        <v/>
      </c>
      <c r="Q4912" s="17">
        <f>J4912+L4912+N4912+O4912-P4912-M4912</f>
        <v/>
      </c>
    </row>
    <row r="4913">
      <c r="A4913" s="16" t="inlineStr">
        <is>
          <t>5.8-5.14</t>
        </is>
      </c>
      <c r="B4913" s="16" t="inlineStr">
        <is>
          <t>PO-128-17046082622070380</t>
        </is>
      </c>
      <c r="C4913" s="16" t="inlineStr">
        <is>
          <t>Shipped</t>
        </is>
      </c>
      <c r="D4913" s="16" t="inlineStr">
        <is>
          <t>128-17046135050870380</t>
        </is>
      </c>
      <c r="E4913" s="16" t="inlineStr">
        <is>
          <t>Shipped</t>
        </is>
      </c>
      <c r="F4913" s="16" t="inlineStr">
        <is>
          <t>MB-185N</t>
        </is>
      </c>
      <c r="G4913" s="16" t="inlineStr">
        <is>
          <t>Bocina Radio FM/Reproductor, Compatible con Tarjeta TF, USB, Bluetooth, Aplicable para celular, computadora, Ipad y consola.</t>
        </is>
      </c>
      <c r="H4913" s="16" t="inlineStr">
        <is>
          <t>NEGRO/MB-185</t>
        </is>
      </c>
      <c r="I4913" s="16" t="n">
        <v>1</v>
      </c>
      <c r="J4913" s="17" t="n">
        <v>71.31</v>
      </c>
      <c r="K4913" s="17" t="n">
        <v>1.5</v>
      </c>
      <c r="L4913" s="17" t="n">
        <v>25.86</v>
      </c>
      <c r="M4913" s="17" t="n">
        <v>0</v>
      </c>
      <c r="N4913" s="17">
        <f>K4913*0.08+L4913*0.08</f>
        <v/>
      </c>
      <c r="O4913" s="17">
        <f>-(K4913*0.025+L4913*0.025)</f>
        <v/>
      </c>
      <c r="P4913" s="17">
        <f>32</f>
        <v/>
      </c>
      <c r="Q4913" s="17">
        <f>J4913+L4913+N4913+O4913-P4913-M4913</f>
        <v/>
      </c>
    </row>
    <row r="4914">
      <c r="A4914" s="16" t="inlineStr">
        <is>
          <t>5.8-5.14</t>
        </is>
      </c>
      <c r="B4914" s="16" t="inlineStr">
        <is>
          <t>PO-128-17099917967990957</t>
        </is>
      </c>
      <c r="C4914" s="16" t="inlineStr">
        <is>
          <t>Shipped</t>
        </is>
      </c>
      <c r="D4914" s="16" t="inlineStr">
        <is>
          <t>128-17099959911030957</t>
        </is>
      </c>
      <c r="E4914" s="16" t="inlineStr">
        <is>
          <t>Shipped</t>
        </is>
      </c>
      <c r="F4914" s="16" t="inlineStr">
        <is>
          <t>LV25W22</t>
        </is>
      </c>
      <c r="G491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14" s="16" t="inlineStr">
        <is>
          <t>LV25W32</t>
        </is>
      </c>
      <c r="I4914" s="16" t="n">
        <v>2</v>
      </c>
      <c r="J4914" s="17" t="n">
        <v>180</v>
      </c>
      <c r="K4914" s="17" t="n">
        <v>200.82</v>
      </c>
      <c r="L4914" s="17" t="n">
        <v>25.86</v>
      </c>
      <c r="M4914" s="17" t="n">
        <v>0</v>
      </c>
      <c r="N4914" s="17">
        <f>K4914*0.08+L4914*0.08</f>
        <v/>
      </c>
      <c r="O4914" s="17">
        <f>-(K4914*0.025+L4914*0.025)</f>
        <v/>
      </c>
      <c r="P4914" s="17">
        <f>32</f>
        <v/>
      </c>
      <c r="Q4914" s="17">
        <f>J4914+L4914+N4914+O4914-P4914-M4914</f>
        <v/>
      </c>
    </row>
    <row r="4915">
      <c r="A4915" s="16" t="inlineStr">
        <is>
          <t>5.8-5.14</t>
        </is>
      </c>
      <c r="B4915" s="16" t="inlineStr">
        <is>
          <t>PO-128-16859395144311303</t>
        </is>
      </c>
      <c r="C4915" s="16" t="inlineStr">
        <is>
          <t>Shipped</t>
        </is>
      </c>
      <c r="D4915" s="16" t="inlineStr">
        <is>
          <t>128-16859353201271303</t>
        </is>
      </c>
      <c r="E4915" s="16" t="inlineStr">
        <is>
          <t>Shipped</t>
        </is>
      </c>
      <c r="F4915" s="16" t="inlineStr">
        <is>
          <t>MCM-001A</t>
        </is>
      </c>
      <c r="G4915" s="16" t="inlineStr">
        <is>
          <t>Musicord Altavoz Inalámbrico BT Portátil: ¡Sonido impactante, luces LED multicolores y 4 horas de autonomía! Compatible con TWS, FM, TF y USB – Imprescindible para fiestas y viajes</t>
        </is>
      </c>
      <c r="H4915" s="16" t="inlineStr">
        <is>
          <t>AZUL</t>
        </is>
      </c>
      <c r="I4915" s="16" t="n">
        <v>1</v>
      </c>
      <c r="J4915" s="17" t="n">
        <v>51</v>
      </c>
      <c r="K4915" s="17" t="n">
        <v>16.29</v>
      </c>
      <c r="L4915" s="17" t="n">
        <v>25.86</v>
      </c>
      <c r="M4915" s="17" t="n">
        <v>0</v>
      </c>
      <c r="N4915" s="17">
        <f>K4915*0.08+L4915*0.08</f>
        <v/>
      </c>
      <c r="O4915" s="17">
        <f>-(K4915*0.025+L4915*0.025)</f>
        <v/>
      </c>
      <c r="P4915" s="17">
        <f>32</f>
        <v/>
      </c>
      <c r="Q4915" s="17">
        <f>J4915+L4915+N4915+O4915-P4915-M4915</f>
        <v/>
      </c>
    </row>
    <row r="4916">
      <c r="A4916" s="16" t="inlineStr">
        <is>
          <t>5.8-5.14</t>
        </is>
      </c>
      <c r="B4916" s="16" t="inlineStr">
        <is>
          <t>PO-128-17014451902070440</t>
        </is>
      </c>
      <c r="C4916" s="16" t="inlineStr">
        <is>
          <t>Shipped</t>
        </is>
      </c>
      <c r="D4916" s="16" t="inlineStr">
        <is>
          <t>128-17014520059510440</t>
        </is>
      </c>
      <c r="E4916" s="16" t="inlineStr">
        <is>
          <t>Shipped</t>
        </is>
      </c>
      <c r="F4916" s="16" t="inlineStr">
        <is>
          <t>MB-185N</t>
        </is>
      </c>
      <c r="G4916" s="16" t="inlineStr">
        <is>
          <t>Bocina Radio FM/Reproductor, Compatible con Tarjeta TF, USB, Bluetooth, Aplicable para celular, computadora, Ipad y consola.</t>
        </is>
      </c>
      <c r="H4916" s="16" t="inlineStr">
        <is>
          <t>NEGRO/MB-185</t>
        </is>
      </c>
      <c r="I4916" s="16" t="n">
        <v>1</v>
      </c>
      <c r="J4916" s="17" t="n">
        <v>71.31</v>
      </c>
      <c r="K4916" s="17" t="n">
        <v>84.26000000000001</v>
      </c>
      <c r="L4916" s="17" t="n">
        <v>25.86</v>
      </c>
      <c r="M4916" s="17" t="n">
        <v>0</v>
      </c>
      <c r="N4916" s="17">
        <f>K4916*0.08+L4916*0.08</f>
        <v/>
      </c>
      <c r="O4916" s="17">
        <f>-(K4916*0.025+L4916*0.025)</f>
        <v/>
      </c>
      <c r="P4916" s="17">
        <f>32</f>
        <v/>
      </c>
      <c r="Q4916" s="17">
        <f>J4916+L4916+N4916+O4916-P4916-M4916</f>
        <v/>
      </c>
    </row>
    <row r="4917">
      <c r="A4917" s="16" t="inlineStr">
        <is>
          <t>5.8-5.14</t>
        </is>
      </c>
      <c r="B4917" s="16" t="inlineStr">
        <is>
          <t>PO-128-16885658972791208</t>
        </is>
      </c>
      <c r="C4917" s="16" t="inlineStr">
        <is>
          <t>Shipped</t>
        </is>
      </c>
      <c r="D4917" s="16" t="inlineStr">
        <is>
          <t>128-16885753344631208</t>
        </is>
      </c>
      <c r="E4917" s="16" t="inlineStr">
        <is>
          <t>Shipped</t>
        </is>
      </c>
      <c r="F4917" s="16" t="inlineStr">
        <is>
          <t>SA323T</t>
        </is>
      </c>
      <c r="G4917" s="16" t="inlineStr">
        <is>
          <t>Linkbits Bocina Portátil Parlantes BT Portátiles con Iluminación de Ambiente | 1 Hora de Duración, FM, TWS, TF/Micro SD | Ideal para Hogar, Fiestas y Viajes</t>
        </is>
      </c>
      <c r="H4917" s="16" t="inlineStr">
        <is>
          <t>SA323T</t>
        </is>
      </c>
      <c r="I4917" s="16" t="n">
        <v>1</v>
      </c>
      <c r="J4917" s="17" t="n">
        <v>45</v>
      </c>
      <c r="K4917" s="17" t="n">
        <v>54.04</v>
      </c>
      <c r="L4917" s="17" t="n">
        <v>0</v>
      </c>
      <c r="M4917" s="17" t="n">
        <v>0</v>
      </c>
      <c r="N4917" s="17">
        <f>K4917*0.08+L4917*0.08</f>
        <v/>
      </c>
      <c r="O4917" s="17">
        <f>-(K4917*0.025+L4917*0.025)</f>
        <v/>
      </c>
      <c r="P4917" s="17">
        <f>32</f>
        <v/>
      </c>
      <c r="Q4917" s="17">
        <f>J4917+L4917+N4917+O4917-P4917-M4917</f>
        <v/>
      </c>
    </row>
    <row r="4918">
      <c r="A4918" s="16" t="inlineStr">
        <is>
          <t>5.8-5.14</t>
        </is>
      </c>
      <c r="B4918" s="16" t="inlineStr">
        <is>
          <t>PO-128-16885658972791208</t>
        </is>
      </c>
      <c r="C4918" s="16" t="inlineStr">
        <is>
          <t>Shipped</t>
        </is>
      </c>
      <c r="D4918" s="16" t="inlineStr">
        <is>
          <t>128-16885711401591208</t>
        </is>
      </c>
      <c r="E4918" s="16" t="inlineStr">
        <is>
          <t>Shipped</t>
        </is>
      </c>
      <c r="F4918" s="16" t="inlineStr">
        <is>
          <t>LB02235-negro</t>
        </is>
      </c>
      <c r="G4918" s="16" t="inlineStr">
        <is>
          <t>Audífonos Inalámbricos para la Cabeza, Recargables y Multifuncionales - Conectan a Varios Dispositivos, soportan Radio FM, Tarjeta TF y AUX - 4 Horas de Reproducción Musical - Ideal para Trabajo Cotidiano, Juegos y Estudio</t>
        </is>
      </c>
      <c r="H4918" s="16" t="inlineStr">
        <is>
          <t>NEGRO</t>
        </is>
      </c>
      <c r="I4918" s="16" t="n">
        <v>2</v>
      </c>
      <c r="J4918" s="17" t="n">
        <v>73</v>
      </c>
      <c r="K4918" s="17" t="n">
        <v>99.23999999999999</v>
      </c>
      <c r="L4918" s="17" t="n">
        <v>0</v>
      </c>
      <c r="M4918" s="17" t="n">
        <v>0</v>
      </c>
      <c r="N4918" s="17">
        <f>K4918*0.08+L4918*0.08</f>
        <v/>
      </c>
      <c r="O4918" s="17">
        <f>-(K4918*0.025+L4918*0.025)</f>
        <v/>
      </c>
      <c r="P4918" s="17">
        <f>32</f>
        <v/>
      </c>
      <c r="Q4918" s="17">
        <f>J4918+L4918+N4918+O4918-P4918-M4918</f>
        <v/>
      </c>
    </row>
    <row r="4919">
      <c r="A4919" s="16" t="inlineStr">
        <is>
          <t>5.8-5.14</t>
        </is>
      </c>
      <c r="B4919" s="16" t="inlineStr">
        <is>
          <t>PO-128-16885658972791208</t>
        </is>
      </c>
      <c r="C4919" s="16" t="inlineStr">
        <is>
          <t>Shipped</t>
        </is>
      </c>
      <c r="D4919" s="16" t="inlineStr">
        <is>
          <t>128-16885700915831208</t>
        </is>
      </c>
      <c r="E4919" s="16" t="inlineStr">
        <is>
          <t>Shipped</t>
        </is>
      </c>
      <c r="F4919" s="16" t="inlineStr">
        <is>
          <t>MCM-001N</t>
        </is>
      </c>
      <c r="G4919" s="16" t="inlineStr">
        <is>
          <t>Musicord Altavoz Inalámbrico BT Portátil: ¡Sonido impactante, luces LED multicolores y 4 horas de autonomía! Compatible con TWS, FM, TF y USB – Imprescindible para fiestas y viajes</t>
        </is>
      </c>
      <c r="H4919" s="16" t="inlineStr">
        <is>
          <t>NEGRO</t>
        </is>
      </c>
      <c r="I4919" s="16" t="n">
        <v>1</v>
      </c>
      <c r="J4919" s="17" t="n">
        <v>66</v>
      </c>
      <c r="K4919" s="17" t="n">
        <v>77.27</v>
      </c>
      <c r="L4919" s="17" t="n">
        <v>0</v>
      </c>
      <c r="M4919" s="17" t="n">
        <v>0</v>
      </c>
      <c r="N4919" s="17">
        <f>K4919*0.08+L4919*0.08</f>
        <v/>
      </c>
      <c r="O4919" s="17">
        <f>-(K4919*0.025+L4919*0.025)</f>
        <v/>
      </c>
      <c r="P4919" s="17">
        <f>32</f>
        <v/>
      </c>
      <c r="Q4919" s="17">
        <f>J4919+L4919+N4919+O4919-P4919-M4919</f>
        <v/>
      </c>
    </row>
    <row r="4920">
      <c r="A4920" s="16" t="inlineStr">
        <is>
          <t>5.8-5.14</t>
        </is>
      </c>
      <c r="B4920" s="16" t="inlineStr">
        <is>
          <t>PO-128-16885658972791208</t>
        </is>
      </c>
      <c r="C4920" s="16" t="inlineStr">
        <is>
          <t>Shipped</t>
        </is>
      </c>
      <c r="D4920" s="16" t="inlineStr">
        <is>
          <t>128-16885669458551208</t>
        </is>
      </c>
      <c r="E4920" s="16" t="inlineStr">
        <is>
          <t>Shipped</t>
        </is>
      </c>
      <c r="F4920" s="16" t="inlineStr">
        <is>
          <t>MCM-001R</t>
        </is>
      </c>
      <c r="G4920" s="16" t="inlineStr">
        <is>
          <t>Musicord Altavoz Inalámbrico BT Portátil: ¡Sonido impactante, luces LED multicolores y 4 horas de autonomía! Compatible con TWS, FM, TF y USB – Imprescindible para fiestas y viajes</t>
        </is>
      </c>
      <c r="H4920" s="16" t="inlineStr">
        <is>
          <t>ROJO</t>
        </is>
      </c>
      <c r="I4920" s="16" t="n">
        <v>1</v>
      </c>
      <c r="J4920" s="17" t="n">
        <v>66</v>
      </c>
      <c r="K4920" s="17" t="n">
        <v>77.27</v>
      </c>
      <c r="L4920" s="17" t="n">
        <v>0</v>
      </c>
      <c r="M4920" s="17" t="n">
        <v>0</v>
      </c>
      <c r="N4920" s="17">
        <f>K4920*0.08+L4920*0.08</f>
        <v/>
      </c>
      <c r="O4920" s="17">
        <f>-(K4920*0.025+L4920*0.025)</f>
        <v/>
      </c>
      <c r="P4920" s="17">
        <f>32</f>
        <v/>
      </c>
      <c r="Q4920" s="17">
        <f>J4920+L4920+N4920+O4920-P4920-M4920</f>
        <v/>
      </c>
    </row>
    <row r="4921">
      <c r="A4921" s="16" t="inlineStr">
        <is>
          <t>5.8-5.14</t>
        </is>
      </c>
      <c r="B4921" s="16" t="inlineStr">
        <is>
          <t>PO-128-16515399537273353</t>
        </is>
      </c>
      <c r="C4921" s="16" t="inlineStr">
        <is>
          <t>Shipped</t>
        </is>
      </c>
      <c r="D4921" s="16" t="inlineStr">
        <is>
          <t>128-16515469005433353</t>
        </is>
      </c>
      <c r="E4921" s="16" t="inlineStr">
        <is>
          <t>Shipped</t>
        </is>
      </c>
      <c r="F4921" s="16" t="inlineStr">
        <is>
          <t>LB02235-rojo</t>
        </is>
      </c>
      <c r="G4921" s="16" t="inlineStr">
        <is>
          <t>Audífonos Inalámbricos para la Cabeza, Recargables y Multifuncionales - Conectan a Varios Dispositivos, soportan Radio FM, Tarjeta TF y AUX - 4 Horas de Reproducción Musical - Ideal para Trabajo Cotidiano, Juegos y Estudio</t>
        </is>
      </c>
      <c r="H4921" s="16" t="inlineStr">
        <is>
          <t>ROJO</t>
        </is>
      </c>
      <c r="I4921" s="16" t="n">
        <v>1</v>
      </c>
      <c r="J4921" s="17" t="n">
        <v>40</v>
      </c>
      <c r="K4921" s="17" t="n">
        <v>53.12</v>
      </c>
      <c r="L4921" s="17" t="n">
        <v>25.86</v>
      </c>
      <c r="M4921" s="17" t="n">
        <v>0</v>
      </c>
      <c r="N4921" s="17">
        <f>K4921*0.08+L4921*0.08</f>
        <v/>
      </c>
      <c r="O4921" s="17">
        <f>-(K4921*0.025+L4921*0.025)</f>
        <v/>
      </c>
      <c r="P4921" s="17">
        <f>32</f>
        <v/>
      </c>
      <c r="Q4921" s="17">
        <f>J4921+L4921+N4921+O4921-P4921-M4921</f>
        <v/>
      </c>
    </row>
    <row r="4922">
      <c r="A4922" s="16" t="inlineStr">
        <is>
          <t>5.8-5.14</t>
        </is>
      </c>
      <c r="B4922" s="16" t="inlineStr">
        <is>
          <t>PO-128-16845546537591449</t>
        </is>
      </c>
      <c r="C4922" s="16" t="inlineStr">
        <is>
          <t>Shipped</t>
        </is>
      </c>
      <c r="D4922" s="16" t="inlineStr">
        <is>
          <t>128-16845530808951449</t>
        </is>
      </c>
      <c r="E4922" s="16" t="inlineStr">
        <is>
          <t>Shipped</t>
        </is>
      </c>
      <c r="F4922" s="16" t="inlineStr">
        <is>
          <t>MCM-001G</t>
        </is>
      </c>
      <c r="G4922" s="16" t="inlineStr">
        <is>
          <t>Musicord Altavoz Inalámbrico BT Portátil: ¡Sonido impactante, luces LED multicolores y 4 horas de autonomía! Compatible con TWS, FM, TF y USB – Imprescindible para fiestas y viajes</t>
        </is>
      </c>
      <c r="H4922" s="16" t="inlineStr">
        <is>
          <t>GRIS</t>
        </is>
      </c>
      <c r="I4922" s="16" t="n">
        <v>1</v>
      </c>
      <c r="J4922" s="17" t="n">
        <v>51</v>
      </c>
      <c r="K4922" s="17" t="n">
        <v>62.27</v>
      </c>
      <c r="L4922" s="17" t="n">
        <v>25.86</v>
      </c>
      <c r="M4922" s="17" t="n">
        <v>0</v>
      </c>
      <c r="N4922" s="17">
        <f>K4922*0.08+L4922*0.08</f>
        <v/>
      </c>
      <c r="O4922" s="17">
        <f>-(K4922*0.025+L4922*0.025)</f>
        <v/>
      </c>
      <c r="P4922" s="17">
        <f>32</f>
        <v/>
      </c>
      <c r="Q4922" s="17">
        <f>J4922+L4922+N4922+O4922-P4922-M4922</f>
        <v/>
      </c>
    </row>
    <row r="4923">
      <c r="A4923" s="16" t="inlineStr">
        <is>
          <t>5.8-5.14</t>
        </is>
      </c>
      <c r="B4923" s="16" t="inlineStr">
        <is>
          <t>PO-128-17014477128310440</t>
        </is>
      </c>
      <c r="C4923" s="16" t="inlineStr">
        <is>
          <t>Shipped</t>
        </is>
      </c>
      <c r="D4923" s="16" t="inlineStr">
        <is>
          <t>128-17014581985910440</t>
        </is>
      </c>
      <c r="E4923" s="16" t="inlineStr">
        <is>
          <t>Shipped</t>
        </is>
      </c>
      <c r="F4923" s="16" t="inlineStr">
        <is>
          <t>MB-185R</t>
        </is>
      </c>
      <c r="G4923" s="16" t="inlineStr">
        <is>
          <t>Bocina Radio FM/Reproductor, Compatible con Tarjeta TF, USB, Bluetooth, Aplicable para celular, computadora, Ipad y consola.</t>
        </is>
      </c>
      <c r="H4923" s="16" t="inlineStr">
        <is>
          <t>ROJO/MB-185</t>
        </is>
      </c>
      <c r="I4923" s="16" t="n">
        <v>1</v>
      </c>
      <c r="J4923" s="17" t="n">
        <v>71.31</v>
      </c>
      <c r="K4923" s="17" t="n">
        <v>84.26000000000001</v>
      </c>
      <c r="L4923" s="17" t="n">
        <v>25.86</v>
      </c>
      <c r="M4923" s="17" t="n">
        <v>0</v>
      </c>
      <c r="N4923" s="17">
        <f>K4923*0.08+L4923*0.08</f>
        <v/>
      </c>
      <c r="O4923" s="17">
        <f>-(K4923*0.025+L4923*0.025)</f>
        <v/>
      </c>
      <c r="P4923" s="17">
        <f>32</f>
        <v/>
      </c>
      <c r="Q4923" s="17">
        <f>J4923+L4923+N4923+O4923-P4923-M4923</f>
        <v/>
      </c>
    </row>
    <row r="4924">
      <c r="A4924" s="16" t="inlineStr">
        <is>
          <t>5.8-5.14</t>
        </is>
      </c>
      <c r="B4924" s="16" t="inlineStr">
        <is>
          <t>PO-128-17131365950070832</t>
        </is>
      </c>
      <c r="C4924" s="16" t="inlineStr">
        <is>
          <t>Shipped</t>
        </is>
      </c>
      <c r="D4924" s="16" t="inlineStr">
        <is>
          <t>128-17131324007030832</t>
        </is>
      </c>
      <c r="E4924" s="16" t="inlineStr">
        <is>
          <t>Shipped</t>
        </is>
      </c>
      <c r="F4924" s="16" t="inlineStr">
        <is>
          <t>MB-185N</t>
        </is>
      </c>
      <c r="G4924" s="16" t="inlineStr">
        <is>
          <t>Bocina Radio FM/Reproductor, Compatible con Tarjeta TF, USB, Bluetooth, Aplicable para celular, computadora, Ipad y consola.</t>
        </is>
      </c>
      <c r="H4924" s="16" t="inlineStr">
        <is>
          <t>NEGRO/MB-185</t>
        </is>
      </c>
      <c r="I4924" s="16" t="n">
        <v>1</v>
      </c>
      <c r="J4924" s="17" t="n">
        <v>71.31</v>
      </c>
      <c r="K4924" s="17" t="n">
        <v>84.26000000000001</v>
      </c>
      <c r="L4924" s="17" t="n">
        <v>25.86</v>
      </c>
      <c r="M4924" s="17" t="n">
        <v>0</v>
      </c>
      <c r="N4924" s="17">
        <f>K4924*0.08+L4924*0.08</f>
        <v/>
      </c>
      <c r="O4924" s="17">
        <f>-(K4924*0.025+L4924*0.025)</f>
        <v/>
      </c>
      <c r="P4924" s="17">
        <f>32</f>
        <v/>
      </c>
      <c r="Q4924" s="17">
        <f>J4924+L4924+N4924+O4924-P4924-M4924</f>
        <v/>
      </c>
    </row>
    <row r="4925">
      <c r="A4925" s="16" t="inlineStr">
        <is>
          <t>5.8-5.14</t>
        </is>
      </c>
      <c r="B4925" s="16" t="inlineStr">
        <is>
          <t>PO-128-16935410243192000</t>
        </is>
      </c>
      <c r="C4925" s="16" t="inlineStr">
        <is>
          <t>Shipped</t>
        </is>
      </c>
      <c r="D4925" s="16" t="inlineStr">
        <is>
          <t>128-16935368300152000</t>
        </is>
      </c>
      <c r="E4925" s="16" t="inlineStr">
        <is>
          <t>Shipped</t>
        </is>
      </c>
      <c r="F4925" s="16" t="inlineStr">
        <is>
          <t>LV64W25</t>
        </is>
      </c>
      <c r="G4925" s="16" t="inlineStr">
        <is>
          <t>Ventilador de Techo LED TIANLAI con 5 Aspas, Control Remoto, 3 Colores Luz, 3 Velocidades, Temporizador, Fácil Instalación, E27 para Baño Cocina Dormitorio Salón</t>
        </is>
      </c>
      <c r="H4925" s="16" t="inlineStr">
        <is>
          <t>LV64W25</t>
        </is>
      </c>
      <c r="I4925" s="16" t="n">
        <v>2</v>
      </c>
      <c r="J4925" s="17" t="n">
        <v>240</v>
      </c>
      <c r="K4925" s="17" t="n">
        <v>107.86</v>
      </c>
      <c r="L4925" s="17" t="n">
        <v>0</v>
      </c>
      <c r="M4925" s="17" t="n">
        <v>0</v>
      </c>
      <c r="N4925" s="17">
        <f>K4925*0.08+L4925*0.08</f>
        <v/>
      </c>
      <c r="O4925" s="17">
        <f>-(K4925*0.025+L4925*0.025)</f>
        <v/>
      </c>
      <c r="P4925" s="17">
        <f>32</f>
        <v/>
      </c>
      <c r="Q4925" s="17">
        <f>J4925+L4925+N4925+O4925-P4925-M4925</f>
        <v/>
      </c>
    </row>
    <row r="4926">
      <c r="A4926" s="16" t="inlineStr">
        <is>
          <t>5.8-5.14</t>
        </is>
      </c>
      <c r="B4926" s="16" t="inlineStr">
        <is>
          <t>PO-128-17054088223350140</t>
        </is>
      </c>
      <c r="C4926" s="16" t="inlineStr">
        <is>
          <t>Shipped</t>
        </is>
      </c>
      <c r="D4926" s="16" t="inlineStr">
        <is>
          <t>128-17054072494710140</t>
        </is>
      </c>
      <c r="E4926" s="16" t="inlineStr">
        <is>
          <t>Shipped</t>
        </is>
      </c>
      <c r="F4926" s="16" t="inlineStr">
        <is>
          <t>LV25W22</t>
        </is>
      </c>
      <c r="G49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26" s="16" t="inlineStr">
        <is>
          <t>LV25W32</t>
        </is>
      </c>
      <c r="I4926" s="16" t="n">
        <v>1</v>
      </c>
      <c r="J4926" s="17" t="n">
        <v>81.01000000000001</v>
      </c>
      <c r="K4926" s="17" t="n">
        <v>91.42</v>
      </c>
      <c r="L4926" s="17" t="n">
        <v>25.86</v>
      </c>
      <c r="M4926" s="17" t="n">
        <v>0</v>
      </c>
      <c r="N4926" s="17">
        <f>K4926*0.08+L4926*0.08</f>
        <v/>
      </c>
      <c r="O4926" s="17">
        <f>-(K4926*0.025+L4926*0.025)</f>
        <v/>
      </c>
      <c r="P4926" s="17">
        <f>32</f>
        <v/>
      </c>
      <c r="Q4926" s="17">
        <f>J4926+L4926+N4926+O4926-P4926-M4926</f>
        <v/>
      </c>
    </row>
    <row r="4927">
      <c r="A4927" s="16" t="inlineStr">
        <is>
          <t>5.8-5.14</t>
        </is>
      </c>
      <c r="B4927" s="16" t="inlineStr">
        <is>
          <t>PO-128-17118542459510780</t>
        </is>
      </c>
      <c r="C4927" s="16" t="inlineStr">
        <is>
          <t>Shipped</t>
        </is>
      </c>
      <c r="D4927" s="16" t="inlineStr">
        <is>
          <t>128-17118490030710780</t>
        </is>
      </c>
      <c r="E4927" s="16" t="inlineStr">
        <is>
          <t>Shipped</t>
        </is>
      </c>
      <c r="F4927" s="16" t="inlineStr">
        <is>
          <t>MCM-001R</t>
        </is>
      </c>
      <c r="G4927" s="16" t="inlineStr">
        <is>
          <t>Musicord Altavoz Inalámbrico BT Portátil: ¡Sonido impactante, luces LED multicolores y 4 horas de autonomía! Compatible con TWS, FM, TF y USB – Imprescindible para fiestas y viajes</t>
        </is>
      </c>
      <c r="H4927" s="16" t="inlineStr">
        <is>
          <t>ROJO</t>
        </is>
      </c>
      <c r="I4927" s="16" t="n">
        <v>1</v>
      </c>
      <c r="J4927" s="17" t="n">
        <v>66</v>
      </c>
      <c r="K4927" s="17" t="n">
        <v>46.36</v>
      </c>
      <c r="L4927" s="17" t="n">
        <v>25.86</v>
      </c>
      <c r="M4927" s="17" t="n">
        <v>0</v>
      </c>
      <c r="N4927" s="17">
        <f>K4927*0.08+L4927*0.08</f>
        <v/>
      </c>
      <c r="O4927" s="17">
        <f>-(K4927*0.025+L4927*0.025)</f>
        <v/>
      </c>
      <c r="P4927" s="17">
        <f>32</f>
        <v/>
      </c>
      <c r="Q4927" s="17">
        <f>J4927+L4927+N4927+O4927-P4927-M4927</f>
        <v/>
      </c>
    </row>
    <row r="4928">
      <c r="A4928" s="16" t="inlineStr">
        <is>
          <t>5.8-5.14</t>
        </is>
      </c>
      <c r="B4928" s="16" t="inlineStr">
        <is>
          <t>PO-128-16731052360312066</t>
        </is>
      </c>
      <c r="C4928" s="16" t="inlineStr">
        <is>
          <t>Shipped</t>
        </is>
      </c>
      <c r="D4928" s="16" t="inlineStr">
        <is>
          <t>128-16731010417272066</t>
        </is>
      </c>
      <c r="E4928" s="16" t="inlineStr">
        <is>
          <t>Shipped</t>
        </is>
      </c>
      <c r="F4928" s="16" t="inlineStr">
        <is>
          <t>MB-185N</t>
        </is>
      </c>
      <c r="G4928" s="16" t="inlineStr">
        <is>
          <t>Bocina Radio FM/Reproductor, Compatible con Tarjeta TF, USB, Bluetooth, Aplicable para celular, computadora, Ipad y consola.</t>
        </is>
      </c>
      <c r="H4928" s="16" t="inlineStr">
        <is>
          <t>NEGRO/MB-185</t>
        </is>
      </c>
      <c r="I4928" s="16" t="n">
        <v>1</v>
      </c>
      <c r="J4928" s="17" t="n">
        <v>71.31</v>
      </c>
      <c r="K4928" s="17" t="n">
        <v>75.84</v>
      </c>
      <c r="L4928" s="17" t="n">
        <v>25.86</v>
      </c>
      <c r="M4928" s="17" t="n">
        <v>0</v>
      </c>
      <c r="N4928" s="17">
        <f>K4928*0.08+L4928*0.08</f>
        <v/>
      </c>
      <c r="O4928" s="17">
        <f>-(K4928*0.025+L4928*0.025)</f>
        <v/>
      </c>
      <c r="P4928" s="17">
        <f>32</f>
        <v/>
      </c>
      <c r="Q4928" s="17">
        <f>J4928+L4928+N4928+O4928-P4928-M4928</f>
        <v/>
      </c>
    </row>
    <row r="4929">
      <c r="A4929" s="16" t="inlineStr">
        <is>
          <t>5.8-5.14</t>
        </is>
      </c>
      <c r="B4929" s="16" t="inlineStr">
        <is>
          <t>PO-128-16890183977591247</t>
        </is>
      </c>
      <c r="C4929" s="16" t="inlineStr">
        <is>
          <t>Shipped</t>
        </is>
      </c>
      <c r="D4929" s="16" t="inlineStr">
        <is>
          <t>128-16890152520311247</t>
        </is>
      </c>
      <c r="E4929" s="16" t="inlineStr">
        <is>
          <t>Shipped</t>
        </is>
      </c>
      <c r="F4929" s="16" t="inlineStr">
        <is>
          <t>FA028</t>
        </is>
      </c>
      <c r="G4929" s="16" t="inlineStr">
        <is>
          <t>Extractor de agua para garrafas de agua, compatible con carga USB, extractor de agua automático, práctico, con dos modos de toma de agua: manual y programado, ideal para dormitorios, salones, oficinas, uso al aire libre y otros escenarios.</t>
        </is>
      </c>
      <c r="H4929" s="16" t="inlineStr">
        <is>
          <t>FA028</t>
        </is>
      </c>
      <c r="I4929" s="16" t="n">
        <v>1</v>
      </c>
      <c r="J4929" s="17" t="n">
        <v>29.5</v>
      </c>
      <c r="K4929" s="17" t="n">
        <v>39.08</v>
      </c>
      <c r="L4929" s="17" t="n">
        <v>25.86</v>
      </c>
      <c r="M4929" s="17" t="n">
        <v>0</v>
      </c>
      <c r="N4929" s="17">
        <f>K4929*0.08+L4929*0.08</f>
        <v/>
      </c>
      <c r="O4929" s="17">
        <f>-(K4929*0.025+L4929*0.025)</f>
        <v/>
      </c>
      <c r="P4929" s="17">
        <f>32</f>
        <v/>
      </c>
      <c r="Q4929" s="17">
        <f>J4929+L4929+N4929+O4929-P4929-M4929</f>
        <v/>
      </c>
    </row>
    <row r="4930">
      <c r="A4930" s="16" t="inlineStr">
        <is>
          <t>5.8-5.14</t>
        </is>
      </c>
      <c r="B4930" s="16" t="inlineStr">
        <is>
          <t>PO-128-17053437051510144</t>
        </is>
      </c>
      <c r="C4930" s="16" t="inlineStr">
        <is>
          <t>Shipped</t>
        </is>
      </c>
      <c r="D4930" s="16" t="inlineStr">
        <is>
          <t>128-17053416079990144</t>
        </is>
      </c>
      <c r="E4930" s="16" t="inlineStr">
        <is>
          <t>Shipped</t>
        </is>
      </c>
      <c r="F4930" s="16" t="inlineStr">
        <is>
          <t>LV25W22</t>
        </is>
      </c>
      <c r="G493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30" s="16" t="inlineStr">
        <is>
          <t>LV25W32</t>
        </is>
      </c>
      <c r="I4930" s="16" t="n">
        <v>1</v>
      </c>
      <c r="J4930" s="17" t="n">
        <v>81.01000000000001</v>
      </c>
      <c r="K4930" s="17" t="n">
        <v>73.14</v>
      </c>
      <c r="L4930" s="17" t="n">
        <v>25.86</v>
      </c>
      <c r="M4930" s="17" t="n">
        <v>0</v>
      </c>
      <c r="N4930" s="17">
        <f>K4930*0.08+L4930*0.08</f>
        <v/>
      </c>
      <c r="O4930" s="17">
        <f>-(K4930*0.025+L4930*0.025)</f>
        <v/>
      </c>
      <c r="P4930" s="17">
        <f>32</f>
        <v/>
      </c>
      <c r="Q4930" s="17">
        <f>J4930+L4930+N4930+O4930-P4930-M4930</f>
        <v/>
      </c>
    </row>
    <row r="4931">
      <c r="A4931" s="16" t="inlineStr">
        <is>
          <t>5.8-5.14</t>
        </is>
      </c>
      <c r="B4931" s="16" t="inlineStr">
        <is>
          <t>PO-128-16922855885431946</t>
        </is>
      </c>
      <c r="C4931" s="16" t="inlineStr">
        <is>
          <t>Shipped</t>
        </is>
      </c>
      <c r="D4931" s="16" t="inlineStr">
        <is>
          <t>128-16922866371191946</t>
        </is>
      </c>
      <c r="E4931" s="16" t="inlineStr">
        <is>
          <t>Shipped</t>
        </is>
      </c>
      <c r="F4931" s="16" t="inlineStr">
        <is>
          <t>KTS-1943-N</t>
        </is>
      </c>
      <c r="G4931"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931" s="16" t="inlineStr">
        <is>
          <t>NEGRO</t>
        </is>
      </c>
      <c r="I4931" s="16" t="n">
        <v>1</v>
      </c>
      <c r="J4931" s="17" t="n">
        <v>64</v>
      </c>
      <c r="K4931" s="17" t="n">
        <v>79.62</v>
      </c>
      <c r="L4931" s="17" t="n">
        <v>25.86</v>
      </c>
      <c r="M4931" s="17" t="n">
        <v>0</v>
      </c>
      <c r="N4931" s="17">
        <f>K4931*0.08+L4931*0.08</f>
        <v/>
      </c>
      <c r="O4931" s="17">
        <f>-(K4931*0.025+L4931*0.025)</f>
        <v/>
      </c>
      <c r="P4931" s="17">
        <f>32</f>
        <v/>
      </c>
      <c r="Q4931" s="17">
        <f>J4931+L4931+N4931+O4931-P4931-M4931</f>
        <v/>
      </c>
    </row>
    <row r="4932">
      <c r="A4932" s="16" t="inlineStr">
        <is>
          <t>5.8-5.14</t>
        </is>
      </c>
      <c r="B4932" s="16" t="inlineStr">
        <is>
          <t>PO-128-16965902551671690</t>
        </is>
      </c>
      <c r="C4932" s="16" t="inlineStr">
        <is>
          <t>Shipped</t>
        </is>
      </c>
      <c r="D4932" s="16" t="inlineStr">
        <is>
          <t>128-16965881580151690</t>
        </is>
      </c>
      <c r="E4932" s="16" t="inlineStr">
        <is>
          <t>Shipped</t>
        </is>
      </c>
      <c r="F4932" s="16" t="inlineStr">
        <is>
          <t>KTS-1678Y</t>
        </is>
      </c>
      <c r="G4932" s="16" t="inlineStr">
        <is>
          <t>Bocina portátil Inalámbrico, de 3 pulgadas, tamaño de bolsillo, 170 g, con asa, compatible con TF, USB y Micro SD, con radio FM y función TWS (True Wireless Stereo), adecuada para relajarse en casa o viajar al aire libre.</t>
        </is>
      </c>
      <c r="H4932" s="16" t="inlineStr">
        <is>
          <t>KTS-1678Y</t>
        </is>
      </c>
      <c r="I4932" s="16" t="n">
        <v>1</v>
      </c>
      <c r="J4932" s="17" t="n">
        <v>37.71</v>
      </c>
      <c r="K4932" s="17" t="n">
        <v>43.91</v>
      </c>
      <c r="L4932" s="17" t="n">
        <v>25.86</v>
      </c>
      <c r="M4932" s="17" t="n">
        <v>0</v>
      </c>
      <c r="N4932" s="17">
        <f>K4932*0.08+L4932*0.08</f>
        <v/>
      </c>
      <c r="O4932" s="17">
        <f>-(K4932*0.025+L4932*0.025)</f>
        <v/>
      </c>
      <c r="P4932" s="17">
        <f>32</f>
        <v/>
      </c>
      <c r="Q4932" s="17">
        <f>J4932+L4932+N4932+O4932-P4932-M4932</f>
        <v/>
      </c>
    </row>
    <row r="4933">
      <c r="A4933" s="16" t="inlineStr">
        <is>
          <t>5.8-5.14</t>
        </is>
      </c>
      <c r="B4933" s="16" t="inlineStr">
        <is>
          <t>PO-128-16812322407032799</t>
        </is>
      </c>
      <c r="C4933" s="16" t="inlineStr">
        <is>
          <t>Shipped</t>
        </is>
      </c>
      <c r="D4933" s="16" t="inlineStr">
        <is>
          <t>128-16812364104312799</t>
        </is>
      </c>
      <c r="E4933" s="16" t="inlineStr">
        <is>
          <t>Shipped</t>
        </is>
      </c>
      <c r="F4933" s="16" t="inlineStr">
        <is>
          <t>VA384T-N</t>
        </is>
      </c>
      <c r="G4933" s="16" t="inlineStr">
        <is>
          <t>Bocina Portátil Bluetooth de 3 Pulgadas con Radio FM, USB TF TWS, Sonido Estéreo 5W, Bocina Recargable para Hogar Exterior Viaje Fiesta Camping</t>
        </is>
      </c>
      <c r="H4933" s="16" t="inlineStr">
        <is>
          <t>NEGRO</t>
        </is>
      </c>
      <c r="I4933" s="16" t="n">
        <v>1</v>
      </c>
      <c r="J4933" s="17" t="n">
        <v>49</v>
      </c>
      <c r="K4933" s="17" t="n">
        <v>59.72</v>
      </c>
      <c r="L4933" s="17" t="n">
        <v>25.86</v>
      </c>
      <c r="M4933" s="17" t="n">
        <v>0</v>
      </c>
      <c r="N4933" s="17">
        <f>K4933*0.08+L4933*0.08</f>
        <v/>
      </c>
      <c r="O4933" s="17">
        <f>-(K4933*0.025+L4933*0.025)</f>
        <v/>
      </c>
      <c r="P4933" s="17">
        <f>32</f>
        <v/>
      </c>
      <c r="Q4933" s="17">
        <f>J4933+L4933+N4933+O4933-P4933-M4933</f>
        <v/>
      </c>
    </row>
    <row r="4934">
      <c r="A4934" s="16" t="inlineStr">
        <is>
          <t>5.8-5.14</t>
        </is>
      </c>
      <c r="B4934" s="16" t="inlineStr">
        <is>
          <t>PO-128-16882293043831164</t>
        </is>
      </c>
      <c r="C4934" s="16" t="inlineStr">
        <is>
          <t>Shipped</t>
        </is>
      </c>
      <c r="D4934" s="16" t="inlineStr">
        <is>
          <t>128-16882334986871164</t>
        </is>
      </c>
      <c r="E4934" s="16" t="inlineStr">
        <is>
          <t>Shipped</t>
        </is>
      </c>
      <c r="F4934" s="16" t="inlineStr">
        <is>
          <t>MCM-001N</t>
        </is>
      </c>
      <c r="G4934" s="16" t="inlineStr">
        <is>
          <t>Musicord Altavoz Inalámbrico BT Portátil: ¡Sonido impactante, luces LED multicolores y 4 horas de autonomía! Compatible con TWS, FM, TF y USB – Imprescindible para fiestas y viajes</t>
        </is>
      </c>
      <c r="H4934" s="16" t="inlineStr">
        <is>
          <t>NEGRO</t>
        </is>
      </c>
      <c r="I4934" s="16" t="n">
        <v>1</v>
      </c>
      <c r="J4934" s="17" t="n">
        <v>66</v>
      </c>
      <c r="K4934" s="17" t="n">
        <v>23.82</v>
      </c>
      <c r="L4934" s="17" t="n">
        <v>25.86</v>
      </c>
      <c r="M4934" s="17" t="n">
        <v>0</v>
      </c>
      <c r="N4934" s="17">
        <f>K4934*0.08+L4934*0.08</f>
        <v/>
      </c>
      <c r="O4934" s="17">
        <f>-(K4934*0.025+L4934*0.025)</f>
        <v/>
      </c>
      <c r="P4934" s="17">
        <f>32</f>
        <v/>
      </c>
      <c r="Q4934" s="17">
        <f>J4934+L4934+N4934+O4934-P4934-M4934</f>
        <v/>
      </c>
    </row>
    <row r="4935">
      <c r="A4935" s="16" t="inlineStr">
        <is>
          <t>5.8-5.14</t>
        </is>
      </c>
      <c r="B4935" s="16" t="inlineStr">
        <is>
          <t>PO-128-16573860414073197</t>
        </is>
      </c>
      <c r="C4935" s="16" t="inlineStr">
        <is>
          <t>Shipped</t>
        </is>
      </c>
      <c r="D4935" s="16" t="inlineStr">
        <is>
          <t>128-16573818471033197</t>
        </is>
      </c>
      <c r="E4935" s="16" t="inlineStr">
        <is>
          <t>Shipped</t>
        </is>
      </c>
      <c r="F4935" s="16" t="inlineStr">
        <is>
          <t>MCM-001R</t>
        </is>
      </c>
      <c r="G4935" s="16" t="inlineStr">
        <is>
          <t>Musicord Altavoz Inalámbrico BT Portátil: ¡Sonido impactante, luces LED multicolores y 4 horas de autonomía! Compatible con TWS, FM, TF y USB – Imprescindible para fiestas y viajes</t>
        </is>
      </c>
      <c r="H4935" s="16" t="inlineStr">
        <is>
          <t>ROJO</t>
        </is>
      </c>
      <c r="I4935" s="16" t="n">
        <v>1</v>
      </c>
      <c r="J4935" s="17" t="n">
        <v>66</v>
      </c>
      <c r="K4935" s="17" t="n">
        <v>29.86</v>
      </c>
      <c r="L4935" s="17" t="n">
        <v>25.86</v>
      </c>
      <c r="M4935" s="17" t="n">
        <v>0</v>
      </c>
      <c r="N4935" s="17">
        <f>K4935*0.08+L4935*0.08</f>
        <v/>
      </c>
      <c r="O4935" s="17">
        <f>-(K4935*0.025+L4935*0.025)</f>
        <v/>
      </c>
      <c r="P4935" s="17">
        <f>32</f>
        <v/>
      </c>
      <c r="Q4935" s="17">
        <f>J4935+L4935+N4935+O4935-P4935-M4935</f>
        <v/>
      </c>
    </row>
    <row r="4936">
      <c r="A4936" s="16" t="inlineStr">
        <is>
          <t>5.8-5.14</t>
        </is>
      </c>
      <c r="B4936" s="16" t="inlineStr">
        <is>
          <t>PO-128-16876082934391395</t>
        </is>
      </c>
      <c r="C4936" s="16" t="inlineStr">
        <is>
          <t>Shipped</t>
        </is>
      </c>
      <c r="D4936" s="16" t="inlineStr">
        <is>
          <t>128-16876046234231395</t>
        </is>
      </c>
      <c r="E4936" s="16" t="inlineStr">
        <is>
          <t>Shipped</t>
        </is>
      </c>
      <c r="F4936" s="16" t="inlineStr">
        <is>
          <t>LV25W22</t>
        </is>
      </c>
      <c r="G493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36" s="16" t="inlineStr">
        <is>
          <t>LV25W32</t>
        </is>
      </c>
      <c r="I4936" s="16" t="n">
        <v>4</v>
      </c>
      <c r="J4936" s="17" t="n">
        <v>324.04</v>
      </c>
      <c r="K4936" s="17" t="n">
        <v>323.33</v>
      </c>
      <c r="L4936" s="17" t="n">
        <v>0</v>
      </c>
      <c r="M4936" s="17" t="n">
        <v>0</v>
      </c>
      <c r="N4936" s="17">
        <f>K4936*0.08+L4936*0.08</f>
        <v/>
      </c>
      <c r="O4936" s="17">
        <f>-(K4936*0.025+L4936*0.025)</f>
        <v/>
      </c>
      <c r="P4936" s="17">
        <f>32</f>
        <v/>
      </c>
      <c r="Q4936" s="17">
        <f>J4936+L4936+N4936+O4936-P4936-M4936</f>
        <v/>
      </c>
    </row>
    <row r="4937">
      <c r="A4937" s="16" t="inlineStr">
        <is>
          <t>5.8-5.14</t>
        </is>
      </c>
      <c r="B4937" s="16" t="inlineStr">
        <is>
          <t>PO-128-16897444967031266</t>
        </is>
      </c>
      <c r="C4937" s="16" t="inlineStr">
        <is>
          <t>Shipped</t>
        </is>
      </c>
      <c r="D4937" s="16" t="inlineStr">
        <is>
          <t>128-16897502638711266</t>
        </is>
      </c>
      <c r="E4937" s="16" t="inlineStr">
        <is>
          <t>Shipped</t>
        </is>
      </c>
      <c r="F4937" s="16" t="inlineStr">
        <is>
          <t>LV25W22</t>
        </is>
      </c>
      <c r="G49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37" s="16" t="inlineStr">
        <is>
          <t>LV25W32</t>
        </is>
      </c>
      <c r="I4937" s="16" t="n">
        <v>1</v>
      </c>
      <c r="J4937" s="17" t="n">
        <v>81.01000000000001</v>
      </c>
      <c r="K4937" s="17" t="n">
        <v>91.42</v>
      </c>
      <c r="L4937" s="17" t="n">
        <v>25.86</v>
      </c>
      <c r="M4937" s="17" t="n">
        <v>0</v>
      </c>
      <c r="N4937" s="17">
        <f>K4937*0.08+L4937*0.08</f>
        <v/>
      </c>
      <c r="O4937" s="17">
        <f>-(K4937*0.025+L4937*0.025)</f>
        <v/>
      </c>
      <c r="P4937" s="17">
        <f>32</f>
        <v/>
      </c>
      <c r="Q4937" s="17">
        <f>J4937+L4937+N4937+O4937-P4937-M4937</f>
        <v/>
      </c>
    </row>
    <row r="4938">
      <c r="A4938" s="16" t="inlineStr">
        <is>
          <t>5.8-5.14</t>
        </is>
      </c>
      <c r="B4938" s="16" t="inlineStr">
        <is>
          <t>PO-128-17022224149110458</t>
        </is>
      </c>
      <c r="C4938" s="16" t="inlineStr">
        <is>
          <t>Shipped</t>
        </is>
      </c>
      <c r="D4938" s="16" t="inlineStr">
        <is>
          <t>128-17022266092150458</t>
        </is>
      </c>
      <c r="E4938" s="16" t="inlineStr">
        <is>
          <t>Shipped</t>
        </is>
      </c>
      <c r="F4938" s="16" t="inlineStr">
        <is>
          <t>MB-185A</t>
        </is>
      </c>
      <c r="G4938" s="16" t="inlineStr">
        <is>
          <t>Bocina Radio FM/Reproductor, Compatible con Tarjeta TF, USB, Bluetooth, Aplicable para celular, computadora, Ipad y consola.</t>
        </is>
      </c>
      <c r="H4938" s="16" t="inlineStr">
        <is>
          <t>AZUL/MB-185</t>
        </is>
      </c>
      <c r="I4938" s="16" t="n">
        <v>2</v>
      </c>
      <c r="J4938" s="17" t="n">
        <v>142.62</v>
      </c>
      <c r="K4938" s="17" t="n">
        <v>108.18</v>
      </c>
      <c r="L4938" s="17" t="n">
        <v>25.86</v>
      </c>
      <c r="M4938" s="17" t="n">
        <v>0</v>
      </c>
      <c r="N4938" s="17">
        <f>K4938*0.08+L4938*0.08</f>
        <v/>
      </c>
      <c r="O4938" s="17">
        <f>-(K4938*0.025+L4938*0.025)</f>
        <v/>
      </c>
      <c r="P4938" s="17">
        <f>32</f>
        <v/>
      </c>
      <c r="Q4938" s="17">
        <f>J4938+L4938+N4938+O4938-P4938-M4938</f>
        <v/>
      </c>
    </row>
    <row r="4939">
      <c r="A4939" s="16" t="inlineStr">
        <is>
          <t>5.8-5.14</t>
        </is>
      </c>
      <c r="B4939" s="16" t="inlineStr">
        <is>
          <t>PO-128-16919444408951137</t>
        </is>
      </c>
      <c r="C4939" s="16" t="inlineStr">
        <is>
          <t>Shipped</t>
        </is>
      </c>
      <c r="D4939" s="16" t="inlineStr">
        <is>
          <t>128-16919465380471137</t>
        </is>
      </c>
      <c r="E4939" s="16" t="inlineStr">
        <is>
          <t>Shipped</t>
        </is>
      </c>
      <c r="F4939" s="16" t="inlineStr">
        <is>
          <t>SA323T</t>
        </is>
      </c>
      <c r="G4939" s="16" t="inlineStr">
        <is>
          <t>Linkbits Bocina Portátil Parlantes BT Portátiles con Iluminación de Ambiente | 1 Hora de Duración, FM, TWS, TF/Micro SD | Ideal para Hogar, Fiestas y Viajes</t>
        </is>
      </c>
      <c r="H4939" s="16" t="inlineStr">
        <is>
          <t>SA323T</t>
        </is>
      </c>
      <c r="I4939" s="16" t="n">
        <v>1</v>
      </c>
      <c r="J4939" s="17" t="n">
        <v>45</v>
      </c>
      <c r="K4939" s="17" t="n">
        <v>10.94</v>
      </c>
      <c r="L4939" s="17" t="n">
        <v>25.86</v>
      </c>
      <c r="M4939" s="17" t="n">
        <v>0</v>
      </c>
      <c r="N4939" s="17">
        <f>K4939*0.08+L4939*0.08</f>
        <v/>
      </c>
      <c r="O4939" s="17">
        <f>-(K4939*0.025+L4939*0.025)</f>
        <v/>
      </c>
      <c r="P4939" s="17">
        <f>32</f>
        <v/>
      </c>
      <c r="Q4939" s="17">
        <f>J4939+L4939+N4939+O4939-P4939-M4939</f>
        <v/>
      </c>
    </row>
    <row r="4940">
      <c r="A4940" s="16" t="inlineStr">
        <is>
          <t>5.8-5.14</t>
        </is>
      </c>
      <c r="B4940" s="16" t="inlineStr">
        <is>
          <t>PO-128-16778353029752872</t>
        </is>
      </c>
      <c r="C4940" s="16" t="inlineStr">
        <is>
          <t>Shipped</t>
        </is>
      </c>
      <c r="D4940" s="16" t="inlineStr">
        <is>
          <t>128-16778311086712872</t>
        </is>
      </c>
      <c r="E4940" s="16" t="inlineStr">
        <is>
          <t>Shipped</t>
        </is>
      </c>
      <c r="F4940" s="16" t="inlineStr">
        <is>
          <t>MB-185N</t>
        </is>
      </c>
      <c r="G4940" s="16" t="inlineStr">
        <is>
          <t>Bocina Radio FM/Reproductor, Compatible con Tarjeta TF, USB, Bluetooth, Aplicable para celular, computadora, Ipad y consola.</t>
        </is>
      </c>
      <c r="H4940" s="16" t="inlineStr">
        <is>
          <t>NEGRO/MB-185</t>
        </is>
      </c>
      <c r="I4940" s="16" t="n">
        <v>1</v>
      </c>
      <c r="J4940" s="17" t="n">
        <v>71.31</v>
      </c>
      <c r="K4940" s="17" t="n">
        <v>1.5</v>
      </c>
      <c r="L4940" s="17" t="n">
        <v>25.86</v>
      </c>
      <c r="M4940" s="17" t="n">
        <v>0</v>
      </c>
      <c r="N4940" s="17">
        <f>K4940*0.08+L4940*0.08</f>
        <v/>
      </c>
      <c r="O4940" s="17">
        <f>-(K4940*0.025+L4940*0.025)</f>
        <v/>
      </c>
      <c r="P4940" s="17">
        <f>32</f>
        <v/>
      </c>
      <c r="Q4940" s="17">
        <f>J4940+L4940+N4940+O4940-P4940-M4940</f>
        <v/>
      </c>
    </row>
    <row r="4941">
      <c r="A4941" s="16" t="inlineStr">
        <is>
          <t>5.8-5.14</t>
        </is>
      </c>
      <c r="B4941" s="16" t="inlineStr">
        <is>
          <t>PO-128-16572842153593139</t>
        </is>
      </c>
      <c r="C4941" s="16" t="inlineStr">
        <is>
          <t>Shipped</t>
        </is>
      </c>
      <c r="D4941" s="16" t="inlineStr">
        <is>
          <t>128-16572800210553139</t>
        </is>
      </c>
      <c r="E4941" s="16" t="inlineStr">
        <is>
          <t>Shipped</t>
        </is>
      </c>
      <c r="F4941" s="16" t="inlineStr">
        <is>
          <t>MB-185N</t>
        </is>
      </c>
      <c r="G4941" s="16" t="inlineStr">
        <is>
          <t>Bocina Radio FM/Reproductor, Compatible con Tarjeta TF, USB, Bluetooth, Aplicable para celular, computadora, Ipad y consola.</t>
        </is>
      </c>
      <c r="H4941" s="16" t="inlineStr">
        <is>
          <t>NEGRO/MB-185</t>
        </is>
      </c>
      <c r="I4941" s="16" t="n">
        <v>1</v>
      </c>
      <c r="J4941" s="17" t="n">
        <v>71.31</v>
      </c>
      <c r="K4941" s="17" t="n">
        <v>67.42</v>
      </c>
      <c r="L4941" s="17" t="n">
        <v>25.86</v>
      </c>
      <c r="M4941" s="17" t="n">
        <v>0</v>
      </c>
      <c r="N4941" s="17">
        <f>K4941*0.08+L4941*0.08</f>
        <v/>
      </c>
      <c r="O4941" s="17">
        <f>-(K4941*0.025+L4941*0.025)</f>
        <v/>
      </c>
      <c r="P4941" s="17">
        <f>32</f>
        <v/>
      </c>
      <c r="Q4941" s="17">
        <f>J4941+L4941+N4941+O4941-P4941-M4941</f>
        <v/>
      </c>
    </row>
    <row r="4942">
      <c r="A4942" s="16" t="inlineStr">
        <is>
          <t>5.8-5.14</t>
        </is>
      </c>
      <c r="B4942" s="16" t="inlineStr">
        <is>
          <t>PO-128-17100228485750955</t>
        </is>
      </c>
      <c r="C4942" s="16" t="inlineStr">
        <is>
          <t>Shipped</t>
        </is>
      </c>
      <c r="D4942" s="16" t="inlineStr">
        <is>
          <t>128-17100270428790955</t>
        </is>
      </c>
      <c r="E4942" s="16" t="inlineStr">
        <is>
          <t>Shipped</t>
        </is>
      </c>
      <c r="F4942" s="16" t="inlineStr">
        <is>
          <t>LB02235-rojo</t>
        </is>
      </c>
      <c r="G4942" s="16" t="inlineStr">
        <is>
          <t>Audífonos Inalámbricos para la Cabeza, Recargables y Multifuncionales - Conectan a Varios Dispositivos, soportan Radio FM, Tarjeta TF y AUX - 4 Horas de Reproducción Musical - Ideal para Trabajo Cotidiano, Juegos y Estudio</t>
        </is>
      </c>
      <c r="H4942" s="16" t="inlineStr">
        <is>
          <t>ROJO</t>
        </is>
      </c>
      <c r="I4942" s="16" t="n">
        <v>1</v>
      </c>
      <c r="J4942" s="17" t="n">
        <v>40</v>
      </c>
      <c r="K4942" s="17" t="n">
        <v>53.12</v>
      </c>
      <c r="L4942" s="17" t="n">
        <v>25.86</v>
      </c>
      <c r="M4942" s="17" t="n">
        <v>0</v>
      </c>
      <c r="N4942" s="17">
        <f>K4942*0.08+L4942*0.08</f>
        <v/>
      </c>
      <c r="O4942" s="17">
        <f>-(K4942*0.025+L4942*0.025)</f>
        <v/>
      </c>
      <c r="P4942" s="17">
        <f>32</f>
        <v/>
      </c>
      <c r="Q4942" s="17">
        <f>J4942+L4942+N4942+O4942-P4942-M4942</f>
        <v/>
      </c>
    </row>
    <row r="4943">
      <c r="A4943" s="16" t="inlineStr">
        <is>
          <t>5.8-5.14</t>
        </is>
      </c>
      <c r="B4943" s="16" t="inlineStr">
        <is>
          <t>PO-128-16871293799031358</t>
        </is>
      </c>
      <c r="C4943" s="16" t="inlineStr">
        <is>
          <t>Shipped</t>
        </is>
      </c>
      <c r="D4943" s="16" t="inlineStr">
        <is>
          <t>128-16871314770551358</t>
        </is>
      </c>
      <c r="E4943" s="16" t="inlineStr">
        <is>
          <t>Shipped</t>
        </is>
      </c>
      <c r="F4943" s="16" t="inlineStr">
        <is>
          <t>SA8056T</t>
        </is>
      </c>
      <c r="G494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943" s="16" t="inlineStr">
        <is>
          <t>SA8056T</t>
        </is>
      </c>
      <c r="I4943" s="16" t="n">
        <v>1</v>
      </c>
      <c r="J4943" s="17" t="n">
        <v>138</v>
      </c>
      <c r="K4943" s="17" t="n">
        <v>158.38</v>
      </c>
      <c r="L4943" s="17" t="n">
        <v>25.86</v>
      </c>
      <c r="M4943" s="17" t="n">
        <v>0</v>
      </c>
      <c r="N4943" s="17">
        <f>K4943*0.08+L4943*0.08</f>
        <v/>
      </c>
      <c r="O4943" s="17">
        <f>-(K4943*0.025+L4943*0.025)</f>
        <v/>
      </c>
      <c r="P4943" s="17">
        <f>32</f>
        <v/>
      </c>
      <c r="Q4943" s="17">
        <f>J4943+L4943+N4943+O4943-P4943-M4943</f>
        <v/>
      </c>
    </row>
    <row r="4944">
      <c r="A4944" s="16" t="inlineStr">
        <is>
          <t>5.8-5.14</t>
        </is>
      </c>
      <c r="B4944" s="16" t="inlineStr">
        <is>
          <t>PO-128-17120178319990770</t>
        </is>
      </c>
      <c r="C4944" s="16" t="inlineStr">
        <is>
          <t>Shipped</t>
        </is>
      </c>
      <c r="D4944" s="16" t="inlineStr">
        <is>
          <t>128-17120167834230770</t>
        </is>
      </c>
      <c r="E4944" s="16" t="inlineStr">
        <is>
          <t>Shipped</t>
        </is>
      </c>
      <c r="F4944" s="16" t="inlineStr">
        <is>
          <t>KTS-1678V</t>
        </is>
      </c>
      <c r="G4944" s="16" t="inlineStr">
        <is>
          <t>Bocina portátil Inalámbrico, de 3 pulgadas, tamaño de bolsillo, 170 g, con asa, compatible con TF, USB y Micro SD, con radio FM y función TWS (True Wireless Stereo), adecuada para relajarse en casa o viajar al aire libre.</t>
        </is>
      </c>
      <c r="H4944" s="16" t="inlineStr">
        <is>
          <t>KTS-1678V</t>
        </is>
      </c>
      <c r="I4944" s="16" t="n">
        <v>1</v>
      </c>
      <c r="J4944" s="17" t="n">
        <v>37.71</v>
      </c>
      <c r="K4944" s="17" t="n">
        <v>45.97</v>
      </c>
      <c r="L4944" s="17" t="n">
        <v>25.86</v>
      </c>
      <c r="M4944" s="17" t="n">
        <v>0</v>
      </c>
      <c r="N4944" s="17">
        <f>K4944*0.08+L4944*0.08</f>
        <v/>
      </c>
      <c r="O4944" s="17">
        <f>-(K4944*0.025+L4944*0.025)</f>
        <v/>
      </c>
      <c r="P4944" s="17">
        <f>32</f>
        <v/>
      </c>
      <c r="Q4944" s="17">
        <f>J4944+L4944+N4944+O4944-P4944-M4944</f>
        <v/>
      </c>
    </row>
    <row r="4945">
      <c r="A4945" s="16" t="inlineStr">
        <is>
          <t>5.8-5.14</t>
        </is>
      </c>
      <c r="B4945" s="16" t="inlineStr">
        <is>
          <t>PO-128-17110627635831021</t>
        </is>
      </c>
      <c r="C4945" s="16" t="inlineStr">
        <is>
          <t>Shipped</t>
        </is>
      </c>
      <c r="D4945" s="16" t="inlineStr">
        <is>
          <t>128-17110669578871021</t>
        </is>
      </c>
      <c r="E4945" s="16" t="inlineStr">
        <is>
          <t>Shipped</t>
        </is>
      </c>
      <c r="F4945" s="16" t="inlineStr">
        <is>
          <t>LB02235-negro</t>
        </is>
      </c>
      <c r="G4945" s="16" t="inlineStr">
        <is>
          <t>Audífonos Inalámbricos para la Cabeza, Recargables y Multifuncionales - Conectan a Varios Dispositivos, soportan Radio FM, Tarjeta TF y AUX - 4 Horas de Reproducción Musical - Ideal para Trabajo Cotidiano, Juegos y Estudio</t>
        </is>
      </c>
      <c r="H4945" s="16" t="inlineStr">
        <is>
          <t>NEGRO</t>
        </is>
      </c>
      <c r="I4945" s="16" t="n">
        <v>1</v>
      </c>
      <c r="J4945" s="17" t="n">
        <v>36.5</v>
      </c>
      <c r="K4945" s="17" t="n">
        <v>6.52</v>
      </c>
      <c r="L4945" s="17" t="n">
        <v>25.86</v>
      </c>
      <c r="M4945" s="17" t="n">
        <v>0</v>
      </c>
      <c r="N4945" s="17">
        <f>K4945*0.08+L4945*0.08</f>
        <v/>
      </c>
      <c r="O4945" s="17">
        <f>-(K4945*0.025+L4945*0.025)</f>
        <v/>
      </c>
      <c r="P4945" s="17">
        <f>32</f>
        <v/>
      </c>
      <c r="Q4945" s="17">
        <f>J4945+L4945+N4945+O4945-P4945-M4945</f>
        <v/>
      </c>
    </row>
    <row r="4946">
      <c r="A4946" s="16" t="inlineStr">
        <is>
          <t>5.8-5.14</t>
        </is>
      </c>
      <c r="B4946" s="16" t="inlineStr">
        <is>
          <t>PO-128-16699528172152382</t>
        </is>
      </c>
      <c r="C4946" s="16" t="inlineStr">
        <is>
          <t>Shipped</t>
        </is>
      </c>
      <c r="D4946" s="16" t="inlineStr">
        <is>
          <t>128-16699507200632382</t>
        </is>
      </c>
      <c r="E4946" s="16" t="inlineStr">
        <is>
          <t>Shipped</t>
        </is>
      </c>
      <c r="F4946" s="16" t="inlineStr">
        <is>
          <t>LV25W22</t>
        </is>
      </c>
      <c r="G49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46" s="16" t="inlineStr">
        <is>
          <t>LV25W32</t>
        </is>
      </c>
      <c r="I4946" s="16" t="n">
        <v>23</v>
      </c>
      <c r="J4946" s="17" t="n">
        <v>1863.23</v>
      </c>
      <c r="K4946" s="17" t="n">
        <v>2102.66</v>
      </c>
      <c r="L4946" s="17" t="n">
        <v>0</v>
      </c>
      <c r="M4946" s="17" t="n">
        <v>0</v>
      </c>
      <c r="N4946" s="17">
        <f>K4946*0.08+L4946*0.08</f>
        <v/>
      </c>
      <c r="O4946" s="17">
        <f>-(K4946*0.025+L4946*0.025)</f>
        <v/>
      </c>
      <c r="P4946" s="17">
        <f>32</f>
        <v/>
      </c>
      <c r="Q4946" s="17">
        <f>J4946+L4946+N4946+O4946-P4946-M4946</f>
        <v/>
      </c>
    </row>
    <row r="4947">
      <c r="A4947" s="16" t="inlineStr">
        <is>
          <t>5.8-5.14</t>
        </is>
      </c>
      <c r="B4947" s="16" t="inlineStr">
        <is>
          <t>PO-128-17141995162230640</t>
        </is>
      </c>
      <c r="C4947" s="16" t="inlineStr">
        <is>
          <t>Shipped</t>
        </is>
      </c>
      <c r="D4947" s="16" t="inlineStr">
        <is>
          <t>128-17142037105270640</t>
        </is>
      </c>
      <c r="E4947" s="16" t="inlineStr">
        <is>
          <t>Shipped</t>
        </is>
      </c>
      <c r="F4947" s="16" t="inlineStr">
        <is>
          <t>SA8056T</t>
        </is>
      </c>
      <c r="G494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947" s="16" t="inlineStr">
        <is>
          <t>SA8056T</t>
        </is>
      </c>
      <c r="I4947" s="16" t="n">
        <v>1</v>
      </c>
      <c r="J4947" s="17" t="n">
        <v>138</v>
      </c>
      <c r="K4947" s="17" t="n">
        <v>158.38</v>
      </c>
      <c r="L4947" s="17" t="n">
        <v>0</v>
      </c>
      <c r="M4947" s="17" t="n">
        <v>0</v>
      </c>
      <c r="N4947" s="17">
        <f>K4947*0.08+L4947*0.08</f>
        <v/>
      </c>
      <c r="O4947" s="17">
        <f>-(K4947*0.025+L4947*0.025)</f>
        <v/>
      </c>
      <c r="P4947" s="17">
        <f>32</f>
        <v/>
      </c>
      <c r="Q4947" s="17">
        <f>J4947+L4947+N4947+O4947-P4947-M4947</f>
        <v/>
      </c>
    </row>
    <row r="4948">
      <c r="A4948" s="16" t="inlineStr">
        <is>
          <t>5.8-5.14</t>
        </is>
      </c>
      <c r="B4948" s="16" t="inlineStr">
        <is>
          <t>PO-128-17141995162230640</t>
        </is>
      </c>
      <c r="C4948" s="16" t="inlineStr">
        <is>
          <t>Shipped</t>
        </is>
      </c>
      <c r="D4948" s="16" t="inlineStr">
        <is>
          <t>128-17142120008310640</t>
        </is>
      </c>
      <c r="E4948" s="16" t="inlineStr">
        <is>
          <t>Shipped</t>
        </is>
      </c>
      <c r="F4948" s="16" t="inlineStr">
        <is>
          <t>LV64W25</t>
        </is>
      </c>
      <c r="G4948" s="16" t="inlineStr">
        <is>
          <t>Ventilador de Techo LED TIANLAI con 5 Aspas, Control Remoto, 3 Colores Luz, 3 Velocidades, Temporizador, Fácil Instalación, E27 para Baño Cocina Dormitorio Salón</t>
        </is>
      </c>
      <c r="H4948" s="16" t="inlineStr">
        <is>
          <t>LV64W25</t>
        </is>
      </c>
      <c r="I4948" s="16" t="n">
        <v>1</v>
      </c>
      <c r="J4948" s="17" t="n">
        <v>120</v>
      </c>
      <c r="K4948" s="17" t="n">
        <v>140.14</v>
      </c>
      <c r="L4948" s="17" t="n">
        <v>0</v>
      </c>
      <c r="M4948" s="17" t="n">
        <v>0</v>
      </c>
      <c r="N4948" s="17">
        <f>K4948*0.08+L4948*0.08</f>
        <v/>
      </c>
      <c r="O4948" s="17">
        <f>-(K4948*0.025+L4948*0.025)</f>
        <v/>
      </c>
      <c r="P4948" s="17">
        <f>32</f>
        <v/>
      </c>
      <c r="Q4948" s="17">
        <f>J4948+L4948+N4948+O4948-P4948-M4948</f>
        <v/>
      </c>
    </row>
    <row r="4949">
      <c r="A4949" s="16" t="inlineStr">
        <is>
          <t>5.8-5.14</t>
        </is>
      </c>
      <c r="B4949" s="16" t="inlineStr">
        <is>
          <t>PO-128-16509252403833580</t>
        </is>
      </c>
      <c r="C4949" s="16" t="inlineStr">
        <is>
          <t>Shipped</t>
        </is>
      </c>
      <c r="D4949" s="16" t="inlineStr">
        <is>
          <t>128-16509210460793580</t>
        </is>
      </c>
      <c r="E4949" s="16" t="inlineStr">
        <is>
          <t>Shipped</t>
        </is>
      </c>
      <c r="F4949" s="16" t="inlineStr">
        <is>
          <t>SA325T</t>
        </is>
      </c>
      <c r="G4949" s="16" t="inlineStr">
        <is>
          <t>Subwoofer Portátil Inalámbrico con Luces RGB, Sonido de Alta Potencia y Batería Duradera, TWS TF USB, Perfecto para Campamento Fiestas y Entretenimiento en Casa</t>
        </is>
      </c>
      <c r="H4949" s="16" t="inlineStr">
        <is>
          <t>NEGRO</t>
        </is>
      </c>
      <c r="I4949" s="16" t="n">
        <v>1</v>
      </c>
      <c r="J4949" s="17" t="n">
        <v>36</v>
      </c>
      <c r="K4949" s="17" t="n">
        <v>1.96</v>
      </c>
      <c r="L4949" s="17" t="n">
        <v>25.86</v>
      </c>
      <c r="M4949" s="17" t="n">
        <v>0</v>
      </c>
      <c r="N4949" s="17">
        <f>K4949*0.08+L4949*0.08</f>
        <v/>
      </c>
      <c r="O4949" s="17">
        <f>-(K4949*0.025+L4949*0.025)</f>
        <v/>
      </c>
      <c r="P4949" s="17">
        <f>32</f>
        <v/>
      </c>
      <c r="Q4949" s="17">
        <f>J4949+L4949+N4949+O4949-P4949-M4949</f>
        <v/>
      </c>
    </row>
    <row r="4950">
      <c r="A4950" s="16" t="inlineStr">
        <is>
          <t>5.8-5.14</t>
        </is>
      </c>
      <c r="B4950" s="16" t="inlineStr">
        <is>
          <t>PO-128-17034720942710256</t>
        </is>
      </c>
      <c r="C4950" s="16" t="inlineStr">
        <is>
          <t>Shipped</t>
        </is>
      </c>
      <c r="D4950" s="16" t="inlineStr">
        <is>
          <t>128-17034678999670256</t>
        </is>
      </c>
      <c r="E4950" s="16" t="inlineStr">
        <is>
          <t>Shipped</t>
        </is>
      </c>
      <c r="F4950" s="16" t="inlineStr">
        <is>
          <t>SA323T</t>
        </is>
      </c>
      <c r="G4950" s="16" t="inlineStr">
        <is>
          <t>Linkbits Bocina Portátil Parlantes BT Portátiles con Iluminación de Ambiente | 1 Hora de Duración, FM, TWS, TF/Micro SD | Ideal para Hogar, Fiestas y Viajes</t>
        </is>
      </c>
      <c r="H4950" s="16" t="inlineStr">
        <is>
          <t>SA323T</t>
        </is>
      </c>
      <c r="I4950" s="16" t="n">
        <v>1</v>
      </c>
      <c r="J4950" s="17" t="n">
        <v>45</v>
      </c>
      <c r="K4950" s="17" t="n">
        <v>54.04</v>
      </c>
      <c r="L4950" s="17" t="n">
        <v>25.86</v>
      </c>
      <c r="M4950" s="17" t="n">
        <v>0</v>
      </c>
      <c r="N4950" s="17">
        <f>K4950*0.08+L4950*0.08</f>
        <v/>
      </c>
      <c r="O4950" s="17">
        <f>-(K4950*0.025+L4950*0.025)</f>
        <v/>
      </c>
      <c r="P4950" s="17">
        <f>32</f>
        <v/>
      </c>
      <c r="Q4950" s="17">
        <f>J4950+L4950+N4950+O4950-P4950-M4950</f>
        <v/>
      </c>
    </row>
    <row r="4951">
      <c r="A4951" s="16" t="inlineStr">
        <is>
          <t>5.8-5.14</t>
        </is>
      </c>
      <c r="B4951" s="16" t="inlineStr">
        <is>
          <t>PO-128-17092597371510105</t>
        </is>
      </c>
      <c r="C4951" s="16" t="inlineStr">
        <is>
          <t>Shipped</t>
        </is>
      </c>
      <c r="D4951" s="16" t="inlineStr">
        <is>
          <t>128-17092555428470105</t>
        </is>
      </c>
      <c r="E4951" s="16" t="inlineStr">
        <is>
          <t>Shipped</t>
        </is>
      </c>
      <c r="F4951" s="16" t="inlineStr">
        <is>
          <t>MB-185N</t>
        </is>
      </c>
      <c r="G4951" s="16" t="inlineStr">
        <is>
          <t>Bocina Radio FM/Reproductor, Compatible con Tarjeta TF, USB, Bluetooth, Aplicable para celular, computadora, Ipad y consola.</t>
        </is>
      </c>
      <c r="H4951" s="16" t="inlineStr">
        <is>
          <t>NEGRO/MB-185</t>
        </is>
      </c>
      <c r="I4951" s="16" t="n">
        <v>1</v>
      </c>
      <c r="J4951" s="17" t="n">
        <v>71.31</v>
      </c>
      <c r="K4951" s="17" t="n">
        <v>84.26000000000001</v>
      </c>
      <c r="L4951" s="17" t="n">
        <v>25.86</v>
      </c>
      <c r="M4951" s="17" t="n">
        <v>0</v>
      </c>
      <c r="N4951" s="17">
        <f>K4951*0.08+L4951*0.08</f>
        <v/>
      </c>
      <c r="O4951" s="17">
        <f>-(K4951*0.025+L4951*0.025)</f>
        <v/>
      </c>
      <c r="P4951" s="17">
        <f>32</f>
        <v/>
      </c>
      <c r="Q4951" s="17">
        <f>J4951+L4951+N4951+O4951-P4951-M4951</f>
        <v/>
      </c>
    </row>
    <row r="4952">
      <c r="A4952" s="16" t="inlineStr">
        <is>
          <t>5.8-5.14</t>
        </is>
      </c>
      <c r="B4952" s="16" t="inlineStr">
        <is>
          <t>PO-128-16529993073273392</t>
        </is>
      </c>
      <c r="C4952" s="16" t="inlineStr">
        <is>
          <t>Shipped</t>
        </is>
      </c>
      <c r="D4952" s="16" t="inlineStr">
        <is>
          <t>128-16530055987833392</t>
        </is>
      </c>
      <c r="E4952" s="16" t="inlineStr">
        <is>
          <t>Shipped</t>
        </is>
      </c>
      <c r="F4952" s="16" t="inlineStr">
        <is>
          <t>FA028</t>
        </is>
      </c>
      <c r="G4952" s="16" t="inlineStr">
        <is>
          <t>Extractor de agua para garrafas de agua, compatible con carga USB, extractor de agua automático, práctico, con dos modos de toma de agua: manual y programado, ideal para dormitorios, salones, oficinas, uso al aire libre y otros escenarios.</t>
        </is>
      </c>
      <c r="H4952" s="16" t="inlineStr">
        <is>
          <t>FA028</t>
        </is>
      </c>
      <c r="I4952" s="16" t="n">
        <v>1</v>
      </c>
      <c r="J4952" s="17" t="n">
        <v>29.5</v>
      </c>
      <c r="K4952" s="17" t="n">
        <v>39.08</v>
      </c>
      <c r="L4952" s="17" t="n">
        <v>25.86</v>
      </c>
      <c r="M4952" s="17" t="n">
        <v>0</v>
      </c>
      <c r="N4952" s="17">
        <f>K4952*0.08+L4952*0.08</f>
        <v/>
      </c>
      <c r="O4952" s="17">
        <f>-(K4952*0.025+L4952*0.025)</f>
        <v/>
      </c>
      <c r="P4952" s="17">
        <f>32</f>
        <v/>
      </c>
      <c r="Q4952" s="17">
        <f>J4952+L4952+N4952+O4952-P4952-M4952</f>
        <v/>
      </c>
    </row>
    <row r="4953">
      <c r="A4953" s="16" t="inlineStr">
        <is>
          <t>5.8-5.14</t>
        </is>
      </c>
      <c r="B4953" s="16" t="inlineStr">
        <is>
          <t>PO-128-05508799498873549</t>
        </is>
      </c>
      <c r="C4953" s="16" t="inlineStr">
        <is>
          <t>Shipped</t>
        </is>
      </c>
      <c r="D4953" s="16" t="inlineStr">
        <is>
          <t>128-05508966287993549</t>
        </is>
      </c>
      <c r="E4953" s="16" t="inlineStr">
        <is>
          <t>Shipped</t>
        </is>
      </c>
      <c r="F4953" s="16" t="inlineStr">
        <is>
          <t>LB02235-negro</t>
        </is>
      </c>
      <c r="G4953" s="16" t="inlineStr">
        <is>
          <t>Audífonos Inalámbricos para la Cabeza, Recargables y Multifuncionales - Conectan a Varios Dispositivos, soportan Radio FM, Tarjeta TF y AUX - 4 Horas de Reproducción Musical - Ideal para Trabajo Cotidiano, Juegos y Estudio</t>
        </is>
      </c>
      <c r="H4953" s="16" t="inlineStr">
        <is>
          <t>NEGRO</t>
        </is>
      </c>
      <c r="I4953" s="16" t="n">
        <v>1</v>
      </c>
      <c r="J4953" s="17" t="n">
        <v>36.5</v>
      </c>
      <c r="K4953" s="17" t="n">
        <v>6.52</v>
      </c>
      <c r="L4953" s="17" t="n">
        <v>25.86</v>
      </c>
      <c r="M4953" s="17" t="n">
        <v>0</v>
      </c>
      <c r="N4953" s="17">
        <f>K4953*0.08+L4953*0.08</f>
        <v/>
      </c>
      <c r="O4953" s="17">
        <f>-(K4953*0.025+L4953*0.025)</f>
        <v/>
      </c>
      <c r="P4953" s="17">
        <f>32</f>
        <v/>
      </c>
      <c r="Q4953" s="17">
        <f>J4953+L4953+N4953+O4953-P4953-M4953</f>
        <v/>
      </c>
    </row>
    <row r="4954">
      <c r="A4954" s="16" t="inlineStr">
        <is>
          <t>5.8-5.14</t>
        </is>
      </c>
      <c r="B4954" s="16" t="inlineStr">
        <is>
          <t>PO-128-05550430085753237</t>
        </is>
      </c>
      <c r="C4954" s="16" t="inlineStr">
        <is>
          <t>Shipped</t>
        </is>
      </c>
      <c r="D4954" s="16" t="inlineStr">
        <is>
          <t>128-05550534943353237</t>
        </is>
      </c>
      <c r="E4954" s="16" t="inlineStr">
        <is>
          <t>Shipped</t>
        </is>
      </c>
      <c r="F4954" s="16" t="inlineStr">
        <is>
          <t>LB02235-negro</t>
        </is>
      </c>
      <c r="G4954" s="16" t="inlineStr">
        <is>
          <t>Audífonos Inalámbricos para la Cabeza, Recargables y Multifuncionales - Conectan a Varios Dispositivos, soportan Radio FM, Tarjeta TF y AUX - 4 Horas de Reproducción Musical - Ideal para Trabajo Cotidiano, Juegos y Estudio</t>
        </is>
      </c>
      <c r="H4954" s="16" t="inlineStr">
        <is>
          <t>NEGRO</t>
        </is>
      </c>
      <c r="I4954" s="16" t="n">
        <v>1</v>
      </c>
      <c r="J4954" s="17" t="n">
        <v>36.5</v>
      </c>
      <c r="K4954" s="17" t="n">
        <v>6.52</v>
      </c>
      <c r="L4954" s="17" t="n">
        <v>25.86</v>
      </c>
      <c r="M4954" s="17" t="n">
        <v>0</v>
      </c>
      <c r="N4954" s="17">
        <f>K4954*0.08+L4954*0.08</f>
        <v/>
      </c>
      <c r="O4954" s="17">
        <f>-(K4954*0.025+L4954*0.025)</f>
        <v/>
      </c>
      <c r="P4954" s="17">
        <f>32</f>
        <v/>
      </c>
      <c r="Q4954" s="17">
        <f>J4954+L4954+N4954+O4954-P4954-M4954</f>
        <v/>
      </c>
    </row>
    <row r="4955">
      <c r="A4955" s="16" t="inlineStr">
        <is>
          <t>5.8-5.14</t>
        </is>
      </c>
      <c r="B4955" s="16" t="inlineStr">
        <is>
          <t>PO-128-05915214730871063</t>
        </is>
      </c>
      <c r="C4955" s="16" t="inlineStr">
        <is>
          <t>Shipped</t>
        </is>
      </c>
      <c r="D4955" s="16" t="inlineStr">
        <is>
          <t>128-05915256673911063</t>
        </is>
      </c>
      <c r="E4955" s="16" t="inlineStr">
        <is>
          <t>Shipped</t>
        </is>
      </c>
      <c r="F4955" s="16" t="inlineStr">
        <is>
          <t>MB-185R</t>
        </is>
      </c>
      <c r="G4955" s="16" t="inlineStr">
        <is>
          <t>Bocina Radio FM/Reproductor, Compatible con Tarjeta TF, USB, Bluetooth, Aplicable para celular, computadora, Ipad y consola.</t>
        </is>
      </c>
      <c r="H4955" s="16" t="inlineStr">
        <is>
          <t>ROJO/MB-185</t>
        </is>
      </c>
      <c r="I4955" s="16" t="n">
        <v>1</v>
      </c>
      <c r="J4955" s="17" t="n">
        <v>71.31</v>
      </c>
      <c r="K4955" s="17" t="n">
        <v>84.26000000000001</v>
      </c>
      <c r="L4955" s="17" t="n">
        <v>25.86</v>
      </c>
      <c r="M4955" s="17" t="n">
        <v>0</v>
      </c>
      <c r="N4955" s="17">
        <f>K4955*0.08+L4955*0.08</f>
        <v/>
      </c>
      <c r="O4955" s="17">
        <f>-(K4955*0.025+L4955*0.025)</f>
        <v/>
      </c>
      <c r="P4955" s="17">
        <f>32</f>
        <v/>
      </c>
      <c r="Q4955" s="17">
        <f>J4955+L4955+N4955+O4955-P4955-M4955</f>
        <v/>
      </c>
    </row>
    <row r="4956">
      <c r="A4956" s="16" t="inlineStr">
        <is>
          <t>5.8-5.14</t>
        </is>
      </c>
      <c r="B4956" s="16" t="inlineStr">
        <is>
          <t>PO-128-06123403008630780</t>
        </is>
      </c>
      <c r="C4956" s="16" t="inlineStr">
        <is>
          <t>Shipped</t>
        </is>
      </c>
      <c r="D4956" s="16" t="inlineStr">
        <is>
          <t>128-06123413494390780</t>
        </is>
      </c>
      <c r="E4956" s="16" t="inlineStr">
        <is>
          <t>Shipped</t>
        </is>
      </c>
      <c r="F4956" s="16" t="inlineStr">
        <is>
          <t>VB347T</t>
        </is>
      </c>
      <c r="G4956"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4956" s="16" t="inlineStr">
        <is>
          <t>1 pieza</t>
        </is>
      </c>
      <c r="I4956" s="16" t="n">
        <v>1</v>
      </c>
      <c r="J4956" s="17" t="n">
        <v>77.90000000000001</v>
      </c>
      <c r="K4956" s="17" t="n">
        <v>84.16</v>
      </c>
      <c r="L4956" s="17" t="n">
        <v>25.86</v>
      </c>
      <c r="M4956" s="17" t="n">
        <v>0</v>
      </c>
      <c r="N4956" s="17">
        <f>K4956*0.08+L4956*0.08</f>
        <v/>
      </c>
      <c r="O4956" s="17">
        <f>-(K4956*0.025+L4956*0.025)</f>
        <v/>
      </c>
      <c r="P4956" s="17">
        <f>32</f>
        <v/>
      </c>
      <c r="Q4956" s="17">
        <f>J4956+L4956+N4956+O4956-P4956-M4956</f>
        <v/>
      </c>
    </row>
    <row r="4957">
      <c r="A4957" s="16" t="inlineStr">
        <is>
          <t>5.8-5.14</t>
        </is>
      </c>
      <c r="B4957" s="16" t="inlineStr">
        <is>
          <t>PO-128-05715197911672191</t>
        </is>
      </c>
      <c r="C4957" s="16" t="inlineStr">
        <is>
          <t>Shipped</t>
        </is>
      </c>
      <c r="D4957" s="16" t="inlineStr">
        <is>
          <t>128-05715302769272191</t>
        </is>
      </c>
      <c r="E4957" s="16" t="inlineStr">
        <is>
          <t>Shipped</t>
        </is>
      </c>
      <c r="F4957" s="16" t="inlineStr">
        <is>
          <t>KTS-1678V</t>
        </is>
      </c>
      <c r="G4957" s="16" t="inlineStr">
        <is>
          <t>Bocina portátil Inalámbrico, de 3 pulgadas, tamaño de bolsillo, 170 g, con asa, compatible con TF, USB y Micro SD, con radio FM y función TWS (True Wireless Stereo), adecuada para relajarse en casa o viajar al aire libre.</t>
        </is>
      </c>
      <c r="H4957" s="16" t="inlineStr">
        <is>
          <t>KTS-1678V</t>
        </is>
      </c>
      <c r="I4957" s="16" t="n">
        <v>1</v>
      </c>
      <c r="J4957" s="17" t="n">
        <v>37.71</v>
      </c>
      <c r="K4957" s="17" t="n">
        <v>45.97</v>
      </c>
      <c r="L4957" s="17" t="n">
        <v>25.86</v>
      </c>
      <c r="M4957" s="17" t="n">
        <v>0</v>
      </c>
      <c r="N4957" s="17">
        <f>K4957*0.08+L4957*0.08</f>
        <v/>
      </c>
      <c r="O4957" s="17">
        <f>-(K4957*0.025+L4957*0.025)</f>
        <v/>
      </c>
      <c r="P4957" s="17">
        <f>32</f>
        <v/>
      </c>
      <c r="Q4957" s="17">
        <f>J4957+L4957+N4957+O4957-P4957-M4957</f>
        <v/>
      </c>
    </row>
    <row r="4958">
      <c r="A4958" s="16" t="inlineStr">
        <is>
          <t>5.8-5.14</t>
        </is>
      </c>
      <c r="B4958" s="16" t="inlineStr">
        <is>
          <t>PO-128-05697329408632360</t>
        </is>
      </c>
      <c r="C4958" s="16" t="inlineStr">
        <is>
          <t>Shipped</t>
        </is>
      </c>
      <c r="D4958" s="16" t="inlineStr">
        <is>
          <t>128-05697350380152360</t>
        </is>
      </c>
      <c r="E4958" s="16" t="inlineStr">
        <is>
          <t>Shipped</t>
        </is>
      </c>
      <c r="F4958" s="16" t="inlineStr">
        <is>
          <t>LB02235-rojo</t>
        </is>
      </c>
      <c r="G4958" s="16" t="inlineStr">
        <is>
          <t>Audífonos Inalámbricos para la Cabeza, Recargables y Multifuncionales - Conectan a Varios Dispositivos, soportan Radio FM, Tarjeta TF y AUX - 4 Horas de Reproducción Musical - Ideal para Trabajo Cotidiano, Juegos y Estudio</t>
        </is>
      </c>
      <c r="H4958" s="16" t="inlineStr">
        <is>
          <t>ROJO</t>
        </is>
      </c>
      <c r="I4958" s="16" t="n">
        <v>1</v>
      </c>
      <c r="J4958" s="17" t="n">
        <v>40</v>
      </c>
      <c r="K4958" s="17" t="n">
        <v>1.4</v>
      </c>
      <c r="L4958" s="17" t="n">
        <v>25.86</v>
      </c>
      <c r="M4958" s="17" t="n">
        <v>0</v>
      </c>
      <c r="N4958" s="17">
        <f>K4958*0.08+L4958*0.08</f>
        <v/>
      </c>
      <c r="O4958" s="17">
        <f>-(K4958*0.025+L4958*0.025)</f>
        <v/>
      </c>
      <c r="P4958" s="17">
        <f>32</f>
        <v/>
      </c>
      <c r="Q4958" s="17">
        <f>J4958+L4958+N4958+O4958-P4958-M4958</f>
        <v/>
      </c>
    </row>
    <row r="4959">
      <c r="A4959" s="16" t="inlineStr">
        <is>
          <t>5.8-5.14</t>
        </is>
      </c>
      <c r="B4959" s="16" t="inlineStr">
        <is>
          <t>PO-128-05782219500152878</t>
        </is>
      </c>
      <c r="C4959" s="16" t="inlineStr">
        <is>
          <t>Shipped</t>
        </is>
      </c>
      <c r="D4959" s="16" t="inlineStr">
        <is>
          <t>128-05782240471672878</t>
        </is>
      </c>
      <c r="E4959" s="16" t="inlineStr">
        <is>
          <t>Shipped</t>
        </is>
      </c>
      <c r="F4959" s="16" t="inlineStr">
        <is>
          <t>LV64W25</t>
        </is>
      </c>
      <c r="G4959" s="16" t="inlineStr">
        <is>
          <t>Ventilador de Techo LED TIANLAI con 5 Aspas, Control Remoto, 3 Colores Luz, 3 Velocidades, Temporizador, Fácil Instalación, E27 para Baño Cocina Dormitorio Salón</t>
        </is>
      </c>
      <c r="H4959" s="16" t="inlineStr">
        <is>
          <t>LV64W25</t>
        </is>
      </c>
      <c r="I4959" s="16" t="n">
        <v>1</v>
      </c>
      <c r="J4959" s="17" t="n">
        <v>120</v>
      </c>
      <c r="K4959" s="17" t="n">
        <v>140.14</v>
      </c>
      <c r="L4959" s="17" t="n">
        <v>25.86</v>
      </c>
      <c r="M4959" s="17" t="n">
        <v>0</v>
      </c>
      <c r="N4959" s="17">
        <f>K4959*0.08+L4959*0.08</f>
        <v/>
      </c>
      <c r="O4959" s="17">
        <f>-(K4959*0.025+L4959*0.025)</f>
        <v/>
      </c>
      <c r="P4959" s="17">
        <f>32</f>
        <v/>
      </c>
      <c r="Q4959" s="17">
        <f>J4959+L4959+N4959+O4959-P4959-M4959</f>
        <v/>
      </c>
    </row>
    <row r="4960">
      <c r="A4960" s="16" t="inlineStr">
        <is>
          <t>5.8-5.14</t>
        </is>
      </c>
      <c r="B4960" s="16" t="inlineStr">
        <is>
          <t>PO-128-06073336341110249</t>
        </is>
      </c>
      <c r="C4960" s="16" t="inlineStr">
        <is>
          <t>Shipped</t>
        </is>
      </c>
      <c r="D4960" s="16" t="inlineStr">
        <is>
          <t>128-06073294398070249</t>
        </is>
      </c>
      <c r="E4960" s="16" t="inlineStr">
        <is>
          <t>Shipped</t>
        </is>
      </c>
      <c r="F4960" s="16" t="inlineStr">
        <is>
          <t>LB02235-negro</t>
        </is>
      </c>
      <c r="G4960" s="16" t="inlineStr">
        <is>
          <t>Audífonos Inalámbricos para la Cabeza, Recargables y Multifuncionales - Conectan a Varios Dispositivos, soportan Radio FM, Tarjeta TF y AUX - 4 Horas de Reproducción Musical - Ideal para Trabajo Cotidiano, Juegos y Estudio</t>
        </is>
      </c>
      <c r="H4960" s="16" t="inlineStr">
        <is>
          <t>NEGRO</t>
        </is>
      </c>
      <c r="I4960" s="16" t="n">
        <v>1</v>
      </c>
      <c r="J4960" s="17" t="n">
        <v>36.5</v>
      </c>
      <c r="K4960" s="17" t="n">
        <v>49.62</v>
      </c>
      <c r="L4960" s="17" t="n">
        <v>25.86</v>
      </c>
      <c r="M4960" s="17" t="n">
        <v>0</v>
      </c>
      <c r="N4960" s="17">
        <f>K4960*0.08+L4960*0.08</f>
        <v/>
      </c>
      <c r="O4960" s="17">
        <f>-(K4960*0.025+L4960*0.025)</f>
        <v/>
      </c>
      <c r="P4960" s="17">
        <f>32</f>
        <v/>
      </c>
      <c r="Q4960" s="17">
        <f>J4960+L4960+N4960+O4960-P4960-M4960</f>
        <v/>
      </c>
    </row>
    <row r="4961">
      <c r="A4961" s="16" t="inlineStr">
        <is>
          <t>5.8-5.14</t>
        </is>
      </c>
      <c r="B4961" s="16" t="inlineStr">
        <is>
          <t>PO-128-06150159626870687</t>
        </is>
      </c>
      <c r="C4961" s="16" t="inlineStr">
        <is>
          <t>Shipped</t>
        </is>
      </c>
      <c r="D4961" s="16" t="inlineStr">
        <is>
          <t>128-06150117683830687</t>
        </is>
      </c>
      <c r="E4961" s="16" t="inlineStr">
        <is>
          <t>Shipped</t>
        </is>
      </c>
      <c r="F4961" s="16" t="inlineStr">
        <is>
          <t>SA325T</t>
        </is>
      </c>
      <c r="G4961" s="16" t="inlineStr">
        <is>
          <t>Subwoofer Portátil Inalámbrico con Luces RGB, Sonido de Alta Potencia y Batería Duradera, TWS TF USB, Perfecto para Campamento Fiestas y Entretenimiento en Casa</t>
        </is>
      </c>
      <c r="H4961" s="16" t="inlineStr">
        <is>
          <t>NEGRO</t>
        </is>
      </c>
      <c r="I4961" s="16" t="n">
        <v>2</v>
      </c>
      <c r="J4961" s="17" t="n">
        <v>72</v>
      </c>
      <c r="K4961" s="17" t="n">
        <v>90.12</v>
      </c>
      <c r="L4961" s="17" t="n">
        <v>25.86</v>
      </c>
      <c r="M4961" s="17" t="n">
        <v>0</v>
      </c>
      <c r="N4961" s="17">
        <f>K4961*0.08+L4961*0.08</f>
        <v/>
      </c>
      <c r="O4961" s="17">
        <f>-(K4961*0.025+L4961*0.025)</f>
        <v/>
      </c>
      <c r="P4961" s="17">
        <f>32</f>
        <v/>
      </c>
      <c r="Q4961" s="17">
        <f>J4961+L4961+N4961+O4961-P4961-M4961</f>
        <v/>
      </c>
    </row>
    <row r="4962">
      <c r="A4962" s="16" t="inlineStr">
        <is>
          <t>5.8-5.14</t>
        </is>
      </c>
      <c r="B4962" s="16" t="inlineStr">
        <is>
          <t>PO-128-05834520238712630</t>
        </is>
      </c>
      <c r="C4962" s="16" t="inlineStr">
        <is>
          <t>Shipped</t>
        </is>
      </c>
      <c r="D4962" s="16" t="inlineStr">
        <is>
          <t>128-05834478295672630</t>
        </is>
      </c>
      <c r="E4962" s="16" t="inlineStr">
        <is>
          <t>Shipped</t>
        </is>
      </c>
      <c r="F4962" s="16" t="inlineStr">
        <is>
          <t>FA028</t>
        </is>
      </c>
      <c r="G4962" s="16" t="inlineStr">
        <is>
          <t>Extractor de agua para garrafas de agua, compatible con carga USB, extractor de agua automático, práctico, con dos modos de toma de agua: manual y programado, ideal para dormitorios, salones, oficinas, uso al aire libre y otros escenarios.</t>
        </is>
      </c>
      <c r="H4962" s="16" t="inlineStr">
        <is>
          <t>FA028</t>
        </is>
      </c>
      <c r="I4962" s="16" t="n">
        <v>1</v>
      </c>
      <c r="J4962" s="17" t="n">
        <v>29.5</v>
      </c>
      <c r="K4962" s="17" t="n">
        <v>39.08</v>
      </c>
      <c r="L4962" s="17" t="n">
        <v>25.86</v>
      </c>
      <c r="M4962" s="17" t="n">
        <v>0</v>
      </c>
      <c r="N4962" s="17">
        <f>K4962*0.08+L4962*0.08</f>
        <v/>
      </c>
      <c r="O4962" s="17">
        <f>-(K4962*0.025+L4962*0.025)</f>
        <v/>
      </c>
      <c r="P4962" s="17">
        <f>32</f>
        <v/>
      </c>
      <c r="Q4962" s="17">
        <f>J4962+L4962+N4962+O4962-P4962-M4962</f>
        <v/>
      </c>
    </row>
    <row r="4963">
      <c r="A4963" s="16" t="inlineStr">
        <is>
          <t>5.8-5.14</t>
        </is>
      </c>
      <c r="B4963" s="16" t="inlineStr">
        <is>
          <t>PO-128-05571601536633111</t>
        </is>
      </c>
      <c r="C4963" s="16" t="inlineStr">
        <is>
          <t>Shipped</t>
        </is>
      </c>
      <c r="D4963" s="16" t="inlineStr">
        <is>
          <t>128-05571643479673111</t>
        </is>
      </c>
      <c r="E4963" s="16" t="inlineStr">
        <is>
          <t>Shipped</t>
        </is>
      </c>
      <c r="F4963" s="16" t="inlineStr">
        <is>
          <t>MCM-001R</t>
        </is>
      </c>
      <c r="G4963" s="16" t="inlineStr">
        <is>
          <t>Musicord Altavoz Inalámbrico BT Portátil: ¡Sonido impactante, luces LED multicolores y 4 horas de autonomía! Compatible con TWS, FM, TF y USB – Imprescindible para fiestas y viajes</t>
        </is>
      </c>
      <c r="H4963" s="16" t="inlineStr">
        <is>
          <t>ROJO</t>
        </is>
      </c>
      <c r="I4963" s="16" t="n">
        <v>1</v>
      </c>
      <c r="J4963" s="17" t="n">
        <v>66</v>
      </c>
      <c r="K4963" s="17" t="n">
        <v>61.82</v>
      </c>
      <c r="L4963" s="17" t="n">
        <v>25.86</v>
      </c>
      <c r="M4963" s="17" t="n">
        <v>0</v>
      </c>
      <c r="N4963" s="17">
        <f>K4963*0.08+L4963*0.08</f>
        <v/>
      </c>
      <c r="O4963" s="17">
        <f>-(K4963*0.025+L4963*0.025)</f>
        <v/>
      </c>
      <c r="P4963" s="17">
        <f>32</f>
        <v/>
      </c>
      <c r="Q4963" s="17">
        <f>J4963+L4963+N4963+O4963-P4963-M4963</f>
        <v/>
      </c>
    </row>
    <row r="4964">
      <c r="A4964" s="16" t="inlineStr">
        <is>
          <t>5.8-5.14</t>
        </is>
      </c>
      <c r="B4964" s="16" t="inlineStr">
        <is>
          <t>PO-128-05962236539511871</t>
        </is>
      </c>
      <c r="C4964" s="16" t="inlineStr">
        <is>
          <t>Shipped</t>
        </is>
      </c>
      <c r="D4964" s="16" t="inlineStr">
        <is>
          <t>128-05962257511031871</t>
        </is>
      </c>
      <c r="E4964" s="16" t="inlineStr">
        <is>
          <t>Shipped</t>
        </is>
      </c>
      <c r="F4964" s="16" t="inlineStr">
        <is>
          <t>LV25W22</t>
        </is>
      </c>
      <c r="G496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64" s="16" t="inlineStr">
        <is>
          <t>LV25W32</t>
        </is>
      </c>
      <c r="I4964" s="16" t="n">
        <v>1</v>
      </c>
      <c r="J4964" s="17" t="n">
        <v>72</v>
      </c>
      <c r="K4964" s="17" t="n">
        <v>82.41</v>
      </c>
      <c r="L4964" s="17" t="n">
        <v>25.86</v>
      </c>
      <c r="M4964" s="17" t="n">
        <v>0</v>
      </c>
      <c r="N4964" s="17">
        <f>K4964*0.08+L4964*0.08</f>
        <v/>
      </c>
      <c r="O4964" s="17">
        <f>-(K4964*0.025+L4964*0.025)</f>
        <v/>
      </c>
      <c r="P4964" s="17">
        <f>32</f>
        <v/>
      </c>
      <c r="Q4964" s="17">
        <f>J4964+L4964+N4964+O4964-P4964-M4964</f>
        <v/>
      </c>
    </row>
    <row r="4965">
      <c r="A4965" s="16" t="inlineStr">
        <is>
          <t>5.8-5.14</t>
        </is>
      </c>
      <c r="B4965" s="16" t="inlineStr">
        <is>
          <t>PO-128-05538767800953435</t>
        </is>
      </c>
      <c r="C4965" s="16" t="inlineStr">
        <is>
          <t>Shipped</t>
        </is>
      </c>
      <c r="D4965" s="16" t="inlineStr">
        <is>
          <t>128-05538788772473435</t>
        </is>
      </c>
      <c r="E4965" s="16" t="inlineStr">
        <is>
          <t>Shipped</t>
        </is>
      </c>
      <c r="F4965" s="16" t="inlineStr">
        <is>
          <t>SA8056T</t>
        </is>
      </c>
      <c r="G4965"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4965" s="16" t="inlineStr">
        <is>
          <t>SA8056T</t>
        </is>
      </c>
      <c r="I4965" s="16" t="n">
        <v>3</v>
      </c>
      <c r="J4965" s="17" t="n">
        <v>414</v>
      </c>
      <c r="K4965" s="17" t="n">
        <v>380.17</v>
      </c>
      <c r="L4965" s="17" t="n">
        <v>0</v>
      </c>
      <c r="M4965" s="17" t="n">
        <v>0</v>
      </c>
      <c r="N4965" s="17">
        <f>K4965*0.08+L4965*0.08</f>
        <v/>
      </c>
      <c r="O4965" s="17">
        <f>-(K4965*0.025+L4965*0.025)</f>
        <v/>
      </c>
      <c r="P4965" s="17">
        <f>32</f>
        <v/>
      </c>
      <c r="Q4965" s="17">
        <f>J4965+L4965+N4965+O4965-P4965-M4965</f>
        <v/>
      </c>
    </row>
    <row r="4966">
      <c r="A4966" s="16" t="inlineStr">
        <is>
          <t>5.8-5.14</t>
        </is>
      </c>
      <c r="B4966" s="16" t="inlineStr">
        <is>
          <t>PO-128-05954823015031851</t>
        </is>
      </c>
      <c r="C4966" s="16" t="inlineStr">
        <is>
          <t>Shipped</t>
        </is>
      </c>
      <c r="D4966" s="16" t="inlineStr">
        <is>
          <t>128-05954902968951851</t>
        </is>
      </c>
      <c r="E4966" s="16" t="inlineStr">
        <is>
          <t>Shipped</t>
        </is>
      </c>
      <c r="F4966" s="16" t="inlineStr">
        <is>
          <t>LV25W22</t>
        </is>
      </c>
      <c r="G49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66" s="16" t="inlineStr">
        <is>
          <t>LV25W32</t>
        </is>
      </c>
      <c r="I4966" s="16" t="n">
        <v>1</v>
      </c>
      <c r="J4966" s="17" t="n">
        <v>72</v>
      </c>
      <c r="K4966" s="17" t="n">
        <v>82.43000000000001</v>
      </c>
      <c r="L4966" s="17" t="n">
        <v>25.86</v>
      </c>
      <c r="M4966" s="17" t="n">
        <v>0</v>
      </c>
      <c r="N4966" s="17">
        <f>K4966*0.08+L4966*0.08</f>
        <v/>
      </c>
      <c r="O4966" s="17">
        <f>-(K4966*0.025+L4966*0.025)</f>
        <v/>
      </c>
      <c r="P4966" s="17">
        <f>32</f>
        <v/>
      </c>
      <c r="Q4966" s="17">
        <f>J4966+L4966+N4966+O4966-P4966-M4966</f>
        <v/>
      </c>
    </row>
    <row r="4967">
      <c r="A4967" s="16" t="inlineStr">
        <is>
          <t>5.8-5.14</t>
        </is>
      </c>
      <c r="B4967" s="16" t="inlineStr">
        <is>
          <t>PO-128-06034705383030287</t>
        </is>
      </c>
      <c r="C4967" s="16" t="inlineStr">
        <is>
          <t>Shipped</t>
        </is>
      </c>
      <c r="D4967" s="16" t="inlineStr">
        <is>
          <t>128-06034726354550287</t>
        </is>
      </c>
      <c r="E4967" s="16" t="inlineStr">
        <is>
          <t>Shipped</t>
        </is>
      </c>
      <c r="F4967" s="16" t="inlineStr">
        <is>
          <t>LB02235-rojo</t>
        </is>
      </c>
      <c r="G4967" s="16" t="inlineStr">
        <is>
          <t>Audífonos Inalámbricos para la Cabeza, Recargables y Multifuncionales - Conectan a Varios Dispositivos, soportan Radio FM, Tarjeta TF y AUX - 4 Horas de Reproducción Musical - Ideal para Trabajo Cotidiano, Juegos y Estudio</t>
        </is>
      </c>
      <c r="H4967" s="16" t="inlineStr">
        <is>
          <t>ROJO</t>
        </is>
      </c>
      <c r="I4967" s="16" t="n">
        <v>1</v>
      </c>
      <c r="J4967" s="17" t="n">
        <v>40</v>
      </c>
      <c r="K4967" s="17" t="n">
        <v>1.4</v>
      </c>
      <c r="L4967" s="17" t="n">
        <v>25.86</v>
      </c>
      <c r="M4967" s="17" t="n">
        <v>0</v>
      </c>
      <c r="N4967" s="17">
        <f>K4967*0.08+L4967*0.08</f>
        <v/>
      </c>
      <c r="O4967" s="17">
        <f>-(K4967*0.025+L4967*0.025)</f>
        <v/>
      </c>
      <c r="P4967" s="17">
        <f>32</f>
        <v/>
      </c>
      <c r="Q4967" s="17">
        <f>J4967+L4967+N4967+O4967-P4967-M4967</f>
        <v/>
      </c>
    </row>
    <row r="4968">
      <c r="A4968" s="16" t="inlineStr">
        <is>
          <t>5.8-5.14</t>
        </is>
      </c>
      <c r="B4968" s="16" t="inlineStr">
        <is>
          <t>PO-128-05786568858232852</t>
        </is>
      </c>
      <c r="C4968" s="16" t="inlineStr">
        <is>
          <t>Shipped</t>
        </is>
      </c>
      <c r="D4968" s="16" t="inlineStr">
        <is>
          <t>128-05786589829752852</t>
        </is>
      </c>
      <c r="E4968" s="16" t="inlineStr">
        <is>
          <t>Shipped</t>
        </is>
      </c>
      <c r="F4968" s="16" t="inlineStr">
        <is>
          <t>KTS-1678Y</t>
        </is>
      </c>
      <c r="G4968" s="16" t="inlineStr">
        <is>
          <t>Bocina portátil Inalámbrico, de 3 pulgadas, tamaño de bolsillo, 170 g, con asa, compatible con TF, USB y Micro SD, con radio FM y función TWS (True Wireless Stereo), adecuada para relajarse en casa o viajar al aire libre.</t>
        </is>
      </c>
      <c r="H4968" s="16" t="inlineStr">
        <is>
          <t>KTS-1678Y</t>
        </is>
      </c>
      <c r="I4968" s="16" t="n">
        <v>1</v>
      </c>
      <c r="J4968" s="17" t="n">
        <v>37.71</v>
      </c>
      <c r="K4968" s="17" t="n">
        <v>43.93</v>
      </c>
      <c r="L4968" s="17" t="n">
        <v>25.86</v>
      </c>
      <c r="M4968" s="17" t="n">
        <v>0</v>
      </c>
      <c r="N4968" s="17">
        <f>K4968*0.08+L4968*0.08</f>
        <v/>
      </c>
      <c r="O4968" s="17">
        <f>-(K4968*0.025+L4968*0.025)</f>
        <v/>
      </c>
      <c r="P4968" s="17">
        <f>32</f>
        <v/>
      </c>
      <c r="Q4968" s="17">
        <f>J4968+L4968+N4968+O4968-P4968-M4968</f>
        <v/>
      </c>
    </row>
    <row r="4969">
      <c r="A4969" s="16" t="inlineStr">
        <is>
          <t>5.8-5.14</t>
        </is>
      </c>
      <c r="B4969" s="16" t="inlineStr">
        <is>
          <t>PO-128-05511214782073535</t>
        </is>
      </c>
      <c r="C4969" s="16" t="inlineStr">
        <is>
          <t>Shipped</t>
        </is>
      </c>
      <c r="D4969" s="16" t="inlineStr">
        <is>
          <t>128-05511256725113535</t>
        </is>
      </c>
      <c r="E4969" s="16" t="inlineStr">
        <is>
          <t>Shipped</t>
        </is>
      </c>
      <c r="F4969" s="16" t="inlineStr">
        <is>
          <t>KTS-1678Y</t>
        </is>
      </c>
      <c r="G4969" s="16" t="inlineStr">
        <is>
          <t>Bocina portátil Inalámbrico, de 3 pulgadas, tamaño de bolsillo, 170 g, con asa, compatible con TF, USB y Micro SD, con radio FM y función TWS (True Wireless Stereo), adecuada para relajarse en casa o viajar al aire libre.</t>
        </is>
      </c>
      <c r="H4969" s="16" t="inlineStr">
        <is>
          <t>KTS-1678Y</t>
        </is>
      </c>
      <c r="I4969" s="16" t="n">
        <v>1</v>
      </c>
      <c r="J4969" s="17" t="n">
        <v>37.71</v>
      </c>
      <c r="K4969" s="17" t="n">
        <v>0.83</v>
      </c>
      <c r="L4969" s="17" t="n">
        <v>25.86</v>
      </c>
      <c r="M4969" s="17" t="n">
        <v>0</v>
      </c>
      <c r="N4969" s="17">
        <f>K4969*0.08+L4969*0.08</f>
        <v/>
      </c>
      <c r="O4969" s="17">
        <f>-(K4969*0.025+L4969*0.025)</f>
        <v/>
      </c>
      <c r="P4969" s="17">
        <f>32</f>
        <v/>
      </c>
      <c r="Q4969" s="17">
        <f>J4969+L4969+N4969+O4969-P4969-M4969</f>
        <v/>
      </c>
    </row>
    <row r="4970">
      <c r="A4970" s="16" t="inlineStr">
        <is>
          <t>5.8-5.14</t>
        </is>
      </c>
      <c r="B4970" s="16" t="inlineStr">
        <is>
          <t>PO-128-05601793782394083</t>
        </is>
      </c>
      <c r="C4970" s="16" t="inlineStr">
        <is>
          <t>Shipped</t>
        </is>
      </c>
      <c r="D4970" s="16" t="inlineStr">
        <is>
          <t>128-05601778053754083</t>
        </is>
      </c>
      <c r="E4970" s="16" t="inlineStr">
        <is>
          <t>Shipped</t>
        </is>
      </c>
      <c r="F4970" s="16" t="inlineStr">
        <is>
          <t>KTS-1678Y</t>
        </is>
      </c>
      <c r="G4970" s="16" t="inlineStr">
        <is>
          <t>Bocina portátil Inalámbrico, de 3 pulgadas, tamaño de bolsillo, 170 g, con asa, compatible con TF, USB y Micro SD, con radio FM y función TWS (True Wireless Stereo), adecuada para relajarse en casa o viajar al aire libre.</t>
        </is>
      </c>
      <c r="H4970" s="16" t="inlineStr">
        <is>
          <t>KTS-1678Y</t>
        </is>
      </c>
      <c r="I4970" s="16" t="n">
        <v>1</v>
      </c>
      <c r="J4970" s="17" t="n">
        <v>37.71</v>
      </c>
      <c r="K4970" s="17" t="n">
        <v>35.15</v>
      </c>
      <c r="L4970" s="17" t="n">
        <v>25.86</v>
      </c>
      <c r="M4970" s="17" t="n">
        <v>0</v>
      </c>
      <c r="N4970" s="17">
        <f>K4970*0.08+L4970*0.08</f>
        <v/>
      </c>
      <c r="O4970" s="17">
        <f>-(K4970*0.025+L4970*0.025)</f>
        <v/>
      </c>
      <c r="P4970" s="17">
        <f>32</f>
        <v/>
      </c>
      <c r="Q4970" s="17">
        <f>J4970+L4970+N4970+O4970-P4970-M4970</f>
        <v/>
      </c>
    </row>
    <row r="4971">
      <c r="A4971" s="16" t="inlineStr">
        <is>
          <t>5.8-5.14</t>
        </is>
      </c>
      <c r="B4971" s="16" t="inlineStr">
        <is>
          <t>PO-128-05557674583673320</t>
        </is>
      </c>
      <c r="C4971" s="16" t="inlineStr">
        <is>
          <t>Shipped</t>
        </is>
      </c>
      <c r="D4971" s="16" t="inlineStr">
        <is>
          <t>128-05557716526713320</t>
        </is>
      </c>
      <c r="E4971" s="16" t="inlineStr">
        <is>
          <t>Shipped</t>
        </is>
      </c>
      <c r="F4971" s="16" t="inlineStr">
        <is>
          <t>KTS-1678Y</t>
        </is>
      </c>
      <c r="G4971" s="16" t="inlineStr">
        <is>
          <t>Bocina portátil Inalámbrico, de 3 pulgadas, tamaño de bolsillo, 170 g, con asa, compatible con TF, USB y Micro SD, con radio FM y función TWS (True Wireless Stereo), adecuada para relajarse en casa o viajar al aire libre.</t>
        </is>
      </c>
      <c r="H4971" s="16" t="inlineStr">
        <is>
          <t>KTS-1678Y</t>
        </is>
      </c>
      <c r="I4971" s="16" t="n">
        <v>1</v>
      </c>
      <c r="J4971" s="17" t="n">
        <v>37.71</v>
      </c>
      <c r="K4971" s="17" t="n">
        <v>43.93</v>
      </c>
      <c r="L4971" s="17" t="n">
        <v>25.86</v>
      </c>
      <c r="M4971" s="17" t="n">
        <v>0</v>
      </c>
      <c r="N4971" s="17">
        <f>K4971*0.08+L4971*0.08</f>
        <v/>
      </c>
      <c r="O4971" s="17">
        <f>-(K4971*0.025+L4971*0.025)</f>
        <v/>
      </c>
      <c r="P4971" s="17">
        <f>32</f>
        <v/>
      </c>
      <c r="Q4971" s="17">
        <f>J4971+L4971+N4971+O4971-P4971-M4971</f>
        <v/>
      </c>
    </row>
    <row r="4972">
      <c r="A4972" s="16" t="inlineStr">
        <is>
          <t>5.8-5.14</t>
        </is>
      </c>
      <c r="B4972" s="16" t="inlineStr">
        <is>
          <t>PO-128-06052531303030373</t>
        </is>
      </c>
      <c r="C4972" s="16" t="inlineStr">
        <is>
          <t>Shipped</t>
        </is>
      </c>
      <c r="D4972" s="16" t="inlineStr">
        <is>
          <t>128-06052489359990373</t>
        </is>
      </c>
      <c r="E4972" s="16" t="inlineStr">
        <is>
          <t>Shipped</t>
        </is>
      </c>
      <c r="F4972" s="16" t="inlineStr">
        <is>
          <t>MB-185R</t>
        </is>
      </c>
      <c r="G4972" s="16" t="inlineStr">
        <is>
          <t>Bocina Radio FM/Reproductor, Compatible con Tarjeta TF, USB, Bluetooth, Aplicable para celular, computadora, Ipad y consola.</t>
        </is>
      </c>
      <c r="H4972" s="16" t="inlineStr">
        <is>
          <t>ROJO/MB-185</t>
        </is>
      </c>
      <c r="I4972" s="16" t="n">
        <v>1</v>
      </c>
      <c r="J4972" s="17" t="n">
        <v>71.31</v>
      </c>
      <c r="K4972" s="17" t="n">
        <v>84.26000000000001</v>
      </c>
      <c r="L4972" s="17" t="n">
        <v>25.86</v>
      </c>
      <c r="M4972" s="17" t="n">
        <v>0</v>
      </c>
      <c r="N4972" s="17">
        <f>K4972*0.08+L4972*0.08</f>
        <v/>
      </c>
      <c r="O4972" s="17">
        <f>-(K4972*0.025+L4972*0.025)</f>
        <v/>
      </c>
      <c r="P4972" s="17">
        <f>32</f>
        <v/>
      </c>
      <c r="Q4972" s="17">
        <f>J4972+L4972+N4972+O4972-P4972-M4972</f>
        <v/>
      </c>
    </row>
    <row r="4973">
      <c r="A4973" s="16" t="inlineStr">
        <is>
          <t>5.8-5.14</t>
        </is>
      </c>
      <c r="B4973" s="16" t="inlineStr">
        <is>
          <t>PO-128-05741317601912098</t>
        </is>
      </c>
      <c r="C4973" s="16" t="inlineStr">
        <is>
          <t>Shipped</t>
        </is>
      </c>
      <c r="D4973" s="16" t="inlineStr">
        <is>
          <t>128-05741322844792098</t>
        </is>
      </c>
      <c r="E4973" s="16" t="inlineStr">
        <is>
          <t>Shipped</t>
        </is>
      </c>
      <c r="F4973" s="16" t="inlineStr">
        <is>
          <t>LV25W22</t>
        </is>
      </c>
      <c r="G49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73" s="16" t="inlineStr">
        <is>
          <t>LV25W32</t>
        </is>
      </c>
      <c r="I4973" s="16" t="n">
        <v>1</v>
      </c>
      <c r="J4973" s="17" t="n">
        <v>72</v>
      </c>
      <c r="K4973" s="17" t="n">
        <v>82.43000000000001</v>
      </c>
      <c r="L4973" s="17" t="n">
        <v>25.86</v>
      </c>
      <c r="M4973" s="17" t="n">
        <v>0</v>
      </c>
      <c r="N4973" s="17">
        <f>K4973*0.08+L4973*0.08</f>
        <v/>
      </c>
      <c r="O4973" s="17">
        <f>-(K4973*0.025+L4973*0.025)</f>
        <v/>
      </c>
      <c r="P4973" s="17">
        <f>32</f>
        <v/>
      </c>
      <c r="Q4973" s="17">
        <f>J4973+L4973+N4973+O4973-P4973-M4973</f>
        <v/>
      </c>
    </row>
    <row r="4974">
      <c r="A4974" s="16" t="inlineStr">
        <is>
          <t>5.8-5.14</t>
        </is>
      </c>
      <c r="B4974" s="16" t="inlineStr">
        <is>
          <t>PO-128-05974303580791671</t>
        </is>
      </c>
      <c r="C4974" s="16" t="inlineStr">
        <is>
          <t>Shipped</t>
        </is>
      </c>
      <c r="D4974" s="16" t="inlineStr">
        <is>
          <t>128-05974356009591671</t>
        </is>
      </c>
      <c r="E4974" s="16" t="inlineStr">
        <is>
          <t>Shipped</t>
        </is>
      </c>
      <c r="F4974" s="16" t="inlineStr">
        <is>
          <t>LV25W22</t>
        </is>
      </c>
      <c r="G49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74" s="16" t="inlineStr">
        <is>
          <t>LV25W32</t>
        </is>
      </c>
      <c r="I4974" s="16" t="n">
        <v>1</v>
      </c>
      <c r="J4974" s="17" t="n">
        <v>72</v>
      </c>
      <c r="K4974" s="17" t="n">
        <v>82.43000000000001</v>
      </c>
      <c r="L4974" s="17" t="n">
        <v>25.86</v>
      </c>
      <c r="M4974" s="17" t="n">
        <v>0</v>
      </c>
      <c r="N4974" s="17">
        <f>K4974*0.08+L4974*0.08</f>
        <v/>
      </c>
      <c r="O4974" s="17">
        <f>-(K4974*0.025+L4974*0.025)</f>
        <v/>
      </c>
      <c r="P4974" s="17">
        <f>32</f>
        <v/>
      </c>
      <c r="Q4974" s="17">
        <f>J4974+L4974+N4974+O4974-P4974-M4974</f>
        <v/>
      </c>
    </row>
    <row r="4975">
      <c r="A4975" s="16" t="inlineStr">
        <is>
          <t>5.8-5.14</t>
        </is>
      </c>
      <c r="B4975" s="16" t="inlineStr">
        <is>
          <t>PO-128-06052396278390373</t>
        </is>
      </c>
      <c r="C4975" s="16" t="inlineStr">
        <is>
          <t>Shipped</t>
        </is>
      </c>
      <c r="D4975" s="16" t="inlineStr">
        <is>
          <t>128-06052532593270373</t>
        </is>
      </c>
      <c r="E4975" s="16" t="inlineStr">
        <is>
          <t>Shipped</t>
        </is>
      </c>
      <c r="F4975" s="16" t="inlineStr">
        <is>
          <t>MB-185A</t>
        </is>
      </c>
      <c r="G4975" s="16" t="inlineStr">
        <is>
          <t>Bocina Radio FM/Reproductor, Compatible con Tarjeta TF, USB, Bluetooth, Aplicable para celular, computadora, Ipad y consola.</t>
        </is>
      </c>
      <c r="H4975" s="16" t="inlineStr">
        <is>
          <t>AZUL/MB-185</t>
        </is>
      </c>
      <c r="I4975" s="16" t="n">
        <v>1</v>
      </c>
      <c r="J4975" s="17" t="n">
        <v>71.31</v>
      </c>
      <c r="K4975" s="17" t="n">
        <v>84.26000000000001</v>
      </c>
      <c r="L4975" s="17" t="n">
        <v>25.86</v>
      </c>
      <c r="M4975" s="17" t="n">
        <v>0</v>
      </c>
      <c r="N4975" s="17">
        <f>K4975*0.08+L4975*0.08</f>
        <v/>
      </c>
      <c r="O4975" s="17">
        <f>-(K4975*0.025+L4975*0.025)</f>
        <v/>
      </c>
      <c r="P4975" s="17">
        <f>32</f>
        <v/>
      </c>
      <c r="Q4975" s="17">
        <f>J4975+L4975+N4975+O4975-P4975-M4975</f>
        <v/>
      </c>
    </row>
    <row r="4976">
      <c r="A4976" s="16" t="inlineStr">
        <is>
          <t>5.8-5.14</t>
        </is>
      </c>
      <c r="B4976" s="16" t="inlineStr">
        <is>
          <t>PO-128-05743635190392084</t>
        </is>
      </c>
      <c r="C4976" s="16" t="inlineStr">
        <is>
          <t>Shipped</t>
        </is>
      </c>
      <c r="D4976" s="16" t="inlineStr">
        <is>
          <t>128-05743656161912084</t>
        </is>
      </c>
      <c r="E4976" s="16" t="inlineStr">
        <is>
          <t>Shipped</t>
        </is>
      </c>
      <c r="F4976" s="16" t="inlineStr">
        <is>
          <t>LV25W22</t>
        </is>
      </c>
      <c r="G49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76" s="16" t="inlineStr">
        <is>
          <t>LV25W32</t>
        </is>
      </c>
      <c r="I4976" s="16" t="n">
        <v>1</v>
      </c>
      <c r="J4976" s="17" t="n">
        <v>72</v>
      </c>
      <c r="K4976" s="17" t="n">
        <v>39.33</v>
      </c>
      <c r="L4976" s="17" t="n">
        <v>25.86</v>
      </c>
      <c r="M4976" s="17" t="n">
        <v>0</v>
      </c>
      <c r="N4976" s="17">
        <f>K4976*0.08+L4976*0.08</f>
        <v/>
      </c>
      <c r="O4976" s="17">
        <f>-(K4976*0.025+L4976*0.025)</f>
        <v/>
      </c>
      <c r="P4976" s="17">
        <f>32</f>
        <v/>
      </c>
      <c r="Q4976" s="17">
        <f>J4976+L4976+N4976+O4976-P4976-M4976</f>
        <v/>
      </c>
    </row>
    <row r="4977">
      <c r="A4977" s="16" t="inlineStr">
        <is>
          <t>5.8-5.14</t>
        </is>
      </c>
      <c r="B4977" s="16" t="inlineStr">
        <is>
          <t>PO-128-06169328958070570</t>
        </is>
      </c>
      <c r="C4977" s="16" t="inlineStr">
        <is>
          <t>Shipped</t>
        </is>
      </c>
      <c r="D4977" s="16" t="inlineStr">
        <is>
          <t>128-06169339443830570</t>
        </is>
      </c>
      <c r="E4977" s="16" t="inlineStr">
        <is>
          <t>Shipped</t>
        </is>
      </c>
      <c r="F4977" s="16" t="inlineStr">
        <is>
          <t>LV25W22</t>
        </is>
      </c>
      <c r="G49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77" s="16" t="inlineStr">
        <is>
          <t>LV25W32</t>
        </is>
      </c>
      <c r="I4977" s="16" t="n">
        <v>2</v>
      </c>
      <c r="J4977" s="17" t="n">
        <v>144</v>
      </c>
      <c r="K4977" s="17" t="n">
        <v>164.86</v>
      </c>
      <c r="L4977" s="17" t="n">
        <v>25.86</v>
      </c>
      <c r="M4977" s="17" t="n">
        <v>0</v>
      </c>
      <c r="N4977" s="17">
        <f>K4977*0.08+L4977*0.08</f>
        <v/>
      </c>
      <c r="O4977" s="17">
        <f>-(K4977*0.025+L4977*0.025)</f>
        <v/>
      </c>
      <c r="P4977" s="17">
        <f>32</f>
        <v/>
      </c>
      <c r="Q4977" s="17">
        <f>J4977+L4977+N4977+O4977-P4977-M4977</f>
        <v/>
      </c>
    </row>
    <row r="4978">
      <c r="A4978" s="16" t="inlineStr">
        <is>
          <t>5.8-5.14</t>
        </is>
      </c>
      <c r="B4978" s="16" t="inlineStr">
        <is>
          <t>PO-128-06031783209590494</t>
        </is>
      </c>
      <c r="C4978" s="16" t="inlineStr">
        <is>
          <t>Shipped</t>
        </is>
      </c>
      <c r="D4978" s="16" t="inlineStr">
        <is>
          <t>128-06031762238070494</t>
        </is>
      </c>
      <c r="E4978" s="16" t="inlineStr">
        <is>
          <t>Shipped</t>
        </is>
      </c>
      <c r="F4978" s="16" t="inlineStr">
        <is>
          <t>LB02235-negro</t>
        </is>
      </c>
      <c r="G4978" s="16" t="inlineStr">
        <is>
          <t>Audífonos Inalámbricos para la Cabeza, Recargables y Multifuncionales - Conectan a Varios Dispositivos, soportan Radio FM, Tarjeta TF y AUX - 4 Horas de Reproducción Musical - Ideal para Trabajo Cotidiano, Juegos y Estudio</t>
        </is>
      </c>
      <c r="H4978" s="16" t="inlineStr">
        <is>
          <t>NEGRO</t>
        </is>
      </c>
      <c r="I4978" s="16" t="n">
        <v>1</v>
      </c>
      <c r="J4978" s="17" t="n">
        <v>36.5</v>
      </c>
      <c r="K4978" s="17" t="n">
        <v>49.62</v>
      </c>
      <c r="L4978" s="17" t="n">
        <v>25.86</v>
      </c>
      <c r="M4978" s="17" t="n">
        <v>0</v>
      </c>
      <c r="N4978" s="17">
        <f>K4978*0.08+L4978*0.08</f>
        <v/>
      </c>
      <c r="O4978" s="17">
        <f>-(K4978*0.025+L4978*0.025)</f>
        <v/>
      </c>
      <c r="P4978" s="17">
        <f>32</f>
        <v/>
      </c>
      <c r="Q4978" s="17">
        <f>J4978+L4978+N4978+O4978-P4978-M4978</f>
        <v/>
      </c>
    </row>
    <row r="4979">
      <c r="A4979" s="16" t="inlineStr">
        <is>
          <t>5.8-5.14</t>
        </is>
      </c>
      <c r="B4979" s="16" t="inlineStr">
        <is>
          <t>PO-128-06139935145590874</t>
        </is>
      </c>
      <c r="C4979" s="16" t="inlineStr">
        <is>
          <t>Shipped</t>
        </is>
      </c>
      <c r="D4979" s="16" t="inlineStr">
        <is>
          <t>128-06139893202550874</t>
        </is>
      </c>
      <c r="E4979" s="16" t="inlineStr">
        <is>
          <t>Shipped</t>
        </is>
      </c>
      <c r="F4979" s="16" t="inlineStr">
        <is>
          <t>LV25W22</t>
        </is>
      </c>
      <c r="G497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79" s="16" t="inlineStr">
        <is>
          <t>LV25W32</t>
        </is>
      </c>
      <c r="I4979" s="16" t="n">
        <v>2</v>
      </c>
      <c r="J4979" s="17" t="n">
        <v>144</v>
      </c>
      <c r="K4979" s="17" t="n">
        <v>164.86</v>
      </c>
      <c r="L4979" s="17" t="n">
        <v>25.86</v>
      </c>
      <c r="M4979" s="17" t="n">
        <v>0</v>
      </c>
      <c r="N4979" s="17">
        <f>K4979*0.08+L4979*0.08</f>
        <v/>
      </c>
      <c r="O4979" s="17">
        <f>-(K4979*0.025+L4979*0.025)</f>
        <v/>
      </c>
      <c r="P4979" s="17">
        <f>32</f>
        <v/>
      </c>
      <c r="Q4979" s="17">
        <f>J4979+L4979+N4979+O4979-P4979-M4979</f>
        <v/>
      </c>
    </row>
    <row r="4980">
      <c r="A4980" s="16" t="inlineStr">
        <is>
          <t>5.8-5.14</t>
        </is>
      </c>
      <c r="B4980" s="16" t="inlineStr">
        <is>
          <t>PO-128-06184410747510611</t>
        </is>
      </c>
      <c r="C4980" s="16" t="inlineStr">
        <is>
          <t>Shipped</t>
        </is>
      </c>
      <c r="D4980" s="16" t="inlineStr">
        <is>
          <t>128-06184389775990611</t>
        </is>
      </c>
      <c r="E4980" s="16" t="inlineStr">
        <is>
          <t>Shipped</t>
        </is>
      </c>
      <c r="F4980" s="16" t="inlineStr">
        <is>
          <t>S09W18IB</t>
        </is>
      </c>
      <c r="G4980"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4980" s="16" t="inlineStr">
        <is>
          <t>1 pieza</t>
        </is>
      </c>
      <c r="I4980" s="16" t="n">
        <v>6</v>
      </c>
      <c r="J4980" s="17" t="n">
        <v>150</v>
      </c>
      <c r="K4980" s="17" t="n">
        <v>213.96</v>
      </c>
      <c r="L4980" s="17" t="n">
        <v>0</v>
      </c>
      <c r="M4980" s="17" t="n">
        <v>0</v>
      </c>
      <c r="N4980" s="17">
        <f>K4980*0.08+L4980*0.08</f>
        <v/>
      </c>
      <c r="O4980" s="17">
        <f>-(K4980*0.025+L4980*0.025)</f>
        <v/>
      </c>
      <c r="P4980" s="17">
        <f>32</f>
        <v/>
      </c>
      <c r="Q4980" s="17">
        <f>J4980+L4980+N4980+O4980-P4980-M4980</f>
        <v/>
      </c>
    </row>
    <row r="4981">
      <c r="A4981" s="16" t="inlineStr">
        <is>
          <t>5.8-5.14</t>
        </is>
      </c>
      <c r="B4981" s="16" t="inlineStr">
        <is>
          <t>PO-128-06184410747510611</t>
        </is>
      </c>
      <c r="C4981" s="16" t="inlineStr">
        <is>
          <t>Shipped</t>
        </is>
      </c>
      <c r="D4981" s="16" t="inlineStr">
        <is>
          <t>128-06184400261750611</t>
        </is>
      </c>
      <c r="E4981" s="16" t="inlineStr">
        <is>
          <t>Shipped</t>
        </is>
      </c>
      <c r="F4981" s="16" t="inlineStr">
        <is>
          <t>LV25W22</t>
        </is>
      </c>
      <c r="G498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81" s="16" t="inlineStr">
        <is>
          <t>LV25W32</t>
        </is>
      </c>
      <c r="I4981" s="16" t="n">
        <v>2</v>
      </c>
      <c r="J4981" s="17" t="n">
        <v>144</v>
      </c>
      <c r="K4981" s="17" t="n">
        <v>164.86</v>
      </c>
      <c r="L4981" s="17" t="n">
        <v>0</v>
      </c>
      <c r="M4981" s="17" t="n">
        <v>0</v>
      </c>
      <c r="N4981" s="17">
        <f>K4981*0.08+L4981*0.08</f>
        <v/>
      </c>
      <c r="O4981" s="17">
        <f>-(K4981*0.025+L4981*0.025)</f>
        <v/>
      </c>
      <c r="P4981" s="17">
        <f>32</f>
        <v/>
      </c>
      <c r="Q4981" s="17">
        <f>J4981+L4981+N4981+O4981-P4981-M4981</f>
        <v/>
      </c>
    </row>
    <row r="4982">
      <c r="A4982" s="16" t="inlineStr">
        <is>
          <t>5.8-5.14</t>
        </is>
      </c>
      <c r="B4982" s="16" t="inlineStr">
        <is>
          <t>PO-128-05629618965113725</t>
        </is>
      </c>
      <c r="C4982" s="16" t="inlineStr">
        <is>
          <t>Shipped</t>
        </is>
      </c>
      <c r="D4982" s="16" t="inlineStr">
        <is>
          <t>128-05629639936633725</t>
        </is>
      </c>
      <c r="E4982" s="16" t="inlineStr">
        <is>
          <t>Shipped</t>
        </is>
      </c>
      <c r="F4982" s="16" t="inlineStr">
        <is>
          <t>LB02235-rojo</t>
        </is>
      </c>
      <c r="G4982" s="16" t="inlineStr">
        <is>
          <t>Audífonos Inalámbricos para la Cabeza, Recargables y Multifuncionales - Conectan a Varios Dispositivos, soportan Radio FM, Tarjeta TF y AUX - 4 Horas de Reproducción Musical - Ideal para Trabajo Cotidiano, Juegos y Estudio</t>
        </is>
      </c>
      <c r="H4982" s="16" t="inlineStr">
        <is>
          <t>ROJO</t>
        </is>
      </c>
      <c r="I4982" s="16" t="n">
        <v>1</v>
      </c>
      <c r="J4982" s="17" t="n">
        <v>40</v>
      </c>
      <c r="K4982" s="17" t="n">
        <v>53.12</v>
      </c>
      <c r="L4982" s="17" t="n">
        <v>25.86</v>
      </c>
      <c r="M4982" s="17" t="n">
        <v>0</v>
      </c>
      <c r="N4982" s="17">
        <f>K4982*0.08+L4982*0.08</f>
        <v/>
      </c>
      <c r="O4982" s="17">
        <f>-(K4982*0.025+L4982*0.025)</f>
        <v/>
      </c>
      <c r="P4982" s="17">
        <f>32</f>
        <v/>
      </c>
      <c r="Q4982" s="17">
        <f>J4982+L4982+N4982+O4982-P4982-M4982</f>
        <v/>
      </c>
    </row>
    <row r="4983">
      <c r="A4983" s="16" t="inlineStr">
        <is>
          <t>5.8-5.14</t>
        </is>
      </c>
      <c r="B4983" s="16" t="inlineStr">
        <is>
          <t>PO-128-06105455555190953</t>
        </is>
      </c>
      <c r="C4983" s="16" t="inlineStr">
        <is>
          <t>Shipped</t>
        </is>
      </c>
      <c r="D4983" s="16" t="inlineStr">
        <is>
          <t>128-06105497498230953</t>
        </is>
      </c>
      <c r="E4983" s="16" t="inlineStr">
        <is>
          <t>Shipped</t>
        </is>
      </c>
      <c r="F4983" s="16" t="inlineStr">
        <is>
          <t>FA028</t>
        </is>
      </c>
      <c r="G4983" s="16" t="inlineStr">
        <is>
          <t>Extractor de agua para garrafas de agua, compatible con carga USB, extractor de agua automático, práctico, con dos modos de toma de agua: manual y programado, ideal para dormitorios, salones, oficinas, uso al aire libre y otros escenarios.</t>
        </is>
      </c>
      <c r="H4983" s="16" t="inlineStr">
        <is>
          <t>FA028</t>
        </is>
      </c>
      <c r="I4983" s="16" t="n">
        <v>1</v>
      </c>
      <c r="J4983" s="17" t="n">
        <v>29.5</v>
      </c>
      <c r="K4983" s="17" t="n">
        <v>39.1</v>
      </c>
      <c r="L4983" s="17" t="n">
        <v>25.86</v>
      </c>
      <c r="M4983" s="17" t="n">
        <v>0</v>
      </c>
      <c r="N4983" s="17">
        <f>K4983*0.08+L4983*0.08</f>
        <v/>
      </c>
      <c r="O4983" s="17">
        <f>-(K4983*0.025+L4983*0.025)</f>
        <v/>
      </c>
      <c r="P4983" s="17">
        <f>32</f>
        <v/>
      </c>
      <c r="Q4983" s="17">
        <f>J4983+L4983+N4983+O4983-P4983-M4983</f>
        <v/>
      </c>
    </row>
    <row r="4984">
      <c r="A4984" s="16" t="inlineStr">
        <is>
          <t>5.8-5.14</t>
        </is>
      </c>
      <c r="B4984" s="16" t="inlineStr">
        <is>
          <t>PO-128-06044869827190288</t>
        </is>
      </c>
      <c r="C4984" s="16" t="inlineStr">
        <is>
          <t>Shipped</t>
        </is>
      </c>
      <c r="D4984" s="16" t="inlineStr">
        <is>
          <t>128-06044890798710288</t>
        </is>
      </c>
      <c r="E4984" s="16" t="inlineStr">
        <is>
          <t>Shipped</t>
        </is>
      </c>
      <c r="F4984" s="16" t="inlineStr">
        <is>
          <t>LV25W22</t>
        </is>
      </c>
      <c r="G498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84" s="16" t="inlineStr">
        <is>
          <t>LV25W32</t>
        </is>
      </c>
      <c r="I4984" s="16" t="n">
        <v>1</v>
      </c>
      <c r="J4984" s="17" t="n">
        <v>72</v>
      </c>
      <c r="K4984" s="17" t="n">
        <v>82.43000000000001</v>
      </c>
      <c r="L4984" s="17" t="n">
        <v>25.86</v>
      </c>
      <c r="M4984" s="17" t="n">
        <v>0</v>
      </c>
      <c r="N4984" s="17">
        <f>K4984*0.08+L4984*0.08</f>
        <v/>
      </c>
      <c r="O4984" s="17">
        <f>-(K4984*0.025+L4984*0.025)</f>
        <v/>
      </c>
      <c r="P4984" s="17">
        <f>32</f>
        <v/>
      </c>
      <c r="Q4984" s="17">
        <f>J4984+L4984+N4984+O4984-P4984-M4984</f>
        <v/>
      </c>
    </row>
    <row r="4985">
      <c r="A4985" s="16" t="inlineStr">
        <is>
          <t>5.8-5.14</t>
        </is>
      </c>
      <c r="B4985" s="16" t="inlineStr">
        <is>
          <t>PO-128-06146162427510647</t>
        </is>
      </c>
      <c r="C4985" s="16" t="inlineStr">
        <is>
          <t>Shipped</t>
        </is>
      </c>
      <c r="D4985" s="16" t="inlineStr">
        <is>
          <t>128-06146141455990647</t>
        </is>
      </c>
      <c r="E4985" s="16" t="inlineStr">
        <is>
          <t>Shipped</t>
        </is>
      </c>
      <c r="F4985" s="16" t="inlineStr">
        <is>
          <t>MCM-001N</t>
        </is>
      </c>
      <c r="G4985" s="16" t="inlineStr">
        <is>
          <t>Musicord Altavoz Inalámbrico BT Portátil: ¡Sonido impactante, luces LED multicolores y 4 horas de autonomía! Compatible con TWS, FM, TF y USB – Imprescindible para fiestas y viajes</t>
        </is>
      </c>
      <c r="H4985" s="16" t="inlineStr">
        <is>
          <t>NEGRO</t>
        </is>
      </c>
      <c r="I4985" s="16" t="n">
        <v>1</v>
      </c>
      <c r="J4985" s="17" t="n">
        <v>66</v>
      </c>
      <c r="K4985" s="17" t="n">
        <v>77.29000000000001</v>
      </c>
      <c r="L4985" s="17" t="n">
        <v>25.86</v>
      </c>
      <c r="M4985" s="17" t="n">
        <v>0</v>
      </c>
      <c r="N4985" s="17">
        <f>K4985*0.08+L4985*0.08</f>
        <v/>
      </c>
      <c r="O4985" s="17">
        <f>-(K4985*0.025+L4985*0.025)</f>
        <v/>
      </c>
      <c r="P4985" s="17">
        <f>32</f>
        <v/>
      </c>
      <c r="Q4985" s="17">
        <f>J4985+L4985+N4985+O4985-P4985-M4985</f>
        <v/>
      </c>
    </row>
    <row r="4986">
      <c r="A4986" s="16" t="inlineStr">
        <is>
          <t>5.8-5.14</t>
        </is>
      </c>
      <c r="B4986" s="16" t="inlineStr">
        <is>
          <t>PO-128-05685735127672559</t>
        </is>
      </c>
      <c r="C4986" s="16" t="inlineStr">
        <is>
          <t>Shipped</t>
        </is>
      </c>
      <c r="D4986" s="16" t="inlineStr">
        <is>
          <t>128-05685787556472559</t>
        </is>
      </c>
      <c r="E4986" s="16" t="inlineStr">
        <is>
          <t>Shipped</t>
        </is>
      </c>
      <c r="F4986" s="16" t="inlineStr">
        <is>
          <t>LV25W22</t>
        </is>
      </c>
      <c r="G498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86" s="16" t="inlineStr">
        <is>
          <t>LV25W32</t>
        </is>
      </c>
      <c r="I4986" s="16" t="n">
        <v>1</v>
      </c>
      <c r="J4986" s="17" t="n">
        <v>72</v>
      </c>
      <c r="K4986" s="17" t="n">
        <v>82.43000000000001</v>
      </c>
      <c r="L4986" s="17" t="n">
        <v>25.86</v>
      </c>
      <c r="M4986" s="17" t="n">
        <v>0</v>
      </c>
      <c r="N4986" s="17">
        <f>K4986*0.08+L4986*0.08</f>
        <v/>
      </c>
      <c r="O4986" s="17">
        <f>-(K4986*0.025+L4986*0.025)</f>
        <v/>
      </c>
      <c r="P4986" s="17">
        <f>32</f>
        <v/>
      </c>
      <c r="Q4986" s="17">
        <f>J4986+L4986+N4986+O4986-P4986-M4986</f>
        <v/>
      </c>
    </row>
    <row r="4987">
      <c r="A4987" s="16" t="inlineStr">
        <is>
          <t>5.8-5.14</t>
        </is>
      </c>
      <c r="B4987" s="16" t="inlineStr">
        <is>
          <t>PO-128-05654469361273641</t>
        </is>
      </c>
      <c r="C4987" s="16" t="inlineStr">
        <is>
          <t>Shipped</t>
        </is>
      </c>
      <c r="D4987" s="16" t="inlineStr">
        <is>
          <t>128-05654507372153641</t>
        </is>
      </c>
      <c r="E4987" s="16" t="inlineStr">
        <is>
          <t>Shipped</t>
        </is>
      </c>
      <c r="F4987" s="16" t="inlineStr">
        <is>
          <t>LB02235-azul</t>
        </is>
      </c>
      <c r="G4987" s="16" t="inlineStr">
        <is>
          <t>Audífonos Inalámbricos para la Cabeza, Recargables y Multifuncionales - Conectan a Varios Dispositivos, soportan Radio FM, Tarjeta TF y AUX - 4 Horas de Reproducción Musical - Ideal para Trabajo Cotidiano, Juegos y Estudio</t>
        </is>
      </c>
      <c r="H4987" s="16" t="inlineStr">
        <is>
          <t>AZUL</t>
        </is>
      </c>
      <c r="I4987" s="16" t="n">
        <v>1</v>
      </c>
      <c r="J4987" s="17" t="n">
        <v>35</v>
      </c>
      <c r="K4987" s="17" t="n">
        <v>48.12</v>
      </c>
      <c r="L4987" s="17" t="n">
        <v>25.86</v>
      </c>
      <c r="M4987" s="17" t="n">
        <v>0</v>
      </c>
      <c r="N4987" s="17">
        <f>K4987*0.08+L4987*0.08</f>
        <v/>
      </c>
      <c r="O4987" s="17">
        <f>-(K4987*0.025+L4987*0.025)</f>
        <v/>
      </c>
      <c r="P4987" s="17">
        <f>32</f>
        <v/>
      </c>
      <c r="Q4987" s="17">
        <f>J4987+L4987+N4987+O4987-P4987-M4987</f>
        <v/>
      </c>
    </row>
    <row r="4988">
      <c r="A4988" s="16" t="inlineStr">
        <is>
          <t>5.8-5.14</t>
        </is>
      </c>
      <c r="B4988" s="16" t="inlineStr">
        <is>
          <t>PO-128-05825596964472621</t>
        </is>
      </c>
      <c r="C4988" s="16" t="inlineStr">
        <is>
          <t>Shipped</t>
        </is>
      </c>
      <c r="D4988" s="16" t="inlineStr">
        <is>
          <t>128-05825638907512621</t>
        </is>
      </c>
      <c r="E4988" s="16" t="inlineStr">
        <is>
          <t>Shipped</t>
        </is>
      </c>
      <c r="F4988" s="16" t="inlineStr">
        <is>
          <t>LV25W22</t>
        </is>
      </c>
      <c r="G49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88" s="16" t="inlineStr">
        <is>
          <t>LV25W32</t>
        </is>
      </c>
      <c r="I4988" s="16" t="n">
        <v>3</v>
      </c>
      <c r="J4988" s="17" t="n">
        <v>216</v>
      </c>
      <c r="K4988" s="17" t="n">
        <v>247.29</v>
      </c>
      <c r="L4988" s="17" t="n">
        <v>25.86</v>
      </c>
      <c r="M4988" s="17" t="n">
        <v>0</v>
      </c>
      <c r="N4988" s="17">
        <f>K4988*0.08+L4988*0.08</f>
        <v/>
      </c>
      <c r="O4988" s="17">
        <f>-(K4988*0.025+L4988*0.025)</f>
        <v/>
      </c>
      <c r="P4988" s="17">
        <f>32</f>
        <v/>
      </c>
      <c r="Q4988" s="17">
        <f>J4988+L4988+N4988+O4988-P4988-M4988</f>
        <v/>
      </c>
    </row>
    <row r="4989">
      <c r="A4989" s="16" t="inlineStr">
        <is>
          <t>5.8-5.14</t>
        </is>
      </c>
      <c r="B4989" s="16" t="inlineStr">
        <is>
          <t>PO-128-05848556431991458</t>
        </is>
      </c>
      <c r="C4989" s="16" t="inlineStr">
        <is>
          <t>Shipped</t>
        </is>
      </c>
      <c r="D4989" s="16" t="inlineStr">
        <is>
          <t>128-05848692746871458</t>
        </is>
      </c>
      <c r="E4989" s="16" t="inlineStr">
        <is>
          <t>Shipped</t>
        </is>
      </c>
      <c r="F4989" s="16" t="inlineStr">
        <is>
          <t>MB-185N</t>
        </is>
      </c>
      <c r="G4989" s="16" t="inlineStr">
        <is>
          <t>Bocina Radio FM/Reproductor, Compatible con Tarjeta TF, USB, Bluetooth, Aplicable para celular, computadora, Ipad y consola.</t>
        </is>
      </c>
      <c r="H4989" s="16" t="inlineStr">
        <is>
          <t>NEGRO/MB-185</t>
        </is>
      </c>
      <c r="I4989" s="16" t="n">
        <v>1</v>
      </c>
      <c r="J4989" s="17" t="n">
        <v>71.31</v>
      </c>
      <c r="K4989" s="17" t="n">
        <v>41.16</v>
      </c>
      <c r="L4989" s="17" t="n">
        <v>25.86</v>
      </c>
      <c r="M4989" s="17" t="n">
        <v>0</v>
      </c>
      <c r="N4989" s="17">
        <f>K4989*0.08+L4989*0.08</f>
        <v/>
      </c>
      <c r="O4989" s="17">
        <f>-(K4989*0.025+L4989*0.025)</f>
        <v/>
      </c>
      <c r="P4989" s="17">
        <f>32</f>
        <v/>
      </c>
      <c r="Q4989" s="17">
        <f>J4989+L4989+N4989+O4989-P4989-M4989</f>
        <v/>
      </c>
    </row>
    <row r="4990">
      <c r="A4990" s="16" t="inlineStr">
        <is>
          <t>5.8-5.14</t>
        </is>
      </c>
      <c r="B4990" s="16" t="inlineStr">
        <is>
          <t>PO-128-05921551739511089</t>
        </is>
      </c>
      <c r="C4990" s="16" t="inlineStr">
        <is>
          <t>Shipped</t>
        </is>
      </c>
      <c r="D4990" s="16" t="inlineStr">
        <is>
          <t>128-05921572711031089</t>
        </is>
      </c>
      <c r="E4990" s="16" t="inlineStr">
        <is>
          <t>Shipped</t>
        </is>
      </c>
      <c r="F4990" s="16" t="inlineStr">
        <is>
          <t>LV64W25</t>
        </is>
      </c>
      <c r="G4990" s="16" t="inlineStr">
        <is>
          <t>Ventilador de Techo LED TIANLAI con 5 Aspas, Control Remoto, 3 Colores Luz, 3 Velocidades, Temporizador, Fácil Instalación, E27 para Baño Cocina Dormitorio Salón</t>
        </is>
      </c>
      <c r="H4990" s="16" t="inlineStr">
        <is>
          <t>LV64W25</t>
        </is>
      </c>
      <c r="I4990" s="16" t="n">
        <v>1</v>
      </c>
      <c r="J4990" s="17" t="n">
        <v>120</v>
      </c>
      <c r="K4990" s="17" t="n">
        <v>163.13</v>
      </c>
      <c r="L4990" s="17" t="n">
        <v>25.86</v>
      </c>
      <c r="M4990" s="17" t="n">
        <v>0</v>
      </c>
      <c r="N4990" s="17">
        <f>K4990*0.08+L4990*0.08</f>
        <v/>
      </c>
      <c r="O4990" s="17">
        <f>-(K4990*0.025+L4990*0.025)</f>
        <v/>
      </c>
      <c r="P4990" s="17">
        <f>32</f>
        <v/>
      </c>
      <c r="Q4990" s="17">
        <f>J4990+L4990+N4990+O4990-P4990-M4990</f>
        <v/>
      </c>
    </row>
    <row r="4991">
      <c r="A4991" s="16" t="inlineStr">
        <is>
          <t>5.8-5.14</t>
        </is>
      </c>
      <c r="B4991" s="16" t="inlineStr">
        <is>
          <t>PO-128-05601055032954086</t>
        </is>
      </c>
      <c r="C4991" s="16" t="inlineStr">
        <is>
          <t>Shipped</t>
        </is>
      </c>
      <c r="D4991" s="16" t="inlineStr">
        <is>
          <t>128-05601034061434086</t>
        </is>
      </c>
      <c r="E4991" s="16" t="inlineStr">
        <is>
          <t>Shipped</t>
        </is>
      </c>
      <c r="F4991" s="16" t="inlineStr">
        <is>
          <t>MB-185N</t>
        </is>
      </c>
      <c r="G4991" s="16" t="inlineStr">
        <is>
          <t>Bocina Radio FM/Reproductor, Compatible con Tarjeta TF, USB, Bluetooth, Aplicable para celular, computadora, Ipad y consola.</t>
        </is>
      </c>
      <c r="H4991" s="16" t="inlineStr">
        <is>
          <t>NEGRO/MB-185</t>
        </is>
      </c>
      <c r="I4991" s="16" t="n">
        <v>2</v>
      </c>
      <c r="J4991" s="17" t="n">
        <v>142.62</v>
      </c>
      <c r="K4991" s="17" t="n">
        <v>168.52</v>
      </c>
      <c r="L4991" s="17" t="n">
        <v>25.86</v>
      </c>
      <c r="M4991" s="17" t="n">
        <v>0</v>
      </c>
      <c r="N4991" s="17">
        <f>K4991*0.08+L4991*0.08</f>
        <v/>
      </c>
      <c r="O4991" s="17">
        <f>-(K4991*0.025+L4991*0.025)</f>
        <v/>
      </c>
      <c r="P4991" s="17">
        <f>32</f>
        <v/>
      </c>
      <c r="Q4991" s="17">
        <f>J4991+L4991+N4991+O4991-P4991-M4991</f>
        <v/>
      </c>
    </row>
    <row r="4992">
      <c r="A4992" s="16" t="inlineStr">
        <is>
          <t>5.8-5.14</t>
        </is>
      </c>
      <c r="B4992" s="16" t="inlineStr">
        <is>
          <t>PO-128-05747719496312125</t>
        </is>
      </c>
      <c r="C4992" s="16" t="inlineStr">
        <is>
          <t>Shipped</t>
        </is>
      </c>
      <c r="D4992" s="16" t="inlineStr">
        <is>
          <t>128-05747729982072125</t>
        </is>
      </c>
      <c r="E4992" s="16" t="inlineStr">
        <is>
          <t>Shipped</t>
        </is>
      </c>
      <c r="F4992" s="16" t="inlineStr">
        <is>
          <t>MCM-001G</t>
        </is>
      </c>
      <c r="G4992" s="16" t="inlineStr">
        <is>
          <t>Musicord Altavoz Inalámbrico BT Portátil: ¡Sonido impactante, luces LED multicolores y 4 horas de autonomía! Compatible con TWS, FM, TF y USB – Imprescindible para fiestas y viajes</t>
        </is>
      </c>
      <c r="H4992" s="16" t="inlineStr">
        <is>
          <t>GRIS</t>
        </is>
      </c>
      <c r="I4992" s="16" t="n">
        <v>1</v>
      </c>
      <c r="J4992" s="17" t="n">
        <v>51</v>
      </c>
      <c r="K4992" s="17" t="n">
        <v>62.29</v>
      </c>
      <c r="L4992" s="17" t="n">
        <v>25.86</v>
      </c>
      <c r="M4992" s="17" t="n">
        <v>0</v>
      </c>
      <c r="N4992" s="17">
        <f>K4992*0.08+L4992*0.08</f>
        <v/>
      </c>
      <c r="O4992" s="17">
        <f>-(K4992*0.025+L4992*0.025)</f>
        <v/>
      </c>
      <c r="P4992" s="17">
        <f>32</f>
        <v/>
      </c>
      <c r="Q4992" s="17">
        <f>J4992+L4992+N4992+O4992-P4992-M4992</f>
        <v/>
      </c>
    </row>
    <row r="4993">
      <c r="A4993" s="16" t="inlineStr">
        <is>
          <t>5.8-5.14</t>
        </is>
      </c>
      <c r="B4993" s="16" t="inlineStr">
        <is>
          <t>PO-128-06068468408950212</t>
        </is>
      </c>
      <c r="C4993" s="16" t="inlineStr">
        <is>
          <t>Shipped</t>
        </is>
      </c>
      <c r="D4993" s="16" t="inlineStr">
        <is>
          <t>128-06068426465910212</t>
        </is>
      </c>
      <c r="E4993" s="16" t="inlineStr">
        <is>
          <t>Shipped</t>
        </is>
      </c>
      <c r="F4993" s="16" t="inlineStr">
        <is>
          <t>KTS-1943-N</t>
        </is>
      </c>
      <c r="G4993"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4993" s="16" t="inlineStr">
        <is>
          <t>NEGRO</t>
        </is>
      </c>
      <c r="I4993" s="16" t="n">
        <v>1</v>
      </c>
      <c r="J4993" s="17" t="n">
        <v>64</v>
      </c>
      <c r="K4993" s="17" t="n">
        <v>79.62</v>
      </c>
      <c r="L4993" s="17" t="n">
        <v>25.86</v>
      </c>
      <c r="M4993" s="17" t="n">
        <v>0</v>
      </c>
      <c r="N4993" s="17">
        <f>K4993*0.08+L4993*0.08</f>
        <v/>
      </c>
      <c r="O4993" s="17">
        <f>-(K4993*0.025+L4993*0.025)</f>
        <v/>
      </c>
      <c r="P4993" s="17">
        <f>32</f>
        <v/>
      </c>
      <c r="Q4993" s="17">
        <f>J4993+L4993+N4993+O4993-P4993-M4993</f>
        <v/>
      </c>
    </row>
    <row r="4994">
      <c r="A4994" s="16" t="inlineStr">
        <is>
          <t>5.8-5.14</t>
        </is>
      </c>
      <c r="B4994" s="16" t="inlineStr">
        <is>
          <t>PO-128-06149022418550693</t>
        </is>
      </c>
      <c r="C4994" s="16" t="inlineStr">
        <is>
          <t>Shipped</t>
        </is>
      </c>
      <c r="D4994" s="16" t="inlineStr">
        <is>
          <t>128-06149182326390693</t>
        </is>
      </c>
      <c r="E4994" s="16" t="inlineStr">
        <is>
          <t>Shipped</t>
        </is>
      </c>
      <c r="F4994" s="16" t="inlineStr">
        <is>
          <t>LV25W22</t>
        </is>
      </c>
      <c r="G499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94" s="16" t="inlineStr">
        <is>
          <t>LV25W32</t>
        </is>
      </c>
      <c r="I4994" s="16" t="n">
        <v>3</v>
      </c>
      <c r="J4994" s="17" t="n">
        <v>216</v>
      </c>
      <c r="K4994" s="17" t="n">
        <v>247.29</v>
      </c>
      <c r="L4994" s="17" t="n">
        <v>25.86</v>
      </c>
      <c r="M4994" s="17" t="n">
        <v>0</v>
      </c>
      <c r="N4994" s="17">
        <f>K4994*0.08+L4994*0.08</f>
        <v/>
      </c>
      <c r="O4994" s="17">
        <f>-(K4994*0.025+L4994*0.025)</f>
        <v/>
      </c>
      <c r="P4994" s="17">
        <f>32</f>
        <v/>
      </c>
      <c r="Q4994" s="17">
        <f>J4994+L4994+N4994+O4994-P4994-M4994</f>
        <v/>
      </c>
    </row>
    <row r="4995">
      <c r="A4995" s="16" t="inlineStr">
        <is>
          <t>5.8-5.14</t>
        </is>
      </c>
      <c r="B4995" s="16" t="inlineStr">
        <is>
          <t>PO-128-05547980165753250</t>
        </is>
      </c>
      <c r="C4995" s="16" t="inlineStr">
        <is>
          <t>Shipped</t>
        </is>
      </c>
      <c r="D4995" s="16" t="inlineStr">
        <is>
          <t>128-05548048323193250</t>
        </is>
      </c>
      <c r="E4995" s="16" t="inlineStr">
        <is>
          <t>Shipped</t>
        </is>
      </c>
      <c r="F4995" s="16" t="inlineStr">
        <is>
          <t>LB02235-rojo</t>
        </is>
      </c>
      <c r="G4995" s="16" t="inlineStr">
        <is>
          <t>Audífonos Inalámbricos para la Cabeza, Recargables y Multifuncionales - Conectan a Varios Dispositivos, soportan Radio FM, Tarjeta TF y AUX - 4 Horas de Reproducción Musical - Ideal para Trabajo Cotidiano, Juegos y Estudio</t>
        </is>
      </c>
      <c r="H4995" s="16" t="inlineStr">
        <is>
          <t>ROJO</t>
        </is>
      </c>
      <c r="I4995" s="16" t="n">
        <v>3</v>
      </c>
      <c r="J4995" s="17" t="n">
        <v>120</v>
      </c>
      <c r="K4995" s="17" t="n">
        <v>52.68</v>
      </c>
      <c r="L4995" s="17" t="n">
        <v>25.86</v>
      </c>
      <c r="M4995" s="17" t="n">
        <v>0</v>
      </c>
      <c r="N4995" s="17">
        <f>K4995*0.08+L4995*0.08</f>
        <v/>
      </c>
      <c r="O4995" s="17">
        <f>-(K4995*0.025+L4995*0.025)</f>
        <v/>
      </c>
      <c r="P4995" s="17">
        <f>32</f>
        <v/>
      </c>
      <c r="Q4995" s="17">
        <f>J4995+L4995+N4995+O4995-P4995-M4995</f>
        <v/>
      </c>
    </row>
    <row r="4996">
      <c r="A4996" s="16" t="inlineStr">
        <is>
          <t>5.8-5.14</t>
        </is>
      </c>
      <c r="B4996" s="16" t="inlineStr">
        <is>
          <t>PO-128-05825661164152621</t>
        </is>
      </c>
      <c r="C4996" s="16" t="inlineStr">
        <is>
          <t>Shipped</t>
        </is>
      </c>
      <c r="D4996" s="16" t="inlineStr">
        <is>
          <t>128-05825716214392621</t>
        </is>
      </c>
      <c r="E4996" s="16" t="inlineStr">
        <is>
          <t>Shipped</t>
        </is>
      </c>
      <c r="F4996" s="16" t="inlineStr">
        <is>
          <t>LV25W22</t>
        </is>
      </c>
      <c r="G49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4996" s="16" t="inlineStr">
        <is>
          <t>LV25W32</t>
        </is>
      </c>
      <c r="I4996" s="16" t="n">
        <v>1</v>
      </c>
      <c r="J4996" s="17" t="n">
        <v>72</v>
      </c>
      <c r="K4996" s="17" t="n">
        <v>82.43000000000001</v>
      </c>
      <c r="L4996" s="17" t="n">
        <v>25.86</v>
      </c>
      <c r="M4996" s="17" t="n">
        <v>0</v>
      </c>
      <c r="N4996" s="17">
        <f>K4996*0.08+L4996*0.08</f>
        <v/>
      </c>
      <c r="O4996" s="17">
        <f>-(K4996*0.025+L4996*0.025)</f>
        <v/>
      </c>
      <c r="P4996" s="17">
        <f>32</f>
        <v/>
      </c>
      <c r="Q4996" s="17">
        <f>J4996+L4996+N4996+O4996-P4996-M4996</f>
        <v/>
      </c>
    </row>
    <row r="4997">
      <c r="A4997" s="16" t="inlineStr">
        <is>
          <t>5.8-5.14</t>
        </is>
      </c>
      <c r="B4997" s="16" t="inlineStr">
        <is>
          <t>PO-128-05660034314873670</t>
        </is>
      </c>
      <c r="C4997" s="16" t="inlineStr">
        <is>
          <t>Shipped</t>
        </is>
      </c>
      <c r="D4997" s="16" t="inlineStr">
        <is>
          <t>128-05659992371833670</t>
        </is>
      </c>
      <c r="E4997" s="16" t="inlineStr">
        <is>
          <t>Shipped</t>
        </is>
      </c>
      <c r="F4997" s="16" t="inlineStr">
        <is>
          <t>LB02235-blanco</t>
        </is>
      </c>
      <c r="G4997" s="16" t="inlineStr">
        <is>
          <t>Audífonos Inalámbricos para la Cabeza, Recargables y Multifuncionales - Conectan a Varios Dispositivos, soportan Radio FM, Tarjeta TF y AUX - 4 Horas de Reproducción Musical - Ideal para Trabajo Cotidiano, Juegos y Estudio</t>
        </is>
      </c>
      <c r="H4997" s="16" t="inlineStr">
        <is>
          <t>BLANCO</t>
        </is>
      </c>
      <c r="I4997" s="16" t="n">
        <v>1</v>
      </c>
      <c r="J4997" s="17" t="n">
        <v>36.5</v>
      </c>
      <c r="K4997" s="17" t="n">
        <v>49.62</v>
      </c>
      <c r="L4997" s="17" t="n">
        <v>25.86</v>
      </c>
      <c r="M4997" s="17" t="n">
        <v>0</v>
      </c>
      <c r="N4997" s="17">
        <f>K4997*0.08+L4997*0.08</f>
        <v/>
      </c>
      <c r="O4997" s="17">
        <f>-(K4997*0.025+L4997*0.025)</f>
        <v/>
      </c>
      <c r="P4997" s="17">
        <f>32</f>
        <v/>
      </c>
      <c r="Q4997" s="17">
        <f>J4997+L4997+N4997+O4997-P4997-M4997</f>
        <v/>
      </c>
    </row>
    <row r="4998">
      <c r="A4998" s="16" t="inlineStr">
        <is>
          <t>5.8-5.14</t>
        </is>
      </c>
      <c r="B4998" s="16" t="inlineStr">
        <is>
          <t>PO-128-05598984095354034</t>
        </is>
      </c>
      <c r="C4998" s="16" t="inlineStr">
        <is>
          <t>Shipped</t>
        </is>
      </c>
      <c r="D4998" s="16" t="inlineStr">
        <is>
          <t>128-05599052252794034</t>
        </is>
      </c>
      <c r="E4998" s="16" t="inlineStr">
        <is>
          <t>Shipped</t>
        </is>
      </c>
      <c r="F4998" s="16" t="inlineStr">
        <is>
          <t>LB02235-negro</t>
        </is>
      </c>
      <c r="G4998" s="16" t="inlineStr">
        <is>
          <t>Audífonos Inalámbricos para la Cabeza, Recargables y Multifuncionales - Conectan a Varios Dispositivos, soportan Radio FM, Tarjeta TF y AUX - 4 Horas de Reproducción Musical - Ideal para Trabajo Cotidiano, Juegos y Estudio</t>
        </is>
      </c>
      <c r="H4998" s="16" t="inlineStr">
        <is>
          <t>NEGRO</t>
        </is>
      </c>
      <c r="I4998" s="16" t="n">
        <v>1</v>
      </c>
      <c r="J4998" s="17" t="n">
        <v>36.5</v>
      </c>
      <c r="K4998" s="17" t="n">
        <v>42.18</v>
      </c>
      <c r="L4998" s="17" t="n">
        <v>25.86</v>
      </c>
      <c r="M4998" s="17" t="n">
        <v>0</v>
      </c>
      <c r="N4998" s="17">
        <f>K4998*0.08+L4998*0.08</f>
        <v/>
      </c>
      <c r="O4998" s="17">
        <f>-(K4998*0.025+L4998*0.025)</f>
        <v/>
      </c>
      <c r="P4998" s="17">
        <f>32</f>
        <v/>
      </c>
      <c r="Q4998" s="17">
        <f>J4998+L4998+N4998+O4998-P4998-M4998</f>
        <v/>
      </c>
    </row>
    <row r="4999">
      <c r="A4999" s="16" t="inlineStr">
        <is>
          <t>5.8-5.14</t>
        </is>
      </c>
      <c r="B4999" s="16" t="inlineStr">
        <is>
          <t>PO-128-05902401198711267</t>
        </is>
      </c>
      <c r="C4999" s="16" t="inlineStr">
        <is>
          <t>Shipped</t>
        </is>
      </c>
      <c r="D4999" s="16" t="inlineStr">
        <is>
          <t>128-05902448384631267</t>
        </is>
      </c>
      <c r="E4999" s="16" t="inlineStr">
        <is>
          <t>Shipped</t>
        </is>
      </c>
      <c r="F4999" s="16" t="inlineStr">
        <is>
          <t>KTS-1678Y</t>
        </is>
      </c>
      <c r="G4999" s="16" t="inlineStr">
        <is>
          <t>Bocina portátil Inalámbrico, de 3 pulgadas, tamaño de bolsillo, 170 g, con asa, compatible con TF, USB y Micro SD, con radio FM y función TWS (True Wireless Stereo), adecuada para relajarse en casa o viajar al aire libre.</t>
        </is>
      </c>
      <c r="H4999" s="16" t="inlineStr">
        <is>
          <t>KTS-1678Y</t>
        </is>
      </c>
      <c r="I4999" s="16" t="n">
        <v>5</v>
      </c>
      <c r="J4999" s="17" t="n">
        <v>188.55</v>
      </c>
      <c r="K4999" s="17" t="n">
        <v>219.65</v>
      </c>
      <c r="L4999" s="17" t="n">
        <v>25.85</v>
      </c>
      <c r="M4999" s="17" t="n">
        <v>0</v>
      </c>
      <c r="N4999" s="17">
        <f>K4999*0.08+L4999*0.08</f>
        <v/>
      </c>
      <c r="O4999" s="17">
        <f>-(K4999*0.025+L4999*0.025)</f>
        <v/>
      </c>
      <c r="P4999" s="17">
        <f>32</f>
        <v/>
      </c>
      <c r="Q4999" s="17">
        <f>J4999+L4999+N4999+O4999-P4999-M4999</f>
        <v/>
      </c>
    </row>
    <row r="5000">
      <c r="A5000" s="16" t="inlineStr">
        <is>
          <t>5.8-5.14</t>
        </is>
      </c>
      <c r="B5000" s="16" t="inlineStr">
        <is>
          <t>PO-128-05777339064952845</t>
        </is>
      </c>
      <c r="C5000" s="16" t="inlineStr">
        <is>
          <t>Shipped</t>
        </is>
      </c>
      <c r="D5000" s="16" t="inlineStr">
        <is>
          <t>128-05777391493752845</t>
        </is>
      </c>
      <c r="E5000" s="16" t="inlineStr">
        <is>
          <t>Shipped</t>
        </is>
      </c>
      <c r="F5000" s="16" t="inlineStr">
        <is>
          <t>LB02235-rojo</t>
        </is>
      </c>
      <c r="G5000" s="16" t="inlineStr">
        <is>
          <t>Audífonos Inalámbricos para la Cabeza, Recargables y Multifuncionales - Conectan a Varios Dispositivos, soportan Radio FM, Tarjeta TF y AUX - 4 Horas de Reproducción Musical - Ideal para Trabajo Cotidiano, Juegos y Estudio</t>
        </is>
      </c>
      <c r="H5000" s="16" t="inlineStr">
        <is>
          <t>ROJO</t>
        </is>
      </c>
      <c r="I5000" s="16" t="n">
        <v>1</v>
      </c>
      <c r="J5000" s="17" t="n">
        <v>40</v>
      </c>
      <c r="K5000" s="17" t="n">
        <v>53.12</v>
      </c>
      <c r="L5000" s="17" t="n">
        <v>25.86</v>
      </c>
      <c r="M5000" s="17" t="n">
        <v>0</v>
      </c>
      <c r="N5000" s="17">
        <f>K5000*0.08+L5000*0.08</f>
        <v/>
      </c>
      <c r="O5000" s="17">
        <f>-(K5000*0.025+L5000*0.025)</f>
        <v/>
      </c>
      <c r="P5000" s="17">
        <f>32</f>
        <v/>
      </c>
      <c r="Q5000" s="17">
        <f>J5000+L5000+N5000+O5000-P5000-M5000</f>
        <v/>
      </c>
    </row>
    <row r="5001">
      <c r="A5001" s="16" t="inlineStr">
        <is>
          <t>5.8-5.14</t>
        </is>
      </c>
      <c r="B5001" s="16" t="inlineStr">
        <is>
          <t>PO-128-05967140306551904</t>
        </is>
      </c>
      <c r="C5001" s="16" t="inlineStr">
        <is>
          <t>Shipped</t>
        </is>
      </c>
      <c r="D5001" s="16" t="inlineStr">
        <is>
          <t>128-05967098363511904</t>
        </is>
      </c>
      <c r="E5001" s="16" t="inlineStr">
        <is>
          <t>Shipped</t>
        </is>
      </c>
      <c r="F5001" s="16" t="inlineStr">
        <is>
          <t>S58W60</t>
        </is>
      </c>
      <c r="G5001"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001" s="16" t="inlineStr">
        <is>
          <t>1 pieza</t>
        </is>
      </c>
      <c r="I5001" s="16" t="n">
        <v>4</v>
      </c>
      <c r="J5001" s="17" t="n">
        <v>228</v>
      </c>
      <c r="K5001" s="17" t="n">
        <v>298.16</v>
      </c>
      <c r="L5001" s="17" t="n">
        <v>0</v>
      </c>
      <c r="M5001" s="17" t="n">
        <v>0</v>
      </c>
      <c r="N5001" s="17">
        <f>K5001*0.08+L5001*0.08</f>
        <v/>
      </c>
      <c r="O5001" s="17">
        <f>-(K5001*0.025+L5001*0.025)</f>
        <v/>
      </c>
      <c r="P5001" s="17">
        <f>32</f>
        <v/>
      </c>
      <c r="Q5001" s="17">
        <f>J5001+L5001+N5001+O5001-P5001-M5001</f>
        <v/>
      </c>
    </row>
    <row r="5002">
      <c r="A5002" s="16" t="inlineStr">
        <is>
          <t>5.8-5.14</t>
        </is>
      </c>
      <c r="B5002" s="16" t="inlineStr">
        <is>
          <t>PO-128-05869288597111337</t>
        </is>
      </c>
      <c r="C5002" s="16" t="inlineStr">
        <is>
          <t>Shipped</t>
        </is>
      </c>
      <c r="D5002" s="16" t="inlineStr">
        <is>
          <t>128-05869309568631337</t>
        </is>
      </c>
      <c r="E5002" s="16" t="inlineStr">
        <is>
          <t>Shipped</t>
        </is>
      </c>
      <c r="F5002" s="16" t="inlineStr">
        <is>
          <t>MB-185N</t>
        </is>
      </c>
      <c r="G5002" s="16" t="inlineStr">
        <is>
          <t>Bocina Radio FM/Reproductor, Compatible con Tarjeta TF, USB, Bluetooth, Aplicable para celular, computadora, Ipad y consola.</t>
        </is>
      </c>
      <c r="H5002" s="16" t="inlineStr">
        <is>
          <t>NEGRO/MB-185</t>
        </is>
      </c>
      <c r="I5002" s="16" t="n">
        <v>1</v>
      </c>
      <c r="J5002" s="17" t="n">
        <v>71.31</v>
      </c>
      <c r="K5002" s="17" t="n">
        <v>71.45999999999999</v>
      </c>
      <c r="L5002" s="17" t="n">
        <v>25.86</v>
      </c>
      <c r="M5002" s="17" t="n">
        <v>0</v>
      </c>
      <c r="N5002" s="17">
        <f>K5002*0.08+L5002*0.08</f>
        <v/>
      </c>
      <c r="O5002" s="17">
        <f>-(K5002*0.025+L5002*0.025)</f>
        <v/>
      </c>
      <c r="P5002" s="17">
        <f>32</f>
        <v/>
      </c>
      <c r="Q5002" s="17">
        <f>J5002+L5002+N5002+O5002-P5002-M5002</f>
        <v/>
      </c>
    </row>
    <row r="5003">
      <c r="A5003" s="16" t="inlineStr">
        <is>
          <t>5.8-5.14</t>
        </is>
      </c>
      <c r="B5003" s="16" t="inlineStr">
        <is>
          <t>PO-128-05971859067511685</t>
        </is>
      </c>
      <c r="C5003" s="16" t="inlineStr">
        <is>
          <t>Shipped</t>
        </is>
      </c>
      <c r="D5003" s="16" t="inlineStr">
        <is>
          <t>128-05971969167991685</t>
        </is>
      </c>
      <c r="E5003" s="16" t="inlineStr">
        <is>
          <t>Shipped</t>
        </is>
      </c>
      <c r="F5003" s="16" t="inlineStr">
        <is>
          <t>KTS-1678Y</t>
        </is>
      </c>
      <c r="G5003" s="16" t="inlineStr">
        <is>
          <t>Bocina portátil Inalámbrico, de 3 pulgadas, tamaño de bolsillo, 170 g, con asa, compatible con TF, USB y Micro SD, con radio FM y función TWS (True Wireless Stereo), adecuada para relajarse en casa o viajar al aire libre.</t>
        </is>
      </c>
      <c r="H5003" s="16" t="inlineStr">
        <is>
          <t>KTS-1678Y</t>
        </is>
      </c>
      <c r="I5003" s="16" t="n">
        <v>2</v>
      </c>
      <c r="J5003" s="17" t="n">
        <v>75.42</v>
      </c>
      <c r="K5003" s="17" t="n">
        <v>87.86</v>
      </c>
      <c r="L5003" s="17" t="n">
        <v>13.76</v>
      </c>
      <c r="M5003" s="17" t="n">
        <v>0</v>
      </c>
      <c r="N5003" s="17">
        <f>K5003*0.08+L5003*0.08</f>
        <v/>
      </c>
      <c r="O5003" s="17">
        <f>-(K5003*0.025+L5003*0.025)</f>
        <v/>
      </c>
      <c r="P5003" s="17">
        <f>32</f>
        <v/>
      </c>
      <c r="Q5003" s="17">
        <f>J5003+L5003+N5003+O5003-P5003-M5003</f>
        <v/>
      </c>
    </row>
    <row r="5004">
      <c r="A5004" s="16" t="inlineStr">
        <is>
          <t>5.8-5.14</t>
        </is>
      </c>
      <c r="B5004" s="16" t="inlineStr">
        <is>
          <t>PO-128-05971859067511685</t>
        </is>
      </c>
      <c r="C5004" s="16" t="inlineStr">
        <is>
          <t>Shipped</t>
        </is>
      </c>
      <c r="D5004" s="16" t="inlineStr">
        <is>
          <t>128-05972011111031685</t>
        </is>
      </c>
      <c r="E5004" s="16" t="inlineStr">
        <is>
          <t>Shipped</t>
        </is>
      </c>
      <c r="F5004" s="16" t="inlineStr">
        <is>
          <t>MCM-001R</t>
        </is>
      </c>
      <c r="G5004" s="16" t="inlineStr">
        <is>
          <t>Musicord Altavoz Inalámbrico BT Portátil: ¡Sonido impactante, luces LED multicolores y 4 horas de autonomía! Compatible con TWS, FM, TF y USB – Imprescindible para fiestas y viajes</t>
        </is>
      </c>
      <c r="H5004" s="16" t="inlineStr">
        <is>
          <t>ROJO</t>
        </is>
      </c>
      <c r="I5004" s="16" t="n">
        <v>1</v>
      </c>
      <c r="J5004" s="17" t="n">
        <v>66</v>
      </c>
      <c r="K5004" s="17" t="n">
        <v>77.29000000000001</v>
      </c>
      <c r="L5004" s="17" t="n">
        <v>12.1</v>
      </c>
      <c r="M5004" s="17" t="n">
        <v>0</v>
      </c>
      <c r="N5004" s="17">
        <f>K5004*0.08+L5004*0.08</f>
        <v/>
      </c>
      <c r="O5004" s="17">
        <f>-(K5004*0.025+L5004*0.025)</f>
        <v/>
      </c>
      <c r="P5004" s="17">
        <f>32</f>
        <v/>
      </c>
      <c r="Q5004" s="17">
        <f>J5004+L5004+N5004+O5004-P5004-M5004</f>
        <v/>
      </c>
    </row>
    <row r="5005">
      <c r="A5005" s="16" t="inlineStr">
        <is>
          <t>5.8-5.14</t>
        </is>
      </c>
      <c r="B5005" s="16" t="inlineStr">
        <is>
          <t>PO-128-06068268452470215</t>
        </is>
      </c>
      <c r="C5005" s="16" t="inlineStr">
        <is>
          <t>Shipped</t>
        </is>
      </c>
      <c r="D5005" s="16" t="inlineStr">
        <is>
          <t>128-06068289423990215</t>
        </is>
      </c>
      <c r="E5005" s="16" t="inlineStr">
        <is>
          <t>Shipped</t>
        </is>
      </c>
      <c r="F5005" s="16" t="inlineStr">
        <is>
          <t>LV25W22</t>
        </is>
      </c>
      <c r="G50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05" s="16" t="inlineStr">
        <is>
          <t>LV25W32</t>
        </is>
      </c>
      <c r="I5005" s="16" t="n">
        <v>1</v>
      </c>
      <c r="J5005" s="17" t="n">
        <v>72</v>
      </c>
      <c r="K5005" s="17" t="n">
        <v>82.43000000000001</v>
      </c>
      <c r="L5005" s="17" t="n">
        <v>25.86</v>
      </c>
      <c r="M5005" s="17" t="n">
        <v>0</v>
      </c>
      <c r="N5005" s="17">
        <f>K5005*0.08+L5005*0.08</f>
        <v/>
      </c>
      <c r="O5005" s="17">
        <f>-(K5005*0.025+L5005*0.025)</f>
        <v/>
      </c>
      <c r="P5005" s="17">
        <f>32</f>
        <v/>
      </c>
      <c r="Q5005" s="17">
        <f>J5005+L5005+N5005+O5005-P5005-M5005</f>
        <v/>
      </c>
    </row>
    <row r="5006">
      <c r="A5006" s="16" t="inlineStr">
        <is>
          <t>5.8-5.14</t>
        </is>
      </c>
      <c r="B5006" s="16" t="inlineStr">
        <is>
          <t>PO-128-05525975757433383</t>
        </is>
      </c>
      <c r="C5006" s="16" t="inlineStr">
        <is>
          <t>Shipped</t>
        </is>
      </c>
      <c r="D5006" s="16" t="inlineStr">
        <is>
          <t>128-05526017700473383</t>
        </is>
      </c>
      <c r="E5006" s="16" t="inlineStr">
        <is>
          <t>Shipped</t>
        </is>
      </c>
      <c r="F5006" s="16" t="inlineStr">
        <is>
          <t>FA028</t>
        </is>
      </c>
      <c r="G5006" s="16" t="inlineStr">
        <is>
          <t>Extractor de agua para garrafas de agua, compatible con carga USB, extractor de agua automático, práctico, con dos modos de toma de agua: manual y programado, ideal para dormitorios, salones, oficinas, uso al aire libre y otros escenarios.</t>
        </is>
      </c>
      <c r="H5006" s="16" t="inlineStr">
        <is>
          <t>FA028</t>
        </is>
      </c>
      <c r="I5006" s="16" t="n">
        <v>1</v>
      </c>
      <c r="J5006" s="17" t="n">
        <v>29.5</v>
      </c>
      <c r="K5006" s="17" t="n">
        <v>31.28</v>
      </c>
      <c r="L5006" s="17" t="n">
        <v>25.86</v>
      </c>
      <c r="M5006" s="17" t="n">
        <v>0</v>
      </c>
      <c r="N5006" s="17">
        <f>K5006*0.08+L5006*0.08</f>
        <v/>
      </c>
      <c r="O5006" s="17">
        <f>-(K5006*0.025+L5006*0.025)</f>
        <v/>
      </c>
      <c r="P5006" s="17">
        <f>32</f>
        <v/>
      </c>
      <c r="Q5006" s="17">
        <f>J5006+L5006+N5006+O5006-P5006-M5006</f>
        <v/>
      </c>
    </row>
    <row r="5007">
      <c r="A5007" s="16" t="inlineStr">
        <is>
          <t>5.8-5.14</t>
        </is>
      </c>
      <c r="B5007" s="16" t="inlineStr">
        <is>
          <t>PO-128-05743857398392082</t>
        </is>
      </c>
      <c r="C5007" s="16" t="inlineStr">
        <is>
          <t>Shipped</t>
        </is>
      </c>
      <c r="D5007" s="16" t="inlineStr">
        <is>
          <t>128-05743904584312082</t>
        </is>
      </c>
      <c r="E5007" s="16" t="inlineStr">
        <is>
          <t>Shipped</t>
        </is>
      </c>
      <c r="F5007" s="16" t="inlineStr">
        <is>
          <t>SA323T</t>
        </is>
      </c>
      <c r="G5007" s="16" t="inlineStr">
        <is>
          <t>Linkbits Bocina Portátil Parlantes BT Portátiles con Iluminación de Ambiente | 1 Hora de Duración, FM, TWS, TF/Micro SD | Ideal para Hogar, Fiestas y Viajes</t>
        </is>
      </c>
      <c r="H5007" s="16" t="inlineStr">
        <is>
          <t>SA323T</t>
        </is>
      </c>
      <c r="I5007" s="16" t="n">
        <v>1</v>
      </c>
      <c r="J5007" s="17" t="n">
        <v>45</v>
      </c>
      <c r="K5007" s="17" t="n">
        <v>54.07</v>
      </c>
      <c r="L5007" s="17" t="n">
        <v>25.86</v>
      </c>
      <c r="M5007" s="17" t="n">
        <v>0</v>
      </c>
      <c r="N5007" s="17">
        <f>K5007*0.08+L5007*0.08</f>
        <v/>
      </c>
      <c r="O5007" s="17">
        <f>-(K5007*0.025+L5007*0.025)</f>
        <v/>
      </c>
      <c r="P5007" s="17">
        <f>32</f>
        <v/>
      </c>
      <c r="Q5007" s="17">
        <f>J5007+L5007+N5007+O5007-P5007-M5007</f>
        <v/>
      </c>
    </row>
    <row r="5008">
      <c r="A5008" s="16" t="inlineStr">
        <is>
          <t>5.8-5.14</t>
        </is>
      </c>
      <c r="B5008" s="16" t="inlineStr">
        <is>
          <t>PO-128-05793213911672940</t>
        </is>
      </c>
      <c r="C5008" s="16" t="inlineStr">
        <is>
          <t>Shipped</t>
        </is>
      </c>
      <c r="D5008" s="16" t="inlineStr">
        <is>
          <t>128-05793318769272940</t>
        </is>
      </c>
      <c r="E5008" s="16" t="inlineStr">
        <is>
          <t>Shipped</t>
        </is>
      </c>
      <c r="F5008" s="16" t="inlineStr">
        <is>
          <t>LB02235-negro</t>
        </is>
      </c>
      <c r="G5008" s="16" t="inlineStr">
        <is>
          <t>Audífonos Inalámbricos para la Cabeza, Recargables y Multifuncionales - Conectan a Varios Dispositivos, soportan Radio FM, Tarjeta TF y AUX - 4 Horas de Reproducción Musical - Ideal para Trabajo Cotidiano, Juegos y Estudio</t>
        </is>
      </c>
      <c r="H5008" s="16" t="inlineStr">
        <is>
          <t>NEGRO</t>
        </is>
      </c>
      <c r="I5008" s="16" t="n">
        <v>1</v>
      </c>
      <c r="J5008" s="17" t="n">
        <v>36.5</v>
      </c>
      <c r="K5008" s="17" t="n">
        <v>6.52</v>
      </c>
      <c r="L5008" s="17" t="n">
        <v>25.86</v>
      </c>
      <c r="M5008" s="17" t="n">
        <v>0</v>
      </c>
      <c r="N5008" s="17">
        <f>K5008*0.08+L5008*0.08</f>
        <v/>
      </c>
      <c r="O5008" s="17">
        <f>-(K5008*0.025+L5008*0.025)</f>
        <v/>
      </c>
      <c r="P5008" s="17">
        <f>32</f>
        <v/>
      </c>
      <c r="Q5008" s="17">
        <f>J5008+L5008+N5008+O5008-P5008-M5008</f>
        <v/>
      </c>
    </row>
    <row r="5009">
      <c r="A5009" s="16" t="inlineStr">
        <is>
          <t>5.8-5.14</t>
        </is>
      </c>
      <c r="B5009" s="16" t="inlineStr">
        <is>
          <t>PO-128-05839982367352663</t>
        </is>
      </c>
      <c r="C5009" s="16" t="inlineStr">
        <is>
          <t>Shipped</t>
        </is>
      </c>
      <c r="D5009" s="16" t="inlineStr">
        <is>
          <t>128-05840148173432663</t>
        </is>
      </c>
      <c r="E5009" s="16" t="inlineStr">
        <is>
          <t>Shipped</t>
        </is>
      </c>
      <c r="F5009" s="16" t="inlineStr">
        <is>
          <t>MB-178-B</t>
        </is>
      </c>
      <c r="G5009" s="16" t="inlineStr">
        <is>
          <t>Bocina de Barra Bluetooth LINK BITS con dos altavoces, sonido de alta calidad y multifuncional (Bluetooth, Radio FM, USB, TF, AUX, TWS), ideal para juegos, reuniones, oficina y cine en casa.</t>
        </is>
      </c>
      <c r="H5009" s="16" t="inlineStr">
        <is>
          <t>BLANCO</t>
        </is>
      </c>
      <c r="I5009" s="16" t="n">
        <v>1</v>
      </c>
      <c r="J5009" s="17" t="n">
        <v>119</v>
      </c>
      <c r="K5009" s="17" t="n">
        <v>145.28</v>
      </c>
      <c r="L5009" s="17" t="n">
        <v>25.86</v>
      </c>
      <c r="M5009" s="17" t="n">
        <v>0</v>
      </c>
      <c r="N5009" s="17">
        <f>K5009*0.08+L5009*0.08</f>
        <v/>
      </c>
      <c r="O5009" s="17">
        <f>-(K5009*0.025+L5009*0.025)</f>
        <v/>
      </c>
      <c r="P5009" s="17">
        <f>32</f>
        <v/>
      </c>
      <c r="Q5009" s="17">
        <f>J5009+L5009+N5009+O5009-P5009-M5009</f>
        <v/>
      </c>
    </row>
    <row r="5010">
      <c r="A5010" s="16" t="inlineStr">
        <is>
          <t>5.8-5.14</t>
        </is>
      </c>
      <c r="B5010" s="16" t="inlineStr">
        <is>
          <t>PO-128-06060863652470131</t>
        </is>
      </c>
      <c r="C5010" s="16" t="inlineStr">
        <is>
          <t>Shipped</t>
        </is>
      </c>
      <c r="D5010" s="16" t="inlineStr">
        <is>
          <t>128-06060916081270131</t>
        </is>
      </c>
      <c r="E5010" s="16" t="inlineStr">
        <is>
          <t>Shipped</t>
        </is>
      </c>
      <c r="F5010" s="16" t="inlineStr">
        <is>
          <t>MB-178-N</t>
        </is>
      </c>
      <c r="G5010" s="16" t="inlineStr">
        <is>
          <t>Bocina de Barra Bluetooth LINK BITS con dos altavoces, sonido de alta calidad y multifuncional (Bluetooth, Radio FM, USB, TF, AUX, TWS), ideal para juegos, reuniones, oficina y cine en casa.</t>
        </is>
      </c>
      <c r="H5010" s="16" t="inlineStr">
        <is>
          <t>NEGRO</t>
        </is>
      </c>
      <c r="I5010" s="16" t="n">
        <v>1</v>
      </c>
      <c r="J5010" s="17" t="n">
        <v>119</v>
      </c>
      <c r="K5010" s="17" t="n">
        <v>111.27</v>
      </c>
      <c r="L5010" s="17" t="n">
        <v>25.86</v>
      </c>
      <c r="M5010" s="17" t="n">
        <v>0</v>
      </c>
      <c r="N5010" s="17">
        <f>K5010*0.08+L5010*0.08</f>
        <v/>
      </c>
      <c r="O5010" s="17">
        <f>-(K5010*0.025+L5010*0.025)</f>
        <v/>
      </c>
      <c r="P5010" s="17">
        <f>32</f>
        <v/>
      </c>
      <c r="Q5010" s="17">
        <f>J5010+L5010+N5010+O5010-P5010-M5010</f>
        <v/>
      </c>
    </row>
    <row r="5011">
      <c r="A5011" s="16" t="inlineStr">
        <is>
          <t>5.8-5.14</t>
        </is>
      </c>
      <c r="B5011" s="16" t="inlineStr">
        <is>
          <t>PO-128-06177893765750585</t>
        </is>
      </c>
      <c r="C5011" s="16" t="inlineStr">
        <is>
          <t>Shipped</t>
        </is>
      </c>
      <c r="D5011" s="16" t="inlineStr">
        <is>
          <t>128-06177883279990585</t>
        </is>
      </c>
      <c r="E5011" s="16" t="inlineStr">
        <is>
          <t>Shipped</t>
        </is>
      </c>
      <c r="F5011" s="16" t="inlineStr">
        <is>
          <t>LB02235-rojo</t>
        </is>
      </c>
      <c r="G5011" s="16" t="inlineStr">
        <is>
          <t>Audífonos Inalámbricos para la Cabeza, Recargables y Multifuncionales - Conectan a Varios Dispositivos, soportan Radio FM, Tarjeta TF y AUX - 4 Horas de Reproducción Musical - Ideal para Trabajo Cotidiano, Juegos y Estudio</t>
        </is>
      </c>
      <c r="H5011" s="16" t="inlineStr">
        <is>
          <t>ROJO</t>
        </is>
      </c>
      <c r="I5011" s="16" t="n">
        <v>5</v>
      </c>
      <c r="J5011" s="17" t="n">
        <v>210</v>
      </c>
      <c r="K5011" s="17" t="n">
        <v>247.32</v>
      </c>
      <c r="L5011" s="17" t="n">
        <v>0</v>
      </c>
      <c r="M5011" s="17" t="n">
        <v>0</v>
      </c>
      <c r="N5011" s="17">
        <f>K5011*0.08+L5011*0.08</f>
        <v/>
      </c>
      <c r="O5011" s="17">
        <f>-(K5011*0.025+L5011*0.025)</f>
        <v/>
      </c>
      <c r="P5011" s="17">
        <f>32</f>
        <v/>
      </c>
      <c r="Q5011" s="17">
        <f>J5011+L5011+N5011+O5011-P5011-M5011</f>
        <v/>
      </c>
    </row>
    <row r="5012">
      <c r="A5012" s="16" t="inlineStr">
        <is>
          <t>5.8-5.14</t>
        </is>
      </c>
      <c r="B5012" s="16" t="inlineStr">
        <is>
          <t>PO-128-05898825472631225</t>
        </is>
      </c>
      <c r="C5012" s="16" t="inlineStr">
        <is>
          <t>Shipped</t>
        </is>
      </c>
      <c r="D5012" s="16" t="inlineStr">
        <is>
          <t>128-05898773043831225</t>
        </is>
      </c>
      <c r="E5012" s="16" t="inlineStr">
        <is>
          <t>Shipped</t>
        </is>
      </c>
      <c r="F5012" s="16" t="inlineStr">
        <is>
          <t>S39W48</t>
        </is>
      </c>
      <c r="G501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5012" s="16" t="inlineStr">
        <is>
          <t>1 pieza</t>
        </is>
      </c>
      <c r="I5012" s="16" t="n">
        <v>2</v>
      </c>
      <c r="J5012" s="17" t="n">
        <v>70</v>
      </c>
      <c r="K5012" s="17" t="n">
        <v>44.32</v>
      </c>
      <c r="L5012" s="17" t="n">
        <v>25.86</v>
      </c>
      <c r="M5012" s="17" t="n">
        <v>0</v>
      </c>
      <c r="N5012" s="17">
        <f>K5012*0.08+L5012*0.08</f>
        <v/>
      </c>
      <c r="O5012" s="17">
        <f>-(K5012*0.025+L5012*0.025)</f>
        <v/>
      </c>
      <c r="P5012" s="17">
        <f>32</f>
        <v/>
      </c>
      <c r="Q5012" s="17">
        <f>J5012+L5012+N5012+O5012-P5012-M5012</f>
        <v/>
      </c>
    </row>
    <row r="5013">
      <c r="A5013" s="16" t="inlineStr">
        <is>
          <t>5.8-5.14</t>
        </is>
      </c>
      <c r="B5013" s="16" t="inlineStr">
        <is>
          <t>PO-128-05991824650871564</t>
        </is>
      </c>
      <c r="C5013" s="16" t="inlineStr">
        <is>
          <t>Shipped</t>
        </is>
      </c>
      <c r="D5013" s="16" t="inlineStr">
        <is>
          <t>128-05991976694391564</t>
        </is>
      </c>
      <c r="E5013" s="16" t="inlineStr">
        <is>
          <t>Shipped</t>
        </is>
      </c>
      <c r="F5013" s="16" t="inlineStr">
        <is>
          <t>MB-178-N</t>
        </is>
      </c>
      <c r="G5013" s="16" t="inlineStr">
        <is>
          <t>Bocina de Barra Bluetooth LINK BITS con dos altavoces, sonido de alta calidad y multifuncional (Bluetooth, Radio FM, USB, TF, AUX, TWS), ideal para juegos, reuniones, oficina y cine en casa.</t>
        </is>
      </c>
      <c r="H5013" s="16" t="inlineStr">
        <is>
          <t>NEGRO</t>
        </is>
      </c>
      <c r="I5013" s="16" t="n">
        <v>1</v>
      </c>
      <c r="J5013" s="17" t="n">
        <v>119</v>
      </c>
      <c r="K5013" s="17" t="n">
        <v>112.48</v>
      </c>
      <c r="L5013" s="17" t="n">
        <v>25.86</v>
      </c>
      <c r="M5013" s="17" t="n">
        <v>0</v>
      </c>
      <c r="N5013" s="17">
        <f>K5013*0.08+L5013*0.08</f>
        <v/>
      </c>
      <c r="O5013" s="17">
        <f>-(K5013*0.025+L5013*0.025)</f>
        <v/>
      </c>
      <c r="P5013" s="17">
        <f>32</f>
        <v/>
      </c>
      <c r="Q5013" s="17">
        <f>J5013+L5013+N5013+O5013-P5013-M5013</f>
        <v/>
      </c>
    </row>
    <row r="5014">
      <c r="A5014" s="16" t="inlineStr">
        <is>
          <t>5.8-5.14</t>
        </is>
      </c>
      <c r="B5014" s="16" t="inlineStr">
        <is>
          <t>PO-128-05706226575992373</t>
        </is>
      </c>
      <c r="C5014" s="16" t="inlineStr">
        <is>
          <t>Shipped</t>
        </is>
      </c>
      <c r="D5014" s="16" t="inlineStr">
        <is>
          <t>128-05706184632952373</t>
        </is>
      </c>
      <c r="E5014" s="16" t="inlineStr">
        <is>
          <t>Shipped</t>
        </is>
      </c>
      <c r="F5014" s="16" t="inlineStr">
        <is>
          <t>LV25W22</t>
        </is>
      </c>
      <c r="G501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14" s="16" t="inlineStr">
        <is>
          <t>LV25W32</t>
        </is>
      </c>
      <c r="I5014" s="16" t="n">
        <v>1</v>
      </c>
      <c r="J5014" s="17" t="n">
        <v>72</v>
      </c>
      <c r="K5014" s="17" t="n">
        <v>82.43000000000001</v>
      </c>
      <c r="L5014" s="17" t="n">
        <v>25.86</v>
      </c>
      <c r="M5014" s="17" t="n">
        <v>0</v>
      </c>
      <c r="N5014" s="17">
        <f>K5014*0.08+L5014*0.08</f>
        <v/>
      </c>
      <c r="O5014" s="17">
        <f>-(K5014*0.025+L5014*0.025)</f>
        <v/>
      </c>
      <c r="P5014" s="17">
        <f>32</f>
        <v/>
      </c>
      <c r="Q5014" s="17">
        <f>J5014+L5014+N5014+O5014-P5014-M5014</f>
        <v/>
      </c>
    </row>
    <row r="5015">
      <c r="A5015" s="16" t="inlineStr">
        <is>
          <t>5.8-5.14</t>
        </is>
      </c>
      <c r="B5015" s="16" t="inlineStr">
        <is>
          <t>PO-128-05826484593272614</t>
        </is>
      </c>
      <c r="C5015" s="16" t="inlineStr">
        <is>
          <t>Shipped</t>
        </is>
      </c>
      <c r="D5015" s="16" t="inlineStr">
        <is>
          <t>128-05826552750712614</t>
        </is>
      </c>
      <c r="E5015" s="16" t="inlineStr">
        <is>
          <t>Shipped</t>
        </is>
      </c>
      <c r="F5015" s="16" t="inlineStr">
        <is>
          <t>SA325T</t>
        </is>
      </c>
      <c r="G5015" s="16" t="inlineStr">
        <is>
          <t>Subwoofer Portátil Inalámbrico con Luces RGB, Sonido de Alta Potencia y Batería Duradera, TWS TF USB, Perfecto para Campamento Fiestas y Entretenimiento en Casa</t>
        </is>
      </c>
      <c r="H5015" s="16" t="inlineStr">
        <is>
          <t>NEGRO</t>
        </is>
      </c>
      <c r="I5015" s="16" t="n">
        <v>1</v>
      </c>
      <c r="J5015" s="17" t="n">
        <v>36</v>
      </c>
      <c r="K5015" s="17" t="n">
        <v>31.54</v>
      </c>
      <c r="L5015" s="17" t="n">
        <v>12.59</v>
      </c>
      <c r="M5015" s="17" t="n">
        <v>0</v>
      </c>
      <c r="N5015" s="17">
        <f>K5015*0.08+L5015*0.08</f>
        <v/>
      </c>
      <c r="O5015" s="17">
        <f>-(K5015*0.025+L5015*0.025)</f>
        <v/>
      </c>
      <c r="P5015" s="17">
        <f>32</f>
        <v/>
      </c>
      <c r="Q5015" s="17">
        <f>J5015+L5015+N5015+O5015-P5015-M5015</f>
        <v/>
      </c>
    </row>
    <row r="5016">
      <c r="A5016" s="16" t="inlineStr">
        <is>
          <t>5.8-5.14</t>
        </is>
      </c>
      <c r="B5016" s="16" t="inlineStr">
        <is>
          <t>PO-128-05826484593272614</t>
        </is>
      </c>
      <c r="C5016" s="16" t="inlineStr">
        <is>
          <t>Shipped</t>
        </is>
      </c>
      <c r="D5016" s="16" t="inlineStr">
        <is>
          <t>128-05826468864632614</t>
        </is>
      </c>
      <c r="E5016" s="16" t="inlineStr">
        <is>
          <t>Shipped</t>
        </is>
      </c>
      <c r="F5016" s="16" t="inlineStr">
        <is>
          <t>VA396T</t>
        </is>
      </c>
      <c r="G5016"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5016" s="16" t="inlineStr">
        <is>
          <t>VA396T</t>
        </is>
      </c>
      <c r="I5016" s="16" t="n">
        <v>1</v>
      </c>
      <c r="J5016" s="17" t="n">
        <v>39</v>
      </c>
      <c r="K5016" s="17" t="n">
        <v>33.22</v>
      </c>
      <c r="L5016" s="17" t="n">
        <v>13.27</v>
      </c>
      <c r="M5016" s="17" t="n">
        <v>0</v>
      </c>
      <c r="N5016" s="17">
        <f>K5016*0.08+L5016*0.08</f>
        <v/>
      </c>
      <c r="O5016" s="17">
        <f>-(K5016*0.025+L5016*0.025)</f>
        <v/>
      </c>
      <c r="P5016" s="17">
        <f>32</f>
        <v/>
      </c>
      <c r="Q5016" s="17">
        <f>J5016+L5016+N5016+O5016-P5016-M5016</f>
        <v/>
      </c>
    </row>
    <row r="5017">
      <c r="A5017" s="16" t="inlineStr">
        <is>
          <t>5.8-5.14</t>
        </is>
      </c>
      <c r="B5017" s="16" t="inlineStr">
        <is>
          <t>PO-128-05871555687031323</t>
        </is>
      </c>
      <c r="C5017" s="16" t="inlineStr">
        <is>
          <t>Shipped</t>
        </is>
      </c>
      <c r="D5017" s="16" t="inlineStr">
        <is>
          <t>128-05871576658551323</t>
        </is>
      </c>
      <c r="E5017" s="16" t="inlineStr">
        <is>
          <t>Shipped</t>
        </is>
      </c>
      <c r="F5017" s="16" t="inlineStr">
        <is>
          <t>LB02235-negro</t>
        </is>
      </c>
      <c r="G5017" s="16" t="inlineStr">
        <is>
          <t>Audífonos Inalámbricos para la Cabeza, Recargables y Multifuncionales - Conectan a Varios Dispositivos, soportan Radio FM, Tarjeta TF y AUX - 4 Horas de Reproducción Musical - Ideal para Trabajo Cotidiano, Juegos y Estudio</t>
        </is>
      </c>
      <c r="H5017" s="16" t="inlineStr">
        <is>
          <t>NEGRO</t>
        </is>
      </c>
      <c r="I5017" s="16" t="n">
        <v>1</v>
      </c>
      <c r="J5017" s="17" t="n">
        <v>37.71</v>
      </c>
      <c r="K5017" s="17" t="n">
        <v>32.62</v>
      </c>
      <c r="L5017" s="17" t="n">
        <v>25.86</v>
      </c>
      <c r="M5017" s="17" t="n">
        <v>0</v>
      </c>
      <c r="N5017" s="17">
        <f>K5017*0.08+L5017*0.08</f>
        <v/>
      </c>
      <c r="O5017" s="17">
        <f>-(K5017*0.025+L5017*0.025)</f>
        <v/>
      </c>
      <c r="P5017" s="17">
        <f>32</f>
        <v/>
      </c>
      <c r="Q5017" s="17">
        <f>J5017+L5017+N5017+O5017-P5017-M5017</f>
        <v/>
      </c>
    </row>
    <row r="5018">
      <c r="A5018" s="16" t="inlineStr">
        <is>
          <t>5.8-5.14</t>
        </is>
      </c>
      <c r="B5018" s="16" t="inlineStr">
        <is>
          <t>PO-128-05538679214713435</t>
        </is>
      </c>
      <c r="C5018" s="16" t="inlineStr">
        <is>
          <t>Shipped</t>
        </is>
      </c>
      <c r="D5018" s="16" t="inlineStr">
        <is>
          <t>128-05538689700473435</t>
        </is>
      </c>
      <c r="E5018" s="16" t="inlineStr">
        <is>
          <t>Shipped</t>
        </is>
      </c>
      <c r="F5018" s="16" t="inlineStr">
        <is>
          <t>LV25W22</t>
        </is>
      </c>
      <c r="G50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18" s="16" t="inlineStr">
        <is>
          <t>LV25W32</t>
        </is>
      </c>
      <c r="I5018" s="16" t="n">
        <v>1</v>
      </c>
      <c r="J5018" s="17" t="n">
        <v>97</v>
      </c>
      <c r="K5018" s="17" t="n">
        <v>88.76000000000001</v>
      </c>
      <c r="L5018" s="17" t="n">
        <v>25.86</v>
      </c>
      <c r="M5018" s="17" t="n">
        <v>0</v>
      </c>
      <c r="N5018" s="17">
        <f>K5018*0.08+L5018*0.08</f>
        <v/>
      </c>
      <c r="O5018" s="17">
        <f>-(K5018*0.025+L5018*0.025)</f>
        <v/>
      </c>
      <c r="P5018" s="17">
        <f>32</f>
        <v/>
      </c>
      <c r="Q5018" s="17">
        <f>J5018+L5018+N5018+O5018-P5018-M5018</f>
        <v/>
      </c>
    </row>
    <row r="5019">
      <c r="A5019" s="16" t="inlineStr">
        <is>
          <t>5.8-5.14</t>
        </is>
      </c>
      <c r="B5019" s="16" t="inlineStr">
        <is>
          <t>PO-128-05700300145272342</t>
        </is>
      </c>
      <c r="C5019" s="16" t="inlineStr">
        <is>
          <t>Shipped</t>
        </is>
      </c>
      <c r="D5019" s="16" t="inlineStr">
        <is>
          <t>128-05700342088312342</t>
        </is>
      </c>
      <c r="E5019" s="16" t="inlineStr">
        <is>
          <t>Shipped</t>
        </is>
      </c>
      <c r="F5019" s="16" t="inlineStr">
        <is>
          <t>LB02235-rojo</t>
        </is>
      </c>
      <c r="G5019" s="16" t="inlineStr">
        <is>
          <t>Audífonos Inalámbricos para la Cabeza, Recargables y Multifuncionales - Conectan a Varios Dispositivos, soportan Radio FM, Tarjeta TF y AUX - 4 Horas de Reproducción Musical - Ideal para Trabajo Cotidiano, Juegos y Estudio</t>
        </is>
      </c>
      <c r="H5019" s="16" t="inlineStr">
        <is>
          <t>ROJO</t>
        </is>
      </c>
      <c r="I5019" s="16" t="n">
        <v>1</v>
      </c>
      <c r="J5019" s="17" t="n">
        <v>36.8</v>
      </c>
      <c r="K5019" s="17" t="n">
        <v>49.91</v>
      </c>
      <c r="L5019" s="17" t="n">
        <v>25.86</v>
      </c>
      <c r="M5019" s="17" t="n">
        <v>0</v>
      </c>
      <c r="N5019" s="17">
        <f>K5019*0.08+L5019*0.08</f>
        <v/>
      </c>
      <c r="O5019" s="17">
        <f>-(K5019*0.025+L5019*0.025)</f>
        <v/>
      </c>
      <c r="P5019" s="17">
        <f>32</f>
        <v/>
      </c>
      <c r="Q5019" s="17">
        <f>J5019+L5019+N5019+O5019-P5019-M5019</f>
        <v/>
      </c>
    </row>
    <row r="5020">
      <c r="A5020" s="16" t="inlineStr">
        <is>
          <t>5.8-5.14</t>
        </is>
      </c>
      <c r="B5020" s="16" t="inlineStr">
        <is>
          <t>PO-128-05691335527032333</t>
        </is>
      </c>
      <c r="C5020" s="16" t="inlineStr">
        <is>
          <t>Shipped</t>
        </is>
      </c>
      <c r="D5020" s="16" t="inlineStr">
        <is>
          <t>128-05691418430072333</t>
        </is>
      </c>
      <c r="E5020" s="16" t="inlineStr">
        <is>
          <t>Shipped</t>
        </is>
      </c>
      <c r="F5020" s="16" t="inlineStr">
        <is>
          <t>SA8056T</t>
        </is>
      </c>
      <c r="G5020"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020" s="16" t="inlineStr">
        <is>
          <t>SA8056T</t>
        </is>
      </c>
      <c r="I5020" s="16" t="n">
        <v>1</v>
      </c>
      <c r="J5020" s="17" t="n">
        <v>140</v>
      </c>
      <c r="K5020" s="17" t="n">
        <v>136.35</v>
      </c>
      <c r="L5020" s="17" t="n">
        <v>25.86</v>
      </c>
      <c r="M5020" s="17" t="n">
        <v>0</v>
      </c>
      <c r="N5020" s="17">
        <f>K5020*0.08+L5020*0.08</f>
        <v/>
      </c>
      <c r="O5020" s="17">
        <f>-(K5020*0.025+L5020*0.025)</f>
        <v/>
      </c>
      <c r="P5020" s="17">
        <f>32</f>
        <v/>
      </c>
      <c r="Q5020" s="17">
        <f>J5020+L5020+N5020+O5020-P5020-M5020</f>
        <v/>
      </c>
    </row>
    <row r="5021">
      <c r="A5021" s="16" t="inlineStr">
        <is>
          <t>5.8-5.14</t>
        </is>
      </c>
      <c r="B5021" s="16" t="inlineStr">
        <is>
          <t>PO-128-05511294567033535</t>
        </is>
      </c>
      <c r="C5021" s="16" t="inlineStr">
        <is>
          <t>Shipped</t>
        </is>
      </c>
      <c r="D5021" s="16" t="inlineStr">
        <is>
          <t>128-05511273595513535</t>
        </is>
      </c>
      <c r="E5021" s="16" t="inlineStr">
        <is>
          <t>Shipped</t>
        </is>
      </c>
      <c r="F5021" s="16" t="inlineStr">
        <is>
          <t>LB02235-rojo</t>
        </is>
      </c>
      <c r="G5021" s="16" t="inlineStr">
        <is>
          <t>Audífonos Inalámbricos para la Cabeza, Recargables y Multifuncionales - Conectan a Varios Dispositivos, soportan Radio FM, Tarjeta TF y AUX - 4 Horas de Reproducción Musical - Ideal para Trabajo Cotidiano, Juegos y Estudio</t>
        </is>
      </c>
      <c r="H5021" s="16" t="inlineStr">
        <is>
          <t>ROJO</t>
        </is>
      </c>
      <c r="I5021" s="16" t="n">
        <v>1</v>
      </c>
      <c r="J5021" s="17" t="n">
        <v>36.8</v>
      </c>
      <c r="K5021" s="17" t="n">
        <v>49.91</v>
      </c>
      <c r="L5021" s="17" t="n">
        <v>25.86</v>
      </c>
      <c r="M5021" s="17" t="n">
        <v>0</v>
      </c>
      <c r="N5021" s="17">
        <f>K5021*0.08+L5021*0.08</f>
        <v/>
      </c>
      <c r="O5021" s="17">
        <f>-(K5021*0.025+L5021*0.025)</f>
        <v/>
      </c>
      <c r="P5021" s="17">
        <f>32</f>
        <v/>
      </c>
      <c r="Q5021" s="17">
        <f>J5021+L5021+N5021+O5021-P5021-M5021</f>
        <v/>
      </c>
    </row>
    <row r="5022">
      <c r="A5022" s="16" t="inlineStr">
        <is>
          <t>5.8-5.14</t>
        </is>
      </c>
      <c r="B5022" s="16" t="inlineStr">
        <is>
          <t>PO-128-05676874404472482</t>
        </is>
      </c>
      <c r="C5022" s="16" t="inlineStr">
        <is>
          <t>Shipped</t>
        </is>
      </c>
      <c r="D5022" s="16" t="inlineStr">
        <is>
          <t>128-05676832461432482</t>
        </is>
      </c>
      <c r="E5022" s="16" t="inlineStr">
        <is>
          <t>Shipped</t>
        </is>
      </c>
      <c r="F5022" s="16" t="inlineStr">
        <is>
          <t>BS-22</t>
        </is>
      </c>
      <c r="G5022" s="16" t="inlineStr">
        <is>
          <t>link bits Barra de Sonido para TV, 2x2" Altavoces + 2 Membranas de Graves, Sonido Claro ≥80dB, Bluetooth Inalámbrico, Conexiones AUX/USB, Diseño Compacto 76cm, Sonido Envolvente 3D para Cine en Casa, PC, Juegos y Fiestas</t>
        </is>
      </c>
      <c r="H5022" s="16" t="inlineStr">
        <is>
          <t>BS-22</t>
        </is>
      </c>
      <c r="I5022" s="16" t="n">
        <v>1</v>
      </c>
      <c r="J5022" s="17" t="n">
        <v>255</v>
      </c>
      <c r="K5022" s="17" t="n">
        <v>251.51</v>
      </c>
      <c r="L5022" s="17" t="n">
        <v>0</v>
      </c>
      <c r="M5022" s="17" t="n">
        <v>0</v>
      </c>
      <c r="N5022" s="17">
        <f>K5022*0.08+L5022*0.08</f>
        <v/>
      </c>
      <c r="O5022" s="17">
        <f>-(K5022*0.025+L5022*0.025)</f>
        <v/>
      </c>
      <c r="P5022" s="17">
        <f>32</f>
        <v/>
      </c>
      <c r="Q5022" s="17">
        <f>J5022+L5022+N5022+O5022-P5022-M5022</f>
        <v/>
      </c>
    </row>
    <row r="5023">
      <c r="A5023" s="16" t="inlineStr">
        <is>
          <t>5.8-5.14</t>
        </is>
      </c>
      <c r="B5023" s="16" t="inlineStr">
        <is>
          <t>PO-128-11628856630390863</t>
        </is>
      </c>
      <c r="C5023" s="16" t="inlineStr">
        <is>
          <t>Shipped</t>
        </is>
      </c>
      <c r="D5023" s="16" t="inlineStr">
        <is>
          <t>128-11628898573430863</t>
        </is>
      </c>
      <c r="E5023" s="16" t="inlineStr">
        <is>
          <t>Shipped</t>
        </is>
      </c>
      <c r="F5023" s="16" t="inlineStr">
        <is>
          <t>SA325T</t>
        </is>
      </c>
      <c r="G5023" s="16" t="inlineStr">
        <is>
          <t>Subwoofer Portátil Inalámbrico con Luces RGB, Sonido de Alta Potencia y Batería Duradera, TWS TF USB, Perfecto para Campamento Fiestas y Entretenimiento en Casa</t>
        </is>
      </c>
      <c r="H5023" s="16" t="inlineStr">
        <is>
          <t>NEGRO</t>
        </is>
      </c>
      <c r="I5023" s="16" t="n">
        <v>1</v>
      </c>
      <c r="J5023" s="17" t="n">
        <v>37.99</v>
      </c>
      <c r="K5023" s="17" t="n">
        <v>47.04</v>
      </c>
      <c r="L5023" s="17" t="n">
        <v>25.86</v>
      </c>
      <c r="M5023" s="17" t="n">
        <v>0</v>
      </c>
      <c r="N5023" s="17">
        <f>K5023*0.08+L5023*0.08</f>
        <v/>
      </c>
      <c r="O5023" s="17">
        <f>-(K5023*0.025+L5023*0.025)</f>
        <v/>
      </c>
      <c r="P5023" s="17">
        <f>32</f>
        <v/>
      </c>
      <c r="Q5023" s="17">
        <f>J5023+L5023+N5023+O5023-P5023-M5023</f>
        <v/>
      </c>
    </row>
    <row r="5024">
      <c r="A5024" s="16" t="inlineStr">
        <is>
          <t>5.8-5.14</t>
        </is>
      </c>
      <c r="B5024" s="16" t="inlineStr">
        <is>
          <t>PO-128-11091372946554003</t>
        </is>
      </c>
      <c r="C5024" s="16" t="inlineStr">
        <is>
          <t>Shipped</t>
        </is>
      </c>
      <c r="D5024" s="16" t="inlineStr">
        <is>
          <t>128-11091393918074003</t>
        </is>
      </c>
      <c r="E5024" s="16" t="inlineStr">
        <is>
          <t>Shipped</t>
        </is>
      </c>
      <c r="F5024" s="16" t="inlineStr">
        <is>
          <t>SA325T</t>
        </is>
      </c>
      <c r="G5024" s="16" t="inlineStr">
        <is>
          <t>Subwoofer Portátil Inalámbrico con Luces RGB, Sonido de Alta Potencia y Batería Duradera, TWS TF USB, Perfecto para Campamento Fiestas y Entretenimiento en Casa</t>
        </is>
      </c>
      <c r="H5024" s="16" t="inlineStr">
        <is>
          <t>NEGRO</t>
        </is>
      </c>
      <c r="I5024" s="16" t="n">
        <v>1</v>
      </c>
      <c r="J5024" s="17" t="n">
        <v>37.99</v>
      </c>
      <c r="K5024" s="17" t="n">
        <v>3.94</v>
      </c>
      <c r="L5024" s="17" t="n">
        <v>25.86</v>
      </c>
      <c r="M5024" s="17" t="n">
        <v>0</v>
      </c>
      <c r="N5024" s="17">
        <f>K5024*0.08+L5024*0.08</f>
        <v/>
      </c>
      <c r="O5024" s="17">
        <f>-(K5024*0.025+L5024*0.025)</f>
        <v/>
      </c>
      <c r="P5024" s="17">
        <f>32</f>
        <v/>
      </c>
      <c r="Q5024" s="17">
        <f>J5024+L5024+N5024+O5024-P5024-M5024</f>
        <v/>
      </c>
    </row>
    <row r="5025">
      <c r="A5025" s="16" t="inlineStr">
        <is>
          <t>5.8-5.14</t>
        </is>
      </c>
      <c r="B5025" s="16" t="inlineStr">
        <is>
          <t>PO-128-11085434125433972</t>
        </is>
      </c>
      <c r="C5025" s="16" t="inlineStr">
        <is>
          <t>Shipped</t>
        </is>
      </c>
      <c r="D5025" s="16" t="inlineStr">
        <is>
          <t>128-11085476068473972</t>
        </is>
      </c>
      <c r="E5025" s="16" t="inlineStr">
        <is>
          <t>Shipped</t>
        </is>
      </c>
      <c r="F5025" s="16" t="inlineStr">
        <is>
          <t>LB02235-rojo</t>
        </is>
      </c>
      <c r="G5025" s="16" t="inlineStr">
        <is>
          <t>Audífonos Inalámbricos para la Cabeza, Recargables y Multifuncionales - Conectan a Varios Dispositivos, soportan Radio FM, Tarjeta TF y AUX - 4 Horas de Reproducción Musical - Ideal para Trabajo Cotidiano, Juegos y Estudio</t>
        </is>
      </c>
      <c r="H5025" s="16" t="inlineStr">
        <is>
          <t>ROJO</t>
        </is>
      </c>
      <c r="I5025" s="16" t="n">
        <v>2</v>
      </c>
      <c r="J5025" s="17" t="n">
        <v>73.59999999999999</v>
      </c>
      <c r="K5025" s="17" t="n">
        <v>56.72</v>
      </c>
      <c r="L5025" s="17" t="n">
        <v>25.86</v>
      </c>
      <c r="M5025" s="17" t="n">
        <v>0</v>
      </c>
      <c r="N5025" s="17">
        <f>K5025*0.08+L5025*0.08</f>
        <v/>
      </c>
      <c r="O5025" s="17">
        <f>-(K5025*0.025+L5025*0.025)</f>
        <v/>
      </c>
      <c r="P5025" s="17">
        <f>32</f>
        <v/>
      </c>
      <c r="Q5025" s="17">
        <f>J5025+L5025+N5025+O5025-P5025-M5025</f>
        <v/>
      </c>
    </row>
    <row r="5026">
      <c r="A5026" s="16" t="inlineStr">
        <is>
          <t>5.8-5.14</t>
        </is>
      </c>
      <c r="B5026" s="16" t="inlineStr">
        <is>
          <t>PO-128-11547048041590327</t>
        </is>
      </c>
      <c r="C5026" s="16" t="inlineStr">
        <is>
          <t>Shipped</t>
        </is>
      </c>
      <c r="D5026" s="16" t="inlineStr">
        <is>
          <t>128-11547082120310327</t>
        </is>
      </c>
      <c r="E5026" s="16" t="inlineStr">
        <is>
          <t>Shipped</t>
        </is>
      </c>
      <c r="F5026" s="16" t="inlineStr">
        <is>
          <t>SA8056T</t>
        </is>
      </c>
      <c r="G5026"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026" s="16" t="inlineStr">
        <is>
          <t>SA8056T</t>
        </is>
      </c>
      <c r="I5026" s="16" t="n">
        <v>2</v>
      </c>
      <c r="J5026" s="17" t="n">
        <v>280</v>
      </c>
      <c r="K5026" s="17" t="n">
        <v>245.42</v>
      </c>
      <c r="L5026" s="17" t="n">
        <v>0</v>
      </c>
      <c r="M5026" s="17" t="n">
        <v>0</v>
      </c>
      <c r="N5026" s="17">
        <f>K5026*0.08+L5026*0.08</f>
        <v/>
      </c>
      <c r="O5026" s="17">
        <f>-(K5026*0.025+L5026*0.025)</f>
        <v/>
      </c>
      <c r="P5026" s="17">
        <f>32</f>
        <v/>
      </c>
      <c r="Q5026" s="17">
        <f>J5026+L5026+N5026+O5026-P5026-M5026</f>
        <v/>
      </c>
    </row>
    <row r="5027">
      <c r="A5027" s="16" t="inlineStr">
        <is>
          <t>5.8-5.14</t>
        </is>
      </c>
      <c r="B5027" s="16" t="inlineStr">
        <is>
          <t>PO-128-11547048041590327</t>
        </is>
      </c>
      <c r="C5027" s="16" t="inlineStr">
        <is>
          <t>Shipped</t>
        </is>
      </c>
      <c r="D5027" s="16" t="inlineStr">
        <is>
          <t>128-11547061148790327</t>
        </is>
      </c>
      <c r="E5027" s="16" t="inlineStr">
        <is>
          <t>Shipped</t>
        </is>
      </c>
      <c r="F5027" s="16" t="inlineStr">
        <is>
          <t>SA325T</t>
        </is>
      </c>
      <c r="G5027" s="16" t="inlineStr">
        <is>
          <t>Subwoofer Portátil Inalámbrico con Luces RGB, Sonido de Alta Potencia y Batería Duradera, TWS TF USB, Perfecto para Campamento Fiestas y Entretenimiento en Casa</t>
        </is>
      </c>
      <c r="H5027" s="16" t="inlineStr">
        <is>
          <t>NEGRO</t>
        </is>
      </c>
      <c r="I5027" s="16" t="n">
        <v>3</v>
      </c>
      <c r="J5027" s="17" t="n">
        <v>113.97</v>
      </c>
      <c r="K5027" s="17" t="n">
        <v>119.95</v>
      </c>
      <c r="L5027" s="17" t="n">
        <v>0</v>
      </c>
      <c r="M5027" s="17" t="n">
        <v>0</v>
      </c>
      <c r="N5027" s="17">
        <f>K5027*0.08+L5027*0.08</f>
        <v/>
      </c>
      <c r="O5027" s="17">
        <f>-(K5027*0.025+L5027*0.025)</f>
        <v/>
      </c>
      <c r="P5027" s="17">
        <f>32</f>
        <v/>
      </c>
      <c r="Q5027" s="17">
        <f>J5027+L5027+N5027+O5027-P5027-M5027</f>
        <v/>
      </c>
    </row>
    <row r="5028">
      <c r="A5028" s="16" t="inlineStr">
        <is>
          <t>5.8-5.14</t>
        </is>
      </c>
      <c r="B5028" s="16" t="inlineStr">
        <is>
          <t>PO-128-11461254249591860</t>
        </is>
      </c>
      <c r="C5028" s="16" t="inlineStr">
        <is>
          <t>Shipped</t>
        </is>
      </c>
      <c r="D5028" s="16" t="inlineStr">
        <is>
          <t>128-11461296192631860</t>
        </is>
      </c>
      <c r="E5028" s="16" t="inlineStr">
        <is>
          <t>Shipped</t>
        </is>
      </c>
      <c r="F5028" s="16" t="inlineStr">
        <is>
          <t>LB02235-rojo</t>
        </is>
      </c>
      <c r="G5028" s="16" t="inlineStr">
        <is>
          <t>Audífonos Inalámbricos para la Cabeza, Recargables y Multifuncionales - Conectan a Varios Dispositivos, soportan Radio FM, Tarjeta TF y AUX - 4 Horas de Reproducción Musical - Ideal para Trabajo Cotidiano, Juegos y Estudio</t>
        </is>
      </c>
      <c r="H5028" s="16" t="inlineStr">
        <is>
          <t>ROJO</t>
        </is>
      </c>
      <c r="I5028" s="16" t="n">
        <v>1</v>
      </c>
      <c r="J5028" s="17" t="n">
        <v>36.8</v>
      </c>
      <c r="K5028" s="17" t="n">
        <v>6.81</v>
      </c>
      <c r="L5028" s="17" t="n">
        <v>25.86</v>
      </c>
      <c r="M5028" s="17" t="n">
        <v>0</v>
      </c>
      <c r="N5028" s="17">
        <f>K5028*0.08+L5028*0.08</f>
        <v/>
      </c>
      <c r="O5028" s="17">
        <f>-(K5028*0.025+L5028*0.025)</f>
        <v/>
      </c>
      <c r="P5028" s="17">
        <f>32</f>
        <v/>
      </c>
      <c r="Q5028" s="17">
        <f>J5028+L5028+N5028+O5028-P5028-M5028</f>
        <v/>
      </c>
    </row>
    <row r="5029">
      <c r="A5029" s="16" t="inlineStr">
        <is>
          <t>5.8-5.14</t>
        </is>
      </c>
      <c r="B5029" s="16" t="inlineStr">
        <is>
          <t>PO-128-11553960154230156</t>
        </is>
      </c>
      <c r="C5029" s="16" t="inlineStr">
        <is>
          <t>Shipped</t>
        </is>
      </c>
      <c r="D5029" s="16" t="inlineStr">
        <is>
          <t>128-11553918211190156</t>
        </is>
      </c>
      <c r="E5029" s="16" t="inlineStr">
        <is>
          <t>Shipped</t>
        </is>
      </c>
      <c r="F5029" s="16" t="inlineStr">
        <is>
          <t>AIR50W06-2P</t>
        </is>
      </c>
      <c r="G5029" s="16" t="inlineStr">
        <is>
          <t>Link Bits Ventilador de piso de 16 pulgadas, 2 unidades, 3 velocidades, motor silencioso, flujo de aire fuerte, altura ajustable, oscilación amplia, ventilador eléctrico para el hogar, ideal para sala, recámara y oficina</t>
        </is>
      </c>
      <c r="H5029" s="16" t="inlineStr">
        <is>
          <t>2PZ</t>
        </is>
      </c>
      <c r="I5029" s="16" t="n">
        <v>1</v>
      </c>
      <c r="J5029" s="17" t="n">
        <v>440</v>
      </c>
      <c r="K5029" s="17" t="n">
        <v>300.88</v>
      </c>
      <c r="L5029" s="17" t="n">
        <v>0</v>
      </c>
      <c r="M5029" s="17" t="n">
        <v>0</v>
      </c>
      <c r="N5029" s="17">
        <f>K5029*0.08+L5029*0.08</f>
        <v/>
      </c>
      <c r="O5029" s="17">
        <f>-(K5029*0.025+L5029*0.025)</f>
        <v/>
      </c>
      <c r="P5029" s="17">
        <f>32</f>
        <v/>
      </c>
      <c r="Q5029" s="17">
        <f>J5029+L5029+N5029+O5029-P5029-M5029</f>
        <v/>
      </c>
    </row>
    <row r="5030">
      <c r="A5030" s="16" t="inlineStr">
        <is>
          <t>5.8-5.14</t>
        </is>
      </c>
      <c r="B5030" s="16" t="inlineStr">
        <is>
          <t>PO-128-11051870940793276</t>
        </is>
      </c>
      <c r="C5030" s="16" t="inlineStr">
        <is>
          <t>Shipped</t>
        </is>
      </c>
      <c r="D5030" s="16" t="inlineStr">
        <is>
          <t>128-11051834240633276</t>
        </is>
      </c>
      <c r="E5030" s="16" t="inlineStr">
        <is>
          <t>Shipped</t>
        </is>
      </c>
      <c r="F5030" s="16" t="inlineStr">
        <is>
          <t>VB347T</t>
        </is>
      </c>
      <c r="G503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030" s="16" t="inlineStr">
        <is>
          <t>1 pieza</t>
        </is>
      </c>
      <c r="I5030" s="16" t="n">
        <v>2</v>
      </c>
      <c r="J5030" s="17" t="n">
        <v>159.78</v>
      </c>
      <c r="K5030" s="17" t="n">
        <v>189</v>
      </c>
      <c r="L5030" s="17" t="n">
        <v>0</v>
      </c>
      <c r="M5030" s="17" t="n">
        <v>0</v>
      </c>
      <c r="N5030" s="17">
        <f>K5030*0.08+L5030*0.08</f>
        <v/>
      </c>
      <c r="O5030" s="17">
        <f>-(K5030*0.025+L5030*0.025)</f>
        <v/>
      </c>
      <c r="P5030" s="17">
        <f>32</f>
        <v/>
      </c>
      <c r="Q5030" s="17">
        <f>J5030+L5030+N5030+O5030-P5030-M5030</f>
        <v/>
      </c>
    </row>
    <row r="5031">
      <c r="A5031" s="16" t="inlineStr">
        <is>
          <t>5.8-5.14</t>
        </is>
      </c>
      <c r="B5031" s="16" t="inlineStr">
        <is>
          <t>PO-128-11051870940793276</t>
        </is>
      </c>
      <c r="C5031" s="16" t="inlineStr">
        <is>
          <t>Shipped</t>
        </is>
      </c>
      <c r="D5031" s="16" t="inlineStr">
        <is>
          <t>128-11051876183673276</t>
        </is>
      </c>
      <c r="E5031" s="16" t="inlineStr">
        <is>
          <t>Shipped</t>
        </is>
      </c>
      <c r="F5031" s="16" t="inlineStr">
        <is>
          <t>MCM-001G</t>
        </is>
      </c>
      <c r="G5031" s="16" t="inlineStr">
        <is>
          <t>Musicord Altavoz Inalámbrico BT Portátil: ¡Sonido impactante, luces LED multicolores y 4 horas de autonomía! Compatible con TWS, FM, TF y USB – Imprescindible para fiestas y viajes</t>
        </is>
      </c>
      <c r="H5031" s="16" t="inlineStr">
        <is>
          <t>GRIS</t>
        </is>
      </c>
      <c r="I5031" s="16" t="n">
        <v>2</v>
      </c>
      <c r="J5031" s="17" t="n">
        <v>102.14</v>
      </c>
      <c r="K5031" s="17" t="n">
        <v>124.72</v>
      </c>
      <c r="L5031" s="17" t="n">
        <v>0</v>
      </c>
      <c r="M5031" s="17" t="n">
        <v>0</v>
      </c>
      <c r="N5031" s="17">
        <f>K5031*0.08+L5031*0.08</f>
        <v/>
      </c>
      <c r="O5031" s="17">
        <f>-(K5031*0.025+L5031*0.025)</f>
        <v/>
      </c>
      <c r="P5031" s="17">
        <f>32</f>
        <v/>
      </c>
      <c r="Q5031" s="17">
        <f>J5031+L5031+N5031+O5031-P5031-M5031</f>
        <v/>
      </c>
    </row>
    <row r="5032">
      <c r="A5032" s="16" t="inlineStr">
        <is>
          <t>5.8-5.14</t>
        </is>
      </c>
      <c r="B5032" s="16" t="inlineStr">
        <is>
          <t>PO-128-11051870940793276</t>
        </is>
      </c>
      <c r="C5032" s="16" t="inlineStr">
        <is>
          <t>Shipped</t>
        </is>
      </c>
      <c r="D5032" s="16" t="inlineStr">
        <is>
          <t>128-11051855212153276</t>
        </is>
      </c>
      <c r="E5032" s="16" t="inlineStr">
        <is>
          <t>Shipped</t>
        </is>
      </c>
      <c r="F5032" s="16" t="inlineStr">
        <is>
          <t>SA325T</t>
        </is>
      </c>
      <c r="G5032" s="16" t="inlineStr">
        <is>
          <t>Subwoofer Portátil Inalámbrico con Luces RGB, Sonido de Alta Potencia y Batería Duradera, TWS TF USB, Perfecto para Campamento Fiestas y Entretenimiento en Casa</t>
        </is>
      </c>
      <c r="H5032" s="16" t="inlineStr">
        <is>
          <t>NEGRO</t>
        </is>
      </c>
      <c r="I5032" s="16" t="n">
        <v>1</v>
      </c>
      <c r="J5032" s="17" t="n">
        <v>37.99</v>
      </c>
      <c r="K5032" s="17" t="n">
        <v>47.04</v>
      </c>
      <c r="L5032" s="17" t="n">
        <v>0</v>
      </c>
      <c r="M5032" s="17" t="n">
        <v>0</v>
      </c>
      <c r="N5032" s="17">
        <f>K5032*0.08+L5032*0.08</f>
        <v/>
      </c>
      <c r="O5032" s="17">
        <f>-(K5032*0.025+L5032*0.025)</f>
        <v/>
      </c>
      <c r="P5032" s="17">
        <f>32</f>
        <v/>
      </c>
      <c r="Q5032" s="17">
        <f>J5032+L5032+N5032+O5032-P5032-M5032</f>
        <v/>
      </c>
    </row>
    <row r="5033">
      <c r="A5033" s="16" t="inlineStr">
        <is>
          <t>5.8-5.14</t>
        </is>
      </c>
      <c r="B5033" s="16" t="inlineStr">
        <is>
          <t>PO-128-11615192714871009</t>
        </is>
      </c>
      <c r="C5033" s="16" t="inlineStr">
        <is>
          <t>Shipped</t>
        </is>
      </c>
      <c r="D5033" s="16" t="inlineStr">
        <is>
          <t>128-11615201234551009</t>
        </is>
      </c>
      <c r="E5033" s="16" t="inlineStr">
        <is>
          <t>Shipped</t>
        </is>
      </c>
      <c r="F5033" s="16" t="inlineStr">
        <is>
          <t>SA325T</t>
        </is>
      </c>
      <c r="G5033" s="16" t="inlineStr">
        <is>
          <t>Subwoofer Portátil Inalámbrico con Luces RGB, Sonido de Alta Potencia y Batería Duradera, TWS TF USB, Perfecto para Campamento Fiestas y Entretenimiento en Casa</t>
        </is>
      </c>
      <c r="H5033" s="16" t="inlineStr">
        <is>
          <t>NEGRO</t>
        </is>
      </c>
      <c r="I5033" s="16" t="n">
        <v>1</v>
      </c>
      <c r="J5033" s="17" t="n">
        <v>37.99</v>
      </c>
      <c r="K5033" s="17" t="n">
        <v>47.04</v>
      </c>
      <c r="L5033" s="17" t="n">
        <v>25.86</v>
      </c>
      <c r="M5033" s="17" t="n">
        <v>0</v>
      </c>
      <c r="N5033" s="17">
        <f>K5033*0.08+L5033*0.08</f>
        <v/>
      </c>
      <c r="O5033" s="17">
        <f>-(K5033*0.025+L5033*0.025)</f>
        <v/>
      </c>
      <c r="P5033" s="17">
        <f>32</f>
        <v/>
      </c>
      <c r="Q5033" s="17">
        <f>J5033+L5033+N5033+O5033-P5033-M5033</f>
        <v/>
      </c>
    </row>
    <row r="5034">
      <c r="A5034" s="16" t="inlineStr">
        <is>
          <t>5.8-5.14</t>
        </is>
      </c>
      <c r="B5034" s="16" t="inlineStr">
        <is>
          <t>PO-128-11086661635194031</t>
        </is>
      </c>
      <c r="C5034" s="16" t="inlineStr">
        <is>
          <t>Shipped</t>
        </is>
      </c>
      <c r="D5034" s="16" t="inlineStr">
        <is>
          <t>128-11086682606714031</t>
        </is>
      </c>
      <c r="E5034" s="16" t="inlineStr">
        <is>
          <t>Shipped</t>
        </is>
      </c>
      <c r="F5034" s="16" t="inlineStr">
        <is>
          <t>MB-185N</t>
        </is>
      </c>
      <c r="G5034" s="16" t="inlineStr">
        <is>
          <t>Bocina Radio FM/Reproductor, Compatible con Tarjeta TF, USB, Bluetooth, Aplicable para celular, computadora, Ipad y consola.</t>
        </is>
      </c>
      <c r="H5034" s="16" t="inlineStr">
        <is>
          <t>NEGRO/MB-185</t>
        </is>
      </c>
      <c r="I5034" s="16" t="n">
        <v>1</v>
      </c>
      <c r="J5034" s="17" t="n">
        <v>75.5</v>
      </c>
      <c r="K5034" s="17" t="n">
        <v>41.05</v>
      </c>
      <c r="L5034" s="17" t="n">
        <v>25.86</v>
      </c>
      <c r="M5034" s="17" t="n">
        <v>0</v>
      </c>
      <c r="N5034" s="17">
        <f>K5034*0.08+L5034*0.08</f>
        <v/>
      </c>
      <c r="O5034" s="17">
        <f>-(K5034*0.025+L5034*0.025)</f>
        <v/>
      </c>
      <c r="P5034" s="17">
        <f>32</f>
        <v/>
      </c>
      <c r="Q5034" s="17">
        <f>J5034+L5034+N5034+O5034-P5034-M5034</f>
        <v/>
      </c>
    </row>
    <row r="5035">
      <c r="A5035" s="16" t="inlineStr">
        <is>
          <t>5.8-5.14</t>
        </is>
      </c>
      <c r="B5035" s="16" t="inlineStr">
        <is>
          <t>PO-128-11154973998713622</t>
        </is>
      </c>
      <c r="C5035" s="16" t="inlineStr">
        <is>
          <t>Shipped</t>
        </is>
      </c>
      <c r="D5035" s="16" t="inlineStr">
        <is>
          <t>128-11154984484473622</t>
        </is>
      </c>
      <c r="E5035" s="16" t="inlineStr">
        <is>
          <t>Shipped</t>
        </is>
      </c>
      <c r="F5035" s="16" t="inlineStr">
        <is>
          <t>S09W18IB</t>
        </is>
      </c>
      <c r="G5035"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5035" s="16" t="inlineStr">
        <is>
          <t>1 pieza</t>
        </is>
      </c>
      <c r="I5035" s="16" t="n">
        <v>2</v>
      </c>
      <c r="J5035" s="17" t="n">
        <v>64</v>
      </c>
      <c r="K5035" s="17" t="n">
        <v>85.31999999999999</v>
      </c>
      <c r="L5035" s="17" t="n">
        <v>25.86</v>
      </c>
      <c r="M5035" s="17" t="n">
        <v>0</v>
      </c>
      <c r="N5035" s="17">
        <f>K5035*0.08+L5035*0.08</f>
        <v/>
      </c>
      <c r="O5035" s="17">
        <f>-(K5035*0.025+L5035*0.025)</f>
        <v/>
      </c>
      <c r="P5035" s="17">
        <f>32</f>
        <v/>
      </c>
      <c r="Q5035" s="17">
        <f>J5035+L5035+N5035+O5035-P5035-M5035</f>
        <v/>
      </c>
    </row>
    <row r="5036">
      <c r="A5036" s="16" t="inlineStr">
        <is>
          <t>5.8-5.14</t>
        </is>
      </c>
      <c r="B5036" s="16" t="inlineStr">
        <is>
          <t>PO-128-11278434647672822</t>
        </is>
      </c>
      <c r="C5036" s="16" t="inlineStr">
        <is>
          <t>Shipped</t>
        </is>
      </c>
      <c r="D5036" s="16" t="inlineStr">
        <is>
          <t>128-11278455619192822</t>
        </is>
      </c>
      <c r="E5036" s="16" t="inlineStr">
        <is>
          <t>Shipped</t>
        </is>
      </c>
      <c r="F5036" s="16" t="inlineStr">
        <is>
          <t>SA325T</t>
        </is>
      </c>
      <c r="G5036" s="16" t="inlineStr">
        <is>
          <t>Subwoofer Portátil Inalámbrico con Luces RGB, Sonido de Alta Potencia y Batería Duradera, TWS TF USB, Perfecto para Campamento Fiestas y Entretenimiento en Casa</t>
        </is>
      </c>
      <c r="H5036" s="16" t="inlineStr">
        <is>
          <t>NEGRO</t>
        </is>
      </c>
      <c r="I5036" s="16" t="n">
        <v>1</v>
      </c>
      <c r="J5036" s="17" t="n">
        <v>37.99</v>
      </c>
      <c r="K5036" s="17" t="n">
        <v>47.04</v>
      </c>
      <c r="L5036" s="17" t="n">
        <v>25.86</v>
      </c>
      <c r="M5036" s="17" t="n">
        <v>0</v>
      </c>
      <c r="N5036" s="17">
        <f>K5036*0.08+L5036*0.08</f>
        <v/>
      </c>
      <c r="O5036" s="17">
        <f>-(K5036*0.025+L5036*0.025)</f>
        <v/>
      </c>
      <c r="P5036" s="17">
        <f>32</f>
        <v/>
      </c>
      <c r="Q5036" s="17">
        <f>J5036+L5036+N5036+O5036-P5036-M5036</f>
        <v/>
      </c>
    </row>
    <row r="5037">
      <c r="A5037" s="16" t="inlineStr">
        <is>
          <t>5.8-5.14</t>
        </is>
      </c>
      <c r="B5037" s="16" t="inlineStr">
        <is>
          <t>PO-128-11086776008314028</t>
        </is>
      </c>
      <c r="C5037" s="16" t="inlineStr">
        <is>
          <t>Shipped</t>
        </is>
      </c>
      <c r="D5037" s="16" t="inlineStr">
        <is>
          <t>128-11086828437114028</t>
        </is>
      </c>
      <c r="E5037" s="16" t="inlineStr">
        <is>
          <t>Shipped</t>
        </is>
      </c>
      <c r="F5037" s="16" t="inlineStr">
        <is>
          <t>SA325T</t>
        </is>
      </c>
      <c r="G5037" s="16" t="inlineStr">
        <is>
          <t>Subwoofer Portátil Inalámbrico con Luces RGB, Sonido de Alta Potencia y Batería Duradera, TWS TF USB, Perfecto para Campamento Fiestas y Entretenimiento en Casa</t>
        </is>
      </c>
      <c r="H5037" s="16" t="inlineStr">
        <is>
          <t>NEGRO</t>
        </is>
      </c>
      <c r="I5037" s="16" t="n">
        <v>1</v>
      </c>
      <c r="J5037" s="17" t="n">
        <v>37.99</v>
      </c>
      <c r="K5037" s="17" t="n">
        <v>37.63</v>
      </c>
      <c r="L5037" s="17" t="n">
        <v>25.86</v>
      </c>
      <c r="M5037" s="17" t="n">
        <v>0</v>
      </c>
      <c r="N5037" s="17">
        <f>K5037*0.08+L5037*0.08</f>
        <v/>
      </c>
      <c r="O5037" s="17">
        <f>-(K5037*0.025+L5037*0.025)</f>
        <v/>
      </c>
      <c r="P5037" s="17">
        <f>32</f>
        <v/>
      </c>
      <c r="Q5037" s="17">
        <f>J5037+L5037+N5037+O5037-P5037-M5037</f>
        <v/>
      </c>
    </row>
    <row r="5038">
      <c r="A5038" s="16" t="inlineStr">
        <is>
          <t>5.8-5.14</t>
        </is>
      </c>
      <c r="B5038" s="16" t="inlineStr">
        <is>
          <t>PO-128-11341871550071420</t>
        </is>
      </c>
      <c r="C5038" s="16" t="inlineStr">
        <is>
          <t>Shipped</t>
        </is>
      </c>
      <c r="D5038" s="16" t="inlineStr">
        <is>
          <t>128-11341829607031420</t>
        </is>
      </c>
      <c r="E5038" s="16" t="inlineStr">
        <is>
          <t>Shipped</t>
        </is>
      </c>
      <c r="F5038" s="16" t="inlineStr">
        <is>
          <t>AIR50W06-2P</t>
        </is>
      </c>
      <c r="G5038" s="16" t="inlineStr">
        <is>
          <t>Link Bits Ventilador de piso de 16 pulgadas, 2 unidades, 3 velocidades, motor silencioso, flujo de aire fuerte, altura ajustable, oscilación amplia, ventilador eléctrico para el hogar, ideal para sala, recámara y oficina</t>
        </is>
      </c>
      <c r="H5038" s="16" t="inlineStr">
        <is>
          <t>2PZ</t>
        </is>
      </c>
      <c r="I5038" s="16" t="n">
        <v>3</v>
      </c>
      <c r="J5038" s="17" t="n">
        <v>1320</v>
      </c>
      <c r="K5038" s="17" t="n">
        <v>1116.48</v>
      </c>
      <c r="L5038" s="17" t="n">
        <v>0</v>
      </c>
      <c r="M5038" s="17" t="n">
        <v>0</v>
      </c>
      <c r="N5038" s="17">
        <f>K5038*0.08+L5038*0.08</f>
        <v/>
      </c>
      <c r="O5038" s="17">
        <f>-(K5038*0.025+L5038*0.025)</f>
        <v/>
      </c>
      <c r="P5038" s="17">
        <f>32</f>
        <v/>
      </c>
      <c r="Q5038" s="17">
        <f>J5038+L5038+N5038+O5038-P5038-M5038</f>
        <v/>
      </c>
    </row>
    <row r="5039">
      <c r="A5039" s="16" t="inlineStr">
        <is>
          <t>5.8-5.14</t>
        </is>
      </c>
      <c r="B5039" s="16" t="inlineStr">
        <is>
          <t>PO-128-11219799900792213</t>
        </is>
      </c>
      <c r="C5039" s="16" t="inlineStr">
        <is>
          <t>Shipped</t>
        </is>
      </c>
      <c r="D5039" s="16" t="inlineStr">
        <is>
          <t>128-11219904758392213</t>
        </is>
      </c>
      <c r="E5039" s="16" t="inlineStr">
        <is>
          <t>Shipped</t>
        </is>
      </c>
      <c r="F5039" s="16" t="inlineStr">
        <is>
          <t>SA325T</t>
        </is>
      </c>
      <c r="G5039" s="16" t="inlineStr">
        <is>
          <t>Subwoofer Portátil Inalámbrico con Luces RGB, Sonido de Alta Potencia y Batería Duradera, TWS TF USB, Perfecto para Campamento Fiestas y Entretenimiento en Casa</t>
        </is>
      </c>
      <c r="H5039" s="16" t="inlineStr">
        <is>
          <t>NEGRO</t>
        </is>
      </c>
      <c r="I5039" s="16" t="n">
        <v>1</v>
      </c>
      <c r="J5039" s="17" t="n">
        <v>37.99</v>
      </c>
      <c r="K5039" s="17" t="n">
        <v>47.04</v>
      </c>
      <c r="L5039" s="17" t="n">
        <v>25.86</v>
      </c>
      <c r="M5039" s="17" t="n">
        <v>0</v>
      </c>
      <c r="N5039" s="17">
        <f>K5039*0.08+L5039*0.08</f>
        <v/>
      </c>
      <c r="O5039" s="17">
        <f>-(K5039*0.025+L5039*0.025)</f>
        <v/>
      </c>
      <c r="P5039" s="17">
        <f>32</f>
        <v/>
      </c>
      <c r="Q5039" s="17">
        <f>J5039+L5039+N5039+O5039-P5039-M5039</f>
        <v/>
      </c>
    </row>
    <row r="5040">
      <c r="A5040" s="16" t="inlineStr">
        <is>
          <t>5.8-5.14</t>
        </is>
      </c>
      <c r="B5040" s="16" t="inlineStr">
        <is>
          <t>PO-128-11250621440632156</t>
        </is>
      </c>
      <c r="C5040" s="16" t="inlineStr">
        <is>
          <t>Shipped</t>
        </is>
      </c>
      <c r="D5040" s="16" t="inlineStr">
        <is>
          <t>128-11250579497592156</t>
        </is>
      </c>
      <c r="E5040" s="16" t="inlineStr">
        <is>
          <t>Shipped</t>
        </is>
      </c>
      <c r="F5040" s="16" t="inlineStr">
        <is>
          <t>MCM-001G</t>
        </is>
      </c>
      <c r="G5040" s="16" t="inlineStr">
        <is>
          <t>Musicord Altavoz Inalámbrico BT Portátil: ¡Sonido impactante, luces LED multicolores y 4 horas de autonomía! Compatible con TWS, FM, TF y USB – Imprescindible para fiestas y viajes</t>
        </is>
      </c>
      <c r="H5040" s="16" t="inlineStr">
        <is>
          <t>GRIS</t>
        </is>
      </c>
      <c r="I5040" s="16" t="n">
        <v>1</v>
      </c>
      <c r="J5040" s="17" t="n">
        <v>51.07</v>
      </c>
      <c r="K5040" s="17" t="n">
        <v>2.02</v>
      </c>
      <c r="L5040" s="17" t="n">
        <v>25.86</v>
      </c>
      <c r="M5040" s="17" t="n">
        <v>0</v>
      </c>
      <c r="N5040" s="17">
        <f>K5040*0.08+L5040*0.08</f>
        <v/>
      </c>
      <c r="O5040" s="17">
        <f>-(K5040*0.025+L5040*0.025)</f>
        <v/>
      </c>
      <c r="P5040" s="17">
        <f>32</f>
        <v/>
      </c>
      <c r="Q5040" s="17">
        <f>J5040+L5040+N5040+O5040-P5040-M5040</f>
        <v/>
      </c>
    </row>
    <row r="5041">
      <c r="A5041" s="16" t="inlineStr">
        <is>
          <t>5.8-5.14</t>
        </is>
      </c>
      <c r="B5041" s="16" t="inlineStr">
        <is>
          <t>PO-128-11116058870393918</t>
        </is>
      </c>
      <c r="C5041" s="16" t="inlineStr">
        <is>
          <t>Shipped</t>
        </is>
      </c>
      <c r="D5041" s="16" t="inlineStr">
        <is>
          <t>128-11116016927353918</t>
        </is>
      </c>
      <c r="E5041" s="16" t="inlineStr">
        <is>
          <t>Shipped</t>
        </is>
      </c>
      <c r="F5041" s="16" t="inlineStr">
        <is>
          <t>MB-185R</t>
        </is>
      </c>
      <c r="G5041" s="16" t="inlineStr">
        <is>
          <t>Bocina Radio FM/Reproductor, Compatible con Tarjeta TF, USB, Bluetooth, Aplicable para celular, computadora, Ipad y consola.</t>
        </is>
      </c>
      <c r="H5041" s="16" t="inlineStr">
        <is>
          <t>ROJO/MB-185</t>
        </is>
      </c>
      <c r="I5041" s="16" t="n">
        <v>1</v>
      </c>
      <c r="J5041" s="17" t="n">
        <v>75.59999999999999</v>
      </c>
      <c r="K5041" s="17" t="n">
        <v>88.55</v>
      </c>
      <c r="L5041" s="17" t="n">
        <v>25.86</v>
      </c>
      <c r="M5041" s="17" t="n">
        <v>0</v>
      </c>
      <c r="N5041" s="17">
        <f>K5041*0.08+L5041*0.08</f>
        <v/>
      </c>
      <c r="O5041" s="17">
        <f>-(K5041*0.025+L5041*0.025)</f>
        <v/>
      </c>
      <c r="P5041" s="17">
        <f>32</f>
        <v/>
      </c>
      <c r="Q5041" s="17">
        <f>J5041+L5041+N5041+O5041-P5041-M5041</f>
        <v/>
      </c>
    </row>
    <row r="5042">
      <c r="A5042" s="16" t="inlineStr">
        <is>
          <t>5.8-5.14</t>
        </is>
      </c>
      <c r="B5042" s="16" t="inlineStr">
        <is>
          <t>PO-128-11613067571831021</t>
        </is>
      </c>
      <c r="C5042" s="16" t="inlineStr">
        <is>
          <t>Shipped</t>
        </is>
      </c>
      <c r="D5042" s="16" t="inlineStr">
        <is>
          <t>128-11613109514871021</t>
        </is>
      </c>
      <c r="E5042" s="16" t="inlineStr">
        <is>
          <t>Shipped</t>
        </is>
      </c>
      <c r="F5042" s="16" t="inlineStr">
        <is>
          <t>SA323T</t>
        </is>
      </c>
      <c r="G5042" s="16" t="inlineStr">
        <is>
          <t>Linkbits Bocina Portátil Parlantes BT Portátiles con Iluminación de Ambiente | 1 Hora de Duración, FM, TWS, TF/Micro SD | Ideal para Hogar, Fiestas y Viajes</t>
        </is>
      </c>
      <c r="H5042" s="16" t="inlineStr">
        <is>
          <t>SA323T</t>
        </is>
      </c>
      <c r="I5042" s="16" t="n">
        <v>1</v>
      </c>
      <c r="J5042" s="17" t="n">
        <v>46</v>
      </c>
      <c r="K5042" s="17" t="n">
        <v>11.97</v>
      </c>
      <c r="L5042" s="17" t="n">
        <v>25.86</v>
      </c>
      <c r="M5042" s="17" t="n">
        <v>0</v>
      </c>
      <c r="N5042" s="17">
        <f>K5042*0.08+L5042*0.08</f>
        <v/>
      </c>
      <c r="O5042" s="17">
        <f>-(K5042*0.025+L5042*0.025)</f>
        <v/>
      </c>
      <c r="P5042" s="17">
        <f>32</f>
        <v/>
      </c>
      <c r="Q5042" s="17">
        <f>J5042+L5042+N5042+O5042-P5042-M5042</f>
        <v/>
      </c>
    </row>
    <row r="5043">
      <c r="A5043" s="16" t="inlineStr">
        <is>
          <t>5.8-5.14</t>
        </is>
      </c>
      <c r="B5043" s="16" t="inlineStr">
        <is>
          <t>PO-128-00590379745910032</t>
        </is>
      </c>
      <c r="C5043" s="16" t="inlineStr">
        <is>
          <t>Shipped</t>
        </is>
      </c>
      <c r="D5043" s="16" t="inlineStr">
        <is>
          <t>128-00590358774390032</t>
        </is>
      </c>
      <c r="E5043" s="16" t="inlineStr">
        <is>
          <t>Shipped</t>
        </is>
      </c>
      <c r="F5043" s="16" t="inlineStr">
        <is>
          <t>MCM-001R</t>
        </is>
      </c>
      <c r="G5043" s="16" t="inlineStr">
        <is>
          <t>Musicord Altavoz Inalámbrico BT Portátil: ¡Sonido impactante, luces LED multicolores y 4 horas de autonomía! Compatible con TWS, FM, TF y USB – Imprescindible para fiestas y viajes</t>
        </is>
      </c>
      <c r="H5043" s="16" t="inlineStr">
        <is>
          <t>ROJO</t>
        </is>
      </c>
      <c r="I5043" s="16" t="n">
        <v>1</v>
      </c>
      <c r="J5043" s="17" t="n">
        <v>66.5</v>
      </c>
      <c r="K5043" s="17" t="n">
        <v>77.79000000000001</v>
      </c>
      <c r="L5043" s="17" t="n">
        <v>25.86</v>
      </c>
      <c r="M5043" s="17" t="n">
        <v>0</v>
      </c>
      <c r="N5043" s="17">
        <f>K5043*0.08+L5043*0.08</f>
        <v/>
      </c>
      <c r="O5043" s="17">
        <f>-(K5043*0.025+L5043*0.025)</f>
        <v/>
      </c>
      <c r="P5043" s="17">
        <f>32</f>
        <v/>
      </c>
      <c r="Q5043" s="17">
        <f>J5043+L5043+N5043+O5043-P5043-M5043</f>
        <v/>
      </c>
    </row>
    <row r="5044">
      <c r="A5044" s="16" t="inlineStr">
        <is>
          <t>5.8-5.14</t>
        </is>
      </c>
      <c r="B5044" s="16" t="inlineStr">
        <is>
          <t>PO-128-09853978204792288</t>
        </is>
      </c>
      <c r="C5044" s="16" t="inlineStr">
        <is>
          <t>Partially shipped</t>
        </is>
      </c>
      <c r="D5044" s="16" t="inlineStr">
        <is>
          <t>128-09853983447672288</t>
        </is>
      </c>
      <c r="E5044" s="16" t="inlineStr">
        <is>
          <t>Shipped</t>
        </is>
      </c>
      <c r="F5044" s="16" t="inlineStr">
        <is>
          <t>LV25W22</t>
        </is>
      </c>
      <c r="G50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44" s="16" t="inlineStr">
        <is>
          <t>LV25W32</t>
        </is>
      </c>
      <c r="I5044" s="16" t="n">
        <v>2</v>
      </c>
      <c r="J5044" s="17" t="n">
        <v>194</v>
      </c>
      <c r="K5044" s="17" t="n">
        <v>171.87</v>
      </c>
      <c r="L5044" s="17" t="n">
        <v>0</v>
      </c>
      <c r="M5044" s="17" t="n">
        <v>10.52</v>
      </c>
      <c r="N5044" s="17">
        <f>K5044*0.08+L5044*0.08</f>
        <v/>
      </c>
      <c r="O5044" s="17">
        <f>-(K5044*0.025+L5044*0.025)</f>
        <v/>
      </c>
      <c r="P5044" s="17">
        <f>32</f>
        <v/>
      </c>
      <c r="Q5044" s="17">
        <f>J5044+L5044+N5044+O5044-P5044-M5044</f>
        <v/>
      </c>
    </row>
    <row r="5045">
      <c r="A5045" s="16" t="inlineStr">
        <is>
          <t>5.8-5.14</t>
        </is>
      </c>
      <c r="B5045" s="16" t="inlineStr">
        <is>
          <t>PO-128-09853978204792288</t>
        </is>
      </c>
      <c r="C5045" s="16" t="inlineStr">
        <is>
          <t>Partially shipped</t>
        </is>
      </c>
      <c r="D5045" s="16" t="inlineStr">
        <is>
          <t>128-09853962476152288</t>
        </is>
      </c>
      <c r="E5045" s="16" t="inlineStr">
        <is>
          <t>Unshipped</t>
        </is>
      </c>
      <c r="F5045" s="16" t="inlineStr">
        <is>
          <t>VB347T</t>
        </is>
      </c>
      <c r="G504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045" s="16" t="inlineStr">
        <is>
          <t>1 pieza</t>
        </is>
      </c>
      <c r="I5045" s="16" t="n">
        <v>1</v>
      </c>
      <c r="J5045" s="17" t="n">
        <v>79.90000000000001</v>
      </c>
      <c r="K5045" s="17" t="n">
        <v>75.61</v>
      </c>
      <c r="L5045" s="17" t="n">
        <v>0</v>
      </c>
      <c r="M5045" s="17" t="n">
        <v>0</v>
      </c>
      <c r="N5045" s="17">
        <f>K5045*0.08+L5045*0.08</f>
        <v/>
      </c>
      <c r="O5045" s="17">
        <f>-(K5045*0.025+L5045*0.025)</f>
        <v/>
      </c>
      <c r="P5045" s="17">
        <f>32</f>
        <v/>
      </c>
      <c r="Q5045" s="17">
        <f>J5045+L5045+N5045+O5045-P5045-M5045</f>
        <v/>
      </c>
    </row>
    <row r="5046">
      <c r="A5046" s="16" t="inlineStr">
        <is>
          <t>5.8-5.14</t>
        </is>
      </c>
      <c r="B5046" s="16" t="inlineStr">
        <is>
          <t>PO-128-15264763866233831</t>
        </is>
      </c>
      <c r="C5046" s="16" t="inlineStr">
        <is>
          <t>Delivered</t>
        </is>
      </c>
      <c r="D5046" s="16" t="inlineStr">
        <is>
          <t>128-15264816295033831</t>
        </is>
      </c>
      <c r="E5046" s="16" t="inlineStr">
        <is>
          <t>Delivered</t>
        </is>
      </c>
      <c r="F5046" s="16" t="inlineStr">
        <is>
          <t>LB02235-blanco</t>
        </is>
      </c>
      <c r="G5046" s="16" t="inlineStr">
        <is>
          <t>Audífonos Inalámbricos para la Cabeza, Recargables y Multifuncionales - Conectan a Varios Dispositivos, soportan Radio FM, Tarjeta TF y AUX - 4 Horas de Reproducción Musical - Ideal para Trabajo Cotidiano, Juegos y Estudio</t>
        </is>
      </c>
      <c r="H5046" s="16" t="inlineStr">
        <is>
          <t>BLANCO</t>
        </is>
      </c>
      <c r="I5046" s="16" t="n">
        <v>1</v>
      </c>
      <c r="J5046" s="17" t="n">
        <v>38</v>
      </c>
      <c r="K5046" s="17" t="n">
        <v>51.12</v>
      </c>
      <c r="L5046" s="17" t="n">
        <v>25.86</v>
      </c>
      <c r="M5046" s="17" t="n">
        <v>0</v>
      </c>
      <c r="N5046" s="17">
        <f>K5046*0.08+L5046*0.08</f>
        <v/>
      </c>
      <c r="O5046" s="17">
        <f>-(K5046*0.025+L5046*0.025)</f>
        <v/>
      </c>
      <c r="P5046" s="17">
        <f>32</f>
        <v/>
      </c>
      <c r="Q5046" s="17">
        <f>J5046+L5046+N5046+O5046-P5046-M5046</f>
        <v/>
      </c>
    </row>
    <row r="5047">
      <c r="A5047" s="16" t="inlineStr">
        <is>
          <t>5.8-5.14</t>
        </is>
      </c>
      <c r="B5047" s="16" t="inlineStr">
        <is>
          <t>PO-128-15381514563193006</t>
        </is>
      </c>
      <c r="C5047" s="16" t="inlineStr">
        <is>
          <t>Delivered</t>
        </is>
      </c>
      <c r="D5047" s="16" t="inlineStr">
        <is>
          <t>128-15381493591673006</t>
        </is>
      </c>
      <c r="E5047" s="16" t="inlineStr">
        <is>
          <t>Delivered</t>
        </is>
      </c>
      <c r="F5047" s="16" t="inlineStr">
        <is>
          <t>LB02235-rojo</t>
        </is>
      </c>
      <c r="G5047" s="16" t="inlineStr">
        <is>
          <t>Audífonos Inalámbricos para la Cabeza, Recargables y Multifuncionales - Conectan a Varios Dispositivos, soportan Radio FM, Tarjeta TF y AUX - 4 Horas de Reproducción Musical - Ideal para Trabajo Cotidiano, Juegos y Estudio</t>
        </is>
      </c>
      <c r="H5047" s="16" t="inlineStr">
        <is>
          <t>ROJO</t>
        </is>
      </c>
      <c r="I5047" s="16" t="n">
        <v>1</v>
      </c>
      <c r="J5047" s="17" t="n">
        <v>38</v>
      </c>
      <c r="K5047" s="17" t="n">
        <v>51.12</v>
      </c>
      <c r="L5047" s="17" t="n">
        <v>25.86</v>
      </c>
      <c r="M5047" s="17" t="n">
        <v>0</v>
      </c>
      <c r="N5047" s="17">
        <f>K5047*0.08+L5047*0.08</f>
        <v/>
      </c>
      <c r="O5047" s="17">
        <f>-(K5047*0.025+L5047*0.025)</f>
        <v/>
      </c>
      <c r="P5047" s="17">
        <f>32</f>
        <v/>
      </c>
      <c r="Q5047" s="17">
        <f>J5047+L5047+N5047+O5047-P5047-M5047</f>
        <v/>
      </c>
    </row>
    <row r="5048">
      <c r="A5048" s="16" t="inlineStr">
        <is>
          <t>5.8-5.14</t>
        </is>
      </c>
      <c r="B5048" s="16" t="inlineStr">
        <is>
          <t>PO-128-15788494961270516</t>
        </is>
      </c>
      <c r="C5048" s="16" t="inlineStr">
        <is>
          <t>Delivered</t>
        </is>
      </c>
      <c r="D5048" s="16" t="inlineStr">
        <is>
          <t>128-15788453018230516</t>
        </is>
      </c>
      <c r="E5048" s="16" t="inlineStr">
        <is>
          <t>Delivered</t>
        </is>
      </c>
      <c r="F5048" s="16" t="inlineStr">
        <is>
          <t>KTS-1678R</t>
        </is>
      </c>
      <c r="G5048" s="16" t="inlineStr">
        <is>
          <t>Bocina portátil Inalámbrico, de 3 pulgadas, tamaño de bolsillo, 170 g, con asa, compatible con TF, USB y Micro SD, con radio FM y función TWS (True Wireless Stereo), adecuada para relajarse en casa o viajar al aire libre.</t>
        </is>
      </c>
      <c r="H5048" s="16" t="inlineStr">
        <is>
          <t>KTS-1678R</t>
        </is>
      </c>
      <c r="I5048" s="16" t="n">
        <v>1</v>
      </c>
      <c r="J5048" s="17" t="n">
        <v>42.5</v>
      </c>
      <c r="K5048" s="17" t="n">
        <v>43.16</v>
      </c>
      <c r="L5048" s="17" t="n">
        <v>25.86</v>
      </c>
      <c r="M5048" s="17" t="n">
        <v>0</v>
      </c>
      <c r="N5048" s="17">
        <f>K5048*0.08+L5048*0.08</f>
        <v/>
      </c>
      <c r="O5048" s="17">
        <f>-(K5048*0.025+L5048*0.025)</f>
        <v/>
      </c>
      <c r="P5048" s="17">
        <f>32</f>
        <v/>
      </c>
      <c r="Q5048" s="17">
        <f>J5048+L5048+N5048+O5048-P5048-M5048</f>
        <v/>
      </c>
    </row>
    <row r="5049">
      <c r="A5049" s="16" t="inlineStr">
        <is>
          <t>5.8-5.14</t>
        </is>
      </c>
      <c r="B5049" s="16" t="inlineStr">
        <is>
          <t>PO-128-15681453722230130</t>
        </is>
      </c>
      <c r="C5049" s="16" t="inlineStr">
        <is>
          <t>Delivered</t>
        </is>
      </c>
      <c r="D5049" s="16" t="inlineStr">
        <is>
          <t>128-15681474693750130</t>
        </is>
      </c>
      <c r="E5049" s="16" t="inlineStr">
        <is>
          <t>Delivered</t>
        </is>
      </c>
      <c r="F5049" s="16" t="inlineStr">
        <is>
          <t>LV25W22</t>
        </is>
      </c>
      <c r="G504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49" s="16" t="inlineStr">
        <is>
          <t>LV25W32</t>
        </is>
      </c>
      <c r="I5049" s="16" t="n">
        <v>1</v>
      </c>
      <c r="J5049" s="17" t="n">
        <v>97</v>
      </c>
      <c r="K5049" s="17" t="n">
        <v>55.69</v>
      </c>
      <c r="L5049" s="17" t="n">
        <v>25.86</v>
      </c>
      <c r="M5049" s="17" t="n">
        <v>0</v>
      </c>
      <c r="N5049" s="17">
        <f>K5049*0.08+L5049*0.08</f>
        <v/>
      </c>
      <c r="O5049" s="17">
        <f>-(K5049*0.025+L5049*0.025)</f>
        <v/>
      </c>
      <c r="P5049" s="17">
        <f>32</f>
        <v/>
      </c>
      <c r="Q5049" s="17">
        <f>J5049+L5049+N5049+O5049-P5049-M5049</f>
        <v/>
      </c>
    </row>
    <row r="5050">
      <c r="A5050" s="16" t="inlineStr">
        <is>
          <t>5.8-5.14</t>
        </is>
      </c>
      <c r="B5050" s="16" t="inlineStr">
        <is>
          <t>PO-128-15172921559673291</t>
        </is>
      </c>
      <c r="C5050" s="16" t="inlineStr">
        <is>
          <t>Delivered</t>
        </is>
      </c>
      <c r="D5050" s="16" t="inlineStr">
        <is>
          <t>128-15172858645113291</t>
        </is>
      </c>
      <c r="E5050" s="16" t="inlineStr">
        <is>
          <t>Delivered</t>
        </is>
      </c>
      <c r="F5050" s="16" t="inlineStr">
        <is>
          <t>KTS-1943-R</t>
        </is>
      </c>
      <c r="G5050"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5050" s="16" t="inlineStr">
        <is>
          <t>ROJO</t>
        </is>
      </c>
      <c r="I5050" s="16" t="n">
        <v>1</v>
      </c>
      <c r="J5050" s="17" t="n">
        <v>75</v>
      </c>
      <c r="K5050" s="17" t="n">
        <v>47.46</v>
      </c>
      <c r="L5050" s="17" t="n">
        <v>13.49</v>
      </c>
      <c r="M5050" s="17" t="n">
        <v>0</v>
      </c>
      <c r="N5050" s="17">
        <f>K5050*0.08+L5050*0.08</f>
        <v/>
      </c>
      <c r="O5050" s="17">
        <f>-(K5050*0.025+L5050*0.025)</f>
        <v/>
      </c>
      <c r="P5050" s="17">
        <f>32</f>
        <v/>
      </c>
      <c r="Q5050" s="17">
        <f>J5050+L5050+N5050+O5050-P5050-M5050</f>
        <v/>
      </c>
    </row>
    <row r="5051">
      <c r="A5051" s="16" t="inlineStr">
        <is>
          <t>5.8-5.14</t>
        </is>
      </c>
      <c r="B5051" s="16" t="inlineStr">
        <is>
          <t>PO-128-15172921559673291</t>
        </is>
      </c>
      <c r="C5051" s="16" t="inlineStr">
        <is>
          <t>Delivered</t>
        </is>
      </c>
      <c r="D5051" s="16" t="inlineStr">
        <is>
          <t>128-15172942531193291</t>
        </is>
      </c>
      <c r="E5051" s="16" t="inlineStr">
        <is>
          <t>Delivered</t>
        </is>
      </c>
      <c r="F5051" s="16" t="inlineStr">
        <is>
          <t>KTS-1943-N</t>
        </is>
      </c>
      <c r="G5051"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5051" s="16" t="inlineStr">
        <is>
          <t>NEGRO</t>
        </is>
      </c>
      <c r="I5051" s="16" t="n">
        <v>1</v>
      </c>
      <c r="J5051" s="17" t="n">
        <v>67.5</v>
      </c>
      <c r="K5051" s="17" t="n">
        <v>43.53</v>
      </c>
      <c r="L5051" s="17" t="n">
        <v>12.37</v>
      </c>
      <c r="M5051" s="17" t="n">
        <v>0</v>
      </c>
      <c r="N5051" s="17">
        <f>K5051*0.08+L5051*0.08</f>
        <v/>
      </c>
      <c r="O5051" s="17">
        <f>-(K5051*0.025+L5051*0.025)</f>
        <v/>
      </c>
      <c r="P5051" s="17">
        <f>32</f>
        <v/>
      </c>
      <c r="Q5051" s="17">
        <f>J5051+L5051+N5051+O5051-P5051-M5051</f>
        <v/>
      </c>
    </row>
    <row r="5052">
      <c r="A5052" s="16" t="inlineStr">
        <is>
          <t>5.8-5.14</t>
        </is>
      </c>
      <c r="B5052" s="16" t="inlineStr">
        <is>
          <t>PO-128-15256578570873750</t>
        </is>
      </c>
      <c r="C5052" s="16" t="inlineStr">
        <is>
          <t>Delivered</t>
        </is>
      </c>
      <c r="D5052" s="16" t="inlineStr">
        <is>
          <t>128-15256620513913750</t>
        </is>
      </c>
      <c r="E5052" s="16" t="inlineStr">
        <is>
          <t>Delivered</t>
        </is>
      </c>
      <c r="F5052" s="16" t="inlineStr">
        <is>
          <t>LB02235-azul</t>
        </is>
      </c>
      <c r="G5052" s="16" t="inlineStr">
        <is>
          <t>Audífonos Inalámbricos para la Cabeza, Recargables y Multifuncionales - Conectan a Varios Dispositivos, soportan Radio FM, Tarjeta TF y AUX - 4 Horas de Reproducción Musical - Ideal para Trabajo Cotidiano, Juegos y Estudio</t>
        </is>
      </c>
      <c r="H5052" s="16" t="inlineStr">
        <is>
          <t>AZUL</t>
        </is>
      </c>
      <c r="I5052" s="16" t="n">
        <v>1</v>
      </c>
      <c r="J5052" s="17" t="n">
        <v>37.6</v>
      </c>
      <c r="K5052" s="17" t="n">
        <v>50.72</v>
      </c>
      <c r="L5052" s="17" t="n">
        <v>25.86</v>
      </c>
      <c r="M5052" s="17" t="n">
        <v>0</v>
      </c>
      <c r="N5052" s="17">
        <f>K5052*0.08+L5052*0.08</f>
        <v/>
      </c>
      <c r="O5052" s="17">
        <f>-(K5052*0.025+L5052*0.025)</f>
        <v/>
      </c>
      <c r="P5052" s="17">
        <f>32</f>
        <v/>
      </c>
      <c r="Q5052" s="17">
        <f>J5052+L5052+N5052+O5052-P5052-M5052</f>
        <v/>
      </c>
    </row>
    <row r="5053">
      <c r="A5053" s="16" t="inlineStr">
        <is>
          <t>5.8-5.14</t>
        </is>
      </c>
      <c r="B5053" s="16" t="inlineStr">
        <is>
          <t>PO-128-15595743119991667</t>
        </is>
      </c>
      <c r="C5053" s="16" t="inlineStr">
        <is>
          <t>Delivered</t>
        </is>
      </c>
      <c r="D5053" s="16" t="inlineStr">
        <is>
          <t>128-15595753605751667</t>
        </is>
      </c>
      <c r="E5053" s="16" t="inlineStr">
        <is>
          <t>Delivered</t>
        </is>
      </c>
      <c r="F5053" s="16" t="inlineStr">
        <is>
          <t>MCM-001N</t>
        </is>
      </c>
      <c r="G5053" s="16" t="inlineStr">
        <is>
          <t>Musicord Altavoz Inalámbrico BT Portátil: ¡Sonido impactante, luces LED multicolores y 4 horas de autonomía! Compatible con TWS, FM, TF y USB – Imprescindible para fiestas y viajes</t>
        </is>
      </c>
      <c r="H5053" s="16" t="inlineStr">
        <is>
          <t>NEGRO</t>
        </is>
      </c>
      <c r="I5053" s="16" t="n">
        <v>1</v>
      </c>
      <c r="J5053" s="17" t="n">
        <v>61</v>
      </c>
      <c r="K5053" s="17" t="n">
        <v>61.43</v>
      </c>
      <c r="L5053" s="17" t="n">
        <v>25.86</v>
      </c>
      <c r="M5053" s="17" t="n">
        <v>0</v>
      </c>
      <c r="N5053" s="17">
        <f>K5053*0.08+L5053*0.08</f>
        <v/>
      </c>
      <c r="O5053" s="17">
        <f>-(K5053*0.025+L5053*0.025)</f>
        <v/>
      </c>
      <c r="P5053" s="17">
        <f>32</f>
        <v/>
      </c>
      <c r="Q5053" s="17">
        <f>J5053+L5053+N5053+O5053-P5053-M5053</f>
        <v/>
      </c>
    </row>
    <row r="5054">
      <c r="A5054" s="16" t="inlineStr">
        <is>
          <t>5.8-5.14</t>
        </is>
      </c>
      <c r="B5054" s="16" t="inlineStr">
        <is>
          <t>PO-128-15612000195191760</t>
        </is>
      </c>
      <c r="C5054" s="16" t="inlineStr">
        <is>
          <t>Delivered</t>
        </is>
      </c>
      <c r="D5054" s="16" t="inlineStr">
        <is>
          <t>128-15611958252151760</t>
        </is>
      </c>
      <c r="E5054" s="16" t="inlineStr">
        <is>
          <t>Delivered</t>
        </is>
      </c>
      <c r="F5054" s="16" t="inlineStr">
        <is>
          <t>LV25W22</t>
        </is>
      </c>
      <c r="G50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54" s="16" t="inlineStr">
        <is>
          <t>LV25W32</t>
        </is>
      </c>
      <c r="I5054" s="16" t="n">
        <v>1</v>
      </c>
      <c r="J5054" s="17" t="n">
        <v>97</v>
      </c>
      <c r="K5054" s="17" t="n">
        <v>53.96</v>
      </c>
      <c r="L5054" s="17" t="n">
        <v>25.86</v>
      </c>
      <c r="M5054" s="17" t="n">
        <v>0</v>
      </c>
      <c r="N5054" s="17">
        <f>K5054*0.08+L5054*0.08</f>
        <v/>
      </c>
      <c r="O5054" s="17">
        <f>-(K5054*0.025+L5054*0.025)</f>
        <v/>
      </c>
      <c r="P5054" s="17">
        <f>32</f>
        <v/>
      </c>
      <c r="Q5054" s="17">
        <f>J5054+L5054+N5054+O5054-P5054-M5054</f>
        <v/>
      </c>
    </row>
    <row r="5055">
      <c r="A5055" s="16" t="inlineStr">
        <is>
          <t>5.8-5.14</t>
        </is>
      </c>
      <c r="B5055" s="16" t="inlineStr">
        <is>
          <t>PO-128-15610957558391766</t>
        </is>
      </c>
      <c r="C5055" s="16" t="inlineStr">
        <is>
          <t>Delivered</t>
        </is>
      </c>
      <c r="D5055" s="16" t="inlineStr">
        <is>
          <t>128-15611025715831766</t>
        </is>
      </c>
      <c r="E5055" s="16" t="inlineStr">
        <is>
          <t>Delivered</t>
        </is>
      </c>
      <c r="F5055" s="16" t="inlineStr">
        <is>
          <t>MCM-001G</t>
        </is>
      </c>
      <c r="G5055" s="16" t="inlineStr">
        <is>
          <t>Musicord Altavoz Inalámbrico BT Portátil: ¡Sonido impactante, luces LED multicolores y 4 horas de autonomía! Compatible con TWS, FM, TF y USB – Imprescindible para fiestas y viajes</t>
        </is>
      </c>
      <c r="H5055" s="16" t="inlineStr">
        <is>
          <t>GRIS</t>
        </is>
      </c>
      <c r="I5055" s="16" t="n">
        <v>1</v>
      </c>
      <c r="J5055" s="17" t="n">
        <v>51.07</v>
      </c>
      <c r="K5055" s="17" t="n">
        <v>62.34</v>
      </c>
      <c r="L5055" s="17" t="n">
        <v>25.86</v>
      </c>
      <c r="M5055" s="17" t="n">
        <v>0</v>
      </c>
      <c r="N5055" s="17">
        <f>K5055*0.08+L5055*0.08</f>
        <v/>
      </c>
      <c r="O5055" s="17">
        <f>-(K5055*0.025+L5055*0.025)</f>
        <v/>
      </c>
      <c r="P5055" s="17">
        <f>32</f>
        <v/>
      </c>
      <c r="Q5055" s="17">
        <f>J5055+L5055+N5055+O5055-P5055-M5055</f>
        <v/>
      </c>
    </row>
    <row r="5056">
      <c r="A5056" s="16" t="inlineStr">
        <is>
          <t>5.8-5.14</t>
        </is>
      </c>
      <c r="B5056" s="16" t="inlineStr">
        <is>
          <t>PO-128-15547960412791951</t>
        </is>
      </c>
      <c r="C5056" s="16" t="inlineStr">
        <is>
          <t>Delivered</t>
        </is>
      </c>
      <c r="D5056" s="16" t="inlineStr">
        <is>
          <t>128-15548096727671951</t>
        </is>
      </c>
      <c r="E5056" s="16" t="inlineStr">
        <is>
          <t>Delivered</t>
        </is>
      </c>
      <c r="F5056" s="16" t="inlineStr">
        <is>
          <t>MB-178-N</t>
        </is>
      </c>
      <c r="G5056" s="16" t="inlineStr">
        <is>
          <t>Bocina de Barra Bluetooth LINK BITS con dos altavoces, sonido de alta calidad y multifuncional (Bluetooth, Radio FM, USB, TF, AUX, TWS), ideal para juegos, reuniones, oficina y cine en casa.</t>
        </is>
      </c>
      <c r="H5056" s="16" t="inlineStr">
        <is>
          <t>NEGRO</t>
        </is>
      </c>
      <c r="I5056" s="16" t="n">
        <v>1</v>
      </c>
      <c r="J5056" s="17" t="n">
        <v>135</v>
      </c>
      <c r="K5056" s="17" t="n">
        <v>123.47</v>
      </c>
      <c r="L5056" s="17" t="n">
        <v>25.86</v>
      </c>
      <c r="M5056" s="17" t="n">
        <v>0</v>
      </c>
      <c r="N5056" s="17">
        <f>K5056*0.08+L5056*0.08</f>
        <v/>
      </c>
      <c r="O5056" s="17">
        <f>-(K5056*0.025+L5056*0.025)</f>
        <v/>
      </c>
      <c r="P5056" s="17">
        <f>32</f>
        <v/>
      </c>
      <c r="Q5056" s="17">
        <f>J5056+L5056+N5056+O5056-P5056-M5056</f>
        <v/>
      </c>
    </row>
    <row r="5057">
      <c r="A5057" s="16" t="inlineStr">
        <is>
          <t>5.8-5.14</t>
        </is>
      </c>
      <c r="B5057" s="16" t="inlineStr">
        <is>
          <t>PO-128-15691584533110199</t>
        </is>
      </c>
      <c r="C5057" s="16" t="inlineStr">
        <is>
          <t>Delivered</t>
        </is>
      </c>
      <c r="D5057" s="16" t="inlineStr">
        <is>
          <t>128-15691689390710199</t>
        </is>
      </c>
      <c r="E5057" s="16" t="inlineStr">
        <is>
          <t>Delivered</t>
        </is>
      </c>
      <c r="F5057" s="16" t="inlineStr">
        <is>
          <t>MB-185A</t>
        </is>
      </c>
      <c r="G5057" s="16" t="inlineStr">
        <is>
          <t>Bocina Radio FM/Reproductor, Compatible con Tarjeta TF, USB, Bluetooth, Aplicable para celular, computadora, Ipad y consola.</t>
        </is>
      </c>
      <c r="H5057" s="16" t="inlineStr">
        <is>
          <t>AZUL/MB-185</t>
        </is>
      </c>
      <c r="I5057" s="16" t="n">
        <v>1</v>
      </c>
      <c r="J5057" s="17" t="n">
        <v>75.5</v>
      </c>
      <c r="K5057" s="17" t="n">
        <v>88.45999999999999</v>
      </c>
      <c r="L5057" s="17" t="n">
        <v>25.86</v>
      </c>
      <c r="M5057" s="17" t="n">
        <v>0</v>
      </c>
      <c r="N5057" s="17">
        <f>K5057*0.08+L5057*0.08</f>
        <v/>
      </c>
      <c r="O5057" s="17">
        <f>-(K5057*0.025+L5057*0.025)</f>
        <v/>
      </c>
      <c r="P5057" s="17">
        <f>32</f>
        <v/>
      </c>
      <c r="Q5057" s="17">
        <f>J5057+L5057+N5057+O5057-P5057-M5057</f>
        <v/>
      </c>
    </row>
    <row r="5058">
      <c r="A5058" s="16" t="inlineStr">
        <is>
          <t>5.8-5.14</t>
        </is>
      </c>
      <c r="B5058" s="16" t="inlineStr">
        <is>
          <t>PO-128-15274220431993647</t>
        </is>
      </c>
      <c r="C5058" s="16" t="inlineStr">
        <is>
          <t>Delivered</t>
        </is>
      </c>
      <c r="D5058" s="16" t="inlineStr">
        <is>
          <t>128-15274262375033647</t>
        </is>
      </c>
      <c r="E5058" s="16" t="inlineStr">
        <is>
          <t>Delivered</t>
        </is>
      </c>
      <c r="F5058" s="16" t="inlineStr">
        <is>
          <t>MCM-001G</t>
        </is>
      </c>
      <c r="G5058" s="16" t="inlineStr">
        <is>
          <t>Musicord Altavoz Inalámbrico BT Portátil: ¡Sonido impactante, luces LED multicolores y 4 horas de autonomía! Compatible con TWS, FM, TF y USB – Imprescindible para fiestas y viajes</t>
        </is>
      </c>
      <c r="H5058" s="16" t="inlineStr">
        <is>
          <t>GRIS</t>
        </is>
      </c>
      <c r="I5058" s="16" t="n">
        <v>1</v>
      </c>
      <c r="J5058" s="17" t="n">
        <v>51.07</v>
      </c>
      <c r="K5058" s="17" t="n">
        <v>2</v>
      </c>
      <c r="L5058" s="17" t="n">
        <v>25.86</v>
      </c>
      <c r="M5058" s="17" t="n">
        <v>0</v>
      </c>
      <c r="N5058" s="17">
        <f>K5058*0.08+L5058*0.08</f>
        <v/>
      </c>
      <c r="O5058" s="17">
        <f>-(K5058*0.025+L5058*0.025)</f>
        <v/>
      </c>
      <c r="P5058" s="17">
        <f>32</f>
        <v/>
      </c>
      <c r="Q5058" s="17">
        <f>J5058+L5058+N5058+O5058-P5058-M5058</f>
        <v/>
      </c>
    </row>
    <row r="5059">
      <c r="A5059" s="16" t="inlineStr">
        <is>
          <t>5.8-5.14</t>
        </is>
      </c>
      <c r="B5059" s="16" t="inlineStr">
        <is>
          <t>PO-128-15585739704951916</t>
        </is>
      </c>
      <c r="C5059" s="16" t="inlineStr">
        <is>
          <t>Delivered</t>
        </is>
      </c>
      <c r="D5059" s="16" t="inlineStr">
        <is>
          <t>128-15585760676471916</t>
        </is>
      </c>
      <c r="E5059" s="16" t="inlineStr">
        <is>
          <t>Delivered</t>
        </is>
      </c>
      <c r="F5059" s="16" t="inlineStr">
        <is>
          <t>MB-185N</t>
        </is>
      </c>
      <c r="G5059" s="16" t="inlineStr">
        <is>
          <t>Bocina Radio FM/Reproductor, Compatible con Tarjeta TF, USB, Bluetooth, Aplicable para celular, computadora, Ipad y consola.</t>
        </is>
      </c>
      <c r="H5059" s="16" t="inlineStr">
        <is>
          <t>NEGRO/MB-185</t>
        </is>
      </c>
      <c r="I5059" s="16" t="n">
        <v>1</v>
      </c>
      <c r="J5059" s="17" t="n">
        <v>75.5</v>
      </c>
      <c r="K5059" s="17" t="n">
        <v>88.45999999999999</v>
      </c>
      <c r="L5059" s="17" t="n">
        <v>25.86</v>
      </c>
      <c r="M5059" s="17" t="n">
        <v>0</v>
      </c>
      <c r="N5059" s="17">
        <f>K5059*0.08+L5059*0.08</f>
        <v/>
      </c>
      <c r="O5059" s="17">
        <f>-(K5059*0.025+L5059*0.025)</f>
        <v/>
      </c>
      <c r="P5059" s="17">
        <f>32</f>
        <v/>
      </c>
      <c r="Q5059" s="17">
        <f>J5059+L5059+N5059+O5059-P5059-M5059</f>
        <v/>
      </c>
    </row>
    <row r="5060">
      <c r="A5060" s="16" t="inlineStr">
        <is>
          <t>5.8-5.14</t>
        </is>
      </c>
      <c r="B5060" s="16" t="inlineStr">
        <is>
          <t>PO-128-15532769208951080</t>
        </is>
      </c>
      <c r="C5060" s="16" t="inlineStr">
        <is>
          <t>Delivered</t>
        </is>
      </c>
      <c r="D5060" s="16" t="inlineStr">
        <is>
          <t>128-15532761344631080</t>
        </is>
      </c>
      <c r="E5060" s="16" t="inlineStr">
        <is>
          <t>Delivered</t>
        </is>
      </c>
      <c r="F5060" s="16" t="inlineStr">
        <is>
          <t>LB02235-rojo</t>
        </is>
      </c>
      <c r="G5060" s="16" t="inlineStr">
        <is>
          <t>Audífonos Inalámbricos para la Cabeza, Recargables y Multifuncionales - Conectan a Varios Dispositivos, soportan Radio FM, Tarjeta TF y AUX - 4 Horas de Reproducción Musical - Ideal para Trabajo Cotidiano, Juegos y Estudio</t>
        </is>
      </c>
      <c r="H5060" s="16" t="inlineStr">
        <is>
          <t>ROJO</t>
        </is>
      </c>
      <c r="I5060" s="16" t="n">
        <v>2</v>
      </c>
      <c r="J5060" s="17" t="n">
        <v>76</v>
      </c>
      <c r="K5060" s="17" t="n">
        <v>102.24</v>
      </c>
      <c r="L5060" s="17" t="n">
        <v>17.3</v>
      </c>
      <c r="M5060" s="17" t="n">
        <v>0</v>
      </c>
      <c r="N5060" s="17">
        <f>K5060*0.08+L5060*0.08</f>
        <v/>
      </c>
      <c r="O5060" s="17">
        <f>-(K5060*0.025+L5060*0.025)</f>
        <v/>
      </c>
      <c r="P5060" s="17">
        <f>32</f>
        <v/>
      </c>
      <c r="Q5060" s="17">
        <f>J5060+L5060+N5060+O5060-P5060-M5060</f>
        <v/>
      </c>
    </row>
    <row r="5061">
      <c r="A5061" s="16" t="inlineStr">
        <is>
          <t>5.8-5.14</t>
        </is>
      </c>
      <c r="B5061" s="16" t="inlineStr">
        <is>
          <t>PO-128-15532769208951080</t>
        </is>
      </c>
      <c r="C5061" s="16" t="inlineStr">
        <is>
          <t>Delivered</t>
        </is>
      </c>
      <c r="D5061" s="16" t="inlineStr">
        <is>
          <t>128-15532845230711080</t>
        </is>
      </c>
      <c r="E5061" s="16" t="inlineStr">
        <is>
          <t>Delivered</t>
        </is>
      </c>
      <c r="F5061" s="16" t="inlineStr">
        <is>
          <t>LB02235-azul</t>
        </is>
      </c>
      <c r="G5061" s="16" t="inlineStr">
        <is>
          <t>Audífonos Inalámbricos para la Cabeza, Recargables y Multifuncionales - Conectan a Varios Dispositivos, soportan Radio FM, Tarjeta TF y AUX - 4 Horas de Reproducción Musical - Ideal para Trabajo Cotidiano, Juegos y Estudio</t>
        </is>
      </c>
      <c r="H5061" s="16" t="inlineStr">
        <is>
          <t>AZUL</t>
        </is>
      </c>
      <c r="I5061" s="16" t="n">
        <v>1</v>
      </c>
      <c r="J5061" s="17" t="n">
        <v>37.6</v>
      </c>
      <c r="K5061" s="17" t="n">
        <v>50.72</v>
      </c>
      <c r="L5061" s="17" t="n">
        <v>8.57</v>
      </c>
      <c r="M5061" s="17" t="n">
        <v>0</v>
      </c>
      <c r="N5061" s="17">
        <f>K5061*0.08+L5061*0.08</f>
        <v/>
      </c>
      <c r="O5061" s="17">
        <f>-(K5061*0.025+L5061*0.025)</f>
        <v/>
      </c>
      <c r="P5061" s="17">
        <f>32</f>
        <v/>
      </c>
      <c r="Q5061" s="17">
        <f>J5061+L5061+N5061+O5061-P5061-M5061</f>
        <v/>
      </c>
    </row>
    <row r="5062">
      <c r="A5062" s="16" t="inlineStr">
        <is>
          <t>5.8-5.14</t>
        </is>
      </c>
      <c r="B5062" s="16" t="inlineStr">
        <is>
          <t>PO-128-15309497795192541</t>
        </is>
      </c>
      <c r="C5062" s="16" t="inlineStr">
        <is>
          <t>Delivered</t>
        </is>
      </c>
      <c r="D5062" s="16" t="inlineStr">
        <is>
          <t>128-15309518766712541</t>
        </is>
      </c>
      <c r="E5062" s="16" t="inlineStr">
        <is>
          <t>Delivered</t>
        </is>
      </c>
      <c r="F5062" s="16" t="inlineStr">
        <is>
          <t>LV25W22</t>
        </is>
      </c>
      <c r="G506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62" s="16" t="inlineStr">
        <is>
          <t>LV25W32</t>
        </is>
      </c>
      <c r="I5062" s="16" t="n">
        <v>1</v>
      </c>
      <c r="J5062" s="17" t="n">
        <v>97</v>
      </c>
      <c r="K5062" s="17" t="n">
        <v>24.65</v>
      </c>
      <c r="L5062" s="17" t="n">
        <v>25.86</v>
      </c>
      <c r="M5062" s="17" t="n">
        <v>0</v>
      </c>
      <c r="N5062" s="17">
        <f>K5062*0.08+L5062*0.08</f>
        <v/>
      </c>
      <c r="O5062" s="17">
        <f>-(K5062*0.025+L5062*0.025)</f>
        <v/>
      </c>
      <c r="P5062" s="17">
        <f>32</f>
        <v/>
      </c>
      <c r="Q5062" s="17">
        <f>J5062+L5062+N5062+O5062-P5062-M5062</f>
        <v/>
      </c>
    </row>
    <row r="5063">
      <c r="A5063" s="16" t="inlineStr">
        <is>
          <t>5.8-5.14</t>
        </is>
      </c>
      <c r="B5063" s="16" t="inlineStr">
        <is>
          <t>PO-128-15424427131512750</t>
        </is>
      </c>
      <c r="C5063" s="16" t="inlineStr">
        <is>
          <t>Delivered</t>
        </is>
      </c>
      <c r="D5063" s="16" t="inlineStr">
        <is>
          <t>128-15424385188472750</t>
        </is>
      </c>
      <c r="E5063" s="16" t="inlineStr">
        <is>
          <t>Delivered</t>
        </is>
      </c>
      <c r="F5063" s="16" t="inlineStr">
        <is>
          <t>SA8056T</t>
        </is>
      </c>
      <c r="G506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063" s="16" t="inlineStr">
        <is>
          <t>SA8056T</t>
        </is>
      </c>
      <c r="I5063" s="16" t="n">
        <v>1</v>
      </c>
      <c r="J5063" s="17" t="n">
        <v>123.9</v>
      </c>
      <c r="K5063" s="17" t="n">
        <v>101.18</v>
      </c>
      <c r="L5063" s="17" t="n">
        <v>25.86</v>
      </c>
      <c r="M5063" s="17" t="n">
        <v>0</v>
      </c>
      <c r="N5063" s="17">
        <f>K5063*0.08+L5063*0.08</f>
        <v/>
      </c>
      <c r="O5063" s="17">
        <f>-(K5063*0.025+L5063*0.025)</f>
        <v/>
      </c>
      <c r="P5063" s="17">
        <f>32</f>
        <v/>
      </c>
      <c r="Q5063" s="17">
        <f>J5063+L5063+N5063+O5063-P5063-M5063</f>
        <v/>
      </c>
    </row>
    <row r="5064">
      <c r="A5064" s="16" t="inlineStr">
        <is>
          <t>5.8-5.14</t>
        </is>
      </c>
      <c r="B5064" s="16" t="inlineStr">
        <is>
          <t>PO-128-15487634575991287</t>
        </is>
      </c>
      <c r="C5064" s="16" t="inlineStr">
        <is>
          <t>Delivered</t>
        </is>
      </c>
      <c r="D5064" s="16" t="inlineStr">
        <is>
          <t>128-15487582147191287</t>
        </is>
      </c>
      <c r="E5064" s="16" t="inlineStr">
        <is>
          <t>Delivered</t>
        </is>
      </c>
      <c r="F5064" s="16" t="inlineStr">
        <is>
          <t>LV25W22</t>
        </is>
      </c>
      <c r="G506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64" s="16" t="inlineStr">
        <is>
          <t>LV25W32</t>
        </is>
      </c>
      <c r="I5064" s="16" t="n">
        <v>1</v>
      </c>
      <c r="J5064" s="17" t="n">
        <v>97</v>
      </c>
      <c r="K5064" s="17" t="n">
        <v>80.56999999999999</v>
      </c>
      <c r="L5064" s="17" t="n">
        <v>25.86</v>
      </c>
      <c r="M5064" s="17" t="n">
        <v>0</v>
      </c>
      <c r="N5064" s="17">
        <f>K5064*0.08+L5064*0.08</f>
        <v/>
      </c>
      <c r="O5064" s="17">
        <f>-(K5064*0.025+L5064*0.025)</f>
        <v/>
      </c>
      <c r="P5064" s="17">
        <f>32</f>
        <v/>
      </c>
      <c r="Q5064" s="17">
        <f>J5064+L5064+N5064+O5064-P5064-M5064</f>
        <v/>
      </c>
    </row>
    <row r="5065">
      <c r="A5065" s="16" t="inlineStr">
        <is>
          <t>5.8-5.14</t>
        </is>
      </c>
      <c r="B5065" s="16" t="inlineStr">
        <is>
          <t>PO-128-04247605210233963</t>
        </is>
      </c>
      <c r="C5065" s="16" t="inlineStr">
        <is>
          <t>Delivered</t>
        </is>
      </c>
      <c r="D5065" s="16" t="inlineStr">
        <is>
          <t>128-04247626181753963</t>
        </is>
      </c>
      <c r="E5065" s="16" t="inlineStr">
        <is>
          <t>Delivered</t>
        </is>
      </c>
      <c r="F5065" s="16" t="inlineStr">
        <is>
          <t>MB-185A</t>
        </is>
      </c>
      <c r="G5065" s="16" t="inlineStr">
        <is>
          <t>Bocina Radio FM/Reproductor, Compatible con Tarjeta TF, USB, Bluetooth, Aplicable para celular, computadora, Ipad y consola.</t>
        </is>
      </c>
      <c r="H5065" s="16" t="inlineStr">
        <is>
          <t>AZUL/MB-185</t>
        </is>
      </c>
      <c r="I5065" s="16" t="n">
        <v>1</v>
      </c>
      <c r="J5065" s="17" t="n">
        <v>75.5</v>
      </c>
      <c r="K5065" s="17" t="n">
        <v>5.7</v>
      </c>
      <c r="L5065" s="17" t="n">
        <v>25.86</v>
      </c>
      <c r="M5065" s="17" t="n">
        <v>0</v>
      </c>
      <c r="N5065" s="17">
        <f>K5065*0.08+L5065*0.08</f>
        <v/>
      </c>
      <c r="O5065" s="17">
        <f>-(K5065*0.025+L5065*0.025)</f>
        <v/>
      </c>
      <c r="P5065" s="17">
        <f>32</f>
        <v/>
      </c>
      <c r="Q5065" s="17">
        <f>J5065+L5065+N5065+O5065-P5065-M5065</f>
        <v/>
      </c>
    </row>
    <row r="5066">
      <c r="A5066" s="16" t="inlineStr">
        <is>
          <t>5.8-5.14</t>
        </is>
      </c>
      <c r="B5066" s="16" t="inlineStr">
        <is>
          <t>PO-128-04754399624310812</t>
        </is>
      </c>
      <c r="C5066" s="16" t="inlineStr">
        <is>
          <t>Delivered</t>
        </is>
      </c>
      <c r="D5066" s="16" t="inlineStr">
        <is>
          <t>128-04754441567350812</t>
        </is>
      </c>
      <c r="E5066" s="16" t="inlineStr">
        <is>
          <t>Delivered</t>
        </is>
      </c>
      <c r="F5066" s="16" t="inlineStr">
        <is>
          <t>S09W18IB</t>
        </is>
      </c>
      <c r="G5066"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5066" s="16" t="inlineStr">
        <is>
          <t>1 pieza</t>
        </is>
      </c>
      <c r="I5066" s="16" t="n">
        <v>5</v>
      </c>
      <c r="J5066" s="17" t="n">
        <v>145</v>
      </c>
      <c r="K5066" s="17" t="n">
        <v>198.2</v>
      </c>
      <c r="L5066" s="17" t="n">
        <v>25.85</v>
      </c>
      <c r="M5066" s="17" t="n">
        <v>0</v>
      </c>
      <c r="N5066" s="17">
        <f>K5066*0.08+L5066*0.08</f>
        <v/>
      </c>
      <c r="O5066" s="17">
        <f>-(K5066*0.025+L5066*0.025)</f>
        <v/>
      </c>
      <c r="P5066" s="17">
        <f>32</f>
        <v/>
      </c>
      <c r="Q5066" s="17">
        <f>J5066+L5066+N5066+O5066-P5066-M5066</f>
        <v/>
      </c>
    </row>
    <row r="5067">
      <c r="A5067" s="16" t="inlineStr">
        <is>
          <t>5.8-5.14</t>
        </is>
      </c>
      <c r="B5067" s="16" t="inlineStr">
        <is>
          <t>PO-128-04750327639670772</t>
        </is>
      </c>
      <c r="C5067" s="16" t="inlineStr">
        <is>
          <t>Delivered</t>
        </is>
      </c>
      <c r="D5067" s="16" t="inlineStr">
        <is>
          <t>128-04750332882550772</t>
        </is>
      </c>
      <c r="E5067" s="16" t="inlineStr">
        <is>
          <t>Delivered</t>
        </is>
      </c>
      <c r="F5067" s="16" t="inlineStr">
        <is>
          <t>LB02235-blanco</t>
        </is>
      </c>
      <c r="G5067" s="16" t="inlineStr">
        <is>
          <t>Audífonos Inalámbricos para la Cabeza, Recargables y Multifuncionales - Conectan a Varios Dispositivos, soportan Radio FM, Tarjeta TF y AUX - 4 Horas de Reproducción Musical - Ideal para Trabajo Cotidiano, Juegos y Estudio</t>
        </is>
      </c>
      <c r="H5067" s="16" t="inlineStr">
        <is>
          <t>BLANCO</t>
        </is>
      </c>
      <c r="I5067" s="16" t="n">
        <v>1</v>
      </c>
      <c r="J5067" s="17" t="n">
        <v>45.31</v>
      </c>
      <c r="K5067" s="17" t="n">
        <v>46.74</v>
      </c>
      <c r="L5067" s="17" t="n">
        <v>25.86</v>
      </c>
      <c r="M5067" s="17" t="n">
        <v>0</v>
      </c>
      <c r="N5067" s="17">
        <f>K5067*0.08+L5067*0.08</f>
        <v/>
      </c>
      <c r="O5067" s="17">
        <f>-(K5067*0.025+L5067*0.025)</f>
        <v/>
      </c>
      <c r="P5067" s="17">
        <f>32</f>
        <v/>
      </c>
      <c r="Q5067" s="17">
        <f>J5067+L5067+N5067+O5067-P5067-M5067</f>
        <v/>
      </c>
    </row>
    <row r="5068">
      <c r="A5068" s="16" t="inlineStr">
        <is>
          <t>5.8-5.14</t>
        </is>
      </c>
      <c r="B5068" s="16" t="inlineStr">
        <is>
          <t>PO-128-04492291436151286</t>
        </is>
      </c>
      <c r="C5068" s="16" t="inlineStr">
        <is>
          <t>Delivered</t>
        </is>
      </c>
      <c r="D5068" s="16" t="inlineStr">
        <is>
          <t>128-04492304543351286</t>
        </is>
      </c>
      <c r="E5068" s="16" t="inlineStr">
        <is>
          <t>Delivered</t>
        </is>
      </c>
      <c r="F5068" s="16" t="inlineStr">
        <is>
          <t>LV25W22</t>
        </is>
      </c>
      <c r="G50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68" s="16" t="inlineStr">
        <is>
          <t>LV25W32</t>
        </is>
      </c>
      <c r="I5068" s="16" t="n">
        <v>1</v>
      </c>
      <c r="J5068" s="17" t="n">
        <v>97</v>
      </c>
      <c r="K5068" s="17" t="n">
        <v>107.41</v>
      </c>
      <c r="L5068" s="17" t="n">
        <v>25.86</v>
      </c>
      <c r="M5068" s="17" t="n">
        <v>0</v>
      </c>
      <c r="N5068" s="17">
        <f>K5068*0.08+L5068*0.08</f>
        <v/>
      </c>
      <c r="O5068" s="17">
        <f>-(K5068*0.025+L5068*0.025)</f>
        <v/>
      </c>
      <c r="P5068" s="17">
        <f>32</f>
        <v/>
      </c>
      <c r="Q5068" s="17">
        <f>J5068+L5068+N5068+O5068-P5068-M5068</f>
        <v/>
      </c>
    </row>
    <row r="5069">
      <c r="A5069" s="16" t="inlineStr">
        <is>
          <t>5.8-5.14</t>
        </is>
      </c>
      <c r="B5069" s="16" t="inlineStr">
        <is>
          <t>PO-128-04539647493751068</t>
        </is>
      </c>
      <c r="C5069" s="16" t="inlineStr">
        <is>
          <t>Delivered</t>
        </is>
      </c>
      <c r="D5069" s="16" t="inlineStr">
        <is>
          <t>128-04539605550711068</t>
        </is>
      </c>
      <c r="E5069" s="16" t="inlineStr">
        <is>
          <t>Delivered</t>
        </is>
      </c>
      <c r="F5069" s="16" t="inlineStr">
        <is>
          <t>MCM-001R</t>
        </is>
      </c>
      <c r="G5069" s="16" t="inlineStr">
        <is>
          <t>Musicord Altavoz Inalámbrico BT Portátil: ¡Sonido impactante, luces LED multicolores y 4 horas de autonomía! Compatible con TWS, FM, TF y USB – Imprescindible para fiestas y viajes</t>
        </is>
      </c>
      <c r="H5069" s="16" t="inlineStr">
        <is>
          <t>ROJO</t>
        </is>
      </c>
      <c r="I5069" s="16" t="n">
        <v>1</v>
      </c>
      <c r="J5069" s="17" t="n">
        <v>66.5</v>
      </c>
      <c r="K5069" s="17" t="n">
        <v>77.77</v>
      </c>
      <c r="L5069" s="17" t="n">
        <v>25.86</v>
      </c>
      <c r="M5069" s="17" t="n">
        <v>0</v>
      </c>
      <c r="N5069" s="17">
        <f>K5069*0.08+L5069*0.08</f>
        <v/>
      </c>
      <c r="O5069" s="17">
        <f>-(K5069*0.025+L5069*0.025)</f>
        <v/>
      </c>
      <c r="P5069" s="17">
        <f>32</f>
        <v/>
      </c>
      <c r="Q5069" s="17">
        <f>J5069+L5069+N5069+O5069-P5069-M5069</f>
        <v/>
      </c>
    </row>
    <row r="5070">
      <c r="A5070" s="16" t="inlineStr">
        <is>
          <t>5.8-5.14</t>
        </is>
      </c>
      <c r="B5070" s="16" t="inlineStr">
        <is>
          <t>PO-128-04668014308470305</t>
        </is>
      </c>
      <c r="C5070" s="16" t="inlineStr">
        <is>
          <t>Delivered</t>
        </is>
      </c>
      <c r="D5070" s="16" t="inlineStr">
        <is>
          <t>128-04668082465910305</t>
        </is>
      </c>
      <c r="E5070" s="16" t="inlineStr">
        <is>
          <t>Delivered</t>
        </is>
      </c>
      <c r="F5070" s="16" t="inlineStr">
        <is>
          <t>LV25W22</t>
        </is>
      </c>
      <c r="G50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70" s="16" t="inlineStr">
        <is>
          <t>LV25W32</t>
        </is>
      </c>
      <c r="I5070" s="16" t="n">
        <v>2</v>
      </c>
      <c r="J5070" s="17" t="n">
        <v>194</v>
      </c>
      <c r="K5070" s="17" t="n">
        <v>182.6</v>
      </c>
      <c r="L5070" s="17" t="n">
        <v>25.86</v>
      </c>
      <c r="M5070" s="17" t="n">
        <v>0</v>
      </c>
      <c r="N5070" s="17">
        <f>K5070*0.08+L5070*0.08</f>
        <v/>
      </c>
      <c r="O5070" s="17">
        <f>-(K5070*0.025+L5070*0.025)</f>
        <v/>
      </c>
      <c r="P5070" s="17">
        <f>32</f>
        <v/>
      </c>
      <c r="Q5070" s="17">
        <f>J5070+L5070+N5070+O5070-P5070-M5070</f>
        <v/>
      </c>
    </row>
    <row r="5071">
      <c r="A5071" s="16" t="inlineStr">
        <is>
          <t>5.8-5.14</t>
        </is>
      </c>
      <c r="B5071" s="16" t="inlineStr">
        <is>
          <t>PO-128-04658878313590487</t>
        </is>
      </c>
      <c r="C5071" s="16" t="inlineStr">
        <is>
          <t>Delivered</t>
        </is>
      </c>
      <c r="D5071" s="16" t="inlineStr">
        <is>
          <t>128-04659014628470487</t>
        </is>
      </c>
      <c r="E5071" s="16" t="inlineStr">
        <is>
          <t>Delivered</t>
        </is>
      </c>
      <c r="F5071" s="16" t="inlineStr">
        <is>
          <t>MCM-001N</t>
        </is>
      </c>
      <c r="G5071" s="16" t="inlineStr">
        <is>
          <t>Musicord Altavoz Inalámbrico BT Portátil: ¡Sonido impactante, luces LED multicolores y 4 horas de autonomía! Compatible con TWS, FM, TF y USB – Imprescindible para fiestas y viajes</t>
        </is>
      </c>
      <c r="H5071" s="16" t="inlineStr">
        <is>
          <t>NEGRO</t>
        </is>
      </c>
      <c r="I5071" s="16" t="n">
        <v>1</v>
      </c>
      <c r="J5071" s="17" t="n">
        <v>61</v>
      </c>
      <c r="K5071" s="17" t="n">
        <v>61.43</v>
      </c>
      <c r="L5071" s="17" t="n">
        <v>25.86</v>
      </c>
      <c r="M5071" s="17" t="n">
        <v>0</v>
      </c>
      <c r="N5071" s="17">
        <f>K5071*0.08+L5071*0.08</f>
        <v/>
      </c>
      <c r="O5071" s="17">
        <f>-(K5071*0.025+L5071*0.025)</f>
        <v/>
      </c>
      <c r="P5071" s="17">
        <f>32</f>
        <v/>
      </c>
      <c r="Q5071" s="17">
        <f>J5071+L5071+N5071+O5071-P5071-M5071</f>
        <v/>
      </c>
    </row>
    <row r="5072">
      <c r="A5072" s="16" t="inlineStr">
        <is>
          <t>5.8-5.14</t>
        </is>
      </c>
      <c r="B5072" s="16" t="inlineStr">
        <is>
          <t>PO-128-04479630474871490</t>
        </is>
      </c>
      <c r="C5072" s="16" t="inlineStr">
        <is>
          <t>Delivered</t>
        </is>
      </c>
      <c r="D5072" s="16" t="inlineStr">
        <is>
          <t>128-04479651446391490</t>
        </is>
      </c>
      <c r="E5072" s="16" t="inlineStr">
        <is>
          <t>Delivered</t>
        </is>
      </c>
      <c r="F5072" s="16" t="inlineStr">
        <is>
          <t>LB02235-blanco</t>
        </is>
      </c>
      <c r="G5072" s="16" t="inlineStr">
        <is>
          <t>Audífonos Inalámbricos para la Cabeza, Recargables y Multifuncionales - Conectan a Varios Dispositivos, soportan Radio FM, Tarjeta TF y AUX - 4 Horas de Reproducción Musical - Ideal para Trabajo Cotidiano, Juegos y Estudio</t>
        </is>
      </c>
      <c r="H5072" s="16" t="inlineStr">
        <is>
          <t>BLANCO</t>
        </is>
      </c>
      <c r="I5072" s="16" t="n">
        <v>1</v>
      </c>
      <c r="J5072" s="17" t="n">
        <v>45.31</v>
      </c>
      <c r="K5072" s="17" t="n">
        <v>15.32</v>
      </c>
      <c r="L5072" s="17" t="n">
        <v>25.86</v>
      </c>
      <c r="M5072" s="17" t="n">
        <v>0</v>
      </c>
      <c r="N5072" s="17">
        <f>K5072*0.08+L5072*0.08</f>
        <v/>
      </c>
      <c r="O5072" s="17">
        <f>-(K5072*0.025+L5072*0.025)</f>
        <v/>
      </c>
      <c r="P5072" s="17">
        <f>32</f>
        <v/>
      </c>
      <c r="Q5072" s="17">
        <f>J5072+L5072+N5072+O5072-P5072-M5072</f>
        <v/>
      </c>
    </row>
    <row r="5073">
      <c r="A5073" s="16" t="inlineStr">
        <is>
          <t>5.8-5.14</t>
        </is>
      </c>
      <c r="B5073" s="16" t="inlineStr">
        <is>
          <t>PO-128-04375378107512113</t>
        </is>
      </c>
      <c r="C5073" s="16" t="inlineStr">
        <is>
          <t>Delivered</t>
        </is>
      </c>
      <c r="D5073" s="16" t="inlineStr">
        <is>
          <t>128-04375404321912113</t>
        </is>
      </c>
      <c r="E5073" s="16" t="inlineStr">
        <is>
          <t>Delivered</t>
        </is>
      </c>
      <c r="F5073" s="16" t="inlineStr">
        <is>
          <t>MCM-001G</t>
        </is>
      </c>
      <c r="G5073" s="16" t="inlineStr">
        <is>
          <t>Musicord Altavoz Inalámbrico BT Portátil: ¡Sonido impactante, luces LED multicolores y 4 horas de autonomía! Compatible con TWS, FM, TF y USB – Imprescindible para fiestas y viajes</t>
        </is>
      </c>
      <c r="H5073" s="16" t="inlineStr">
        <is>
          <t>GRIS</t>
        </is>
      </c>
      <c r="I5073" s="16" t="n">
        <v>1</v>
      </c>
      <c r="J5073" s="17" t="n">
        <v>51.07</v>
      </c>
      <c r="K5073" s="17" t="n">
        <v>43.64</v>
      </c>
      <c r="L5073" s="17" t="n">
        <v>25.86</v>
      </c>
      <c r="M5073" s="17" t="n">
        <v>0</v>
      </c>
      <c r="N5073" s="17">
        <f>K5073*0.08+L5073*0.08</f>
        <v/>
      </c>
      <c r="O5073" s="17">
        <f>-(K5073*0.025+L5073*0.025)</f>
        <v/>
      </c>
      <c r="P5073" s="17">
        <f>32</f>
        <v/>
      </c>
      <c r="Q5073" s="17">
        <f>J5073+L5073+N5073+O5073-P5073-M5073</f>
        <v/>
      </c>
    </row>
    <row r="5074">
      <c r="A5074" s="16" t="inlineStr">
        <is>
          <t>5.8-5.14</t>
        </is>
      </c>
      <c r="B5074" s="16" t="inlineStr">
        <is>
          <t>PO-128-04159043415673403</t>
        </is>
      </c>
      <c r="C5074" s="16" t="inlineStr">
        <is>
          <t>Delivered</t>
        </is>
      </c>
      <c r="D5074" s="16" t="inlineStr">
        <is>
          <t>128-04159001472633403</t>
        </is>
      </c>
      <c r="E5074" s="16" t="inlineStr">
        <is>
          <t>Delivered</t>
        </is>
      </c>
      <c r="F5074" s="16" t="inlineStr">
        <is>
          <t>LV25W22</t>
        </is>
      </c>
      <c r="G50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74" s="16" t="inlineStr">
        <is>
          <t>LV25W32</t>
        </is>
      </c>
      <c r="I5074" s="16" t="n">
        <v>1</v>
      </c>
      <c r="J5074" s="17" t="n">
        <v>97</v>
      </c>
      <c r="K5074" s="17" t="n">
        <v>107.41</v>
      </c>
      <c r="L5074" s="17" t="n">
        <v>25.86</v>
      </c>
      <c r="M5074" s="17" t="n">
        <v>0</v>
      </c>
      <c r="N5074" s="17">
        <f>K5074*0.08+L5074*0.08</f>
        <v/>
      </c>
      <c r="O5074" s="17">
        <f>-(K5074*0.025+L5074*0.025)</f>
        <v/>
      </c>
      <c r="P5074" s="17">
        <f>32</f>
        <v/>
      </c>
      <c r="Q5074" s="17">
        <f>J5074+L5074+N5074+O5074-P5074-M5074</f>
        <v/>
      </c>
    </row>
    <row r="5075">
      <c r="A5075" s="16" t="inlineStr">
        <is>
          <t>5.8-5.14</t>
        </is>
      </c>
      <c r="B5075" s="16" t="inlineStr">
        <is>
          <t>PO-128-04540236908151067</t>
        </is>
      </c>
      <c r="C5075" s="16" t="inlineStr">
        <is>
          <t>Delivered</t>
        </is>
      </c>
      <c r="D5075" s="16" t="inlineStr">
        <is>
          <t>128-04540242151031067</t>
        </is>
      </c>
      <c r="E5075" s="16" t="inlineStr">
        <is>
          <t>Delivered</t>
        </is>
      </c>
      <c r="F5075" s="16" t="inlineStr">
        <is>
          <t>LB02235-rojo</t>
        </is>
      </c>
      <c r="G5075" s="16" t="inlineStr">
        <is>
          <t>Audífonos Inalámbricos para la Cabeza, Recargables y Multifuncionales - Conectan a Varios Dispositivos, soportan Radio FM, Tarjeta TF y AUX - 4 Horas de Reproducción Musical - Ideal para Trabajo Cotidiano, Juegos y Estudio</t>
        </is>
      </c>
      <c r="H5075" s="16" t="inlineStr">
        <is>
          <t>ROJO</t>
        </is>
      </c>
      <c r="I5075" s="16" t="n">
        <v>1</v>
      </c>
      <c r="J5075" s="17" t="n">
        <v>38</v>
      </c>
      <c r="K5075" s="17" t="n">
        <v>51.12</v>
      </c>
      <c r="L5075" s="17" t="n">
        <v>25.86</v>
      </c>
      <c r="M5075" s="17" t="n">
        <v>0</v>
      </c>
      <c r="N5075" s="17">
        <f>K5075*0.08+L5075*0.08</f>
        <v/>
      </c>
      <c r="O5075" s="17">
        <f>-(K5075*0.025+L5075*0.025)</f>
        <v/>
      </c>
      <c r="P5075" s="17">
        <f>32</f>
        <v/>
      </c>
      <c r="Q5075" s="17">
        <f>J5075+L5075+N5075+O5075-P5075-M5075</f>
        <v/>
      </c>
    </row>
    <row r="5076">
      <c r="A5076" s="16" t="inlineStr">
        <is>
          <t>5.8-5.14</t>
        </is>
      </c>
      <c r="B5076" s="16" t="inlineStr">
        <is>
          <t>PO-128-04372032128632133</t>
        </is>
      </c>
      <c r="C5076" s="16" t="inlineStr">
        <is>
          <t>Delivered</t>
        </is>
      </c>
      <c r="D5076" s="16" t="inlineStr">
        <is>
          <t>128-04372000671352133</t>
        </is>
      </c>
      <c r="E5076" s="16" t="inlineStr">
        <is>
          <t>Delivered</t>
        </is>
      </c>
      <c r="F5076" s="16" t="inlineStr">
        <is>
          <t>LV25W22</t>
        </is>
      </c>
      <c r="G50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76" s="16" t="inlineStr">
        <is>
          <t>LV25W32</t>
        </is>
      </c>
      <c r="I5076" s="16" t="n">
        <v>1</v>
      </c>
      <c r="J5076" s="17" t="n">
        <v>97</v>
      </c>
      <c r="K5076" s="17" t="n">
        <v>107.41</v>
      </c>
      <c r="L5076" s="17" t="n">
        <v>25.86</v>
      </c>
      <c r="M5076" s="17" t="n">
        <v>0</v>
      </c>
      <c r="N5076" s="17">
        <f>K5076*0.08+L5076*0.08</f>
        <v/>
      </c>
      <c r="O5076" s="17">
        <f>-(K5076*0.025+L5076*0.025)</f>
        <v/>
      </c>
      <c r="P5076" s="17">
        <f>32</f>
        <v/>
      </c>
      <c r="Q5076" s="17">
        <f>J5076+L5076+N5076+O5076-P5076-M5076</f>
        <v/>
      </c>
    </row>
    <row r="5077">
      <c r="A5077" s="16" t="inlineStr">
        <is>
          <t>5.8-5.14</t>
        </is>
      </c>
      <c r="B5077" s="16" t="inlineStr">
        <is>
          <t>PO-128-04735663304310988</t>
        </is>
      </c>
      <c r="C5077" s="16" t="inlineStr">
        <is>
          <t>Delivered</t>
        </is>
      </c>
      <c r="D5077" s="16" t="inlineStr">
        <is>
          <t>128-04735621361270988</t>
        </is>
      </c>
      <c r="E5077" s="16" t="inlineStr">
        <is>
          <t>Delivered</t>
        </is>
      </c>
      <c r="F5077" s="16" t="inlineStr">
        <is>
          <t>LB02235-rojo</t>
        </is>
      </c>
      <c r="G5077" s="16" t="inlineStr">
        <is>
          <t>Audífonos Inalámbricos para la Cabeza, Recargables y Multifuncionales - Conectan a Varios Dispositivos, soportan Radio FM, Tarjeta TF y AUX - 4 Horas de Reproducción Musical - Ideal para Trabajo Cotidiano, Juegos y Estudio</t>
        </is>
      </c>
      <c r="H5077" s="16" t="inlineStr">
        <is>
          <t>ROJO</t>
        </is>
      </c>
      <c r="I5077" s="16" t="n">
        <v>1</v>
      </c>
      <c r="J5077" s="17" t="n">
        <v>38</v>
      </c>
      <c r="K5077" s="17" t="n">
        <v>8.02</v>
      </c>
      <c r="L5077" s="17" t="n">
        <v>25.86</v>
      </c>
      <c r="M5077" s="17" t="n">
        <v>0</v>
      </c>
      <c r="N5077" s="17">
        <f>K5077*0.08+L5077*0.08</f>
        <v/>
      </c>
      <c r="O5077" s="17">
        <f>-(K5077*0.025+L5077*0.025)</f>
        <v/>
      </c>
      <c r="P5077" s="17">
        <f>32</f>
        <v/>
      </c>
      <c r="Q5077" s="17">
        <f>J5077+L5077+N5077+O5077-P5077-M5077</f>
        <v/>
      </c>
    </row>
    <row r="5078">
      <c r="A5078" s="16" t="inlineStr">
        <is>
          <t>5.8-5.14</t>
        </is>
      </c>
      <c r="B5078" s="16" t="inlineStr">
        <is>
          <t>PO-128-04309206031992506</t>
        </is>
      </c>
      <c r="C5078" s="16" t="inlineStr">
        <is>
          <t>Delivered</t>
        </is>
      </c>
      <c r="D5078" s="16" t="inlineStr">
        <is>
          <t>128-04309164088952506</t>
        </is>
      </c>
      <c r="E5078" s="16" t="inlineStr">
        <is>
          <t>Delivered</t>
        </is>
      </c>
      <c r="F5078" s="16" t="inlineStr">
        <is>
          <t>MCM-001A</t>
        </is>
      </c>
      <c r="G5078" s="16" t="inlineStr">
        <is>
          <t>Musicord Altavoz Inalámbrico BT Portátil: ¡Sonido impactante, luces LED multicolores y 4 horas de autonomía! Compatible con TWS, FM, TF y USB – Imprescindible para fiestas y viajes</t>
        </is>
      </c>
      <c r="H5078" s="16" t="inlineStr">
        <is>
          <t>AZUL</t>
        </is>
      </c>
      <c r="I5078" s="16" t="n">
        <v>1</v>
      </c>
      <c r="J5078" s="17" t="n">
        <v>51.08</v>
      </c>
      <c r="K5078" s="17" t="n">
        <v>59.47</v>
      </c>
      <c r="L5078" s="17" t="n">
        <v>25.86</v>
      </c>
      <c r="M5078" s="17" t="n">
        <v>0</v>
      </c>
      <c r="N5078" s="17">
        <f>K5078*0.08+L5078*0.08</f>
        <v/>
      </c>
      <c r="O5078" s="17">
        <f>-(K5078*0.025+L5078*0.025)</f>
        <v/>
      </c>
      <c r="P5078" s="17">
        <f>32</f>
        <v/>
      </c>
      <c r="Q5078" s="17">
        <f>J5078+L5078+N5078+O5078-P5078-M5078</f>
        <v/>
      </c>
    </row>
    <row r="5079">
      <c r="A5079" s="16" t="inlineStr">
        <is>
          <t>5.8-5.14</t>
        </is>
      </c>
      <c r="B5079" s="16" t="inlineStr">
        <is>
          <t>PO-128-04711901865590043</t>
        </is>
      </c>
      <c r="C5079" s="16" t="inlineStr">
        <is>
          <t>Delivered</t>
        </is>
      </c>
      <c r="D5079" s="16" t="inlineStr">
        <is>
          <t>128-04711933322870043</t>
        </is>
      </c>
      <c r="E5079" s="16" t="inlineStr">
        <is>
          <t>Delivered</t>
        </is>
      </c>
      <c r="F5079" s="16" t="inlineStr">
        <is>
          <t>LB02235-negro</t>
        </is>
      </c>
      <c r="G5079" s="16" t="inlineStr">
        <is>
          <t>Audífonos Inalámbricos para la Cabeza, Recargables y Multifuncionales - Conectan a Varios Dispositivos, soportan Radio FM, Tarjeta TF y AUX - 4 Horas de Reproducción Musical - Ideal para Trabajo Cotidiano, Juegos y Estudio</t>
        </is>
      </c>
      <c r="H5079" s="16" t="inlineStr">
        <is>
          <t>NEGRO</t>
        </is>
      </c>
      <c r="I5079" s="16" t="n">
        <v>1</v>
      </c>
      <c r="J5079" s="17" t="n">
        <v>45.31</v>
      </c>
      <c r="K5079" s="17" t="n">
        <v>50.71</v>
      </c>
      <c r="L5079" s="17" t="n">
        <v>25.86</v>
      </c>
      <c r="M5079" s="17" t="n">
        <v>0</v>
      </c>
      <c r="N5079" s="17">
        <f>K5079*0.08+L5079*0.08</f>
        <v/>
      </c>
      <c r="O5079" s="17">
        <f>-(K5079*0.025+L5079*0.025)</f>
        <v/>
      </c>
      <c r="P5079" s="17">
        <f>32</f>
        <v/>
      </c>
      <c r="Q5079" s="17">
        <f>J5079+L5079+N5079+O5079-P5079-M5079</f>
        <v/>
      </c>
    </row>
    <row r="5080">
      <c r="A5080" s="16" t="inlineStr">
        <is>
          <t>5.8-5.14</t>
        </is>
      </c>
      <c r="B5080" s="16" t="inlineStr">
        <is>
          <t>PO-128-04195210639993123</t>
        </is>
      </c>
      <c r="C5080" s="16" t="inlineStr">
        <is>
          <t>Delivered</t>
        </is>
      </c>
      <c r="D5080" s="16" t="inlineStr">
        <is>
          <t>128-04195168696953123</t>
        </is>
      </c>
      <c r="E5080" s="16" t="inlineStr">
        <is>
          <t>Delivered</t>
        </is>
      </c>
      <c r="F5080" s="16" t="inlineStr">
        <is>
          <t>MCM-001G</t>
        </is>
      </c>
      <c r="G5080" s="16" t="inlineStr">
        <is>
          <t>Musicord Altavoz Inalámbrico BT Portátil: ¡Sonido impactante, luces LED multicolores y 4 horas de autonomía! Compatible con TWS, FM, TF y USB – Imprescindible para fiestas y viajes</t>
        </is>
      </c>
      <c r="H5080" s="16" t="inlineStr">
        <is>
          <t>GRIS</t>
        </is>
      </c>
      <c r="I5080" s="16" t="n">
        <v>1</v>
      </c>
      <c r="J5080" s="17" t="n">
        <v>51.07</v>
      </c>
      <c r="K5080" s="17" t="n">
        <v>58.25</v>
      </c>
      <c r="L5080" s="17" t="n">
        <v>25.86</v>
      </c>
      <c r="M5080" s="17" t="n">
        <v>0</v>
      </c>
      <c r="N5080" s="17">
        <f>K5080*0.08+L5080*0.08</f>
        <v/>
      </c>
      <c r="O5080" s="17">
        <f>-(K5080*0.025+L5080*0.025)</f>
        <v/>
      </c>
      <c r="P5080" s="17">
        <f>32</f>
        <v/>
      </c>
      <c r="Q5080" s="17">
        <f>J5080+L5080+N5080+O5080-P5080-M5080</f>
        <v/>
      </c>
    </row>
    <row r="5081">
      <c r="A5081" s="16" t="inlineStr">
        <is>
          <t>5.8-5.14</t>
        </is>
      </c>
      <c r="B5081" s="16" t="inlineStr">
        <is>
          <t>PO-128-04611650212471729</t>
        </is>
      </c>
      <c r="C5081" s="16" t="inlineStr">
        <is>
          <t>Delivered</t>
        </is>
      </c>
      <c r="D5081" s="16" t="inlineStr">
        <is>
          <t>128-04611614823031729</t>
        </is>
      </c>
      <c r="E5081" s="16" t="inlineStr">
        <is>
          <t>Delivered</t>
        </is>
      </c>
      <c r="F5081" s="16" t="inlineStr">
        <is>
          <t>FA028</t>
        </is>
      </c>
      <c r="G5081" s="16" t="inlineStr">
        <is>
          <t>Extractor de agua para garrafas de agua, compatible con carga USB, extractor de agua automático, práctico, con dos modos de toma de agua: manual y programado, ideal para dormitorios, salones, oficinas, uso al aire libre y otros escenarios.</t>
        </is>
      </c>
      <c r="H5081" s="16" t="inlineStr">
        <is>
          <t>FA028</t>
        </is>
      </c>
      <c r="I5081" s="16" t="n">
        <v>1</v>
      </c>
      <c r="J5081" s="17" t="n">
        <v>35</v>
      </c>
      <c r="K5081" s="17" t="n">
        <v>44.58</v>
      </c>
      <c r="L5081" s="17" t="n">
        <v>25.86</v>
      </c>
      <c r="M5081" s="17" t="n">
        <v>0</v>
      </c>
      <c r="N5081" s="17">
        <f>K5081*0.08+L5081*0.08</f>
        <v/>
      </c>
      <c r="O5081" s="17">
        <f>-(K5081*0.025+L5081*0.025)</f>
        <v/>
      </c>
      <c r="P5081" s="17">
        <f>32</f>
        <v/>
      </c>
      <c r="Q5081" s="17">
        <f>J5081+L5081+N5081+O5081-P5081-M5081</f>
        <v/>
      </c>
    </row>
    <row r="5082">
      <c r="A5082" s="16" t="inlineStr">
        <is>
          <t>5.8-5.14</t>
        </is>
      </c>
      <c r="B5082" s="16" t="inlineStr">
        <is>
          <t>PO-128-04182561198713324</t>
        </is>
      </c>
      <c r="C5082" s="16" t="inlineStr">
        <is>
          <t>Delivered</t>
        </is>
      </c>
      <c r="D5082" s="16" t="inlineStr">
        <is>
          <t>128-04182622147193324</t>
        </is>
      </c>
      <c r="E5082" s="16" t="inlineStr">
        <is>
          <t>Delivered</t>
        </is>
      </c>
      <c r="F5082" s="16" t="inlineStr">
        <is>
          <t>LB02235-blanco</t>
        </is>
      </c>
      <c r="G5082" s="16" t="inlineStr">
        <is>
          <t>Audífonos Inalámbricos para la Cabeza, Recargables y Multifuncionales - Conectan a Varios Dispositivos, soportan Radio FM, Tarjeta TF y AUX - 4 Horas de Reproducción Musical - Ideal para Trabajo Cotidiano, Juegos y Estudio</t>
        </is>
      </c>
      <c r="H5082" s="16" t="inlineStr">
        <is>
          <t>BLANCO</t>
        </is>
      </c>
      <c r="I5082" s="16" t="n">
        <v>1</v>
      </c>
      <c r="J5082" s="17" t="n">
        <v>36.5</v>
      </c>
      <c r="K5082" s="17" t="n">
        <v>41.13</v>
      </c>
      <c r="L5082" s="17" t="n">
        <v>25.86</v>
      </c>
      <c r="M5082" s="17" t="n">
        <v>0</v>
      </c>
      <c r="N5082" s="17">
        <f>K5082*0.08+L5082*0.08</f>
        <v/>
      </c>
      <c r="O5082" s="17">
        <f>-(K5082*0.025+L5082*0.025)</f>
        <v/>
      </c>
      <c r="P5082" s="17">
        <f>32</f>
        <v/>
      </c>
      <c r="Q5082" s="17">
        <f>J5082+L5082+N5082+O5082-P5082-M5082</f>
        <v/>
      </c>
    </row>
    <row r="5083">
      <c r="A5083" s="16" t="inlineStr">
        <is>
          <t>5.8-5.14</t>
        </is>
      </c>
      <c r="B5083" s="16" t="inlineStr">
        <is>
          <t>PO-128-04566264904311999</t>
        </is>
      </c>
      <c r="C5083" s="16" t="inlineStr">
        <is>
          <t>Delivered</t>
        </is>
      </c>
      <c r="D5083" s="16" t="inlineStr">
        <is>
          <t>128-04566416947831999</t>
        </is>
      </c>
      <c r="E5083" s="16" t="inlineStr">
        <is>
          <t>Delivered</t>
        </is>
      </c>
      <c r="F5083" s="16" t="inlineStr">
        <is>
          <t>LV25W22</t>
        </is>
      </c>
      <c r="G508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83" s="16" t="inlineStr">
        <is>
          <t>LV25W32</t>
        </is>
      </c>
      <c r="I5083" s="16" t="n">
        <v>1</v>
      </c>
      <c r="J5083" s="17" t="n">
        <v>90</v>
      </c>
      <c r="K5083" s="17" t="n">
        <v>85.34999999999999</v>
      </c>
      <c r="L5083" s="17" t="n">
        <v>25.86</v>
      </c>
      <c r="M5083" s="17" t="n">
        <v>0</v>
      </c>
      <c r="N5083" s="17">
        <f>K5083*0.08+L5083*0.08</f>
        <v/>
      </c>
      <c r="O5083" s="17">
        <f>-(K5083*0.025+L5083*0.025)</f>
        <v/>
      </c>
      <c r="P5083" s="17">
        <f>32</f>
        <v/>
      </c>
      <c r="Q5083" s="17">
        <f>J5083+L5083+N5083+O5083-P5083-M5083</f>
        <v/>
      </c>
    </row>
    <row r="5084">
      <c r="A5084" s="16" t="inlineStr">
        <is>
          <t>5.8-5.14</t>
        </is>
      </c>
      <c r="B5084" s="16" t="inlineStr">
        <is>
          <t>PO-128-04678623447670368</t>
        </is>
      </c>
      <c r="C5084" s="16" t="inlineStr">
        <is>
          <t>Delivered</t>
        </is>
      </c>
      <c r="D5084" s="16" t="inlineStr">
        <is>
          <t>128-04678581504630368</t>
        </is>
      </c>
      <c r="E5084" s="16" t="inlineStr">
        <is>
          <t>Delivered</t>
        </is>
      </c>
      <c r="F5084" s="16" t="inlineStr">
        <is>
          <t>LV25W22</t>
        </is>
      </c>
      <c r="G508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84" s="16" t="inlineStr">
        <is>
          <t>LV25W32</t>
        </is>
      </c>
      <c r="I5084" s="16" t="n">
        <v>1</v>
      </c>
      <c r="J5084" s="17" t="n">
        <v>90</v>
      </c>
      <c r="K5084" s="17" t="n">
        <v>100.41</v>
      </c>
      <c r="L5084" s="17" t="n">
        <v>25.86</v>
      </c>
      <c r="M5084" s="17" t="n">
        <v>0</v>
      </c>
      <c r="N5084" s="17">
        <f>K5084*0.08+L5084*0.08</f>
        <v/>
      </c>
      <c r="O5084" s="17">
        <f>-(K5084*0.025+L5084*0.025)</f>
        <v/>
      </c>
      <c r="P5084" s="17">
        <f>32</f>
        <v/>
      </c>
      <c r="Q5084" s="17">
        <f>J5084+L5084+N5084+O5084-P5084-M5084</f>
        <v/>
      </c>
    </row>
    <row r="5085">
      <c r="A5085" s="16" t="inlineStr">
        <is>
          <t>5.8-5.14</t>
        </is>
      </c>
      <c r="B5085" s="16" t="inlineStr">
        <is>
          <t>PO-128-04447645747832576</t>
        </is>
      </c>
      <c r="C5085" s="16" t="inlineStr">
        <is>
          <t>Delivered</t>
        </is>
      </c>
      <c r="D5085" s="16" t="inlineStr">
        <is>
          <t>128-04447661476472576</t>
        </is>
      </c>
      <c r="E5085" s="16" t="inlineStr">
        <is>
          <t>Delivered</t>
        </is>
      </c>
      <c r="F5085" s="16" t="inlineStr">
        <is>
          <t>LV25W22</t>
        </is>
      </c>
      <c r="G50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85" s="16" t="inlineStr">
        <is>
          <t>LV25W32</t>
        </is>
      </c>
      <c r="I5085" s="16" t="n">
        <v>2</v>
      </c>
      <c r="J5085" s="17" t="n">
        <v>180</v>
      </c>
      <c r="K5085" s="17" t="n">
        <v>140.58</v>
      </c>
      <c r="L5085" s="17" t="n">
        <v>25.86</v>
      </c>
      <c r="M5085" s="17" t="n">
        <v>0</v>
      </c>
      <c r="N5085" s="17">
        <f>K5085*0.08+L5085*0.08</f>
        <v/>
      </c>
      <c r="O5085" s="17">
        <f>-(K5085*0.025+L5085*0.025)</f>
        <v/>
      </c>
      <c r="P5085" s="17">
        <f>32</f>
        <v/>
      </c>
      <c r="Q5085" s="17">
        <f>J5085+L5085+N5085+O5085-P5085-M5085</f>
        <v/>
      </c>
    </row>
    <row r="5086">
      <c r="A5086" s="16" t="inlineStr">
        <is>
          <t>5.8-5.14</t>
        </is>
      </c>
      <c r="B5086" s="16" t="inlineStr">
        <is>
          <t>PO-128-04234328023673848</t>
        </is>
      </c>
      <c r="C5086" s="16" t="inlineStr">
        <is>
          <t>Delivered</t>
        </is>
      </c>
      <c r="D5086" s="16" t="inlineStr">
        <is>
          <t>128-04234354238073848</t>
        </is>
      </c>
      <c r="E5086" s="16" t="inlineStr">
        <is>
          <t>Delivered</t>
        </is>
      </c>
      <c r="F5086" s="16" t="inlineStr">
        <is>
          <t>LB02235-azul</t>
        </is>
      </c>
      <c r="G5086" s="16" t="inlineStr">
        <is>
          <t>Audífonos Inalámbricos para la Cabeza, Recargables y Multifuncionales - Conectan a Varios Dispositivos, soportan Radio FM, Tarjeta TF y AUX - 4 Horas de Reproducción Musical - Ideal para Trabajo Cotidiano, Juegos y Estudio</t>
        </is>
      </c>
      <c r="H5086" s="16" t="inlineStr">
        <is>
          <t>AZUL</t>
        </is>
      </c>
      <c r="I5086" s="16" t="n">
        <v>1</v>
      </c>
      <c r="J5086" s="17" t="n">
        <v>35</v>
      </c>
      <c r="K5086" s="17" t="n">
        <v>38.5</v>
      </c>
      <c r="L5086" s="17" t="n">
        <v>25.86</v>
      </c>
      <c r="M5086" s="17" t="n">
        <v>0</v>
      </c>
      <c r="N5086" s="17">
        <f>K5086*0.08+L5086*0.08</f>
        <v/>
      </c>
      <c r="O5086" s="17">
        <f>-(K5086*0.025+L5086*0.025)</f>
        <v/>
      </c>
      <c r="P5086" s="17">
        <f>32</f>
        <v/>
      </c>
      <c r="Q5086" s="17">
        <f>J5086+L5086+N5086+O5086-P5086-M5086</f>
        <v/>
      </c>
    </row>
    <row r="5087">
      <c r="A5087" s="16" t="inlineStr">
        <is>
          <t>5.8-5.14</t>
        </is>
      </c>
      <c r="B5087" s="16" t="inlineStr">
        <is>
          <t>PO-128-04808560364150619</t>
        </is>
      </c>
      <c r="C5087" s="16" t="inlineStr">
        <is>
          <t>Delivered</t>
        </is>
      </c>
      <c r="D5087" s="16" t="inlineStr">
        <is>
          <t>128-04808602307190619</t>
        </is>
      </c>
      <c r="E5087" s="16" t="inlineStr">
        <is>
          <t>Delivered</t>
        </is>
      </c>
      <c r="F5087" s="16" t="inlineStr">
        <is>
          <t>LB02235-azul</t>
        </is>
      </c>
      <c r="G5087" s="16" t="inlineStr">
        <is>
          <t>Audífonos Inalámbricos para la Cabeza, Recargables y Multifuncionales - Conectan a Varios Dispositivos, soportan Radio FM, Tarjeta TF y AUX - 4 Horas de Reproducción Musical - Ideal para Trabajo Cotidiano, Juegos y Estudio</t>
        </is>
      </c>
      <c r="H5087" s="16" t="inlineStr">
        <is>
          <t>AZUL</t>
        </is>
      </c>
      <c r="I5087" s="16" t="n">
        <v>1</v>
      </c>
      <c r="J5087" s="17" t="n">
        <v>35</v>
      </c>
      <c r="K5087" s="17" t="n">
        <v>5.02</v>
      </c>
      <c r="L5087" s="17" t="n">
        <v>25.86</v>
      </c>
      <c r="M5087" s="17" t="n">
        <v>0</v>
      </c>
      <c r="N5087" s="17">
        <f>K5087*0.08+L5087*0.08</f>
        <v/>
      </c>
      <c r="O5087" s="17">
        <f>-(K5087*0.025+L5087*0.025)</f>
        <v/>
      </c>
      <c r="P5087" s="17">
        <f>32</f>
        <v/>
      </c>
      <c r="Q5087" s="17">
        <f>J5087+L5087+N5087+O5087-P5087-M5087</f>
        <v/>
      </c>
    </row>
    <row r="5088">
      <c r="A5088" s="16" t="inlineStr">
        <is>
          <t>5.8-5.14</t>
        </is>
      </c>
      <c r="B5088" s="16" t="inlineStr">
        <is>
          <t>PO-128-04529898629751254</t>
        </is>
      </c>
      <c r="C5088" s="16" t="inlineStr">
        <is>
          <t>Delivered</t>
        </is>
      </c>
      <c r="D5088" s="16" t="inlineStr">
        <is>
          <t>128-04529882901111254</t>
        </is>
      </c>
      <c r="E5088" s="16" t="inlineStr">
        <is>
          <t>Delivered</t>
        </is>
      </c>
      <c r="F5088" s="16" t="inlineStr">
        <is>
          <t>LV25W22</t>
        </is>
      </c>
      <c r="G50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88" s="16" t="inlineStr">
        <is>
          <t>LV25W32</t>
        </is>
      </c>
      <c r="I5088" s="16" t="n">
        <v>1</v>
      </c>
      <c r="J5088" s="17" t="n">
        <v>90</v>
      </c>
      <c r="K5088" s="17" t="n">
        <v>100.41</v>
      </c>
      <c r="L5088" s="17" t="n">
        <v>25.86</v>
      </c>
      <c r="M5088" s="17" t="n">
        <v>0</v>
      </c>
      <c r="N5088" s="17">
        <f>K5088*0.08+L5088*0.08</f>
        <v/>
      </c>
      <c r="O5088" s="17">
        <f>-(K5088*0.025+L5088*0.025)</f>
        <v/>
      </c>
      <c r="P5088" s="17">
        <f>32</f>
        <v/>
      </c>
      <c r="Q5088" s="17">
        <f>J5088+L5088+N5088+O5088-P5088-M5088</f>
        <v/>
      </c>
    </row>
    <row r="5089">
      <c r="A5089" s="16" t="inlineStr">
        <is>
          <t>5.8-5.14</t>
        </is>
      </c>
      <c r="B5089" s="16" t="inlineStr">
        <is>
          <t>PO-128-04213313311353975</t>
        </is>
      </c>
      <c r="C5089" s="16" t="inlineStr">
        <is>
          <t>Delivered</t>
        </is>
      </c>
      <c r="D5089" s="16" t="inlineStr">
        <is>
          <t>128-04213370983033975</t>
        </is>
      </c>
      <c r="E5089" s="16" t="inlineStr">
        <is>
          <t>Delivered</t>
        </is>
      </c>
      <c r="F5089" s="16" t="inlineStr">
        <is>
          <t>LV25W22</t>
        </is>
      </c>
      <c r="G508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89" s="16" t="inlineStr">
        <is>
          <t>LV25W32</t>
        </is>
      </c>
      <c r="I5089" s="16" t="n">
        <v>3</v>
      </c>
      <c r="J5089" s="17" t="n">
        <v>270</v>
      </c>
      <c r="K5089" s="17" t="n">
        <v>269.22</v>
      </c>
      <c r="L5089" s="17" t="n">
        <v>0</v>
      </c>
      <c r="M5089" s="17" t="n">
        <v>0</v>
      </c>
      <c r="N5089" s="17">
        <f>K5089*0.08+L5089*0.08</f>
        <v/>
      </c>
      <c r="O5089" s="17">
        <f>-(K5089*0.025+L5089*0.025)</f>
        <v/>
      </c>
      <c r="P5089" s="17">
        <f>32</f>
        <v/>
      </c>
      <c r="Q5089" s="17">
        <f>J5089+L5089+N5089+O5089-P5089-M5089</f>
        <v/>
      </c>
    </row>
    <row r="5090">
      <c r="A5090" s="16" t="inlineStr">
        <is>
          <t>5.8-5.14</t>
        </is>
      </c>
      <c r="B5090" s="16" t="inlineStr">
        <is>
          <t>PO-128-04542331699831116</t>
        </is>
      </c>
      <c r="C5090" s="16" t="inlineStr">
        <is>
          <t>Delivered</t>
        </is>
      </c>
      <c r="D5090" s="16" t="inlineStr">
        <is>
          <t>128-04542310728311116</t>
        </is>
      </c>
      <c r="E5090" s="16" t="inlineStr">
        <is>
          <t>Delivered</t>
        </is>
      </c>
      <c r="F5090" s="16" t="inlineStr">
        <is>
          <t>SA325T</t>
        </is>
      </c>
      <c r="G5090" s="16" t="inlineStr">
        <is>
          <t>Subwoofer Portátil Inalámbrico con Luces RGB, Sonido de Alta Potencia y Batería Duradera, TWS TF USB, Perfecto para Campamento Fiestas y Entretenimiento en Casa</t>
        </is>
      </c>
      <c r="H5090" s="16" t="inlineStr">
        <is>
          <t>NEGRO</t>
        </is>
      </c>
      <c r="I5090" s="16" t="n">
        <v>1</v>
      </c>
      <c r="J5090" s="17" t="n">
        <v>36</v>
      </c>
      <c r="K5090" s="17" t="n">
        <v>45.06</v>
      </c>
      <c r="L5090" s="17" t="n">
        <v>25.86</v>
      </c>
      <c r="M5090" s="17" t="n">
        <v>0</v>
      </c>
      <c r="N5090" s="17">
        <f>K5090*0.08+L5090*0.08</f>
        <v/>
      </c>
      <c r="O5090" s="17">
        <f>-(K5090*0.025+L5090*0.025)</f>
        <v/>
      </c>
      <c r="P5090" s="17">
        <f>32</f>
        <v/>
      </c>
      <c r="Q5090" s="17">
        <f>J5090+L5090+N5090+O5090-P5090-M5090</f>
        <v/>
      </c>
    </row>
    <row r="5091">
      <c r="A5091" s="16" t="inlineStr">
        <is>
          <t>5.8-5.14</t>
        </is>
      </c>
      <c r="B5091" s="16" t="inlineStr">
        <is>
          <t>PO-128-04288857969273653</t>
        </is>
      </c>
      <c r="C5091" s="16" t="inlineStr">
        <is>
          <t>Delivered</t>
        </is>
      </c>
      <c r="D5091" s="16" t="inlineStr">
        <is>
          <t>128-04288787190393653</t>
        </is>
      </c>
      <c r="E5091" s="16" t="inlineStr">
        <is>
          <t>Delivered</t>
        </is>
      </c>
      <c r="F5091" s="16" t="inlineStr">
        <is>
          <t>S09W18IB-8PZS</t>
        </is>
      </c>
      <c r="G5091"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5091" s="16" t="inlineStr">
        <is>
          <t>8 piezas</t>
        </is>
      </c>
      <c r="I5091" s="16" t="n">
        <v>1</v>
      </c>
      <c r="J5091" s="17" t="n">
        <v>235</v>
      </c>
      <c r="K5091" s="17" t="n">
        <v>272.96</v>
      </c>
      <c r="L5091" s="17" t="n">
        <v>0</v>
      </c>
      <c r="M5091" s="17" t="n">
        <v>0</v>
      </c>
      <c r="N5091" s="17">
        <f>K5091*0.08+L5091*0.08</f>
        <v/>
      </c>
      <c r="O5091" s="17">
        <f>-(K5091*0.025+L5091*0.025)</f>
        <v/>
      </c>
      <c r="P5091" s="17">
        <f>32</f>
        <v/>
      </c>
      <c r="Q5091" s="17">
        <f>J5091+L5091+N5091+O5091-P5091-M5091</f>
        <v/>
      </c>
    </row>
    <row r="5092">
      <c r="A5092" s="16" t="inlineStr">
        <is>
          <t>5.8-5.14</t>
        </is>
      </c>
      <c r="B5092" s="16" t="inlineStr">
        <is>
          <t>PO-128-04516064031351211</t>
        </is>
      </c>
      <c r="C5092" s="16" t="inlineStr">
        <is>
          <t>Delivered</t>
        </is>
      </c>
      <c r="D5092" s="16" t="inlineStr">
        <is>
          <t>128-04516022088311211</t>
        </is>
      </c>
      <c r="E5092" s="16" t="inlineStr">
        <is>
          <t>Delivered</t>
        </is>
      </c>
      <c r="F5092" s="16" t="inlineStr">
        <is>
          <t>LV25W22</t>
        </is>
      </c>
      <c r="G50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92" s="16" t="inlineStr">
        <is>
          <t>LV25W32</t>
        </is>
      </c>
      <c r="I5092" s="16" t="n">
        <v>4</v>
      </c>
      <c r="J5092" s="17" t="n">
        <v>360</v>
      </c>
      <c r="K5092" s="17" t="n">
        <v>324.04</v>
      </c>
      <c r="L5092" s="17" t="n">
        <v>0</v>
      </c>
      <c r="M5092" s="17" t="n">
        <v>0</v>
      </c>
      <c r="N5092" s="17">
        <f>K5092*0.08+L5092*0.08</f>
        <v/>
      </c>
      <c r="O5092" s="17">
        <f>-(K5092*0.025+L5092*0.025)</f>
        <v/>
      </c>
      <c r="P5092" s="17">
        <f>32</f>
        <v/>
      </c>
      <c r="Q5092" s="17">
        <f>J5092+L5092+N5092+O5092-P5092-M5092</f>
        <v/>
      </c>
    </row>
    <row r="5093">
      <c r="A5093" s="16" t="inlineStr">
        <is>
          <t>5.8-5.14</t>
        </is>
      </c>
      <c r="B5093" s="16" t="inlineStr">
        <is>
          <t>PO-128-04580986614391846</t>
        </is>
      </c>
      <c r="C5093" s="16" t="inlineStr">
        <is>
          <t>Delivered</t>
        </is>
      </c>
      <c r="D5093" s="16" t="inlineStr">
        <is>
          <t>128-04580902728311846</t>
        </is>
      </c>
      <c r="E5093" s="16" t="inlineStr">
        <is>
          <t>Delivered</t>
        </is>
      </c>
      <c r="F5093" s="16" t="inlineStr">
        <is>
          <t>SA8056T</t>
        </is>
      </c>
      <c r="G509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093" s="16" t="inlineStr">
        <is>
          <t>SA8056T</t>
        </is>
      </c>
      <c r="I5093" s="16" t="n">
        <v>1</v>
      </c>
      <c r="J5093" s="17" t="n">
        <v>138</v>
      </c>
      <c r="K5093" s="17" t="n">
        <v>126.7</v>
      </c>
      <c r="L5093" s="17" t="n">
        <v>0</v>
      </c>
      <c r="M5093" s="17" t="n">
        <v>0</v>
      </c>
      <c r="N5093" s="17">
        <f>K5093*0.08+L5093*0.08</f>
        <v/>
      </c>
      <c r="O5093" s="17">
        <f>-(K5093*0.025+L5093*0.025)</f>
        <v/>
      </c>
      <c r="P5093" s="17">
        <f>32</f>
        <v/>
      </c>
      <c r="Q5093" s="17">
        <f>J5093+L5093+N5093+O5093-P5093-M5093</f>
        <v/>
      </c>
    </row>
    <row r="5094">
      <c r="A5094" s="16" t="inlineStr">
        <is>
          <t>5.8-5.14</t>
        </is>
      </c>
      <c r="B5094" s="16" t="inlineStr">
        <is>
          <t>PO-128-04580986614391846</t>
        </is>
      </c>
      <c r="C5094" s="16" t="inlineStr">
        <is>
          <t>Delivered</t>
        </is>
      </c>
      <c r="D5094" s="16" t="inlineStr">
        <is>
          <t>128-04580944671351846</t>
        </is>
      </c>
      <c r="E5094" s="16" t="inlineStr">
        <is>
          <t>Delivered</t>
        </is>
      </c>
      <c r="F5094" s="16" t="inlineStr">
        <is>
          <t>SA8058T</t>
        </is>
      </c>
      <c r="G5094"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5094" s="16" t="inlineStr">
        <is>
          <t>SA8058T</t>
        </is>
      </c>
      <c r="I5094" s="16" t="n">
        <v>1</v>
      </c>
      <c r="J5094" s="17" t="n">
        <v>162.6</v>
      </c>
      <c r="K5094" s="17" t="n">
        <v>148.2</v>
      </c>
      <c r="L5094" s="17" t="n">
        <v>0</v>
      </c>
      <c r="M5094" s="17" t="n">
        <v>0</v>
      </c>
      <c r="N5094" s="17">
        <f>K5094*0.08+L5094*0.08</f>
        <v/>
      </c>
      <c r="O5094" s="17">
        <f>-(K5094*0.025+L5094*0.025)</f>
        <v/>
      </c>
      <c r="P5094" s="17">
        <f>32</f>
        <v/>
      </c>
      <c r="Q5094" s="17">
        <f>J5094+L5094+N5094+O5094-P5094-M5094</f>
        <v/>
      </c>
    </row>
    <row r="5095">
      <c r="A5095" s="16" t="inlineStr">
        <is>
          <t>5.8-5.14</t>
        </is>
      </c>
      <c r="B5095" s="16" t="inlineStr">
        <is>
          <t>PO-128-04451688714872616</t>
        </is>
      </c>
      <c r="C5095" s="16" t="inlineStr">
        <is>
          <t>Delivered</t>
        </is>
      </c>
      <c r="D5095" s="16" t="inlineStr">
        <is>
          <t>128-04451793572472616</t>
        </is>
      </c>
      <c r="E5095" s="16" t="inlineStr">
        <is>
          <t>Delivered</t>
        </is>
      </c>
      <c r="F5095" s="16" t="inlineStr">
        <is>
          <t>LV25W22</t>
        </is>
      </c>
      <c r="G50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95" s="16" t="inlineStr">
        <is>
          <t>LV25W32</t>
        </is>
      </c>
      <c r="I5095" s="16" t="n">
        <v>1</v>
      </c>
      <c r="J5095" s="17" t="n">
        <v>90</v>
      </c>
      <c r="K5095" s="17" t="n">
        <v>100.41</v>
      </c>
      <c r="L5095" s="17" t="n">
        <v>25.86</v>
      </c>
      <c r="M5095" s="17" t="n">
        <v>0</v>
      </c>
      <c r="N5095" s="17">
        <f>K5095*0.08+L5095*0.08</f>
        <v/>
      </c>
      <c r="O5095" s="17">
        <f>-(K5095*0.025+L5095*0.025)</f>
        <v/>
      </c>
      <c r="P5095" s="17">
        <f>32</f>
        <v/>
      </c>
      <c r="Q5095" s="17">
        <f>J5095+L5095+N5095+O5095-P5095-M5095</f>
        <v/>
      </c>
    </row>
    <row r="5096">
      <c r="A5096" s="16" t="inlineStr">
        <is>
          <t>5.8-5.14</t>
        </is>
      </c>
      <c r="B5096" s="16" t="inlineStr">
        <is>
          <t>PO-128-04701991690870228</t>
        </is>
      </c>
      <c r="C5096" s="16" t="inlineStr">
        <is>
          <t>Delivered</t>
        </is>
      </c>
      <c r="D5096" s="16" t="inlineStr">
        <is>
          <t>128-04702143734390228</t>
        </is>
      </c>
      <c r="E5096" s="16" t="inlineStr">
        <is>
          <t>Delivered</t>
        </is>
      </c>
      <c r="F5096" s="16" t="inlineStr">
        <is>
          <t>LV25W22</t>
        </is>
      </c>
      <c r="G50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96" s="16" t="inlineStr">
        <is>
          <t>LV25W32</t>
        </is>
      </c>
      <c r="I5096" s="16" t="n">
        <v>1</v>
      </c>
      <c r="J5096" s="17" t="n">
        <v>90</v>
      </c>
      <c r="K5096" s="17" t="n">
        <v>17.65</v>
      </c>
      <c r="L5096" s="17" t="n">
        <v>25.86</v>
      </c>
      <c r="M5096" s="17" t="n">
        <v>0</v>
      </c>
      <c r="N5096" s="17">
        <f>K5096*0.08+L5096*0.08</f>
        <v/>
      </c>
      <c r="O5096" s="17">
        <f>-(K5096*0.025+L5096*0.025)</f>
        <v/>
      </c>
      <c r="P5096" s="17">
        <f>32</f>
        <v/>
      </c>
      <c r="Q5096" s="17">
        <f>J5096+L5096+N5096+O5096-P5096-M5096</f>
        <v/>
      </c>
    </row>
    <row r="5097">
      <c r="A5097" s="16" t="inlineStr">
        <is>
          <t>5.8-5.14</t>
        </is>
      </c>
      <c r="B5097" s="16" t="inlineStr">
        <is>
          <t>PO-128-04569421138552045</t>
        </is>
      </c>
      <c r="C5097" s="16" t="inlineStr">
        <is>
          <t>Delivered</t>
        </is>
      </c>
      <c r="D5097" s="16" t="inlineStr">
        <is>
          <t>128-04569379195512045</t>
        </is>
      </c>
      <c r="E5097" s="16" t="inlineStr">
        <is>
          <t>Delivered</t>
        </is>
      </c>
      <c r="F5097" s="16" t="inlineStr">
        <is>
          <t>LV25W22</t>
        </is>
      </c>
      <c r="G509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97" s="16" t="inlineStr">
        <is>
          <t>LV25W32</t>
        </is>
      </c>
      <c r="I5097" s="16" t="n">
        <v>1</v>
      </c>
      <c r="J5097" s="17" t="n">
        <v>90</v>
      </c>
      <c r="K5097" s="17" t="n">
        <v>100.41</v>
      </c>
      <c r="L5097" s="17" t="n">
        <v>25.86</v>
      </c>
      <c r="M5097" s="17" t="n">
        <v>0</v>
      </c>
      <c r="N5097" s="17">
        <f>K5097*0.08+L5097*0.08</f>
        <v/>
      </c>
      <c r="O5097" s="17">
        <f>-(K5097*0.025+L5097*0.025)</f>
        <v/>
      </c>
      <c r="P5097" s="17">
        <f>32</f>
        <v/>
      </c>
      <c r="Q5097" s="17">
        <f>J5097+L5097+N5097+O5097-P5097-M5097</f>
        <v/>
      </c>
    </row>
    <row r="5098">
      <c r="A5098" s="16" t="inlineStr">
        <is>
          <t>5.8-5.14</t>
        </is>
      </c>
      <c r="B5098" s="16" t="inlineStr">
        <is>
          <t>PO-128-04631461745271611</t>
        </is>
      </c>
      <c r="C5098" s="16" t="inlineStr">
        <is>
          <t>Delivered</t>
        </is>
      </c>
      <c r="D5098" s="16" t="inlineStr">
        <is>
          <t>128-04631482716791611</t>
        </is>
      </c>
      <c r="E5098" s="16" t="inlineStr">
        <is>
          <t>Delivered</t>
        </is>
      </c>
      <c r="F5098" s="16" t="inlineStr">
        <is>
          <t>LV25W22</t>
        </is>
      </c>
      <c r="G50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098" s="16" t="inlineStr">
        <is>
          <t>LV25W32</t>
        </is>
      </c>
      <c r="I5098" s="16" t="n">
        <v>2</v>
      </c>
      <c r="J5098" s="17" t="n">
        <v>180</v>
      </c>
      <c r="K5098" s="17" t="n">
        <v>74.22</v>
      </c>
      <c r="L5098" s="17" t="n">
        <v>25.86</v>
      </c>
      <c r="M5098" s="17" t="n">
        <v>0</v>
      </c>
      <c r="N5098" s="17">
        <f>K5098*0.08+L5098*0.08</f>
        <v/>
      </c>
      <c r="O5098" s="17">
        <f>-(K5098*0.025+L5098*0.025)</f>
        <v/>
      </c>
      <c r="P5098" s="17">
        <f>32</f>
        <v/>
      </c>
      <c r="Q5098" s="17">
        <f>J5098+L5098+N5098+O5098-P5098-M5098</f>
        <v/>
      </c>
    </row>
    <row r="5099">
      <c r="A5099" s="16" t="inlineStr">
        <is>
          <t>5.8-5.14</t>
        </is>
      </c>
      <c r="B5099" s="16" t="inlineStr">
        <is>
          <t>PO-128-04298398638712442</t>
        </is>
      </c>
      <c r="C5099" s="16" t="inlineStr">
        <is>
          <t>Delivered</t>
        </is>
      </c>
      <c r="D5099" s="16" t="inlineStr">
        <is>
          <t>128-04298440581752442</t>
        </is>
      </c>
      <c r="E5099" s="16" t="inlineStr">
        <is>
          <t>Delivered</t>
        </is>
      </c>
      <c r="F5099" s="16" t="inlineStr">
        <is>
          <t>LB02235-blanco</t>
        </is>
      </c>
      <c r="G5099" s="16" t="inlineStr">
        <is>
          <t>Audífonos Inalámbricos para la Cabeza, Recargables y Multifuncionales - Conectan a Varios Dispositivos, soportan Radio FM, Tarjeta TF y AUX - 4 Horas de Reproducción Musical - Ideal para Trabajo Cotidiano, Juegos y Estudio</t>
        </is>
      </c>
      <c r="H5099" s="16" t="inlineStr">
        <is>
          <t>BLANCO</t>
        </is>
      </c>
      <c r="I5099" s="16" t="n">
        <v>1</v>
      </c>
      <c r="J5099" s="17" t="n">
        <v>36.5</v>
      </c>
      <c r="K5099" s="17" t="n">
        <v>39.7</v>
      </c>
      <c r="L5099" s="17" t="n">
        <v>25.86</v>
      </c>
      <c r="M5099" s="17" t="n">
        <v>0</v>
      </c>
      <c r="N5099" s="17">
        <f>K5099*0.08+L5099*0.08</f>
        <v/>
      </c>
      <c r="O5099" s="17">
        <f>-(K5099*0.025+L5099*0.025)</f>
        <v/>
      </c>
      <c r="P5099" s="17">
        <f>32</f>
        <v/>
      </c>
      <c r="Q5099" s="17">
        <f>J5099+L5099+N5099+O5099-P5099-M5099</f>
        <v/>
      </c>
    </row>
    <row r="5100">
      <c r="A5100" s="16" t="inlineStr">
        <is>
          <t>5.8-5.14</t>
        </is>
      </c>
      <c r="B5100" s="16" t="inlineStr">
        <is>
          <t>PO-128-04608512328311746</t>
        </is>
      </c>
      <c r="C5100" s="16" t="inlineStr">
        <is>
          <t>Delivered</t>
        </is>
      </c>
      <c r="D5100" s="16" t="inlineStr">
        <is>
          <t>128-04608470385271746</t>
        </is>
      </c>
      <c r="E5100" s="16" t="inlineStr">
        <is>
          <t>Delivered</t>
        </is>
      </c>
      <c r="F5100" s="16" t="inlineStr">
        <is>
          <t>LB02235-azul</t>
        </is>
      </c>
      <c r="G5100" s="16" t="inlineStr">
        <is>
          <t>Audífonos Inalámbricos para la Cabeza, Recargables y Multifuncionales - Conectan a Varios Dispositivos, soportan Radio FM, Tarjeta TF y AUX - 4 Horas de Reproducción Musical - Ideal para Trabajo Cotidiano, Juegos y Estudio</t>
        </is>
      </c>
      <c r="H5100" s="16" t="inlineStr">
        <is>
          <t>AZUL</t>
        </is>
      </c>
      <c r="I5100" s="16" t="n">
        <v>1</v>
      </c>
      <c r="J5100" s="17" t="n">
        <v>35</v>
      </c>
      <c r="K5100" s="17" t="n">
        <v>48.12</v>
      </c>
      <c r="L5100" s="17" t="n">
        <v>25.86</v>
      </c>
      <c r="M5100" s="17" t="n">
        <v>0</v>
      </c>
      <c r="N5100" s="17">
        <f>K5100*0.08+L5100*0.08</f>
        <v/>
      </c>
      <c r="O5100" s="17">
        <f>-(K5100*0.025+L5100*0.025)</f>
        <v/>
      </c>
      <c r="P5100" s="17">
        <f>32</f>
        <v/>
      </c>
      <c r="Q5100" s="17">
        <f>J5100+L5100+N5100+O5100-P5100-M5100</f>
        <v/>
      </c>
    </row>
    <row r="5101">
      <c r="A5101" s="16" t="inlineStr">
        <is>
          <t>5.8-5.14</t>
        </is>
      </c>
      <c r="B5101" s="16" t="inlineStr">
        <is>
          <t>PO-128-04519466660471188</t>
        </is>
      </c>
      <c r="C5101" s="16" t="inlineStr">
        <is>
          <t>Delivered</t>
        </is>
      </c>
      <c r="D5101" s="16" t="inlineStr">
        <is>
          <t>128-04519602975351188</t>
        </is>
      </c>
      <c r="E5101" s="16" t="inlineStr">
        <is>
          <t>Delivered</t>
        </is>
      </c>
      <c r="F5101" s="16" t="inlineStr">
        <is>
          <t>MCM-001G</t>
        </is>
      </c>
      <c r="G5101" s="16" t="inlineStr">
        <is>
          <t>Musicord Altavoz Inalámbrico BT Portátil: ¡Sonido impactante, luces LED multicolores y 4 horas de autonomía! Compatible con TWS, FM, TF y USB – Imprescindible para fiestas y viajes</t>
        </is>
      </c>
      <c r="H5101" s="16" t="inlineStr">
        <is>
          <t>GRIS</t>
        </is>
      </c>
      <c r="I5101" s="16" t="n">
        <v>1</v>
      </c>
      <c r="J5101" s="17" t="n">
        <v>51</v>
      </c>
      <c r="K5101" s="17" t="n">
        <v>62.27</v>
      </c>
      <c r="L5101" s="17" t="n">
        <v>25.86</v>
      </c>
      <c r="M5101" s="17" t="n">
        <v>0</v>
      </c>
      <c r="N5101" s="17">
        <f>K5101*0.08+L5101*0.08</f>
        <v/>
      </c>
      <c r="O5101" s="17">
        <f>-(K5101*0.025+L5101*0.025)</f>
        <v/>
      </c>
      <c r="P5101" s="17">
        <f>32</f>
        <v/>
      </c>
      <c r="Q5101" s="17">
        <f>J5101+L5101+N5101+O5101-P5101-M5101</f>
        <v/>
      </c>
    </row>
    <row r="5102">
      <c r="A5102" s="16" t="inlineStr">
        <is>
          <t>5.8-5.14</t>
        </is>
      </c>
      <c r="B5102" s="16" t="inlineStr">
        <is>
          <t>PO-128-04539189443191073</t>
        </is>
      </c>
      <c r="C5102" s="16" t="inlineStr">
        <is>
          <t>Delivered</t>
        </is>
      </c>
      <c r="D5102" s="16" t="inlineStr">
        <is>
          <t>128-04539210414711073</t>
        </is>
      </c>
      <c r="E5102" s="16" t="inlineStr">
        <is>
          <t>Delivered</t>
        </is>
      </c>
      <c r="F5102" s="16" t="inlineStr">
        <is>
          <t>LB02235-blanco</t>
        </is>
      </c>
      <c r="G5102" s="16" t="inlineStr">
        <is>
          <t>Audífonos Inalámbricos para la Cabeza, Recargables y Multifuncionales - Conectan a Varios Dispositivos, soportan Radio FM, Tarjeta TF y AUX - 4 Horas de Reproducción Musical - Ideal para Trabajo Cotidiano, Juegos y Estudio</t>
        </is>
      </c>
      <c r="H5102" s="16" t="inlineStr">
        <is>
          <t>BLANCO</t>
        </is>
      </c>
      <c r="I5102" s="16" t="n">
        <v>1</v>
      </c>
      <c r="J5102" s="17" t="n">
        <v>36.5</v>
      </c>
      <c r="K5102" s="17" t="n">
        <v>49.62</v>
      </c>
      <c r="L5102" s="17" t="n">
        <v>25.86</v>
      </c>
      <c r="M5102" s="17" t="n">
        <v>0</v>
      </c>
      <c r="N5102" s="17">
        <f>K5102*0.08+L5102*0.08</f>
        <v/>
      </c>
      <c r="O5102" s="17">
        <f>-(K5102*0.025+L5102*0.025)</f>
        <v/>
      </c>
      <c r="P5102" s="17">
        <f>32</f>
        <v/>
      </c>
      <c r="Q5102" s="17">
        <f>J5102+L5102+N5102+O5102-P5102-M5102</f>
        <v/>
      </c>
    </row>
    <row r="5103">
      <c r="A5103" s="16" t="inlineStr">
        <is>
          <t>5.8-5.14</t>
        </is>
      </c>
      <c r="B5103" s="16" t="inlineStr">
        <is>
          <t>PO-128-04597704796791682</t>
        </is>
      </c>
      <c r="C5103" s="16" t="inlineStr">
        <is>
          <t>Delivered</t>
        </is>
      </c>
      <c r="D5103" s="16" t="inlineStr">
        <is>
          <t>128-04597683825271682</t>
        </is>
      </c>
      <c r="E5103" s="16" t="inlineStr">
        <is>
          <t>Delivered</t>
        </is>
      </c>
      <c r="F5103" s="16" t="inlineStr">
        <is>
          <t>LV25W22</t>
        </is>
      </c>
      <c r="G51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03" s="16" t="inlineStr">
        <is>
          <t>LV25W32</t>
        </is>
      </c>
      <c r="I5103" s="16" t="n">
        <v>1</v>
      </c>
      <c r="J5103" s="17" t="n">
        <v>90</v>
      </c>
      <c r="K5103" s="17" t="n">
        <v>100.41</v>
      </c>
      <c r="L5103" s="17" t="n">
        <v>25.86</v>
      </c>
      <c r="M5103" s="17" t="n">
        <v>0</v>
      </c>
      <c r="N5103" s="17">
        <f>K5103*0.08+L5103*0.08</f>
        <v/>
      </c>
      <c r="O5103" s="17">
        <f>-(K5103*0.025+L5103*0.025)</f>
        <v/>
      </c>
      <c r="P5103" s="17">
        <f>32</f>
        <v/>
      </c>
      <c r="Q5103" s="17">
        <f>J5103+L5103+N5103+O5103-P5103-M5103</f>
        <v/>
      </c>
    </row>
    <row r="5104">
      <c r="A5104" s="16" t="inlineStr">
        <is>
          <t>5.8-5.14</t>
        </is>
      </c>
      <c r="B5104" s="16" t="inlineStr">
        <is>
          <t>PO-128-04401536318073045</t>
        </is>
      </c>
      <c r="C5104" s="16" t="inlineStr">
        <is>
          <t>Delivered</t>
        </is>
      </c>
      <c r="D5104" s="16" t="inlineStr">
        <is>
          <t>128-04401515346553045</t>
        </is>
      </c>
      <c r="E5104" s="16" t="inlineStr">
        <is>
          <t>Delivered</t>
        </is>
      </c>
      <c r="F5104" s="16" t="inlineStr">
        <is>
          <t>SA323T</t>
        </is>
      </c>
      <c r="G5104" s="16" t="inlineStr">
        <is>
          <t>Linkbits Bocina Portátil Parlantes BT Portátiles con Iluminación de Ambiente | 1 Hora de Duración, FM, TWS, TF/Micro SD | Ideal para Hogar, Fiestas y Viajes</t>
        </is>
      </c>
      <c r="H5104" s="16" t="inlineStr">
        <is>
          <t>SA323T</t>
        </is>
      </c>
      <c r="I5104" s="16" t="n">
        <v>2</v>
      </c>
      <c r="J5104" s="17" t="n">
        <v>90</v>
      </c>
      <c r="K5104" s="17" t="n">
        <v>108.08</v>
      </c>
      <c r="L5104" s="17" t="n">
        <v>25.86</v>
      </c>
      <c r="M5104" s="17" t="n">
        <v>0</v>
      </c>
      <c r="N5104" s="17">
        <f>K5104*0.08+L5104*0.08</f>
        <v/>
      </c>
      <c r="O5104" s="17">
        <f>-(K5104*0.025+L5104*0.025)</f>
        <v/>
      </c>
      <c r="P5104" s="17">
        <f>32</f>
        <v/>
      </c>
      <c r="Q5104" s="17">
        <f>J5104+L5104+N5104+O5104-P5104-M5104</f>
        <v/>
      </c>
    </row>
    <row r="5105">
      <c r="A5105" s="16" t="inlineStr">
        <is>
          <t>5.8-5.14</t>
        </is>
      </c>
      <c r="B5105" s="16" t="inlineStr">
        <is>
          <t>PO-128-04310253415032501</t>
        </is>
      </c>
      <c r="C5105" s="16" t="inlineStr">
        <is>
          <t>Delivered</t>
        </is>
      </c>
      <c r="D5105" s="16" t="inlineStr">
        <is>
          <t>128-04310263900792501</t>
        </is>
      </c>
      <c r="E5105" s="16" t="inlineStr">
        <is>
          <t>Delivered</t>
        </is>
      </c>
      <c r="F5105" s="16" t="inlineStr">
        <is>
          <t>LB02235-azul</t>
        </is>
      </c>
      <c r="G5105" s="16" t="inlineStr">
        <is>
          <t>Audífonos Inalámbricos para la Cabeza, Recargables y Multifuncionales - Conectan a Varios Dispositivos, soportan Radio FM, Tarjeta TF y AUX - 4 Horas de Reproducción Musical - Ideal para Trabajo Cotidiano, Juegos y Estudio</t>
        </is>
      </c>
      <c r="H5105" s="16" t="inlineStr">
        <is>
          <t>AZUL</t>
        </is>
      </c>
      <c r="I5105" s="16" t="n">
        <v>1</v>
      </c>
      <c r="J5105" s="17" t="n">
        <v>35</v>
      </c>
      <c r="K5105" s="17" t="n">
        <v>48.12</v>
      </c>
      <c r="L5105" s="17" t="n">
        <v>25.86</v>
      </c>
      <c r="M5105" s="17" t="n">
        <v>0</v>
      </c>
      <c r="N5105" s="17">
        <f>K5105*0.08+L5105*0.08</f>
        <v/>
      </c>
      <c r="O5105" s="17">
        <f>-(K5105*0.025+L5105*0.025)</f>
        <v/>
      </c>
      <c r="P5105" s="17">
        <f>32</f>
        <v/>
      </c>
      <c r="Q5105" s="17">
        <f>J5105+L5105+N5105+O5105-P5105-M5105</f>
        <v/>
      </c>
    </row>
    <row r="5106">
      <c r="A5106" s="16" t="inlineStr">
        <is>
          <t>5.8-5.14</t>
        </is>
      </c>
      <c r="B5106" s="16" t="inlineStr">
        <is>
          <t>PO-128-04152910705273375</t>
        </is>
      </c>
      <c r="C5106" s="16" t="inlineStr">
        <is>
          <t>Delivered</t>
        </is>
      </c>
      <c r="D5106" s="16" t="inlineStr">
        <is>
          <t>128-04152952648313375</t>
        </is>
      </c>
      <c r="E5106" s="16" t="inlineStr">
        <is>
          <t>Delivered</t>
        </is>
      </c>
      <c r="F5106" s="16" t="inlineStr">
        <is>
          <t>LV34W04</t>
        </is>
      </c>
      <c r="G510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106" s="16" t="inlineStr">
        <is>
          <t>LV34W04</t>
        </is>
      </c>
      <c r="I5106" s="16" t="n">
        <v>4</v>
      </c>
      <c r="J5106" s="17" t="n">
        <v>880</v>
      </c>
      <c r="K5106" s="17" t="n">
        <v>1089.36</v>
      </c>
      <c r="L5106" s="17" t="n">
        <v>0</v>
      </c>
      <c r="M5106" s="17" t="n">
        <v>0</v>
      </c>
      <c r="N5106" s="17">
        <f>K5106*0.08+L5106*0.08</f>
        <v/>
      </c>
      <c r="O5106" s="17">
        <f>-(K5106*0.025+L5106*0.025)</f>
        <v/>
      </c>
      <c r="P5106" s="17">
        <f>32</f>
        <v/>
      </c>
      <c r="Q5106" s="17">
        <f>J5106+L5106+N5106+O5106-P5106-M5106</f>
        <v/>
      </c>
    </row>
    <row r="5107">
      <c r="A5107" s="16" t="inlineStr">
        <is>
          <t>5.8-5.14</t>
        </is>
      </c>
      <c r="B5107" s="16" t="inlineStr">
        <is>
          <t>PO-128-04196061256313116</t>
        </is>
      </c>
      <c r="C5107" s="16" t="inlineStr">
        <is>
          <t>Delivered</t>
        </is>
      </c>
      <c r="D5107" s="16" t="inlineStr">
        <is>
          <t>128-04196040284793116</t>
        </is>
      </c>
      <c r="E5107" s="16" t="inlineStr">
        <is>
          <t>Delivered</t>
        </is>
      </c>
      <c r="F5107" s="16" t="inlineStr">
        <is>
          <t>LV25W22</t>
        </is>
      </c>
      <c r="G51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07" s="16" t="inlineStr">
        <is>
          <t>LV25W32</t>
        </is>
      </c>
      <c r="I5107" s="16" t="n">
        <v>1</v>
      </c>
      <c r="J5107" s="17" t="n">
        <v>90</v>
      </c>
      <c r="K5107" s="17" t="n">
        <v>73.03</v>
      </c>
      <c r="L5107" s="17" t="n">
        <v>25.86</v>
      </c>
      <c r="M5107" s="17" t="n">
        <v>0</v>
      </c>
      <c r="N5107" s="17">
        <f>K5107*0.08+L5107*0.08</f>
        <v/>
      </c>
      <c r="O5107" s="17">
        <f>-(K5107*0.025+L5107*0.025)</f>
        <v/>
      </c>
      <c r="P5107" s="17">
        <f>32</f>
        <v/>
      </c>
      <c r="Q5107" s="17">
        <f>J5107+L5107+N5107+O5107-P5107-M5107</f>
        <v/>
      </c>
    </row>
    <row r="5108">
      <c r="A5108" s="16" t="inlineStr">
        <is>
          <t>5.8-5.14</t>
        </is>
      </c>
      <c r="B5108" s="16" t="inlineStr">
        <is>
          <t>PO-128-04734319923830932</t>
        </is>
      </c>
      <c r="C5108" s="16" t="inlineStr">
        <is>
          <t>Delivered</t>
        </is>
      </c>
      <c r="D5108" s="16" t="inlineStr">
        <is>
          <t>128-04734351381110932</t>
        </is>
      </c>
      <c r="E5108" s="16" t="inlineStr">
        <is>
          <t>Delivered</t>
        </is>
      </c>
      <c r="F5108" s="16" t="inlineStr">
        <is>
          <t>KTS-1678V</t>
        </is>
      </c>
      <c r="G5108" s="16" t="inlineStr">
        <is>
          <t>Bocina portátil Inalámbrico, de 3 pulgadas, tamaño de bolsillo, 170 g, con asa, compatible con TF, USB y Micro SD, con radio FM y función TWS (True Wireless Stereo), adecuada para relajarse en casa o viajar al aire libre.</t>
        </is>
      </c>
      <c r="H5108" s="16" t="inlineStr">
        <is>
          <t>KTS-1678V</t>
        </is>
      </c>
      <c r="I5108" s="16" t="n">
        <v>3</v>
      </c>
      <c r="J5108" s="17" t="n">
        <v>113.13</v>
      </c>
      <c r="K5108" s="17" t="n">
        <v>137.91</v>
      </c>
      <c r="L5108" s="17" t="n">
        <v>0</v>
      </c>
      <c r="M5108" s="17" t="n">
        <v>0</v>
      </c>
      <c r="N5108" s="17">
        <f>K5108*0.08+L5108*0.08</f>
        <v/>
      </c>
      <c r="O5108" s="17">
        <f>-(K5108*0.025+L5108*0.025)</f>
        <v/>
      </c>
      <c r="P5108" s="17">
        <f>32</f>
        <v/>
      </c>
      <c r="Q5108" s="17">
        <f>J5108+L5108+N5108+O5108-P5108-M5108</f>
        <v/>
      </c>
    </row>
    <row r="5109">
      <c r="A5109" s="16" t="inlineStr">
        <is>
          <t>5.8-5.14</t>
        </is>
      </c>
      <c r="B5109" s="16" t="inlineStr">
        <is>
          <t>PO-128-04734319923830932</t>
        </is>
      </c>
      <c r="C5109" s="16" t="inlineStr">
        <is>
          <t>Delivered</t>
        </is>
      </c>
      <c r="D5109" s="16" t="inlineStr">
        <is>
          <t>128-04734340895350932</t>
        </is>
      </c>
      <c r="E5109" s="16" t="inlineStr">
        <is>
          <t>Delivered</t>
        </is>
      </c>
      <c r="F5109" s="16" t="inlineStr">
        <is>
          <t>KTS-1678Y</t>
        </is>
      </c>
      <c r="G5109" s="16" t="inlineStr">
        <is>
          <t>Bocina portátil Inalámbrico, de 3 pulgadas, tamaño de bolsillo, 170 g, con asa, compatible con TF, USB y Micro SD, con radio FM y función TWS (True Wireless Stereo), adecuada para relajarse en casa o viajar al aire libre.</t>
        </is>
      </c>
      <c r="H5109" s="16" t="inlineStr">
        <is>
          <t>KTS-1678Y</t>
        </is>
      </c>
      <c r="I5109" s="16" t="n">
        <v>3</v>
      </c>
      <c r="J5109" s="17" t="n">
        <v>113.13</v>
      </c>
      <c r="K5109" s="17" t="n">
        <v>131.73</v>
      </c>
      <c r="L5109" s="17" t="n">
        <v>0</v>
      </c>
      <c r="M5109" s="17" t="n">
        <v>0</v>
      </c>
      <c r="N5109" s="17">
        <f>K5109*0.08+L5109*0.08</f>
        <v/>
      </c>
      <c r="O5109" s="17">
        <f>-(K5109*0.025+L5109*0.025)</f>
        <v/>
      </c>
      <c r="P5109" s="17">
        <f>32</f>
        <v/>
      </c>
      <c r="Q5109" s="17">
        <f>J5109+L5109+N5109+O5109-P5109-M5109</f>
        <v/>
      </c>
    </row>
    <row r="5110">
      <c r="A5110" s="16" t="inlineStr">
        <is>
          <t>5.8-5.14</t>
        </is>
      </c>
      <c r="B5110" s="16" t="inlineStr">
        <is>
          <t>PO-128-04657311785590497</t>
        </is>
      </c>
      <c r="C5110" s="16" t="inlineStr">
        <is>
          <t>Delivered</t>
        </is>
      </c>
      <c r="D5110" s="16" t="inlineStr">
        <is>
          <t>128-04657332757110497</t>
        </is>
      </c>
      <c r="E5110" s="16" t="inlineStr">
        <is>
          <t>Delivered</t>
        </is>
      </c>
      <c r="F5110" s="16" t="inlineStr">
        <is>
          <t>LV25W22</t>
        </is>
      </c>
      <c r="G51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10" s="16" t="inlineStr">
        <is>
          <t>LV25W32</t>
        </is>
      </c>
      <c r="I5110" s="16" t="n">
        <v>1</v>
      </c>
      <c r="J5110" s="17" t="n">
        <v>90</v>
      </c>
      <c r="K5110" s="17" t="n">
        <v>100.41</v>
      </c>
      <c r="L5110" s="17" t="n">
        <v>25.86</v>
      </c>
      <c r="M5110" s="17" t="n">
        <v>0</v>
      </c>
      <c r="N5110" s="17">
        <f>K5110*0.08+L5110*0.08</f>
        <v/>
      </c>
      <c r="O5110" s="17">
        <f>-(K5110*0.025+L5110*0.025)</f>
        <v/>
      </c>
      <c r="P5110" s="17">
        <f>32</f>
        <v/>
      </c>
      <c r="Q5110" s="17">
        <f>J5110+L5110+N5110+O5110-P5110-M5110</f>
        <v/>
      </c>
    </row>
    <row r="5111">
      <c r="A5111" s="16" t="inlineStr">
        <is>
          <t>5.8-5.14</t>
        </is>
      </c>
      <c r="B5111" s="16" t="inlineStr">
        <is>
          <t>PO-128-04756314358390803</t>
        </is>
      </c>
      <c r="C5111" s="16" t="inlineStr">
        <is>
          <t>Delivered</t>
        </is>
      </c>
      <c r="D5111" s="16" t="inlineStr">
        <is>
          <t>128-04756272415350803</t>
        </is>
      </c>
      <c r="E5111" s="16" t="inlineStr">
        <is>
          <t>Delivered</t>
        </is>
      </c>
      <c r="F5111" s="16" t="inlineStr">
        <is>
          <t>MCM-001N</t>
        </is>
      </c>
      <c r="G5111" s="16" t="inlineStr">
        <is>
          <t>Musicord Altavoz Inalámbrico BT Portátil: ¡Sonido impactante, luces LED multicolores y 4 horas de autonomía! Compatible con TWS, FM, TF y USB – Imprescindible para fiestas y viajes</t>
        </is>
      </c>
      <c r="H5111" s="16" t="inlineStr">
        <is>
          <t>NEGRO</t>
        </is>
      </c>
      <c r="I5111" s="16" t="n">
        <v>1</v>
      </c>
      <c r="J5111" s="17" t="n">
        <v>66</v>
      </c>
      <c r="K5111" s="17" t="n">
        <v>34.17</v>
      </c>
      <c r="L5111" s="17" t="n">
        <v>25.86</v>
      </c>
      <c r="M5111" s="17" t="n">
        <v>0</v>
      </c>
      <c r="N5111" s="17">
        <f>K5111*0.08+L5111*0.08</f>
        <v/>
      </c>
      <c r="O5111" s="17">
        <f>-(K5111*0.025+L5111*0.025)</f>
        <v/>
      </c>
      <c r="P5111" s="17">
        <f>32</f>
        <v/>
      </c>
      <c r="Q5111" s="17">
        <f>J5111+L5111+N5111+O5111-P5111-M5111</f>
        <v/>
      </c>
    </row>
    <row r="5112">
      <c r="A5112" s="16" t="inlineStr">
        <is>
          <t>5.8-5.14</t>
        </is>
      </c>
      <c r="B5112" s="16" t="inlineStr">
        <is>
          <t>PO-128-16916452977271091</t>
        </is>
      </c>
      <c r="C5112" s="16" t="inlineStr">
        <is>
          <t>Delivered</t>
        </is>
      </c>
      <c r="D5112" s="16" t="inlineStr">
        <is>
          <t>128-16916432005751091</t>
        </is>
      </c>
      <c r="E5112" s="16" t="inlineStr">
        <is>
          <t>Delivered</t>
        </is>
      </c>
      <c r="F5112" s="16" t="inlineStr">
        <is>
          <t>LV34W04</t>
        </is>
      </c>
      <c r="G511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112" s="16" t="inlineStr">
        <is>
          <t>LV34W04</t>
        </is>
      </c>
      <c r="I5112" s="16" t="n">
        <v>1</v>
      </c>
      <c r="J5112" s="17" t="n">
        <v>220</v>
      </c>
      <c r="K5112" s="17" t="n">
        <v>248.72</v>
      </c>
      <c r="L5112" s="17" t="n">
        <v>0</v>
      </c>
      <c r="M5112" s="17" t="n">
        <v>0</v>
      </c>
      <c r="N5112" s="17">
        <f>K5112*0.08+L5112*0.08</f>
        <v/>
      </c>
      <c r="O5112" s="17">
        <f>-(K5112*0.025+L5112*0.025)</f>
        <v/>
      </c>
      <c r="P5112" s="17">
        <f>32</f>
        <v/>
      </c>
      <c r="Q5112" s="17">
        <f>J5112+L5112+N5112+O5112-P5112-M5112</f>
        <v/>
      </c>
    </row>
    <row r="5113">
      <c r="A5113" s="16" t="inlineStr">
        <is>
          <t>5.8-5.14</t>
        </is>
      </c>
      <c r="B5113" s="16" t="inlineStr">
        <is>
          <t>PO-128-16880876104311175</t>
        </is>
      </c>
      <c r="C5113" s="16" t="inlineStr">
        <is>
          <t>Delivered</t>
        </is>
      </c>
      <c r="D5113" s="16" t="inlineStr">
        <is>
          <t>128-16880886590071175</t>
        </is>
      </c>
      <c r="E5113" s="16" t="inlineStr">
        <is>
          <t>Delivered</t>
        </is>
      </c>
      <c r="F5113" s="16" t="inlineStr">
        <is>
          <t>LV25W22</t>
        </is>
      </c>
      <c r="G51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13" s="16" t="inlineStr">
        <is>
          <t>LV25W32</t>
        </is>
      </c>
      <c r="I5113" s="16" t="n">
        <v>1</v>
      </c>
      <c r="J5113" s="17" t="n">
        <v>90</v>
      </c>
      <c r="K5113" s="17" t="n">
        <v>85.34999999999999</v>
      </c>
      <c r="L5113" s="17" t="n">
        <v>25.86</v>
      </c>
      <c r="M5113" s="17" t="n">
        <v>0</v>
      </c>
      <c r="N5113" s="17">
        <f>K5113*0.08+L5113*0.08</f>
        <v/>
      </c>
      <c r="O5113" s="17">
        <f>-(K5113*0.025+L5113*0.025)</f>
        <v/>
      </c>
      <c r="P5113" s="17">
        <f>32</f>
        <v/>
      </c>
      <c r="Q5113" s="17">
        <f>J5113+L5113+N5113+O5113-P5113-M5113</f>
        <v/>
      </c>
    </row>
    <row r="5114">
      <c r="A5114" s="16" t="inlineStr">
        <is>
          <t>5.8-5.14</t>
        </is>
      </c>
      <c r="B5114" s="16" t="inlineStr">
        <is>
          <t>PO-128-16982816164471783</t>
        </is>
      </c>
      <c r="C5114" s="16" t="inlineStr">
        <is>
          <t>Delivered</t>
        </is>
      </c>
      <c r="D5114" s="16" t="inlineStr">
        <is>
          <t>128-16982858107511783</t>
        </is>
      </c>
      <c r="E5114" s="16" t="inlineStr">
        <is>
          <t>Delivered</t>
        </is>
      </c>
      <c r="F5114" s="16" t="inlineStr">
        <is>
          <t>MCM-001A</t>
        </is>
      </c>
      <c r="G5114" s="16" t="inlineStr">
        <is>
          <t>Musicord Altavoz Inalámbrico BT Portátil: ¡Sonido impactante, luces LED multicolores y 4 horas de autonomía! Compatible con TWS, FM, TF y USB – Imprescindible para fiestas y viajes</t>
        </is>
      </c>
      <c r="H5114" s="16" t="inlineStr">
        <is>
          <t>AZUL</t>
        </is>
      </c>
      <c r="I5114" s="16" t="n">
        <v>1</v>
      </c>
      <c r="J5114" s="17" t="n">
        <v>51</v>
      </c>
      <c r="K5114" s="17" t="n">
        <v>59.39</v>
      </c>
      <c r="L5114" s="17" t="n">
        <v>25.86</v>
      </c>
      <c r="M5114" s="17" t="n">
        <v>0</v>
      </c>
      <c r="N5114" s="17">
        <f>K5114*0.08+L5114*0.08</f>
        <v/>
      </c>
      <c r="O5114" s="17">
        <f>-(K5114*0.025+L5114*0.025)</f>
        <v/>
      </c>
      <c r="P5114" s="17">
        <f>32</f>
        <v/>
      </c>
      <c r="Q5114" s="17">
        <f>J5114+L5114+N5114+O5114-P5114-M5114</f>
        <v/>
      </c>
    </row>
    <row r="5115">
      <c r="A5115" s="16" t="inlineStr">
        <is>
          <t>5.8-5.14</t>
        </is>
      </c>
      <c r="B5115" s="16" t="inlineStr">
        <is>
          <t>PO-128-17107951145590973</t>
        </is>
      </c>
      <c r="C5115" s="16" t="inlineStr">
        <is>
          <t>Delivered</t>
        </is>
      </c>
      <c r="D5115" s="16" t="inlineStr">
        <is>
          <t>128-17107909202550973</t>
        </is>
      </c>
      <c r="E5115" s="16" t="inlineStr">
        <is>
          <t>Delivered</t>
        </is>
      </c>
      <c r="F5115" s="16" t="inlineStr">
        <is>
          <t>LV25W22</t>
        </is>
      </c>
      <c r="G51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15" s="16" t="inlineStr">
        <is>
          <t>LV25W32</t>
        </is>
      </c>
      <c r="I5115" s="16" t="n">
        <v>1</v>
      </c>
      <c r="J5115" s="17" t="n">
        <v>90</v>
      </c>
      <c r="K5115" s="17" t="n">
        <v>100.41</v>
      </c>
      <c r="L5115" s="17" t="n">
        <v>25.86</v>
      </c>
      <c r="M5115" s="17" t="n">
        <v>0</v>
      </c>
      <c r="N5115" s="17">
        <f>K5115*0.08+L5115*0.08</f>
        <v/>
      </c>
      <c r="O5115" s="17">
        <f>-(K5115*0.025+L5115*0.025)</f>
        <v/>
      </c>
      <c r="P5115" s="17">
        <f>32</f>
        <v/>
      </c>
      <c r="Q5115" s="17">
        <f>J5115+L5115+N5115+O5115-P5115-M5115</f>
        <v/>
      </c>
    </row>
    <row r="5116">
      <c r="A5116" s="16" t="inlineStr">
        <is>
          <t>5.8-5.14</t>
        </is>
      </c>
      <c r="B5116" s="16" t="inlineStr">
        <is>
          <t>PO-128-16939639363192038</t>
        </is>
      </c>
      <c r="C5116" s="16" t="inlineStr">
        <is>
          <t>Delivered</t>
        </is>
      </c>
      <c r="D5116" s="16" t="inlineStr">
        <is>
          <t>128-16939691791992038</t>
        </is>
      </c>
      <c r="E5116" s="16" t="inlineStr">
        <is>
          <t>Delivered</t>
        </is>
      </c>
      <c r="F5116" s="16" t="inlineStr">
        <is>
          <t>MCM-001N</t>
        </is>
      </c>
      <c r="G5116" s="16" t="inlineStr">
        <is>
          <t>Musicord Altavoz Inalámbrico BT Portátil: ¡Sonido impactante, luces LED multicolores y 4 horas de autonomía! Compatible con TWS, FM, TF y USB – Imprescindible para fiestas y viajes</t>
        </is>
      </c>
      <c r="H5116" s="16" t="inlineStr">
        <is>
          <t>NEGRO</t>
        </is>
      </c>
      <c r="I5116" s="16" t="n">
        <v>1</v>
      </c>
      <c r="J5116" s="17" t="n">
        <v>66</v>
      </c>
      <c r="K5116" s="17" t="n">
        <v>77.27</v>
      </c>
      <c r="L5116" s="17" t="n">
        <v>25.86</v>
      </c>
      <c r="M5116" s="17" t="n">
        <v>0</v>
      </c>
      <c r="N5116" s="17">
        <f>K5116*0.08+L5116*0.08</f>
        <v/>
      </c>
      <c r="O5116" s="17">
        <f>-(K5116*0.025+L5116*0.025)</f>
        <v/>
      </c>
      <c r="P5116" s="17">
        <f>32</f>
        <v/>
      </c>
      <c r="Q5116" s="17">
        <f>J5116+L5116+N5116+O5116-P5116-M5116</f>
        <v/>
      </c>
    </row>
    <row r="5117">
      <c r="A5117" s="16" t="inlineStr">
        <is>
          <t>5.8-5.14</t>
        </is>
      </c>
      <c r="B5117" s="16" t="inlineStr">
        <is>
          <t>PO-128-16937365637751988</t>
        </is>
      </c>
      <c r="C5117" s="16" t="inlineStr">
        <is>
          <t>Delivered</t>
        </is>
      </c>
      <c r="D5117" s="16" t="inlineStr">
        <is>
          <t>128-16937418066551988</t>
        </is>
      </c>
      <c r="E5117" s="16" t="inlineStr">
        <is>
          <t>Delivered</t>
        </is>
      </c>
      <c r="F5117" s="16" t="inlineStr">
        <is>
          <t>LB02235-azul</t>
        </is>
      </c>
      <c r="G5117" s="16" t="inlineStr">
        <is>
          <t>Audífonos Inalámbricos para la Cabeza, Recargables y Multifuncionales - Conectan a Varios Dispositivos, soportan Radio FM, Tarjeta TF y AUX - 4 Horas de Reproducción Musical - Ideal para Trabajo Cotidiano, Juegos y Estudio</t>
        </is>
      </c>
      <c r="H5117" s="16" t="inlineStr">
        <is>
          <t>AZUL</t>
        </is>
      </c>
      <c r="I5117" s="16" t="n">
        <v>1</v>
      </c>
      <c r="J5117" s="17" t="n">
        <v>35</v>
      </c>
      <c r="K5117" s="17" t="n">
        <v>48.12</v>
      </c>
      <c r="L5117" s="17" t="n">
        <v>25.86</v>
      </c>
      <c r="M5117" s="17" t="n">
        <v>0</v>
      </c>
      <c r="N5117" s="17">
        <f>K5117*0.08+L5117*0.08</f>
        <v/>
      </c>
      <c r="O5117" s="17">
        <f>-(K5117*0.025+L5117*0.025)</f>
        <v/>
      </c>
      <c r="P5117" s="17">
        <f>32</f>
        <v/>
      </c>
      <c r="Q5117" s="17">
        <f>J5117+L5117+N5117+O5117-P5117-M5117</f>
        <v/>
      </c>
    </row>
    <row r="5118">
      <c r="A5118" s="16" t="inlineStr">
        <is>
          <t>5.8-5.14</t>
        </is>
      </c>
      <c r="B5118" s="16" t="inlineStr">
        <is>
          <t>PO-128-16621916570233740</t>
        </is>
      </c>
      <c r="C5118" s="16" t="inlineStr">
        <is>
          <t>Delivered</t>
        </is>
      </c>
      <c r="D5118" s="16" t="inlineStr">
        <is>
          <t>128-16621958513273740</t>
        </is>
      </c>
      <c r="E5118" s="16" t="inlineStr">
        <is>
          <t>Delivered</t>
        </is>
      </c>
      <c r="F5118" s="16" t="inlineStr">
        <is>
          <t>LV25W22</t>
        </is>
      </c>
      <c r="G51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18" s="16" t="inlineStr">
        <is>
          <t>LV25W32</t>
        </is>
      </c>
      <c r="I5118" s="16" t="n">
        <v>3</v>
      </c>
      <c r="J5118" s="17" t="n">
        <v>270</v>
      </c>
      <c r="K5118" s="17" t="n">
        <v>301.23</v>
      </c>
      <c r="L5118" s="17" t="n">
        <v>0</v>
      </c>
      <c r="M5118" s="17" t="n">
        <v>0</v>
      </c>
      <c r="N5118" s="17">
        <f>K5118*0.08+L5118*0.08</f>
        <v/>
      </c>
      <c r="O5118" s="17">
        <f>-(K5118*0.025+L5118*0.025)</f>
        <v/>
      </c>
      <c r="P5118" s="17">
        <f>32</f>
        <v/>
      </c>
      <c r="Q5118" s="17">
        <f>J5118+L5118+N5118+O5118-P5118-M5118</f>
        <v/>
      </c>
    </row>
    <row r="5119">
      <c r="A5119" s="16" t="inlineStr">
        <is>
          <t>5.8-5.14</t>
        </is>
      </c>
      <c r="B5119" s="16" t="inlineStr">
        <is>
          <t>PO-128-17130893343350834</t>
        </is>
      </c>
      <c r="C5119" s="16" t="inlineStr">
        <is>
          <t>Delivered</t>
        </is>
      </c>
      <c r="D5119" s="16" t="inlineStr">
        <is>
          <t>128-17130882857590834</t>
        </is>
      </c>
      <c r="E5119" s="16" t="inlineStr">
        <is>
          <t>Delivered</t>
        </is>
      </c>
      <c r="F5119" s="16" t="inlineStr">
        <is>
          <t>LV25W22</t>
        </is>
      </c>
      <c r="G51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19" s="16" t="inlineStr">
        <is>
          <t>LV25W32</t>
        </is>
      </c>
      <c r="I5119" s="16" t="n">
        <v>1</v>
      </c>
      <c r="J5119" s="17" t="n">
        <v>90</v>
      </c>
      <c r="K5119" s="17" t="n">
        <v>100.41</v>
      </c>
      <c r="L5119" s="17" t="n">
        <v>25.86</v>
      </c>
      <c r="M5119" s="17" t="n">
        <v>0</v>
      </c>
      <c r="N5119" s="17">
        <f>K5119*0.08+L5119*0.08</f>
        <v/>
      </c>
      <c r="O5119" s="17">
        <f>-(K5119*0.025+L5119*0.025)</f>
        <v/>
      </c>
      <c r="P5119" s="17">
        <f>32</f>
        <v/>
      </c>
      <c r="Q5119" s="17">
        <f>J5119+L5119+N5119+O5119-P5119-M5119</f>
        <v/>
      </c>
    </row>
    <row r="5120">
      <c r="A5120" s="16" t="inlineStr">
        <is>
          <t>5.8-5.14</t>
        </is>
      </c>
      <c r="B5120" s="16" t="inlineStr">
        <is>
          <t>PO-128-16972544359031714</t>
        </is>
      </c>
      <c r="C5120" s="16" t="inlineStr">
        <is>
          <t>Delivered</t>
        </is>
      </c>
      <c r="D5120" s="16" t="inlineStr">
        <is>
          <t>128-16972649216631714</t>
        </is>
      </c>
      <c r="E5120" s="16" t="inlineStr">
        <is>
          <t>Delivered</t>
        </is>
      </c>
      <c r="F5120" s="16" t="inlineStr">
        <is>
          <t>KTS-1678Y</t>
        </is>
      </c>
      <c r="G5120" s="16" t="inlineStr">
        <is>
          <t>Bocina portátil Inalámbrico, de 3 pulgadas, tamaño de bolsillo, 170 g, con asa, compatible con TF, USB y Micro SD, con radio FM y función TWS (True Wireless Stereo), adecuada para relajarse en casa o viajar al aire libre.</t>
        </is>
      </c>
      <c r="H5120" s="16" t="inlineStr">
        <is>
          <t>KTS-1678Y</t>
        </is>
      </c>
      <c r="I5120" s="16" t="n">
        <v>1</v>
      </c>
      <c r="J5120" s="17" t="n">
        <v>37.71</v>
      </c>
      <c r="K5120" s="17" t="n">
        <v>0.8100000000000001</v>
      </c>
      <c r="L5120" s="17" t="n">
        <v>25.86</v>
      </c>
      <c r="M5120" s="17" t="n">
        <v>0</v>
      </c>
      <c r="N5120" s="17">
        <f>K5120*0.08+L5120*0.08</f>
        <v/>
      </c>
      <c r="O5120" s="17">
        <f>-(K5120*0.025+L5120*0.025)</f>
        <v/>
      </c>
      <c r="P5120" s="17">
        <f>32</f>
        <v/>
      </c>
      <c r="Q5120" s="17">
        <f>J5120+L5120+N5120+O5120-P5120-M5120</f>
        <v/>
      </c>
    </row>
    <row r="5121">
      <c r="A5121" s="16" t="inlineStr">
        <is>
          <t>5.8-5.14</t>
        </is>
      </c>
      <c r="B5121" s="16" t="inlineStr">
        <is>
          <t>PO-128-16739772872312142</t>
        </is>
      </c>
      <c r="C5121" s="16" t="inlineStr">
        <is>
          <t>Delivered</t>
        </is>
      </c>
      <c r="D5121" s="16" t="inlineStr">
        <is>
          <t>128-16739730929272142</t>
        </is>
      </c>
      <c r="E5121" s="16" t="inlineStr">
        <is>
          <t>Delivered</t>
        </is>
      </c>
      <c r="F5121" s="16" t="inlineStr">
        <is>
          <t>LV25W22</t>
        </is>
      </c>
      <c r="G512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21" s="16" t="inlineStr">
        <is>
          <t>LV25W32</t>
        </is>
      </c>
      <c r="I5121" s="16" t="n">
        <v>1</v>
      </c>
      <c r="J5121" s="17" t="n">
        <v>90</v>
      </c>
      <c r="K5121" s="17" t="n">
        <v>100.41</v>
      </c>
      <c r="L5121" s="17" t="n">
        <v>25.86</v>
      </c>
      <c r="M5121" s="17" t="n">
        <v>0</v>
      </c>
      <c r="N5121" s="17">
        <f>K5121*0.08+L5121*0.08</f>
        <v/>
      </c>
      <c r="O5121" s="17">
        <f>-(K5121*0.025+L5121*0.025)</f>
        <v/>
      </c>
      <c r="P5121" s="17">
        <f>32</f>
        <v/>
      </c>
      <c r="Q5121" s="17">
        <f>J5121+L5121+N5121+O5121-P5121-M5121</f>
        <v/>
      </c>
    </row>
    <row r="5122">
      <c r="A5122" s="16" t="inlineStr">
        <is>
          <t>5.8-5.14</t>
        </is>
      </c>
      <c r="B5122" s="16" t="inlineStr">
        <is>
          <t>PO-128-16551208551033266</t>
        </is>
      </c>
      <c r="C5122" s="16" t="inlineStr">
        <is>
          <t>Delivered</t>
        </is>
      </c>
      <c r="D5122" s="16" t="inlineStr">
        <is>
          <t>128-16551166607993266</t>
        </is>
      </c>
      <c r="E5122" s="16" t="inlineStr">
        <is>
          <t>Delivered</t>
        </is>
      </c>
      <c r="F5122" s="16" t="inlineStr">
        <is>
          <t>LB02235-rojo</t>
        </is>
      </c>
      <c r="G5122" s="16" t="inlineStr">
        <is>
          <t>Audífonos Inalámbricos para la Cabeza, Recargables y Multifuncionales - Conectan a Varios Dispositivos, soportan Radio FM, Tarjeta TF y AUX - 4 Horas de Reproducción Musical - Ideal para Trabajo Cotidiano, Juegos y Estudio</t>
        </is>
      </c>
      <c r="H5122" s="16" t="inlineStr">
        <is>
          <t>ROJO</t>
        </is>
      </c>
      <c r="I5122" s="16" t="n">
        <v>6</v>
      </c>
      <c r="J5122" s="17" t="n">
        <v>219</v>
      </c>
      <c r="K5122" s="17" t="n">
        <v>297.72</v>
      </c>
      <c r="L5122" s="17" t="n">
        <v>0</v>
      </c>
      <c r="M5122" s="17" t="n">
        <v>0</v>
      </c>
      <c r="N5122" s="17">
        <f>K5122*0.08+L5122*0.08</f>
        <v/>
      </c>
      <c r="O5122" s="17">
        <f>-(K5122*0.025+L5122*0.025)</f>
        <v/>
      </c>
      <c r="P5122" s="17">
        <f>32</f>
        <v/>
      </c>
      <c r="Q5122" s="17">
        <f>J5122+L5122+N5122+O5122-P5122-M5122</f>
        <v/>
      </c>
    </row>
    <row r="5123">
      <c r="A5123" s="16" t="inlineStr">
        <is>
          <t>5.8-5.14</t>
        </is>
      </c>
      <c r="B5123" s="16" t="inlineStr">
        <is>
          <t>PO-128-16945601157751813</t>
        </is>
      </c>
      <c r="C5123" s="16" t="inlineStr">
        <is>
          <t>Delivered</t>
        </is>
      </c>
      <c r="D5123" s="16" t="inlineStr">
        <is>
          <t>128-16945519893111813</t>
        </is>
      </c>
      <c r="E5123" s="16" t="inlineStr">
        <is>
          <t>Delivered</t>
        </is>
      </c>
      <c r="F5123" s="16" t="inlineStr">
        <is>
          <t>LB02235-azul</t>
        </is>
      </c>
      <c r="G5123" s="16" t="inlineStr">
        <is>
          <t>Audífonos Inalámbricos para la Cabeza, Recargables y Multifuncionales - Conectan a Varios Dispositivos, soportan Radio FM, Tarjeta TF y AUX - 4 Horas de Reproducción Musical - Ideal para Trabajo Cotidiano, Juegos y Estudio</t>
        </is>
      </c>
      <c r="H5123" s="16" t="inlineStr">
        <is>
          <t>AZUL</t>
        </is>
      </c>
      <c r="I5123" s="16" t="n">
        <v>1</v>
      </c>
      <c r="J5123" s="17" t="n">
        <v>35</v>
      </c>
      <c r="K5123" s="17" t="n">
        <v>45.53</v>
      </c>
      <c r="L5123" s="17" t="n">
        <v>25.86</v>
      </c>
      <c r="M5123" s="17" t="n">
        <v>0</v>
      </c>
      <c r="N5123" s="17">
        <f>K5123*0.08+L5123*0.08</f>
        <v/>
      </c>
      <c r="O5123" s="17">
        <f>-(K5123*0.025+L5123*0.025)</f>
        <v/>
      </c>
      <c r="P5123" s="17">
        <f>32</f>
        <v/>
      </c>
      <c r="Q5123" s="17">
        <f>J5123+L5123+N5123+O5123-P5123-M5123</f>
        <v/>
      </c>
    </row>
    <row r="5124">
      <c r="A5124" s="16" t="inlineStr">
        <is>
          <t>5.8-5.14</t>
        </is>
      </c>
      <c r="B5124" s="16" t="inlineStr">
        <is>
          <t>PO-128-16676291103352520</t>
        </is>
      </c>
      <c r="C5124" s="16" t="inlineStr">
        <is>
          <t>Delivered</t>
        </is>
      </c>
      <c r="D5124" s="16" t="inlineStr">
        <is>
          <t>128-16676333046392520</t>
        </is>
      </c>
      <c r="E5124" s="16" t="inlineStr">
        <is>
          <t>Delivered</t>
        </is>
      </c>
      <c r="F5124" s="16" t="inlineStr">
        <is>
          <t>LV25W22</t>
        </is>
      </c>
      <c r="G51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24" s="16" t="inlineStr">
        <is>
          <t>LV25W32</t>
        </is>
      </c>
      <c r="I5124" s="16" t="n">
        <v>1</v>
      </c>
      <c r="J5124" s="17" t="n">
        <v>90</v>
      </c>
      <c r="K5124" s="17" t="n">
        <v>57.31</v>
      </c>
      <c r="L5124" s="17" t="n">
        <v>25.86</v>
      </c>
      <c r="M5124" s="17" t="n">
        <v>0</v>
      </c>
      <c r="N5124" s="17">
        <f>K5124*0.08+L5124*0.08</f>
        <v/>
      </c>
      <c r="O5124" s="17">
        <f>-(K5124*0.025+L5124*0.025)</f>
        <v/>
      </c>
      <c r="P5124" s="17">
        <f>32</f>
        <v/>
      </c>
      <c r="Q5124" s="17">
        <f>J5124+L5124+N5124+O5124-P5124-M5124</f>
        <v/>
      </c>
    </row>
    <row r="5125">
      <c r="A5125" s="16" t="inlineStr">
        <is>
          <t>5.8-5.14</t>
        </is>
      </c>
      <c r="B5125" s="16" t="inlineStr">
        <is>
          <t>PO-128-16812755405432797</t>
        </is>
      </c>
      <c r="C5125" s="16" t="inlineStr">
        <is>
          <t>Delivered</t>
        </is>
      </c>
      <c r="D5125" s="16" t="inlineStr">
        <is>
          <t>128-16812713462392797</t>
        </is>
      </c>
      <c r="E5125" s="16" t="inlineStr">
        <is>
          <t>Delivered</t>
        </is>
      </c>
      <c r="F5125" s="16" t="inlineStr">
        <is>
          <t>SA325T</t>
        </is>
      </c>
      <c r="G5125" s="16" t="inlineStr">
        <is>
          <t>Subwoofer Portátil Inalámbrico con Luces RGB, Sonido de Alta Potencia y Batería Duradera, TWS TF USB, Perfecto para Campamento Fiestas y Entretenimiento en Casa</t>
        </is>
      </c>
      <c r="H5125" s="16" t="inlineStr">
        <is>
          <t>NEGRO</t>
        </is>
      </c>
      <c r="I5125" s="16" t="n">
        <v>1</v>
      </c>
      <c r="J5125" s="17" t="n">
        <v>36</v>
      </c>
      <c r="K5125" s="17" t="n">
        <v>45.06</v>
      </c>
      <c r="L5125" s="17" t="n">
        <v>25.86</v>
      </c>
      <c r="M5125" s="17" t="n">
        <v>0</v>
      </c>
      <c r="N5125" s="17">
        <f>K5125*0.08+L5125*0.08</f>
        <v/>
      </c>
      <c r="O5125" s="17">
        <f>-(K5125*0.025+L5125*0.025)</f>
        <v/>
      </c>
      <c r="P5125" s="17">
        <f>32</f>
        <v/>
      </c>
      <c r="Q5125" s="17">
        <f>J5125+L5125+N5125+O5125-P5125-M5125</f>
        <v/>
      </c>
    </row>
    <row r="5126">
      <c r="A5126" s="16" t="inlineStr">
        <is>
          <t>5.8-5.14</t>
        </is>
      </c>
      <c r="B5126" s="16" t="inlineStr">
        <is>
          <t>PO-128-16955631831671881</t>
        </is>
      </c>
      <c r="C5126" s="16" t="inlineStr">
        <is>
          <t>Delivered</t>
        </is>
      </c>
      <c r="D5126" s="16" t="inlineStr">
        <is>
          <t>128-16955673774711881</t>
        </is>
      </c>
      <c r="E5126" s="16" t="inlineStr">
        <is>
          <t>Delivered</t>
        </is>
      </c>
      <c r="F5126" s="16" t="inlineStr">
        <is>
          <t>LV25W22</t>
        </is>
      </c>
      <c r="G512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26" s="16" t="inlineStr">
        <is>
          <t>LV25W32</t>
        </is>
      </c>
      <c r="I5126" s="16" t="n">
        <v>1</v>
      </c>
      <c r="J5126" s="17" t="n">
        <v>90</v>
      </c>
      <c r="K5126" s="17" t="n">
        <v>17.65</v>
      </c>
      <c r="L5126" s="17" t="n">
        <v>25.86</v>
      </c>
      <c r="M5126" s="17" t="n">
        <v>0</v>
      </c>
      <c r="N5126" s="17">
        <f>K5126*0.08+L5126*0.08</f>
        <v/>
      </c>
      <c r="O5126" s="17">
        <f>-(K5126*0.025+L5126*0.025)</f>
        <v/>
      </c>
      <c r="P5126" s="17">
        <f>32</f>
        <v/>
      </c>
      <c r="Q5126" s="17">
        <f>J5126+L5126+N5126+O5126-P5126-M5126</f>
        <v/>
      </c>
    </row>
    <row r="5127">
      <c r="A5127" s="16" t="inlineStr">
        <is>
          <t>5.8-5.14</t>
        </is>
      </c>
      <c r="B5127" s="16" t="inlineStr">
        <is>
          <t>PO-128-17161675331190525</t>
        </is>
      </c>
      <c r="C5127" s="16" t="inlineStr">
        <is>
          <t>Delivered</t>
        </is>
      </c>
      <c r="D5127" s="16" t="inlineStr">
        <is>
          <t>128-17161743488630525</t>
        </is>
      </c>
      <c r="E5127" s="16" t="inlineStr">
        <is>
          <t>Delivered</t>
        </is>
      </c>
      <c r="F5127" s="16" t="inlineStr">
        <is>
          <t>LV25W22</t>
        </is>
      </c>
      <c r="G51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27" s="16" t="inlineStr">
        <is>
          <t>LV25W32</t>
        </is>
      </c>
      <c r="I5127" s="16" t="n">
        <v>1</v>
      </c>
      <c r="J5127" s="17" t="n">
        <v>90</v>
      </c>
      <c r="K5127" s="17" t="n">
        <v>100.41</v>
      </c>
      <c r="L5127" s="17" t="n">
        <v>25.86</v>
      </c>
      <c r="M5127" s="17" t="n">
        <v>0</v>
      </c>
      <c r="N5127" s="17">
        <f>K5127*0.08+L5127*0.08</f>
        <v/>
      </c>
      <c r="O5127" s="17">
        <f>-(K5127*0.025+L5127*0.025)</f>
        <v/>
      </c>
      <c r="P5127" s="17">
        <f>32</f>
        <v/>
      </c>
      <c r="Q5127" s="17">
        <f>J5127+L5127+N5127+O5127-P5127-M5127</f>
        <v/>
      </c>
    </row>
    <row r="5128">
      <c r="A5128" s="16" t="inlineStr">
        <is>
          <t>5.8-5.14</t>
        </is>
      </c>
      <c r="B5128" s="16" t="inlineStr">
        <is>
          <t>PO-128-16804102697592782</t>
        </is>
      </c>
      <c r="C5128" s="16" t="inlineStr">
        <is>
          <t>Delivered</t>
        </is>
      </c>
      <c r="D5128" s="16" t="inlineStr">
        <is>
          <t>128-16804142674552782</t>
        </is>
      </c>
      <c r="E5128" s="16" t="inlineStr">
        <is>
          <t>Delivered</t>
        </is>
      </c>
      <c r="F5128" s="16" t="inlineStr">
        <is>
          <t>LB02235-blanco</t>
        </is>
      </c>
      <c r="G5128" s="16" t="inlineStr">
        <is>
          <t>Audífonos Inalámbricos para la Cabeza, Recargables y Multifuncionales - Conectan a Varios Dispositivos, soportan Radio FM, Tarjeta TF y AUX - 4 Horas de Reproducción Musical - Ideal para Trabajo Cotidiano, Juegos y Estudio</t>
        </is>
      </c>
      <c r="H5128" s="16" t="inlineStr">
        <is>
          <t>BLANCO</t>
        </is>
      </c>
      <c r="I5128" s="16" t="n">
        <v>1</v>
      </c>
      <c r="J5128" s="17" t="n">
        <v>36.5</v>
      </c>
      <c r="K5128" s="17" t="n">
        <v>49.62</v>
      </c>
      <c r="L5128" s="17" t="n">
        <v>25.86</v>
      </c>
      <c r="M5128" s="17" t="n">
        <v>0</v>
      </c>
      <c r="N5128" s="17">
        <f>K5128*0.08+L5128*0.08</f>
        <v/>
      </c>
      <c r="O5128" s="17">
        <f>-(K5128*0.025+L5128*0.025)</f>
        <v/>
      </c>
      <c r="P5128" s="17">
        <f>32</f>
        <v/>
      </c>
      <c r="Q5128" s="17">
        <f>J5128+L5128+N5128+O5128-P5128-M5128</f>
        <v/>
      </c>
    </row>
    <row r="5129">
      <c r="A5129" s="16" t="inlineStr">
        <is>
          <t>5.8-5.14</t>
        </is>
      </c>
      <c r="B5129" s="16" t="inlineStr">
        <is>
          <t>PO-128-16757498071672996</t>
        </is>
      </c>
      <c r="C5129" s="16" t="inlineStr">
        <is>
          <t>Delivered</t>
        </is>
      </c>
      <c r="D5129" s="16" t="inlineStr">
        <is>
          <t>128-16757540014712996</t>
        </is>
      </c>
      <c r="E5129" s="16" t="inlineStr">
        <is>
          <t>Delivered</t>
        </is>
      </c>
      <c r="F5129" s="16" t="inlineStr">
        <is>
          <t>MB-184R</t>
        </is>
      </c>
      <c r="G5129" s="16" t="inlineStr">
        <is>
          <t>Link bits Portable Bluetooth Speaker - 800W Peak Power, 50W Full-Range Audio with Dual Bass System &amp; Deep Bass Membranes, Powerful &amp; Distortion-Free Sound, IP65 Waterproof Dustproof, TWS Support &amp; 6H Battery for Outdoor/Party</t>
        </is>
      </c>
      <c r="H5129" s="16" t="inlineStr">
        <is>
          <t>ROJO/MB-184</t>
        </is>
      </c>
      <c r="I5129" s="16" t="n">
        <v>1</v>
      </c>
      <c r="J5129" s="17" t="n">
        <v>588</v>
      </c>
      <c r="K5129" s="17" t="n">
        <v>620.03</v>
      </c>
      <c r="L5129" s="17" t="n">
        <v>0</v>
      </c>
      <c r="M5129" s="17" t="n">
        <v>0</v>
      </c>
      <c r="N5129" s="17">
        <f>K5129*0.08+L5129*0.08</f>
        <v/>
      </c>
      <c r="O5129" s="17">
        <f>-(K5129*0.025+L5129*0.025)</f>
        <v/>
      </c>
      <c r="P5129" s="17">
        <f>32</f>
        <v/>
      </c>
      <c r="Q5129" s="17">
        <f>J5129+L5129+N5129+O5129-P5129-M5129</f>
        <v/>
      </c>
    </row>
    <row r="5130">
      <c r="A5130" s="16" t="inlineStr">
        <is>
          <t>5.8-5.14</t>
        </is>
      </c>
      <c r="B5130" s="16" t="inlineStr">
        <is>
          <t>PO-128-16689765919352312</t>
        </is>
      </c>
      <c r="C5130" s="16" t="inlineStr">
        <is>
          <t>Delivered</t>
        </is>
      </c>
      <c r="D5130" s="16" t="inlineStr">
        <is>
          <t>128-16689723976312312</t>
        </is>
      </c>
      <c r="E5130" s="16" t="inlineStr">
        <is>
          <t>Delivered</t>
        </is>
      </c>
      <c r="F5130" s="16" t="inlineStr">
        <is>
          <t>LV25W22</t>
        </is>
      </c>
      <c r="G513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30" s="16" t="inlineStr">
        <is>
          <t>LV25W32</t>
        </is>
      </c>
      <c r="I5130" s="16" t="n">
        <v>1</v>
      </c>
      <c r="J5130" s="17" t="n">
        <v>90</v>
      </c>
      <c r="K5130" s="17" t="n">
        <v>57.31</v>
      </c>
      <c r="L5130" s="17" t="n">
        <v>25.86</v>
      </c>
      <c r="M5130" s="17" t="n">
        <v>0</v>
      </c>
      <c r="N5130" s="17">
        <f>K5130*0.08+L5130*0.08</f>
        <v/>
      </c>
      <c r="O5130" s="17">
        <f>-(K5130*0.025+L5130*0.025)</f>
        <v/>
      </c>
      <c r="P5130" s="17">
        <f>32</f>
        <v/>
      </c>
      <c r="Q5130" s="17">
        <f>J5130+L5130+N5130+O5130-P5130-M5130</f>
        <v/>
      </c>
    </row>
    <row r="5131">
      <c r="A5131" s="16" t="inlineStr">
        <is>
          <t>5.8-5.14</t>
        </is>
      </c>
      <c r="B5131" s="16" t="inlineStr">
        <is>
          <t>PO-128-17043244974710335</t>
        </is>
      </c>
      <c r="C5131" s="16" t="inlineStr">
        <is>
          <t>Delivered</t>
        </is>
      </c>
      <c r="D5131" s="16" t="inlineStr">
        <is>
          <t>128-17043265946230335</t>
        </is>
      </c>
      <c r="E5131" s="16" t="inlineStr">
        <is>
          <t>Delivered</t>
        </is>
      </c>
      <c r="F5131" s="16" t="inlineStr">
        <is>
          <t>LB02235-negro</t>
        </is>
      </c>
      <c r="G5131" s="16" t="inlineStr">
        <is>
          <t>Audífonos Inalámbricos para la Cabeza, Recargables y Multifuncionales - Conectan a Varios Dispositivos, soportan Radio FM, Tarjeta TF y AUX - 4 Horas de Reproducción Musical - Ideal para Trabajo Cotidiano, Juegos y Estudio</t>
        </is>
      </c>
      <c r="H5131" s="16" t="inlineStr">
        <is>
          <t>NEGRO</t>
        </is>
      </c>
      <c r="I5131" s="16" t="n">
        <v>1</v>
      </c>
      <c r="J5131" s="17" t="n">
        <v>36.5</v>
      </c>
      <c r="K5131" s="17" t="n">
        <v>49.62</v>
      </c>
      <c r="L5131" s="17" t="n">
        <v>13.56</v>
      </c>
      <c r="M5131" s="17" t="n">
        <v>0</v>
      </c>
      <c r="N5131" s="17">
        <f>K5131*0.08+L5131*0.08</f>
        <v/>
      </c>
      <c r="O5131" s="17">
        <f>-(K5131*0.025+L5131*0.025)</f>
        <v/>
      </c>
      <c r="P5131" s="17">
        <f>32</f>
        <v/>
      </c>
      <c r="Q5131" s="17">
        <f>J5131+L5131+N5131+O5131-P5131-M5131</f>
        <v/>
      </c>
    </row>
    <row r="5132">
      <c r="A5132" s="16" t="inlineStr">
        <is>
          <t>5.8-5.14</t>
        </is>
      </c>
      <c r="B5132" s="16" t="inlineStr">
        <is>
          <t>PO-128-17043244974710335</t>
        </is>
      </c>
      <c r="C5132" s="16" t="inlineStr">
        <is>
          <t>Delivered</t>
        </is>
      </c>
      <c r="D5132" s="16" t="inlineStr">
        <is>
          <t>128-17043150602870335</t>
        </is>
      </c>
      <c r="E5132" s="16" t="inlineStr">
        <is>
          <t>Delivered</t>
        </is>
      </c>
      <c r="F5132" s="16" t="inlineStr">
        <is>
          <t>SA325T</t>
        </is>
      </c>
      <c r="G5132" s="16" t="inlineStr">
        <is>
          <t>Subwoofer Portátil Inalámbrico con Luces RGB, Sonido de Alta Potencia y Batería Duradera, TWS TF USB, Perfecto para Campamento Fiestas y Entretenimiento en Casa</t>
        </is>
      </c>
      <c r="H5132" s="16" t="inlineStr">
        <is>
          <t>NEGRO</t>
        </is>
      </c>
      <c r="I5132" s="16" t="n">
        <v>1</v>
      </c>
      <c r="J5132" s="17" t="n">
        <v>36</v>
      </c>
      <c r="K5132" s="17" t="n">
        <v>45.06</v>
      </c>
      <c r="L5132" s="17" t="n">
        <v>12.3</v>
      </c>
      <c r="M5132" s="17" t="n">
        <v>0</v>
      </c>
      <c r="N5132" s="17">
        <f>K5132*0.08+L5132*0.08</f>
        <v/>
      </c>
      <c r="O5132" s="17">
        <f>-(K5132*0.025+L5132*0.025)</f>
        <v/>
      </c>
      <c r="P5132" s="17">
        <f>32</f>
        <v/>
      </c>
      <c r="Q5132" s="17">
        <f>J5132+L5132+N5132+O5132-P5132-M5132</f>
        <v/>
      </c>
    </row>
    <row r="5133">
      <c r="A5133" s="16" t="inlineStr">
        <is>
          <t>5.8-5.14</t>
        </is>
      </c>
      <c r="B5133" s="16" t="inlineStr">
        <is>
          <t>PO-128-16981272054391790</t>
        </is>
      </c>
      <c r="C5133" s="16" t="inlineStr">
        <is>
          <t>Delivered</t>
        </is>
      </c>
      <c r="D5133" s="16" t="inlineStr">
        <is>
          <t>128-16981313997431790</t>
        </is>
      </c>
      <c r="E5133" s="16" t="inlineStr">
        <is>
          <t>Delivered</t>
        </is>
      </c>
      <c r="F5133" s="16" t="inlineStr">
        <is>
          <t>LV25W22</t>
        </is>
      </c>
      <c r="G513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33" s="16" t="inlineStr">
        <is>
          <t>LV25W32</t>
        </is>
      </c>
      <c r="I5133" s="16" t="n">
        <v>3</v>
      </c>
      <c r="J5133" s="17" t="n">
        <v>270</v>
      </c>
      <c r="K5133" s="17" t="n">
        <v>301.23</v>
      </c>
      <c r="L5133" s="17" t="n">
        <v>0</v>
      </c>
      <c r="M5133" s="17" t="n">
        <v>0</v>
      </c>
      <c r="N5133" s="17">
        <f>K5133*0.08+L5133*0.08</f>
        <v/>
      </c>
      <c r="O5133" s="17">
        <f>-(K5133*0.025+L5133*0.025)</f>
        <v/>
      </c>
      <c r="P5133" s="17">
        <f>32</f>
        <v/>
      </c>
      <c r="Q5133" s="17">
        <f>J5133+L5133+N5133+O5133-P5133-M5133</f>
        <v/>
      </c>
    </row>
    <row r="5134">
      <c r="A5134" s="16" t="inlineStr">
        <is>
          <t>5.8-5.14</t>
        </is>
      </c>
      <c r="B5134" s="16" t="inlineStr">
        <is>
          <t>PO-128-16534378527353430</t>
        </is>
      </c>
      <c r="C5134" s="16" t="inlineStr">
        <is>
          <t>Delivered</t>
        </is>
      </c>
      <c r="D5134" s="16" t="inlineStr">
        <is>
          <t>128-16534430956153430</t>
        </is>
      </c>
      <c r="E5134" s="16" t="inlineStr">
        <is>
          <t>Delivered</t>
        </is>
      </c>
      <c r="F5134" s="16" t="inlineStr">
        <is>
          <t>SA325T</t>
        </is>
      </c>
      <c r="G5134" s="16" t="inlineStr">
        <is>
          <t>Subwoofer Portátil Inalámbrico con Luces RGB, Sonido de Alta Potencia y Batería Duradera, TWS TF USB, Perfecto para Campamento Fiestas y Entretenimiento en Casa</t>
        </is>
      </c>
      <c r="H5134" s="16" t="inlineStr">
        <is>
          <t>NEGRO</t>
        </is>
      </c>
      <c r="I5134" s="16" t="n">
        <v>1</v>
      </c>
      <c r="J5134" s="17" t="n">
        <v>36</v>
      </c>
      <c r="K5134" s="17" t="n">
        <v>45.06</v>
      </c>
      <c r="L5134" s="17" t="n">
        <v>25.86</v>
      </c>
      <c r="M5134" s="17" t="n">
        <v>0</v>
      </c>
      <c r="N5134" s="17">
        <f>K5134*0.08+L5134*0.08</f>
        <v/>
      </c>
      <c r="O5134" s="17">
        <f>-(K5134*0.025+L5134*0.025)</f>
        <v/>
      </c>
      <c r="P5134" s="17">
        <f>32</f>
        <v/>
      </c>
      <c r="Q5134" s="17">
        <f>J5134+L5134+N5134+O5134-P5134-M5134</f>
        <v/>
      </c>
    </row>
    <row r="5135">
      <c r="A5135" s="16" t="inlineStr">
        <is>
          <t>5.8-5.14</t>
        </is>
      </c>
      <c r="B5135" s="16" t="inlineStr">
        <is>
          <t>PO-128-17076870185590004</t>
        </is>
      </c>
      <c r="C5135" s="16" t="inlineStr">
        <is>
          <t>Delivered</t>
        </is>
      </c>
      <c r="D5135" s="16" t="inlineStr">
        <is>
          <t>128-17076922614390004</t>
        </is>
      </c>
      <c r="E5135" s="16" t="inlineStr">
        <is>
          <t>Delivered</t>
        </is>
      </c>
      <c r="F5135" s="16" t="inlineStr">
        <is>
          <t>S58W60</t>
        </is>
      </c>
      <c r="G5135"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135" s="16" t="inlineStr">
        <is>
          <t>1 pieza</t>
        </is>
      </c>
      <c r="I5135" s="16" t="n">
        <v>1</v>
      </c>
      <c r="J5135" s="17" t="n">
        <v>57</v>
      </c>
      <c r="K5135" s="17" t="n">
        <v>74.52</v>
      </c>
      <c r="L5135" s="17" t="n">
        <v>25.86</v>
      </c>
      <c r="M5135" s="17" t="n">
        <v>0</v>
      </c>
      <c r="N5135" s="17">
        <f>K5135*0.08+L5135*0.08</f>
        <v/>
      </c>
      <c r="O5135" s="17">
        <f>-(K5135*0.025+L5135*0.025)</f>
        <v/>
      </c>
      <c r="P5135" s="17">
        <f>32</f>
        <v/>
      </c>
      <c r="Q5135" s="17">
        <f>J5135+L5135+N5135+O5135-P5135-M5135</f>
        <v/>
      </c>
    </row>
    <row r="5136">
      <c r="A5136" s="16" t="inlineStr">
        <is>
          <t>5.8-5.14</t>
        </is>
      </c>
      <c r="B5136" s="16" t="inlineStr">
        <is>
          <t>PO-128-16935946773111996</t>
        </is>
      </c>
      <c r="C5136" s="16" t="inlineStr">
        <is>
          <t>Delivered</t>
        </is>
      </c>
      <c r="D5136" s="16" t="inlineStr">
        <is>
          <t>128-16936083087991996</t>
        </is>
      </c>
      <c r="E5136" s="16" t="inlineStr">
        <is>
          <t>Delivered</t>
        </is>
      </c>
      <c r="F5136" s="16" t="inlineStr">
        <is>
          <t>LV25W22</t>
        </is>
      </c>
      <c r="G513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36" s="16" t="inlineStr">
        <is>
          <t>LV25W32</t>
        </is>
      </c>
      <c r="I5136" s="16" t="n">
        <v>1</v>
      </c>
      <c r="J5136" s="17" t="n">
        <v>90</v>
      </c>
      <c r="K5136" s="17" t="n">
        <v>100.41</v>
      </c>
      <c r="L5136" s="17" t="n">
        <v>25.86</v>
      </c>
      <c r="M5136" s="17" t="n">
        <v>0</v>
      </c>
      <c r="N5136" s="17">
        <f>K5136*0.08+L5136*0.08</f>
        <v/>
      </c>
      <c r="O5136" s="17">
        <f>-(K5136*0.025+L5136*0.025)</f>
        <v/>
      </c>
      <c r="P5136" s="17">
        <f>32</f>
        <v/>
      </c>
      <c r="Q5136" s="17">
        <f>J5136+L5136+N5136+O5136-P5136-M5136</f>
        <v/>
      </c>
    </row>
    <row r="5137">
      <c r="A5137" s="16" t="inlineStr">
        <is>
          <t>5.8-5.14</t>
        </is>
      </c>
      <c r="B5137" s="16" t="inlineStr">
        <is>
          <t>PO-128-17101466481270946</t>
        </is>
      </c>
      <c r="C5137" s="16" t="inlineStr">
        <is>
          <t>Delivered</t>
        </is>
      </c>
      <c r="D5137" s="16" t="inlineStr">
        <is>
          <t>128-17101513667190946</t>
        </is>
      </c>
      <c r="E5137" s="16" t="inlineStr">
        <is>
          <t>Delivered</t>
        </is>
      </c>
      <c r="F5137" s="16" t="inlineStr">
        <is>
          <t>LV25W22</t>
        </is>
      </c>
      <c r="G513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37" s="16" t="inlineStr">
        <is>
          <t>LV25W32</t>
        </is>
      </c>
      <c r="I5137" s="16" t="n">
        <v>3</v>
      </c>
      <c r="J5137" s="17" t="n">
        <v>270</v>
      </c>
      <c r="K5137" s="17" t="n">
        <v>256.05</v>
      </c>
      <c r="L5137" s="17" t="n">
        <v>0</v>
      </c>
      <c r="M5137" s="17" t="n">
        <v>0</v>
      </c>
      <c r="N5137" s="17">
        <f>K5137*0.08+L5137*0.08</f>
        <v/>
      </c>
      <c r="O5137" s="17">
        <f>-(K5137*0.025+L5137*0.025)</f>
        <v/>
      </c>
      <c r="P5137" s="17">
        <f>32</f>
        <v/>
      </c>
      <c r="Q5137" s="17">
        <f>J5137+L5137+N5137+O5137-P5137-M5137</f>
        <v/>
      </c>
    </row>
    <row r="5138">
      <c r="A5138" s="16" t="inlineStr">
        <is>
          <t>5.8-5.14</t>
        </is>
      </c>
      <c r="B5138" s="16" t="inlineStr">
        <is>
          <t>PO-128-17056393308790190</t>
        </is>
      </c>
      <c r="C5138" s="16" t="inlineStr">
        <is>
          <t>Delivered</t>
        </is>
      </c>
      <c r="D5138" s="16" t="inlineStr">
        <is>
          <t>128-17056469330550190</t>
        </is>
      </c>
      <c r="E5138" s="16" t="inlineStr">
        <is>
          <t>Delivered</t>
        </is>
      </c>
      <c r="F5138" s="16" t="inlineStr">
        <is>
          <t>LB02235-blanco</t>
        </is>
      </c>
      <c r="G5138" s="16" t="inlineStr">
        <is>
          <t>Audífonos Inalámbricos para la Cabeza, Recargables y Multifuncionales - Conectan a Varios Dispositivos, soportan Radio FM, Tarjeta TF y AUX - 4 Horas de Reproducción Musical - Ideal para Trabajo Cotidiano, Juegos y Estudio</t>
        </is>
      </c>
      <c r="H5138" s="16" t="inlineStr">
        <is>
          <t>BLANCO</t>
        </is>
      </c>
      <c r="I5138" s="16" t="n">
        <v>1</v>
      </c>
      <c r="J5138" s="17" t="n">
        <v>36.5</v>
      </c>
      <c r="K5138" s="17" t="n">
        <v>49.62</v>
      </c>
      <c r="L5138" s="17" t="n">
        <v>25.86</v>
      </c>
      <c r="M5138" s="17" t="n">
        <v>0</v>
      </c>
      <c r="N5138" s="17">
        <f>K5138*0.08+L5138*0.08</f>
        <v/>
      </c>
      <c r="O5138" s="17">
        <f>-(K5138*0.025+L5138*0.025)</f>
        <v/>
      </c>
      <c r="P5138" s="17">
        <f>32</f>
        <v/>
      </c>
      <c r="Q5138" s="17">
        <f>J5138+L5138+N5138+O5138-P5138-M5138</f>
        <v/>
      </c>
    </row>
    <row r="5139">
      <c r="A5139" s="16" t="inlineStr">
        <is>
          <t>5.8-5.14</t>
        </is>
      </c>
      <c r="B5139" s="16" t="inlineStr">
        <is>
          <t>PO-128-16598621082234073</t>
        </is>
      </c>
      <c r="C5139" s="16" t="inlineStr">
        <is>
          <t>Delivered</t>
        </is>
      </c>
      <c r="D5139" s="16" t="inlineStr">
        <is>
          <t>128-16598558167674073</t>
        </is>
      </c>
      <c r="E5139" s="16" t="inlineStr">
        <is>
          <t>Delivered</t>
        </is>
      </c>
      <c r="F5139" s="16" t="inlineStr">
        <is>
          <t>LV25W22</t>
        </is>
      </c>
      <c r="G51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39" s="16" t="inlineStr">
        <is>
          <t>LV25W32</t>
        </is>
      </c>
      <c r="I5139" s="16" t="n">
        <v>1</v>
      </c>
      <c r="J5139" s="17" t="n">
        <v>90</v>
      </c>
      <c r="K5139" s="17" t="n">
        <v>100.41</v>
      </c>
      <c r="L5139" s="17" t="n">
        <v>25.86</v>
      </c>
      <c r="M5139" s="17" t="n">
        <v>0</v>
      </c>
      <c r="N5139" s="17">
        <f>K5139*0.08+L5139*0.08</f>
        <v/>
      </c>
      <c r="O5139" s="17">
        <f>-(K5139*0.025+L5139*0.025)</f>
        <v/>
      </c>
      <c r="P5139" s="17">
        <f>32</f>
        <v/>
      </c>
      <c r="Q5139" s="17">
        <f>J5139+L5139+N5139+O5139-P5139-M5139</f>
        <v/>
      </c>
    </row>
    <row r="5140">
      <c r="A5140" s="16" t="inlineStr">
        <is>
          <t>5.8-5.14</t>
        </is>
      </c>
      <c r="B5140" s="16" t="inlineStr">
        <is>
          <t>PO-128-16679003075192504</t>
        </is>
      </c>
      <c r="C5140" s="16" t="inlineStr">
        <is>
          <t>Delivered</t>
        </is>
      </c>
      <c r="D5140" s="16" t="inlineStr">
        <is>
          <t>128-16679055503992504</t>
        </is>
      </c>
      <c r="E5140" s="16" t="inlineStr">
        <is>
          <t>Delivered</t>
        </is>
      </c>
      <c r="F5140" s="16" t="inlineStr">
        <is>
          <t>LB02235-negro</t>
        </is>
      </c>
      <c r="G5140" s="16" t="inlineStr">
        <is>
          <t>Audífonos Inalámbricos para la Cabeza, Recargables y Multifuncionales - Conectan a Varios Dispositivos, soportan Radio FM, Tarjeta TF y AUX - 4 Horas de Reproducción Musical - Ideal para Trabajo Cotidiano, Juegos y Estudio</t>
        </is>
      </c>
      <c r="H5140" s="16" t="inlineStr">
        <is>
          <t>NEGRO</t>
        </is>
      </c>
      <c r="I5140" s="16" t="n">
        <v>1</v>
      </c>
      <c r="J5140" s="17" t="n">
        <v>36.5</v>
      </c>
      <c r="K5140" s="17" t="n">
        <v>6.52</v>
      </c>
      <c r="L5140" s="17" t="n">
        <v>25.86</v>
      </c>
      <c r="M5140" s="17" t="n">
        <v>0</v>
      </c>
      <c r="N5140" s="17">
        <f>K5140*0.08+L5140*0.08</f>
        <v/>
      </c>
      <c r="O5140" s="17">
        <f>-(K5140*0.025+L5140*0.025)</f>
        <v/>
      </c>
      <c r="P5140" s="17">
        <f>32</f>
        <v/>
      </c>
      <c r="Q5140" s="17">
        <f>J5140+L5140+N5140+O5140-P5140-M5140</f>
        <v/>
      </c>
    </row>
    <row r="5141">
      <c r="A5141" s="16" t="inlineStr">
        <is>
          <t>5.8-5.14</t>
        </is>
      </c>
      <c r="B5141" s="16" t="inlineStr">
        <is>
          <t>PO-128-17007873075831632</t>
        </is>
      </c>
      <c r="C5141" s="16" t="inlineStr">
        <is>
          <t>Delivered</t>
        </is>
      </c>
      <c r="D5141" s="16" t="inlineStr">
        <is>
          <t>128-17007831132791632</t>
        </is>
      </c>
      <c r="E5141" s="16" t="inlineStr">
        <is>
          <t>Delivered</t>
        </is>
      </c>
      <c r="F5141" s="16" t="inlineStr">
        <is>
          <t>LB02235-azul</t>
        </is>
      </c>
      <c r="G5141" s="16" t="inlineStr">
        <is>
          <t>Audífonos Inalámbricos para la Cabeza, Recargables y Multifuncionales - Conectan a Varios Dispositivos, soportan Radio FM, Tarjeta TF y AUX - 4 Horas de Reproducción Musical - Ideal para Trabajo Cotidiano, Juegos y Estudio</t>
        </is>
      </c>
      <c r="H5141" s="16" t="inlineStr">
        <is>
          <t>AZUL</t>
        </is>
      </c>
      <c r="I5141" s="16" t="n">
        <v>1</v>
      </c>
      <c r="J5141" s="17" t="n">
        <v>35</v>
      </c>
      <c r="K5141" s="17" t="n">
        <v>22.65</v>
      </c>
      <c r="L5141" s="17" t="n">
        <v>12.72</v>
      </c>
      <c r="M5141" s="17" t="n">
        <v>0</v>
      </c>
      <c r="N5141" s="17">
        <f>K5141*0.08+L5141*0.08</f>
        <v/>
      </c>
      <c r="O5141" s="17">
        <f>-(K5141*0.025+L5141*0.025)</f>
        <v/>
      </c>
      <c r="P5141" s="17">
        <f>32</f>
        <v/>
      </c>
      <c r="Q5141" s="17">
        <f>J5141+L5141+N5141+O5141-P5141-M5141</f>
        <v/>
      </c>
    </row>
    <row r="5142">
      <c r="A5142" s="16" t="inlineStr">
        <is>
          <t>5.8-5.14</t>
        </is>
      </c>
      <c r="B5142" s="16" t="inlineStr">
        <is>
          <t>PO-128-17007873075831632</t>
        </is>
      </c>
      <c r="C5142" s="16" t="inlineStr">
        <is>
          <t>Delivered</t>
        </is>
      </c>
      <c r="D5142" s="16" t="inlineStr">
        <is>
          <t>128-17007789189751632</t>
        </is>
      </c>
      <c r="E5142" s="16" t="inlineStr">
        <is>
          <t>Delivered</t>
        </is>
      </c>
      <c r="F5142" s="16" t="inlineStr">
        <is>
          <t>LB02235-rojo</t>
        </is>
      </c>
      <c r="G5142" s="16" t="inlineStr">
        <is>
          <t>Audífonos Inalámbricos para la Cabeza, Recargables y Multifuncionales - Conectan a Varios Dispositivos, soportan Radio FM, Tarjeta TF y AUX - 4 Horas de Reproducción Musical - Ideal para Trabajo Cotidiano, Juegos y Estudio</t>
        </is>
      </c>
      <c r="H5142" s="16" t="inlineStr">
        <is>
          <t>ROJO</t>
        </is>
      </c>
      <c r="I5142" s="16" t="n">
        <v>1</v>
      </c>
      <c r="J5142" s="17" t="n">
        <v>36.5</v>
      </c>
      <c r="K5142" s="17" t="n">
        <v>23.36</v>
      </c>
      <c r="L5142" s="17" t="n">
        <v>13.14</v>
      </c>
      <c r="M5142" s="17" t="n">
        <v>0</v>
      </c>
      <c r="N5142" s="17">
        <f>K5142*0.08+L5142*0.08</f>
        <v/>
      </c>
      <c r="O5142" s="17">
        <f>-(K5142*0.025+L5142*0.025)</f>
        <v/>
      </c>
      <c r="P5142" s="17">
        <f>32</f>
        <v/>
      </c>
      <c r="Q5142" s="17">
        <f>J5142+L5142+N5142+O5142-P5142-M5142</f>
        <v/>
      </c>
    </row>
    <row r="5143">
      <c r="A5143" s="16" t="inlineStr">
        <is>
          <t>5.8-5.14</t>
        </is>
      </c>
      <c r="B5143" s="16" t="inlineStr">
        <is>
          <t>PO-128-16672125051512483</t>
        </is>
      </c>
      <c r="C5143" s="16" t="inlineStr">
        <is>
          <t>Delivered</t>
        </is>
      </c>
      <c r="D5143" s="16" t="inlineStr">
        <is>
          <t>128-16672077865592483</t>
        </is>
      </c>
      <c r="E5143" s="16" t="inlineStr">
        <is>
          <t>Delivered</t>
        </is>
      </c>
      <c r="F5143" s="16" t="inlineStr">
        <is>
          <t>VB347T</t>
        </is>
      </c>
      <c r="G514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143" s="16" t="inlineStr">
        <is>
          <t>1 pieza</t>
        </is>
      </c>
      <c r="I5143" s="16" t="n">
        <v>1</v>
      </c>
      <c r="J5143" s="17" t="n">
        <v>77.90000000000001</v>
      </c>
      <c r="K5143" s="17" t="n">
        <v>82.56999999999999</v>
      </c>
      <c r="L5143" s="17" t="n">
        <v>25.86</v>
      </c>
      <c r="M5143" s="17" t="n">
        <v>0</v>
      </c>
      <c r="N5143" s="17">
        <f>K5143*0.08+L5143*0.08</f>
        <v/>
      </c>
      <c r="O5143" s="17">
        <f>-(K5143*0.025+L5143*0.025)</f>
        <v/>
      </c>
      <c r="P5143" s="17">
        <f>32</f>
        <v/>
      </c>
      <c r="Q5143" s="17">
        <f>J5143+L5143+N5143+O5143-P5143-M5143</f>
        <v/>
      </c>
    </row>
    <row r="5144">
      <c r="A5144" s="16" t="inlineStr">
        <is>
          <t>5.8-5.14</t>
        </is>
      </c>
      <c r="B5144" s="16" t="inlineStr">
        <is>
          <t>PO-128-16675728896632525</t>
        </is>
      </c>
      <c r="C5144" s="16" t="inlineStr">
        <is>
          <t>Delivered</t>
        </is>
      </c>
      <c r="D5144" s="16" t="inlineStr">
        <is>
          <t>128-16675865211512525</t>
        </is>
      </c>
      <c r="E5144" s="16" t="inlineStr">
        <is>
          <t>Delivered</t>
        </is>
      </c>
      <c r="F5144" s="16" t="inlineStr">
        <is>
          <t>LV25W22</t>
        </is>
      </c>
      <c r="G51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44" s="16" t="inlineStr">
        <is>
          <t>LV25W32</t>
        </is>
      </c>
      <c r="I5144" s="16" t="n">
        <v>2</v>
      </c>
      <c r="J5144" s="17" t="n">
        <v>180</v>
      </c>
      <c r="K5144" s="17" t="n">
        <v>157.72</v>
      </c>
      <c r="L5144" s="17" t="n">
        <v>25.86</v>
      </c>
      <c r="M5144" s="17" t="n">
        <v>0</v>
      </c>
      <c r="N5144" s="17">
        <f>K5144*0.08+L5144*0.08</f>
        <v/>
      </c>
      <c r="O5144" s="17">
        <f>-(K5144*0.025+L5144*0.025)</f>
        <v/>
      </c>
      <c r="P5144" s="17">
        <f>32</f>
        <v/>
      </c>
      <c r="Q5144" s="17">
        <f>J5144+L5144+N5144+O5144-P5144-M5144</f>
        <v/>
      </c>
    </row>
    <row r="5145">
      <c r="A5145" s="16" t="inlineStr">
        <is>
          <t>5.8-5.14</t>
        </is>
      </c>
      <c r="B5145" s="16" t="inlineStr">
        <is>
          <t>PO-128-16951471022711840</t>
        </is>
      </c>
      <c r="C5145" s="16" t="inlineStr">
        <is>
          <t>Delivered</t>
        </is>
      </c>
      <c r="D5145" s="16" t="inlineStr">
        <is>
          <t>128-16951491994231840</t>
        </is>
      </c>
      <c r="E5145" s="16" t="inlineStr">
        <is>
          <t>Delivered</t>
        </is>
      </c>
      <c r="F5145" s="16" t="inlineStr">
        <is>
          <t>SA325T</t>
        </is>
      </c>
      <c r="G5145" s="16" t="inlineStr">
        <is>
          <t>Subwoofer Portátil Inalámbrico con Luces RGB, Sonido de Alta Potencia y Batería Duradera, TWS TF USB, Perfecto para Campamento Fiestas y Entretenimiento en Casa</t>
        </is>
      </c>
      <c r="H5145" s="16" t="inlineStr">
        <is>
          <t>NEGRO</t>
        </is>
      </c>
      <c r="I5145" s="16" t="n">
        <v>1</v>
      </c>
      <c r="J5145" s="17" t="n">
        <v>36</v>
      </c>
      <c r="K5145" s="17" t="n">
        <v>45.06</v>
      </c>
      <c r="L5145" s="17" t="n">
        <v>25.86</v>
      </c>
      <c r="M5145" s="17" t="n">
        <v>0</v>
      </c>
      <c r="N5145" s="17">
        <f>K5145*0.08+L5145*0.08</f>
        <v/>
      </c>
      <c r="O5145" s="17">
        <f>-(K5145*0.025+L5145*0.025)</f>
        <v/>
      </c>
      <c r="P5145" s="17">
        <f>32</f>
        <v/>
      </c>
      <c r="Q5145" s="17">
        <f>J5145+L5145+N5145+O5145-P5145-M5145</f>
        <v/>
      </c>
    </row>
    <row r="5146">
      <c r="A5146" s="16" t="inlineStr">
        <is>
          <t>5.8-5.14</t>
        </is>
      </c>
      <c r="B5146" s="16" t="inlineStr">
        <is>
          <t>PO-128-16608210663033886</t>
        </is>
      </c>
      <c r="C5146" s="16" t="inlineStr">
        <is>
          <t>Delivered</t>
        </is>
      </c>
      <c r="D5146" s="16" t="inlineStr">
        <is>
          <t>128-16608124155513886</t>
        </is>
      </c>
      <c r="E5146" s="16" t="inlineStr">
        <is>
          <t>Delivered</t>
        </is>
      </c>
      <c r="F5146" s="16" t="inlineStr">
        <is>
          <t>LV34W04</t>
        </is>
      </c>
      <c r="G5146"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146" s="16" t="inlineStr">
        <is>
          <t>LV34W04</t>
        </is>
      </c>
      <c r="I5146" s="16" t="n">
        <v>1</v>
      </c>
      <c r="J5146" s="17" t="n">
        <v>220</v>
      </c>
      <c r="K5146" s="17" t="n">
        <v>278.81</v>
      </c>
      <c r="L5146" s="17" t="n">
        <v>0</v>
      </c>
      <c r="M5146" s="17" t="n">
        <v>0</v>
      </c>
      <c r="N5146" s="17">
        <f>K5146*0.08+L5146*0.08</f>
        <v/>
      </c>
      <c r="O5146" s="17">
        <f>-(K5146*0.025+L5146*0.025)</f>
        <v/>
      </c>
      <c r="P5146" s="17">
        <f>32</f>
        <v/>
      </c>
      <c r="Q5146" s="17">
        <f>J5146+L5146+N5146+O5146-P5146-M5146</f>
        <v/>
      </c>
    </row>
    <row r="5147">
      <c r="A5147" s="16" t="inlineStr">
        <is>
          <t>5.8-5.14</t>
        </is>
      </c>
      <c r="B5147" s="16" t="inlineStr">
        <is>
          <t>PO-128-16671216077432486</t>
        </is>
      </c>
      <c r="C5147" s="16" t="inlineStr">
        <is>
          <t>Delivered</t>
        </is>
      </c>
      <c r="D5147" s="16" t="inlineStr">
        <is>
          <t>128-16671205591672486</t>
        </is>
      </c>
      <c r="E5147" s="16" t="inlineStr">
        <is>
          <t>Delivered</t>
        </is>
      </c>
      <c r="F5147" s="16" t="inlineStr">
        <is>
          <t>LB02235-rojo</t>
        </is>
      </c>
      <c r="G5147" s="16" t="inlineStr">
        <is>
          <t>Audífonos Inalámbricos para la Cabeza, Recargables y Multifuncionales - Conectan a Varios Dispositivos, soportan Radio FM, Tarjeta TF y AUX - 4 Horas de Reproducción Musical - Ideal para Trabajo Cotidiano, Juegos y Estudio</t>
        </is>
      </c>
      <c r="H5147" s="16" t="inlineStr">
        <is>
          <t>ROJO</t>
        </is>
      </c>
      <c r="I5147" s="16" t="n">
        <v>1</v>
      </c>
      <c r="J5147" s="17" t="n">
        <v>36.5</v>
      </c>
      <c r="K5147" s="17" t="n">
        <v>49.62</v>
      </c>
      <c r="L5147" s="17" t="n">
        <v>13.14</v>
      </c>
      <c r="M5147" s="17" t="n">
        <v>0</v>
      </c>
      <c r="N5147" s="17">
        <f>K5147*0.08+L5147*0.08</f>
        <v/>
      </c>
      <c r="O5147" s="17">
        <f>-(K5147*0.025+L5147*0.025)</f>
        <v/>
      </c>
      <c r="P5147" s="17">
        <f>32</f>
        <v/>
      </c>
      <c r="Q5147" s="17">
        <f>J5147+L5147+N5147+O5147-P5147-M5147</f>
        <v/>
      </c>
    </row>
    <row r="5148">
      <c r="A5148" s="16" t="inlineStr">
        <is>
          <t>5.8-5.14</t>
        </is>
      </c>
      <c r="B5148" s="16" t="inlineStr">
        <is>
          <t>PO-128-16671216077432486</t>
        </is>
      </c>
      <c r="C5148" s="16" t="inlineStr">
        <is>
          <t>Delivered</t>
        </is>
      </c>
      <c r="D5148" s="16" t="inlineStr">
        <is>
          <t>128-16671237048952486</t>
        </is>
      </c>
      <c r="E5148" s="16" t="inlineStr">
        <is>
          <t>Delivered</t>
        </is>
      </c>
      <c r="F5148" s="16" t="inlineStr">
        <is>
          <t>LB02235-azul</t>
        </is>
      </c>
      <c r="G5148" s="16" t="inlineStr">
        <is>
          <t>Audífonos Inalámbricos para la Cabeza, Recargables y Multifuncionales - Conectan a Varios Dispositivos, soportan Radio FM, Tarjeta TF y AUX - 4 Horas de Reproducción Musical - Ideal para Trabajo Cotidiano, Juegos y Estudio</t>
        </is>
      </c>
      <c r="H5148" s="16" t="inlineStr">
        <is>
          <t>AZUL</t>
        </is>
      </c>
      <c r="I5148" s="16" t="n">
        <v>1</v>
      </c>
      <c r="J5148" s="17" t="n">
        <v>35</v>
      </c>
      <c r="K5148" s="17" t="n">
        <v>48.12</v>
      </c>
      <c r="L5148" s="17" t="n">
        <v>12.72</v>
      </c>
      <c r="M5148" s="17" t="n">
        <v>0</v>
      </c>
      <c r="N5148" s="17">
        <f>K5148*0.08+L5148*0.08</f>
        <v/>
      </c>
      <c r="O5148" s="17">
        <f>-(K5148*0.025+L5148*0.025)</f>
        <v/>
      </c>
      <c r="P5148" s="17">
        <f>32</f>
        <v/>
      </c>
      <c r="Q5148" s="17">
        <f>J5148+L5148+N5148+O5148-P5148-M5148</f>
        <v/>
      </c>
    </row>
    <row r="5149">
      <c r="A5149" s="16" t="inlineStr">
        <is>
          <t>5.8-5.14</t>
        </is>
      </c>
      <c r="B5149" s="16" t="inlineStr">
        <is>
          <t>PO-128-16734499256952111</t>
        </is>
      </c>
      <c r="C5149" s="16" t="inlineStr">
        <is>
          <t>Delivered</t>
        </is>
      </c>
      <c r="D5149" s="16" t="inlineStr">
        <is>
          <t>128-16734541199992111</t>
        </is>
      </c>
      <c r="E5149" s="16" t="inlineStr">
        <is>
          <t>Delivered</t>
        </is>
      </c>
      <c r="F5149" s="16" t="inlineStr">
        <is>
          <t>FA028</t>
        </is>
      </c>
      <c r="G5149" s="16" t="inlineStr">
        <is>
          <t>Extractor de agua para garrafas de agua, compatible con carga USB, extractor de agua automático, práctico, con dos modos de toma de agua: manual y programado, ideal para dormitorios, salones, oficinas, uso al aire libre y otros escenarios.</t>
        </is>
      </c>
      <c r="H5149" s="16" t="inlineStr">
        <is>
          <t>FA028</t>
        </is>
      </c>
      <c r="I5149" s="16" t="n">
        <v>1</v>
      </c>
      <c r="J5149" s="17" t="n">
        <v>29.5</v>
      </c>
      <c r="K5149" s="17" t="n">
        <v>39.08</v>
      </c>
      <c r="L5149" s="17" t="n">
        <v>25.86</v>
      </c>
      <c r="M5149" s="17" t="n">
        <v>0</v>
      </c>
      <c r="N5149" s="17">
        <f>K5149*0.08+L5149*0.08</f>
        <v/>
      </c>
      <c r="O5149" s="17">
        <f>-(K5149*0.025+L5149*0.025)</f>
        <v/>
      </c>
      <c r="P5149" s="17">
        <f>32</f>
        <v/>
      </c>
      <c r="Q5149" s="17">
        <f>J5149+L5149+N5149+O5149-P5149-M5149</f>
        <v/>
      </c>
    </row>
    <row r="5150">
      <c r="A5150" s="16" t="inlineStr">
        <is>
          <t>5.8-5.14</t>
        </is>
      </c>
      <c r="B5150" s="16" t="inlineStr">
        <is>
          <t>PO-128-16538898268793213</t>
        </is>
      </c>
      <c r="C5150" s="16" t="inlineStr">
        <is>
          <t>Delivered</t>
        </is>
      </c>
      <c r="D5150" s="16" t="inlineStr">
        <is>
          <t>128-16538974290553213</t>
        </is>
      </c>
      <c r="E5150" s="16" t="inlineStr">
        <is>
          <t>Delivered</t>
        </is>
      </c>
      <c r="F5150" s="16" t="inlineStr">
        <is>
          <t>LV25W22</t>
        </is>
      </c>
      <c r="G51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50" s="16" t="inlineStr">
        <is>
          <t>LV25W32</t>
        </is>
      </c>
      <c r="I5150" s="16" t="n">
        <v>1</v>
      </c>
      <c r="J5150" s="17" t="n">
        <v>90</v>
      </c>
      <c r="K5150" s="17" t="n">
        <v>14.2</v>
      </c>
      <c r="L5150" s="17" t="n">
        <v>25.86</v>
      </c>
      <c r="M5150" s="17" t="n">
        <v>0</v>
      </c>
      <c r="N5150" s="17">
        <f>K5150*0.08+L5150*0.08</f>
        <v/>
      </c>
      <c r="O5150" s="17">
        <f>-(K5150*0.025+L5150*0.025)</f>
        <v/>
      </c>
      <c r="P5150" s="17">
        <f>32</f>
        <v/>
      </c>
      <c r="Q5150" s="17">
        <f>J5150+L5150+N5150+O5150-P5150-M5150</f>
        <v/>
      </c>
    </row>
    <row r="5151">
      <c r="A5151" s="16" t="inlineStr">
        <is>
          <t>5.8-5.14</t>
        </is>
      </c>
      <c r="B5151" s="16" t="inlineStr">
        <is>
          <t>PO-128-17061201459830162</t>
        </is>
      </c>
      <c r="C5151" s="16" t="inlineStr">
        <is>
          <t>Delivered</t>
        </is>
      </c>
      <c r="D5151" s="16" t="inlineStr">
        <is>
          <t>128-17061122816630162</t>
        </is>
      </c>
      <c r="E5151" s="16" t="inlineStr">
        <is>
          <t>Delivered</t>
        </is>
      </c>
      <c r="F5151" s="16" t="inlineStr">
        <is>
          <t>EM04W36</t>
        </is>
      </c>
      <c r="G5151" s="16" t="inlineStr">
        <is>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is>
      </c>
      <c r="H5151" s="16" t="inlineStr">
        <is>
          <t>1 pieza</t>
        </is>
      </c>
      <c r="I5151" s="16" t="n">
        <v>1</v>
      </c>
      <c r="J5151" s="17" t="n">
        <v>49</v>
      </c>
      <c r="K5151" s="17" t="n">
        <v>68.47</v>
      </c>
      <c r="L5151" s="17" t="n">
        <v>25.86</v>
      </c>
      <c r="M5151" s="17" t="n">
        <v>0</v>
      </c>
      <c r="N5151" s="17">
        <f>K5151*0.08+L5151*0.08</f>
        <v/>
      </c>
      <c r="O5151" s="17">
        <f>-(K5151*0.025+L5151*0.025)</f>
        <v/>
      </c>
      <c r="P5151" s="17">
        <f>32</f>
        <v/>
      </c>
      <c r="Q5151" s="17">
        <f>J5151+L5151+N5151+O5151-P5151-M5151</f>
        <v/>
      </c>
    </row>
    <row r="5152">
      <c r="A5152" s="16" t="inlineStr">
        <is>
          <t>5.8-5.14</t>
        </is>
      </c>
      <c r="B5152" s="16" t="inlineStr">
        <is>
          <t>PO-128-16618528379513952</t>
        </is>
      </c>
      <c r="C5152" s="16" t="inlineStr">
        <is>
          <t>Delivered</t>
        </is>
      </c>
      <c r="D5152" s="16" t="inlineStr">
        <is>
          <t>128-16618510029433952</t>
        </is>
      </c>
      <c r="E5152" s="16" t="inlineStr">
        <is>
          <t>Delivered</t>
        </is>
      </c>
      <c r="F5152" s="16" t="inlineStr">
        <is>
          <t>LB02235-azul</t>
        </is>
      </c>
      <c r="G5152" s="16" t="inlineStr">
        <is>
          <t>Audífonos Inalámbricos para la Cabeza, Recargables y Multifuncionales - Conectan a Varios Dispositivos, soportan Radio FM, Tarjeta TF y AUX - 4 Horas de Reproducción Musical - Ideal para Trabajo Cotidiano, Juegos y Estudio</t>
        </is>
      </c>
      <c r="H5152" s="16" t="inlineStr">
        <is>
          <t>AZUL</t>
        </is>
      </c>
      <c r="I5152" s="16" t="n">
        <v>1</v>
      </c>
      <c r="J5152" s="17" t="n">
        <v>35</v>
      </c>
      <c r="K5152" s="17" t="n">
        <v>48.12</v>
      </c>
      <c r="L5152" s="17" t="n">
        <v>25.86</v>
      </c>
      <c r="M5152" s="17" t="n">
        <v>0</v>
      </c>
      <c r="N5152" s="17">
        <f>K5152*0.08+L5152*0.08</f>
        <v/>
      </c>
      <c r="O5152" s="17">
        <f>-(K5152*0.025+L5152*0.025)</f>
        <v/>
      </c>
      <c r="P5152" s="17">
        <f>32</f>
        <v/>
      </c>
      <c r="Q5152" s="17">
        <f>J5152+L5152+N5152+O5152-P5152-M5152</f>
        <v/>
      </c>
    </row>
    <row r="5153">
      <c r="A5153" s="16" t="inlineStr">
        <is>
          <t>5.8-5.14</t>
        </is>
      </c>
      <c r="B5153" s="16" t="inlineStr">
        <is>
          <t>PO-128-16664782439032463</t>
        </is>
      </c>
      <c r="C5153" s="16" t="inlineStr">
        <is>
          <t>Delivered</t>
        </is>
      </c>
      <c r="D5153" s="16" t="inlineStr">
        <is>
          <t>128-16664792924792463</t>
        </is>
      </c>
      <c r="E5153" s="16" t="inlineStr">
        <is>
          <t>Delivered</t>
        </is>
      </c>
      <c r="F5153" s="16" t="inlineStr">
        <is>
          <t>MCM-001A</t>
        </is>
      </c>
      <c r="G5153" s="16" t="inlineStr">
        <is>
          <t>Musicord Altavoz Inalámbrico BT Portátil: ¡Sonido impactante, luces LED multicolores y 4 horas de autonomía! Compatible con TWS, FM, TF y USB – Imprescindible para fiestas y viajes</t>
        </is>
      </c>
      <c r="H5153" s="16" t="inlineStr">
        <is>
          <t>AZUL</t>
        </is>
      </c>
      <c r="I5153" s="16" t="n">
        <v>1</v>
      </c>
      <c r="J5153" s="17" t="n">
        <v>51</v>
      </c>
      <c r="K5153" s="17" t="n">
        <v>59.39</v>
      </c>
      <c r="L5153" s="17" t="n">
        <v>25.86</v>
      </c>
      <c r="M5153" s="17" t="n">
        <v>0</v>
      </c>
      <c r="N5153" s="17">
        <f>K5153*0.08+L5153*0.08</f>
        <v/>
      </c>
      <c r="O5153" s="17">
        <f>-(K5153*0.025+L5153*0.025)</f>
        <v/>
      </c>
      <c r="P5153" s="17">
        <f>32</f>
        <v/>
      </c>
      <c r="Q5153" s="17">
        <f>J5153+L5153+N5153+O5153-P5153-M5153</f>
        <v/>
      </c>
    </row>
    <row r="5154">
      <c r="A5154" s="16" t="inlineStr">
        <is>
          <t>5.8-5.14</t>
        </is>
      </c>
      <c r="B5154" s="16" t="inlineStr">
        <is>
          <t>PO-128-16977651303031748</t>
        </is>
      </c>
      <c r="C5154" s="16" t="inlineStr">
        <is>
          <t>Delivered</t>
        </is>
      </c>
      <c r="D5154" s="16" t="inlineStr">
        <is>
          <t>128-16977672274551748</t>
        </is>
      </c>
      <c r="E5154" s="16" t="inlineStr">
        <is>
          <t>Delivered</t>
        </is>
      </c>
      <c r="F5154" s="16" t="inlineStr">
        <is>
          <t>LV25W22</t>
        </is>
      </c>
      <c r="G51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54" s="16" t="inlineStr">
        <is>
          <t>LV25W32</t>
        </is>
      </c>
      <c r="I5154" s="16" t="n">
        <v>1</v>
      </c>
      <c r="J5154" s="17" t="n">
        <v>90</v>
      </c>
      <c r="K5154" s="17" t="n">
        <v>100.41</v>
      </c>
      <c r="L5154" s="17" t="n">
        <v>25.86</v>
      </c>
      <c r="M5154" s="17" t="n">
        <v>0</v>
      </c>
      <c r="N5154" s="17">
        <f>K5154*0.08+L5154*0.08</f>
        <v/>
      </c>
      <c r="O5154" s="17">
        <f>-(K5154*0.025+L5154*0.025)</f>
        <v/>
      </c>
      <c r="P5154" s="17">
        <f>32</f>
        <v/>
      </c>
      <c r="Q5154" s="17">
        <f>J5154+L5154+N5154+O5154-P5154-M5154</f>
        <v/>
      </c>
    </row>
    <row r="5155">
      <c r="A5155" s="16" t="inlineStr">
        <is>
          <t>5.8-5.14</t>
        </is>
      </c>
      <c r="B5155" s="16" t="inlineStr">
        <is>
          <t>PO-128-16879050322551376</t>
        </is>
      </c>
      <c r="C5155" s="16" t="inlineStr">
        <is>
          <t>Delivered</t>
        </is>
      </c>
      <c r="D5155" s="16" t="inlineStr">
        <is>
          <t>128-16879008379511376</t>
        </is>
      </c>
      <c r="E5155" s="16" t="inlineStr">
        <is>
          <t>Delivered</t>
        </is>
      </c>
      <c r="F5155" s="16" t="inlineStr">
        <is>
          <t>VB347T</t>
        </is>
      </c>
      <c r="G5155"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155" s="16" t="inlineStr">
        <is>
          <t>1 pieza</t>
        </is>
      </c>
      <c r="I5155" s="16" t="n">
        <v>1</v>
      </c>
      <c r="J5155" s="17" t="n">
        <v>77.90000000000001</v>
      </c>
      <c r="K5155" s="17" t="n">
        <v>92.51000000000001</v>
      </c>
      <c r="L5155" s="17" t="n">
        <v>25.86</v>
      </c>
      <c r="M5155" s="17" t="n">
        <v>0</v>
      </c>
      <c r="N5155" s="17">
        <f>K5155*0.08+L5155*0.08</f>
        <v/>
      </c>
      <c r="O5155" s="17">
        <f>-(K5155*0.025+L5155*0.025)</f>
        <v/>
      </c>
      <c r="P5155" s="17">
        <f>32</f>
        <v/>
      </c>
      <c r="Q5155" s="17">
        <f>J5155+L5155+N5155+O5155-P5155-M5155</f>
        <v/>
      </c>
    </row>
    <row r="5156">
      <c r="A5156" s="16" t="inlineStr">
        <is>
          <t>5.8-5.14</t>
        </is>
      </c>
      <c r="B5156" s="16" t="inlineStr">
        <is>
          <t>PO-128-16570991104633148</t>
        </is>
      </c>
      <c r="C5156" s="16" t="inlineStr">
        <is>
          <t>Delivered</t>
        </is>
      </c>
      <c r="D5156" s="16" t="inlineStr">
        <is>
          <t>128-16570964890233148</t>
        </is>
      </c>
      <c r="E5156" s="16" t="inlineStr">
        <is>
          <t>Delivered</t>
        </is>
      </c>
      <c r="F5156" s="16" t="inlineStr">
        <is>
          <t>VA396T</t>
        </is>
      </c>
      <c r="G5156"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5156" s="16" t="inlineStr">
        <is>
          <t>VA396T</t>
        </is>
      </c>
      <c r="I5156" s="16" t="n">
        <v>1</v>
      </c>
      <c r="J5156" s="17" t="n">
        <v>39</v>
      </c>
      <c r="K5156" s="17" t="n">
        <v>28.47</v>
      </c>
      <c r="L5156" s="17" t="n">
        <v>25.86</v>
      </c>
      <c r="M5156" s="17" t="n">
        <v>0</v>
      </c>
      <c r="N5156" s="17">
        <f>K5156*0.08+L5156*0.08</f>
        <v/>
      </c>
      <c r="O5156" s="17">
        <f>-(K5156*0.025+L5156*0.025)</f>
        <v/>
      </c>
      <c r="P5156" s="17">
        <f>32</f>
        <v/>
      </c>
      <c r="Q5156" s="17">
        <f>J5156+L5156+N5156+O5156-P5156-M5156</f>
        <v/>
      </c>
    </row>
    <row r="5157">
      <c r="A5157" s="16" t="inlineStr">
        <is>
          <t>5.8-5.14</t>
        </is>
      </c>
      <c r="B5157" s="16" t="inlineStr">
        <is>
          <t>PO-128-16921159148151127</t>
        </is>
      </c>
      <c r="C5157" s="16" t="inlineStr">
        <is>
          <t>Delivered</t>
        </is>
      </c>
      <c r="D5157" s="16" t="inlineStr">
        <is>
          <t>128-16921117205111127</t>
        </is>
      </c>
      <c r="E5157" s="16" t="inlineStr">
        <is>
          <t>Delivered</t>
        </is>
      </c>
      <c r="F5157" s="16" t="inlineStr">
        <is>
          <t>LV25W22</t>
        </is>
      </c>
      <c r="G515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57" s="16" t="inlineStr">
        <is>
          <t>LV25W32</t>
        </is>
      </c>
      <c r="I5157" s="16" t="n">
        <v>1</v>
      </c>
      <c r="J5157" s="17" t="n">
        <v>90</v>
      </c>
      <c r="K5157" s="17" t="n">
        <v>100.41</v>
      </c>
      <c r="L5157" s="17" t="n">
        <v>25.86</v>
      </c>
      <c r="M5157" s="17" t="n">
        <v>0</v>
      </c>
      <c r="N5157" s="17">
        <f>K5157*0.08+L5157*0.08</f>
        <v/>
      </c>
      <c r="O5157" s="17">
        <f>-(K5157*0.025+L5157*0.025)</f>
        <v/>
      </c>
      <c r="P5157" s="17">
        <f>32</f>
        <v/>
      </c>
      <c r="Q5157" s="17">
        <f>J5157+L5157+N5157+O5157-P5157-M5157</f>
        <v/>
      </c>
    </row>
    <row r="5158">
      <c r="A5158" s="16" t="inlineStr">
        <is>
          <t>5.8-5.14</t>
        </is>
      </c>
      <c r="B5158" s="16" t="inlineStr">
        <is>
          <t>PO-128-16606199040633898</t>
        </is>
      </c>
      <c r="C5158" s="16" t="inlineStr">
        <is>
          <t>Delivered</t>
        </is>
      </c>
      <c r="D5158" s="16" t="inlineStr">
        <is>
          <t>128-16606220012153898</t>
        </is>
      </c>
      <c r="E5158" s="16" t="inlineStr">
        <is>
          <t>Delivered</t>
        </is>
      </c>
      <c r="F5158" s="16" t="inlineStr">
        <is>
          <t>MCM-001G</t>
        </is>
      </c>
      <c r="G5158" s="16" t="inlineStr">
        <is>
          <t>Musicord Altavoz Inalámbrico BT Portátil: ¡Sonido impactante, luces LED multicolores y 4 horas de autonomía! Compatible con TWS, FM, TF y USB – Imprescindible para fiestas y viajes</t>
        </is>
      </c>
      <c r="H5158" s="16" t="inlineStr">
        <is>
          <t>GRIS</t>
        </is>
      </c>
      <c r="I5158" s="16" t="n">
        <v>1</v>
      </c>
      <c r="J5158" s="17" t="n">
        <v>51</v>
      </c>
      <c r="K5158" s="17" t="n">
        <v>18.15</v>
      </c>
      <c r="L5158" s="17" t="n">
        <v>13.24</v>
      </c>
      <c r="M5158" s="17" t="n">
        <v>0</v>
      </c>
      <c r="N5158" s="17">
        <f>K5158*0.08+L5158*0.08</f>
        <v/>
      </c>
      <c r="O5158" s="17">
        <f>-(K5158*0.025+L5158*0.025)</f>
        <v/>
      </c>
      <c r="P5158" s="17">
        <f>32</f>
        <v/>
      </c>
      <c r="Q5158" s="17">
        <f>J5158+L5158+N5158+O5158-P5158-M5158</f>
        <v/>
      </c>
    </row>
    <row r="5159">
      <c r="A5159" s="16" t="inlineStr">
        <is>
          <t>5.8-5.14</t>
        </is>
      </c>
      <c r="B5159" s="16" t="inlineStr">
        <is>
          <t>PO-128-16606199040633898</t>
        </is>
      </c>
      <c r="C5159" s="16" t="inlineStr">
        <is>
          <t>Delivered</t>
        </is>
      </c>
      <c r="D5159" s="16" t="inlineStr">
        <is>
          <t>128-16606136126073898</t>
        </is>
      </c>
      <c r="E5159" s="16" t="inlineStr">
        <is>
          <t>Delivered</t>
        </is>
      </c>
      <c r="F5159" s="16" t="inlineStr">
        <is>
          <t>MCM-001A</t>
        </is>
      </c>
      <c r="G5159" s="16" t="inlineStr">
        <is>
          <t>Musicord Altavoz Inalámbrico BT Portátil: ¡Sonido impactante, luces LED multicolores y 4 horas de autonomía! Compatible con TWS, FM, TF y USB – Imprescindible para fiestas y viajes</t>
        </is>
      </c>
      <c r="H5159" s="16" t="inlineStr">
        <is>
          <t>AZUL</t>
        </is>
      </c>
      <c r="I5159" s="16" t="n">
        <v>1</v>
      </c>
      <c r="J5159" s="17" t="n">
        <v>51</v>
      </c>
      <c r="K5159" s="17" t="n">
        <v>17.3</v>
      </c>
      <c r="L5159" s="17" t="n">
        <v>12.62</v>
      </c>
      <c r="M5159" s="17" t="n">
        <v>0</v>
      </c>
      <c r="N5159" s="17">
        <f>K5159*0.08+L5159*0.08</f>
        <v/>
      </c>
      <c r="O5159" s="17">
        <f>-(K5159*0.025+L5159*0.025)</f>
        <v/>
      </c>
      <c r="P5159" s="17">
        <f>32</f>
        <v/>
      </c>
      <c r="Q5159" s="17">
        <f>J5159+L5159+N5159+O5159-P5159-M5159</f>
        <v/>
      </c>
    </row>
    <row r="5160">
      <c r="A5160" s="16" t="inlineStr">
        <is>
          <t>5.8-5.14</t>
        </is>
      </c>
      <c r="B5160" s="16" t="inlineStr">
        <is>
          <t>PO-128-16679075354232505</t>
        </is>
      </c>
      <c r="C5160" s="16" t="inlineStr">
        <is>
          <t>Delivered</t>
        </is>
      </c>
      <c r="D5160" s="16" t="inlineStr">
        <is>
          <t>128-16679143511672505</t>
        </is>
      </c>
      <c r="E5160" s="16" t="inlineStr">
        <is>
          <t>Delivered</t>
        </is>
      </c>
      <c r="F5160" s="16" t="inlineStr">
        <is>
          <t>LB02235-azul</t>
        </is>
      </c>
      <c r="G5160" s="16" t="inlineStr">
        <is>
          <t>Audífonos Inalámbricos para la Cabeza, Recargables y Multifuncionales - Conectan a Varios Dispositivos, soportan Radio FM, Tarjeta TF y AUX - 4 Horas de Reproducción Musical - Ideal para Trabajo Cotidiano, Juegos y Estudio</t>
        </is>
      </c>
      <c r="H5160" s="16" t="inlineStr">
        <is>
          <t>AZUL</t>
        </is>
      </c>
      <c r="I5160" s="16" t="n">
        <v>2</v>
      </c>
      <c r="J5160" s="17" t="n">
        <v>70</v>
      </c>
      <c r="K5160" s="17" t="n">
        <v>48.05</v>
      </c>
      <c r="L5160" s="17" t="n">
        <v>25.86</v>
      </c>
      <c r="M5160" s="17" t="n">
        <v>0</v>
      </c>
      <c r="N5160" s="17">
        <f>K5160*0.08+L5160*0.08</f>
        <v/>
      </c>
      <c r="O5160" s="17">
        <f>-(K5160*0.025+L5160*0.025)</f>
        <v/>
      </c>
      <c r="P5160" s="17">
        <f>32</f>
        <v/>
      </c>
      <c r="Q5160" s="17">
        <f>J5160+L5160+N5160+O5160-P5160-M5160</f>
        <v/>
      </c>
    </row>
    <row r="5161">
      <c r="A5161" s="16" t="inlineStr">
        <is>
          <t>5.8-5.14</t>
        </is>
      </c>
      <c r="B5161" s="16" t="inlineStr">
        <is>
          <t>PO-128-16657458760313656</t>
        </is>
      </c>
      <c r="C5161" s="16" t="inlineStr">
        <is>
          <t>Delivered</t>
        </is>
      </c>
      <c r="D5161" s="16" t="inlineStr">
        <is>
          <t>128-16657448274553656</t>
        </is>
      </c>
      <c r="E5161" s="16" t="inlineStr">
        <is>
          <t>Delivered</t>
        </is>
      </c>
      <c r="F5161" s="16" t="inlineStr">
        <is>
          <t>LB02235-azul</t>
        </is>
      </c>
      <c r="G5161" s="16" t="inlineStr">
        <is>
          <t>Audífonos Inalámbricos para la Cabeza, Recargables y Multifuncionales - Conectan a Varios Dispositivos, soportan Radio FM, Tarjeta TF y AUX - 4 Horas de Reproducción Musical - Ideal para Trabajo Cotidiano, Juegos y Estudio</t>
        </is>
      </c>
      <c r="H5161" s="16" t="inlineStr">
        <is>
          <t>AZUL</t>
        </is>
      </c>
      <c r="I5161" s="16" t="n">
        <v>1</v>
      </c>
      <c r="J5161" s="17" t="n">
        <v>35</v>
      </c>
      <c r="K5161" s="17" t="n">
        <v>48.12</v>
      </c>
      <c r="L5161" s="17" t="n">
        <v>25.86</v>
      </c>
      <c r="M5161" s="17" t="n">
        <v>0</v>
      </c>
      <c r="N5161" s="17">
        <f>K5161*0.08+L5161*0.08</f>
        <v/>
      </c>
      <c r="O5161" s="17">
        <f>-(K5161*0.025+L5161*0.025)</f>
        <v/>
      </c>
      <c r="P5161" s="17">
        <f>32</f>
        <v/>
      </c>
      <c r="Q5161" s="17">
        <f>J5161+L5161+N5161+O5161-P5161-M5161</f>
        <v/>
      </c>
    </row>
    <row r="5162">
      <c r="A5162" s="16" t="inlineStr">
        <is>
          <t>5.8-5.14</t>
        </is>
      </c>
      <c r="B5162" s="16" t="inlineStr">
        <is>
          <t>PO-128-17060803922550164</t>
        </is>
      </c>
      <c r="C5162" s="16" t="inlineStr">
        <is>
          <t>Delivered</t>
        </is>
      </c>
      <c r="D5162" s="16" t="inlineStr">
        <is>
          <t>128-17060845865590164</t>
        </is>
      </c>
      <c r="E5162" s="16" t="inlineStr">
        <is>
          <t>Delivered</t>
        </is>
      </c>
      <c r="F5162" s="16" t="inlineStr">
        <is>
          <t>LV34W04</t>
        </is>
      </c>
      <c r="G516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162" s="16" t="inlineStr">
        <is>
          <t>LV34W04</t>
        </is>
      </c>
      <c r="I5162" s="16" t="n">
        <v>1</v>
      </c>
      <c r="J5162" s="17" t="n">
        <v>220</v>
      </c>
      <c r="K5162" s="17" t="n">
        <v>278.81</v>
      </c>
      <c r="L5162" s="17" t="n">
        <v>0</v>
      </c>
      <c r="M5162" s="17" t="n">
        <v>0</v>
      </c>
      <c r="N5162" s="17">
        <f>K5162*0.08+L5162*0.08</f>
        <v/>
      </c>
      <c r="O5162" s="17">
        <f>-(K5162*0.025+L5162*0.025)</f>
        <v/>
      </c>
      <c r="P5162" s="17">
        <f>32</f>
        <v/>
      </c>
      <c r="Q5162" s="17">
        <f>J5162+L5162+N5162+O5162-P5162-M5162</f>
        <v/>
      </c>
    </row>
    <row r="5163">
      <c r="A5163" s="16" t="inlineStr">
        <is>
          <t>5.8-5.14</t>
        </is>
      </c>
      <c r="B5163" s="16" t="inlineStr">
        <is>
          <t>PO-128-16756778895993000</t>
        </is>
      </c>
      <c r="C5163" s="16" t="inlineStr">
        <is>
          <t>Delivered</t>
        </is>
      </c>
      <c r="D5163" s="16" t="inlineStr">
        <is>
          <t>128-16756799867513000</t>
        </is>
      </c>
      <c r="E5163" s="16" t="inlineStr">
        <is>
          <t>Delivered</t>
        </is>
      </c>
      <c r="F5163" s="16" t="inlineStr">
        <is>
          <t>LV25W22</t>
        </is>
      </c>
      <c r="G51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63" s="16" t="inlineStr">
        <is>
          <t>LV25W32</t>
        </is>
      </c>
      <c r="I5163" s="16" t="n">
        <v>1</v>
      </c>
      <c r="J5163" s="17" t="n">
        <v>81.01000000000001</v>
      </c>
      <c r="K5163" s="17" t="n">
        <v>91.42</v>
      </c>
      <c r="L5163" s="17" t="n">
        <v>25.86</v>
      </c>
      <c r="M5163" s="17" t="n">
        <v>0</v>
      </c>
      <c r="N5163" s="17">
        <f>K5163*0.08+L5163*0.08</f>
        <v/>
      </c>
      <c r="O5163" s="17">
        <f>-(K5163*0.025+L5163*0.025)</f>
        <v/>
      </c>
      <c r="P5163" s="17">
        <f>32</f>
        <v/>
      </c>
      <c r="Q5163" s="17">
        <f>J5163+L5163+N5163+O5163-P5163-M5163</f>
        <v/>
      </c>
    </row>
    <row r="5164">
      <c r="A5164" s="16" t="inlineStr">
        <is>
          <t>5.8-5.14</t>
        </is>
      </c>
      <c r="B5164" s="16" t="inlineStr">
        <is>
          <t>PO-128-16978323364471744</t>
        </is>
      </c>
      <c r="C5164" s="16" t="inlineStr">
        <is>
          <t>Delivered</t>
        </is>
      </c>
      <c r="D5164" s="16" t="inlineStr">
        <is>
          <t>128-16978344335991744</t>
        </is>
      </c>
      <c r="E5164" s="16" t="inlineStr">
        <is>
          <t>Delivered</t>
        </is>
      </c>
      <c r="F5164" s="16" t="inlineStr">
        <is>
          <t>LV25W22</t>
        </is>
      </c>
      <c r="G516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64" s="16" t="inlineStr">
        <is>
          <t>LV25W32</t>
        </is>
      </c>
      <c r="I5164" s="16" t="n">
        <v>1</v>
      </c>
      <c r="J5164" s="17" t="n">
        <v>81.01000000000001</v>
      </c>
      <c r="K5164" s="17" t="n">
        <v>48.32</v>
      </c>
      <c r="L5164" s="17" t="n">
        <v>25.86</v>
      </c>
      <c r="M5164" s="17" t="n">
        <v>0</v>
      </c>
      <c r="N5164" s="17">
        <f>K5164*0.08+L5164*0.08</f>
        <v/>
      </c>
      <c r="O5164" s="17">
        <f>-(K5164*0.025+L5164*0.025)</f>
        <v/>
      </c>
      <c r="P5164" s="17">
        <f>32</f>
        <v/>
      </c>
      <c r="Q5164" s="17">
        <f>J5164+L5164+N5164+O5164-P5164-M5164</f>
        <v/>
      </c>
    </row>
    <row r="5165">
      <c r="A5165" s="16" t="inlineStr">
        <is>
          <t>5.8-5.14</t>
        </is>
      </c>
      <c r="B5165" s="16" t="inlineStr">
        <is>
          <t>PO-128-16729646991992074</t>
        </is>
      </c>
      <c r="C5165" s="16" t="inlineStr">
        <is>
          <t>Delivered</t>
        </is>
      </c>
      <c r="D5165" s="16" t="inlineStr">
        <is>
          <t>128-16729688935032074</t>
        </is>
      </c>
      <c r="E5165" s="16" t="inlineStr">
        <is>
          <t>Delivered</t>
        </is>
      </c>
      <c r="F5165" s="16" t="inlineStr">
        <is>
          <t>LV25W22</t>
        </is>
      </c>
      <c r="G51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65" s="16" t="inlineStr">
        <is>
          <t>LV25W32</t>
        </is>
      </c>
      <c r="I5165" s="16" t="n">
        <v>1</v>
      </c>
      <c r="J5165" s="17" t="n">
        <v>81.01000000000001</v>
      </c>
      <c r="K5165" s="17" t="n">
        <v>91.42</v>
      </c>
      <c r="L5165" s="17" t="n">
        <v>25.86</v>
      </c>
      <c r="M5165" s="17" t="n">
        <v>0</v>
      </c>
      <c r="N5165" s="17">
        <f>K5165*0.08+L5165*0.08</f>
        <v/>
      </c>
      <c r="O5165" s="17">
        <f>-(K5165*0.025+L5165*0.025)</f>
        <v/>
      </c>
      <c r="P5165" s="17">
        <f>32</f>
        <v/>
      </c>
      <c r="Q5165" s="17">
        <f>J5165+L5165+N5165+O5165-P5165-M5165</f>
        <v/>
      </c>
    </row>
    <row r="5166">
      <c r="A5166" s="16" t="inlineStr">
        <is>
          <t>5.8-5.14</t>
        </is>
      </c>
      <c r="B5166" s="16" t="inlineStr">
        <is>
          <t>PO-128-17042276936310341</t>
        </is>
      </c>
      <c r="C5166" s="16" t="inlineStr">
        <is>
          <t>Delivered</t>
        </is>
      </c>
      <c r="D5166" s="16" t="inlineStr">
        <is>
          <t>128-17042193050230341</t>
        </is>
      </c>
      <c r="E5166" s="16" t="inlineStr">
        <is>
          <t>Delivered</t>
        </is>
      </c>
      <c r="F5166" s="16" t="inlineStr">
        <is>
          <t>SA325T</t>
        </is>
      </c>
      <c r="G5166" s="16" t="inlineStr">
        <is>
          <t>Subwoofer Portátil Inalámbrico con Luces RGB, Sonido de Alta Potencia y Batería Duradera, TWS TF USB, Perfecto para Campamento Fiestas y Entretenimiento en Casa</t>
        </is>
      </c>
      <c r="H5166" s="16" t="inlineStr">
        <is>
          <t>NEGRO</t>
        </is>
      </c>
      <c r="I5166" s="16" t="n">
        <v>2</v>
      </c>
      <c r="J5166" s="17" t="n">
        <v>72</v>
      </c>
      <c r="K5166" s="17" t="n">
        <v>90.12</v>
      </c>
      <c r="L5166" s="17" t="n">
        <v>0</v>
      </c>
      <c r="M5166" s="17" t="n">
        <v>0</v>
      </c>
      <c r="N5166" s="17">
        <f>K5166*0.08+L5166*0.08</f>
        <v/>
      </c>
      <c r="O5166" s="17">
        <f>-(K5166*0.025+L5166*0.025)</f>
        <v/>
      </c>
      <c r="P5166" s="17">
        <f>32</f>
        <v/>
      </c>
      <c r="Q5166" s="17">
        <f>J5166+L5166+N5166+O5166-P5166-M5166</f>
        <v/>
      </c>
    </row>
    <row r="5167">
      <c r="A5167" s="16" t="inlineStr">
        <is>
          <t>5.8-5.14</t>
        </is>
      </c>
      <c r="B5167" s="16" t="inlineStr">
        <is>
          <t>PO-128-17042276936310341</t>
        </is>
      </c>
      <c r="C5167" s="16" t="inlineStr">
        <is>
          <t>Delivered</t>
        </is>
      </c>
      <c r="D5167" s="16" t="inlineStr">
        <is>
          <t>128-17042255964790341</t>
        </is>
      </c>
      <c r="E5167" s="16" t="inlineStr">
        <is>
          <t>Delivered</t>
        </is>
      </c>
      <c r="F5167" s="16" t="inlineStr">
        <is>
          <t>VA384T-A</t>
        </is>
      </c>
      <c r="G5167" s="16" t="inlineStr">
        <is>
          <t>Bocina Portátil Bluetooth de 3 Pulgadas con Radio FM, USB TF TWS, Sonido Estéreo 5W, Bocina Recargable para Hogar Exterior Viaje Fiesta Camping</t>
        </is>
      </c>
      <c r="H5167" s="16" t="inlineStr">
        <is>
          <t>AZUL</t>
        </is>
      </c>
      <c r="I5167" s="16" t="n">
        <v>2</v>
      </c>
      <c r="J5167" s="17" t="n">
        <v>94</v>
      </c>
      <c r="K5167" s="17" t="n">
        <v>115.44</v>
      </c>
      <c r="L5167" s="17" t="n">
        <v>0</v>
      </c>
      <c r="M5167" s="17" t="n">
        <v>0</v>
      </c>
      <c r="N5167" s="17">
        <f>K5167*0.08+L5167*0.08</f>
        <v/>
      </c>
      <c r="O5167" s="17">
        <f>-(K5167*0.025+L5167*0.025)</f>
        <v/>
      </c>
      <c r="P5167" s="17">
        <f>32</f>
        <v/>
      </c>
      <c r="Q5167" s="17">
        <f>J5167+L5167+N5167+O5167-P5167-M5167</f>
        <v/>
      </c>
    </row>
    <row r="5168">
      <c r="A5168" s="16" t="inlineStr">
        <is>
          <t>5.8-5.14</t>
        </is>
      </c>
      <c r="B5168" s="16" t="inlineStr">
        <is>
          <t>PO-128-17042276936310341</t>
        </is>
      </c>
      <c r="C5168" s="16" t="inlineStr">
        <is>
          <t>Delivered</t>
        </is>
      </c>
      <c r="D5168" s="16" t="inlineStr">
        <is>
          <t>128-17042234993270341</t>
        </is>
      </c>
      <c r="E5168" s="16" t="inlineStr">
        <is>
          <t>Delivered</t>
        </is>
      </c>
      <c r="F5168" s="16" t="inlineStr">
        <is>
          <t>SA323T</t>
        </is>
      </c>
      <c r="G5168" s="16" t="inlineStr">
        <is>
          <t>Linkbits Bocina Portátil Parlantes BT Portátiles con Iluminación de Ambiente | 1 Hora de Duración, FM, TWS, TF/Micro SD | Ideal para Hogar, Fiestas y Viajes</t>
        </is>
      </c>
      <c r="H5168" s="16" t="inlineStr">
        <is>
          <t>SA323T</t>
        </is>
      </c>
      <c r="I5168" s="16" t="n">
        <v>1</v>
      </c>
      <c r="J5168" s="17" t="n">
        <v>45</v>
      </c>
      <c r="K5168" s="17" t="n">
        <v>54.04</v>
      </c>
      <c r="L5168" s="17" t="n">
        <v>0</v>
      </c>
      <c r="M5168" s="17" t="n">
        <v>0</v>
      </c>
      <c r="N5168" s="17">
        <f>K5168*0.08+L5168*0.08</f>
        <v/>
      </c>
      <c r="O5168" s="17">
        <f>-(K5168*0.025+L5168*0.025)</f>
        <v/>
      </c>
      <c r="P5168" s="17">
        <f>32</f>
        <v/>
      </c>
      <c r="Q5168" s="17">
        <f>J5168+L5168+N5168+O5168-P5168-M5168</f>
        <v/>
      </c>
    </row>
    <row r="5169">
      <c r="A5169" s="16" t="inlineStr">
        <is>
          <t>5.8-5.14</t>
        </is>
      </c>
      <c r="B5169" s="16" t="inlineStr">
        <is>
          <t>PO-128-17113574830711002</t>
        </is>
      </c>
      <c r="C5169" s="16" t="inlineStr">
        <is>
          <t>Delivered</t>
        </is>
      </c>
      <c r="D5169" s="16" t="inlineStr">
        <is>
          <t>128-17113532887671002</t>
        </is>
      </c>
      <c r="E5169" s="16" t="inlineStr">
        <is>
          <t>Delivered</t>
        </is>
      </c>
      <c r="F5169" s="16" t="inlineStr">
        <is>
          <t>LV25W22</t>
        </is>
      </c>
      <c r="G516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69" s="16" t="inlineStr">
        <is>
          <t>LV25W32</t>
        </is>
      </c>
      <c r="I5169" s="16" t="n">
        <v>1</v>
      </c>
      <c r="J5169" s="17" t="n">
        <v>81.01000000000001</v>
      </c>
      <c r="K5169" s="17" t="n">
        <v>48.32</v>
      </c>
      <c r="L5169" s="17" t="n">
        <v>25.86</v>
      </c>
      <c r="M5169" s="17" t="n">
        <v>0</v>
      </c>
      <c r="N5169" s="17">
        <f>K5169*0.08+L5169*0.08</f>
        <v/>
      </c>
      <c r="O5169" s="17">
        <f>-(K5169*0.025+L5169*0.025)</f>
        <v/>
      </c>
      <c r="P5169" s="17">
        <f>32</f>
        <v/>
      </c>
      <c r="Q5169" s="17">
        <f>J5169+L5169+N5169+O5169-P5169-M5169</f>
        <v/>
      </c>
    </row>
    <row r="5170">
      <c r="A5170" s="16" t="inlineStr">
        <is>
          <t>5.8-5.14</t>
        </is>
      </c>
      <c r="B5170" s="16" t="inlineStr">
        <is>
          <t>PO-128-17055686247030133</t>
        </is>
      </c>
      <c r="C5170" s="16" t="inlineStr">
        <is>
          <t>Delivered</t>
        </is>
      </c>
      <c r="D5170" s="16" t="inlineStr">
        <is>
          <t>128-17055681004150133</t>
        </is>
      </c>
      <c r="E5170" s="16" t="inlineStr">
        <is>
          <t>Delivered</t>
        </is>
      </c>
      <c r="F5170" s="16" t="inlineStr">
        <is>
          <t>LV34W04</t>
        </is>
      </c>
      <c r="G5170"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170" s="16" t="inlineStr">
        <is>
          <t>LV34W04</t>
        </is>
      </c>
      <c r="I5170" s="16" t="n">
        <v>1</v>
      </c>
      <c r="J5170" s="17" t="n">
        <v>220</v>
      </c>
      <c r="K5170" s="17" t="n">
        <v>262.22</v>
      </c>
      <c r="L5170" s="17" t="n">
        <v>0</v>
      </c>
      <c r="M5170" s="17" t="n">
        <v>0</v>
      </c>
      <c r="N5170" s="17">
        <f>K5170*0.08+L5170*0.08</f>
        <v/>
      </c>
      <c r="O5170" s="17">
        <f>-(K5170*0.025+L5170*0.025)</f>
        <v/>
      </c>
      <c r="P5170" s="17">
        <f>32</f>
        <v/>
      </c>
      <c r="Q5170" s="17">
        <f>J5170+L5170+N5170+O5170-P5170-M5170</f>
        <v/>
      </c>
    </row>
    <row r="5171">
      <c r="A5171" s="16" t="inlineStr">
        <is>
          <t>5.8-5.14</t>
        </is>
      </c>
      <c r="B5171" s="16" t="inlineStr">
        <is>
          <t>PO-128-17062966958710217</t>
        </is>
      </c>
      <c r="C5171" s="16" t="inlineStr">
        <is>
          <t>Delivered</t>
        </is>
      </c>
      <c r="D5171" s="16" t="inlineStr">
        <is>
          <t>128-17062956472950217</t>
        </is>
      </c>
      <c r="E5171" s="16" t="inlineStr">
        <is>
          <t>Delivered</t>
        </is>
      </c>
      <c r="F5171" s="16" t="inlineStr">
        <is>
          <t>LV25W22</t>
        </is>
      </c>
      <c r="G517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71" s="16" t="inlineStr">
        <is>
          <t>LV25W32</t>
        </is>
      </c>
      <c r="I5171" s="16" t="n">
        <v>4</v>
      </c>
      <c r="J5171" s="17" t="n">
        <v>324.04</v>
      </c>
      <c r="K5171" s="17" t="n">
        <v>365.68</v>
      </c>
      <c r="L5171" s="17" t="n">
        <v>0</v>
      </c>
      <c r="M5171" s="17" t="n">
        <v>0</v>
      </c>
      <c r="N5171" s="17">
        <f>K5171*0.08+L5171*0.08</f>
        <v/>
      </c>
      <c r="O5171" s="17">
        <f>-(K5171*0.025+L5171*0.025)</f>
        <v/>
      </c>
      <c r="P5171" s="17">
        <f>32</f>
        <v/>
      </c>
      <c r="Q5171" s="17">
        <f>J5171+L5171+N5171+O5171-P5171-M5171</f>
        <v/>
      </c>
    </row>
    <row r="5172">
      <c r="A5172" s="16" t="inlineStr">
        <is>
          <t>5.8-5.14</t>
        </is>
      </c>
      <c r="B5172" s="16" t="inlineStr">
        <is>
          <t>PO-128-16617929984633956</t>
        </is>
      </c>
      <c r="C5172" s="16" t="inlineStr">
        <is>
          <t>Delivered</t>
        </is>
      </c>
      <c r="D5172" s="16" t="inlineStr">
        <is>
          <t>128-16617869691513956</t>
        </is>
      </c>
      <c r="E5172" s="16" t="inlineStr">
        <is>
          <t>Delivered</t>
        </is>
      </c>
      <c r="F5172" s="16" t="inlineStr">
        <is>
          <t>KTS-1678Y</t>
        </is>
      </c>
      <c r="G5172" s="16" t="inlineStr">
        <is>
          <t>Bocina portátil Inalámbrico, de 3 pulgadas, tamaño de bolsillo, 170 g, con asa, compatible con TF, USB y Micro SD, con radio FM y función TWS (True Wireless Stereo), adecuada para relajarse en casa o viajar al aire libre.</t>
        </is>
      </c>
      <c r="H5172" s="16" t="inlineStr">
        <is>
          <t>KTS-1678Y</t>
        </is>
      </c>
      <c r="I5172" s="16" t="n">
        <v>1</v>
      </c>
      <c r="J5172" s="17" t="n">
        <v>37.71</v>
      </c>
      <c r="K5172" s="17" t="n">
        <v>37.32</v>
      </c>
      <c r="L5172" s="17" t="n">
        <v>25.86</v>
      </c>
      <c r="M5172" s="17" t="n">
        <v>0</v>
      </c>
      <c r="N5172" s="17">
        <f>K5172*0.08+L5172*0.08</f>
        <v/>
      </c>
      <c r="O5172" s="17">
        <f>-(K5172*0.025+L5172*0.025)</f>
        <v/>
      </c>
      <c r="P5172" s="17">
        <f>32</f>
        <v/>
      </c>
      <c r="Q5172" s="17">
        <f>J5172+L5172+N5172+O5172-P5172-M5172</f>
        <v/>
      </c>
    </row>
    <row r="5173">
      <c r="A5173" s="16" t="inlineStr">
        <is>
          <t>5.8-5.14</t>
        </is>
      </c>
      <c r="B5173" s="16" t="inlineStr">
        <is>
          <t>PO-128-16498066340473518</t>
        </is>
      </c>
      <c r="C5173" s="16" t="inlineStr">
        <is>
          <t>Delivered</t>
        </is>
      </c>
      <c r="D5173" s="16" t="inlineStr">
        <is>
          <t>128-16498171198073518</t>
        </is>
      </c>
      <c r="E5173" s="16" t="inlineStr">
        <is>
          <t>Delivered</t>
        </is>
      </c>
      <c r="F5173" s="16" t="inlineStr">
        <is>
          <t>SA8056T</t>
        </is>
      </c>
      <c r="G5173"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173" s="16" t="inlineStr">
        <is>
          <t>SA8056T</t>
        </is>
      </c>
      <c r="I5173" s="16" t="n">
        <v>1</v>
      </c>
      <c r="J5173" s="17" t="n">
        <v>138</v>
      </c>
      <c r="K5173" s="17" t="n">
        <v>132.52</v>
      </c>
      <c r="L5173" s="17" t="n">
        <v>25.86</v>
      </c>
      <c r="M5173" s="17" t="n">
        <v>0</v>
      </c>
      <c r="N5173" s="17">
        <f>K5173*0.08+L5173*0.08</f>
        <v/>
      </c>
      <c r="O5173" s="17">
        <f>-(K5173*0.025+L5173*0.025)</f>
        <v/>
      </c>
      <c r="P5173" s="17">
        <f>32</f>
        <v/>
      </c>
      <c r="Q5173" s="17">
        <f>J5173+L5173+N5173+O5173-P5173-M5173</f>
        <v/>
      </c>
    </row>
    <row r="5174">
      <c r="A5174" s="16" t="inlineStr">
        <is>
          <t>5.8-5.14</t>
        </is>
      </c>
      <c r="B5174" s="16" t="inlineStr">
        <is>
          <t>PO-128-16890075546231246</t>
        </is>
      </c>
      <c r="C5174" s="16" t="inlineStr">
        <is>
          <t>Delivered</t>
        </is>
      </c>
      <c r="D5174" s="16" t="inlineStr">
        <is>
          <t>128-16890012631671246</t>
        </is>
      </c>
      <c r="E5174" s="16" t="inlineStr">
        <is>
          <t>Delivered</t>
        </is>
      </c>
      <c r="F5174" s="16" t="inlineStr">
        <is>
          <t>LV25W22</t>
        </is>
      </c>
      <c r="G51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74" s="16" t="inlineStr">
        <is>
          <t>LV25W32</t>
        </is>
      </c>
      <c r="I5174" s="16" t="n">
        <v>5</v>
      </c>
      <c r="J5174" s="17" t="n">
        <v>405.05</v>
      </c>
      <c r="K5174" s="17" t="n">
        <v>409.27</v>
      </c>
      <c r="L5174" s="17" t="n">
        <v>0</v>
      </c>
      <c r="M5174" s="17" t="n">
        <v>0</v>
      </c>
      <c r="N5174" s="17">
        <f>K5174*0.08+L5174*0.08</f>
        <v/>
      </c>
      <c r="O5174" s="17">
        <f>-(K5174*0.025+L5174*0.025)</f>
        <v/>
      </c>
      <c r="P5174" s="17">
        <f>32</f>
        <v/>
      </c>
      <c r="Q5174" s="17">
        <f>J5174+L5174+N5174+O5174-P5174-M5174</f>
        <v/>
      </c>
    </row>
    <row r="5175">
      <c r="A5175" s="16" t="inlineStr">
        <is>
          <t>5.8-5.14</t>
        </is>
      </c>
      <c r="B5175" s="16" t="inlineStr">
        <is>
          <t>PO-128-16524229581433362</t>
        </is>
      </c>
      <c r="C5175" s="16" t="inlineStr">
        <is>
          <t>Delivered</t>
        </is>
      </c>
      <c r="D5175" s="16" t="inlineStr">
        <is>
          <t>128-16524365896313362</t>
        </is>
      </c>
      <c r="E5175" s="16" t="inlineStr">
        <is>
          <t>Delivered</t>
        </is>
      </c>
      <c r="F5175" s="16" t="inlineStr">
        <is>
          <t>LV25W22</t>
        </is>
      </c>
      <c r="G51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75" s="16" t="inlineStr">
        <is>
          <t>LV25W32</t>
        </is>
      </c>
      <c r="I5175" s="16" t="n">
        <v>2</v>
      </c>
      <c r="J5175" s="17" t="n">
        <v>162.02</v>
      </c>
      <c r="K5175" s="17" t="n">
        <v>139.74</v>
      </c>
      <c r="L5175" s="17" t="n">
        <v>25.86</v>
      </c>
      <c r="M5175" s="17" t="n">
        <v>0</v>
      </c>
      <c r="N5175" s="17">
        <f>K5175*0.08+L5175*0.08</f>
        <v/>
      </c>
      <c r="O5175" s="17">
        <f>-(K5175*0.025+L5175*0.025)</f>
        <v/>
      </c>
      <c r="P5175" s="17">
        <f>32</f>
        <v/>
      </c>
      <c r="Q5175" s="17">
        <f>J5175+L5175+N5175+O5175-P5175-M5175</f>
        <v/>
      </c>
    </row>
    <row r="5176">
      <c r="A5176" s="16" t="inlineStr">
        <is>
          <t>5.8-5.14</t>
        </is>
      </c>
      <c r="B5176" s="16" t="inlineStr">
        <is>
          <t>PO-128-16848674724471495</t>
        </is>
      </c>
      <c r="C5176" s="16" t="inlineStr">
        <is>
          <t>Delivered</t>
        </is>
      </c>
      <c r="D5176" s="16" t="inlineStr">
        <is>
          <t>128-16848679967351495</t>
        </is>
      </c>
      <c r="E5176" s="16" t="inlineStr">
        <is>
          <t>Delivered</t>
        </is>
      </c>
      <c r="F5176" s="16" t="inlineStr">
        <is>
          <t>LV25W22</t>
        </is>
      </c>
      <c r="G51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76" s="16" t="inlineStr">
        <is>
          <t>LV25W32</t>
        </is>
      </c>
      <c r="I5176" s="16" t="n">
        <v>2</v>
      </c>
      <c r="J5176" s="17" t="n">
        <v>162.02</v>
      </c>
      <c r="K5176" s="17" t="n">
        <v>182.84</v>
      </c>
      <c r="L5176" s="17" t="n">
        <v>25.86</v>
      </c>
      <c r="M5176" s="17" t="n">
        <v>0</v>
      </c>
      <c r="N5176" s="17">
        <f>K5176*0.08+L5176*0.08</f>
        <v/>
      </c>
      <c r="O5176" s="17">
        <f>-(K5176*0.025+L5176*0.025)</f>
        <v/>
      </c>
      <c r="P5176" s="17">
        <f>32</f>
        <v/>
      </c>
      <c r="Q5176" s="17">
        <f>J5176+L5176+N5176+O5176-P5176-M5176</f>
        <v/>
      </c>
    </row>
    <row r="5177">
      <c r="A5177" s="16" t="inlineStr">
        <is>
          <t>5.8-5.14</t>
        </is>
      </c>
      <c r="B5177" s="16" t="inlineStr">
        <is>
          <t>PO-128-16543873301113247</t>
        </is>
      </c>
      <c r="C5177" s="16" t="inlineStr">
        <is>
          <t>Delivered</t>
        </is>
      </c>
      <c r="D5177" s="16" t="inlineStr">
        <is>
          <t>128-16543878543993247</t>
        </is>
      </c>
      <c r="E5177" s="16" t="inlineStr">
        <is>
          <t>Delivered</t>
        </is>
      </c>
      <c r="F5177" s="16" t="inlineStr">
        <is>
          <t>LV25W22</t>
        </is>
      </c>
      <c r="G51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77" s="16" t="inlineStr">
        <is>
          <t>LV25W32</t>
        </is>
      </c>
      <c r="I5177" s="16" t="n">
        <v>3</v>
      </c>
      <c r="J5177" s="17" t="n">
        <v>243.03</v>
      </c>
      <c r="K5177" s="17" t="n">
        <v>274.26</v>
      </c>
      <c r="L5177" s="17" t="n">
        <v>0</v>
      </c>
      <c r="M5177" s="17" t="n">
        <v>0</v>
      </c>
      <c r="N5177" s="17">
        <f>K5177*0.08+L5177*0.08</f>
        <v/>
      </c>
      <c r="O5177" s="17">
        <f>-(K5177*0.025+L5177*0.025)</f>
        <v/>
      </c>
      <c r="P5177" s="17">
        <f>32</f>
        <v/>
      </c>
      <c r="Q5177" s="17">
        <f>J5177+L5177+N5177+O5177-P5177-M5177</f>
        <v/>
      </c>
    </row>
    <row r="5178">
      <c r="A5178" s="16" t="inlineStr">
        <is>
          <t>5.8-5.14</t>
        </is>
      </c>
      <c r="B5178" s="16" t="inlineStr">
        <is>
          <t>PO-128-16566700585593111</t>
        </is>
      </c>
      <c r="C5178" s="16" t="inlineStr">
        <is>
          <t>Delivered</t>
        </is>
      </c>
      <c r="D5178" s="16" t="inlineStr">
        <is>
          <t>128-16566763500153111</t>
        </is>
      </c>
      <c r="E5178" s="16" t="inlineStr">
        <is>
          <t>Delivered</t>
        </is>
      </c>
      <c r="F5178" s="16" t="inlineStr">
        <is>
          <t>FA028</t>
        </is>
      </c>
      <c r="G5178" s="16" t="inlineStr">
        <is>
          <t>Extractor de agua para garrafas de agua, compatible con carga USB, extractor de agua automático, práctico, con dos modos de toma de agua: manual y programado, ideal para dormitorios, salones, oficinas, uso al aire libre y otros escenarios.</t>
        </is>
      </c>
      <c r="H5178" s="16" t="inlineStr">
        <is>
          <t>FA028</t>
        </is>
      </c>
      <c r="I5178" s="16" t="n">
        <v>1</v>
      </c>
      <c r="J5178" s="17" t="n">
        <v>29.5</v>
      </c>
      <c r="K5178" s="17" t="n">
        <v>39.08</v>
      </c>
      <c r="L5178" s="17" t="n">
        <v>25.86</v>
      </c>
      <c r="M5178" s="17" t="n">
        <v>0</v>
      </c>
      <c r="N5178" s="17">
        <f>K5178*0.08+L5178*0.08</f>
        <v/>
      </c>
      <c r="O5178" s="17">
        <f>-(K5178*0.025+L5178*0.025)</f>
        <v/>
      </c>
      <c r="P5178" s="17">
        <f>32</f>
        <v/>
      </c>
      <c r="Q5178" s="17">
        <f>J5178+L5178+N5178+O5178-P5178-M5178</f>
        <v/>
      </c>
    </row>
    <row r="5179">
      <c r="A5179" s="16" t="inlineStr">
        <is>
          <t>5.8-5.14</t>
        </is>
      </c>
      <c r="B5179" s="16" t="inlineStr">
        <is>
          <t>PO-128-17166655007350559</t>
        </is>
      </c>
      <c r="C5179" s="16" t="inlineStr">
        <is>
          <t>Delivered</t>
        </is>
      </c>
      <c r="D5179" s="16" t="inlineStr">
        <is>
          <t>128-17166675978870559</t>
        </is>
      </c>
      <c r="E5179" s="16" t="inlineStr">
        <is>
          <t>Delivered</t>
        </is>
      </c>
      <c r="F5179" s="16" t="inlineStr">
        <is>
          <t>MB-178-N</t>
        </is>
      </c>
      <c r="G5179" s="16" t="inlineStr">
        <is>
          <t>Bocina de Barra Bluetooth LINK BITS con dos altavoces, sonido de alta calidad y multifuncional (Bluetooth, Radio FM, USB, TF, AUX, TWS), ideal para juegos, reuniones, oficina y cine en casa.</t>
        </is>
      </c>
      <c r="H5179" s="16" t="inlineStr">
        <is>
          <t>NEGRO</t>
        </is>
      </c>
      <c r="I5179" s="16" t="n">
        <v>1</v>
      </c>
      <c r="J5179" s="17" t="n">
        <v>119</v>
      </c>
      <c r="K5179" s="17" t="n">
        <v>138.33</v>
      </c>
      <c r="L5179" s="17" t="n">
        <v>25.86</v>
      </c>
      <c r="M5179" s="17" t="n">
        <v>0</v>
      </c>
      <c r="N5179" s="17">
        <f>K5179*0.08+L5179*0.08</f>
        <v/>
      </c>
      <c r="O5179" s="17">
        <f>-(K5179*0.025+L5179*0.025)</f>
        <v/>
      </c>
      <c r="P5179" s="17">
        <f>32</f>
        <v/>
      </c>
      <c r="Q5179" s="17">
        <f>J5179+L5179+N5179+O5179-P5179-M5179</f>
        <v/>
      </c>
    </row>
    <row r="5180">
      <c r="A5180" s="16" t="inlineStr">
        <is>
          <t>5.8-5.14</t>
        </is>
      </c>
      <c r="B5180" s="16" t="inlineStr">
        <is>
          <t>PO-128-16866882232951320</t>
        </is>
      </c>
      <c r="C5180" s="16" t="inlineStr">
        <is>
          <t>Delivered</t>
        </is>
      </c>
      <c r="D5180" s="16" t="inlineStr">
        <is>
          <t>128-16866924175991320</t>
        </is>
      </c>
      <c r="E5180" s="16" t="inlineStr">
        <is>
          <t>Delivered</t>
        </is>
      </c>
      <c r="F5180" s="16" t="inlineStr">
        <is>
          <t>LB02235-azul</t>
        </is>
      </c>
      <c r="G5180" s="16" t="inlineStr">
        <is>
          <t>Audífonos Inalámbricos para la Cabeza, Recargables y Multifuncionales - Conectan a Varios Dispositivos, soportan Radio FM, Tarjeta TF y AUX - 4 Horas de Reproducción Musical - Ideal para Trabajo Cotidiano, Juegos y Estudio</t>
        </is>
      </c>
      <c r="H5180" s="16" t="inlineStr">
        <is>
          <t>AZUL</t>
        </is>
      </c>
      <c r="I5180" s="16" t="n">
        <v>1</v>
      </c>
      <c r="J5180" s="17" t="n">
        <v>35</v>
      </c>
      <c r="K5180" s="17" t="n">
        <v>5.02</v>
      </c>
      <c r="L5180" s="17" t="n">
        <v>25.86</v>
      </c>
      <c r="M5180" s="17" t="n">
        <v>0</v>
      </c>
      <c r="N5180" s="17">
        <f>K5180*0.08+L5180*0.08</f>
        <v/>
      </c>
      <c r="O5180" s="17">
        <f>-(K5180*0.025+L5180*0.025)</f>
        <v/>
      </c>
      <c r="P5180" s="17">
        <f>32</f>
        <v/>
      </c>
      <c r="Q5180" s="17">
        <f>J5180+L5180+N5180+O5180-P5180-M5180</f>
        <v/>
      </c>
    </row>
    <row r="5181">
      <c r="A5181" s="16" t="inlineStr">
        <is>
          <t>5.8-5.14</t>
        </is>
      </c>
      <c r="B5181" s="16" t="inlineStr">
        <is>
          <t>PO-128-16893658634871224</t>
        </is>
      </c>
      <c r="C5181" s="16" t="inlineStr">
        <is>
          <t>Delivered</t>
        </is>
      </c>
      <c r="D5181" s="16" t="inlineStr">
        <is>
          <t>128-16893726792311224</t>
        </is>
      </c>
      <c r="E5181" s="16" t="inlineStr">
        <is>
          <t>Delivered</t>
        </is>
      </c>
      <c r="F5181" s="16" t="inlineStr">
        <is>
          <t>LB02235-azul</t>
        </is>
      </c>
      <c r="G5181" s="16" t="inlineStr">
        <is>
          <t>Audífonos Inalámbricos para la Cabeza, Recargables y Multifuncionales - Conectan a Varios Dispositivos, soportan Radio FM, Tarjeta TF y AUX - 4 Horas de Reproducción Musical - Ideal para Trabajo Cotidiano, Juegos y Estudio</t>
        </is>
      </c>
      <c r="H5181" s="16" t="inlineStr">
        <is>
          <t>AZUL</t>
        </is>
      </c>
      <c r="I5181" s="16" t="n">
        <v>1</v>
      </c>
      <c r="J5181" s="17" t="n">
        <v>35</v>
      </c>
      <c r="K5181" s="17" t="n">
        <v>48.12</v>
      </c>
      <c r="L5181" s="17" t="n">
        <v>25.86</v>
      </c>
      <c r="M5181" s="17" t="n">
        <v>0</v>
      </c>
      <c r="N5181" s="17">
        <f>K5181*0.08+L5181*0.08</f>
        <v/>
      </c>
      <c r="O5181" s="17">
        <f>-(K5181*0.025+L5181*0.025)</f>
        <v/>
      </c>
      <c r="P5181" s="17">
        <f>32</f>
        <v/>
      </c>
      <c r="Q5181" s="17">
        <f>J5181+L5181+N5181+O5181-P5181-M5181</f>
        <v/>
      </c>
    </row>
    <row r="5182">
      <c r="A5182" s="16" t="inlineStr">
        <is>
          <t>5.8-5.14</t>
        </is>
      </c>
      <c r="B5182" s="16" t="inlineStr">
        <is>
          <t>PO-128-16801693655672735</t>
        </is>
      </c>
      <c r="C5182" s="16" t="inlineStr">
        <is>
          <t>Delivered</t>
        </is>
      </c>
      <c r="D5182" s="16" t="inlineStr">
        <is>
          <t>128-16801651712632735</t>
        </is>
      </c>
      <c r="E5182" s="16" t="inlineStr">
        <is>
          <t>Delivered</t>
        </is>
      </c>
      <c r="F5182" s="16" t="inlineStr">
        <is>
          <t>VB347T</t>
        </is>
      </c>
      <c r="G5182"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182" s="16" t="inlineStr">
        <is>
          <t>1 pieza</t>
        </is>
      </c>
      <c r="I5182" s="16" t="n">
        <v>1</v>
      </c>
      <c r="J5182" s="17" t="n">
        <v>77.90000000000001</v>
      </c>
      <c r="K5182" s="17" t="n">
        <v>92.51000000000001</v>
      </c>
      <c r="L5182" s="17" t="n">
        <v>25.86</v>
      </c>
      <c r="M5182" s="17" t="n">
        <v>0</v>
      </c>
      <c r="N5182" s="17">
        <f>K5182*0.08+L5182*0.08</f>
        <v/>
      </c>
      <c r="O5182" s="17">
        <f>-(K5182*0.025+L5182*0.025)</f>
        <v/>
      </c>
      <c r="P5182" s="17">
        <f>32</f>
        <v/>
      </c>
      <c r="Q5182" s="17">
        <f>J5182+L5182+N5182+O5182-P5182-M5182</f>
        <v/>
      </c>
    </row>
    <row r="5183">
      <c r="A5183" s="16" t="inlineStr">
        <is>
          <t>5.8-5.14</t>
        </is>
      </c>
      <c r="B5183" s="16" t="inlineStr">
        <is>
          <t>PO-128-16931282913911960</t>
        </is>
      </c>
      <c r="C5183" s="16" t="inlineStr">
        <is>
          <t>Delivered</t>
        </is>
      </c>
      <c r="D5183" s="16" t="inlineStr">
        <is>
          <t>128-16931267185271960</t>
        </is>
      </c>
      <c r="E5183" s="16" t="inlineStr">
        <is>
          <t>Delivered</t>
        </is>
      </c>
      <c r="F5183" s="16" t="inlineStr">
        <is>
          <t>LB02235-azul</t>
        </is>
      </c>
      <c r="G5183" s="16" t="inlineStr">
        <is>
          <t>Audífonos Inalámbricos para la Cabeza, Recargables y Multifuncionales - Conectan a Varios Dispositivos, soportan Radio FM, Tarjeta TF y AUX - 4 Horas de Reproducción Musical - Ideal para Trabajo Cotidiano, Juegos y Estudio</t>
        </is>
      </c>
      <c r="H5183" s="16" t="inlineStr">
        <is>
          <t>AZUL</t>
        </is>
      </c>
      <c r="I5183" s="16" t="n">
        <v>1</v>
      </c>
      <c r="J5183" s="17" t="n">
        <v>35</v>
      </c>
      <c r="K5183" s="17" t="n">
        <v>40.9</v>
      </c>
      <c r="L5183" s="17" t="n">
        <v>25.86</v>
      </c>
      <c r="M5183" s="17" t="n">
        <v>0</v>
      </c>
      <c r="N5183" s="17">
        <f>K5183*0.08+L5183*0.08</f>
        <v/>
      </c>
      <c r="O5183" s="17">
        <f>-(K5183*0.025+L5183*0.025)</f>
        <v/>
      </c>
      <c r="P5183" s="17">
        <f>32</f>
        <v/>
      </c>
      <c r="Q5183" s="17">
        <f>J5183+L5183+N5183+O5183-P5183-M5183</f>
        <v/>
      </c>
    </row>
    <row r="5184">
      <c r="A5184" s="16" t="inlineStr">
        <is>
          <t>5.8-5.14</t>
        </is>
      </c>
      <c r="B5184" s="16" t="inlineStr">
        <is>
          <t>PO-128-16906895555191082</t>
        </is>
      </c>
      <c r="C5184" s="16" t="inlineStr">
        <is>
          <t>Delivered</t>
        </is>
      </c>
      <c r="D5184" s="16" t="inlineStr">
        <is>
          <t>128-16906874583671082</t>
        </is>
      </c>
      <c r="E5184" s="16" t="inlineStr">
        <is>
          <t>Delivered</t>
        </is>
      </c>
      <c r="F5184" s="16" t="inlineStr">
        <is>
          <t>LB02235-blanco</t>
        </is>
      </c>
      <c r="G5184" s="16" t="inlineStr">
        <is>
          <t>Audífonos Inalámbricos para la Cabeza, Recargables y Multifuncionales - Conectan a Varios Dispositivos, soportan Radio FM, Tarjeta TF y AUX - 4 Horas de Reproducción Musical - Ideal para Trabajo Cotidiano, Juegos y Estudio</t>
        </is>
      </c>
      <c r="H5184" s="16" t="inlineStr">
        <is>
          <t>BLANCO</t>
        </is>
      </c>
      <c r="I5184" s="16" t="n">
        <v>1</v>
      </c>
      <c r="J5184" s="17" t="n">
        <v>36.5</v>
      </c>
      <c r="K5184" s="17" t="n">
        <v>49.62</v>
      </c>
      <c r="L5184" s="17" t="n">
        <v>25.86</v>
      </c>
      <c r="M5184" s="17" t="n">
        <v>0</v>
      </c>
      <c r="N5184" s="17">
        <f>K5184*0.08+L5184*0.08</f>
        <v/>
      </c>
      <c r="O5184" s="17">
        <f>-(K5184*0.025+L5184*0.025)</f>
        <v/>
      </c>
      <c r="P5184" s="17">
        <f>32</f>
        <v/>
      </c>
      <c r="Q5184" s="17">
        <f>J5184+L5184+N5184+O5184-P5184-M5184</f>
        <v/>
      </c>
    </row>
    <row r="5185">
      <c r="A5185" s="16" t="inlineStr">
        <is>
          <t>5.8-5.14</t>
        </is>
      </c>
      <c r="B5185" s="16" t="inlineStr">
        <is>
          <t>PO-128-16826310328952650</t>
        </is>
      </c>
      <c r="C5185" s="16" t="inlineStr">
        <is>
          <t>Delivered</t>
        </is>
      </c>
      <c r="D5185" s="16" t="inlineStr">
        <is>
          <t>128-16826331300472650</t>
        </is>
      </c>
      <c r="E5185" s="16" t="inlineStr">
        <is>
          <t>Delivered</t>
        </is>
      </c>
      <c r="F5185" s="16" t="inlineStr">
        <is>
          <t>LV25W22</t>
        </is>
      </c>
      <c r="G518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85" s="16" t="inlineStr">
        <is>
          <t>LV25W32</t>
        </is>
      </c>
      <c r="I5185" s="16" t="n">
        <v>2</v>
      </c>
      <c r="J5185" s="17" t="n">
        <v>162.02</v>
      </c>
      <c r="K5185" s="17" t="n">
        <v>182.84</v>
      </c>
      <c r="L5185" s="17" t="n">
        <v>25.86</v>
      </c>
      <c r="M5185" s="17" t="n">
        <v>0</v>
      </c>
      <c r="N5185" s="17">
        <f>K5185*0.08+L5185*0.08</f>
        <v/>
      </c>
      <c r="O5185" s="17">
        <f>-(K5185*0.025+L5185*0.025)</f>
        <v/>
      </c>
      <c r="P5185" s="17">
        <f>32</f>
        <v/>
      </c>
      <c r="Q5185" s="17">
        <f>J5185+L5185+N5185+O5185-P5185-M5185</f>
        <v/>
      </c>
    </row>
    <row r="5186">
      <c r="A5186" s="16" t="inlineStr">
        <is>
          <t>5.8-5.14</t>
        </is>
      </c>
      <c r="B5186" s="16" t="inlineStr">
        <is>
          <t>PO-128-17151773563510710</t>
        </is>
      </c>
      <c r="C5186" s="16" t="inlineStr">
        <is>
          <t>Delivered</t>
        </is>
      </c>
      <c r="D5186" s="16" t="inlineStr">
        <is>
          <t>128-17151841720950710</t>
        </is>
      </c>
      <c r="E5186" s="16" t="inlineStr">
        <is>
          <t>Delivered</t>
        </is>
      </c>
      <c r="F5186" s="16" t="inlineStr">
        <is>
          <t>SA8058T</t>
        </is>
      </c>
      <c r="G5186" s="16" t="inlineStr">
        <is>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is>
      </c>
      <c r="H5186" s="16" t="inlineStr">
        <is>
          <t>SA8058T</t>
        </is>
      </c>
      <c r="I5186" s="16" t="n">
        <v>1</v>
      </c>
      <c r="J5186" s="17" t="n">
        <v>162.6</v>
      </c>
      <c r="K5186" s="17" t="n">
        <v>148.2</v>
      </c>
      <c r="L5186" s="17" t="n">
        <v>25.86</v>
      </c>
      <c r="M5186" s="17" t="n">
        <v>0</v>
      </c>
      <c r="N5186" s="17">
        <f>K5186*0.08+L5186*0.08</f>
        <v/>
      </c>
      <c r="O5186" s="17">
        <f>-(K5186*0.025+L5186*0.025)</f>
        <v/>
      </c>
      <c r="P5186" s="17">
        <f>32</f>
        <v/>
      </c>
      <c r="Q5186" s="17">
        <f>J5186+L5186+N5186+O5186-P5186-M5186</f>
        <v/>
      </c>
    </row>
    <row r="5187">
      <c r="A5187" s="16" t="inlineStr">
        <is>
          <t>5.8-5.14</t>
        </is>
      </c>
      <c r="B5187" s="16" t="inlineStr">
        <is>
          <t>PO-128-16553723054713317</t>
        </is>
      </c>
      <c r="C5187" s="16" t="inlineStr">
        <is>
          <t>Delivered</t>
        </is>
      </c>
      <c r="D5187" s="16" t="inlineStr">
        <is>
          <t>128-16553702083193317</t>
        </is>
      </c>
      <c r="E5187" s="16" t="inlineStr">
        <is>
          <t>Delivered</t>
        </is>
      </c>
      <c r="F5187" s="16" t="inlineStr">
        <is>
          <t>LV25W22</t>
        </is>
      </c>
      <c r="G518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87" s="16" t="inlineStr">
        <is>
          <t>LV25W32</t>
        </is>
      </c>
      <c r="I5187" s="16" t="n">
        <v>1</v>
      </c>
      <c r="J5187" s="17" t="n">
        <v>81.01000000000001</v>
      </c>
      <c r="K5187" s="17" t="n">
        <v>91.42</v>
      </c>
      <c r="L5187" s="17" t="n">
        <v>25.86</v>
      </c>
      <c r="M5187" s="17" t="n">
        <v>0</v>
      </c>
      <c r="N5187" s="17">
        <f>K5187*0.08+L5187*0.08</f>
        <v/>
      </c>
      <c r="O5187" s="17">
        <f>-(K5187*0.025+L5187*0.025)</f>
        <v/>
      </c>
      <c r="P5187" s="17">
        <f>32</f>
        <v/>
      </c>
      <c r="Q5187" s="17">
        <f>J5187+L5187+N5187+O5187-P5187-M5187</f>
        <v/>
      </c>
    </row>
    <row r="5188">
      <c r="A5188" s="16" t="inlineStr">
        <is>
          <t>5.8-5.14</t>
        </is>
      </c>
      <c r="B5188" s="16" t="inlineStr">
        <is>
          <t>PO-128-17013758659190447</t>
        </is>
      </c>
      <c r="C5188" s="16" t="inlineStr">
        <is>
          <t>Delivered</t>
        </is>
      </c>
      <c r="D5188" s="16" t="inlineStr">
        <is>
          <t>128-17013716716150447</t>
        </is>
      </c>
      <c r="E5188" s="16" t="inlineStr">
        <is>
          <t>Delivered</t>
        </is>
      </c>
      <c r="F5188" s="16" t="inlineStr">
        <is>
          <t>LV25W22</t>
        </is>
      </c>
      <c r="G518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88" s="16" t="inlineStr">
        <is>
          <t>LV25W32</t>
        </is>
      </c>
      <c r="I5188" s="16" t="n">
        <v>2</v>
      </c>
      <c r="J5188" s="17" t="n">
        <v>162.02</v>
      </c>
      <c r="K5188" s="17" t="n">
        <v>146.28</v>
      </c>
      <c r="L5188" s="17" t="n">
        <v>25.86</v>
      </c>
      <c r="M5188" s="17" t="n">
        <v>0</v>
      </c>
      <c r="N5188" s="17">
        <f>K5188*0.08+L5188*0.08</f>
        <v/>
      </c>
      <c r="O5188" s="17">
        <f>-(K5188*0.025+L5188*0.025)</f>
        <v/>
      </c>
      <c r="P5188" s="17">
        <f>32</f>
        <v/>
      </c>
      <c r="Q5188" s="17">
        <f>J5188+L5188+N5188+O5188-P5188-M5188</f>
        <v/>
      </c>
    </row>
    <row r="5189">
      <c r="A5189" s="16" t="inlineStr">
        <is>
          <t>5.8-5.14</t>
        </is>
      </c>
      <c r="B5189" s="16" t="inlineStr">
        <is>
          <t>PO-128-17083755356790093</t>
        </is>
      </c>
      <c r="C5189" s="16" t="inlineStr">
        <is>
          <t>Delivered</t>
        </is>
      </c>
      <c r="D5189" s="16" t="inlineStr">
        <is>
          <t>128-17083765842550093</t>
        </is>
      </c>
      <c r="E5189" s="16" t="inlineStr">
        <is>
          <t>Delivered</t>
        </is>
      </c>
      <c r="F5189" s="16" t="inlineStr">
        <is>
          <t>SA325T</t>
        </is>
      </c>
      <c r="G5189" s="16" t="inlineStr">
        <is>
          <t>Subwoofer Portátil Inalámbrico con Luces RGB, Sonido de Alta Potencia y Batería Duradera, TWS TF USB, Perfecto para Campamento Fiestas y Entretenimiento en Casa</t>
        </is>
      </c>
      <c r="H5189" s="16" t="inlineStr">
        <is>
          <t>NEGRO</t>
        </is>
      </c>
      <c r="I5189" s="16" t="n">
        <v>1</v>
      </c>
      <c r="J5189" s="17" t="n">
        <v>36</v>
      </c>
      <c r="K5189" s="17" t="n">
        <v>45.06</v>
      </c>
      <c r="L5189" s="17" t="n">
        <v>25.86</v>
      </c>
      <c r="M5189" s="17" t="n">
        <v>0</v>
      </c>
      <c r="N5189" s="17">
        <f>K5189*0.08+L5189*0.08</f>
        <v/>
      </c>
      <c r="O5189" s="17">
        <f>-(K5189*0.025+L5189*0.025)</f>
        <v/>
      </c>
      <c r="P5189" s="17">
        <f>32</f>
        <v/>
      </c>
      <c r="Q5189" s="17">
        <f>J5189+L5189+N5189+O5189-P5189-M5189</f>
        <v/>
      </c>
    </row>
    <row r="5190">
      <c r="A5190" s="16" t="inlineStr">
        <is>
          <t>5.8-5.14</t>
        </is>
      </c>
      <c r="B5190" s="16" t="inlineStr">
        <is>
          <t>PO-128-17069179812470242</t>
        </is>
      </c>
      <c r="C5190" s="16" t="inlineStr">
        <is>
          <t>Delivered</t>
        </is>
      </c>
      <c r="D5190" s="16" t="inlineStr">
        <is>
          <t>128-17069200783990242</t>
        </is>
      </c>
      <c r="E5190" s="16" t="inlineStr">
        <is>
          <t>Delivered</t>
        </is>
      </c>
      <c r="F5190" s="16" t="inlineStr">
        <is>
          <t>MB-185N</t>
        </is>
      </c>
      <c r="G5190" s="16" t="inlineStr">
        <is>
          <t>Bocina Radio FM/Reproductor, Compatible con Tarjeta TF, USB, Bluetooth, Aplicable para celular, computadora, Ipad y consola.</t>
        </is>
      </c>
      <c r="H5190" s="16" t="inlineStr">
        <is>
          <t>NEGRO/MB-185</t>
        </is>
      </c>
      <c r="I5190" s="16" t="n">
        <v>1</v>
      </c>
      <c r="J5190" s="17" t="n">
        <v>71.31</v>
      </c>
      <c r="K5190" s="17" t="n">
        <v>67.44</v>
      </c>
      <c r="L5190" s="17" t="n">
        <v>25.86</v>
      </c>
      <c r="M5190" s="17" t="n">
        <v>0</v>
      </c>
      <c r="N5190" s="17">
        <f>K5190*0.08+L5190*0.08</f>
        <v/>
      </c>
      <c r="O5190" s="17">
        <f>-(K5190*0.025+L5190*0.025)</f>
        <v/>
      </c>
      <c r="P5190" s="17">
        <f>32</f>
        <v/>
      </c>
      <c r="Q5190" s="17">
        <f>J5190+L5190+N5190+O5190-P5190-M5190</f>
        <v/>
      </c>
    </row>
    <row r="5191">
      <c r="A5191" s="16" t="inlineStr">
        <is>
          <t>5.8-5.14</t>
        </is>
      </c>
      <c r="B5191" s="16" t="inlineStr">
        <is>
          <t>PO-128-16724157891192301</t>
        </is>
      </c>
      <c r="C5191" s="16" t="inlineStr">
        <is>
          <t>Delivered</t>
        </is>
      </c>
      <c r="D5191" s="16" t="inlineStr">
        <is>
          <t>128-16724094976632301</t>
        </is>
      </c>
      <c r="E5191" s="16" t="inlineStr">
        <is>
          <t>Delivered</t>
        </is>
      </c>
      <c r="F5191" s="16" t="inlineStr">
        <is>
          <t>LV25W22</t>
        </is>
      </c>
      <c r="G519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1" s="16" t="inlineStr">
        <is>
          <t>LV25W32</t>
        </is>
      </c>
      <c r="I5191" s="16" t="n">
        <v>1</v>
      </c>
      <c r="J5191" s="17" t="n">
        <v>81.01000000000001</v>
      </c>
      <c r="K5191" s="17" t="n">
        <v>91.42</v>
      </c>
      <c r="L5191" s="17" t="n">
        <v>25.86</v>
      </c>
      <c r="M5191" s="17" t="n">
        <v>0</v>
      </c>
      <c r="N5191" s="17">
        <f>K5191*0.08+L5191*0.08</f>
        <v/>
      </c>
      <c r="O5191" s="17">
        <f>-(K5191*0.025+L5191*0.025)</f>
        <v/>
      </c>
      <c r="P5191" s="17">
        <f>32</f>
        <v/>
      </c>
      <c r="Q5191" s="17">
        <f>J5191+L5191+N5191+O5191-P5191-M5191</f>
        <v/>
      </c>
    </row>
    <row r="5192">
      <c r="A5192" s="16" t="inlineStr">
        <is>
          <t>5.8-5.14</t>
        </is>
      </c>
      <c r="B5192" s="16" t="inlineStr">
        <is>
          <t>PO-128-16643674522233610</t>
        </is>
      </c>
      <c r="C5192" s="16" t="inlineStr">
        <is>
          <t>Delivered</t>
        </is>
      </c>
      <c r="D5192" s="16" t="inlineStr">
        <is>
          <t>128-16643698115193610</t>
        </is>
      </c>
      <c r="E5192" s="16" t="inlineStr">
        <is>
          <t>Delivered</t>
        </is>
      </c>
      <c r="F5192" s="16" t="inlineStr">
        <is>
          <t>LV25W22</t>
        </is>
      </c>
      <c r="G519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2" s="16" t="inlineStr">
        <is>
          <t>LV25W32</t>
        </is>
      </c>
      <c r="I5192" s="16" t="n">
        <v>1</v>
      </c>
      <c r="J5192" s="17" t="n">
        <v>81.01000000000001</v>
      </c>
      <c r="K5192" s="17" t="n">
        <v>91.42</v>
      </c>
      <c r="L5192" s="17" t="n">
        <v>25.86</v>
      </c>
      <c r="M5192" s="17" t="n">
        <v>0</v>
      </c>
      <c r="N5192" s="17">
        <f>K5192*0.08+L5192*0.08</f>
        <v/>
      </c>
      <c r="O5192" s="17">
        <f>-(K5192*0.025+L5192*0.025)</f>
        <v/>
      </c>
      <c r="P5192" s="17">
        <f>32</f>
        <v/>
      </c>
      <c r="Q5192" s="17">
        <f>J5192+L5192+N5192+O5192-P5192-M5192</f>
        <v/>
      </c>
    </row>
    <row r="5193">
      <c r="A5193" s="16" t="inlineStr">
        <is>
          <t>5.8-5.14</t>
        </is>
      </c>
      <c r="B5193" s="16" t="inlineStr">
        <is>
          <t>PO-128-16704709130872417</t>
        </is>
      </c>
      <c r="C5193" s="16" t="inlineStr">
        <is>
          <t>Delivered</t>
        </is>
      </c>
      <c r="D5193" s="16" t="inlineStr">
        <is>
          <t>128-16704667187832417</t>
        </is>
      </c>
      <c r="E5193" s="16" t="inlineStr">
        <is>
          <t>Delivered</t>
        </is>
      </c>
      <c r="F5193" s="16" t="inlineStr">
        <is>
          <t>LB02235-blanco</t>
        </is>
      </c>
      <c r="G5193" s="16" t="inlineStr">
        <is>
          <t>Audífonos Inalámbricos para la Cabeza, Recargables y Multifuncionales - Conectan a Varios Dispositivos, soportan Radio FM, Tarjeta TF y AUX - 4 Horas de Reproducción Musical - Ideal para Trabajo Cotidiano, Juegos y Estudio</t>
        </is>
      </c>
      <c r="H5193" s="16" t="inlineStr">
        <is>
          <t>BLANCO</t>
        </is>
      </c>
      <c r="I5193" s="16" t="n">
        <v>1</v>
      </c>
      <c r="J5193" s="17" t="n">
        <v>36.5</v>
      </c>
      <c r="K5193" s="17" t="n">
        <v>49.62</v>
      </c>
      <c r="L5193" s="17" t="n">
        <v>25.86</v>
      </c>
      <c r="M5193" s="17" t="n">
        <v>0</v>
      </c>
      <c r="N5193" s="17">
        <f>K5193*0.08+L5193*0.08</f>
        <v/>
      </c>
      <c r="O5193" s="17">
        <f>-(K5193*0.025+L5193*0.025)</f>
        <v/>
      </c>
      <c r="P5193" s="17">
        <f>32</f>
        <v/>
      </c>
      <c r="Q5193" s="17">
        <f>J5193+L5193+N5193+O5193-P5193-M5193</f>
        <v/>
      </c>
    </row>
    <row r="5194">
      <c r="A5194" s="16" t="inlineStr">
        <is>
          <t>5.8-5.14</t>
        </is>
      </c>
      <c r="B5194" s="16" t="inlineStr">
        <is>
          <t>PO-128-16860012810871299</t>
        </is>
      </c>
      <c r="C5194" s="16" t="inlineStr">
        <is>
          <t>Delivered</t>
        </is>
      </c>
      <c r="D5194" s="16" t="inlineStr">
        <is>
          <t>128-16860052787831299</t>
        </is>
      </c>
      <c r="E5194" s="16" t="inlineStr">
        <is>
          <t>Delivered</t>
        </is>
      </c>
      <c r="F5194" s="16" t="inlineStr">
        <is>
          <t>LB02235-negro</t>
        </is>
      </c>
      <c r="G5194" s="16" t="inlineStr">
        <is>
          <t>Audífonos Inalámbricos para la Cabeza, Recargables y Multifuncionales - Conectan a Varios Dispositivos, soportan Radio FM, Tarjeta TF y AUX - 4 Horas de Reproducción Musical - Ideal para Trabajo Cotidiano, Juegos y Estudio</t>
        </is>
      </c>
      <c r="H5194" s="16" t="inlineStr">
        <is>
          <t>NEGRO</t>
        </is>
      </c>
      <c r="I5194" s="16" t="n">
        <v>1</v>
      </c>
      <c r="J5194" s="17" t="n">
        <v>36.5</v>
      </c>
      <c r="K5194" s="17" t="n">
        <v>49.62</v>
      </c>
      <c r="L5194" s="17" t="n">
        <v>25.86</v>
      </c>
      <c r="M5194" s="17" t="n">
        <v>0</v>
      </c>
      <c r="N5194" s="17">
        <f>K5194*0.08+L5194*0.08</f>
        <v/>
      </c>
      <c r="O5194" s="17">
        <f>-(K5194*0.025+L5194*0.025)</f>
        <v/>
      </c>
      <c r="P5194" s="17">
        <f>32</f>
        <v/>
      </c>
      <c r="Q5194" s="17">
        <f>J5194+L5194+N5194+O5194-P5194-M5194</f>
        <v/>
      </c>
    </row>
    <row r="5195">
      <c r="A5195" s="16" t="inlineStr">
        <is>
          <t>5.8-5.14</t>
        </is>
      </c>
      <c r="B5195" s="16" t="inlineStr">
        <is>
          <t>PO-128-17087386727030070</t>
        </is>
      </c>
      <c r="C5195" s="16" t="inlineStr">
        <is>
          <t>Delivered</t>
        </is>
      </c>
      <c r="D5195" s="16" t="inlineStr">
        <is>
          <t>128-17087344783990070</t>
        </is>
      </c>
      <c r="E5195" s="16" t="inlineStr">
        <is>
          <t>Delivered</t>
        </is>
      </c>
      <c r="F5195" s="16" t="inlineStr">
        <is>
          <t>LV25W22</t>
        </is>
      </c>
      <c r="G519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5" s="16" t="inlineStr">
        <is>
          <t>LV25W32</t>
        </is>
      </c>
      <c r="I5195" s="16" t="n">
        <v>4</v>
      </c>
      <c r="J5195" s="17" t="n">
        <v>288</v>
      </c>
      <c r="K5195" s="17" t="n">
        <v>329.64</v>
      </c>
      <c r="L5195" s="17" t="n">
        <v>0</v>
      </c>
      <c r="M5195" s="17" t="n">
        <v>0</v>
      </c>
      <c r="N5195" s="17">
        <f>K5195*0.08+L5195*0.08</f>
        <v/>
      </c>
      <c r="O5195" s="17">
        <f>-(K5195*0.025+L5195*0.025)</f>
        <v/>
      </c>
      <c r="P5195" s="17">
        <f>32</f>
        <v/>
      </c>
      <c r="Q5195" s="17">
        <f>J5195+L5195+N5195+O5195-P5195-M5195</f>
        <v/>
      </c>
    </row>
    <row r="5196">
      <c r="A5196" s="16" t="inlineStr">
        <is>
          <t>5.8-5.14</t>
        </is>
      </c>
      <c r="B5196" s="16" t="inlineStr">
        <is>
          <t>PO-128-16612589568633924</t>
        </is>
      </c>
      <c r="C5196" s="16" t="inlineStr">
        <is>
          <t>Delivered</t>
        </is>
      </c>
      <c r="D5196" s="16" t="inlineStr">
        <is>
          <t>128-16612547625593924</t>
        </is>
      </c>
      <c r="E5196" s="16" t="inlineStr">
        <is>
          <t>Delivered</t>
        </is>
      </c>
      <c r="F5196" s="16" t="inlineStr">
        <is>
          <t>LV25W22</t>
        </is>
      </c>
      <c r="G519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6" s="16" t="inlineStr">
        <is>
          <t>LV25W32</t>
        </is>
      </c>
      <c r="I5196" s="16" t="n">
        <v>2</v>
      </c>
      <c r="J5196" s="17" t="n">
        <v>144</v>
      </c>
      <c r="K5196" s="17" t="n">
        <v>121.72</v>
      </c>
      <c r="L5196" s="17" t="n">
        <v>25.86</v>
      </c>
      <c r="M5196" s="17" t="n">
        <v>0</v>
      </c>
      <c r="N5196" s="17">
        <f>K5196*0.08+L5196*0.08</f>
        <v/>
      </c>
      <c r="O5196" s="17">
        <f>-(K5196*0.025+L5196*0.025)</f>
        <v/>
      </c>
      <c r="P5196" s="17">
        <f>32</f>
        <v/>
      </c>
      <c r="Q5196" s="17">
        <f>J5196+L5196+N5196+O5196-P5196-M5196</f>
        <v/>
      </c>
    </row>
    <row r="5197">
      <c r="A5197" s="16" t="inlineStr">
        <is>
          <t>5.8-5.14</t>
        </is>
      </c>
      <c r="B5197" s="16" t="inlineStr">
        <is>
          <t>PO-128-17011137577590396</t>
        </is>
      </c>
      <c r="C5197" s="16" t="inlineStr">
        <is>
          <t>Delivered</t>
        </is>
      </c>
      <c r="D5197" s="16" t="inlineStr">
        <is>
          <t>128-17011100877430396</t>
        </is>
      </c>
      <c r="E5197" s="16" t="inlineStr">
        <is>
          <t>Delivered</t>
        </is>
      </c>
      <c r="F5197" s="16" t="inlineStr">
        <is>
          <t>FA028</t>
        </is>
      </c>
      <c r="G5197" s="16" t="inlineStr">
        <is>
          <t>Extractor de agua para garrafas de agua, compatible con carga USB, extractor de agua automático, práctico, con dos modos de toma de agua: manual y programado, ideal para dormitorios, salones, oficinas, uso al aire libre y otros escenarios.</t>
        </is>
      </c>
      <c r="H5197" s="16" t="inlineStr">
        <is>
          <t>FA028</t>
        </is>
      </c>
      <c r="I5197" s="16" t="n">
        <v>1</v>
      </c>
      <c r="J5197" s="17" t="n">
        <v>29.5</v>
      </c>
      <c r="K5197" s="17" t="n">
        <v>33.3</v>
      </c>
      <c r="L5197" s="17" t="n">
        <v>25.86</v>
      </c>
      <c r="M5197" s="17" t="n">
        <v>0</v>
      </c>
      <c r="N5197" s="17">
        <f>K5197*0.08+L5197*0.08</f>
        <v/>
      </c>
      <c r="O5197" s="17">
        <f>-(K5197*0.025+L5197*0.025)</f>
        <v/>
      </c>
      <c r="P5197" s="17">
        <f>32</f>
        <v/>
      </c>
      <c r="Q5197" s="17">
        <f>J5197+L5197+N5197+O5197-P5197-M5197</f>
        <v/>
      </c>
    </row>
    <row r="5198">
      <c r="A5198" s="16" t="inlineStr">
        <is>
          <t>5.8-5.14</t>
        </is>
      </c>
      <c r="B5198" s="16" t="inlineStr">
        <is>
          <t>PO-128-16889454142071186</t>
        </is>
      </c>
      <c r="C5198" s="16" t="inlineStr">
        <is>
          <t>Delivered</t>
        </is>
      </c>
      <c r="D5198" s="16" t="inlineStr">
        <is>
          <t>128-16889433170551186</t>
        </is>
      </c>
      <c r="E5198" s="16" t="inlineStr">
        <is>
          <t>Delivered</t>
        </is>
      </c>
      <c r="F5198" s="16" t="inlineStr">
        <is>
          <t>LV25W22</t>
        </is>
      </c>
      <c r="G51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8" s="16" t="inlineStr">
        <is>
          <t>LV25W32</t>
        </is>
      </c>
      <c r="I5198" s="16" t="n">
        <v>1</v>
      </c>
      <c r="J5198" s="17" t="n">
        <v>72</v>
      </c>
      <c r="K5198" s="17" t="n">
        <v>82.41</v>
      </c>
      <c r="L5198" s="17" t="n">
        <v>25.86</v>
      </c>
      <c r="M5198" s="17" t="n">
        <v>0</v>
      </c>
      <c r="N5198" s="17">
        <f>K5198*0.08+L5198*0.08</f>
        <v/>
      </c>
      <c r="O5198" s="17">
        <f>-(K5198*0.025+L5198*0.025)</f>
        <v/>
      </c>
      <c r="P5198" s="17">
        <f>32</f>
        <v/>
      </c>
      <c r="Q5198" s="17">
        <f>J5198+L5198+N5198+O5198-P5198-M5198</f>
        <v/>
      </c>
    </row>
    <row r="5199">
      <c r="A5199" s="16" t="inlineStr">
        <is>
          <t>5.8-5.14</t>
        </is>
      </c>
      <c r="B5199" s="16" t="inlineStr">
        <is>
          <t>PO-128-16941527859832029</t>
        </is>
      </c>
      <c r="C5199" s="16" t="inlineStr">
        <is>
          <t>Delivered</t>
        </is>
      </c>
      <c r="D5199" s="16" t="inlineStr">
        <is>
          <t>128-16941506888312029</t>
        </is>
      </c>
      <c r="E5199" s="16" t="inlineStr">
        <is>
          <t>Delivered</t>
        </is>
      </c>
      <c r="F5199" s="16" t="inlineStr">
        <is>
          <t>LV25W22</t>
        </is>
      </c>
      <c r="G519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199" s="16" t="inlineStr">
        <is>
          <t>LV25W32</t>
        </is>
      </c>
      <c r="I5199" s="16" t="n">
        <v>1</v>
      </c>
      <c r="J5199" s="17" t="n">
        <v>72</v>
      </c>
      <c r="K5199" s="17" t="n">
        <v>70.90000000000001</v>
      </c>
      <c r="L5199" s="17" t="n">
        <v>25.86</v>
      </c>
      <c r="M5199" s="17" t="n">
        <v>0</v>
      </c>
      <c r="N5199" s="17">
        <f>K5199*0.08+L5199*0.08</f>
        <v/>
      </c>
      <c r="O5199" s="17">
        <f>-(K5199*0.025+L5199*0.025)</f>
        <v/>
      </c>
      <c r="P5199" s="17">
        <f>32</f>
        <v/>
      </c>
      <c r="Q5199" s="17">
        <f>J5199+L5199+N5199+O5199-P5199-M5199</f>
        <v/>
      </c>
    </row>
    <row r="5200">
      <c r="A5200" s="16" t="inlineStr">
        <is>
          <t>5.8-5.14</t>
        </is>
      </c>
      <c r="B5200" s="16" t="inlineStr">
        <is>
          <t>PO-128-06095771996790115</t>
        </is>
      </c>
      <c r="C5200" s="16" t="inlineStr">
        <is>
          <t>Delivered</t>
        </is>
      </c>
      <c r="D5200" s="16" t="inlineStr">
        <is>
          <t>128-06095792968310115</t>
        </is>
      </c>
      <c r="E5200" s="16" t="inlineStr">
        <is>
          <t>Delivered</t>
        </is>
      </c>
      <c r="F5200" s="16" t="inlineStr">
        <is>
          <t>LB02235-azul</t>
        </is>
      </c>
      <c r="G5200" s="16" t="inlineStr">
        <is>
          <t>Audífonos Inalámbricos para la Cabeza, Recargables y Multifuncionales - Conectan a Varios Dispositivos, soportan Radio FM, Tarjeta TF y AUX - 4 Horas de Reproducción Musical - Ideal para Trabajo Cotidiano, Juegos y Estudio</t>
        </is>
      </c>
      <c r="H5200" s="16" t="inlineStr">
        <is>
          <t>AZUL</t>
        </is>
      </c>
      <c r="I5200" s="16" t="n">
        <v>1</v>
      </c>
      <c r="J5200" s="17" t="n">
        <v>35</v>
      </c>
      <c r="K5200" s="17" t="n">
        <v>48.12</v>
      </c>
      <c r="L5200" s="17" t="n">
        <v>25.86</v>
      </c>
      <c r="M5200" s="17" t="n">
        <v>0</v>
      </c>
      <c r="N5200" s="17">
        <f>K5200*0.08+L5200*0.08</f>
        <v/>
      </c>
      <c r="O5200" s="17">
        <f>-(K5200*0.025+L5200*0.025)</f>
        <v/>
      </c>
      <c r="P5200" s="17">
        <f>32</f>
        <v/>
      </c>
      <c r="Q5200" s="17">
        <f>J5200+L5200+N5200+O5200-P5200-M5200</f>
        <v/>
      </c>
    </row>
    <row r="5201">
      <c r="A5201" s="16" t="inlineStr">
        <is>
          <t>5.8-5.14</t>
        </is>
      </c>
      <c r="B5201" s="16" t="inlineStr">
        <is>
          <t>PO-128-06066023168630162</t>
        </is>
      </c>
      <c r="C5201" s="16" t="inlineStr">
        <is>
          <t>Delivered</t>
        </is>
      </c>
      <c r="D5201" s="16" t="inlineStr">
        <is>
          <t>128-06066033654390162</t>
        </is>
      </c>
      <c r="E5201" s="16" t="inlineStr">
        <is>
          <t>Delivered</t>
        </is>
      </c>
      <c r="F5201" s="16" t="inlineStr">
        <is>
          <t>LV25W22</t>
        </is>
      </c>
      <c r="G52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1" s="16" t="inlineStr">
        <is>
          <t>LV25W32</t>
        </is>
      </c>
      <c r="I5201" s="16" t="n">
        <v>1</v>
      </c>
      <c r="J5201" s="17" t="n">
        <v>72</v>
      </c>
      <c r="K5201" s="17" t="n">
        <v>82.41</v>
      </c>
      <c r="L5201" s="17" t="n">
        <v>25.86</v>
      </c>
      <c r="M5201" s="17" t="n">
        <v>0</v>
      </c>
      <c r="N5201" s="17">
        <f>K5201*0.08+L5201*0.08</f>
        <v/>
      </c>
      <c r="O5201" s="17">
        <f>-(K5201*0.025+L5201*0.025)</f>
        <v/>
      </c>
      <c r="P5201" s="17">
        <f>32</f>
        <v/>
      </c>
      <c r="Q5201" s="17">
        <f>J5201+L5201+N5201+O5201-P5201-M5201</f>
        <v/>
      </c>
    </row>
    <row r="5202">
      <c r="A5202" s="16" t="inlineStr">
        <is>
          <t>5.8-5.14</t>
        </is>
      </c>
      <c r="B5202" s="16" t="inlineStr">
        <is>
          <t>PO-128-05724144200312264</t>
        </is>
      </c>
      <c r="C5202" s="16" t="inlineStr">
        <is>
          <t>Delivered</t>
        </is>
      </c>
      <c r="D5202" s="16" t="inlineStr">
        <is>
          <t>128-05724212357752264</t>
        </is>
      </c>
      <c r="E5202" s="16" t="inlineStr">
        <is>
          <t>Delivered</t>
        </is>
      </c>
      <c r="F5202" s="16" t="inlineStr">
        <is>
          <t>LV25W22</t>
        </is>
      </c>
      <c r="G520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2" s="16" t="inlineStr">
        <is>
          <t>LV25W32</t>
        </is>
      </c>
      <c r="I5202" s="16" t="n">
        <v>1</v>
      </c>
      <c r="J5202" s="17" t="n">
        <v>72</v>
      </c>
      <c r="K5202" s="17" t="n">
        <v>39.31</v>
      </c>
      <c r="L5202" s="17" t="n">
        <v>25.86</v>
      </c>
      <c r="M5202" s="17" t="n">
        <v>0</v>
      </c>
      <c r="N5202" s="17">
        <f>K5202*0.08+L5202*0.08</f>
        <v/>
      </c>
      <c r="O5202" s="17">
        <f>-(K5202*0.025+L5202*0.025)</f>
        <v/>
      </c>
      <c r="P5202" s="17">
        <f>32</f>
        <v/>
      </c>
      <c r="Q5202" s="17">
        <f>J5202+L5202+N5202+O5202-P5202-M5202</f>
        <v/>
      </c>
    </row>
    <row r="5203">
      <c r="A5203" s="16" t="inlineStr">
        <is>
          <t>5.8-5.14</t>
        </is>
      </c>
      <c r="B5203" s="16" t="inlineStr">
        <is>
          <t>PO-128-05596503009914051</t>
        </is>
      </c>
      <c r="C5203" s="16" t="inlineStr">
        <is>
          <t>Delivered</t>
        </is>
      </c>
      <c r="D5203" s="16" t="inlineStr">
        <is>
          <t>128-05596542986874051</t>
        </is>
      </c>
      <c r="E5203" s="16" t="inlineStr">
        <is>
          <t>Delivered</t>
        </is>
      </c>
      <c r="F5203" s="16" t="inlineStr">
        <is>
          <t>LV25W22</t>
        </is>
      </c>
      <c r="G52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3" s="16" t="inlineStr">
        <is>
          <t>LV25W32</t>
        </is>
      </c>
      <c r="I5203" s="16" t="n">
        <v>5</v>
      </c>
      <c r="J5203" s="17" t="n">
        <v>360</v>
      </c>
      <c r="K5203" s="17" t="n">
        <v>288.45</v>
      </c>
      <c r="L5203" s="17" t="n">
        <v>0</v>
      </c>
      <c r="M5203" s="17" t="n">
        <v>0</v>
      </c>
      <c r="N5203" s="17">
        <f>K5203*0.08+L5203*0.08</f>
        <v/>
      </c>
      <c r="O5203" s="17">
        <f>-(K5203*0.025+L5203*0.025)</f>
        <v/>
      </c>
      <c r="P5203" s="17">
        <f>32</f>
        <v/>
      </c>
      <c r="Q5203" s="17">
        <f>J5203+L5203+N5203+O5203-P5203-M5203</f>
        <v/>
      </c>
    </row>
    <row r="5204">
      <c r="A5204" s="16" t="inlineStr">
        <is>
          <t>5.8-5.14</t>
        </is>
      </c>
      <c r="B5204" s="16" t="inlineStr">
        <is>
          <t>PO-128-05753848735352153</t>
        </is>
      </c>
      <c r="C5204" s="16" t="inlineStr">
        <is>
          <t>Delivered</t>
        </is>
      </c>
      <c r="D5204" s="16" t="inlineStr">
        <is>
          <t>128-05753859221112153</t>
        </is>
      </c>
      <c r="E5204" s="16" t="inlineStr">
        <is>
          <t>Delivered</t>
        </is>
      </c>
      <c r="F5204" s="16" t="inlineStr">
        <is>
          <t>LB02235-negro</t>
        </is>
      </c>
      <c r="G5204" s="16" t="inlineStr">
        <is>
          <t>Audífonos Inalámbricos para la Cabeza, Recargables y Multifuncionales - Conectan a Varios Dispositivos, soportan Radio FM, Tarjeta TF y AUX - 4 Horas de Reproducción Musical - Ideal para Trabajo Cotidiano, Juegos y Estudio</t>
        </is>
      </c>
      <c r="H5204" s="16" t="inlineStr">
        <is>
          <t>NEGRO</t>
        </is>
      </c>
      <c r="I5204" s="16" t="n">
        <v>1</v>
      </c>
      <c r="J5204" s="17" t="n">
        <v>36.5</v>
      </c>
      <c r="K5204" s="17" t="n">
        <v>49.62</v>
      </c>
      <c r="L5204" s="17" t="n">
        <v>25.86</v>
      </c>
      <c r="M5204" s="17" t="n">
        <v>0</v>
      </c>
      <c r="N5204" s="17">
        <f>K5204*0.08+L5204*0.08</f>
        <v/>
      </c>
      <c r="O5204" s="17">
        <f>-(K5204*0.025+L5204*0.025)</f>
        <v/>
      </c>
      <c r="P5204" s="17">
        <f>32</f>
        <v/>
      </c>
      <c r="Q5204" s="17">
        <f>J5204+L5204+N5204+O5204-P5204-M5204</f>
        <v/>
      </c>
    </row>
    <row r="5205">
      <c r="A5205" s="16" t="inlineStr">
        <is>
          <t>5.8-5.14</t>
        </is>
      </c>
      <c r="B5205" s="16" t="inlineStr">
        <is>
          <t>PO-128-06006297047671606</t>
        </is>
      </c>
      <c r="C5205" s="16" t="inlineStr">
        <is>
          <t>Delivered</t>
        </is>
      </c>
      <c r="D5205" s="16" t="inlineStr">
        <is>
          <t>128-06006338990711606</t>
        </is>
      </c>
      <c r="E5205" s="16" t="inlineStr">
        <is>
          <t>Delivered</t>
        </is>
      </c>
      <c r="F5205" s="16" t="inlineStr">
        <is>
          <t>LB02235-negro</t>
        </is>
      </c>
      <c r="G5205" s="16" t="inlineStr">
        <is>
          <t>Audífonos Inalámbricos para la Cabeza, Recargables y Multifuncionales - Conectan a Varios Dispositivos, soportan Radio FM, Tarjeta TF y AUX - 4 Horas de Reproducción Musical - Ideal para Trabajo Cotidiano, Juegos y Estudio</t>
        </is>
      </c>
      <c r="H5205" s="16" t="inlineStr">
        <is>
          <t>NEGRO</t>
        </is>
      </c>
      <c r="I5205" s="16" t="n">
        <v>1</v>
      </c>
      <c r="J5205" s="17" t="n">
        <v>36.5</v>
      </c>
      <c r="K5205" s="17" t="n">
        <v>49.62</v>
      </c>
      <c r="L5205" s="17" t="n">
        <v>25.86</v>
      </c>
      <c r="M5205" s="17" t="n">
        <v>0</v>
      </c>
      <c r="N5205" s="17">
        <f>K5205*0.08+L5205*0.08</f>
        <v/>
      </c>
      <c r="O5205" s="17">
        <f>-(K5205*0.025+L5205*0.025)</f>
        <v/>
      </c>
      <c r="P5205" s="17">
        <f>32</f>
        <v/>
      </c>
      <c r="Q5205" s="17">
        <f>J5205+L5205+N5205+O5205-P5205-M5205</f>
        <v/>
      </c>
    </row>
    <row r="5206">
      <c r="A5206" s="16" t="inlineStr">
        <is>
          <t>5.8-5.14</t>
        </is>
      </c>
      <c r="B5206" s="16" t="inlineStr">
        <is>
          <t>PO-128-06055893443190353</t>
        </is>
      </c>
      <c r="C5206" s="16" t="inlineStr">
        <is>
          <t>Delivered</t>
        </is>
      </c>
      <c r="D5206" s="16" t="inlineStr">
        <is>
          <t>128-06055851500150353</t>
        </is>
      </c>
      <c r="E5206" s="16" t="inlineStr">
        <is>
          <t>Delivered</t>
        </is>
      </c>
      <c r="F5206" s="16" t="inlineStr">
        <is>
          <t>LV25W22</t>
        </is>
      </c>
      <c r="G52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6" s="16" t="inlineStr">
        <is>
          <t>LV25W32</t>
        </is>
      </c>
      <c r="I5206" s="16" t="n">
        <v>1</v>
      </c>
      <c r="J5206" s="17" t="n">
        <v>72</v>
      </c>
      <c r="K5206" s="17" t="n">
        <v>28.96</v>
      </c>
      <c r="L5206" s="17" t="n">
        <v>25.86</v>
      </c>
      <c r="M5206" s="17" t="n">
        <v>0</v>
      </c>
      <c r="N5206" s="17">
        <f>K5206*0.08+L5206*0.08</f>
        <v/>
      </c>
      <c r="O5206" s="17">
        <f>-(K5206*0.025+L5206*0.025)</f>
        <v/>
      </c>
      <c r="P5206" s="17">
        <f>32</f>
        <v/>
      </c>
      <c r="Q5206" s="17">
        <f>J5206+L5206+N5206+O5206-P5206-M5206</f>
        <v/>
      </c>
    </row>
    <row r="5207">
      <c r="A5207" s="16" t="inlineStr">
        <is>
          <t>5.8-5.14</t>
        </is>
      </c>
      <c r="B5207" s="16" t="inlineStr">
        <is>
          <t>PO-128-05657553029753623</t>
        </is>
      </c>
      <c r="C5207" s="16" t="inlineStr">
        <is>
          <t>Delivered</t>
        </is>
      </c>
      <c r="D5207" s="16" t="inlineStr">
        <is>
          <t>128-05657574001273623</t>
        </is>
      </c>
      <c r="E5207" s="16" t="inlineStr">
        <is>
          <t>Delivered</t>
        </is>
      </c>
      <c r="F5207" s="16" t="inlineStr">
        <is>
          <t>LV25W22</t>
        </is>
      </c>
      <c r="G520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7" s="16" t="inlineStr">
        <is>
          <t>LV25W32</t>
        </is>
      </c>
      <c r="I5207" s="16" t="n">
        <v>1</v>
      </c>
      <c r="J5207" s="17" t="n">
        <v>72</v>
      </c>
      <c r="K5207" s="17" t="n">
        <v>39.31</v>
      </c>
      <c r="L5207" s="17" t="n">
        <v>25.86</v>
      </c>
      <c r="M5207" s="17" t="n">
        <v>0</v>
      </c>
      <c r="N5207" s="17">
        <f>K5207*0.08+L5207*0.08</f>
        <v/>
      </c>
      <c r="O5207" s="17">
        <f>-(K5207*0.025+L5207*0.025)</f>
        <v/>
      </c>
      <c r="P5207" s="17">
        <f>32</f>
        <v/>
      </c>
      <c r="Q5207" s="17">
        <f>J5207+L5207+N5207+O5207-P5207-M5207</f>
        <v/>
      </c>
    </row>
    <row r="5208">
      <c r="A5208" s="16" t="inlineStr">
        <is>
          <t>5.8-5.14</t>
        </is>
      </c>
      <c r="B5208" s="16" t="inlineStr">
        <is>
          <t>PO-128-05928257987191945</t>
        </is>
      </c>
      <c r="C5208" s="16" t="inlineStr">
        <is>
          <t>Delivered</t>
        </is>
      </c>
      <c r="D5208" s="16" t="inlineStr">
        <is>
          <t>128-05928242258551945</t>
        </is>
      </c>
      <c r="E5208" s="16" t="inlineStr">
        <is>
          <t>Delivered</t>
        </is>
      </c>
      <c r="F5208" s="16" t="inlineStr">
        <is>
          <t>LV25W22</t>
        </is>
      </c>
      <c r="G520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08" s="16" t="inlineStr">
        <is>
          <t>LV25W32</t>
        </is>
      </c>
      <c r="I5208" s="16" t="n">
        <v>1</v>
      </c>
      <c r="J5208" s="17" t="n">
        <v>72</v>
      </c>
      <c r="K5208" s="17" t="n">
        <v>65.94</v>
      </c>
      <c r="L5208" s="17" t="n">
        <v>25.86</v>
      </c>
      <c r="M5208" s="17" t="n">
        <v>0</v>
      </c>
      <c r="N5208" s="17">
        <f>K5208*0.08+L5208*0.08</f>
        <v/>
      </c>
      <c r="O5208" s="17">
        <f>-(K5208*0.025+L5208*0.025)</f>
        <v/>
      </c>
      <c r="P5208" s="17">
        <f>32</f>
        <v/>
      </c>
      <c r="Q5208" s="17">
        <f>J5208+L5208+N5208+O5208-P5208-M5208</f>
        <v/>
      </c>
    </row>
    <row r="5209">
      <c r="A5209" s="16" t="inlineStr">
        <is>
          <t>5.8-5.14</t>
        </is>
      </c>
      <c r="B5209" s="16" t="inlineStr">
        <is>
          <t>PO-128-06068329390710212</t>
        </is>
      </c>
      <c r="C5209" s="16" t="inlineStr">
        <is>
          <t>Delivered</t>
        </is>
      </c>
      <c r="D5209" s="16" t="inlineStr">
        <is>
          <t>128-06068481434230212</t>
        </is>
      </c>
      <c r="E5209" s="16" t="inlineStr">
        <is>
          <t>Delivered</t>
        </is>
      </c>
      <c r="F5209" s="16" t="inlineStr">
        <is>
          <t>KTS-1678V</t>
        </is>
      </c>
      <c r="G5209" s="16" t="inlineStr">
        <is>
          <t>Bocina portátil Inalámbrico, de 3 pulgadas, tamaño de bolsillo, 170 g, con asa, compatible con TF, USB y Micro SD, con radio FM y función TWS (True Wireless Stereo), adecuada para relajarse en casa o viajar al aire libre.</t>
        </is>
      </c>
      <c r="H5209" s="16" t="inlineStr">
        <is>
          <t>KTS-1678V</t>
        </is>
      </c>
      <c r="I5209" s="16" t="n">
        <v>1</v>
      </c>
      <c r="J5209" s="17" t="n">
        <v>37.71</v>
      </c>
      <c r="K5209" s="17" t="n">
        <v>2.87</v>
      </c>
      <c r="L5209" s="17" t="n">
        <v>25.86</v>
      </c>
      <c r="M5209" s="17" t="n">
        <v>0</v>
      </c>
      <c r="N5209" s="17">
        <f>K5209*0.08+L5209*0.08</f>
        <v/>
      </c>
      <c r="O5209" s="17">
        <f>-(K5209*0.025+L5209*0.025)</f>
        <v/>
      </c>
      <c r="P5209" s="17">
        <f>32</f>
        <v/>
      </c>
      <c r="Q5209" s="17">
        <f>J5209+L5209+N5209+O5209-P5209-M5209</f>
        <v/>
      </c>
    </row>
    <row r="5210">
      <c r="A5210" s="16" t="inlineStr">
        <is>
          <t>5.8-5.14</t>
        </is>
      </c>
      <c r="B5210" s="16" t="inlineStr">
        <is>
          <t>PO-128-06093955297910124</t>
        </is>
      </c>
      <c r="C5210" s="16" t="inlineStr">
        <is>
          <t>Delivered</t>
        </is>
      </c>
      <c r="D5210" s="16" t="inlineStr">
        <is>
          <t>128-06093913354870124</t>
        </is>
      </c>
      <c r="E5210" s="16" t="inlineStr">
        <is>
          <t>Delivered</t>
        </is>
      </c>
      <c r="F5210" s="16" t="inlineStr">
        <is>
          <t>LV25W22</t>
        </is>
      </c>
      <c r="G521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0" s="16" t="inlineStr">
        <is>
          <t>LV25W32</t>
        </is>
      </c>
      <c r="I5210" s="16" t="n">
        <v>5</v>
      </c>
      <c r="J5210" s="17" t="n">
        <v>360</v>
      </c>
      <c r="K5210" s="17" t="n">
        <v>329.65</v>
      </c>
      <c r="L5210" s="17" t="n">
        <v>0</v>
      </c>
      <c r="M5210" s="17" t="n">
        <v>0</v>
      </c>
      <c r="N5210" s="17">
        <f>K5210*0.08+L5210*0.08</f>
        <v/>
      </c>
      <c r="O5210" s="17">
        <f>-(K5210*0.025+L5210*0.025)</f>
        <v/>
      </c>
      <c r="P5210" s="17">
        <f>32</f>
        <v/>
      </c>
      <c r="Q5210" s="17">
        <f>J5210+L5210+N5210+O5210-P5210-M5210</f>
        <v/>
      </c>
    </row>
    <row r="5211">
      <c r="A5211" s="16" t="inlineStr">
        <is>
          <t>5.8-5.14</t>
        </is>
      </c>
      <c r="B5211" s="16" t="inlineStr">
        <is>
          <t>PO-128-05554087527033278</t>
        </is>
      </c>
      <c r="C5211" s="16" t="inlineStr">
        <is>
          <t>Delivered</t>
        </is>
      </c>
      <c r="D5211" s="16" t="inlineStr">
        <is>
          <t>128-05554096046713278</t>
        </is>
      </c>
      <c r="E5211" s="16" t="inlineStr">
        <is>
          <t>Delivered</t>
        </is>
      </c>
      <c r="F5211" s="16" t="inlineStr">
        <is>
          <t>LV25W22</t>
        </is>
      </c>
      <c r="G52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1" s="16" t="inlineStr">
        <is>
          <t>LV25W32</t>
        </is>
      </c>
      <c r="I5211" s="16" t="n">
        <v>1</v>
      </c>
      <c r="J5211" s="17" t="n">
        <v>72</v>
      </c>
      <c r="K5211" s="17" t="n">
        <v>82.41</v>
      </c>
      <c r="L5211" s="17" t="n">
        <v>25.86</v>
      </c>
      <c r="M5211" s="17" t="n">
        <v>0</v>
      </c>
      <c r="N5211" s="17">
        <f>K5211*0.08+L5211*0.08</f>
        <v/>
      </c>
      <c r="O5211" s="17">
        <f>-(K5211*0.025+L5211*0.025)</f>
        <v/>
      </c>
      <c r="P5211" s="17">
        <f>32</f>
        <v/>
      </c>
      <c r="Q5211" s="17">
        <f>J5211+L5211+N5211+O5211-P5211-M5211</f>
        <v/>
      </c>
    </row>
    <row r="5212">
      <c r="A5212" s="16" t="inlineStr">
        <is>
          <t>5.8-5.14</t>
        </is>
      </c>
      <c r="B5212" s="16" t="inlineStr">
        <is>
          <t>PO-128-05513399603833520</t>
        </is>
      </c>
      <c r="C5212" s="16" t="inlineStr">
        <is>
          <t>Delivered</t>
        </is>
      </c>
      <c r="D5212" s="16" t="inlineStr">
        <is>
          <t>128-05513357660793520</t>
        </is>
      </c>
      <c r="E5212" s="16" t="inlineStr">
        <is>
          <t>Delivered</t>
        </is>
      </c>
      <c r="F5212" s="16" t="inlineStr">
        <is>
          <t>LV25W22</t>
        </is>
      </c>
      <c r="G521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2" s="16" t="inlineStr">
        <is>
          <t>LV25W32</t>
        </is>
      </c>
      <c r="I5212" s="16" t="n">
        <v>1</v>
      </c>
      <c r="J5212" s="17" t="n">
        <v>72</v>
      </c>
      <c r="K5212" s="17" t="n">
        <v>65.93000000000001</v>
      </c>
      <c r="L5212" s="17" t="n">
        <v>25.86</v>
      </c>
      <c r="M5212" s="17" t="n">
        <v>0</v>
      </c>
      <c r="N5212" s="17">
        <f>K5212*0.08+L5212*0.08</f>
        <v/>
      </c>
      <c r="O5212" s="17">
        <f>-(K5212*0.025+L5212*0.025)</f>
        <v/>
      </c>
      <c r="P5212" s="17">
        <f>32</f>
        <v/>
      </c>
      <c r="Q5212" s="17">
        <f>J5212+L5212+N5212+O5212-P5212-M5212</f>
        <v/>
      </c>
    </row>
    <row r="5213">
      <c r="A5213" s="16" t="inlineStr">
        <is>
          <t>5.8-5.14</t>
        </is>
      </c>
      <c r="B5213" s="16" t="inlineStr">
        <is>
          <t>PO-128-05955759555191845</t>
        </is>
      </c>
      <c r="C5213" s="16" t="inlineStr">
        <is>
          <t>Delivered</t>
        </is>
      </c>
      <c r="D5213" s="16" t="inlineStr">
        <is>
          <t>128-05955895870071845</t>
        </is>
      </c>
      <c r="E5213" s="16" t="inlineStr">
        <is>
          <t>Delivered</t>
        </is>
      </c>
      <c r="F5213" s="16" t="inlineStr">
        <is>
          <t>LV25W22</t>
        </is>
      </c>
      <c r="G521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3" s="16" t="inlineStr">
        <is>
          <t>LV25W32</t>
        </is>
      </c>
      <c r="I5213" s="16" t="n">
        <v>2</v>
      </c>
      <c r="J5213" s="17" t="n">
        <v>144</v>
      </c>
      <c r="K5213" s="17" t="n">
        <v>164.86</v>
      </c>
      <c r="L5213" s="17" t="n">
        <v>25.86</v>
      </c>
      <c r="M5213" s="17" t="n">
        <v>0</v>
      </c>
      <c r="N5213" s="17">
        <f>K5213*0.08+L5213*0.08</f>
        <v/>
      </c>
      <c r="O5213" s="17">
        <f>-(K5213*0.025+L5213*0.025)</f>
        <v/>
      </c>
      <c r="P5213" s="17">
        <f>32</f>
        <v/>
      </c>
      <c r="Q5213" s="17">
        <f>J5213+L5213+N5213+O5213-P5213-M5213</f>
        <v/>
      </c>
    </row>
    <row r="5214">
      <c r="A5214" s="16" t="inlineStr">
        <is>
          <t>5.8-5.14</t>
        </is>
      </c>
      <c r="B5214" s="16" t="inlineStr">
        <is>
          <t>PO-128-05608933263993849</t>
        </is>
      </c>
      <c r="C5214" s="16" t="inlineStr">
        <is>
          <t>Delivered</t>
        </is>
      </c>
      <c r="D5214" s="16" t="inlineStr">
        <is>
          <t>128-05608891320953849</t>
        </is>
      </c>
      <c r="E5214" s="16" t="inlineStr">
        <is>
          <t>Delivered</t>
        </is>
      </c>
      <c r="F5214" s="16" t="inlineStr">
        <is>
          <t>LB02235-negro</t>
        </is>
      </c>
      <c r="G5214" s="16" t="inlineStr">
        <is>
          <t>Audífonos Inalámbricos para la Cabeza, Recargables y Multifuncionales - Conectan a Varios Dispositivos, soportan Radio FM, Tarjeta TF y AUX - 4 Horas de Reproducción Musical - Ideal para Trabajo Cotidiano, Juegos y Estudio</t>
        </is>
      </c>
      <c r="H5214" s="16" t="inlineStr">
        <is>
          <t>NEGRO</t>
        </is>
      </c>
      <c r="I5214" s="16" t="n">
        <v>1</v>
      </c>
      <c r="J5214" s="17" t="n">
        <v>36.5</v>
      </c>
      <c r="K5214" s="17" t="n">
        <v>6.52</v>
      </c>
      <c r="L5214" s="17" t="n">
        <v>25.86</v>
      </c>
      <c r="M5214" s="17" t="n">
        <v>0</v>
      </c>
      <c r="N5214" s="17">
        <f>K5214*0.08+L5214*0.08</f>
        <v/>
      </c>
      <c r="O5214" s="17">
        <f>-(K5214*0.025+L5214*0.025)</f>
        <v/>
      </c>
      <c r="P5214" s="17">
        <f>32</f>
        <v/>
      </c>
      <c r="Q5214" s="17">
        <f>J5214+L5214+N5214+O5214-P5214-M5214</f>
        <v/>
      </c>
    </row>
    <row r="5215">
      <c r="A5215" s="16" t="inlineStr">
        <is>
          <t>5.8-5.14</t>
        </is>
      </c>
      <c r="B5215" s="16" t="inlineStr">
        <is>
          <t>PO-128-05646031258233818</t>
        </is>
      </c>
      <c r="C5215" s="16" t="inlineStr">
        <is>
          <t>Delivered</t>
        </is>
      </c>
      <c r="D5215" s="16" t="inlineStr">
        <is>
          <t>128-05645989315193818</t>
        </is>
      </c>
      <c r="E5215" s="16" t="inlineStr">
        <is>
          <t>Delivered</t>
        </is>
      </c>
      <c r="F5215" s="16" t="inlineStr">
        <is>
          <t>LV25W22</t>
        </is>
      </c>
      <c r="G521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5" s="16" t="inlineStr">
        <is>
          <t>LV25W32</t>
        </is>
      </c>
      <c r="I5215" s="16" t="n">
        <v>2</v>
      </c>
      <c r="J5215" s="17" t="n">
        <v>144</v>
      </c>
      <c r="K5215" s="17" t="n">
        <v>164.86</v>
      </c>
      <c r="L5215" s="17" t="n">
        <v>25.86</v>
      </c>
      <c r="M5215" s="17" t="n">
        <v>0</v>
      </c>
      <c r="N5215" s="17">
        <f>K5215*0.08+L5215*0.08</f>
        <v/>
      </c>
      <c r="O5215" s="17">
        <f>-(K5215*0.025+L5215*0.025)</f>
        <v/>
      </c>
      <c r="P5215" s="17">
        <f>32</f>
        <v/>
      </c>
      <c r="Q5215" s="17">
        <f>J5215+L5215+N5215+O5215-P5215-M5215</f>
        <v/>
      </c>
    </row>
    <row r="5216">
      <c r="A5216" s="16" t="inlineStr">
        <is>
          <t>5.8-5.14</t>
        </is>
      </c>
      <c r="B5216" s="16" t="inlineStr">
        <is>
          <t>PO-128-05734831811192072</t>
        </is>
      </c>
      <c r="C5216" s="16" t="inlineStr">
        <is>
          <t>Delivered</t>
        </is>
      </c>
      <c r="D5216" s="16" t="inlineStr">
        <is>
          <t>128-05734869822072072</t>
        </is>
      </c>
      <c r="E5216" s="16" t="inlineStr">
        <is>
          <t>Delivered</t>
        </is>
      </c>
      <c r="F5216" s="16" t="inlineStr">
        <is>
          <t>LV25W22</t>
        </is>
      </c>
      <c r="G521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6" s="16" t="inlineStr">
        <is>
          <t>LV25W32</t>
        </is>
      </c>
      <c r="I5216" s="16" t="n">
        <v>1</v>
      </c>
      <c r="J5216" s="17" t="n">
        <v>72</v>
      </c>
      <c r="K5216" s="17" t="n">
        <v>82.43000000000001</v>
      </c>
      <c r="L5216" s="17" t="n">
        <v>25.86</v>
      </c>
      <c r="M5216" s="17" t="n">
        <v>0</v>
      </c>
      <c r="N5216" s="17">
        <f>K5216*0.08+L5216*0.08</f>
        <v/>
      </c>
      <c r="O5216" s="17">
        <f>-(K5216*0.025+L5216*0.025)</f>
        <v/>
      </c>
      <c r="P5216" s="17">
        <f>32</f>
        <v/>
      </c>
      <c r="Q5216" s="17">
        <f>J5216+L5216+N5216+O5216-P5216-M5216</f>
        <v/>
      </c>
    </row>
    <row r="5217">
      <c r="A5217" s="16" t="inlineStr">
        <is>
          <t>5.8-5.14</t>
        </is>
      </c>
      <c r="B5217" s="16" t="inlineStr">
        <is>
          <t>PO-128-05608667914873848</t>
        </is>
      </c>
      <c r="C5217" s="16" t="inlineStr">
        <is>
          <t>Delivered</t>
        </is>
      </c>
      <c r="D5217" s="16" t="inlineStr">
        <is>
          <t>128-05608709857913848</t>
        </is>
      </c>
      <c r="E5217" s="16" t="inlineStr">
        <is>
          <t>Delivered</t>
        </is>
      </c>
      <c r="F5217" s="16" t="inlineStr">
        <is>
          <t>LV25W22</t>
        </is>
      </c>
      <c r="G521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7" s="16" t="inlineStr">
        <is>
          <t>LV25W32</t>
        </is>
      </c>
      <c r="I5217" s="16" t="n">
        <v>2</v>
      </c>
      <c r="J5217" s="17" t="n">
        <v>144</v>
      </c>
      <c r="K5217" s="17" t="n">
        <v>164.86</v>
      </c>
      <c r="L5217" s="17" t="n">
        <v>25.86</v>
      </c>
      <c r="M5217" s="17" t="n">
        <v>0</v>
      </c>
      <c r="N5217" s="17">
        <f>K5217*0.08+L5217*0.08</f>
        <v/>
      </c>
      <c r="O5217" s="17">
        <f>-(K5217*0.025+L5217*0.025)</f>
        <v/>
      </c>
      <c r="P5217" s="17">
        <f>32</f>
        <v/>
      </c>
      <c r="Q5217" s="17">
        <f>J5217+L5217+N5217+O5217-P5217-M5217</f>
        <v/>
      </c>
    </row>
    <row r="5218">
      <c r="A5218" s="16" t="inlineStr">
        <is>
          <t>5.8-5.14</t>
        </is>
      </c>
      <c r="B5218" s="16" t="inlineStr">
        <is>
          <t>PO-128-06153592822390728</t>
        </is>
      </c>
      <c r="C5218" s="16" t="inlineStr">
        <is>
          <t>Delivered</t>
        </is>
      </c>
      <c r="D5218" s="16" t="inlineStr">
        <is>
          <t>128-06153634765430728</t>
        </is>
      </c>
      <c r="E5218" s="16" t="inlineStr">
        <is>
          <t>Delivered</t>
        </is>
      </c>
      <c r="F5218" s="16" t="inlineStr">
        <is>
          <t>LV25W22</t>
        </is>
      </c>
      <c r="G521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8" s="16" t="inlineStr">
        <is>
          <t>LV25W32</t>
        </is>
      </c>
      <c r="I5218" s="16" t="n">
        <v>5</v>
      </c>
      <c r="J5218" s="17" t="n">
        <v>360</v>
      </c>
      <c r="K5218" s="17" t="n">
        <v>369.05</v>
      </c>
      <c r="L5218" s="17" t="n">
        <v>0</v>
      </c>
      <c r="M5218" s="17" t="n">
        <v>0</v>
      </c>
      <c r="N5218" s="17">
        <f>K5218*0.08+L5218*0.08</f>
        <v/>
      </c>
      <c r="O5218" s="17">
        <f>-(K5218*0.025+L5218*0.025)</f>
        <v/>
      </c>
      <c r="P5218" s="17">
        <f>32</f>
        <v/>
      </c>
      <c r="Q5218" s="17">
        <f>J5218+L5218+N5218+O5218-P5218-M5218</f>
        <v/>
      </c>
    </row>
    <row r="5219">
      <c r="A5219" s="16" t="inlineStr">
        <is>
          <t>5.8-5.14</t>
        </is>
      </c>
      <c r="B5219" s="16" t="inlineStr">
        <is>
          <t>PO-128-05810575616632775</t>
        </is>
      </c>
      <c r="C5219" s="16" t="inlineStr">
        <is>
          <t>Delivered</t>
        </is>
      </c>
      <c r="D5219" s="16" t="inlineStr">
        <is>
          <t>128-05810596588152775</t>
        </is>
      </c>
      <c r="E5219" s="16" t="inlineStr">
        <is>
          <t>Delivered</t>
        </is>
      </c>
      <c r="F5219" s="16" t="inlineStr">
        <is>
          <t>LV25W22</t>
        </is>
      </c>
      <c r="G521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19" s="16" t="inlineStr">
        <is>
          <t>LV25W32</t>
        </is>
      </c>
      <c r="I5219" s="16" t="n">
        <v>1</v>
      </c>
      <c r="J5219" s="17" t="n">
        <v>72</v>
      </c>
      <c r="K5219" s="17" t="n">
        <v>82.43000000000001</v>
      </c>
      <c r="L5219" s="17" t="n">
        <v>25.86</v>
      </c>
      <c r="M5219" s="17" t="n">
        <v>0</v>
      </c>
      <c r="N5219" s="17">
        <f>K5219*0.08+L5219*0.08</f>
        <v/>
      </c>
      <c r="O5219" s="17">
        <f>-(K5219*0.025+L5219*0.025)</f>
        <v/>
      </c>
      <c r="P5219" s="17">
        <f>32</f>
        <v/>
      </c>
      <c r="Q5219" s="17">
        <f>J5219+L5219+N5219+O5219-P5219-M5219</f>
        <v/>
      </c>
    </row>
    <row r="5220">
      <c r="A5220" s="16" t="inlineStr">
        <is>
          <t>5.8-5.14</t>
        </is>
      </c>
      <c r="B5220" s="16" t="inlineStr">
        <is>
          <t>PO-128-05888203049591158</t>
        </is>
      </c>
      <c r="C5220" s="16" t="inlineStr">
        <is>
          <t>Delivered</t>
        </is>
      </c>
      <c r="D5220" s="16" t="inlineStr">
        <is>
          <t>128-05888244992631158</t>
        </is>
      </c>
      <c r="E5220" s="16" t="inlineStr">
        <is>
          <t>Delivered</t>
        </is>
      </c>
      <c r="F5220" s="16" t="inlineStr">
        <is>
          <t>LV25W22</t>
        </is>
      </c>
      <c r="G522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20" s="16" t="inlineStr">
        <is>
          <t>LV25W32</t>
        </is>
      </c>
      <c r="I5220" s="16" t="n">
        <v>3</v>
      </c>
      <c r="J5220" s="17" t="n">
        <v>216</v>
      </c>
      <c r="K5220" s="17" t="n">
        <v>247.29</v>
      </c>
      <c r="L5220" s="17" t="n">
        <v>25.86</v>
      </c>
      <c r="M5220" s="17" t="n">
        <v>0</v>
      </c>
      <c r="N5220" s="17">
        <f>K5220*0.08+L5220*0.08</f>
        <v/>
      </c>
      <c r="O5220" s="17">
        <f>-(K5220*0.025+L5220*0.025)</f>
        <v/>
      </c>
      <c r="P5220" s="17">
        <f>32</f>
        <v/>
      </c>
      <c r="Q5220" s="17">
        <f>J5220+L5220+N5220+O5220-P5220-M5220</f>
        <v/>
      </c>
    </row>
    <row r="5221">
      <c r="A5221" s="16" t="inlineStr">
        <is>
          <t>5.8-5.14</t>
        </is>
      </c>
      <c r="B5221" s="16" t="inlineStr">
        <is>
          <t>PO-128-05994317025911550</t>
        </is>
      </c>
      <c r="C5221" s="16" t="inlineStr">
        <is>
          <t>Delivered</t>
        </is>
      </c>
      <c r="D5221" s="16" t="inlineStr">
        <is>
          <t>128-05994322268791550</t>
        </is>
      </c>
      <c r="E5221" s="16" t="inlineStr">
        <is>
          <t>Delivered</t>
        </is>
      </c>
      <c r="F5221" s="16" t="inlineStr">
        <is>
          <t>SA323T</t>
        </is>
      </c>
      <c r="G5221" s="16" t="inlineStr">
        <is>
          <t>Linkbits Bocina Portátil Parlantes BT Portátiles con Iluminación de Ambiente | 1 Hora de Duración, FM, TWS, TF/Micro SD | Ideal para Hogar, Fiestas y Viajes</t>
        </is>
      </c>
      <c r="H5221" s="16" t="inlineStr">
        <is>
          <t>SA323T</t>
        </is>
      </c>
      <c r="I5221" s="16" t="n">
        <v>1</v>
      </c>
      <c r="J5221" s="17" t="n">
        <v>45</v>
      </c>
      <c r="K5221" s="17" t="n">
        <v>54.07</v>
      </c>
      <c r="L5221" s="17" t="n">
        <v>25.86</v>
      </c>
      <c r="M5221" s="17" t="n">
        <v>0</v>
      </c>
      <c r="N5221" s="17">
        <f>K5221*0.08+L5221*0.08</f>
        <v/>
      </c>
      <c r="O5221" s="17">
        <f>-(K5221*0.025+L5221*0.025)</f>
        <v/>
      </c>
      <c r="P5221" s="17">
        <f>32</f>
        <v/>
      </c>
      <c r="Q5221" s="17">
        <f>J5221+L5221+N5221+O5221-P5221-M5221</f>
        <v/>
      </c>
    </row>
    <row r="5222">
      <c r="A5222" s="16" t="inlineStr">
        <is>
          <t>5.8-5.14</t>
        </is>
      </c>
      <c r="B5222" s="16" t="inlineStr">
        <is>
          <t>PO-128-06023725671030478</t>
        </is>
      </c>
      <c r="C5222" s="16" t="inlineStr">
        <is>
          <t>Delivered</t>
        </is>
      </c>
      <c r="D5222" s="16" t="inlineStr">
        <is>
          <t>128-06023715185270478</t>
        </is>
      </c>
      <c r="E5222" s="16" t="inlineStr">
        <is>
          <t>Delivered</t>
        </is>
      </c>
      <c r="F5222" s="16" t="inlineStr">
        <is>
          <t>LB02235-negro</t>
        </is>
      </c>
      <c r="G5222" s="16" t="inlineStr">
        <is>
          <t>Audífonos Inalámbricos para la Cabeza, Recargables y Multifuncionales - Conectan a Varios Dispositivos, soportan Radio FM, Tarjeta TF y AUX - 4 Horas de Reproducción Musical - Ideal para Trabajo Cotidiano, Juegos y Estudio</t>
        </is>
      </c>
      <c r="H5222" s="16" t="inlineStr">
        <is>
          <t>NEGRO</t>
        </is>
      </c>
      <c r="I5222" s="16" t="n">
        <v>1</v>
      </c>
      <c r="J5222" s="17" t="n">
        <v>36.5</v>
      </c>
      <c r="K5222" s="17" t="n">
        <v>49.62</v>
      </c>
      <c r="L5222" s="17" t="n">
        <v>25.86</v>
      </c>
      <c r="M5222" s="17" t="n">
        <v>0</v>
      </c>
      <c r="N5222" s="17">
        <f>K5222*0.08+L5222*0.08</f>
        <v/>
      </c>
      <c r="O5222" s="17">
        <f>-(K5222*0.025+L5222*0.025)</f>
        <v/>
      </c>
      <c r="P5222" s="17">
        <f>32</f>
        <v/>
      </c>
      <c r="Q5222" s="17">
        <f>J5222+L5222+N5222+O5222-P5222-M5222</f>
        <v/>
      </c>
    </row>
    <row r="5223">
      <c r="A5223" s="16" t="inlineStr">
        <is>
          <t>5.8-5.14</t>
        </is>
      </c>
      <c r="B5223" s="16" t="inlineStr">
        <is>
          <t>PO-128-06055781760630353</t>
        </is>
      </c>
      <c r="C5223" s="16" t="inlineStr">
        <is>
          <t>Delivered</t>
        </is>
      </c>
      <c r="D5223" s="16" t="inlineStr">
        <is>
          <t>128-06055823703670353</t>
        </is>
      </c>
      <c r="E5223" s="16" t="inlineStr">
        <is>
          <t>Delivered</t>
        </is>
      </c>
      <c r="F5223" s="16" t="inlineStr">
        <is>
          <t>LV34W04</t>
        </is>
      </c>
      <c r="G5223"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223" s="16" t="inlineStr">
        <is>
          <t>LV34W04</t>
        </is>
      </c>
      <c r="I5223" s="16" t="n">
        <v>4</v>
      </c>
      <c r="J5223" s="17" t="n">
        <v>880</v>
      </c>
      <c r="K5223" s="17" t="n">
        <v>1072.2</v>
      </c>
      <c r="L5223" s="17" t="n">
        <v>0</v>
      </c>
      <c r="M5223" s="17" t="n">
        <v>0</v>
      </c>
      <c r="N5223" s="17">
        <f>K5223*0.08+L5223*0.08</f>
        <v/>
      </c>
      <c r="O5223" s="17">
        <f>-(K5223*0.025+L5223*0.025)</f>
        <v/>
      </c>
      <c r="P5223" s="17">
        <f>32</f>
        <v/>
      </c>
      <c r="Q5223" s="17">
        <f>J5223+L5223+N5223+O5223-P5223-M5223</f>
        <v/>
      </c>
    </row>
    <row r="5224">
      <c r="A5224" s="16" t="inlineStr">
        <is>
          <t>5.8-5.14</t>
        </is>
      </c>
      <c r="B5224" s="16" t="inlineStr">
        <is>
          <t>PO-128-05911523835511085</t>
        </is>
      </c>
      <c r="C5224" s="16" t="inlineStr">
        <is>
          <t>Delivered</t>
        </is>
      </c>
      <c r="D5224" s="16" t="inlineStr">
        <is>
          <t>128-05911481892471085</t>
        </is>
      </c>
      <c r="E5224" s="16" t="inlineStr">
        <is>
          <t>Delivered</t>
        </is>
      </c>
      <c r="F5224" s="16" t="inlineStr">
        <is>
          <t>LV25W22</t>
        </is>
      </c>
      <c r="G522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24" s="16" t="inlineStr">
        <is>
          <t>LV25W32</t>
        </is>
      </c>
      <c r="I5224" s="16" t="n">
        <v>1</v>
      </c>
      <c r="J5224" s="17" t="n">
        <v>72</v>
      </c>
      <c r="K5224" s="17" t="n">
        <v>82.43000000000001</v>
      </c>
      <c r="L5224" s="17" t="n">
        <v>25.86</v>
      </c>
      <c r="M5224" s="17" t="n">
        <v>0</v>
      </c>
      <c r="N5224" s="17">
        <f>K5224*0.08+L5224*0.08</f>
        <v/>
      </c>
      <c r="O5224" s="17">
        <f>-(K5224*0.025+L5224*0.025)</f>
        <v/>
      </c>
      <c r="P5224" s="17">
        <f>32</f>
        <v/>
      </c>
      <c r="Q5224" s="17">
        <f>J5224+L5224+N5224+O5224-P5224-M5224</f>
        <v/>
      </c>
    </row>
    <row r="5225">
      <c r="A5225" s="16" t="inlineStr">
        <is>
          <t>5.8-5.14</t>
        </is>
      </c>
      <c r="B5225" s="16" t="inlineStr">
        <is>
          <t>PO-128-05633854357113762</t>
        </is>
      </c>
      <c r="C5225" s="16" t="inlineStr">
        <is>
          <t>Delivered</t>
        </is>
      </c>
      <c r="D5225" s="16" t="inlineStr">
        <is>
          <t>128-05633896300153762</t>
        </is>
      </c>
      <c r="E5225" s="16" t="inlineStr">
        <is>
          <t>Delivered</t>
        </is>
      </c>
      <c r="F5225" s="16" t="inlineStr">
        <is>
          <t>LV25W22</t>
        </is>
      </c>
      <c r="G522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25" s="16" t="inlineStr">
        <is>
          <t>LV25W32</t>
        </is>
      </c>
      <c r="I5225" s="16" t="n">
        <v>5</v>
      </c>
      <c r="J5225" s="17" t="n">
        <v>360</v>
      </c>
      <c r="K5225" s="17" t="n">
        <v>412.15</v>
      </c>
      <c r="L5225" s="17" t="n">
        <v>0</v>
      </c>
      <c r="M5225" s="17" t="n">
        <v>0</v>
      </c>
      <c r="N5225" s="17">
        <f>K5225*0.08+L5225*0.08</f>
        <v/>
      </c>
      <c r="O5225" s="17">
        <f>-(K5225*0.025+L5225*0.025)</f>
        <v/>
      </c>
      <c r="P5225" s="17">
        <f>32</f>
        <v/>
      </c>
      <c r="Q5225" s="17">
        <f>J5225+L5225+N5225+O5225-P5225-M5225</f>
        <v/>
      </c>
    </row>
    <row r="5226">
      <c r="A5226" s="16" t="inlineStr">
        <is>
          <t>5.8-5.14</t>
        </is>
      </c>
      <c r="B5226" s="16" t="inlineStr">
        <is>
          <t>PO-128-05810133279352777</t>
        </is>
      </c>
      <c r="C5226" s="16" t="inlineStr">
        <is>
          <t>Delivered</t>
        </is>
      </c>
      <c r="D5226" s="16" t="inlineStr">
        <is>
          <t>128-05810164736632777</t>
        </is>
      </c>
      <c r="E5226" s="16" t="inlineStr">
        <is>
          <t>Delivered</t>
        </is>
      </c>
      <c r="F5226" s="16" t="inlineStr">
        <is>
          <t>SA323T</t>
        </is>
      </c>
      <c r="G5226" s="16" t="inlineStr">
        <is>
          <t>Linkbits Bocina Portátil Parlantes BT Portátiles con Iluminación de Ambiente | 1 Hora de Duración, FM, TWS, TF/Micro SD | Ideal para Hogar, Fiestas y Viajes</t>
        </is>
      </c>
      <c r="H5226" s="16" t="inlineStr">
        <is>
          <t>SA323T</t>
        </is>
      </c>
      <c r="I5226" s="16" t="n">
        <v>1</v>
      </c>
      <c r="J5226" s="17" t="n">
        <v>45</v>
      </c>
      <c r="K5226" s="17" t="n">
        <v>45.97</v>
      </c>
      <c r="L5226" s="17" t="n">
        <v>25.86</v>
      </c>
      <c r="M5226" s="17" t="n">
        <v>0</v>
      </c>
      <c r="N5226" s="17">
        <f>K5226*0.08+L5226*0.08</f>
        <v/>
      </c>
      <c r="O5226" s="17">
        <f>-(K5226*0.025+L5226*0.025)</f>
        <v/>
      </c>
      <c r="P5226" s="17">
        <f>32</f>
        <v/>
      </c>
      <c r="Q5226" s="17">
        <f>J5226+L5226+N5226+O5226-P5226-M5226</f>
        <v/>
      </c>
    </row>
    <row r="5227">
      <c r="A5227" s="16" t="inlineStr">
        <is>
          <t>5.8-5.14</t>
        </is>
      </c>
      <c r="B5227" s="16" t="inlineStr">
        <is>
          <t>PO-128-05601305447034084</t>
        </is>
      </c>
      <c r="C5227" s="16" t="inlineStr">
        <is>
          <t>Delivered</t>
        </is>
      </c>
      <c r="D5227" s="16" t="inlineStr">
        <is>
          <t>128-05601326418554084</t>
        </is>
      </c>
      <c r="E5227" s="16" t="inlineStr">
        <is>
          <t>Delivered</t>
        </is>
      </c>
      <c r="F5227" s="16" t="inlineStr">
        <is>
          <t>LV25W22</t>
        </is>
      </c>
      <c r="G522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27" s="16" t="inlineStr">
        <is>
          <t>LV25W32</t>
        </is>
      </c>
      <c r="I5227" s="16" t="n">
        <v>1</v>
      </c>
      <c r="J5227" s="17" t="n">
        <v>72</v>
      </c>
      <c r="K5227" s="17" t="n">
        <v>82.43000000000001</v>
      </c>
      <c r="L5227" s="17" t="n">
        <v>25.86</v>
      </c>
      <c r="M5227" s="17" t="n">
        <v>0</v>
      </c>
      <c r="N5227" s="17">
        <f>K5227*0.08+L5227*0.08</f>
        <v/>
      </c>
      <c r="O5227" s="17">
        <f>-(K5227*0.025+L5227*0.025)</f>
        <v/>
      </c>
      <c r="P5227" s="17">
        <f>32</f>
        <v/>
      </c>
      <c r="Q5227" s="17">
        <f>J5227+L5227+N5227+O5227-P5227-M5227</f>
        <v/>
      </c>
    </row>
    <row r="5228">
      <c r="A5228" s="16" t="inlineStr">
        <is>
          <t>5.8-5.14</t>
        </is>
      </c>
      <c r="B5228" s="16" t="inlineStr">
        <is>
          <t>PO-128-05682324972152515</t>
        </is>
      </c>
      <c r="C5228" s="16" t="inlineStr">
        <is>
          <t>Delivered</t>
        </is>
      </c>
      <c r="D5228" s="16" t="inlineStr">
        <is>
          <t>128-05682366915192515</t>
        </is>
      </c>
      <c r="E5228" s="16" t="inlineStr">
        <is>
          <t>Delivered</t>
        </is>
      </c>
      <c r="F5228" s="16" t="inlineStr">
        <is>
          <t>KTS-1678V</t>
        </is>
      </c>
      <c r="G5228" s="16" t="inlineStr">
        <is>
          <t>Bocina portátil Inalámbrico, de 3 pulgadas, tamaño de bolsillo, 170 g, con asa, compatible con TF, USB y Micro SD, con radio FM y función TWS (True Wireless Stereo), adecuada para relajarse en casa o viajar al aire libre.</t>
        </is>
      </c>
      <c r="H5228" s="16" t="inlineStr">
        <is>
          <t>KTS-1678V</t>
        </is>
      </c>
      <c r="I5228" s="16" t="n">
        <v>1</v>
      </c>
      <c r="J5228" s="17" t="n">
        <v>37.71</v>
      </c>
      <c r="K5228" s="17" t="n">
        <v>46</v>
      </c>
      <c r="L5228" s="17" t="n">
        <v>25.86</v>
      </c>
      <c r="M5228" s="17" t="n">
        <v>0</v>
      </c>
      <c r="N5228" s="17">
        <f>K5228*0.08+L5228*0.08</f>
        <v/>
      </c>
      <c r="O5228" s="17">
        <f>-(K5228*0.025+L5228*0.025)</f>
        <v/>
      </c>
      <c r="P5228" s="17">
        <f>32</f>
        <v/>
      </c>
      <c r="Q5228" s="17">
        <f>J5228+L5228+N5228+O5228-P5228-M5228</f>
        <v/>
      </c>
    </row>
    <row r="5229">
      <c r="A5229" s="16" t="inlineStr">
        <is>
          <t>5.8-5.14</t>
        </is>
      </c>
      <c r="B5229" s="16" t="inlineStr">
        <is>
          <t>PO-128-06073287736950249</t>
        </is>
      </c>
      <c r="C5229" s="16" t="inlineStr">
        <is>
          <t>Delivered</t>
        </is>
      </c>
      <c r="D5229" s="16" t="inlineStr">
        <is>
          <t>128-06073324437110249</t>
        </is>
      </c>
      <c r="E5229" s="16" t="inlineStr">
        <is>
          <t>Delivered</t>
        </is>
      </c>
      <c r="F5229" s="16" t="inlineStr">
        <is>
          <t>LB02235-negro</t>
        </is>
      </c>
      <c r="G5229" s="16" t="inlineStr">
        <is>
          <t>Audífonos Inalámbricos para la Cabeza, Recargables y Multifuncionales - Conectan a Varios Dispositivos, soportan Radio FM, Tarjeta TF y AUX - 4 Horas de Reproducción Musical - Ideal para Trabajo Cotidiano, Juegos y Estudio</t>
        </is>
      </c>
      <c r="H5229" s="16" t="inlineStr">
        <is>
          <t>NEGRO</t>
        </is>
      </c>
      <c r="I5229" s="16" t="n">
        <v>1</v>
      </c>
      <c r="J5229" s="17" t="n">
        <v>36.5</v>
      </c>
      <c r="K5229" s="17" t="n">
        <v>49.62</v>
      </c>
      <c r="L5229" s="17" t="n">
        <v>25.86</v>
      </c>
      <c r="M5229" s="17" t="n">
        <v>0</v>
      </c>
      <c r="N5229" s="17">
        <f>K5229*0.08+L5229*0.08</f>
        <v/>
      </c>
      <c r="O5229" s="17">
        <f>-(K5229*0.025+L5229*0.025)</f>
        <v/>
      </c>
      <c r="P5229" s="17">
        <f>32</f>
        <v/>
      </c>
      <c r="Q5229" s="17">
        <f>J5229+L5229+N5229+O5229-P5229-M5229</f>
        <v/>
      </c>
    </row>
    <row r="5230">
      <c r="A5230" s="16" t="inlineStr">
        <is>
          <t>5.8-5.14</t>
        </is>
      </c>
      <c r="B5230" s="16" t="inlineStr">
        <is>
          <t>PO-128-05709003571832418</t>
        </is>
      </c>
      <c r="C5230" s="16" t="inlineStr">
        <is>
          <t>Delivered</t>
        </is>
      </c>
      <c r="D5230" s="16" t="inlineStr">
        <is>
          <t>128-05708972114552418</t>
        </is>
      </c>
      <c r="E5230" s="16" t="inlineStr">
        <is>
          <t>Delivered</t>
        </is>
      </c>
      <c r="F5230" s="16" t="inlineStr">
        <is>
          <t>LB02235-blanco</t>
        </is>
      </c>
      <c r="G5230" s="16" t="inlineStr">
        <is>
          <t>Audífonos Inalámbricos para la Cabeza, Recargables y Multifuncionales - Conectan a Varios Dispositivos, soportan Radio FM, Tarjeta TF y AUX - 4 Horas de Reproducción Musical - Ideal para Trabajo Cotidiano, Juegos y Estudio</t>
        </is>
      </c>
      <c r="H5230" s="16" t="inlineStr">
        <is>
          <t>BLANCO</t>
        </is>
      </c>
      <c r="I5230" s="16" t="n">
        <v>8</v>
      </c>
      <c r="J5230" s="17" t="n">
        <v>292</v>
      </c>
      <c r="K5230" s="17" t="n">
        <v>337.42</v>
      </c>
      <c r="L5230" s="17" t="n">
        <v>0</v>
      </c>
      <c r="M5230" s="17" t="n">
        <v>0</v>
      </c>
      <c r="N5230" s="17">
        <f>K5230*0.08+L5230*0.08</f>
        <v/>
      </c>
      <c r="O5230" s="17">
        <f>-(K5230*0.025+L5230*0.025)</f>
        <v/>
      </c>
      <c r="P5230" s="17">
        <f>32</f>
        <v/>
      </c>
      <c r="Q5230" s="17">
        <f>J5230+L5230+N5230+O5230-P5230-M5230</f>
        <v/>
      </c>
    </row>
    <row r="5231">
      <c r="A5231" s="16" t="inlineStr">
        <is>
          <t>5.8-5.14</t>
        </is>
      </c>
      <c r="B5231" s="16" t="inlineStr">
        <is>
          <t>PO-128-06088391977590095</t>
        </is>
      </c>
      <c r="C5231" s="16" t="inlineStr">
        <is>
          <t>Delivered</t>
        </is>
      </c>
      <c r="D5231" s="16" t="inlineStr">
        <is>
          <t>128-06088412949110095</t>
        </is>
      </c>
      <c r="E5231" s="16" t="inlineStr">
        <is>
          <t>Delivered</t>
        </is>
      </c>
      <c r="F5231" s="16" t="inlineStr">
        <is>
          <t>LV25W22</t>
        </is>
      </c>
      <c r="G523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31" s="16" t="inlineStr">
        <is>
          <t>LV25W32</t>
        </is>
      </c>
      <c r="I5231" s="16" t="n">
        <v>10</v>
      </c>
      <c r="J5231" s="17" t="n">
        <v>720</v>
      </c>
      <c r="K5231" s="17" t="n">
        <v>824.3</v>
      </c>
      <c r="L5231" s="17" t="n">
        <v>0</v>
      </c>
      <c r="M5231" s="17" t="n">
        <v>0</v>
      </c>
      <c r="N5231" s="17">
        <f>K5231*0.08+L5231*0.08</f>
        <v/>
      </c>
      <c r="O5231" s="17">
        <f>-(K5231*0.025+L5231*0.025)</f>
        <v/>
      </c>
      <c r="P5231" s="17">
        <f>32</f>
        <v/>
      </c>
      <c r="Q5231" s="17">
        <f>J5231+L5231+N5231+O5231-P5231-M5231</f>
        <v/>
      </c>
    </row>
    <row r="5232">
      <c r="A5232" s="16" t="inlineStr">
        <is>
          <t>5.8-5.14</t>
        </is>
      </c>
      <c r="B5232" s="16" t="inlineStr">
        <is>
          <t>PO-128-05625333192313943</t>
        </is>
      </c>
      <c r="C5232" s="16" t="inlineStr">
        <is>
          <t>Delivered</t>
        </is>
      </c>
      <c r="D5232" s="16" t="inlineStr">
        <is>
          <t>128-05625385621113943</t>
        </is>
      </c>
      <c r="E5232" s="16" t="inlineStr">
        <is>
          <t>Delivered</t>
        </is>
      </c>
      <c r="F5232" s="16" t="inlineStr">
        <is>
          <t>LV25W22</t>
        </is>
      </c>
      <c r="G5232"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32" s="16" t="inlineStr">
        <is>
          <t>LV25W32</t>
        </is>
      </c>
      <c r="I5232" s="16" t="n">
        <v>1</v>
      </c>
      <c r="J5232" s="17" t="n">
        <v>72</v>
      </c>
      <c r="K5232" s="17" t="n">
        <v>39.33</v>
      </c>
      <c r="L5232" s="17" t="n">
        <v>25.86</v>
      </c>
      <c r="M5232" s="17" t="n">
        <v>0</v>
      </c>
      <c r="N5232" s="17">
        <f>K5232*0.08+L5232*0.08</f>
        <v/>
      </c>
      <c r="O5232" s="17">
        <f>-(K5232*0.025+L5232*0.025)</f>
        <v/>
      </c>
      <c r="P5232" s="17">
        <f>32</f>
        <v/>
      </c>
      <c r="Q5232" s="17">
        <f>J5232+L5232+N5232+O5232-P5232-M5232</f>
        <v/>
      </c>
    </row>
    <row r="5233">
      <c r="A5233" s="16" t="inlineStr">
        <is>
          <t>5.8-5.14</t>
        </is>
      </c>
      <c r="B5233" s="16" t="inlineStr">
        <is>
          <t>PO-128-05877539072631350</t>
        </is>
      </c>
      <c r="C5233" s="16" t="inlineStr">
        <is>
          <t>Delivered</t>
        </is>
      </c>
      <c r="D5233" s="16" t="inlineStr">
        <is>
          <t>128-05877497129591350</t>
        </is>
      </c>
      <c r="E5233" s="16" t="inlineStr">
        <is>
          <t>Delivered</t>
        </is>
      </c>
      <c r="F5233" s="16" t="inlineStr">
        <is>
          <t>LV25W22</t>
        </is>
      </c>
      <c r="G523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33" s="16" t="inlineStr">
        <is>
          <t>LV25W32</t>
        </is>
      </c>
      <c r="I5233" s="16" t="n">
        <v>2</v>
      </c>
      <c r="J5233" s="17" t="n">
        <v>144</v>
      </c>
      <c r="K5233" s="17" t="n">
        <v>164.86</v>
      </c>
      <c r="L5233" s="17" t="n">
        <v>25.86</v>
      </c>
      <c r="M5233" s="17" t="n">
        <v>0</v>
      </c>
      <c r="N5233" s="17">
        <f>K5233*0.08+L5233*0.08</f>
        <v/>
      </c>
      <c r="O5233" s="17">
        <f>-(K5233*0.025+L5233*0.025)</f>
        <v/>
      </c>
      <c r="P5233" s="17">
        <f>32</f>
        <v/>
      </c>
      <c r="Q5233" s="17">
        <f>J5233+L5233+N5233+O5233-P5233-M5233</f>
        <v/>
      </c>
    </row>
    <row r="5234">
      <c r="A5234" s="16" t="inlineStr">
        <is>
          <t>5.8-5.14</t>
        </is>
      </c>
      <c r="B5234" s="16" t="inlineStr">
        <is>
          <t>PO-128-05607426284153856</t>
        </is>
      </c>
      <c r="C5234" s="16" t="inlineStr">
        <is>
          <t>Delivered</t>
        </is>
      </c>
      <c r="D5234" s="16" t="inlineStr">
        <is>
          <t>128-05607384341113856</t>
        </is>
      </c>
      <c r="E5234" s="16" t="inlineStr">
        <is>
          <t>Delivered</t>
        </is>
      </c>
      <c r="F5234" s="16" t="inlineStr">
        <is>
          <t>LV25W22</t>
        </is>
      </c>
      <c r="G523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34" s="16" t="inlineStr">
        <is>
          <t>LV25W32</t>
        </is>
      </c>
      <c r="I5234" s="16" t="n">
        <v>1</v>
      </c>
      <c r="J5234" s="17" t="n">
        <v>72</v>
      </c>
      <c r="K5234" s="17" t="n">
        <v>82.43000000000001</v>
      </c>
      <c r="L5234" s="17" t="n">
        <v>25.86</v>
      </c>
      <c r="M5234" s="17" t="n">
        <v>0</v>
      </c>
      <c r="N5234" s="17">
        <f>K5234*0.08+L5234*0.08</f>
        <v/>
      </c>
      <c r="O5234" s="17">
        <f>-(K5234*0.025+L5234*0.025)</f>
        <v/>
      </c>
      <c r="P5234" s="17">
        <f>32</f>
        <v/>
      </c>
      <c r="Q5234" s="17">
        <f>J5234+L5234+N5234+O5234-P5234-M5234</f>
        <v/>
      </c>
    </row>
    <row r="5235">
      <c r="A5235" s="16" t="inlineStr">
        <is>
          <t>5.8-5.14</t>
        </is>
      </c>
      <c r="B5235" s="16" t="inlineStr">
        <is>
          <t>PO-128-05629405824633727</t>
        </is>
      </c>
      <c r="C5235" s="16" t="inlineStr">
        <is>
          <t>Delivered</t>
        </is>
      </c>
      <c r="D5235" s="16" t="inlineStr">
        <is>
          <t>128-05629321938553727</t>
        </is>
      </c>
      <c r="E5235" s="16" t="inlineStr">
        <is>
          <t>Delivered</t>
        </is>
      </c>
      <c r="F5235" s="16" t="inlineStr">
        <is>
          <t>LB02235-rojo</t>
        </is>
      </c>
      <c r="G5235" s="16" t="inlineStr">
        <is>
          <t>Audífonos Inalámbricos para la Cabeza, Recargables y Multifuncionales - Conectan a Varios Dispositivos, soportan Radio FM, Tarjeta TF y AUX - 4 Horas de Reproducción Musical - Ideal para Trabajo Cotidiano, Juegos y Estudio</t>
        </is>
      </c>
      <c r="H5235" s="16" t="inlineStr">
        <is>
          <t>ROJO</t>
        </is>
      </c>
      <c r="I5235" s="16" t="n">
        <v>1</v>
      </c>
      <c r="J5235" s="17" t="n">
        <v>40</v>
      </c>
      <c r="K5235" s="17" t="n">
        <v>41.71</v>
      </c>
      <c r="L5235" s="17" t="n">
        <v>6.87</v>
      </c>
      <c r="M5235" s="17" t="n">
        <v>0</v>
      </c>
      <c r="N5235" s="17">
        <f>K5235*0.08+L5235*0.08</f>
        <v/>
      </c>
      <c r="O5235" s="17">
        <f>-(K5235*0.025+L5235*0.025)</f>
        <v/>
      </c>
      <c r="P5235" s="17">
        <f>32</f>
        <v/>
      </c>
      <c r="Q5235" s="17">
        <f>J5235+L5235+N5235+O5235-P5235-M5235</f>
        <v/>
      </c>
    </row>
    <row r="5236">
      <c r="A5236" s="16" t="inlineStr">
        <is>
          <t>5.8-5.14</t>
        </is>
      </c>
      <c r="B5236" s="16" t="inlineStr">
        <is>
          <t>PO-128-05629405824633727</t>
        </is>
      </c>
      <c r="C5236" s="16" t="inlineStr">
        <is>
          <t>Delivered</t>
        </is>
      </c>
      <c r="D5236" s="16" t="inlineStr">
        <is>
          <t>128-05629416310393727</t>
        </is>
      </c>
      <c r="E5236" s="16" t="inlineStr">
        <is>
          <t>Delivered</t>
        </is>
      </c>
      <c r="F5236" s="16" t="inlineStr">
        <is>
          <t>LB02235-azul</t>
        </is>
      </c>
      <c r="G5236" s="16" t="inlineStr">
        <is>
          <t>Audífonos Inalámbricos para la Cabeza, Recargables y Multifuncionales - Conectan a Varios Dispositivos, soportan Radio FM, Tarjeta TF y AUX - 4 Horas de Reproducción Musical - Ideal para Trabajo Cotidiano, Juegos y Estudio</t>
        </is>
      </c>
      <c r="H5236" s="16" t="inlineStr">
        <is>
          <t>AZUL</t>
        </is>
      </c>
      <c r="I5236" s="16" t="n">
        <v>1</v>
      </c>
      <c r="J5236" s="17" t="n">
        <v>35</v>
      </c>
      <c r="K5236" s="17" t="n">
        <v>37.77</v>
      </c>
      <c r="L5236" s="17" t="n">
        <v>6.2</v>
      </c>
      <c r="M5236" s="17" t="n">
        <v>0</v>
      </c>
      <c r="N5236" s="17">
        <f>K5236*0.08+L5236*0.08</f>
        <v/>
      </c>
      <c r="O5236" s="17">
        <f>-(K5236*0.025+L5236*0.025)</f>
        <v/>
      </c>
      <c r="P5236" s="17">
        <f>32</f>
        <v/>
      </c>
      <c r="Q5236" s="17">
        <f>J5236+L5236+N5236+O5236-P5236-M5236</f>
        <v/>
      </c>
    </row>
    <row r="5237">
      <c r="A5237" s="16" t="inlineStr">
        <is>
          <t>5.8-5.14</t>
        </is>
      </c>
      <c r="B5237" s="16" t="inlineStr">
        <is>
          <t>PO-128-05629405824633727</t>
        </is>
      </c>
      <c r="C5237" s="16" t="inlineStr">
        <is>
          <t>Delivered</t>
        </is>
      </c>
      <c r="D5237" s="16" t="inlineStr">
        <is>
          <t>128-05629363881593727</t>
        </is>
      </c>
      <c r="E5237" s="16" t="inlineStr">
        <is>
          <t>Delivered</t>
        </is>
      </c>
      <c r="F5237" s="16" t="inlineStr">
        <is>
          <t>LB02235-negro</t>
        </is>
      </c>
      <c r="G5237" s="16" t="inlineStr">
        <is>
          <t>Audífonos Inalámbricos para la Cabeza, Recargables y Multifuncionales - Conectan a Varios Dispositivos, soportan Radio FM, Tarjeta TF y AUX - 4 Horas de Reproducción Musical - Ideal para Trabajo Cotidiano, Juegos y Estudio</t>
        </is>
      </c>
      <c r="H5237" s="16" t="inlineStr">
        <is>
          <t>NEGRO</t>
        </is>
      </c>
      <c r="I5237" s="16" t="n">
        <v>1</v>
      </c>
      <c r="J5237" s="17" t="n">
        <v>36.5</v>
      </c>
      <c r="K5237" s="17" t="n">
        <v>38.96</v>
      </c>
      <c r="L5237" s="17" t="n">
        <v>6.4</v>
      </c>
      <c r="M5237" s="17" t="n">
        <v>0</v>
      </c>
      <c r="N5237" s="17">
        <f>K5237*0.08+L5237*0.08</f>
        <v/>
      </c>
      <c r="O5237" s="17">
        <f>-(K5237*0.025+L5237*0.025)</f>
        <v/>
      </c>
      <c r="P5237" s="17">
        <f>32</f>
        <v/>
      </c>
      <c r="Q5237" s="17">
        <f>J5237+L5237+N5237+O5237-P5237-M5237</f>
        <v/>
      </c>
    </row>
    <row r="5238">
      <c r="A5238" s="16" t="inlineStr">
        <is>
          <t>5.8-5.14</t>
        </is>
      </c>
      <c r="B5238" s="16" t="inlineStr">
        <is>
          <t>PO-128-05629405824633727</t>
        </is>
      </c>
      <c r="C5238" s="16" t="inlineStr">
        <is>
          <t>Delivered</t>
        </is>
      </c>
      <c r="D5238" s="16" t="inlineStr">
        <is>
          <t>128-05629332424313727</t>
        </is>
      </c>
      <c r="E5238" s="16" t="inlineStr">
        <is>
          <t>Delivered</t>
        </is>
      </c>
      <c r="F5238" s="16" t="inlineStr">
        <is>
          <t>LB02235-blanco</t>
        </is>
      </c>
      <c r="G5238" s="16" t="inlineStr">
        <is>
          <t>Audífonos Inalámbricos para la Cabeza, Recargables y Multifuncionales - Conectan a Varios Dispositivos, soportan Radio FM, Tarjeta TF y AUX - 4 Horas de Reproducción Musical - Ideal para Trabajo Cotidiano, Juegos y Estudio</t>
        </is>
      </c>
      <c r="H5238" s="16" t="inlineStr">
        <is>
          <t>BLANCO</t>
        </is>
      </c>
      <c r="I5238" s="16" t="n">
        <v>1</v>
      </c>
      <c r="J5238" s="17" t="n">
        <v>36.5</v>
      </c>
      <c r="K5238" s="17" t="n">
        <v>38.95</v>
      </c>
      <c r="L5238" s="17" t="n">
        <v>6.4</v>
      </c>
      <c r="M5238" s="17" t="n">
        <v>0</v>
      </c>
      <c r="N5238" s="17">
        <f>K5238*0.08+L5238*0.08</f>
        <v/>
      </c>
      <c r="O5238" s="17">
        <f>-(K5238*0.025+L5238*0.025)</f>
        <v/>
      </c>
      <c r="P5238" s="17">
        <f>32</f>
        <v/>
      </c>
      <c r="Q5238" s="17">
        <f>J5238+L5238+N5238+O5238-P5238-M5238</f>
        <v/>
      </c>
    </row>
    <row r="5239">
      <c r="A5239" s="16" t="inlineStr">
        <is>
          <t>5.8-5.14</t>
        </is>
      </c>
      <c r="B5239" s="16" t="inlineStr">
        <is>
          <t>PO-128-05941492111991992</t>
        </is>
      </c>
      <c r="C5239" s="16" t="inlineStr">
        <is>
          <t>Delivered</t>
        </is>
      </c>
      <c r="D5239" s="16" t="inlineStr">
        <is>
          <t>128-05941644155511992</t>
        </is>
      </c>
      <c r="E5239" s="16" t="inlineStr">
        <is>
          <t>Delivered</t>
        </is>
      </c>
      <c r="F5239" s="16" t="inlineStr">
        <is>
          <t>LV25W22</t>
        </is>
      </c>
      <c r="G523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39" s="16" t="inlineStr">
        <is>
          <t>LV25W32</t>
        </is>
      </c>
      <c r="I5239" s="16" t="n">
        <v>1</v>
      </c>
      <c r="J5239" s="17" t="n">
        <v>72</v>
      </c>
      <c r="K5239" s="17" t="n">
        <v>39.33</v>
      </c>
      <c r="L5239" s="17" t="n">
        <v>25.86</v>
      </c>
      <c r="M5239" s="17" t="n">
        <v>0</v>
      </c>
      <c r="N5239" s="17">
        <f>K5239*0.08+L5239*0.08</f>
        <v/>
      </c>
      <c r="O5239" s="17">
        <f>-(K5239*0.025+L5239*0.025)</f>
        <v/>
      </c>
      <c r="P5239" s="17">
        <f>32</f>
        <v/>
      </c>
      <c r="Q5239" s="17">
        <f>J5239+L5239+N5239+O5239-P5239-M5239</f>
        <v/>
      </c>
    </row>
    <row r="5240">
      <c r="A5240" s="16" t="inlineStr">
        <is>
          <t>5.8-5.14</t>
        </is>
      </c>
      <c r="B5240" s="16" t="inlineStr">
        <is>
          <t>PO-128-05628088750713732</t>
        </is>
      </c>
      <c r="C5240" s="16" t="inlineStr">
        <is>
          <t>Delivered</t>
        </is>
      </c>
      <c r="D5240" s="16" t="inlineStr">
        <is>
          <t>128-05628143800953732</t>
        </is>
      </c>
      <c r="E5240" s="16" t="inlineStr">
        <is>
          <t>Delivered</t>
        </is>
      </c>
      <c r="F5240" s="16" t="inlineStr">
        <is>
          <t>KTS-1678Y</t>
        </is>
      </c>
      <c r="G5240" s="16" t="inlineStr">
        <is>
          <t>Bocina portátil Inalámbrico, de 3 pulgadas, tamaño de bolsillo, 170 g, con asa, compatible con TF, USB y Micro SD, con radio FM y función TWS (True Wireless Stereo), adecuada para relajarse en casa o viajar al aire libre.</t>
        </is>
      </c>
      <c r="H5240" s="16" t="inlineStr">
        <is>
          <t>KTS-1678Y</t>
        </is>
      </c>
      <c r="I5240" s="16" t="n">
        <v>1</v>
      </c>
      <c r="J5240" s="17" t="n">
        <v>37.71</v>
      </c>
      <c r="K5240" s="17" t="n">
        <v>43.93</v>
      </c>
      <c r="L5240" s="17" t="n">
        <v>25.86</v>
      </c>
      <c r="M5240" s="17" t="n">
        <v>0</v>
      </c>
      <c r="N5240" s="17">
        <f>K5240*0.08+L5240*0.08</f>
        <v/>
      </c>
      <c r="O5240" s="17">
        <f>-(K5240*0.025+L5240*0.025)</f>
        <v/>
      </c>
      <c r="P5240" s="17">
        <f>32</f>
        <v/>
      </c>
      <c r="Q5240" s="17">
        <f>J5240+L5240+N5240+O5240-P5240-M5240</f>
        <v/>
      </c>
    </row>
    <row r="5241">
      <c r="A5241" s="16" t="inlineStr">
        <is>
          <t>5.8-5.14</t>
        </is>
      </c>
      <c r="B5241" s="16" t="inlineStr">
        <is>
          <t>PO-128-05981105531511756</t>
        </is>
      </c>
      <c r="C5241" s="16" t="inlineStr">
        <is>
          <t>Delivered</t>
        </is>
      </c>
      <c r="D5241" s="16" t="inlineStr">
        <is>
          <t>128-05981210389111756</t>
        </is>
      </c>
      <c r="E5241" s="16" t="inlineStr">
        <is>
          <t>Delivered</t>
        </is>
      </c>
      <c r="F5241" s="16" t="inlineStr">
        <is>
          <t>LV25W22</t>
        </is>
      </c>
      <c r="G524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1" s="16" t="inlineStr">
        <is>
          <t>LV25W32</t>
        </is>
      </c>
      <c r="I5241" s="16" t="n">
        <v>3</v>
      </c>
      <c r="J5241" s="17" t="n">
        <v>216</v>
      </c>
      <c r="K5241" s="17" t="n">
        <v>247.29</v>
      </c>
      <c r="L5241" s="17" t="n">
        <v>0</v>
      </c>
      <c r="M5241" s="17" t="n">
        <v>0</v>
      </c>
      <c r="N5241" s="17">
        <f>K5241*0.08+L5241*0.08</f>
        <v/>
      </c>
      <c r="O5241" s="17">
        <f>-(K5241*0.025+L5241*0.025)</f>
        <v/>
      </c>
      <c r="P5241" s="17">
        <f>32</f>
        <v/>
      </c>
      <c r="Q5241" s="17">
        <f>J5241+L5241+N5241+O5241-P5241-M5241</f>
        <v/>
      </c>
    </row>
    <row r="5242">
      <c r="A5242" s="16" t="inlineStr">
        <is>
          <t>5.8-5.14</t>
        </is>
      </c>
      <c r="B5242" s="16" t="inlineStr">
        <is>
          <t>PO-128-05981105531511756</t>
        </is>
      </c>
      <c r="C5242" s="16" t="inlineStr">
        <is>
          <t>Delivered</t>
        </is>
      </c>
      <c r="D5242" s="16" t="inlineStr">
        <is>
          <t>128-05981168446071756</t>
        </is>
      </c>
      <c r="E5242" s="16" t="inlineStr">
        <is>
          <t>Delivered</t>
        </is>
      </c>
      <c r="F5242" s="16" t="inlineStr">
        <is>
          <t>S58W60</t>
        </is>
      </c>
      <c r="G524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242" s="16" t="inlineStr">
        <is>
          <t>1 pieza</t>
        </is>
      </c>
      <c r="I5242" s="16" t="n">
        <v>1</v>
      </c>
      <c r="J5242" s="17" t="n">
        <v>57</v>
      </c>
      <c r="K5242" s="17" t="n">
        <v>74.54000000000001</v>
      </c>
      <c r="L5242" s="17" t="n">
        <v>0</v>
      </c>
      <c r="M5242" s="17" t="n">
        <v>0</v>
      </c>
      <c r="N5242" s="17">
        <f>K5242*0.08+L5242*0.08</f>
        <v/>
      </c>
      <c r="O5242" s="17">
        <f>-(K5242*0.025+L5242*0.025)</f>
        <v/>
      </c>
      <c r="P5242" s="17">
        <f>32</f>
        <v/>
      </c>
      <c r="Q5242" s="17">
        <f>J5242+L5242+N5242+O5242-P5242-M5242</f>
        <v/>
      </c>
    </row>
    <row r="5243">
      <c r="A5243" s="16" t="inlineStr">
        <is>
          <t>5.8-5.14</t>
        </is>
      </c>
      <c r="B5243" s="16" t="inlineStr">
        <is>
          <t>PO-128-05557518920313323</t>
        </is>
      </c>
      <c r="C5243" s="16" t="inlineStr">
        <is>
          <t>Delivered</t>
        </is>
      </c>
      <c r="D5243" s="16" t="inlineStr">
        <is>
          <t>128-05557560863353323</t>
        </is>
      </c>
      <c r="E5243" s="16" t="inlineStr">
        <is>
          <t>Delivered</t>
        </is>
      </c>
      <c r="F5243" s="16" t="inlineStr">
        <is>
          <t>LV25W22</t>
        </is>
      </c>
      <c r="G524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3" s="16" t="inlineStr">
        <is>
          <t>LV25W32</t>
        </is>
      </c>
      <c r="I5243" s="16" t="n">
        <v>1</v>
      </c>
      <c r="J5243" s="17" t="n">
        <v>72</v>
      </c>
      <c r="K5243" s="17" t="n">
        <v>82.43000000000001</v>
      </c>
      <c r="L5243" s="17" t="n">
        <v>25.86</v>
      </c>
      <c r="M5243" s="17" t="n">
        <v>0</v>
      </c>
      <c r="N5243" s="17">
        <f>K5243*0.08+L5243*0.08</f>
        <v/>
      </c>
      <c r="O5243" s="17">
        <f>-(K5243*0.025+L5243*0.025)</f>
        <v/>
      </c>
      <c r="P5243" s="17">
        <f>32</f>
        <v/>
      </c>
      <c r="Q5243" s="17">
        <f>J5243+L5243+N5243+O5243-P5243-M5243</f>
        <v/>
      </c>
    </row>
    <row r="5244">
      <c r="A5244" s="16" t="inlineStr">
        <is>
          <t>5.8-5.14</t>
        </is>
      </c>
      <c r="B5244" s="16" t="inlineStr">
        <is>
          <t>PO-128-06084169334390054</t>
        </is>
      </c>
      <c r="C5244" s="16" t="inlineStr">
        <is>
          <t>Delivered</t>
        </is>
      </c>
      <c r="D5244" s="16" t="inlineStr">
        <is>
          <t>128-06084148362870054</t>
        </is>
      </c>
      <c r="E5244" s="16" t="inlineStr">
        <is>
          <t>Delivered</t>
        </is>
      </c>
      <c r="F5244" s="16" t="inlineStr">
        <is>
          <t>LV25W22</t>
        </is>
      </c>
      <c r="G524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4" s="16" t="inlineStr">
        <is>
          <t>LV25W32</t>
        </is>
      </c>
      <c r="I5244" s="16" t="n">
        <v>1</v>
      </c>
      <c r="J5244" s="17" t="n">
        <v>72</v>
      </c>
      <c r="K5244" s="17" t="n">
        <v>82.43000000000001</v>
      </c>
      <c r="L5244" s="17" t="n">
        <v>25.86</v>
      </c>
      <c r="M5244" s="17" t="n">
        <v>0</v>
      </c>
      <c r="N5244" s="17">
        <f>K5244*0.08+L5244*0.08</f>
        <v/>
      </c>
      <c r="O5244" s="17">
        <f>-(K5244*0.025+L5244*0.025)</f>
        <v/>
      </c>
      <c r="P5244" s="17">
        <f>32</f>
        <v/>
      </c>
      <c r="Q5244" s="17">
        <f>J5244+L5244+N5244+O5244-P5244-M5244</f>
        <v/>
      </c>
    </row>
    <row r="5245">
      <c r="A5245" s="16" t="inlineStr">
        <is>
          <t>5.8-5.14</t>
        </is>
      </c>
      <c r="B5245" s="16" t="inlineStr">
        <is>
          <t>PO-128-05731941171832283</t>
        </is>
      </c>
      <c r="C5245" s="16" t="inlineStr">
        <is>
          <t>Delivered</t>
        </is>
      </c>
      <c r="D5245" s="16" t="inlineStr">
        <is>
          <t>128-05732093215352283</t>
        </is>
      </c>
      <c r="E5245" s="16" t="inlineStr">
        <is>
          <t>Delivered</t>
        </is>
      </c>
      <c r="F5245" s="16" t="inlineStr">
        <is>
          <t>LV25W22</t>
        </is>
      </c>
      <c r="G524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5" s="16" t="inlineStr">
        <is>
          <t>LV25W32</t>
        </is>
      </c>
      <c r="I5245" s="16" t="n">
        <v>1</v>
      </c>
      <c r="J5245" s="17" t="n">
        <v>72</v>
      </c>
      <c r="K5245" s="17" t="n">
        <v>82.43000000000001</v>
      </c>
      <c r="L5245" s="17" t="n">
        <v>25.86</v>
      </c>
      <c r="M5245" s="17" t="n">
        <v>0</v>
      </c>
      <c r="N5245" s="17">
        <f>K5245*0.08+L5245*0.08</f>
        <v/>
      </c>
      <c r="O5245" s="17">
        <f>-(K5245*0.025+L5245*0.025)</f>
        <v/>
      </c>
      <c r="P5245" s="17">
        <f>32</f>
        <v/>
      </c>
      <c r="Q5245" s="17">
        <f>J5245+L5245+N5245+O5245-P5245-M5245</f>
        <v/>
      </c>
    </row>
    <row r="5246">
      <c r="A5246" s="16" t="inlineStr">
        <is>
          <t>5.8-5.14</t>
        </is>
      </c>
      <c r="B5246" s="16" t="inlineStr">
        <is>
          <t>PO-128-05867506279031283</t>
        </is>
      </c>
      <c r="C5246" s="16" t="inlineStr">
        <is>
          <t>Delivered</t>
        </is>
      </c>
      <c r="D5246" s="16" t="inlineStr">
        <is>
          <t>128-05867558707831283</t>
        </is>
      </c>
      <c r="E5246" s="16" t="inlineStr">
        <is>
          <t>Delivered</t>
        </is>
      </c>
      <c r="F5246" s="16" t="inlineStr">
        <is>
          <t>LV25W22</t>
        </is>
      </c>
      <c r="G524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6" s="16" t="inlineStr">
        <is>
          <t>LV25W32</t>
        </is>
      </c>
      <c r="I5246" s="16" t="n">
        <v>1</v>
      </c>
      <c r="J5246" s="17" t="n">
        <v>72</v>
      </c>
      <c r="K5246" s="17" t="n">
        <v>65.95</v>
      </c>
      <c r="L5246" s="17" t="n">
        <v>25.86</v>
      </c>
      <c r="M5246" s="17" t="n">
        <v>0</v>
      </c>
      <c r="N5246" s="17">
        <f>K5246*0.08+L5246*0.08</f>
        <v/>
      </c>
      <c r="O5246" s="17">
        <f>-(K5246*0.025+L5246*0.025)</f>
        <v/>
      </c>
      <c r="P5246" s="17">
        <f>32</f>
        <v/>
      </c>
      <c r="Q5246" s="17">
        <f>J5246+L5246+N5246+O5246-P5246-M5246</f>
        <v/>
      </c>
    </row>
    <row r="5247">
      <c r="A5247" s="16" t="inlineStr">
        <is>
          <t>5.8-5.14</t>
        </is>
      </c>
      <c r="B5247" s="16" t="inlineStr">
        <is>
          <t>PO-128-05708907387512421</t>
        </is>
      </c>
      <c r="C5247" s="16" t="inlineStr">
        <is>
          <t>Delivered</t>
        </is>
      </c>
      <c r="D5247" s="16" t="inlineStr">
        <is>
          <t>128-05708938844792421</t>
        </is>
      </c>
      <c r="E5247" s="16" t="inlineStr">
        <is>
          <t>Delivered</t>
        </is>
      </c>
      <c r="F5247" s="16" t="inlineStr">
        <is>
          <t>LV25W22</t>
        </is>
      </c>
      <c r="G524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7" s="16" t="inlineStr">
        <is>
          <t>LV25W32</t>
        </is>
      </c>
      <c r="I5247" s="16" t="n">
        <v>1</v>
      </c>
      <c r="J5247" s="17" t="n">
        <v>72</v>
      </c>
      <c r="K5247" s="17" t="n">
        <v>82.43000000000001</v>
      </c>
      <c r="L5247" s="17" t="n">
        <v>25.86</v>
      </c>
      <c r="M5247" s="17" t="n">
        <v>0</v>
      </c>
      <c r="N5247" s="17">
        <f>K5247*0.08+L5247*0.08</f>
        <v/>
      </c>
      <c r="O5247" s="17">
        <f>-(K5247*0.025+L5247*0.025)</f>
        <v/>
      </c>
      <c r="P5247" s="17">
        <f>32</f>
        <v/>
      </c>
      <c r="Q5247" s="17">
        <f>J5247+L5247+N5247+O5247-P5247-M5247</f>
        <v/>
      </c>
    </row>
    <row r="5248">
      <c r="A5248" s="16" t="inlineStr">
        <is>
          <t>5.8-5.14</t>
        </is>
      </c>
      <c r="B5248" s="16" t="inlineStr">
        <is>
          <t>PO-128-05703808338552387</t>
        </is>
      </c>
      <c r="C5248" s="16" t="inlineStr">
        <is>
          <t>Delivered</t>
        </is>
      </c>
      <c r="D5248" s="16" t="inlineStr">
        <is>
          <t>128-05703850281592387</t>
        </is>
      </c>
      <c r="E5248" s="16" t="inlineStr">
        <is>
          <t>Delivered</t>
        </is>
      </c>
      <c r="F5248" s="16" t="inlineStr">
        <is>
          <t>LB02235-blanco</t>
        </is>
      </c>
      <c r="G5248" s="16" t="inlineStr">
        <is>
          <t>Audífonos Inalámbricos para la Cabeza, Recargables y Multifuncionales - Conectan a Varios Dispositivos, soportan Radio FM, Tarjeta TF y AUX - 4 Horas de Reproducción Musical - Ideal para Trabajo Cotidiano, Juegos y Estudio</t>
        </is>
      </c>
      <c r="H5248" s="16" t="inlineStr">
        <is>
          <t>BLANCO</t>
        </is>
      </c>
      <c r="I5248" s="16" t="n">
        <v>1</v>
      </c>
      <c r="J5248" s="17" t="n">
        <v>36.5</v>
      </c>
      <c r="K5248" s="17" t="n">
        <v>49.62</v>
      </c>
      <c r="L5248" s="17" t="n">
        <v>25.86</v>
      </c>
      <c r="M5248" s="17" t="n">
        <v>0</v>
      </c>
      <c r="N5248" s="17">
        <f>K5248*0.08+L5248*0.08</f>
        <v/>
      </c>
      <c r="O5248" s="17">
        <f>-(K5248*0.025+L5248*0.025)</f>
        <v/>
      </c>
      <c r="P5248" s="17">
        <f>32</f>
        <v/>
      </c>
      <c r="Q5248" s="17">
        <f>J5248+L5248+N5248+O5248-P5248-M5248</f>
        <v/>
      </c>
    </row>
    <row r="5249">
      <c r="A5249" s="16" t="inlineStr">
        <is>
          <t>5.8-5.14</t>
        </is>
      </c>
      <c r="B5249" s="16" t="inlineStr">
        <is>
          <t>PO-128-05857723295351532</t>
        </is>
      </c>
      <c r="C5249" s="16" t="inlineStr">
        <is>
          <t>Delivered</t>
        </is>
      </c>
      <c r="D5249" s="16" t="inlineStr">
        <is>
          <t>128-05857764746871532</t>
        </is>
      </c>
      <c r="E5249" s="16" t="inlineStr">
        <is>
          <t>Delivered</t>
        </is>
      </c>
      <c r="F5249" s="16" t="inlineStr">
        <is>
          <t>LV25W22</t>
        </is>
      </c>
      <c r="G524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49" s="16" t="inlineStr">
        <is>
          <t>LV25W32</t>
        </is>
      </c>
      <c r="I5249" s="16" t="n">
        <v>1</v>
      </c>
      <c r="J5249" s="17" t="n">
        <v>72</v>
      </c>
      <c r="K5249" s="17" t="n">
        <v>65.94</v>
      </c>
      <c r="L5249" s="17" t="n">
        <v>25.86</v>
      </c>
      <c r="M5249" s="17" t="n">
        <v>0</v>
      </c>
      <c r="N5249" s="17">
        <f>K5249*0.08+L5249*0.08</f>
        <v/>
      </c>
      <c r="O5249" s="17">
        <f>-(K5249*0.025+L5249*0.025)</f>
        <v/>
      </c>
      <c r="P5249" s="17">
        <f>32</f>
        <v/>
      </c>
      <c r="Q5249" s="17">
        <f>J5249+L5249+N5249+O5249-P5249-M5249</f>
        <v/>
      </c>
    </row>
    <row r="5250">
      <c r="A5250" s="16" t="inlineStr">
        <is>
          <t>5.8-5.14</t>
        </is>
      </c>
      <c r="B5250" s="16" t="inlineStr">
        <is>
          <t>PO-128-05615581235833873</t>
        </is>
      </c>
      <c r="C5250" s="16" t="inlineStr">
        <is>
          <t>Delivered</t>
        </is>
      </c>
      <c r="D5250" s="16" t="inlineStr">
        <is>
          <t>128-05615623178873873</t>
        </is>
      </c>
      <c r="E5250" s="16" t="inlineStr">
        <is>
          <t>Delivered</t>
        </is>
      </c>
      <c r="F5250" s="16" t="inlineStr">
        <is>
          <t>LV25W22</t>
        </is>
      </c>
      <c r="G52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0" s="16" t="inlineStr">
        <is>
          <t>LV25W32</t>
        </is>
      </c>
      <c r="I5250" s="16" t="n">
        <v>4</v>
      </c>
      <c r="J5250" s="17" t="n">
        <v>288</v>
      </c>
      <c r="K5250" s="17" t="n">
        <v>286.6</v>
      </c>
      <c r="L5250" s="17" t="n">
        <v>0</v>
      </c>
      <c r="M5250" s="17" t="n">
        <v>0</v>
      </c>
      <c r="N5250" s="17">
        <f>K5250*0.08+L5250*0.08</f>
        <v/>
      </c>
      <c r="O5250" s="17">
        <f>-(K5250*0.025+L5250*0.025)</f>
        <v/>
      </c>
      <c r="P5250" s="17">
        <f>32</f>
        <v/>
      </c>
      <c r="Q5250" s="17">
        <f>J5250+L5250+N5250+O5250-P5250-M5250</f>
        <v/>
      </c>
    </row>
    <row r="5251">
      <c r="A5251" s="16" t="inlineStr">
        <is>
          <t>5.8-5.14</t>
        </is>
      </c>
      <c r="B5251" s="16" t="inlineStr">
        <is>
          <t>PO-128-06162463775350741</t>
        </is>
      </c>
      <c r="C5251" s="16" t="inlineStr">
        <is>
          <t>Delivered</t>
        </is>
      </c>
      <c r="D5251" s="16" t="inlineStr">
        <is>
          <t>128-06162568632950741</t>
        </is>
      </c>
      <c r="E5251" s="16" t="inlineStr">
        <is>
          <t>Delivered</t>
        </is>
      </c>
      <c r="F5251" s="16" t="inlineStr">
        <is>
          <t>LV25W22</t>
        </is>
      </c>
      <c r="G525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1" s="16" t="inlineStr">
        <is>
          <t>LV25W32</t>
        </is>
      </c>
      <c r="I5251" s="16" t="n">
        <v>3</v>
      </c>
      <c r="J5251" s="17" t="n">
        <v>216</v>
      </c>
      <c r="K5251" s="17" t="n">
        <v>247.29</v>
      </c>
      <c r="L5251" s="17" t="n">
        <v>25.86</v>
      </c>
      <c r="M5251" s="17" t="n">
        <v>0</v>
      </c>
      <c r="N5251" s="17">
        <f>K5251*0.08+L5251*0.08</f>
        <v/>
      </c>
      <c r="O5251" s="17">
        <f>-(K5251*0.025+L5251*0.025)</f>
        <v/>
      </c>
      <c r="P5251" s="17">
        <f>32</f>
        <v/>
      </c>
      <c r="Q5251" s="17">
        <f>J5251+L5251+N5251+O5251-P5251-M5251</f>
        <v/>
      </c>
    </row>
    <row r="5252">
      <c r="A5252" s="16" t="inlineStr">
        <is>
          <t>5.8-5.14</t>
        </is>
      </c>
      <c r="B5252" s="16" t="inlineStr">
        <is>
          <t>PO-128-05997679667831594</t>
        </is>
      </c>
      <c r="C5252" s="16" t="inlineStr">
        <is>
          <t>Delivered</t>
        </is>
      </c>
      <c r="D5252" s="16" t="inlineStr">
        <is>
          <t>128-05997658696311594</t>
        </is>
      </c>
      <c r="E5252" s="16" t="inlineStr">
        <is>
          <t>Delivered</t>
        </is>
      </c>
      <c r="F5252" s="16" t="inlineStr">
        <is>
          <t>LB02235-negro</t>
        </is>
      </c>
      <c r="G5252" s="16" t="inlineStr">
        <is>
          <t>Audífonos Inalámbricos para la Cabeza, Recargables y Multifuncionales - Conectan a Varios Dispositivos, soportan Radio FM, Tarjeta TF y AUX - 4 Horas de Reproducción Musical - Ideal para Trabajo Cotidiano, Juegos y Estudio</t>
        </is>
      </c>
      <c r="H5252" s="16" t="inlineStr">
        <is>
          <t>NEGRO</t>
        </is>
      </c>
      <c r="I5252" s="16" t="n">
        <v>2</v>
      </c>
      <c r="J5252" s="17" t="n">
        <v>73</v>
      </c>
      <c r="K5252" s="17" t="n">
        <v>57.24</v>
      </c>
      <c r="L5252" s="17" t="n">
        <v>25.86</v>
      </c>
      <c r="M5252" s="17" t="n">
        <v>0</v>
      </c>
      <c r="N5252" s="17">
        <f>K5252*0.08+L5252*0.08</f>
        <v/>
      </c>
      <c r="O5252" s="17">
        <f>-(K5252*0.025+L5252*0.025)</f>
        <v/>
      </c>
      <c r="P5252" s="17">
        <f>32</f>
        <v/>
      </c>
      <c r="Q5252" s="17">
        <f>J5252+L5252+N5252+O5252-P5252-M5252</f>
        <v/>
      </c>
    </row>
    <row r="5253">
      <c r="A5253" s="16" t="inlineStr">
        <is>
          <t>5.8-5.14</t>
        </is>
      </c>
      <c r="B5253" s="16" t="inlineStr">
        <is>
          <t>PO-128-05740019308152107</t>
        </is>
      </c>
      <c r="C5253" s="16" t="inlineStr">
        <is>
          <t>Delivered</t>
        </is>
      </c>
      <c r="D5253" s="16" t="inlineStr">
        <is>
          <t>128-05740040279672107</t>
        </is>
      </c>
      <c r="E5253" s="16" t="inlineStr">
        <is>
          <t>Delivered</t>
        </is>
      </c>
      <c r="F5253" s="16" t="inlineStr">
        <is>
          <t>KTS-1678Y</t>
        </is>
      </c>
      <c r="G5253" s="16" t="inlineStr">
        <is>
          <t>Bocina portátil Inalámbrico, de 3 pulgadas, tamaño de bolsillo, 170 g, con asa, compatible con TF, USB y Micro SD, con radio FM y función TWS (True Wireless Stereo), adecuada para relajarse en casa o viajar al aire libre.</t>
        </is>
      </c>
      <c r="H5253" s="16" t="inlineStr">
        <is>
          <t>KTS-1678Y</t>
        </is>
      </c>
      <c r="I5253" s="16" t="n">
        <v>1</v>
      </c>
      <c r="J5253" s="17" t="n">
        <v>37.71</v>
      </c>
      <c r="K5253" s="17" t="n">
        <v>43.93</v>
      </c>
      <c r="L5253" s="17" t="n">
        <v>25.86</v>
      </c>
      <c r="M5253" s="17" t="n">
        <v>0</v>
      </c>
      <c r="N5253" s="17">
        <f>K5253*0.08+L5253*0.08</f>
        <v/>
      </c>
      <c r="O5253" s="17">
        <f>-(K5253*0.025+L5253*0.025)</f>
        <v/>
      </c>
      <c r="P5253" s="17">
        <f>32</f>
        <v/>
      </c>
      <c r="Q5253" s="17">
        <f>J5253+L5253+N5253+O5253-P5253-M5253</f>
        <v/>
      </c>
    </row>
    <row r="5254">
      <c r="A5254" s="16" t="inlineStr">
        <is>
          <t>5.8-5.14</t>
        </is>
      </c>
      <c r="B5254" s="16" t="inlineStr">
        <is>
          <t>PO-128-05791393895032889</t>
        </is>
      </c>
      <c r="C5254" s="16" t="inlineStr">
        <is>
          <t>Delivered</t>
        </is>
      </c>
      <c r="D5254" s="16" t="inlineStr">
        <is>
          <t>128-05791372923512889</t>
        </is>
      </c>
      <c r="E5254" s="16" t="inlineStr">
        <is>
          <t>Delivered</t>
        </is>
      </c>
      <c r="F5254" s="16" t="inlineStr">
        <is>
          <t>LV25W22</t>
        </is>
      </c>
      <c r="G525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4" s="16" t="inlineStr">
        <is>
          <t>LV25W32</t>
        </is>
      </c>
      <c r="I5254" s="16" t="n">
        <v>1</v>
      </c>
      <c r="J5254" s="17" t="n">
        <v>72</v>
      </c>
      <c r="K5254" s="17" t="n">
        <v>66.63</v>
      </c>
      <c r="L5254" s="17" t="n">
        <v>25.86</v>
      </c>
      <c r="M5254" s="17" t="n">
        <v>0</v>
      </c>
      <c r="N5254" s="17">
        <f>K5254*0.08+L5254*0.08</f>
        <v/>
      </c>
      <c r="O5254" s="17">
        <f>-(K5254*0.025+L5254*0.025)</f>
        <v/>
      </c>
      <c r="P5254" s="17">
        <f>32</f>
        <v/>
      </c>
      <c r="Q5254" s="17">
        <f>J5254+L5254+N5254+O5254-P5254-M5254</f>
        <v/>
      </c>
    </row>
    <row r="5255">
      <c r="A5255" s="16" t="inlineStr">
        <is>
          <t>5.8-5.14</t>
        </is>
      </c>
      <c r="B5255" s="16" t="inlineStr">
        <is>
          <t>PO-128-05721016218232221</t>
        </is>
      </c>
      <c r="C5255" s="16" t="inlineStr">
        <is>
          <t>Delivered</t>
        </is>
      </c>
      <c r="D5255" s="16" t="inlineStr">
        <is>
          <t>128-05720974275192221</t>
        </is>
      </c>
      <c r="E5255" s="16" t="inlineStr">
        <is>
          <t>Delivered</t>
        </is>
      </c>
      <c r="F5255" s="16" t="inlineStr">
        <is>
          <t>LV25W22</t>
        </is>
      </c>
      <c r="G525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5" s="16" t="inlineStr">
        <is>
          <t>LV25W32</t>
        </is>
      </c>
      <c r="I5255" s="16" t="n">
        <v>1</v>
      </c>
      <c r="J5255" s="17" t="n">
        <v>72</v>
      </c>
      <c r="K5255" s="17" t="n">
        <v>39.33</v>
      </c>
      <c r="L5255" s="17" t="n">
        <v>25.86</v>
      </c>
      <c r="M5255" s="17" t="n">
        <v>0</v>
      </c>
      <c r="N5255" s="17">
        <f>K5255*0.08+L5255*0.08</f>
        <v/>
      </c>
      <c r="O5255" s="17">
        <f>-(K5255*0.025+L5255*0.025)</f>
        <v/>
      </c>
      <c r="P5255" s="17">
        <f>32</f>
        <v/>
      </c>
      <c r="Q5255" s="17">
        <f>J5255+L5255+N5255+O5255-P5255-M5255</f>
        <v/>
      </c>
    </row>
    <row r="5256">
      <c r="A5256" s="16" t="inlineStr">
        <is>
          <t>5.8-5.14</t>
        </is>
      </c>
      <c r="B5256" s="16" t="inlineStr">
        <is>
          <t>PO-128-05780800778872822</t>
        </is>
      </c>
      <c r="C5256" s="16" t="inlineStr">
        <is>
          <t>Delivered</t>
        </is>
      </c>
      <c r="D5256" s="16" t="inlineStr">
        <is>
          <t>128-05780842721912822</t>
        </is>
      </c>
      <c r="E5256" s="16" t="inlineStr">
        <is>
          <t>Delivered</t>
        </is>
      </c>
      <c r="F5256" s="16" t="inlineStr">
        <is>
          <t>LV25W22</t>
        </is>
      </c>
      <c r="G525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6" s="16" t="inlineStr">
        <is>
          <t>LV25W32</t>
        </is>
      </c>
      <c r="I5256" s="16" t="n">
        <v>2</v>
      </c>
      <c r="J5256" s="17" t="n">
        <v>144</v>
      </c>
      <c r="K5256" s="17" t="n">
        <v>164.86</v>
      </c>
      <c r="L5256" s="17" t="n">
        <v>25.86</v>
      </c>
      <c r="M5256" s="17" t="n">
        <v>0</v>
      </c>
      <c r="N5256" s="17">
        <f>K5256*0.08+L5256*0.08</f>
        <v/>
      </c>
      <c r="O5256" s="17">
        <f>-(K5256*0.025+L5256*0.025)</f>
        <v/>
      </c>
      <c r="P5256" s="17">
        <f>32</f>
        <v/>
      </c>
      <c r="Q5256" s="17">
        <f>J5256+L5256+N5256+O5256-P5256-M5256</f>
        <v/>
      </c>
    </row>
    <row r="5257">
      <c r="A5257" s="16" t="inlineStr">
        <is>
          <t>5.8-5.14</t>
        </is>
      </c>
      <c r="B5257" s="16" t="inlineStr">
        <is>
          <t>PO-128-05630684590713719</t>
        </is>
      </c>
      <c r="C5257" s="16" t="inlineStr">
        <is>
          <t>Delivered</t>
        </is>
      </c>
      <c r="D5257" s="16" t="inlineStr">
        <is>
          <t>128-05630726533753719</t>
        </is>
      </c>
      <c r="E5257" s="16" t="inlineStr">
        <is>
          <t>Delivered</t>
        </is>
      </c>
      <c r="F5257" s="16" t="inlineStr">
        <is>
          <t>LV25W22</t>
        </is>
      </c>
      <c r="G525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7" s="16" t="inlineStr">
        <is>
          <t>LV25W32</t>
        </is>
      </c>
      <c r="I5257" s="16" t="n">
        <v>6</v>
      </c>
      <c r="J5257" s="17" t="n">
        <v>432</v>
      </c>
      <c r="K5257" s="17" t="n">
        <v>494.58</v>
      </c>
      <c r="L5257" s="17" t="n">
        <v>0</v>
      </c>
      <c r="M5257" s="17" t="n">
        <v>0</v>
      </c>
      <c r="N5257" s="17">
        <f>K5257*0.08+L5257*0.08</f>
        <v/>
      </c>
      <c r="O5257" s="17">
        <f>-(K5257*0.025+L5257*0.025)</f>
        <v/>
      </c>
      <c r="P5257" s="17">
        <f>32</f>
        <v/>
      </c>
      <c r="Q5257" s="17">
        <f>J5257+L5257+N5257+O5257-P5257-M5257</f>
        <v/>
      </c>
    </row>
    <row r="5258">
      <c r="A5258" s="16" t="inlineStr">
        <is>
          <t>5.8-5.14</t>
        </is>
      </c>
      <c r="B5258" s="16" t="inlineStr">
        <is>
          <t>PO-128-05880722478711397</t>
        </is>
      </c>
      <c r="C5258" s="16" t="inlineStr">
        <is>
          <t>Delivered</t>
        </is>
      </c>
      <c r="D5258" s="16" t="inlineStr">
        <is>
          <t>128-05880680535671397</t>
        </is>
      </c>
      <c r="E5258" s="16" t="inlineStr">
        <is>
          <t>Delivered</t>
        </is>
      </c>
      <c r="F5258" s="16" t="inlineStr">
        <is>
          <t>LV25W22</t>
        </is>
      </c>
      <c r="G525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8" s="16" t="inlineStr">
        <is>
          <t>LV25W32</t>
        </is>
      </c>
      <c r="I5258" s="16" t="n">
        <v>1</v>
      </c>
      <c r="J5258" s="17" t="n">
        <v>72</v>
      </c>
      <c r="K5258" s="17" t="n">
        <v>82.43000000000001</v>
      </c>
      <c r="L5258" s="17" t="n">
        <v>25.86</v>
      </c>
      <c r="M5258" s="17" t="n">
        <v>0</v>
      </c>
      <c r="N5258" s="17">
        <f>K5258*0.08+L5258*0.08</f>
        <v/>
      </c>
      <c r="O5258" s="17">
        <f>-(K5258*0.025+L5258*0.025)</f>
        <v/>
      </c>
      <c r="P5258" s="17">
        <f>32</f>
        <v/>
      </c>
      <c r="Q5258" s="17">
        <f>J5258+L5258+N5258+O5258-P5258-M5258</f>
        <v/>
      </c>
    </row>
    <row r="5259">
      <c r="A5259" s="16" t="inlineStr">
        <is>
          <t>5.8-5.14</t>
        </is>
      </c>
      <c r="B5259" s="16" t="inlineStr">
        <is>
          <t>PO-128-06031435991670496</t>
        </is>
      </c>
      <c r="C5259" s="16" t="inlineStr">
        <is>
          <t>Delivered</t>
        </is>
      </c>
      <c r="D5259" s="16" t="inlineStr">
        <is>
          <t>128-06031540849270496</t>
        </is>
      </c>
      <c r="E5259" s="16" t="inlineStr">
        <is>
          <t>Delivered</t>
        </is>
      </c>
      <c r="F5259" s="16" t="inlineStr">
        <is>
          <t>LV25W22</t>
        </is>
      </c>
      <c r="G52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59" s="16" t="inlineStr">
        <is>
          <t>LV25W32</t>
        </is>
      </c>
      <c r="I5259" s="16" t="n">
        <v>5</v>
      </c>
      <c r="J5259" s="17" t="n">
        <v>360</v>
      </c>
      <c r="K5259" s="17" t="n">
        <v>412.15</v>
      </c>
      <c r="L5259" s="17" t="n">
        <v>0</v>
      </c>
      <c r="M5259" s="17" t="n">
        <v>0</v>
      </c>
      <c r="N5259" s="17">
        <f>K5259*0.08+L5259*0.08</f>
        <v/>
      </c>
      <c r="O5259" s="17">
        <f>-(K5259*0.025+L5259*0.025)</f>
        <v/>
      </c>
      <c r="P5259" s="17">
        <f>32</f>
        <v/>
      </c>
      <c r="Q5259" s="17">
        <f>J5259+L5259+N5259+O5259-P5259-M5259</f>
        <v/>
      </c>
    </row>
    <row r="5260">
      <c r="A5260" s="16" t="inlineStr">
        <is>
          <t>5.8-5.14</t>
        </is>
      </c>
      <c r="B5260" s="16" t="inlineStr">
        <is>
          <t>PO-128-05556723231353326</t>
        </is>
      </c>
      <c r="C5260" s="16" t="inlineStr">
        <is>
          <t>Delivered</t>
        </is>
      </c>
      <c r="D5260" s="16" t="inlineStr">
        <is>
          <t>128-05556744202873326</t>
        </is>
      </c>
      <c r="E5260" s="16" t="inlineStr">
        <is>
          <t>Delivered</t>
        </is>
      </c>
      <c r="F5260" s="16" t="inlineStr">
        <is>
          <t>LV25W22</t>
        </is>
      </c>
      <c r="G526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0" s="16" t="inlineStr">
        <is>
          <t>LV25W32</t>
        </is>
      </c>
      <c r="I5260" s="16" t="n">
        <v>10</v>
      </c>
      <c r="J5260" s="17" t="n">
        <v>720</v>
      </c>
      <c r="K5260" s="17" t="n">
        <v>824.3</v>
      </c>
      <c r="L5260" s="17" t="n">
        <v>0</v>
      </c>
      <c r="M5260" s="17" t="n">
        <v>0</v>
      </c>
      <c r="N5260" s="17">
        <f>K5260*0.08+L5260*0.08</f>
        <v/>
      </c>
      <c r="O5260" s="17">
        <f>-(K5260*0.025+L5260*0.025)</f>
        <v/>
      </c>
      <c r="P5260" s="17">
        <f>32</f>
        <v/>
      </c>
      <c r="Q5260" s="17">
        <f>J5260+L5260+N5260+O5260-P5260-M5260</f>
        <v/>
      </c>
    </row>
    <row r="5261">
      <c r="A5261" s="16" t="inlineStr">
        <is>
          <t>5.8-5.14</t>
        </is>
      </c>
      <c r="B5261" s="16" t="inlineStr">
        <is>
          <t>PO-128-06114519911030963</t>
        </is>
      </c>
      <c r="C5261" s="16" t="inlineStr">
        <is>
          <t>Delivered</t>
        </is>
      </c>
      <c r="D5261" s="16" t="inlineStr">
        <is>
          <t>128-06114561854070963</t>
        </is>
      </c>
      <c r="E5261" s="16" t="inlineStr">
        <is>
          <t>Delivered</t>
        </is>
      </c>
      <c r="F5261" s="16" t="inlineStr">
        <is>
          <t>VB347T</t>
        </is>
      </c>
      <c r="G5261"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261" s="16" t="inlineStr">
        <is>
          <t>1 pieza</t>
        </is>
      </c>
      <c r="I5261" s="16" t="n">
        <v>1</v>
      </c>
      <c r="J5261" s="17" t="n">
        <v>77.90000000000001</v>
      </c>
      <c r="K5261" s="17" t="n">
        <v>74.01000000000001</v>
      </c>
      <c r="L5261" s="17" t="n">
        <v>25.86</v>
      </c>
      <c r="M5261" s="17" t="n">
        <v>0</v>
      </c>
      <c r="N5261" s="17">
        <f>K5261*0.08+L5261*0.08</f>
        <v/>
      </c>
      <c r="O5261" s="17">
        <f>-(K5261*0.025+L5261*0.025)</f>
        <v/>
      </c>
      <c r="P5261" s="17">
        <f>32</f>
        <v/>
      </c>
      <c r="Q5261" s="17">
        <f>J5261+L5261+N5261+O5261-P5261-M5261</f>
        <v/>
      </c>
    </row>
    <row r="5262">
      <c r="A5262" s="16" t="inlineStr">
        <is>
          <t>5.8-5.14</t>
        </is>
      </c>
      <c r="B5262" s="16" t="inlineStr">
        <is>
          <t>PO-128-06126871429750824</t>
        </is>
      </c>
      <c r="C5262" s="16" t="inlineStr">
        <is>
          <t>Delivered</t>
        </is>
      </c>
      <c r="D5262" s="16" t="inlineStr">
        <is>
          <t>128-06126829486710824</t>
        </is>
      </c>
      <c r="E5262" s="16" t="inlineStr">
        <is>
          <t>Delivered</t>
        </is>
      </c>
      <c r="F5262" s="16" t="inlineStr">
        <is>
          <t>LV34W04</t>
        </is>
      </c>
      <c r="G5262" s="16" t="inlineStr">
        <is>
          <t>Megaluz，Ventilador De Techo Con Lámpara LED， LV34W04 ， potente viento, 34 Vatios, Base De Enchufe E27, Fácil De Instalar, Luz Fría Blanca De 2720 Lm, Con Tres Modos, Aspas Externas, Motor Silencioso (Controlado Por Interruptor),Una Excelente Opción Para El Hogar En Veran</t>
        </is>
      </c>
      <c r="H5262" s="16" t="inlineStr">
        <is>
          <t>LV34W04</t>
        </is>
      </c>
      <c r="I5262" s="16" t="n">
        <v>1</v>
      </c>
      <c r="J5262" s="17" t="n">
        <v>220</v>
      </c>
      <c r="K5262" s="17" t="n">
        <v>278.83</v>
      </c>
      <c r="L5262" s="17" t="n">
        <v>0</v>
      </c>
      <c r="M5262" s="17" t="n">
        <v>0</v>
      </c>
      <c r="N5262" s="17">
        <f>K5262*0.08+L5262*0.08</f>
        <v/>
      </c>
      <c r="O5262" s="17">
        <f>-(K5262*0.025+L5262*0.025)</f>
        <v/>
      </c>
      <c r="P5262" s="17">
        <f>32</f>
        <v/>
      </c>
      <c r="Q5262" s="17">
        <f>J5262+L5262+N5262+O5262-P5262-M5262</f>
        <v/>
      </c>
    </row>
    <row r="5263">
      <c r="A5263" s="16" t="inlineStr">
        <is>
          <t>5.8-5.14</t>
        </is>
      </c>
      <c r="B5263" s="16" t="inlineStr">
        <is>
          <t>PO-128-05554065679993278</t>
        </is>
      </c>
      <c r="C5263" s="16" t="inlineStr">
        <is>
          <t>Delivered</t>
        </is>
      </c>
      <c r="D5263" s="16" t="inlineStr">
        <is>
          <t>128-05554023736953278</t>
        </is>
      </c>
      <c r="E5263" s="16" t="inlineStr">
        <is>
          <t>Delivered</t>
        </is>
      </c>
      <c r="F5263" s="16" t="inlineStr">
        <is>
          <t>LV25W22</t>
        </is>
      </c>
      <c r="G526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3" s="16" t="inlineStr">
        <is>
          <t>LV25W32</t>
        </is>
      </c>
      <c r="I5263" s="16" t="n">
        <v>1</v>
      </c>
      <c r="J5263" s="17" t="n">
        <v>72</v>
      </c>
      <c r="K5263" s="17" t="n">
        <v>82.43000000000001</v>
      </c>
      <c r="L5263" s="17" t="n">
        <v>25.86</v>
      </c>
      <c r="M5263" s="17" t="n">
        <v>0</v>
      </c>
      <c r="N5263" s="17">
        <f>K5263*0.08+L5263*0.08</f>
        <v/>
      </c>
      <c r="O5263" s="17">
        <f>-(K5263*0.025+L5263*0.025)</f>
        <v/>
      </c>
      <c r="P5263" s="17">
        <f>32</f>
        <v/>
      </c>
      <c r="Q5263" s="17">
        <f>J5263+L5263+N5263+O5263-P5263-M5263</f>
        <v/>
      </c>
    </row>
    <row r="5264">
      <c r="A5264" s="16" t="inlineStr">
        <is>
          <t>5.8-5.14</t>
        </is>
      </c>
      <c r="B5264" s="16" t="inlineStr">
        <is>
          <t>PO-128-05664653609593709</t>
        </is>
      </c>
      <c r="C5264" s="16" t="inlineStr">
        <is>
          <t>Delivered</t>
        </is>
      </c>
      <c r="D5264" s="16" t="inlineStr">
        <is>
          <t>128-05664611666553709</t>
        </is>
      </c>
      <c r="E5264" s="16" t="inlineStr">
        <is>
          <t>Delivered</t>
        </is>
      </c>
      <c r="F5264" s="16" t="inlineStr">
        <is>
          <t>LV25W22</t>
        </is>
      </c>
      <c r="G526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4" s="16" t="inlineStr">
        <is>
          <t>LV25W32</t>
        </is>
      </c>
      <c r="I5264" s="16" t="n">
        <v>3</v>
      </c>
      <c r="J5264" s="17" t="n">
        <v>216</v>
      </c>
      <c r="K5264" s="17" t="n">
        <v>247.29</v>
      </c>
      <c r="L5264" s="17" t="n">
        <v>25.86</v>
      </c>
      <c r="M5264" s="17" t="n">
        <v>0</v>
      </c>
      <c r="N5264" s="17">
        <f>K5264*0.08+L5264*0.08</f>
        <v/>
      </c>
      <c r="O5264" s="17">
        <f>-(K5264*0.025+L5264*0.025)</f>
        <v/>
      </c>
      <c r="P5264" s="17">
        <f>32</f>
        <v/>
      </c>
      <c r="Q5264" s="17">
        <f>J5264+L5264+N5264+O5264-P5264-M5264</f>
        <v/>
      </c>
    </row>
    <row r="5265">
      <c r="A5265" s="16" t="inlineStr">
        <is>
          <t>5.8-5.14</t>
        </is>
      </c>
      <c r="B5265" s="16" t="inlineStr">
        <is>
          <t>PO-128-06067599944310219</t>
        </is>
      </c>
      <c r="C5265" s="16" t="inlineStr">
        <is>
          <t>Delivered</t>
        </is>
      </c>
      <c r="D5265" s="16" t="inlineStr">
        <is>
          <t>128-06067589458550219</t>
        </is>
      </c>
      <c r="E5265" s="16" t="inlineStr">
        <is>
          <t>Delivered</t>
        </is>
      </c>
      <c r="F5265" s="16" t="inlineStr">
        <is>
          <t>LV25W22</t>
        </is>
      </c>
      <c r="G526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5" s="16" t="inlineStr">
        <is>
          <t>LV25W32</t>
        </is>
      </c>
      <c r="I5265" s="16" t="n">
        <v>1</v>
      </c>
      <c r="J5265" s="17" t="n">
        <v>72</v>
      </c>
      <c r="K5265" s="17" t="n">
        <v>74.59</v>
      </c>
      <c r="L5265" s="17" t="n">
        <v>25.86</v>
      </c>
      <c r="M5265" s="17" t="n">
        <v>0</v>
      </c>
      <c r="N5265" s="17">
        <f>K5265*0.08+L5265*0.08</f>
        <v/>
      </c>
      <c r="O5265" s="17">
        <f>-(K5265*0.025+L5265*0.025)</f>
        <v/>
      </c>
      <c r="P5265" s="17">
        <f>32</f>
        <v/>
      </c>
      <c r="Q5265" s="17">
        <f>J5265+L5265+N5265+O5265-P5265-M5265</f>
        <v/>
      </c>
    </row>
    <row r="5266">
      <c r="A5266" s="16" t="inlineStr">
        <is>
          <t>5.8-5.14</t>
        </is>
      </c>
      <c r="B5266" s="16" t="inlineStr">
        <is>
          <t>PO-128-05647316035193810</t>
        </is>
      </c>
      <c r="C5266" s="16" t="inlineStr">
        <is>
          <t>Delivered</t>
        </is>
      </c>
      <c r="D5266" s="16" t="inlineStr">
        <is>
          <t>128-05647336515193810</t>
        </is>
      </c>
      <c r="E5266" s="16" t="inlineStr">
        <is>
          <t>Delivered</t>
        </is>
      </c>
      <c r="F5266" s="16" t="inlineStr">
        <is>
          <t>LV25W22</t>
        </is>
      </c>
      <c r="G52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6" s="16" t="inlineStr">
        <is>
          <t>LV25W32</t>
        </is>
      </c>
      <c r="I5266" s="16" t="n">
        <v>1</v>
      </c>
      <c r="J5266" s="17" t="n">
        <v>72</v>
      </c>
      <c r="K5266" s="17" t="n">
        <v>82.43000000000001</v>
      </c>
      <c r="L5266" s="17" t="n">
        <v>25.86</v>
      </c>
      <c r="M5266" s="17" t="n">
        <v>0</v>
      </c>
      <c r="N5266" s="17">
        <f>K5266*0.08+L5266*0.08</f>
        <v/>
      </c>
      <c r="O5266" s="17">
        <f>-(K5266*0.025+L5266*0.025)</f>
        <v/>
      </c>
      <c r="P5266" s="17">
        <f>32</f>
        <v/>
      </c>
      <c r="Q5266" s="17">
        <f>J5266+L5266+N5266+O5266-P5266-M5266</f>
        <v/>
      </c>
    </row>
    <row r="5267">
      <c r="A5267" s="16" t="inlineStr">
        <is>
          <t>5.8-5.14</t>
        </is>
      </c>
      <c r="B5267" s="16" t="inlineStr">
        <is>
          <t>PO-128-05726177086072252</t>
        </is>
      </c>
      <c r="C5267" s="16" t="inlineStr">
        <is>
          <t>Delivered</t>
        </is>
      </c>
      <c r="D5267" s="16" t="inlineStr">
        <is>
          <t>128-05726224271992252</t>
        </is>
      </c>
      <c r="E5267" s="16" t="inlineStr">
        <is>
          <t>Delivered</t>
        </is>
      </c>
      <c r="F5267" s="16" t="inlineStr">
        <is>
          <t>LV25W22</t>
        </is>
      </c>
      <c r="G526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7" s="16" t="inlineStr">
        <is>
          <t>LV25W32</t>
        </is>
      </c>
      <c r="I5267" s="16" t="n">
        <v>2</v>
      </c>
      <c r="J5267" s="17" t="n">
        <v>144</v>
      </c>
      <c r="K5267" s="17" t="n">
        <v>164.86</v>
      </c>
      <c r="L5267" s="17" t="n">
        <v>25.86</v>
      </c>
      <c r="M5267" s="17" t="n">
        <v>0</v>
      </c>
      <c r="N5267" s="17">
        <f>K5267*0.08+L5267*0.08</f>
        <v/>
      </c>
      <c r="O5267" s="17">
        <f>-(K5267*0.025+L5267*0.025)</f>
        <v/>
      </c>
      <c r="P5267" s="17">
        <f>32</f>
        <v/>
      </c>
      <c r="Q5267" s="17">
        <f>J5267+L5267+N5267+O5267-P5267-M5267</f>
        <v/>
      </c>
    </row>
    <row r="5268">
      <c r="A5268" s="16" t="inlineStr">
        <is>
          <t>5.8-5.14</t>
        </is>
      </c>
      <c r="B5268" s="16" t="inlineStr">
        <is>
          <t>PO-128-05837307771512679</t>
        </is>
      </c>
      <c r="C5268" s="16" t="inlineStr">
        <is>
          <t>Delivered</t>
        </is>
      </c>
      <c r="D5268" s="16" t="inlineStr">
        <is>
          <t>128-05837444086392679</t>
        </is>
      </c>
      <c r="E5268" s="16" t="inlineStr">
        <is>
          <t>Delivered</t>
        </is>
      </c>
      <c r="F5268" s="16" t="inlineStr">
        <is>
          <t>LV25W22</t>
        </is>
      </c>
      <c r="G526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68" s="16" t="inlineStr">
        <is>
          <t>LV25W32</t>
        </is>
      </c>
      <c r="I5268" s="16" t="n">
        <v>1</v>
      </c>
      <c r="J5268" s="17" t="n">
        <v>72</v>
      </c>
      <c r="K5268" s="17" t="n">
        <v>6.43</v>
      </c>
      <c r="L5268" s="17" t="n">
        <v>25.86</v>
      </c>
      <c r="M5268" s="17" t="n">
        <v>0</v>
      </c>
      <c r="N5268" s="17">
        <f>K5268*0.08+L5268*0.08</f>
        <v/>
      </c>
      <c r="O5268" s="17">
        <f>-(K5268*0.025+L5268*0.025)</f>
        <v/>
      </c>
      <c r="P5268" s="17">
        <f>32</f>
        <v/>
      </c>
      <c r="Q5268" s="17">
        <f>J5268+L5268+N5268+O5268-P5268-M5268</f>
        <v/>
      </c>
    </row>
    <row r="5269">
      <c r="A5269" s="16" t="inlineStr">
        <is>
          <t>5.8-5.14</t>
        </is>
      </c>
      <c r="B5269" s="16" t="inlineStr">
        <is>
          <t>PO-128-06150693038710682</t>
        </is>
      </c>
      <c r="C5269" s="16" t="inlineStr">
        <is>
          <t>Delivered</t>
        </is>
      </c>
      <c r="D5269" s="16" t="inlineStr">
        <is>
          <t>128-06150651095670682</t>
        </is>
      </c>
      <c r="E5269" s="16" t="inlineStr">
        <is>
          <t>Delivered</t>
        </is>
      </c>
      <c r="F5269" s="16" t="inlineStr">
        <is>
          <t>LB02235-negro</t>
        </is>
      </c>
      <c r="G5269" s="16" t="inlineStr">
        <is>
          <t>Audífonos Inalámbricos para la Cabeza, Recargables y Multifuncionales - Conectan a Varios Dispositivos, soportan Radio FM, Tarjeta TF y AUX - 4 Horas de Reproducción Musical - Ideal para Trabajo Cotidiano, Juegos y Estudio</t>
        </is>
      </c>
      <c r="H5269" s="16" t="inlineStr">
        <is>
          <t>NEGRO</t>
        </is>
      </c>
      <c r="I5269" s="16" t="n">
        <v>1</v>
      </c>
      <c r="J5269" s="17" t="n">
        <v>36.5</v>
      </c>
      <c r="K5269" s="17" t="n">
        <v>6.52</v>
      </c>
      <c r="L5269" s="17" t="n">
        <v>25.86</v>
      </c>
      <c r="M5269" s="17" t="n">
        <v>0</v>
      </c>
      <c r="N5269" s="17">
        <f>K5269*0.08+L5269*0.08</f>
        <v/>
      </c>
      <c r="O5269" s="17">
        <f>-(K5269*0.025+L5269*0.025)</f>
        <v/>
      </c>
      <c r="P5269" s="17">
        <f>32</f>
        <v/>
      </c>
      <c r="Q5269" s="17">
        <f>J5269+L5269+N5269+O5269-P5269-M5269</f>
        <v/>
      </c>
    </row>
    <row r="5270">
      <c r="A5270" s="16" t="inlineStr">
        <is>
          <t>5.8-5.14</t>
        </is>
      </c>
      <c r="B5270" s="16" t="inlineStr">
        <is>
          <t>PO-128-06177212191350589</t>
        </is>
      </c>
      <c r="C5270" s="16" t="inlineStr">
        <is>
          <t>Delivered</t>
        </is>
      </c>
      <c r="D5270" s="16" t="inlineStr">
        <is>
          <t>128-06177364234870589</t>
        </is>
      </c>
      <c r="E5270" s="16" t="inlineStr">
        <is>
          <t>Delivered</t>
        </is>
      </c>
      <c r="F5270" s="16" t="inlineStr">
        <is>
          <t>LV25W22</t>
        </is>
      </c>
      <c r="G527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0" s="16" t="inlineStr">
        <is>
          <t>LV25W32</t>
        </is>
      </c>
      <c r="I5270" s="16" t="n">
        <v>3</v>
      </c>
      <c r="J5270" s="17" t="n">
        <v>216</v>
      </c>
      <c r="K5270" s="17" t="n">
        <v>247.29</v>
      </c>
      <c r="L5270" s="17" t="n">
        <v>25.86</v>
      </c>
      <c r="M5270" s="17" t="n">
        <v>0</v>
      </c>
      <c r="N5270" s="17">
        <f>K5270*0.08+L5270*0.08</f>
        <v/>
      </c>
      <c r="O5270" s="17">
        <f>-(K5270*0.025+L5270*0.025)</f>
        <v/>
      </c>
      <c r="P5270" s="17">
        <f>32</f>
        <v/>
      </c>
      <c r="Q5270" s="17">
        <f>J5270+L5270+N5270+O5270-P5270-M5270</f>
        <v/>
      </c>
    </row>
    <row r="5271">
      <c r="A5271" s="16" t="inlineStr">
        <is>
          <t>5.8-5.14</t>
        </is>
      </c>
      <c r="B5271" s="16" t="inlineStr">
        <is>
          <t>PO-128-05897647432311230</t>
        </is>
      </c>
      <c r="C5271" s="16" t="inlineStr">
        <is>
          <t>Delivered</t>
        </is>
      </c>
      <c r="D5271" s="16" t="inlineStr">
        <is>
          <t>128-05897668403831230</t>
        </is>
      </c>
      <c r="E5271" s="16" t="inlineStr">
        <is>
          <t>Delivered</t>
        </is>
      </c>
      <c r="F5271" s="16" t="inlineStr">
        <is>
          <t>MCM-001N</t>
        </is>
      </c>
      <c r="G5271" s="16" t="inlineStr">
        <is>
          <t>Musicord Altavoz Inalámbrico BT Portátil: ¡Sonido impactante, luces LED multicolores y 4 horas de autonomía! Compatible con TWS, FM, TF y USB – Imprescindible para fiestas y viajes</t>
        </is>
      </c>
      <c r="H5271" s="16" t="inlineStr">
        <is>
          <t>NEGRO</t>
        </is>
      </c>
      <c r="I5271" s="16" t="n">
        <v>1</v>
      </c>
      <c r="J5271" s="17" t="n">
        <v>66</v>
      </c>
      <c r="K5271" s="17" t="n">
        <v>23.84</v>
      </c>
      <c r="L5271" s="17" t="n">
        <v>25.86</v>
      </c>
      <c r="M5271" s="17" t="n">
        <v>0</v>
      </c>
      <c r="N5271" s="17">
        <f>K5271*0.08+L5271*0.08</f>
        <v/>
      </c>
      <c r="O5271" s="17">
        <f>-(K5271*0.025+L5271*0.025)</f>
        <v/>
      </c>
      <c r="P5271" s="17">
        <f>32</f>
        <v/>
      </c>
      <c r="Q5271" s="17">
        <f>J5271+L5271+N5271+O5271-P5271-M5271</f>
        <v/>
      </c>
    </row>
    <row r="5272">
      <c r="A5272" s="16" t="inlineStr">
        <is>
          <t>5.8-5.14</t>
        </is>
      </c>
      <c r="B5272" s="16" t="inlineStr">
        <is>
          <t>PO-128-05994226427511550</t>
        </is>
      </c>
      <c r="C5272" s="16" t="inlineStr">
        <is>
          <t>Delivered</t>
        </is>
      </c>
      <c r="D5272" s="16" t="inlineStr">
        <is>
          <t>128-05994268370551550</t>
        </is>
      </c>
      <c r="E5272" s="16" t="inlineStr">
        <is>
          <t>Delivered</t>
        </is>
      </c>
      <c r="F5272" s="16" t="inlineStr">
        <is>
          <t>SA323T</t>
        </is>
      </c>
      <c r="G5272" s="16" t="inlineStr">
        <is>
          <t>Linkbits Bocina Portátil Parlantes BT Portátiles con Iluminación de Ambiente | 1 Hora de Duración, FM, TWS, TF/Micro SD | Ideal para Hogar, Fiestas y Viajes</t>
        </is>
      </c>
      <c r="H5272" s="16" t="inlineStr">
        <is>
          <t>SA323T</t>
        </is>
      </c>
      <c r="I5272" s="16" t="n">
        <v>1</v>
      </c>
      <c r="J5272" s="17" t="n">
        <v>45</v>
      </c>
      <c r="K5272" s="17" t="n">
        <v>54.07</v>
      </c>
      <c r="L5272" s="17" t="n">
        <v>25.86</v>
      </c>
      <c r="M5272" s="17" t="n">
        <v>0</v>
      </c>
      <c r="N5272" s="17">
        <f>K5272*0.08+L5272*0.08</f>
        <v/>
      </c>
      <c r="O5272" s="17">
        <f>-(K5272*0.025+L5272*0.025)</f>
        <v/>
      </c>
      <c r="P5272" s="17">
        <f>32</f>
        <v/>
      </c>
      <c r="Q5272" s="17">
        <f>J5272+L5272+N5272+O5272-P5272-M5272</f>
        <v/>
      </c>
    </row>
    <row r="5273">
      <c r="A5273" s="16" t="inlineStr">
        <is>
          <t>5.8-5.14</t>
        </is>
      </c>
      <c r="B5273" s="16" t="inlineStr">
        <is>
          <t>PO-128-05880299838071399</t>
        </is>
      </c>
      <c r="C5273" s="16" t="inlineStr">
        <is>
          <t>Delivered</t>
        </is>
      </c>
      <c r="D5273" s="16" t="inlineStr">
        <is>
          <t>128-05880341781111399</t>
        </is>
      </c>
      <c r="E5273" s="16" t="inlineStr">
        <is>
          <t>Delivered</t>
        </is>
      </c>
      <c r="F5273" s="16" t="inlineStr">
        <is>
          <t>LV25W22</t>
        </is>
      </c>
      <c r="G527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3" s="16" t="inlineStr">
        <is>
          <t>LV25W32</t>
        </is>
      </c>
      <c r="I5273" s="16" t="n">
        <v>2</v>
      </c>
      <c r="J5273" s="17" t="n">
        <v>144</v>
      </c>
      <c r="K5273" s="17" t="n">
        <v>131.9</v>
      </c>
      <c r="L5273" s="17" t="n">
        <v>25.86</v>
      </c>
      <c r="M5273" s="17" t="n">
        <v>0</v>
      </c>
      <c r="N5273" s="17">
        <f>K5273*0.08+L5273*0.08</f>
        <v/>
      </c>
      <c r="O5273" s="17">
        <f>-(K5273*0.025+L5273*0.025)</f>
        <v/>
      </c>
      <c r="P5273" s="17">
        <f>32</f>
        <v/>
      </c>
      <c r="Q5273" s="17">
        <f>J5273+L5273+N5273+O5273-P5273-M5273</f>
        <v/>
      </c>
    </row>
    <row r="5274">
      <c r="A5274" s="16" t="inlineStr">
        <is>
          <t>5.8-5.14</t>
        </is>
      </c>
      <c r="B5274" s="16" t="inlineStr">
        <is>
          <t>PO-128-05847768607351465</t>
        </is>
      </c>
      <c r="C5274" s="16" t="inlineStr">
        <is>
          <t>Delivered</t>
        </is>
      </c>
      <c r="D5274" s="16" t="inlineStr">
        <is>
          <t>128-05847810550391465</t>
        </is>
      </c>
      <c r="E5274" s="16" t="inlineStr">
        <is>
          <t>Delivered</t>
        </is>
      </c>
      <c r="F5274" s="16" t="inlineStr">
        <is>
          <t>LV25W22</t>
        </is>
      </c>
      <c r="G527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4" s="16" t="inlineStr">
        <is>
          <t>LV25W32</t>
        </is>
      </c>
      <c r="I5274" s="16" t="n">
        <v>3</v>
      </c>
      <c r="J5274" s="17" t="n">
        <v>216</v>
      </c>
      <c r="K5274" s="17" t="n">
        <v>247.29</v>
      </c>
      <c r="L5274" s="17" t="n">
        <v>25.86</v>
      </c>
      <c r="M5274" s="17" t="n">
        <v>0</v>
      </c>
      <c r="N5274" s="17">
        <f>K5274*0.08+L5274*0.08</f>
        <v/>
      </c>
      <c r="O5274" s="17">
        <f>-(K5274*0.025+L5274*0.025)</f>
        <v/>
      </c>
      <c r="P5274" s="17">
        <f>32</f>
        <v/>
      </c>
      <c r="Q5274" s="17">
        <f>J5274+L5274+N5274+O5274-P5274-M5274</f>
        <v/>
      </c>
    </row>
    <row r="5275">
      <c r="A5275" s="16" t="inlineStr">
        <is>
          <t>5.8-5.14</t>
        </is>
      </c>
      <c r="B5275" s="16" t="inlineStr">
        <is>
          <t>PO-128-05594375639674063</t>
        </is>
      </c>
      <c r="C5275" s="16" t="inlineStr">
        <is>
          <t>Delivered</t>
        </is>
      </c>
      <c r="D5275" s="16" t="inlineStr">
        <is>
          <t>128-05594407096954063</t>
        </is>
      </c>
      <c r="E5275" s="16" t="inlineStr">
        <is>
          <t>Delivered</t>
        </is>
      </c>
      <c r="F5275" s="16" t="inlineStr">
        <is>
          <t>LV25W22</t>
        </is>
      </c>
      <c r="G527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5" s="16" t="inlineStr">
        <is>
          <t>LV25W32</t>
        </is>
      </c>
      <c r="I5275" s="16" t="n">
        <v>1</v>
      </c>
      <c r="J5275" s="17" t="n">
        <v>72</v>
      </c>
      <c r="K5275" s="17" t="n">
        <v>82.43000000000001</v>
      </c>
      <c r="L5275" s="17" t="n">
        <v>25.86</v>
      </c>
      <c r="M5275" s="17" t="n">
        <v>0</v>
      </c>
      <c r="N5275" s="17">
        <f>K5275*0.08+L5275*0.08</f>
        <v/>
      </c>
      <c r="O5275" s="17">
        <f>-(K5275*0.025+L5275*0.025)</f>
        <v/>
      </c>
      <c r="P5275" s="17">
        <f>32</f>
        <v/>
      </c>
      <c r="Q5275" s="17">
        <f>J5275+L5275+N5275+O5275-P5275-M5275</f>
        <v/>
      </c>
    </row>
    <row r="5276">
      <c r="A5276" s="16" t="inlineStr">
        <is>
          <t>5.8-5.14</t>
        </is>
      </c>
      <c r="B5276" s="16" t="inlineStr">
        <is>
          <t>PO-128-06068926392950211</t>
        </is>
      </c>
      <c r="C5276" s="16" t="inlineStr">
        <is>
          <t>Delivered</t>
        </is>
      </c>
      <c r="D5276" s="16" t="inlineStr">
        <is>
          <t>128-06068936878710211</t>
        </is>
      </c>
      <c r="E5276" s="16" t="inlineStr">
        <is>
          <t>Delivered</t>
        </is>
      </c>
      <c r="F5276" s="16" t="inlineStr">
        <is>
          <t>LV25W22</t>
        </is>
      </c>
      <c r="G527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6" s="16" t="inlineStr">
        <is>
          <t>LV25W32</t>
        </is>
      </c>
      <c r="I5276" s="16" t="n">
        <v>2</v>
      </c>
      <c r="J5276" s="17" t="n">
        <v>144</v>
      </c>
      <c r="K5276" s="17" t="n">
        <v>149.4</v>
      </c>
      <c r="L5276" s="17" t="n">
        <v>25.86</v>
      </c>
      <c r="M5276" s="17" t="n">
        <v>0</v>
      </c>
      <c r="N5276" s="17">
        <f>K5276*0.08+L5276*0.08</f>
        <v/>
      </c>
      <c r="O5276" s="17">
        <f>-(K5276*0.025+L5276*0.025)</f>
        <v/>
      </c>
      <c r="P5276" s="17">
        <f>32</f>
        <v/>
      </c>
      <c r="Q5276" s="17">
        <f>J5276+L5276+N5276+O5276-P5276-M5276</f>
        <v/>
      </c>
    </row>
    <row r="5277">
      <c r="A5277" s="16" t="inlineStr">
        <is>
          <t>5.8-5.14</t>
        </is>
      </c>
      <c r="B5277" s="16" t="inlineStr">
        <is>
          <t>PO-128-05526343363193381</t>
        </is>
      </c>
      <c r="C5277" s="16" t="inlineStr">
        <is>
          <t>Delivered</t>
        </is>
      </c>
      <c r="D5277" s="16" t="inlineStr">
        <is>
          <t>128-05526395791993381</t>
        </is>
      </c>
      <c r="E5277" s="16" t="inlineStr">
        <is>
          <t>Delivered</t>
        </is>
      </c>
      <c r="F5277" s="16" t="inlineStr">
        <is>
          <t>LV25W22</t>
        </is>
      </c>
      <c r="G5277"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7" s="16" t="inlineStr">
        <is>
          <t>LV25W32</t>
        </is>
      </c>
      <c r="I5277" s="16" t="n">
        <v>2</v>
      </c>
      <c r="J5277" s="17" t="n">
        <v>144</v>
      </c>
      <c r="K5277" s="17" t="n">
        <v>164.86</v>
      </c>
      <c r="L5277" s="17" t="n">
        <v>25.86</v>
      </c>
      <c r="M5277" s="17" t="n">
        <v>0</v>
      </c>
      <c r="N5277" s="17">
        <f>K5277*0.08+L5277*0.08</f>
        <v/>
      </c>
      <c r="O5277" s="17">
        <f>-(K5277*0.025+L5277*0.025)</f>
        <v/>
      </c>
      <c r="P5277" s="17">
        <f>32</f>
        <v/>
      </c>
      <c r="Q5277" s="17">
        <f>J5277+L5277+N5277+O5277-P5277-M5277</f>
        <v/>
      </c>
    </row>
    <row r="5278">
      <c r="A5278" s="16" t="inlineStr">
        <is>
          <t>5.8-5.14</t>
        </is>
      </c>
      <c r="B5278" s="16" t="inlineStr">
        <is>
          <t>PO-128-05516063882873568</t>
        </is>
      </c>
      <c r="C5278" s="16" t="inlineStr">
        <is>
          <t>Delivered</t>
        </is>
      </c>
      <c r="D5278" s="16" t="inlineStr">
        <is>
          <t>128-05516048154233568</t>
        </is>
      </c>
      <c r="E5278" s="16" t="inlineStr">
        <is>
          <t>Delivered</t>
        </is>
      </c>
      <c r="F5278" s="16" t="inlineStr">
        <is>
          <t>LV25W22</t>
        </is>
      </c>
      <c r="G527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8" s="16" t="inlineStr">
        <is>
          <t>LV25W32</t>
        </is>
      </c>
      <c r="I5278" s="16" t="n">
        <v>1</v>
      </c>
      <c r="J5278" s="17" t="n">
        <v>72</v>
      </c>
      <c r="K5278" s="17" t="n">
        <v>82.43000000000001</v>
      </c>
      <c r="L5278" s="17" t="n">
        <v>25.86</v>
      </c>
      <c r="M5278" s="17" t="n">
        <v>0</v>
      </c>
      <c r="N5278" s="17">
        <f>K5278*0.08+L5278*0.08</f>
        <v/>
      </c>
      <c r="O5278" s="17">
        <f>-(K5278*0.025+L5278*0.025)</f>
        <v/>
      </c>
      <c r="P5278" s="17">
        <f>32</f>
        <v/>
      </c>
      <c r="Q5278" s="17">
        <f>J5278+L5278+N5278+O5278-P5278-M5278</f>
        <v/>
      </c>
    </row>
    <row r="5279">
      <c r="A5279" s="16" t="inlineStr">
        <is>
          <t>5.8-5.14</t>
        </is>
      </c>
      <c r="B5279" s="16" t="inlineStr">
        <is>
          <t>PO-128-06041053348470313</t>
        </is>
      </c>
      <c r="C5279" s="16" t="inlineStr">
        <is>
          <t>Delivered</t>
        </is>
      </c>
      <c r="D5279" s="16" t="inlineStr">
        <is>
          <t>128-06041095291510313</t>
        </is>
      </c>
      <c r="E5279" s="16" t="inlineStr">
        <is>
          <t>Delivered</t>
        </is>
      </c>
      <c r="F5279" s="16" t="inlineStr">
        <is>
          <t>LV25W22</t>
        </is>
      </c>
      <c r="G527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79" s="16" t="inlineStr">
        <is>
          <t>LV25W32</t>
        </is>
      </c>
      <c r="I5279" s="16" t="n">
        <v>2</v>
      </c>
      <c r="J5279" s="17" t="n">
        <v>144</v>
      </c>
      <c r="K5279" s="17" t="n">
        <v>164.86</v>
      </c>
      <c r="L5279" s="17" t="n">
        <v>25.86</v>
      </c>
      <c r="M5279" s="17" t="n">
        <v>0</v>
      </c>
      <c r="N5279" s="17">
        <f>K5279*0.08+L5279*0.08</f>
        <v/>
      </c>
      <c r="O5279" s="17">
        <f>-(K5279*0.025+L5279*0.025)</f>
        <v/>
      </c>
      <c r="P5279" s="17">
        <f>32</f>
        <v/>
      </c>
      <c r="Q5279" s="17">
        <f>J5279+L5279+N5279+O5279-P5279-M5279</f>
        <v/>
      </c>
    </row>
    <row r="5280">
      <c r="A5280" s="16" t="inlineStr">
        <is>
          <t>5.8-5.14</t>
        </is>
      </c>
      <c r="B5280" s="16" t="inlineStr">
        <is>
          <t>PO-128-05654533857913641</t>
        </is>
      </c>
      <c r="C5280" s="16" t="inlineStr">
        <is>
          <t>Delivered</t>
        </is>
      </c>
      <c r="D5280" s="16" t="inlineStr">
        <is>
          <t>128-05654554829433641</t>
        </is>
      </c>
      <c r="E5280" s="16" t="inlineStr">
        <is>
          <t>Delivered</t>
        </is>
      </c>
      <c r="F5280" s="16" t="inlineStr">
        <is>
          <t>LV25W22</t>
        </is>
      </c>
      <c r="G528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80" s="16" t="inlineStr">
        <is>
          <t>LV25W32</t>
        </is>
      </c>
      <c r="I5280" s="16" t="n">
        <v>3</v>
      </c>
      <c r="J5280" s="17" t="n">
        <v>216</v>
      </c>
      <c r="K5280" s="17" t="n">
        <v>247.29</v>
      </c>
      <c r="L5280" s="17" t="n">
        <v>25.86</v>
      </c>
      <c r="M5280" s="17" t="n">
        <v>0</v>
      </c>
      <c r="N5280" s="17">
        <f>K5280*0.08+L5280*0.08</f>
        <v/>
      </c>
      <c r="O5280" s="17">
        <f>-(K5280*0.025+L5280*0.025)</f>
        <v/>
      </c>
      <c r="P5280" s="17">
        <f>32</f>
        <v/>
      </c>
      <c r="Q5280" s="17">
        <f>J5280+L5280+N5280+O5280-P5280-M5280</f>
        <v/>
      </c>
    </row>
    <row r="5281">
      <c r="A5281" s="16" t="inlineStr">
        <is>
          <t>5.8-5.14</t>
        </is>
      </c>
      <c r="B5281" s="16" t="inlineStr">
        <is>
          <t>PO-128-05756622838392966</t>
        </is>
      </c>
      <c r="C5281" s="16" t="inlineStr">
        <is>
          <t>Delivered</t>
        </is>
      </c>
      <c r="D5281" s="16" t="inlineStr">
        <is>
          <t>128-05756643809912966</t>
        </is>
      </c>
      <c r="E5281" s="16" t="inlineStr">
        <is>
          <t>Delivered</t>
        </is>
      </c>
      <c r="F5281" s="16" t="inlineStr">
        <is>
          <t>LB02235-negro</t>
        </is>
      </c>
      <c r="G5281" s="16" t="inlineStr">
        <is>
          <t>Audífonos Inalámbricos para la Cabeza, Recargables y Multifuncionales - Conectan a Varios Dispositivos, soportan Radio FM, Tarjeta TF y AUX - 4 Horas de Reproducción Musical - Ideal para Trabajo Cotidiano, Juegos y Estudio</t>
        </is>
      </c>
      <c r="H5281" s="16" t="inlineStr">
        <is>
          <t>NEGRO</t>
        </is>
      </c>
      <c r="I5281" s="16" t="n">
        <v>1</v>
      </c>
      <c r="J5281" s="17" t="n">
        <v>36.5</v>
      </c>
      <c r="K5281" s="17" t="n">
        <v>49.62</v>
      </c>
      <c r="L5281" s="17" t="n">
        <v>25.86</v>
      </c>
      <c r="M5281" s="17" t="n">
        <v>0</v>
      </c>
      <c r="N5281" s="17">
        <f>K5281*0.08+L5281*0.08</f>
        <v/>
      </c>
      <c r="O5281" s="17">
        <f>-(K5281*0.025+L5281*0.025)</f>
        <v/>
      </c>
      <c r="P5281" s="17">
        <f>32</f>
        <v/>
      </c>
      <c r="Q5281" s="17">
        <f>J5281+L5281+N5281+O5281-P5281-M5281</f>
        <v/>
      </c>
    </row>
    <row r="5282">
      <c r="A5282" s="16" t="inlineStr">
        <is>
          <t>5.8-5.14</t>
        </is>
      </c>
      <c r="B5282" s="16" t="inlineStr">
        <is>
          <t>PO-128-05882896036471382</t>
        </is>
      </c>
      <c r="C5282" s="16" t="inlineStr">
        <is>
          <t>Delivered</t>
        </is>
      </c>
      <c r="D5282" s="16" t="inlineStr">
        <is>
          <t>128-05882922250871382</t>
        </is>
      </c>
      <c r="E5282" s="16" t="inlineStr">
        <is>
          <t>Delivered</t>
        </is>
      </c>
      <c r="F5282" s="16" t="inlineStr">
        <is>
          <t>LB02235-negro</t>
        </is>
      </c>
      <c r="G5282" s="16" t="inlineStr">
        <is>
          <t>Audífonos Inalámbricos para la Cabeza, Recargables y Multifuncionales - Conectan a Varios Dispositivos, soportan Radio FM, Tarjeta TF y AUX - 4 Horas de Reproducción Musical - Ideal para Trabajo Cotidiano, Juegos y Estudio</t>
        </is>
      </c>
      <c r="H5282" s="16" t="inlineStr">
        <is>
          <t>NEGRO</t>
        </is>
      </c>
      <c r="I5282" s="16" t="n">
        <v>1</v>
      </c>
      <c r="J5282" s="17" t="n">
        <v>36.5</v>
      </c>
      <c r="K5282" s="17" t="n">
        <v>49.62</v>
      </c>
      <c r="L5282" s="17" t="n">
        <v>25.86</v>
      </c>
      <c r="M5282" s="17" t="n">
        <v>0</v>
      </c>
      <c r="N5282" s="17">
        <f>K5282*0.08+L5282*0.08</f>
        <v/>
      </c>
      <c r="O5282" s="17">
        <f>-(K5282*0.025+L5282*0.025)</f>
        <v/>
      </c>
      <c r="P5282" s="17">
        <f>32</f>
        <v/>
      </c>
      <c r="Q5282" s="17">
        <f>J5282+L5282+N5282+O5282-P5282-M5282</f>
        <v/>
      </c>
    </row>
    <row r="5283">
      <c r="A5283" s="16" t="inlineStr">
        <is>
          <t>5.8-5.14</t>
        </is>
      </c>
      <c r="B5283" s="16" t="inlineStr">
        <is>
          <t>PO-128-05646090742393819</t>
        </is>
      </c>
      <c r="C5283" s="16" t="inlineStr">
        <is>
          <t>Delivered</t>
        </is>
      </c>
      <c r="D5283" s="16" t="inlineStr">
        <is>
          <t>128-05646080256633819</t>
        </is>
      </c>
      <c r="E5283" s="16" t="inlineStr">
        <is>
          <t>Delivered</t>
        </is>
      </c>
      <c r="F5283" s="16" t="inlineStr">
        <is>
          <t>LV25W22</t>
        </is>
      </c>
      <c r="G528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83" s="16" t="inlineStr">
        <is>
          <t>LV25W32</t>
        </is>
      </c>
      <c r="I5283" s="16" t="n">
        <v>1</v>
      </c>
      <c r="J5283" s="17" t="n">
        <v>72</v>
      </c>
      <c r="K5283" s="17" t="n">
        <v>65.95</v>
      </c>
      <c r="L5283" s="17" t="n">
        <v>25.86</v>
      </c>
      <c r="M5283" s="17" t="n">
        <v>0</v>
      </c>
      <c r="N5283" s="17">
        <f>K5283*0.08+L5283*0.08</f>
        <v/>
      </c>
      <c r="O5283" s="17">
        <f>-(K5283*0.025+L5283*0.025)</f>
        <v/>
      </c>
      <c r="P5283" s="17">
        <f>32</f>
        <v/>
      </c>
      <c r="Q5283" s="17">
        <f>J5283+L5283+N5283+O5283-P5283-M5283</f>
        <v/>
      </c>
    </row>
    <row r="5284">
      <c r="A5284" s="16" t="inlineStr">
        <is>
          <t>5.8-5.14</t>
        </is>
      </c>
      <c r="B5284" s="16" t="inlineStr">
        <is>
          <t>PO-128-05682671125112513</t>
        </is>
      </c>
      <c r="C5284" s="16" t="inlineStr">
        <is>
          <t>Delivered</t>
        </is>
      </c>
      <c r="D5284" s="16" t="inlineStr">
        <is>
          <t>128-05682681610872513</t>
        </is>
      </c>
      <c r="E5284" s="16" t="inlineStr">
        <is>
          <t>Delivered</t>
        </is>
      </c>
      <c r="F5284" s="16" t="inlineStr">
        <is>
          <t>MB-185R</t>
        </is>
      </c>
      <c r="G5284" s="16" t="inlineStr">
        <is>
          <t>Bocina Radio FM/Reproductor, Compatible con Tarjeta TF, USB, Bluetooth, Aplicable para celular, computadora, Ipad y consola.</t>
        </is>
      </c>
      <c r="H5284" s="16" t="inlineStr">
        <is>
          <t>ROJO/MB-185</t>
        </is>
      </c>
      <c r="I5284" s="16" t="n">
        <v>1</v>
      </c>
      <c r="J5284" s="17" t="n">
        <v>71.31</v>
      </c>
      <c r="K5284" s="17" t="n">
        <v>84.26000000000001</v>
      </c>
      <c r="L5284" s="17" t="n">
        <v>25.86</v>
      </c>
      <c r="M5284" s="17" t="n">
        <v>0</v>
      </c>
      <c r="N5284" s="17">
        <f>K5284*0.08+L5284*0.08</f>
        <v/>
      </c>
      <c r="O5284" s="17">
        <f>-(K5284*0.025+L5284*0.025)</f>
        <v/>
      </c>
      <c r="P5284" s="17">
        <f>32</f>
        <v/>
      </c>
      <c r="Q5284" s="17">
        <f>J5284+L5284+N5284+O5284-P5284-M5284</f>
        <v/>
      </c>
    </row>
    <row r="5285">
      <c r="A5285" s="16" t="inlineStr">
        <is>
          <t>5.8-5.14</t>
        </is>
      </c>
      <c r="B5285" s="16" t="inlineStr">
        <is>
          <t>PO-128-05927202919031950</t>
        </is>
      </c>
      <c r="C5285" s="16" t="inlineStr">
        <is>
          <t>Delivered</t>
        </is>
      </c>
      <c r="D5285" s="16" t="inlineStr">
        <is>
          <t>128-05927160975991950</t>
        </is>
      </c>
      <c r="E5285" s="16" t="inlineStr">
        <is>
          <t>Delivered</t>
        </is>
      </c>
      <c r="F5285" s="16" t="inlineStr">
        <is>
          <t>S39W48</t>
        </is>
      </c>
      <c r="G5285"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5285" s="16" t="inlineStr">
        <is>
          <t>1 pieza</t>
        </is>
      </c>
      <c r="I5285" s="16" t="n">
        <v>2</v>
      </c>
      <c r="J5285" s="17" t="n">
        <v>70</v>
      </c>
      <c r="K5285" s="17" t="n">
        <v>52.08</v>
      </c>
      <c r="L5285" s="17" t="n">
        <v>25.86</v>
      </c>
      <c r="M5285" s="17" t="n">
        <v>0</v>
      </c>
      <c r="N5285" s="17">
        <f>K5285*0.08+L5285*0.08</f>
        <v/>
      </c>
      <c r="O5285" s="17">
        <f>-(K5285*0.025+L5285*0.025)</f>
        <v/>
      </c>
      <c r="P5285" s="17">
        <f>32</f>
        <v/>
      </c>
      <c r="Q5285" s="17">
        <f>J5285+L5285+N5285+O5285-P5285-M5285</f>
        <v/>
      </c>
    </row>
    <row r="5286">
      <c r="A5286" s="16" t="inlineStr">
        <is>
          <t>5.8-5.14</t>
        </is>
      </c>
      <c r="B5286" s="16" t="inlineStr">
        <is>
          <t>PO-128-05971023862391688</t>
        </is>
      </c>
      <c r="C5286" s="16" t="inlineStr">
        <is>
          <t>Delivered</t>
        </is>
      </c>
      <c r="D5286" s="16" t="inlineStr">
        <is>
          <t>128-05971034348151688</t>
        </is>
      </c>
      <c r="E5286" s="16" t="inlineStr">
        <is>
          <t>Delivered</t>
        </is>
      </c>
      <c r="F5286" s="16" t="inlineStr">
        <is>
          <t>FA028</t>
        </is>
      </c>
      <c r="G5286" s="16" t="inlineStr">
        <is>
          <t>Extractor de agua para garrafas de agua, compatible con carga USB, extractor de agua automático, práctico, con dos modos de toma de agua: manual y programado, ideal para dormitorios, salones, oficinas, uso al aire libre y otros escenarios.</t>
        </is>
      </c>
      <c r="H5286" s="16" t="inlineStr">
        <is>
          <t>FA028</t>
        </is>
      </c>
      <c r="I5286" s="16" t="n">
        <v>1</v>
      </c>
      <c r="J5286" s="17" t="n">
        <v>30.99</v>
      </c>
      <c r="K5286" s="17" t="n">
        <v>40.59</v>
      </c>
      <c r="L5286" s="17" t="n">
        <v>25.86</v>
      </c>
      <c r="M5286" s="17" t="n">
        <v>0</v>
      </c>
      <c r="N5286" s="17">
        <f>K5286*0.08+L5286*0.08</f>
        <v/>
      </c>
      <c r="O5286" s="17">
        <f>-(K5286*0.025+L5286*0.025)</f>
        <v/>
      </c>
      <c r="P5286" s="17">
        <f>32</f>
        <v/>
      </c>
      <c r="Q5286" s="17">
        <f>J5286+L5286+N5286+O5286-P5286-M5286</f>
        <v/>
      </c>
    </row>
    <row r="5287">
      <c r="A5287" s="16" t="inlineStr">
        <is>
          <t>5.8-5.14</t>
        </is>
      </c>
      <c r="B5287" s="16" t="inlineStr">
        <is>
          <t>PO-128-06064901919350171</t>
        </is>
      </c>
      <c r="C5287" s="16" t="inlineStr">
        <is>
          <t>Delivered</t>
        </is>
      </c>
      <c r="D5287" s="16" t="inlineStr">
        <is>
          <t>128-06064922890870171</t>
        </is>
      </c>
      <c r="E5287" s="16" t="inlineStr">
        <is>
          <t>Delivered</t>
        </is>
      </c>
      <c r="F5287" s="16" t="inlineStr">
        <is>
          <t>VB347T</t>
        </is>
      </c>
      <c r="G5287"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287" s="16" t="inlineStr">
        <is>
          <t>1 pieza</t>
        </is>
      </c>
      <c r="I5287" s="16" t="n">
        <v>1</v>
      </c>
      <c r="J5287" s="17" t="n">
        <v>77.90000000000001</v>
      </c>
      <c r="K5287" s="17" t="n">
        <v>92.51000000000001</v>
      </c>
      <c r="L5287" s="17" t="n">
        <v>25.86</v>
      </c>
      <c r="M5287" s="17" t="n">
        <v>0</v>
      </c>
      <c r="N5287" s="17">
        <f>K5287*0.08+L5287*0.08</f>
        <v/>
      </c>
      <c r="O5287" s="17">
        <f>-(K5287*0.025+L5287*0.025)</f>
        <v/>
      </c>
      <c r="P5287" s="17">
        <f>32</f>
        <v/>
      </c>
      <c r="Q5287" s="17">
        <f>J5287+L5287+N5287+O5287-P5287-M5287</f>
        <v/>
      </c>
    </row>
    <row r="5288">
      <c r="A5288" s="16" t="inlineStr">
        <is>
          <t>5.8-5.14</t>
        </is>
      </c>
      <c r="B5288" s="16" t="inlineStr">
        <is>
          <t>PO-128-06107822776950939</t>
        </is>
      </c>
      <c r="C5288" s="16" t="inlineStr">
        <is>
          <t>Delivered</t>
        </is>
      </c>
      <c r="D5288" s="16" t="inlineStr">
        <is>
          <t>128-06107885691510939</t>
        </is>
      </c>
      <c r="E5288" s="16" t="inlineStr">
        <is>
          <t>Delivered</t>
        </is>
      </c>
      <c r="F5288" s="16" t="inlineStr">
        <is>
          <t>SA325T</t>
        </is>
      </c>
      <c r="G5288" s="16" t="inlineStr">
        <is>
          <t>Subwoofer Portátil Inalámbrico con Luces RGB, Sonido de Alta Potencia y Batería Duradera, TWS TF USB, Perfecto para Campamento Fiestas y Entretenimiento en Casa</t>
        </is>
      </c>
      <c r="H5288" s="16" t="inlineStr">
        <is>
          <t>NEGRO</t>
        </is>
      </c>
      <c r="I5288" s="16" t="n">
        <v>1</v>
      </c>
      <c r="J5288" s="17" t="n">
        <v>36</v>
      </c>
      <c r="K5288" s="17" t="n">
        <v>45.06</v>
      </c>
      <c r="L5288" s="17" t="n">
        <v>12.3</v>
      </c>
      <c r="M5288" s="17" t="n">
        <v>0</v>
      </c>
      <c r="N5288" s="17">
        <f>K5288*0.08+L5288*0.08</f>
        <v/>
      </c>
      <c r="O5288" s="17">
        <f>-(K5288*0.025+L5288*0.025)</f>
        <v/>
      </c>
      <c r="P5288" s="17">
        <f>32</f>
        <v/>
      </c>
      <c r="Q5288" s="17">
        <f>J5288+L5288+N5288+O5288-P5288-M5288</f>
        <v/>
      </c>
    </row>
    <row r="5289">
      <c r="A5289" s="16" t="inlineStr">
        <is>
          <t>5.8-5.14</t>
        </is>
      </c>
      <c r="B5289" s="16" t="inlineStr">
        <is>
          <t>PO-128-06107822776950939</t>
        </is>
      </c>
      <c r="C5289" s="16" t="inlineStr">
        <is>
          <t>Delivered</t>
        </is>
      </c>
      <c r="D5289" s="16" t="inlineStr">
        <is>
          <t>128-06107864719990939</t>
        </is>
      </c>
      <c r="E5289" s="16" t="inlineStr">
        <is>
          <t>Delivered</t>
        </is>
      </c>
      <c r="F5289" s="16" t="inlineStr">
        <is>
          <t>LB02235-negro</t>
        </is>
      </c>
      <c r="G5289" s="16" t="inlineStr">
        <is>
          <t>Audífonos Inalámbricos para la Cabeza, Recargables y Multifuncionales - Conectan a Varios Dispositivos, soportan Radio FM, Tarjeta TF y AUX - 4 Horas de Reproducción Musical - Ideal para Trabajo Cotidiano, Juegos y Estudio</t>
        </is>
      </c>
      <c r="H5289" s="16" t="inlineStr">
        <is>
          <t>NEGRO</t>
        </is>
      </c>
      <c r="I5289" s="16" t="n">
        <v>1</v>
      </c>
      <c r="J5289" s="17" t="n">
        <v>36.5</v>
      </c>
      <c r="K5289" s="17" t="n">
        <v>49.62</v>
      </c>
      <c r="L5289" s="17" t="n">
        <v>13.56</v>
      </c>
      <c r="M5289" s="17" t="n">
        <v>0</v>
      </c>
      <c r="N5289" s="17">
        <f>K5289*0.08+L5289*0.08</f>
        <v/>
      </c>
      <c r="O5289" s="17">
        <f>-(K5289*0.025+L5289*0.025)</f>
        <v/>
      </c>
      <c r="P5289" s="17">
        <f>32</f>
        <v/>
      </c>
      <c r="Q5289" s="17">
        <f>J5289+L5289+N5289+O5289-P5289-M5289</f>
        <v/>
      </c>
    </row>
    <row r="5290">
      <c r="A5290" s="16" t="inlineStr">
        <is>
          <t>5.8-5.14</t>
        </is>
      </c>
      <c r="B5290" s="16" t="inlineStr">
        <is>
          <t>PO-128-05748903117432116</t>
        </is>
      </c>
      <c r="C5290" s="16" t="inlineStr">
        <is>
          <t>Delivered</t>
        </is>
      </c>
      <c r="D5290" s="16" t="inlineStr">
        <is>
          <t>128-05749007975032116</t>
        </is>
      </c>
      <c r="E5290" s="16" t="inlineStr">
        <is>
          <t>Delivered</t>
        </is>
      </c>
      <c r="F5290" s="16" t="inlineStr">
        <is>
          <t>KTS-1678N</t>
        </is>
      </c>
      <c r="G5290" s="16" t="inlineStr">
        <is>
          <t>Bocina portátil Inalámbrico, de 3 pulgadas, tamaño de bolsillo, 170 g, con asa, compatible con TF, USB y Micro SD, con radio FM y función TWS (True Wireless Stereo), adecuada para relajarse en casa o viajar al aire libre.</t>
        </is>
      </c>
      <c r="H5290" s="16" t="inlineStr">
        <is>
          <t>KTS-1678N</t>
        </is>
      </c>
      <c r="I5290" s="16" t="n">
        <v>1</v>
      </c>
      <c r="J5290" s="17" t="n">
        <v>37.71</v>
      </c>
      <c r="K5290" s="17" t="n">
        <v>43.93</v>
      </c>
      <c r="L5290" s="17" t="n">
        <v>25.86</v>
      </c>
      <c r="M5290" s="17" t="n">
        <v>0</v>
      </c>
      <c r="N5290" s="17">
        <f>K5290*0.08+L5290*0.08</f>
        <v/>
      </c>
      <c r="O5290" s="17">
        <f>-(K5290*0.025+L5290*0.025)</f>
        <v/>
      </c>
      <c r="P5290" s="17">
        <f>32</f>
        <v/>
      </c>
      <c r="Q5290" s="17">
        <f>J5290+L5290+N5290+O5290-P5290-M5290</f>
        <v/>
      </c>
    </row>
    <row r="5291">
      <c r="A5291" s="16" t="inlineStr">
        <is>
          <t>5.8-5.14</t>
        </is>
      </c>
      <c r="B5291" s="16" t="inlineStr">
        <is>
          <t>PO-128-05731639163512285</t>
        </is>
      </c>
      <c r="C5291" s="16" t="inlineStr">
        <is>
          <t>Delivered</t>
        </is>
      </c>
      <c r="D5291" s="16" t="inlineStr">
        <is>
          <t>128-05731618191992285</t>
        </is>
      </c>
      <c r="E5291" s="16" t="inlineStr">
        <is>
          <t>Delivered</t>
        </is>
      </c>
      <c r="F5291" s="16" t="inlineStr">
        <is>
          <t>MCM-001N</t>
        </is>
      </c>
      <c r="G5291" s="16" t="inlineStr">
        <is>
          <t>Musicord Altavoz Inalámbrico BT Portátil: ¡Sonido impactante, luces LED multicolores y 4 horas de autonomía! Compatible con TWS, FM, TF y USB – Imprescindible para fiestas y viajes</t>
        </is>
      </c>
      <c r="H5291" s="16" t="inlineStr">
        <is>
          <t>NEGRO</t>
        </is>
      </c>
      <c r="I5291" s="16" t="n">
        <v>1</v>
      </c>
      <c r="J5291" s="17" t="n">
        <v>66</v>
      </c>
      <c r="K5291" s="17" t="n">
        <v>73.67</v>
      </c>
      <c r="L5291" s="17" t="n">
        <v>25.86</v>
      </c>
      <c r="M5291" s="17" t="n">
        <v>0</v>
      </c>
      <c r="N5291" s="17">
        <f>K5291*0.08+L5291*0.08</f>
        <v/>
      </c>
      <c r="O5291" s="17">
        <f>-(K5291*0.025+L5291*0.025)</f>
        <v/>
      </c>
      <c r="P5291" s="17">
        <f>32</f>
        <v/>
      </c>
      <c r="Q5291" s="17">
        <f>J5291+L5291+N5291+O5291-P5291-M5291</f>
        <v/>
      </c>
    </row>
    <row r="5292">
      <c r="A5292" s="16" t="inlineStr">
        <is>
          <t>5.8-5.14</t>
        </is>
      </c>
      <c r="B5292" s="16" t="inlineStr">
        <is>
          <t>PO-128-05497681848953486</t>
        </is>
      </c>
      <c r="C5292" s="16" t="inlineStr">
        <is>
          <t>Delivered</t>
        </is>
      </c>
      <c r="D5292" s="16" t="inlineStr">
        <is>
          <t>128-05497702820473486</t>
        </is>
      </c>
      <c r="E5292" s="16" t="inlineStr">
        <is>
          <t>Delivered</t>
        </is>
      </c>
      <c r="F5292" s="16" t="inlineStr">
        <is>
          <t>S39W48</t>
        </is>
      </c>
      <c r="G5292"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5292" s="16" t="inlineStr">
        <is>
          <t>1 pieza</t>
        </is>
      </c>
      <c r="I5292" s="16" t="n">
        <v>2</v>
      </c>
      <c r="J5292" s="17" t="n">
        <v>70</v>
      </c>
      <c r="K5292" s="17" t="n">
        <v>8.98</v>
      </c>
      <c r="L5292" s="17" t="n">
        <v>25.86</v>
      </c>
      <c r="M5292" s="17" t="n">
        <v>0</v>
      </c>
      <c r="N5292" s="17">
        <f>K5292*0.08+L5292*0.08</f>
        <v/>
      </c>
      <c r="O5292" s="17">
        <f>-(K5292*0.025+L5292*0.025)</f>
        <v/>
      </c>
      <c r="P5292" s="17">
        <f>32</f>
        <v/>
      </c>
      <c r="Q5292" s="17">
        <f>J5292+L5292+N5292+O5292-P5292-M5292</f>
        <v/>
      </c>
    </row>
    <row r="5293">
      <c r="A5293" s="16" t="inlineStr">
        <is>
          <t>5.8-5.14</t>
        </is>
      </c>
      <c r="B5293" s="16" t="inlineStr">
        <is>
          <t>PO-128-06060488407670133</t>
        </is>
      </c>
      <c r="C5293" s="16" t="inlineStr">
        <is>
          <t>Delivered</t>
        </is>
      </c>
      <c r="D5293" s="16" t="inlineStr">
        <is>
          <t>128-06060530350710133</t>
        </is>
      </c>
      <c r="E5293" s="16" t="inlineStr">
        <is>
          <t>Delivered</t>
        </is>
      </c>
      <c r="F5293" s="16" t="inlineStr">
        <is>
          <t>LV25W22</t>
        </is>
      </c>
      <c r="G529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93" s="16" t="inlineStr">
        <is>
          <t>LV25W32</t>
        </is>
      </c>
      <c r="I5293" s="16" t="n">
        <v>3</v>
      </c>
      <c r="J5293" s="17" t="n">
        <v>216</v>
      </c>
      <c r="K5293" s="17" t="n">
        <v>247.29</v>
      </c>
      <c r="L5293" s="17" t="n">
        <v>25.86</v>
      </c>
      <c r="M5293" s="17" t="n">
        <v>0</v>
      </c>
      <c r="N5293" s="17">
        <f>K5293*0.08+L5293*0.08</f>
        <v/>
      </c>
      <c r="O5293" s="17">
        <f>-(K5293*0.025+L5293*0.025)</f>
        <v/>
      </c>
      <c r="P5293" s="17">
        <f>32</f>
        <v/>
      </c>
      <c r="Q5293" s="17">
        <f>J5293+L5293+N5293+O5293-P5293-M5293</f>
        <v/>
      </c>
    </row>
    <row r="5294">
      <c r="A5294" s="16" t="inlineStr">
        <is>
          <t>5.8-5.14</t>
        </is>
      </c>
      <c r="B5294" s="16" t="inlineStr">
        <is>
          <t>PO-128-06054787236470359</t>
        </is>
      </c>
      <c r="C5294" s="16" t="inlineStr">
        <is>
          <t>Delivered</t>
        </is>
      </c>
      <c r="D5294" s="16" t="inlineStr">
        <is>
          <t>128-06054802965110359</t>
        </is>
      </c>
      <c r="E5294" s="16" t="inlineStr">
        <is>
          <t>Delivered</t>
        </is>
      </c>
      <c r="F5294" s="16" t="inlineStr">
        <is>
          <t>LB02235-rojo</t>
        </is>
      </c>
      <c r="G5294" s="16" t="inlineStr">
        <is>
          <t>Audífonos Inalámbricos para la Cabeza, Recargables y Multifuncionales - Conectan a Varios Dispositivos, soportan Radio FM, Tarjeta TF y AUX - 4 Horas de Reproducción Musical - Ideal para Trabajo Cotidiano, Juegos y Estudio</t>
        </is>
      </c>
      <c r="H5294" s="16" t="inlineStr">
        <is>
          <t>ROJO</t>
        </is>
      </c>
      <c r="I5294" s="16" t="n">
        <v>1</v>
      </c>
      <c r="J5294" s="17" t="n">
        <v>42</v>
      </c>
      <c r="K5294" s="17" t="n">
        <v>46.85</v>
      </c>
      <c r="L5294" s="17" t="n">
        <v>25.86</v>
      </c>
      <c r="M5294" s="17" t="n">
        <v>0</v>
      </c>
      <c r="N5294" s="17">
        <f>K5294*0.08+L5294*0.08</f>
        <v/>
      </c>
      <c r="O5294" s="17">
        <f>-(K5294*0.025+L5294*0.025)</f>
        <v/>
      </c>
      <c r="P5294" s="17">
        <f>32</f>
        <v/>
      </c>
      <c r="Q5294" s="17">
        <f>J5294+L5294+N5294+O5294-P5294-M5294</f>
        <v/>
      </c>
    </row>
    <row r="5295">
      <c r="A5295" s="16" t="inlineStr">
        <is>
          <t>5.8-5.14</t>
        </is>
      </c>
      <c r="B5295" s="16" t="inlineStr">
        <is>
          <t>PO-128-05914848727671065</t>
        </is>
      </c>
      <c r="C5295" s="16" t="inlineStr">
        <is>
          <t>Delivered</t>
        </is>
      </c>
      <c r="D5295" s="16" t="inlineStr">
        <is>
          <t>128-05914953585271065</t>
        </is>
      </c>
      <c r="E5295" s="16" t="inlineStr">
        <is>
          <t>Delivered</t>
        </is>
      </c>
      <c r="F5295" s="16" t="inlineStr">
        <is>
          <t>LB02235-rojo</t>
        </is>
      </c>
      <c r="G5295" s="16" t="inlineStr">
        <is>
          <t>Audífonos Inalámbricos para la Cabeza, Recargables y Multifuncionales - Conectan a Varios Dispositivos, soportan Radio FM, Tarjeta TF y AUX - 4 Horas de Reproducción Musical - Ideal para Trabajo Cotidiano, Juegos y Estudio</t>
        </is>
      </c>
      <c r="H5295" s="16" t="inlineStr">
        <is>
          <t>ROJO</t>
        </is>
      </c>
      <c r="I5295" s="16" t="n">
        <v>1</v>
      </c>
      <c r="J5295" s="17" t="n">
        <v>36.8</v>
      </c>
      <c r="K5295" s="17" t="n">
        <v>6.81</v>
      </c>
      <c r="L5295" s="17" t="n">
        <v>25.86</v>
      </c>
      <c r="M5295" s="17" t="n">
        <v>0</v>
      </c>
      <c r="N5295" s="17">
        <f>K5295*0.08+L5295*0.08</f>
        <v/>
      </c>
      <c r="O5295" s="17">
        <f>-(K5295*0.025+L5295*0.025)</f>
        <v/>
      </c>
      <c r="P5295" s="17">
        <f>32</f>
        <v/>
      </c>
      <c r="Q5295" s="17">
        <f>J5295+L5295+N5295+O5295-P5295-M5295</f>
        <v/>
      </c>
    </row>
    <row r="5296">
      <c r="A5296" s="16" t="inlineStr">
        <is>
          <t>5.8-5.14</t>
        </is>
      </c>
      <c r="B5296" s="16" t="inlineStr">
        <is>
          <t>PO-128-05835809987192686</t>
        </is>
      </c>
      <c r="C5296" s="16" t="inlineStr">
        <is>
          <t>Delivered</t>
        </is>
      </c>
      <c r="D5296" s="16" t="inlineStr">
        <is>
          <t>128-05835914844792686</t>
        </is>
      </c>
      <c r="E5296" s="16" t="inlineStr">
        <is>
          <t>Delivered</t>
        </is>
      </c>
      <c r="F5296" s="16" t="inlineStr">
        <is>
          <t>LV64W25</t>
        </is>
      </c>
      <c r="G5296" s="16" t="inlineStr">
        <is>
          <t>Ventilador de Techo LED TIANLAI con 5 Aspas, Control Remoto, 3 Colores Luz, 3 Velocidades, Temporizador, Fácil Instalación, E27 para Baño Cocina Dormitorio Salón</t>
        </is>
      </c>
      <c r="H5296" s="16" t="inlineStr">
        <is>
          <t>LV64W25</t>
        </is>
      </c>
      <c r="I5296" s="16" t="n">
        <v>1</v>
      </c>
      <c r="J5296" s="17" t="n">
        <v>156</v>
      </c>
      <c r="K5296" s="17" t="n">
        <v>199.13</v>
      </c>
      <c r="L5296" s="17" t="n">
        <v>25.86</v>
      </c>
      <c r="M5296" s="17" t="n">
        <v>0</v>
      </c>
      <c r="N5296" s="17">
        <f>K5296*0.08+L5296*0.08</f>
        <v/>
      </c>
      <c r="O5296" s="17">
        <f>-(K5296*0.025+L5296*0.025)</f>
        <v/>
      </c>
      <c r="P5296" s="17">
        <f>32</f>
        <v/>
      </c>
      <c r="Q5296" s="17">
        <f>J5296+L5296+N5296+O5296-P5296-M5296</f>
        <v/>
      </c>
    </row>
    <row r="5297">
      <c r="A5297" s="16" t="inlineStr">
        <is>
          <t>5.8-5.14</t>
        </is>
      </c>
      <c r="B5297" s="16" t="inlineStr">
        <is>
          <t>PO-128-05951581061751804</t>
        </is>
      </c>
      <c r="C5297" s="16" t="inlineStr">
        <is>
          <t>Delivered</t>
        </is>
      </c>
      <c r="D5297" s="16" t="inlineStr">
        <is>
          <t>128-05951685919351804</t>
        </is>
      </c>
      <c r="E5297" s="16" t="inlineStr">
        <is>
          <t>Delivered</t>
        </is>
      </c>
      <c r="F5297" s="16" t="inlineStr">
        <is>
          <t>LB02235-blanco</t>
        </is>
      </c>
      <c r="G5297" s="16" t="inlineStr">
        <is>
          <t>Audífonos Inalámbricos para la Cabeza, Recargables y Multifuncionales - Conectan a Varios Dispositivos, soportan Radio FM, Tarjeta TF y AUX - 4 Horas de Reproducción Musical - Ideal para Trabajo Cotidiano, Juegos y Estudio</t>
        </is>
      </c>
      <c r="H5297" s="16" t="inlineStr">
        <is>
          <t>BLANCO</t>
        </is>
      </c>
      <c r="I5297" s="16" t="n">
        <v>1</v>
      </c>
      <c r="J5297" s="17" t="n">
        <v>37.71</v>
      </c>
      <c r="K5297" s="17" t="n">
        <v>45.75</v>
      </c>
      <c r="L5297" s="17" t="n">
        <v>25.86</v>
      </c>
      <c r="M5297" s="17" t="n">
        <v>0</v>
      </c>
      <c r="N5297" s="17">
        <f>K5297*0.08+L5297*0.08</f>
        <v/>
      </c>
      <c r="O5297" s="17">
        <f>-(K5297*0.025+L5297*0.025)</f>
        <v/>
      </c>
      <c r="P5297" s="17">
        <f>32</f>
        <v/>
      </c>
      <c r="Q5297" s="17">
        <f>J5297+L5297+N5297+O5297-P5297-M5297</f>
        <v/>
      </c>
    </row>
    <row r="5298">
      <c r="A5298" s="16" t="inlineStr">
        <is>
          <t>5.8-5.14</t>
        </is>
      </c>
      <c r="B5298" s="16" t="inlineStr">
        <is>
          <t>PO-128-05651090719353597</t>
        </is>
      </c>
      <c r="C5298" s="16" t="inlineStr">
        <is>
          <t>Delivered</t>
        </is>
      </c>
      <c r="D5298" s="16" t="inlineStr">
        <is>
          <t>128-05651111690873597</t>
        </is>
      </c>
      <c r="E5298" s="16" t="inlineStr">
        <is>
          <t>Delivered</t>
        </is>
      </c>
      <c r="F5298" s="16" t="inlineStr">
        <is>
          <t>LV25W22</t>
        </is>
      </c>
      <c r="G5298"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298" s="16" t="inlineStr">
        <is>
          <t>LV25W32</t>
        </is>
      </c>
      <c r="I5298" s="16" t="n">
        <v>2</v>
      </c>
      <c r="J5298" s="17" t="n">
        <v>162.02</v>
      </c>
      <c r="K5298" s="17" t="n">
        <v>159</v>
      </c>
      <c r="L5298" s="17" t="n">
        <v>25.86</v>
      </c>
      <c r="M5298" s="17" t="n">
        <v>0</v>
      </c>
      <c r="N5298" s="17">
        <f>K5298*0.08+L5298*0.08</f>
        <v/>
      </c>
      <c r="O5298" s="17">
        <f>-(K5298*0.025+L5298*0.025)</f>
        <v/>
      </c>
      <c r="P5298" s="17">
        <f>32</f>
        <v/>
      </c>
      <c r="Q5298" s="17">
        <f>J5298+L5298+N5298+O5298-P5298-M5298</f>
        <v/>
      </c>
    </row>
    <row r="5299">
      <c r="A5299" s="16" t="inlineStr">
        <is>
          <t>5.8-5.14</t>
        </is>
      </c>
      <c r="B5299" s="16" t="inlineStr">
        <is>
          <t>PO-128-05814505206392815</t>
        </is>
      </c>
      <c r="C5299" s="16" t="inlineStr">
        <is>
          <t>Delivered</t>
        </is>
      </c>
      <c r="D5299" s="16" t="inlineStr">
        <is>
          <t>128-05814610063992815</t>
        </is>
      </c>
      <c r="E5299" s="16" t="inlineStr">
        <is>
          <t>Delivered</t>
        </is>
      </c>
      <c r="F5299" s="16" t="inlineStr">
        <is>
          <t>SA8056T</t>
        </is>
      </c>
      <c r="G529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299" s="16" t="inlineStr">
        <is>
          <t>SA8056T</t>
        </is>
      </c>
      <c r="I5299" s="16" t="n">
        <v>2</v>
      </c>
      <c r="J5299" s="17" t="n">
        <v>280</v>
      </c>
      <c r="K5299" s="17" t="n">
        <v>288.73</v>
      </c>
      <c r="L5299" s="17" t="n">
        <v>0</v>
      </c>
      <c r="M5299" s="17" t="n">
        <v>0</v>
      </c>
      <c r="N5299" s="17">
        <f>K5299*0.08+L5299*0.08</f>
        <v/>
      </c>
      <c r="O5299" s="17">
        <f>-(K5299*0.025+L5299*0.025)</f>
        <v/>
      </c>
      <c r="P5299" s="17">
        <f>32</f>
        <v/>
      </c>
      <c r="Q5299" s="17">
        <f>J5299+L5299+N5299+O5299-P5299-M5299</f>
        <v/>
      </c>
    </row>
    <row r="5300">
      <c r="A5300" s="16" t="inlineStr">
        <is>
          <t>5.8-5.14</t>
        </is>
      </c>
      <c r="B5300" s="16" t="inlineStr">
        <is>
          <t>PO-128-05847615959671464</t>
        </is>
      </c>
      <c r="C5300" s="16" t="inlineStr">
        <is>
          <t>Delivered</t>
        </is>
      </c>
      <c r="D5300" s="16" t="inlineStr">
        <is>
          <t>128-05847697879671464</t>
        </is>
      </c>
      <c r="E5300" s="16" t="inlineStr">
        <is>
          <t>Delivered</t>
        </is>
      </c>
      <c r="F5300" s="16" t="inlineStr">
        <is>
          <t>KTS-1678Y</t>
        </is>
      </c>
      <c r="G5300" s="16" t="inlineStr">
        <is>
          <t>Bocina portátil Inalámbrico, de 3 pulgadas, tamaño de bolsillo, 170 g, con asa, compatible con TF, USB y Micro SD, con radio FM y función TWS (True Wireless Stereo), adecuada para relajarse en casa o viajar al aire libre.</t>
        </is>
      </c>
      <c r="H5300" s="16" t="inlineStr">
        <is>
          <t>KTS-1678Y</t>
        </is>
      </c>
      <c r="I5300" s="16" t="n">
        <v>1</v>
      </c>
      <c r="J5300" s="17" t="n">
        <v>42.5</v>
      </c>
      <c r="K5300" s="17" t="n">
        <v>48.72</v>
      </c>
      <c r="L5300" s="17" t="n">
        <v>11.34</v>
      </c>
      <c r="M5300" s="17" t="n">
        <v>0</v>
      </c>
      <c r="N5300" s="17">
        <f>K5300*0.08+L5300*0.08</f>
        <v/>
      </c>
      <c r="O5300" s="17">
        <f>-(K5300*0.025+L5300*0.025)</f>
        <v/>
      </c>
      <c r="P5300" s="17">
        <f>32</f>
        <v/>
      </c>
      <c r="Q5300" s="17">
        <f>J5300+L5300+N5300+O5300-P5300-M5300</f>
        <v/>
      </c>
    </row>
    <row r="5301">
      <c r="A5301" s="16" t="inlineStr">
        <is>
          <t>5.8-5.14</t>
        </is>
      </c>
      <c r="B5301" s="16" t="inlineStr">
        <is>
          <t>PO-128-05847615959671464</t>
        </is>
      </c>
      <c r="C5301" s="16" t="inlineStr">
        <is>
          <t>Delivered</t>
        </is>
      </c>
      <c r="D5301" s="16" t="inlineStr">
        <is>
          <t>128-05847676908151464</t>
        </is>
      </c>
      <c r="E5301" s="16" t="inlineStr">
        <is>
          <t>Delivered</t>
        </is>
      </c>
      <c r="F5301" s="16" t="inlineStr">
        <is>
          <t>MCM-001G</t>
        </is>
      </c>
      <c r="G5301" s="16" t="inlineStr">
        <is>
          <t>Musicord Altavoz Inalámbrico BT Portátil: ¡Sonido impactante, luces LED multicolores y 4 horas de autonomía! Compatible con TWS, FM, TF y USB – Imprescindible para fiestas y viajes</t>
        </is>
      </c>
      <c r="H5301" s="16" t="inlineStr">
        <is>
          <t>GRIS</t>
        </is>
      </c>
      <c r="I5301" s="16" t="n">
        <v>1</v>
      </c>
      <c r="J5301" s="17" t="n">
        <v>51.07</v>
      </c>
      <c r="K5301" s="17" t="n">
        <v>62.36</v>
      </c>
      <c r="L5301" s="17" t="n">
        <v>14.53</v>
      </c>
      <c r="M5301" s="17" t="n">
        <v>0</v>
      </c>
      <c r="N5301" s="17">
        <f>K5301*0.08+L5301*0.08</f>
        <v/>
      </c>
      <c r="O5301" s="17">
        <f>-(K5301*0.025+L5301*0.025)</f>
        <v/>
      </c>
      <c r="P5301" s="17">
        <f>32</f>
        <v/>
      </c>
      <c r="Q5301" s="17">
        <f>J5301+L5301+N5301+O5301-P5301-M5301</f>
        <v/>
      </c>
    </row>
    <row r="5302">
      <c r="A5302" s="16" t="inlineStr">
        <is>
          <t>5.8-5.14</t>
        </is>
      </c>
      <c r="B5302" s="16" t="inlineStr">
        <is>
          <t>PO-128-05784730296952865</t>
        </is>
      </c>
      <c r="C5302" s="16" t="inlineStr">
        <is>
          <t>Delivered</t>
        </is>
      </c>
      <c r="D5302" s="16" t="inlineStr">
        <is>
          <t>128-05784751268472865</t>
        </is>
      </c>
      <c r="E5302" s="16" t="inlineStr">
        <is>
          <t>Delivered</t>
        </is>
      </c>
      <c r="F5302" s="16" t="inlineStr">
        <is>
          <t>LB02235-blanco</t>
        </is>
      </c>
      <c r="G5302" s="16" t="inlineStr">
        <is>
          <t>Audífonos Inalámbricos para la Cabeza, Recargables y Multifuncionales - Conectan a Varios Dispositivos, soportan Radio FM, Tarjeta TF y AUX - 4 Horas de Reproducción Musical - Ideal para Trabajo Cotidiano, Juegos y Estudio</t>
        </is>
      </c>
      <c r="H5302" s="16" t="inlineStr">
        <is>
          <t>BLANCO</t>
        </is>
      </c>
      <c r="I5302" s="16" t="n">
        <v>1</v>
      </c>
      <c r="J5302" s="17" t="n">
        <v>37.71</v>
      </c>
      <c r="K5302" s="17" t="n">
        <v>7.73</v>
      </c>
      <c r="L5302" s="17" t="n">
        <v>25.86</v>
      </c>
      <c r="M5302" s="17" t="n">
        <v>0</v>
      </c>
      <c r="N5302" s="17">
        <f>K5302*0.08+L5302*0.08</f>
        <v/>
      </c>
      <c r="O5302" s="17">
        <f>-(K5302*0.025+L5302*0.025)</f>
        <v/>
      </c>
      <c r="P5302" s="17">
        <f>32</f>
        <v/>
      </c>
      <c r="Q5302" s="17">
        <f>J5302+L5302+N5302+O5302-P5302-M5302</f>
        <v/>
      </c>
    </row>
    <row r="5303">
      <c r="A5303" s="16" t="inlineStr">
        <is>
          <t>5.8-5.14</t>
        </is>
      </c>
      <c r="B5303" s="16" t="inlineStr">
        <is>
          <t>PO-128-06156168725110715</t>
        </is>
      </c>
      <c r="C5303" s="16" t="inlineStr">
        <is>
          <t>Delivered</t>
        </is>
      </c>
      <c r="D5303" s="16" t="inlineStr">
        <is>
          <t>128-06156189696630715</t>
        </is>
      </c>
      <c r="E5303" s="16" t="inlineStr">
        <is>
          <t>Delivered</t>
        </is>
      </c>
      <c r="F5303" s="16" t="inlineStr">
        <is>
          <t>LB02235-azul</t>
        </is>
      </c>
      <c r="G5303" s="16" t="inlineStr">
        <is>
          <t>Audífonos Inalámbricos para la Cabeza, Recargables y Multifuncionales - Conectan a Varios Dispositivos, soportan Radio FM, Tarjeta TF y AUX - 4 Horas de Reproducción Musical - Ideal para Trabajo Cotidiano, Juegos y Estudio</t>
        </is>
      </c>
      <c r="H5303" s="16" t="inlineStr">
        <is>
          <t>AZUL</t>
        </is>
      </c>
      <c r="I5303" s="16" t="n">
        <v>1</v>
      </c>
      <c r="J5303" s="17" t="n">
        <v>36.8</v>
      </c>
      <c r="K5303" s="17" t="n">
        <v>6.81</v>
      </c>
      <c r="L5303" s="17" t="n">
        <v>25.86</v>
      </c>
      <c r="M5303" s="17" t="n">
        <v>0</v>
      </c>
      <c r="N5303" s="17">
        <f>K5303*0.08+L5303*0.08</f>
        <v/>
      </c>
      <c r="O5303" s="17">
        <f>-(K5303*0.025+L5303*0.025)</f>
        <v/>
      </c>
      <c r="P5303" s="17">
        <f>32</f>
        <v/>
      </c>
      <c r="Q5303" s="17">
        <f>J5303+L5303+N5303+O5303-P5303-M5303</f>
        <v/>
      </c>
    </row>
    <row r="5304">
      <c r="A5304" s="16" t="inlineStr">
        <is>
          <t>5.8-5.14</t>
        </is>
      </c>
      <c r="B5304" s="16" t="inlineStr">
        <is>
          <t>PO-128-05628981955193729</t>
        </is>
      </c>
      <c r="C5304" s="16" t="inlineStr">
        <is>
          <t>Delivered</t>
        </is>
      </c>
      <c r="D5304" s="16" t="inlineStr">
        <is>
          <t>128-05629023898233729</t>
        </is>
      </c>
      <c r="E5304" s="16" t="inlineStr">
        <is>
          <t>Delivered</t>
        </is>
      </c>
      <c r="F5304" s="16" t="inlineStr">
        <is>
          <t>MCM-001G</t>
        </is>
      </c>
      <c r="G5304" s="16" t="inlineStr">
        <is>
          <t>Musicord Altavoz Inalámbrico BT Portátil: ¡Sonido impactante, luces LED multicolores y 4 horas de autonomía! Compatible con TWS, FM, TF y USB – Imprescindible para fiestas y viajes</t>
        </is>
      </c>
      <c r="H5304" s="16" t="inlineStr">
        <is>
          <t>GRIS</t>
        </is>
      </c>
      <c r="I5304" s="16" t="n">
        <v>1</v>
      </c>
      <c r="J5304" s="17" t="n">
        <v>51.07</v>
      </c>
      <c r="K5304" s="17" t="n">
        <v>19.26</v>
      </c>
      <c r="L5304" s="17" t="n">
        <v>25.86</v>
      </c>
      <c r="M5304" s="17" t="n">
        <v>0</v>
      </c>
      <c r="N5304" s="17">
        <f>K5304*0.08+L5304*0.08</f>
        <v/>
      </c>
      <c r="O5304" s="17">
        <f>-(K5304*0.025+L5304*0.025)</f>
        <v/>
      </c>
      <c r="P5304" s="17">
        <f>32</f>
        <v/>
      </c>
      <c r="Q5304" s="17">
        <f>J5304+L5304+N5304+O5304-P5304-M5304</f>
        <v/>
      </c>
    </row>
    <row r="5305">
      <c r="A5305" s="16" t="inlineStr">
        <is>
          <t>5.8-5.14</t>
        </is>
      </c>
      <c r="B5305" s="16" t="inlineStr">
        <is>
          <t>PO-128-05596921242234046</t>
        </is>
      </c>
      <c r="C5305" s="16" t="inlineStr">
        <is>
          <t>Delivered</t>
        </is>
      </c>
      <c r="D5305" s="16" t="inlineStr">
        <is>
          <t>128-05596963185274046</t>
        </is>
      </c>
      <c r="E5305" s="16" t="inlineStr">
        <is>
          <t>Delivered</t>
        </is>
      </c>
      <c r="F5305" s="16" t="inlineStr">
        <is>
          <t>LV25W22</t>
        </is>
      </c>
      <c r="G5305"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05" s="16" t="inlineStr">
        <is>
          <t>LV25W32</t>
        </is>
      </c>
      <c r="I5305" s="16" t="n">
        <v>2</v>
      </c>
      <c r="J5305" s="17" t="n">
        <v>162.02</v>
      </c>
      <c r="K5305" s="17" t="n">
        <v>10.46</v>
      </c>
      <c r="L5305" s="17" t="n">
        <v>25.86</v>
      </c>
      <c r="M5305" s="17" t="n">
        <v>0</v>
      </c>
      <c r="N5305" s="17">
        <f>K5305*0.08+L5305*0.08</f>
        <v/>
      </c>
      <c r="O5305" s="17">
        <f>-(K5305*0.025+L5305*0.025)</f>
        <v/>
      </c>
      <c r="P5305" s="17">
        <f>32</f>
        <v/>
      </c>
      <c r="Q5305" s="17">
        <f>J5305+L5305+N5305+O5305-P5305-M5305</f>
        <v/>
      </c>
    </row>
    <row r="5306">
      <c r="A5306" s="16" t="inlineStr">
        <is>
          <t>5.8-5.14</t>
        </is>
      </c>
      <c r="B5306" s="16" t="inlineStr">
        <is>
          <t>PO-128-05683585249912506</t>
        </is>
      </c>
      <c r="C5306" s="16" t="inlineStr">
        <is>
          <t>Delivered</t>
        </is>
      </c>
      <c r="D5306" s="16" t="inlineStr">
        <is>
          <t>128-05683543306872506</t>
        </is>
      </c>
      <c r="E5306" s="16" t="inlineStr">
        <is>
          <t>Delivered</t>
        </is>
      </c>
      <c r="F5306" s="16" t="inlineStr">
        <is>
          <t>LV25W22</t>
        </is>
      </c>
      <c r="G530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06" s="16" t="inlineStr">
        <is>
          <t>LV25W32</t>
        </is>
      </c>
      <c r="I5306" s="16" t="n">
        <v>1</v>
      </c>
      <c r="J5306" s="17" t="n">
        <v>81.01000000000001</v>
      </c>
      <c r="K5306" s="17" t="n">
        <v>39.72</v>
      </c>
      <c r="L5306" s="17" t="n">
        <v>25.86</v>
      </c>
      <c r="M5306" s="17" t="n">
        <v>0</v>
      </c>
      <c r="N5306" s="17">
        <f>K5306*0.08+L5306*0.08</f>
        <v/>
      </c>
      <c r="O5306" s="17">
        <f>-(K5306*0.025+L5306*0.025)</f>
        <v/>
      </c>
      <c r="P5306" s="17">
        <f>32</f>
        <v/>
      </c>
      <c r="Q5306" s="17">
        <f>J5306+L5306+N5306+O5306-P5306-M5306</f>
        <v/>
      </c>
    </row>
    <row r="5307">
      <c r="A5307" s="16" t="inlineStr">
        <is>
          <t>5.8-5.14</t>
        </is>
      </c>
      <c r="B5307" s="16" t="inlineStr">
        <is>
          <t>PO-128-06020472504950434</t>
        </is>
      </c>
      <c r="C5307" s="16" t="inlineStr">
        <is>
          <t>Delivered</t>
        </is>
      </c>
      <c r="D5307" s="16" t="inlineStr">
        <is>
          <t>128-06020430561910434</t>
        </is>
      </c>
      <c r="E5307" s="16" t="inlineStr">
        <is>
          <t>Delivered</t>
        </is>
      </c>
      <c r="F5307" s="16" t="inlineStr">
        <is>
          <t>MCM-001G</t>
        </is>
      </c>
      <c r="G5307" s="16" t="inlineStr">
        <is>
          <t>Musicord Altavoz Inalámbrico BT Portátil: ¡Sonido impactante, luces LED multicolores y 4 horas de autonomía! Compatible con TWS, FM, TF y USB – Imprescindible para fiestas y viajes</t>
        </is>
      </c>
      <c r="H5307" s="16" t="inlineStr">
        <is>
          <t>GRIS</t>
        </is>
      </c>
      <c r="I5307" s="16" t="n">
        <v>1</v>
      </c>
      <c r="J5307" s="17" t="n">
        <v>51.07</v>
      </c>
      <c r="K5307" s="17" t="n">
        <v>62.36</v>
      </c>
      <c r="L5307" s="17" t="n">
        <v>25.86</v>
      </c>
      <c r="M5307" s="17" t="n">
        <v>0</v>
      </c>
      <c r="N5307" s="17">
        <f>K5307*0.08+L5307*0.08</f>
        <v/>
      </c>
      <c r="O5307" s="17">
        <f>-(K5307*0.025+L5307*0.025)</f>
        <v/>
      </c>
      <c r="P5307" s="17">
        <f>32</f>
        <v/>
      </c>
      <c r="Q5307" s="17">
        <f>J5307+L5307+N5307+O5307-P5307-M5307</f>
        <v/>
      </c>
    </row>
    <row r="5308">
      <c r="A5308" s="16" t="inlineStr">
        <is>
          <t>5.8-5.14</t>
        </is>
      </c>
      <c r="B5308" s="16" t="inlineStr">
        <is>
          <t>PO-128-06001752423031571</t>
        </is>
      </c>
      <c r="C5308" s="16" t="inlineStr">
        <is>
          <t>Delivered</t>
        </is>
      </c>
      <c r="D5308" s="16" t="inlineStr">
        <is>
          <t>128-06001857280631571</t>
        </is>
      </c>
      <c r="E5308" s="16" t="inlineStr">
        <is>
          <t>Delivered</t>
        </is>
      </c>
      <c r="F5308" s="16" t="inlineStr">
        <is>
          <t>KTS-1943-N</t>
        </is>
      </c>
      <c r="G5308" s="16" t="inlineStr">
        <is>
          <t>Altavoz BT KBroad con micrófono inalámbrico, altavoces de alta calidad, batería recargable de gran capacidad y larga duración, soporte para radio FM, función TWS, puertos USB/TF. Pequeño y liviano, ideal para karaoke en casa o al aire libre y reproducción de música.</t>
        </is>
      </c>
      <c r="H5308" s="16" t="inlineStr">
        <is>
          <t>NEGRO</t>
        </is>
      </c>
      <c r="I5308" s="16" t="n">
        <v>1</v>
      </c>
      <c r="J5308" s="17" t="n">
        <v>67.5</v>
      </c>
      <c r="K5308" s="17" t="n">
        <v>83.12</v>
      </c>
      <c r="L5308" s="17" t="n">
        <v>25.86</v>
      </c>
      <c r="M5308" s="17" t="n">
        <v>0</v>
      </c>
      <c r="N5308" s="17">
        <f>K5308*0.08+L5308*0.08</f>
        <v/>
      </c>
      <c r="O5308" s="17">
        <f>-(K5308*0.025+L5308*0.025)</f>
        <v/>
      </c>
      <c r="P5308" s="17">
        <f>32</f>
        <v/>
      </c>
      <c r="Q5308" s="17">
        <f>J5308+L5308+N5308+O5308-P5308-M5308</f>
        <v/>
      </c>
    </row>
    <row r="5309">
      <c r="A5309" s="16" t="inlineStr">
        <is>
          <t>5.8-5.14</t>
        </is>
      </c>
      <c r="B5309" s="16" t="inlineStr">
        <is>
          <t>PO-128-05771804908153068</t>
        </is>
      </c>
      <c r="C5309" s="16" t="inlineStr">
        <is>
          <t>Delivered</t>
        </is>
      </c>
      <c r="D5309" s="16" t="inlineStr">
        <is>
          <t>128-05771732818553068</t>
        </is>
      </c>
      <c r="E5309" s="16" t="inlineStr">
        <is>
          <t>Delivered</t>
        </is>
      </c>
      <c r="F5309" s="16" t="inlineStr">
        <is>
          <t>KTS-1678Y</t>
        </is>
      </c>
      <c r="G5309" s="16" t="inlineStr">
        <is>
          <t>Bocina portátil Inalámbrico, de 3 pulgadas, tamaño de bolsillo, 170 g, con asa, compatible con TF, USB y Micro SD, con radio FM y función TWS (True Wireless Stereo), adecuada para relajarse en casa o viajar al aire libre.</t>
        </is>
      </c>
      <c r="H5309" s="16" t="inlineStr">
        <is>
          <t>KTS-1678Y</t>
        </is>
      </c>
      <c r="I5309" s="16" t="n">
        <v>1</v>
      </c>
      <c r="J5309" s="17" t="n">
        <v>42.5</v>
      </c>
      <c r="K5309" s="17" t="n">
        <v>43.85</v>
      </c>
      <c r="L5309" s="17" t="n">
        <v>25.86</v>
      </c>
      <c r="M5309" s="17" t="n">
        <v>0</v>
      </c>
      <c r="N5309" s="17">
        <f>K5309*0.08+L5309*0.08</f>
        <v/>
      </c>
      <c r="O5309" s="17">
        <f>-(K5309*0.025+L5309*0.025)</f>
        <v/>
      </c>
      <c r="P5309" s="17">
        <f>32</f>
        <v/>
      </c>
      <c r="Q5309" s="17">
        <f>J5309+L5309+N5309+O5309-P5309-M5309</f>
        <v/>
      </c>
    </row>
    <row r="5310">
      <c r="A5310" s="16" t="inlineStr">
        <is>
          <t>5.8-5.14</t>
        </is>
      </c>
      <c r="B5310" s="16" t="inlineStr">
        <is>
          <t>PO-128-05862486057591505</t>
        </is>
      </c>
      <c r="C5310" s="16" t="inlineStr">
        <is>
          <t>Delivered</t>
        </is>
      </c>
      <c r="D5310" s="16" t="inlineStr">
        <is>
          <t>128-05862503096951505</t>
        </is>
      </c>
      <c r="E5310" s="16" t="inlineStr">
        <is>
          <t>Delivered</t>
        </is>
      </c>
      <c r="F5310" s="16" t="inlineStr">
        <is>
          <t>LB02235-azul</t>
        </is>
      </c>
      <c r="G5310" s="16" t="inlineStr">
        <is>
          <t>Audífonos Inalámbricos para la Cabeza, Recargables y Multifuncionales - Conectan a Varios Dispositivos, soportan Radio FM, Tarjeta TF y AUX - 4 Horas de Reproducción Musical - Ideal para Trabajo Cotidiano, Juegos y Estudio</t>
        </is>
      </c>
      <c r="H5310" s="16" t="inlineStr">
        <is>
          <t>AZUL</t>
        </is>
      </c>
      <c r="I5310" s="16" t="n">
        <v>1</v>
      </c>
      <c r="J5310" s="17" t="n">
        <v>36.8</v>
      </c>
      <c r="K5310" s="17" t="n">
        <v>49.91</v>
      </c>
      <c r="L5310" s="17" t="n">
        <v>25.86</v>
      </c>
      <c r="M5310" s="17" t="n">
        <v>0</v>
      </c>
      <c r="N5310" s="17">
        <f>K5310*0.08+L5310*0.08</f>
        <v/>
      </c>
      <c r="O5310" s="17">
        <f>-(K5310*0.025+L5310*0.025)</f>
        <v/>
      </c>
      <c r="P5310" s="17">
        <f>32</f>
        <v/>
      </c>
      <c r="Q5310" s="17">
        <f>J5310+L5310+N5310+O5310-P5310-M5310</f>
        <v/>
      </c>
    </row>
    <row r="5311">
      <c r="A5311" s="16" t="inlineStr">
        <is>
          <t>5.8-5.14</t>
        </is>
      </c>
      <c r="B5311" s="16" t="inlineStr">
        <is>
          <t>PO-128-05873406638711374</t>
        </is>
      </c>
      <c r="C5311" s="16" t="inlineStr">
        <is>
          <t>Delivered</t>
        </is>
      </c>
      <c r="D5311" s="16" t="inlineStr">
        <is>
          <t>128-05873396152951374</t>
        </is>
      </c>
      <c r="E5311" s="16" t="inlineStr">
        <is>
          <t>Delivered</t>
        </is>
      </c>
      <c r="F5311" s="16" t="inlineStr">
        <is>
          <t>KTS-1678Y</t>
        </is>
      </c>
      <c r="G5311" s="16" t="inlineStr">
        <is>
          <t>Bocina portátil Inalámbrico, de 3 pulgadas, tamaño de bolsillo, 170 g, con asa, compatible con TF, USB y Micro SD, con radio FM y función TWS (True Wireless Stereo), adecuada para relajarse en casa o viajar al aire libre.</t>
        </is>
      </c>
      <c r="H5311" s="16" t="inlineStr">
        <is>
          <t>KTS-1678Y</t>
        </is>
      </c>
      <c r="I5311" s="16" t="n">
        <v>1</v>
      </c>
      <c r="J5311" s="17" t="n">
        <v>42.5</v>
      </c>
      <c r="K5311" s="17" t="n">
        <v>48.72</v>
      </c>
      <c r="L5311" s="17" t="n">
        <v>25.86</v>
      </c>
      <c r="M5311" s="17" t="n">
        <v>0</v>
      </c>
      <c r="N5311" s="17">
        <f>K5311*0.08+L5311*0.08</f>
        <v/>
      </c>
      <c r="O5311" s="17">
        <f>-(K5311*0.025+L5311*0.025)</f>
        <v/>
      </c>
      <c r="P5311" s="17">
        <f>32</f>
        <v/>
      </c>
      <c r="Q5311" s="17">
        <f>J5311+L5311+N5311+O5311-P5311-M5311</f>
        <v/>
      </c>
    </row>
    <row r="5312">
      <c r="A5312" s="16" t="inlineStr">
        <is>
          <t>5.8-5.14</t>
        </is>
      </c>
      <c r="B5312" s="16" t="inlineStr">
        <is>
          <t>PO-128-05720633447032223</t>
        </is>
      </c>
      <c r="C5312" s="16" t="inlineStr">
        <is>
          <t>Delivered</t>
        </is>
      </c>
      <c r="D5312" s="16" t="inlineStr">
        <is>
          <t>128-05720568566392223</t>
        </is>
      </c>
      <c r="E5312" s="16" t="inlineStr">
        <is>
          <t>Delivered</t>
        </is>
      </c>
      <c r="F5312" s="16" t="inlineStr">
        <is>
          <t>LB02235-negro</t>
        </is>
      </c>
      <c r="G5312" s="16" t="inlineStr">
        <is>
          <t>Audífonos Inalámbricos para la Cabeza, Recargables y Multifuncionales - Conectan a Varios Dispositivos, soportan Radio FM, Tarjeta TF y AUX - 4 Horas de Reproducción Musical - Ideal para Trabajo Cotidiano, Juegos y Estudio</t>
        </is>
      </c>
      <c r="H5312" s="16" t="inlineStr">
        <is>
          <t>NEGRO</t>
        </is>
      </c>
      <c r="I5312" s="16" t="n">
        <v>1</v>
      </c>
      <c r="J5312" s="17" t="n">
        <v>37.71</v>
      </c>
      <c r="K5312" s="17" t="n">
        <v>40.66</v>
      </c>
      <c r="L5312" s="17" t="n">
        <v>25.86</v>
      </c>
      <c r="M5312" s="17" t="n">
        <v>0</v>
      </c>
      <c r="N5312" s="17">
        <f>K5312*0.08+L5312*0.08</f>
        <v/>
      </c>
      <c r="O5312" s="17">
        <f>-(K5312*0.025+L5312*0.025)</f>
        <v/>
      </c>
      <c r="P5312" s="17">
        <f>32</f>
        <v/>
      </c>
      <c r="Q5312" s="17">
        <f>J5312+L5312+N5312+O5312-P5312-M5312</f>
        <v/>
      </c>
    </row>
    <row r="5313">
      <c r="A5313" s="16" t="inlineStr">
        <is>
          <t>5.8-5.14</t>
        </is>
      </c>
      <c r="B5313" s="16" t="inlineStr">
        <is>
          <t>PO-128-06181751276150624</t>
        </is>
      </c>
      <c r="C5313" s="16" t="inlineStr">
        <is>
          <t>Delivered</t>
        </is>
      </c>
      <c r="D5313" s="16" t="inlineStr">
        <is>
          <t>128-06181782733430624</t>
        </is>
      </c>
      <c r="E5313" s="16" t="inlineStr">
        <is>
          <t>Delivered</t>
        </is>
      </c>
      <c r="F5313" s="16" t="inlineStr">
        <is>
          <t>LB02235-rojo</t>
        </is>
      </c>
      <c r="G5313" s="16" t="inlineStr">
        <is>
          <t>Audífonos Inalámbricos para la Cabeza, Recargables y Multifuncionales - Conectan a Varios Dispositivos, soportan Radio FM, Tarjeta TF y AUX - 4 Horas de Reproducción Musical - Ideal para Trabajo Cotidiano, Juegos y Estudio</t>
        </is>
      </c>
      <c r="H5313" s="16" t="inlineStr">
        <is>
          <t>ROJO</t>
        </is>
      </c>
      <c r="I5313" s="16" t="n">
        <v>1</v>
      </c>
      <c r="J5313" s="17" t="n">
        <v>36.8</v>
      </c>
      <c r="K5313" s="17" t="n">
        <v>37.63</v>
      </c>
      <c r="L5313" s="17" t="n">
        <v>25.86</v>
      </c>
      <c r="M5313" s="17" t="n">
        <v>0</v>
      </c>
      <c r="N5313" s="17">
        <f>K5313*0.08+L5313*0.08</f>
        <v/>
      </c>
      <c r="O5313" s="17">
        <f>-(K5313*0.025+L5313*0.025)</f>
        <v/>
      </c>
      <c r="P5313" s="17">
        <f>32</f>
        <v/>
      </c>
      <c r="Q5313" s="17">
        <f>J5313+L5313+N5313+O5313-P5313-M5313</f>
        <v/>
      </c>
    </row>
    <row r="5314">
      <c r="A5314" s="16" t="inlineStr">
        <is>
          <t>5.8-5.14</t>
        </is>
      </c>
      <c r="B5314" s="16" t="inlineStr">
        <is>
          <t>PO-128-06183721621110615</t>
        </is>
      </c>
      <c r="C5314" s="16" t="inlineStr">
        <is>
          <t>Delivered</t>
        </is>
      </c>
      <c r="D5314" s="16" t="inlineStr">
        <is>
          <t>128-06183679678070615</t>
        </is>
      </c>
      <c r="E5314" s="16" t="inlineStr">
        <is>
          <t>Delivered</t>
        </is>
      </c>
      <c r="F5314" s="16" t="inlineStr">
        <is>
          <t>MB-178-N</t>
        </is>
      </c>
      <c r="G5314" s="16" t="inlineStr">
        <is>
          <t>Bocina de Barra Bluetooth LINK BITS con dos altavoces, sonido de alta calidad y multifuncional (Bluetooth, Radio FM, USB, TF, AUX, TWS), ideal para juegos, reuniones, oficina y cine en casa.</t>
        </is>
      </c>
      <c r="H5314" s="16" t="inlineStr">
        <is>
          <t>NEGRO</t>
        </is>
      </c>
      <c r="I5314" s="16" t="n">
        <v>2</v>
      </c>
      <c r="J5314" s="17" t="n">
        <v>240</v>
      </c>
      <c r="K5314" s="17" t="n">
        <v>278.68</v>
      </c>
      <c r="L5314" s="17" t="n">
        <v>0</v>
      </c>
      <c r="M5314" s="17" t="n">
        <v>0</v>
      </c>
      <c r="N5314" s="17">
        <f>K5314*0.08+L5314*0.08</f>
        <v/>
      </c>
      <c r="O5314" s="17">
        <f>-(K5314*0.025+L5314*0.025)</f>
        <v/>
      </c>
      <c r="P5314" s="17">
        <f>32</f>
        <v/>
      </c>
      <c r="Q5314" s="17">
        <f>J5314+L5314+N5314+O5314-P5314-M5314</f>
        <v/>
      </c>
    </row>
    <row r="5315">
      <c r="A5315" s="16" t="inlineStr">
        <is>
          <t>5.8-5.14</t>
        </is>
      </c>
      <c r="B5315" s="16" t="inlineStr">
        <is>
          <t>PO-128-05699192023672351</t>
        </is>
      </c>
      <c r="C5315" s="16" t="inlineStr">
        <is>
          <t>Delivered</t>
        </is>
      </c>
      <c r="D5315" s="16" t="inlineStr">
        <is>
          <t>128-05699150080632351</t>
        </is>
      </c>
      <c r="E5315" s="16" t="inlineStr">
        <is>
          <t>Delivered</t>
        </is>
      </c>
      <c r="F5315" s="16" t="inlineStr">
        <is>
          <t>MB-185N</t>
        </is>
      </c>
      <c r="G5315" s="16" t="inlineStr">
        <is>
          <t>Bocina Radio FM/Reproductor, Compatible con Tarjeta TF, USB, Bluetooth, Aplicable para celular, computadora, Ipad y consola.</t>
        </is>
      </c>
      <c r="H5315" s="16" t="inlineStr">
        <is>
          <t>NEGRO/MB-185</t>
        </is>
      </c>
      <c r="I5315" s="16" t="n">
        <v>1</v>
      </c>
      <c r="J5315" s="17" t="n">
        <v>75.5</v>
      </c>
      <c r="K5315" s="17" t="n">
        <v>61.93</v>
      </c>
      <c r="L5315" s="17" t="n">
        <v>25.86</v>
      </c>
      <c r="M5315" s="17" t="n">
        <v>0</v>
      </c>
      <c r="N5315" s="17">
        <f>K5315*0.08+L5315*0.08</f>
        <v/>
      </c>
      <c r="O5315" s="17">
        <f>-(K5315*0.025+L5315*0.025)</f>
        <v/>
      </c>
      <c r="P5315" s="17">
        <f>32</f>
        <v/>
      </c>
      <c r="Q5315" s="17">
        <f>J5315+L5315+N5315+O5315-P5315-M5315</f>
        <v/>
      </c>
    </row>
    <row r="5316">
      <c r="A5316" s="16" t="inlineStr">
        <is>
          <t>5.8-5.14</t>
        </is>
      </c>
      <c r="B5316" s="16" t="inlineStr">
        <is>
          <t>PO-128-05918576773751107</t>
        </is>
      </c>
      <c r="C5316" s="16" t="inlineStr">
        <is>
          <t>Delivered</t>
        </is>
      </c>
      <c r="D5316" s="16" t="inlineStr">
        <is>
          <t>128-05918618716791107</t>
        </is>
      </c>
      <c r="E5316" s="16" t="inlineStr">
        <is>
          <t>Delivered</t>
        </is>
      </c>
      <c r="F5316" s="16" t="inlineStr">
        <is>
          <t>MB-185R</t>
        </is>
      </c>
      <c r="G5316" s="16" t="inlineStr">
        <is>
          <t>Bocina Radio FM/Reproductor, Compatible con Tarjeta TF, USB, Bluetooth, Aplicable para celular, computadora, Ipad y consola.</t>
        </is>
      </c>
      <c r="H5316" s="16" t="inlineStr">
        <is>
          <t>ROJO/MB-185</t>
        </is>
      </c>
      <c r="I5316" s="16" t="n">
        <v>1</v>
      </c>
      <c r="J5316" s="17" t="n">
        <v>75.59999999999999</v>
      </c>
      <c r="K5316" s="17" t="n">
        <v>45.45</v>
      </c>
      <c r="L5316" s="17" t="n">
        <v>25.86</v>
      </c>
      <c r="M5316" s="17" t="n">
        <v>0</v>
      </c>
      <c r="N5316" s="17">
        <f>K5316*0.08+L5316*0.08</f>
        <v/>
      </c>
      <c r="O5316" s="17">
        <f>-(K5316*0.025+L5316*0.025)</f>
        <v/>
      </c>
      <c r="P5316" s="17">
        <f>32</f>
        <v/>
      </c>
      <c r="Q5316" s="17">
        <f>J5316+L5316+N5316+O5316-P5316-M5316</f>
        <v/>
      </c>
    </row>
    <row r="5317">
      <c r="A5317" s="16" t="inlineStr">
        <is>
          <t>5.8-5.14</t>
        </is>
      </c>
      <c r="B5317" s="16" t="inlineStr">
        <is>
          <t>PO-128-05760069223032946</t>
        </is>
      </c>
      <c r="C5317" s="16" t="inlineStr">
        <is>
          <t>Delivered</t>
        </is>
      </c>
      <c r="D5317" s="16" t="inlineStr">
        <is>
          <t>128-05760090194552946</t>
        </is>
      </c>
      <c r="E5317" s="16" t="inlineStr">
        <is>
          <t>Delivered</t>
        </is>
      </c>
      <c r="F5317" s="16" t="inlineStr">
        <is>
          <t>KTS-1678R</t>
        </is>
      </c>
      <c r="G5317" s="16" t="inlineStr">
        <is>
          <t>Bocina portátil Inalámbrico, de 3 pulgadas, tamaño de bolsillo, 170 g, con asa, compatible con TF, USB y Micro SD, con radio FM y función TWS (True Wireless Stereo), adecuada para relajarse en casa o viajar al aire libre.</t>
        </is>
      </c>
      <c r="H5317" s="16" t="inlineStr">
        <is>
          <t>KTS-1678R</t>
        </is>
      </c>
      <c r="I5317" s="16" t="n">
        <v>1</v>
      </c>
      <c r="J5317" s="17" t="n">
        <v>42.5</v>
      </c>
      <c r="K5317" s="17" t="n">
        <v>50.79</v>
      </c>
      <c r="L5317" s="17" t="n">
        <v>25.86</v>
      </c>
      <c r="M5317" s="17" t="n">
        <v>0</v>
      </c>
      <c r="N5317" s="17">
        <f>K5317*0.08+L5317*0.08</f>
        <v/>
      </c>
      <c r="O5317" s="17">
        <f>-(K5317*0.025+L5317*0.025)</f>
        <v/>
      </c>
      <c r="P5317" s="17">
        <f>32</f>
        <v/>
      </c>
      <c r="Q5317" s="17">
        <f>J5317+L5317+N5317+O5317-P5317-M5317</f>
        <v/>
      </c>
    </row>
    <row r="5318">
      <c r="A5318" s="16" t="inlineStr">
        <is>
          <t>5.8-5.14</t>
        </is>
      </c>
      <c r="B5318" s="16" t="inlineStr">
        <is>
          <t>PO-128-06173929871990545</t>
        </is>
      </c>
      <c r="C5318" s="16" t="inlineStr">
        <is>
          <t>Delivered</t>
        </is>
      </c>
      <c r="D5318" s="16" t="inlineStr">
        <is>
          <t>128-06173961329270545</t>
        </is>
      </c>
      <c r="E5318" s="16" t="inlineStr">
        <is>
          <t>Delivered</t>
        </is>
      </c>
      <c r="F5318" s="16" t="inlineStr">
        <is>
          <t>LB02235-negro</t>
        </is>
      </c>
      <c r="G5318" s="16" t="inlineStr">
        <is>
          <t>Audífonos Inalámbricos para la Cabeza, Recargables y Multifuncionales - Conectan a Varios Dispositivos, soportan Radio FM, Tarjeta TF y AUX - 4 Horas de Reproducción Musical - Ideal para Trabajo Cotidiano, Juegos y Estudio</t>
        </is>
      </c>
      <c r="H5318" s="16" t="inlineStr">
        <is>
          <t>NEGRO</t>
        </is>
      </c>
      <c r="I5318" s="16" t="n">
        <v>1</v>
      </c>
      <c r="J5318" s="17" t="n">
        <v>37.71</v>
      </c>
      <c r="K5318" s="17" t="n">
        <v>50.83</v>
      </c>
      <c r="L5318" s="17" t="n">
        <v>25.86</v>
      </c>
      <c r="M5318" s="17" t="n">
        <v>0</v>
      </c>
      <c r="N5318" s="17">
        <f>K5318*0.08+L5318*0.08</f>
        <v/>
      </c>
      <c r="O5318" s="17">
        <f>-(K5318*0.025+L5318*0.025)</f>
        <v/>
      </c>
      <c r="P5318" s="17">
        <f>32</f>
        <v/>
      </c>
      <c r="Q5318" s="17">
        <f>J5318+L5318+N5318+O5318-P5318-M5318</f>
        <v/>
      </c>
    </row>
    <row r="5319">
      <c r="A5319" s="16" t="inlineStr">
        <is>
          <t>5.8-5.14</t>
        </is>
      </c>
      <c r="B5319" s="16" t="inlineStr">
        <is>
          <t>PO-128-05747101461112129</t>
        </is>
      </c>
      <c r="C5319" s="16" t="inlineStr">
        <is>
          <t>Delivered</t>
        </is>
      </c>
      <c r="D5319" s="16" t="inlineStr">
        <is>
          <t>128-05747059518072129</t>
        </is>
      </c>
      <c r="E5319" s="16" t="inlineStr">
        <is>
          <t>Delivered</t>
        </is>
      </c>
      <c r="F5319" s="16" t="inlineStr">
        <is>
          <t>VA384T-N</t>
        </is>
      </c>
      <c r="G5319" s="16" t="inlineStr">
        <is>
          <t>Bocina Portátil Bluetooth de 3 Pulgadas con Radio FM, USB TF TWS, Sonido Estéreo 5W, Bocina Recargable para Hogar Exterior Viaje Fiesta Camping</t>
        </is>
      </c>
      <c r="H5319" s="16" t="inlineStr">
        <is>
          <t>NEGRO</t>
        </is>
      </c>
      <c r="I5319" s="16" t="n">
        <v>1</v>
      </c>
      <c r="J5319" s="17" t="n">
        <v>50</v>
      </c>
      <c r="K5319" s="17" t="n">
        <v>49.33</v>
      </c>
      <c r="L5319" s="17" t="n">
        <v>25.86</v>
      </c>
      <c r="M5319" s="17" t="n">
        <v>0</v>
      </c>
      <c r="N5319" s="17">
        <f>K5319*0.08+L5319*0.08</f>
        <v/>
      </c>
      <c r="O5319" s="17">
        <f>-(K5319*0.025+L5319*0.025)</f>
        <v/>
      </c>
      <c r="P5319" s="17">
        <f>32</f>
        <v/>
      </c>
      <c r="Q5319" s="17">
        <f>J5319+L5319+N5319+O5319-P5319-M5319</f>
        <v/>
      </c>
    </row>
    <row r="5320">
      <c r="A5320" s="16" t="inlineStr">
        <is>
          <t>5.8-5.14</t>
        </is>
      </c>
      <c r="B5320" s="16" t="inlineStr">
        <is>
          <t>PO-128-05689659761272535</t>
        </is>
      </c>
      <c r="C5320" s="16" t="inlineStr">
        <is>
          <t>Delivered</t>
        </is>
      </c>
      <c r="D5320" s="16" t="inlineStr">
        <is>
          <t>128-05689823601272535</t>
        </is>
      </c>
      <c r="E5320" s="16" t="inlineStr">
        <is>
          <t>Delivered</t>
        </is>
      </c>
      <c r="F5320" s="16" t="inlineStr">
        <is>
          <t>LB02235-blanco</t>
        </is>
      </c>
      <c r="G5320" s="16" t="inlineStr">
        <is>
          <t>Audífonos Inalámbricos para la Cabeza, Recargables y Multifuncionales - Conectan a Varios Dispositivos, soportan Radio FM, Tarjeta TF y AUX - 4 Horas de Reproducción Musical - Ideal para Trabajo Cotidiano, Juegos y Estudio</t>
        </is>
      </c>
      <c r="H5320" s="16" t="inlineStr">
        <is>
          <t>BLANCO</t>
        </is>
      </c>
      <c r="I5320" s="16" t="n">
        <v>1</v>
      </c>
      <c r="J5320" s="17" t="n">
        <v>37.71</v>
      </c>
      <c r="K5320" s="17" t="n">
        <v>50.83</v>
      </c>
      <c r="L5320" s="17" t="n">
        <v>25.86</v>
      </c>
      <c r="M5320" s="17" t="n">
        <v>0</v>
      </c>
      <c r="N5320" s="17">
        <f>K5320*0.08+L5320*0.08</f>
        <v/>
      </c>
      <c r="O5320" s="17">
        <f>-(K5320*0.025+L5320*0.025)</f>
        <v/>
      </c>
      <c r="P5320" s="17">
        <f>32</f>
        <v/>
      </c>
      <c r="Q5320" s="17">
        <f>J5320+L5320+N5320+O5320-P5320-M5320</f>
        <v/>
      </c>
    </row>
    <row r="5321">
      <c r="A5321" s="16" t="inlineStr">
        <is>
          <t>5.8-5.14</t>
        </is>
      </c>
      <c r="B5321" s="16" t="inlineStr">
        <is>
          <t>PO-128-05992038328951565</t>
        </is>
      </c>
      <c r="C5321" s="16" t="inlineStr">
        <is>
          <t>Delivered</t>
        </is>
      </c>
      <c r="D5321" s="16" t="inlineStr">
        <is>
          <t>128-05992080271991565</t>
        </is>
      </c>
      <c r="E5321" s="16" t="inlineStr">
        <is>
          <t>Delivered</t>
        </is>
      </c>
      <c r="F5321" s="16" t="inlineStr">
        <is>
          <t>LB02235-blanco</t>
        </is>
      </c>
      <c r="G5321" s="16" t="inlineStr">
        <is>
          <t>Audífonos Inalámbricos para la Cabeza, Recargables y Multifuncionales - Conectan a Varios Dispositivos, soportan Radio FM, Tarjeta TF y AUX - 4 Horas de Reproducción Musical - Ideal para Trabajo Cotidiano, Juegos y Estudio</t>
        </is>
      </c>
      <c r="H5321" s="16" t="inlineStr">
        <is>
          <t>BLANCO</t>
        </is>
      </c>
      <c r="I5321" s="16" t="n">
        <v>1</v>
      </c>
      <c r="J5321" s="17" t="n">
        <v>37.71</v>
      </c>
      <c r="K5321" s="17" t="n">
        <v>7.73</v>
      </c>
      <c r="L5321" s="17" t="n">
        <v>25.86</v>
      </c>
      <c r="M5321" s="17" t="n">
        <v>0</v>
      </c>
      <c r="N5321" s="17">
        <f>K5321*0.08+L5321*0.08</f>
        <v/>
      </c>
      <c r="O5321" s="17">
        <f>-(K5321*0.025+L5321*0.025)</f>
        <v/>
      </c>
      <c r="P5321" s="17">
        <f>32</f>
        <v/>
      </c>
      <c r="Q5321" s="17">
        <f>J5321+L5321+N5321+O5321-P5321-M5321</f>
        <v/>
      </c>
    </row>
    <row r="5322">
      <c r="A5322" s="16" t="inlineStr">
        <is>
          <t>5.8-5.14</t>
        </is>
      </c>
      <c r="B5322" s="16" t="inlineStr">
        <is>
          <t>PO-128-05925545001591129</t>
        </is>
      </c>
      <c r="C5322" s="16" t="inlineStr">
        <is>
          <t>Delivered</t>
        </is>
      </c>
      <c r="D5322" s="16" t="inlineStr">
        <is>
          <t>128-05925712527991129</t>
        </is>
      </c>
      <c r="E5322" s="16" t="inlineStr">
        <is>
          <t>Delivered</t>
        </is>
      </c>
      <c r="F5322" s="16" t="inlineStr">
        <is>
          <t>MB-178-N</t>
        </is>
      </c>
      <c r="G5322" s="16" t="inlineStr">
        <is>
          <t>Bocina de Barra Bluetooth LINK BITS con dos altavoces, sonido de alta calidad y multifuncional (Bluetooth, Radio FM, USB, TF, AUX, TWS), ideal para juegos, reuniones, oficina y cine en casa.</t>
        </is>
      </c>
      <c r="H5322" s="16" t="inlineStr">
        <is>
          <t>NEGRO</t>
        </is>
      </c>
      <c r="I5322" s="16" t="n">
        <v>1</v>
      </c>
      <c r="J5322" s="17" t="n">
        <v>120</v>
      </c>
      <c r="K5322" s="17" t="n">
        <v>8.74</v>
      </c>
      <c r="L5322" s="17" t="n">
        <v>19.6</v>
      </c>
      <c r="M5322" s="17" t="n">
        <v>0</v>
      </c>
      <c r="N5322" s="17">
        <f>K5322*0.08+L5322*0.08</f>
        <v/>
      </c>
      <c r="O5322" s="17">
        <f>-(K5322*0.025+L5322*0.025)</f>
        <v/>
      </c>
      <c r="P5322" s="17">
        <f>32</f>
        <v/>
      </c>
      <c r="Q5322" s="17">
        <f>J5322+L5322+N5322+O5322-P5322-M5322</f>
        <v/>
      </c>
    </row>
    <row r="5323">
      <c r="A5323" s="16" t="inlineStr">
        <is>
          <t>5.8-5.14</t>
        </is>
      </c>
      <c r="B5323" s="16" t="inlineStr">
        <is>
          <t>PO-128-05925545001591129</t>
        </is>
      </c>
      <c r="C5323" s="16" t="inlineStr">
        <is>
          <t>Delivered</t>
        </is>
      </c>
      <c r="D5323" s="16" t="inlineStr">
        <is>
          <t>128-05925670584951129</t>
        </is>
      </c>
      <c r="E5323" s="16" t="inlineStr">
        <is>
          <t>Delivered</t>
        </is>
      </c>
      <c r="F5323" s="16" t="inlineStr">
        <is>
          <t>FA028</t>
        </is>
      </c>
      <c r="G5323" s="16" t="inlineStr">
        <is>
          <t>Extractor de agua para garrafas de agua, compatible con carga USB, extractor de agua automático, práctico, con dos modos de toma de agua: manual y programado, ideal para dormitorios, salones, oficinas, uso al aire libre y otros escenarios.</t>
        </is>
      </c>
      <c r="H5323" s="16" t="inlineStr">
        <is>
          <t>FA028</t>
        </is>
      </c>
      <c r="I5323" s="16" t="n">
        <v>1</v>
      </c>
      <c r="J5323" s="17" t="n">
        <v>35</v>
      </c>
      <c r="K5323" s="17" t="n">
        <v>2.79</v>
      </c>
      <c r="L5323" s="17" t="n">
        <v>6.26</v>
      </c>
      <c r="M5323" s="17" t="n">
        <v>0</v>
      </c>
      <c r="N5323" s="17">
        <f>K5323*0.08+L5323*0.08</f>
        <v/>
      </c>
      <c r="O5323" s="17">
        <f>-(K5323*0.025+L5323*0.025)</f>
        <v/>
      </c>
      <c r="P5323" s="17">
        <f>32</f>
        <v/>
      </c>
      <c r="Q5323" s="17">
        <f>J5323+L5323+N5323+O5323-P5323-M5323</f>
        <v/>
      </c>
    </row>
    <row r="5324">
      <c r="A5324" s="16" t="inlineStr">
        <is>
          <t>5.8-5.14</t>
        </is>
      </c>
      <c r="B5324" s="16" t="inlineStr">
        <is>
          <t>PO-128-06008710605431656</t>
        </is>
      </c>
      <c r="C5324" s="16" t="inlineStr">
        <is>
          <t>Delivered</t>
        </is>
      </c>
      <c r="D5324" s="16" t="inlineStr">
        <is>
          <t>128-06008731576951656</t>
        </is>
      </c>
      <c r="E5324" s="16" t="inlineStr">
        <is>
          <t>Delivered</t>
        </is>
      </c>
      <c r="F5324" s="16" t="inlineStr">
        <is>
          <t>MCM-001N</t>
        </is>
      </c>
      <c r="G5324" s="16" t="inlineStr">
        <is>
          <t>Musicord Altavoz Inalámbrico BT Portátil: ¡Sonido impactante, luces LED multicolores y 4 horas de autonomía! Compatible con TWS, FM, TF y USB – Imprescindible para fiestas y viajes</t>
        </is>
      </c>
      <c r="H5324" s="16" t="inlineStr">
        <is>
          <t>NEGRO</t>
        </is>
      </c>
      <c r="I5324" s="16" t="n">
        <v>1</v>
      </c>
      <c r="J5324" s="17" t="n">
        <v>61</v>
      </c>
      <c r="K5324" s="17" t="n">
        <v>72.29000000000001</v>
      </c>
      <c r="L5324" s="17" t="n">
        <v>25.86</v>
      </c>
      <c r="M5324" s="17" t="n">
        <v>0</v>
      </c>
      <c r="N5324" s="17">
        <f>K5324*0.08+L5324*0.08</f>
        <v/>
      </c>
      <c r="O5324" s="17">
        <f>-(K5324*0.025+L5324*0.025)</f>
        <v/>
      </c>
      <c r="P5324" s="17">
        <f>32</f>
        <v/>
      </c>
      <c r="Q5324" s="17">
        <f>J5324+L5324+N5324+O5324-P5324-M5324</f>
        <v/>
      </c>
    </row>
    <row r="5325">
      <c r="A5325" s="16" t="inlineStr">
        <is>
          <t>5.8-5.14</t>
        </is>
      </c>
      <c r="B5325" s="16" t="inlineStr">
        <is>
          <t>PO-128-05730896067192288</t>
        </is>
      </c>
      <c r="C5325" s="16" t="inlineStr">
        <is>
          <t>Delivered</t>
        </is>
      </c>
      <c r="D5325" s="16" t="inlineStr">
        <is>
          <t>128-05730854124152288</t>
        </is>
      </c>
      <c r="E5325" s="16" t="inlineStr">
        <is>
          <t>Delivered</t>
        </is>
      </c>
      <c r="F5325" s="16" t="inlineStr">
        <is>
          <t>MB-178-N</t>
        </is>
      </c>
      <c r="G5325" s="16" t="inlineStr">
        <is>
          <t>Bocina de Barra Bluetooth LINK BITS con dos altavoces, sonido de alta calidad y multifuncional (Bluetooth, Radio FM, USB, TF, AUX, TWS), ideal para juegos, reuniones, oficina y cine en casa.</t>
        </is>
      </c>
      <c r="H5325" s="16" t="inlineStr">
        <is>
          <t>NEGRO</t>
        </is>
      </c>
      <c r="I5325" s="16" t="n">
        <v>1</v>
      </c>
      <c r="J5325" s="17" t="n">
        <v>120</v>
      </c>
      <c r="K5325" s="17" t="n">
        <v>139.34</v>
      </c>
      <c r="L5325" s="17" t="n">
        <v>25.86</v>
      </c>
      <c r="M5325" s="17" t="n">
        <v>0</v>
      </c>
      <c r="N5325" s="17">
        <f>K5325*0.08+L5325*0.08</f>
        <v/>
      </c>
      <c r="O5325" s="17">
        <f>-(K5325*0.025+L5325*0.025)</f>
        <v/>
      </c>
      <c r="P5325" s="17">
        <f>32</f>
        <v/>
      </c>
      <c r="Q5325" s="17">
        <f>J5325+L5325+N5325+O5325-P5325-M5325</f>
        <v/>
      </c>
    </row>
    <row r="5326">
      <c r="A5326" s="16" t="inlineStr">
        <is>
          <t>5.8-5.14</t>
        </is>
      </c>
      <c r="B5326" s="16" t="inlineStr">
        <is>
          <t>PO-128-06126451999350826</t>
        </is>
      </c>
      <c r="C5326" s="16" t="inlineStr">
        <is>
          <t>Delivered</t>
        </is>
      </c>
      <c r="D5326" s="16" t="inlineStr">
        <is>
          <t>128-06126383841910826</t>
        </is>
      </c>
      <c r="E5326" s="16" t="inlineStr">
        <is>
          <t>Delivered</t>
        </is>
      </c>
      <c r="F5326" s="16" t="inlineStr">
        <is>
          <t>KTS-1678R</t>
        </is>
      </c>
      <c r="G5326" s="16" t="inlineStr">
        <is>
          <t>Bocina portátil Inalámbrico, de 3 pulgadas, tamaño de bolsillo, 170 g, con asa, compatible con TF, USB y Micro SD, con radio FM y función TWS (True Wireless Stereo), adecuada para relajarse en casa o viajar al aire libre.</t>
        </is>
      </c>
      <c r="H5326" s="16" t="inlineStr">
        <is>
          <t>KTS-1678R</t>
        </is>
      </c>
      <c r="I5326" s="16" t="n">
        <v>1</v>
      </c>
      <c r="J5326" s="17" t="n">
        <v>42.5</v>
      </c>
      <c r="K5326" s="17" t="n">
        <v>43.02</v>
      </c>
      <c r="L5326" s="17" t="n">
        <v>25.86</v>
      </c>
      <c r="M5326" s="17" t="n">
        <v>0</v>
      </c>
      <c r="N5326" s="17">
        <f>K5326*0.08+L5326*0.08</f>
        <v/>
      </c>
      <c r="O5326" s="17">
        <f>-(K5326*0.025+L5326*0.025)</f>
        <v/>
      </c>
      <c r="P5326" s="17">
        <f>32</f>
        <v/>
      </c>
      <c r="Q5326" s="17">
        <f>J5326+L5326+N5326+O5326-P5326-M5326</f>
        <v/>
      </c>
    </row>
    <row r="5327">
      <c r="A5327" s="16" t="inlineStr">
        <is>
          <t>5.8-5.14</t>
        </is>
      </c>
      <c r="B5327" s="16" t="inlineStr">
        <is>
          <t>PO-128-05545180467833205</t>
        </is>
      </c>
      <c r="C5327" s="16" t="inlineStr">
        <is>
          <t>Delivered</t>
        </is>
      </c>
      <c r="D5327" s="16" t="inlineStr">
        <is>
          <t>128-05545133281913205</t>
        </is>
      </c>
      <c r="E5327" s="16" t="inlineStr">
        <is>
          <t>Delivered</t>
        </is>
      </c>
      <c r="F5327" s="16" t="inlineStr">
        <is>
          <t>LB02235-negro</t>
        </is>
      </c>
      <c r="G5327" s="16" t="inlineStr">
        <is>
          <t>Audífonos Inalámbricos para la Cabeza, Recargables y Multifuncionales - Conectan a Varios Dispositivos, soportan Radio FM, Tarjeta TF y AUX - 4 Horas de Reproducción Musical - Ideal para Trabajo Cotidiano, Juegos y Estudio</t>
        </is>
      </c>
      <c r="H5327" s="16" t="inlineStr">
        <is>
          <t>NEGRO</t>
        </is>
      </c>
      <c r="I5327" s="16" t="n">
        <v>1</v>
      </c>
      <c r="J5327" s="17" t="n">
        <v>37.71</v>
      </c>
      <c r="K5327" s="17" t="n">
        <v>50.83</v>
      </c>
      <c r="L5327" s="17" t="n">
        <v>25.86</v>
      </c>
      <c r="M5327" s="17" t="n">
        <v>0</v>
      </c>
      <c r="N5327" s="17">
        <f>K5327*0.08+L5327*0.08</f>
        <v/>
      </c>
      <c r="O5327" s="17">
        <f>-(K5327*0.025+L5327*0.025)</f>
        <v/>
      </c>
      <c r="P5327" s="17">
        <f>32</f>
        <v/>
      </c>
      <c r="Q5327" s="17">
        <f>J5327+L5327+N5327+O5327-P5327-M5327</f>
        <v/>
      </c>
    </row>
    <row r="5328">
      <c r="A5328" s="16" t="inlineStr">
        <is>
          <t>5.8-5.14</t>
        </is>
      </c>
      <c r="B5328" s="16" t="inlineStr">
        <is>
          <t>PO-128-06102551040630904</t>
        </is>
      </c>
      <c r="C5328" s="16" t="inlineStr">
        <is>
          <t>Delivered</t>
        </is>
      </c>
      <c r="D5328" s="16" t="inlineStr">
        <is>
          <t>128-06102556283510904</t>
        </is>
      </c>
      <c r="E5328" s="16" t="inlineStr">
        <is>
          <t>Delivered</t>
        </is>
      </c>
      <c r="F5328" s="16" t="inlineStr">
        <is>
          <t>MCM-001G</t>
        </is>
      </c>
      <c r="G5328" s="16" t="inlineStr">
        <is>
          <t>Musicord Altavoz Inalámbrico BT Portátil: ¡Sonido impactante, luces LED multicolores y 4 horas de autonomía! Compatible con TWS, FM, TF y USB – Imprescindible para fiestas y viajes</t>
        </is>
      </c>
      <c r="H5328" s="16" t="inlineStr">
        <is>
          <t>GRIS</t>
        </is>
      </c>
      <c r="I5328" s="16" t="n">
        <v>1</v>
      </c>
      <c r="J5328" s="17" t="n">
        <v>51.07</v>
      </c>
      <c r="K5328" s="17" t="n">
        <v>62.36</v>
      </c>
      <c r="L5328" s="17" t="n">
        <v>25.86</v>
      </c>
      <c r="M5328" s="17" t="n">
        <v>0</v>
      </c>
      <c r="N5328" s="17">
        <f>K5328*0.08+L5328*0.08</f>
        <v/>
      </c>
      <c r="O5328" s="17">
        <f>-(K5328*0.025+L5328*0.025)</f>
        <v/>
      </c>
      <c r="P5328" s="17">
        <f>32</f>
        <v/>
      </c>
      <c r="Q5328" s="17">
        <f>J5328+L5328+N5328+O5328-P5328-M5328</f>
        <v/>
      </c>
    </row>
    <row r="5329">
      <c r="A5329" s="16" t="inlineStr">
        <is>
          <t>5.8-5.14</t>
        </is>
      </c>
      <c r="B5329" s="16" t="inlineStr">
        <is>
          <t>PO-128-05924152474231136</t>
        </is>
      </c>
      <c r="C5329" s="16" t="inlineStr">
        <is>
          <t>Delivered</t>
        </is>
      </c>
      <c r="D5329" s="16" t="inlineStr">
        <is>
          <t>128-05924173445751136</t>
        </is>
      </c>
      <c r="E5329" s="16" t="inlineStr">
        <is>
          <t>Delivered</t>
        </is>
      </c>
      <c r="F5329" s="16" t="inlineStr">
        <is>
          <t>LB02235-blanco</t>
        </is>
      </c>
      <c r="G5329" s="16" t="inlineStr">
        <is>
          <t>Audífonos Inalámbricos para la Cabeza, Recargables y Multifuncionales - Conectan a Varios Dispositivos, soportan Radio FM, Tarjeta TF y AUX - 4 Horas de Reproducción Musical - Ideal para Trabajo Cotidiano, Juegos y Estudio</t>
        </is>
      </c>
      <c r="H5329" s="16" t="inlineStr">
        <is>
          <t>BLANCO</t>
        </is>
      </c>
      <c r="I5329" s="16" t="n">
        <v>1</v>
      </c>
      <c r="J5329" s="17" t="n">
        <v>37.71</v>
      </c>
      <c r="K5329" s="17" t="n">
        <v>50.83</v>
      </c>
      <c r="L5329" s="17" t="n">
        <v>25.86</v>
      </c>
      <c r="M5329" s="17" t="n">
        <v>0</v>
      </c>
      <c r="N5329" s="17">
        <f>K5329*0.08+L5329*0.08</f>
        <v/>
      </c>
      <c r="O5329" s="17">
        <f>-(K5329*0.025+L5329*0.025)</f>
        <v/>
      </c>
      <c r="P5329" s="17">
        <f>32</f>
        <v/>
      </c>
      <c r="Q5329" s="17">
        <f>J5329+L5329+N5329+O5329-P5329-M5329</f>
        <v/>
      </c>
    </row>
    <row r="5330">
      <c r="A5330" s="16" t="inlineStr">
        <is>
          <t>5.8-5.14</t>
        </is>
      </c>
      <c r="B5330" s="16" t="inlineStr">
        <is>
          <t>PO-128-05885926339191172</t>
        </is>
      </c>
      <c r="C5330" s="16" t="inlineStr">
        <is>
          <t>Delivered</t>
        </is>
      </c>
      <c r="D5330" s="16" t="inlineStr">
        <is>
          <t>128-05885884396151172</t>
        </is>
      </c>
      <c r="E5330" s="16" t="inlineStr">
        <is>
          <t>Delivered</t>
        </is>
      </c>
      <c r="F5330" s="16" t="inlineStr">
        <is>
          <t>BS-22</t>
        </is>
      </c>
      <c r="G5330" s="16" t="inlineStr">
        <is>
          <t>link bits Barra de Sonido para TV, 2x2" Altavoces + 2 Membranas de Graves, Sonido Claro ≥80dB, Bluetooth Inalámbrico, Conexiones AUX/USB, Diseño Compacto 76cm, Sonido Envolvente 3D para Cine en Casa, PC, Juegos y Fiestas</t>
        </is>
      </c>
      <c r="H5330" s="16" t="inlineStr">
        <is>
          <t>BS-22</t>
        </is>
      </c>
      <c r="I5330" s="16" t="n">
        <v>1</v>
      </c>
      <c r="J5330" s="17" t="n">
        <v>255</v>
      </c>
      <c r="K5330" s="17" t="n">
        <v>294.61</v>
      </c>
      <c r="L5330" s="17" t="n">
        <v>0</v>
      </c>
      <c r="M5330" s="17" t="n">
        <v>0</v>
      </c>
      <c r="N5330" s="17">
        <f>K5330*0.08+L5330*0.08</f>
        <v/>
      </c>
      <c r="O5330" s="17">
        <f>-(K5330*0.025+L5330*0.025)</f>
        <v/>
      </c>
      <c r="P5330" s="17">
        <f>32</f>
        <v/>
      </c>
      <c r="Q5330" s="17">
        <f>J5330+L5330+N5330+O5330-P5330-M5330</f>
        <v/>
      </c>
    </row>
    <row r="5331">
      <c r="A5331" s="16" t="inlineStr">
        <is>
          <t>5.8-5.14</t>
        </is>
      </c>
      <c r="B5331" s="16" t="inlineStr">
        <is>
          <t>PO-128-06092973630070066</t>
        </is>
      </c>
      <c r="C5331" s="16" t="inlineStr">
        <is>
          <t>Delivered</t>
        </is>
      </c>
      <c r="D5331" s="16" t="inlineStr">
        <is>
          <t>128-06092980183670066</t>
        </is>
      </c>
      <c r="E5331" s="16" t="inlineStr">
        <is>
          <t>Delivered</t>
        </is>
      </c>
      <c r="F5331" s="16" t="inlineStr">
        <is>
          <t>SA325T</t>
        </is>
      </c>
      <c r="G5331" s="16" t="inlineStr">
        <is>
          <t>Subwoofer Portátil Inalámbrico con Luces RGB, Sonido de Alta Potencia y Batería Duradera, TWS TF USB, Perfecto para Campamento Fiestas y Entretenimiento en Casa</t>
        </is>
      </c>
      <c r="H5331" s="16" t="inlineStr">
        <is>
          <t>NEGRO</t>
        </is>
      </c>
      <c r="I5331" s="16" t="n">
        <v>1</v>
      </c>
      <c r="J5331" s="17" t="n">
        <v>37.99</v>
      </c>
      <c r="K5331" s="17" t="n">
        <v>47.04</v>
      </c>
      <c r="L5331" s="17" t="n">
        <v>25.86</v>
      </c>
      <c r="M5331" s="17" t="n">
        <v>0</v>
      </c>
      <c r="N5331" s="17">
        <f>K5331*0.08+L5331*0.08</f>
        <v/>
      </c>
      <c r="O5331" s="17">
        <f>-(K5331*0.025+L5331*0.025)</f>
        <v/>
      </c>
      <c r="P5331" s="17">
        <f>32</f>
        <v/>
      </c>
      <c r="Q5331" s="17">
        <f>J5331+L5331+N5331+O5331-P5331-M5331</f>
        <v/>
      </c>
    </row>
    <row r="5332">
      <c r="A5332" s="16" t="inlineStr">
        <is>
          <t>5.8-5.14</t>
        </is>
      </c>
      <c r="B5332" s="16" t="inlineStr">
        <is>
          <t>PO-128-05705706302072374</t>
        </is>
      </c>
      <c r="C5332" s="16" t="inlineStr">
        <is>
          <t>Delivered</t>
        </is>
      </c>
      <c r="D5332" s="16" t="inlineStr">
        <is>
          <t>128-05705727273592374</t>
        </is>
      </c>
      <c r="E5332" s="16" t="inlineStr">
        <is>
          <t>Delivered</t>
        </is>
      </c>
      <c r="F5332" s="16" t="inlineStr">
        <is>
          <t>LB02235-azul</t>
        </is>
      </c>
      <c r="G5332" s="16" t="inlineStr">
        <is>
          <t>Audífonos Inalámbricos para la Cabeza, Recargables y Multifuncionales - Conectan a Varios Dispositivos, soportan Radio FM, Tarjeta TF y AUX - 4 Horas de Reproducción Musical - Ideal para Trabajo Cotidiano, Juegos y Estudio</t>
        </is>
      </c>
      <c r="H5332" s="16" t="inlineStr">
        <is>
          <t>AZUL</t>
        </is>
      </c>
      <c r="I5332" s="16" t="n">
        <v>1</v>
      </c>
      <c r="J5332" s="17" t="n">
        <v>36.8</v>
      </c>
      <c r="K5332" s="17" t="n">
        <v>6.81</v>
      </c>
      <c r="L5332" s="17" t="n">
        <v>25.86</v>
      </c>
      <c r="M5332" s="17" t="n">
        <v>0</v>
      </c>
      <c r="N5332" s="17">
        <f>K5332*0.08+L5332*0.08</f>
        <v/>
      </c>
      <c r="O5332" s="17">
        <f>-(K5332*0.025+L5332*0.025)</f>
        <v/>
      </c>
      <c r="P5332" s="17">
        <f>32</f>
        <v/>
      </c>
      <c r="Q5332" s="17">
        <f>J5332+L5332+N5332+O5332-P5332-M5332</f>
        <v/>
      </c>
    </row>
    <row r="5333">
      <c r="A5333" s="16" t="inlineStr">
        <is>
          <t>5.8-5.14</t>
        </is>
      </c>
      <c r="B5333" s="16" t="inlineStr">
        <is>
          <t>PO-128-05921816873591150</t>
        </is>
      </c>
      <c r="C5333" s="16" t="inlineStr">
        <is>
          <t>Delivered</t>
        </is>
      </c>
      <c r="D5333" s="16" t="inlineStr">
        <is>
          <t>128-05921774930551150</t>
        </is>
      </c>
      <c r="E5333" s="16" t="inlineStr">
        <is>
          <t>Delivered</t>
        </is>
      </c>
      <c r="F5333" s="16" t="inlineStr">
        <is>
          <t>MB-185N</t>
        </is>
      </c>
      <c r="G5333" s="16" t="inlineStr">
        <is>
          <t>Bocina Radio FM/Reproductor, Compatible con Tarjeta TF, USB, Bluetooth, Aplicable para celular, computadora, Ipad y consola.</t>
        </is>
      </c>
      <c r="H5333" s="16" t="inlineStr">
        <is>
          <t>NEGRO/MB-185</t>
        </is>
      </c>
      <c r="I5333" s="16" t="n">
        <v>1</v>
      </c>
      <c r="J5333" s="17" t="n">
        <v>75.5</v>
      </c>
      <c r="K5333" s="17" t="n">
        <v>45.36</v>
      </c>
      <c r="L5333" s="17" t="n">
        <v>25.86</v>
      </c>
      <c r="M5333" s="17" t="n">
        <v>0</v>
      </c>
      <c r="N5333" s="17">
        <f>K5333*0.08+L5333*0.08</f>
        <v/>
      </c>
      <c r="O5333" s="17">
        <f>-(K5333*0.025+L5333*0.025)</f>
        <v/>
      </c>
      <c r="P5333" s="17">
        <f>32</f>
        <v/>
      </c>
      <c r="Q5333" s="17">
        <f>J5333+L5333+N5333+O5333-P5333-M5333</f>
        <v/>
      </c>
    </row>
    <row r="5334">
      <c r="A5334" s="16" t="inlineStr">
        <is>
          <t>5.8-5.14</t>
        </is>
      </c>
      <c r="B5334" s="16" t="inlineStr">
        <is>
          <t>PO-128-05717071524472178</t>
        </is>
      </c>
      <c r="C5334" s="16" t="inlineStr">
        <is>
          <t>Delivered</t>
        </is>
      </c>
      <c r="D5334" s="16" t="inlineStr">
        <is>
          <t>128-05717029581432178</t>
        </is>
      </c>
      <c r="E5334" s="16" t="inlineStr">
        <is>
          <t>Delivered</t>
        </is>
      </c>
      <c r="F5334" s="16" t="inlineStr">
        <is>
          <t>LB02235-negro</t>
        </is>
      </c>
      <c r="G5334" s="16" t="inlineStr">
        <is>
          <t>Audífonos Inalámbricos para la Cabeza, Recargables y Multifuncionales - Conectan a Varios Dispositivos, soportan Radio FM, Tarjeta TF y AUX - 4 Horas de Reproducción Musical - Ideal para Trabajo Cotidiano, Juegos y Estudio</t>
        </is>
      </c>
      <c r="H5334" s="16" t="inlineStr">
        <is>
          <t>NEGRO</t>
        </is>
      </c>
      <c r="I5334" s="16" t="n">
        <v>1</v>
      </c>
      <c r="J5334" s="17" t="n">
        <v>37.71</v>
      </c>
      <c r="K5334" s="17" t="n">
        <v>40.67</v>
      </c>
      <c r="L5334" s="17" t="n">
        <v>25.86</v>
      </c>
      <c r="M5334" s="17" t="n">
        <v>0</v>
      </c>
      <c r="N5334" s="17">
        <f>K5334*0.08+L5334*0.08</f>
        <v/>
      </c>
      <c r="O5334" s="17">
        <f>-(K5334*0.025+L5334*0.025)</f>
        <v/>
      </c>
      <c r="P5334" s="17">
        <f>32</f>
        <v/>
      </c>
      <c r="Q5334" s="17">
        <f>J5334+L5334+N5334+O5334-P5334-M5334</f>
        <v/>
      </c>
    </row>
    <row r="5335">
      <c r="A5335" s="16" t="inlineStr">
        <is>
          <t>5.8-5.14</t>
        </is>
      </c>
      <c r="B5335" s="16" t="inlineStr">
        <is>
          <t>PO-128-05614678835833876</t>
        </is>
      </c>
      <c r="C5335" s="16" t="inlineStr">
        <is>
          <t>Delivered</t>
        </is>
      </c>
      <c r="D5335" s="16" t="inlineStr">
        <is>
          <t>128-05614689321593876</t>
        </is>
      </c>
      <c r="E5335" s="16" t="inlineStr">
        <is>
          <t>Delivered</t>
        </is>
      </c>
      <c r="F5335" s="16" t="inlineStr">
        <is>
          <t>MCM-001N</t>
        </is>
      </c>
      <c r="G5335" s="16" t="inlineStr">
        <is>
          <t>Musicord Altavoz Inalámbrico BT Portátil: ¡Sonido impactante, luces LED multicolores y 4 horas de autonomía! Compatible con TWS, FM, TF y USB – Imprescindible para fiestas y viajes</t>
        </is>
      </c>
      <c r="H5335" s="16" t="inlineStr">
        <is>
          <t>NEGRO</t>
        </is>
      </c>
      <c r="I5335" s="16" t="n">
        <v>1</v>
      </c>
      <c r="J5335" s="17" t="n">
        <v>61</v>
      </c>
      <c r="K5335" s="17" t="n">
        <v>57.83</v>
      </c>
      <c r="L5335" s="17" t="n">
        <v>25.86</v>
      </c>
      <c r="M5335" s="17" t="n">
        <v>0</v>
      </c>
      <c r="N5335" s="17">
        <f>K5335*0.08+L5335*0.08</f>
        <v/>
      </c>
      <c r="O5335" s="17">
        <f>-(K5335*0.025+L5335*0.025)</f>
        <v/>
      </c>
      <c r="P5335" s="17">
        <f>32</f>
        <v/>
      </c>
      <c r="Q5335" s="17">
        <f>J5335+L5335+N5335+O5335-P5335-M5335</f>
        <v/>
      </c>
    </row>
    <row r="5336">
      <c r="A5336" s="16" t="inlineStr">
        <is>
          <t>5.8-5.14</t>
        </is>
      </c>
      <c r="B5336" s="16" t="inlineStr">
        <is>
          <t>PO-128-05553952502393278</t>
        </is>
      </c>
      <c r="C5336" s="16" t="inlineStr">
        <is>
          <t>Delivered</t>
        </is>
      </c>
      <c r="D5336" s="16" t="inlineStr">
        <is>
          <t>128-05554015416953278</t>
        </is>
      </c>
      <c r="E5336" s="16" t="inlineStr">
        <is>
          <t>Delivered</t>
        </is>
      </c>
      <c r="F5336" s="16" t="inlineStr">
        <is>
          <t>LB02235-blanco</t>
        </is>
      </c>
      <c r="G5336" s="16" t="inlineStr">
        <is>
          <t>Audífonos Inalámbricos para la Cabeza, Recargables y Multifuncionales - Conectan a Varios Dispositivos, soportan Radio FM, Tarjeta TF y AUX - 4 Horas de Reproducción Musical - Ideal para Trabajo Cotidiano, Juegos y Estudio</t>
        </is>
      </c>
      <c r="H5336" s="16" t="inlineStr">
        <is>
          <t>BLANCO</t>
        </is>
      </c>
      <c r="I5336" s="16" t="n">
        <v>1</v>
      </c>
      <c r="J5336" s="17" t="n">
        <v>37.71</v>
      </c>
      <c r="K5336" s="17" t="n">
        <v>8.050000000000001</v>
      </c>
      <c r="L5336" s="17" t="n">
        <v>12.83</v>
      </c>
      <c r="M5336" s="17" t="n">
        <v>0.2</v>
      </c>
      <c r="N5336" s="17">
        <f>K5336*0.08+L5336*0.08</f>
        <v/>
      </c>
      <c r="O5336" s="17">
        <f>-(K5336*0.025+L5336*0.025)</f>
        <v/>
      </c>
      <c r="P5336" s="17">
        <f>32</f>
        <v/>
      </c>
      <c r="Q5336" s="17">
        <f>J5336+L5336+N5336+O5336-P5336-M5336</f>
        <v/>
      </c>
    </row>
    <row r="5337">
      <c r="A5337" s="16" t="inlineStr">
        <is>
          <t>5.8-5.14</t>
        </is>
      </c>
      <c r="B5337" s="16" t="inlineStr">
        <is>
          <t>PO-128-05553952502393278</t>
        </is>
      </c>
      <c r="C5337" s="16" t="inlineStr">
        <is>
          <t>Delivered</t>
        </is>
      </c>
      <c r="D5337" s="16" t="inlineStr">
        <is>
          <t>128-05554057359993278</t>
        </is>
      </c>
      <c r="E5337" s="16" t="inlineStr">
        <is>
          <t>Delivered</t>
        </is>
      </c>
      <c r="F5337" s="16" t="inlineStr">
        <is>
          <t>S39W48</t>
        </is>
      </c>
      <c r="G5337" s="16" t="inlineStr">
        <is>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is>
      </c>
      <c r="H5337" s="16" t="inlineStr">
        <is>
          <t>1 pieza</t>
        </is>
      </c>
      <c r="I5337" s="16" t="n">
        <v>1</v>
      </c>
      <c r="J5337" s="17" t="n">
        <v>39</v>
      </c>
      <c r="K5337" s="17" t="n">
        <v>8.17</v>
      </c>
      <c r="L5337" s="17" t="n">
        <v>13.03</v>
      </c>
      <c r="M5337" s="17" t="n">
        <v>0.8</v>
      </c>
      <c r="N5337" s="17">
        <f>K5337*0.08+L5337*0.08</f>
        <v/>
      </c>
      <c r="O5337" s="17">
        <f>-(K5337*0.025+L5337*0.025)</f>
        <v/>
      </c>
      <c r="P5337" s="17">
        <f>32</f>
        <v/>
      </c>
      <c r="Q5337" s="17">
        <f>J5337+L5337+N5337+O5337-P5337-M5337</f>
        <v/>
      </c>
    </row>
    <row r="5338">
      <c r="A5338" s="16" t="inlineStr">
        <is>
          <t>5.8-5.14</t>
        </is>
      </c>
      <c r="B5338" s="16" t="inlineStr">
        <is>
          <t>PO-128-05971126354551688</t>
        </is>
      </c>
      <c r="C5338" s="16" t="inlineStr">
        <is>
          <t>Delivered</t>
        </is>
      </c>
      <c r="D5338" s="16" t="inlineStr">
        <is>
          <t>128-05971147326071688</t>
        </is>
      </c>
      <c r="E5338" s="16" t="inlineStr">
        <is>
          <t>Delivered</t>
        </is>
      </c>
      <c r="F5338" s="16" t="inlineStr">
        <is>
          <t>KTS-1678Y</t>
        </is>
      </c>
      <c r="G5338" s="16" t="inlineStr">
        <is>
          <t>Bocina portátil Inalámbrico, de 3 pulgadas, tamaño de bolsillo, 170 g, con asa, compatible con TF, USB y Micro SD, con radio FM y función TWS (True Wireless Stereo), adecuada para relajarse en casa o viajar al aire libre.</t>
        </is>
      </c>
      <c r="H5338" s="16" t="inlineStr">
        <is>
          <t>KTS-1678Y</t>
        </is>
      </c>
      <c r="I5338" s="16" t="n">
        <v>1</v>
      </c>
      <c r="J5338" s="17" t="n">
        <v>42.5</v>
      </c>
      <c r="K5338" s="17" t="n">
        <v>48.72</v>
      </c>
      <c r="L5338" s="17" t="n">
        <v>25.86</v>
      </c>
      <c r="M5338" s="17" t="n">
        <v>0</v>
      </c>
      <c r="N5338" s="17">
        <f>K5338*0.08+L5338*0.08</f>
        <v/>
      </c>
      <c r="O5338" s="17">
        <f>-(K5338*0.025+L5338*0.025)</f>
        <v/>
      </c>
      <c r="P5338" s="17">
        <f>32</f>
        <v/>
      </c>
      <c r="Q5338" s="17">
        <f>J5338+L5338+N5338+O5338-P5338-M5338</f>
        <v/>
      </c>
    </row>
    <row r="5339">
      <c r="A5339" s="16" t="inlineStr">
        <is>
          <t>5.8-5.14</t>
        </is>
      </c>
      <c r="B5339" s="16" t="inlineStr">
        <is>
          <t>PO-128-05633753016953765</t>
        </is>
      </c>
      <c r="C5339" s="16" t="inlineStr">
        <is>
          <t>Delivered</t>
        </is>
      </c>
      <c r="D5339" s="16" t="inlineStr">
        <is>
          <t>128-05633711073913765</t>
        </is>
      </c>
      <c r="E5339" s="16" t="inlineStr">
        <is>
          <t>Delivered</t>
        </is>
      </c>
      <c r="F5339" s="16" t="inlineStr">
        <is>
          <t>KTS-1678V</t>
        </is>
      </c>
      <c r="G5339" s="16" t="inlineStr">
        <is>
          <t>Bocina portátil Inalámbrico, de 3 pulgadas, tamaño de bolsillo, 170 g, con asa, compatible con TF, USB y Micro SD, con radio FM y función TWS (True Wireless Stereo), adecuada para relajarse en casa o viajar al aire libre.</t>
        </is>
      </c>
      <c r="H5339" s="16" t="inlineStr">
        <is>
          <t>KTS-1678V</t>
        </is>
      </c>
      <c r="I5339" s="16" t="n">
        <v>1</v>
      </c>
      <c r="J5339" s="17" t="n">
        <v>42.5</v>
      </c>
      <c r="K5339" s="17" t="n">
        <v>50.79</v>
      </c>
      <c r="L5339" s="17" t="n">
        <v>25.86</v>
      </c>
      <c r="M5339" s="17" t="n">
        <v>0</v>
      </c>
      <c r="N5339" s="17">
        <f>K5339*0.08+L5339*0.08</f>
        <v/>
      </c>
      <c r="O5339" s="17">
        <f>-(K5339*0.025+L5339*0.025)</f>
        <v/>
      </c>
      <c r="P5339" s="17">
        <f>32</f>
        <v/>
      </c>
      <c r="Q5339" s="17">
        <f>J5339+L5339+N5339+O5339-P5339-M5339</f>
        <v/>
      </c>
    </row>
    <row r="5340">
      <c r="A5340" s="16" t="inlineStr">
        <is>
          <t>5.8-5.14</t>
        </is>
      </c>
      <c r="B5340" s="16" t="inlineStr">
        <is>
          <t>PO-128-06087908373110032</t>
        </is>
      </c>
      <c r="C5340" s="16" t="inlineStr">
        <is>
          <t>Delivered</t>
        </is>
      </c>
      <c r="D5340" s="16" t="inlineStr">
        <is>
          <t>128-06087866430070032</t>
        </is>
      </c>
      <c r="E5340" s="16" t="inlineStr">
        <is>
          <t>Delivered</t>
        </is>
      </c>
      <c r="F5340" s="16" t="inlineStr">
        <is>
          <t>AIR50W06-2P</t>
        </is>
      </c>
      <c r="G5340" s="16" t="inlineStr">
        <is>
          <t>Link Bits Ventilador de piso de 16 pulgadas, 2 unidades, 3 velocidades, motor silencioso, flujo de aire fuerte, altura ajustable, oscilación amplia, ventilador eléctrico para el hogar, ideal para sala, recámara y oficina</t>
        </is>
      </c>
      <c r="H5340" s="16" t="inlineStr">
        <is>
          <t>2PZ</t>
        </is>
      </c>
      <c r="I5340" s="16" t="n">
        <v>1</v>
      </c>
      <c r="J5340" s="17" t="n">
        <v>440</v>
      </c>
      <c r="K5340" s="17" t="n">
        <v>501.47</v>
      </c>
      <c r="L5340" s="17" t="n">
        <v>0</v>
      </c>
      <c r="M5340" s="17" t="n">
        <v>0</v>
      </c>
      <c r="N5340" s="17">
        <f>K5340*0.08+L5340*0.08</f>
        <v/>
      </c>
      <c r="O5340" s="17">
        <f>-(K5340*0.025+L5340*0.025)</f>
        <v/>
      </c>
      <c r="P5340" s="17">
        <f>32</f>
        <v/>
      </c>
      <c r="Q5340" s="17">
        <f>J5340+L5340+N5340+O5340-P5340-M5340</f>
        <v/>
      </c>
    </row>
    <row r="5341">
      <c r="A5341" s="16" t="inlineStr">
        <is>
          <t>5.8-5.14</t>
        </is>
      </c>
      <c r="B5341" s="16" t="inlineStr">
        <is>
          <t>PO-128-06025003520630473</t>
        </is>
      </c>
      <c r="C5341" s="16" t="inlineStr">
        <is>
          <t>Delivered</t>
        </is>
      </c>
      <c r="D5341" s="16" t="inlineStr">
        <is>
          <t>128-06024961577590473</t>
        </is>
      </c>
      <c r="E5341" s="16" t="inlineStr">
        <is>
          <t>Delivered</t>
        </is>
      </c>
      <c r="F5341" s="16" t="inlineStr">
        <is>
          <t>LB02235-negro</t>
        </is>
      </c>
      <c r="G5341" s="16" t="inlineStr">
        <is>
          <t>Audífonos Inalámbricos para la Cabeza, Recargables y Multifuncionales - Conectan a Varios Dispositivos, soportan Radio FM, Tarjeta TF y AUX - 4 Horas de Reproducción Musical - Ideal para Trabajo Cotidiano, Juegos y Estudio</t>
        </is>
      </c>
      <c r="H5341" s="16" t="inlineStr">
        <is>
          <t>NEGRO</t>
        </is>
      </c>
      <c r="I5341" s="16" t="n">
        <v>1</v>
      </c>
      <c r="J5341" s="17" t="n">
        <v>37.71</v>
      </c>
      <c r="K5341" s="17" t="n">
        <v>43.21</v>
      </c>
      <c r="L5341" s="17" t="n">
        <v>25.86</v>
      </c>
      <c r="M5341" s="17" t="n">
        <v>0</v>
      </c>
      <c r="N5341" s="17">
        <f>K5341*0.08+L5341*0.08</f>
        <v/>
      </c>
      <c r="O5341" s="17">
        <f>-(K5341*0.025+L5341*0.025)</f>
        <v/>
      </c>
      <c r="P5341" s="17">
        <f>32</f>
        <v/>
      </c>
      <c r="Q5341" s="17">
        <f>J5341+L5341+N5341+O5341-P5341-M5341</f>
        <v/>
      </c>
    </row>
    <row r="5342">
      <c r="A5342" s="16" t="inlineStr">
        <is>
          <t>5.8-5.14</t>
        </is>
      </c>
      <c r="B5342" s="16" t="inlineStr">
        <is>
          <t>PO-128-05792375603832883</t>
        </is>
      </c>
      <c r="C5342" s="16" t="inlineStr">
        <is>
          <t>Delivered</t>
        </is>
      </c>
      <c r="D5342" s="16" t="inlineStr">
        <is>
          <t>128-05792365118072883</t>
        </is>
      </c>
      <c r="E5342" s="16" t="inlineStr">
        <is>
          <t>Delivered</t>
        </is>
      </c>
      <c r="F5342" s="16" t="inlineStr">
        <is>
          <t>SA8056T</t>
        </is>
      </c>
      <c r="G5342"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342" s="16" t="inlineStr">
        <is>
          <t>SA8056T</t>
        </is>
      </c>
      <c r="I5342" s="16" t="n">
        <v>2</v>
      </c>
      <c r="J5342" s="17" t="n">
        <v>280</v>
      </c>
      <c r="K5342" s="17" t="n">
        <v>256.64</v>
      </c>
      <c r="L5342" s="17" t="n">
        <v>0</v>
      </c>
      <c r="M5342" s="17" t="n">
        <v>25.82</v>
      </c>
      <c r="N5342" s="17">
        <f>K5342*0.08+L5342*0.08</f>
        <v/>
      </c>
      <c r="O5342" s="17">
        <f>-(K5342*0.025+L5342*0.025)</f>
        <v/>
      </c>
      <c r="P5342" s="17">
        <f>32</f>
        <v/>
      </c>
      <c r="Q5342" s="17">
        <f>J5342+L5342+N5342+O5342-P5342-M5342</f>
        <v/>
      </c>
    </row>
    <row r="5343">
      <c r="A5343" s="16" t="inlineStr">
        <is>
          <t>5.8-5.14</t>
        </is>
      </c>
      <c r="B5343" s="16" t="inlineStr">
        <is>
          <t>PO-128-06003872113271623</t>
        </is>
      </c>
      <c r="C5343" s="16" t="inlineStr">
        <is>
          <t>Delivered</t>
        </is>
      </c>
      <c r="D5343" s="16" t="inlineStr">
        <is>
          <t>128-06003830170231623</t>
        </is>
      </c>
      <c r="E5343" s="16" t="inlineStr">
        <is>
          <t>Delivered</t>
        </is>
      </c>
      <c r="F5343" s="16" t="inlineStr">
        <is>
          <t>AIR50W06-2P</t>
        </is>
      </c>
      <c r="G5343" s="16" t="inlineStr">
        <is>
          <t>Link Bits Ventilador de piso de 16 pulgadas, 2 unidades, 3 velocidades, motor silencioso, flujo de aire fuerte, altura ajustable, oscilación amplia, ventilador eléctrico para el hogar, ideal para sala, recámara y oficina</t>
        </is>
      </c>
      <c r="H5343" s="16" t="inlineStr">
        <is>
          <t>2PZ</t>
        </is>
      </c>
      <c r="I5343" s="16" t="n">
        <v>2</v>
      </c>
      <c r="J5343" s="17" t="n">
        <v>880</v>
      </c>
      <c r="K5343" s="17" t="n">
        <v>902.64</v>
      </c>
      <c r="L5343" s="17" t="n">
        <v>0</v>
      </c>
      <c r="M5343" s="17" t="n">
        <v>0</v>
      </c>
      <c r="N5343" s="17">
        <f>K5343*0.08+L5343*0.08</f>
        <v/>
      </c>
      <c r="O5343" s="17">
        <f>-(K5343*0.025+L5343*0.025)</f>
        <v/>
      </c>
      <c r="P5343" s="17">
        <f>32</f>
        <v/>
      </c>
      <c r="Q5343" s="17">
        <f>J5343+L5343+N5343+O5343-P5343-M5343</f>
        <v/>
      </c>
    </row>
    <row r="5344">
      <c r="A5344" s="16" t="inlineStr">
        <is>
          <t>5.8-5.14</t>
        </is>
      </c>
      <c r="B5344" s="16" t="inlineStr">
        <is>
          <t>PO-128-05737870787192054</t>
        </is>
      </c>
      <c r="C5344" s="16" t="inlineStr">
        <is>
          <t>Delivered</t>
        </is>
      </c>
      <c r="D5344" s="16" t="inlineStr">
        <is>
          <t>128-05737849815672054</t>
        </is>
      </c>
      <c r="E5344" s="16" t="inlineStr">
        <is>
          <t>Delivered</t>
        </is>
      </c>
      <c r="F5344" s="16" t="inlineStr">
        <is>
          <t>MCM-001N</t>
        </is>
      </c>
      <c r="G5344" s="16" t="inlineStr">
        <is>
          <t>Musicord Altavoz Inalámbrico BT Portátil: ¡Sonido impactante, luces LED multicolores y 4 horas de autonomía! Compatible con TWS, FM, TF y USB – Imprescindible para fiestas y viajes</t>
        </is>
      </c>
      <c r="H5344" s="16" t="inlineStr">
        <is>
          <t>NEGRO</t>
        </is>
      </c>
      <c r="I5344" s="16" t="n">
        <v>1</v>
      </c>
      <c r="J5344" s="17" t="n">
        <v>61</v>
      </c>
      <c r="K5344" s="17" t="n">
        <v>50.61</v>
      </c>
      <c r="L5344" s="17" t="n">
        <v>25.86</v>
      </c>
      <c r="M5344" s="17" t="n">
        <v>0</v>
      </c>
      <c r="N5344" s="17">
        <f>K5344*0.08+L5344*0.08</f>
        <v/>
      </c>
      <c r="O5344" s="17">
        <f>-(K5344*0.025+L5344*0.025)</f>
        <v/>
      </c>
      <c r="P5344" s="17">
        <f>32</f>
        <v/>
      </c>
      <c r="Q5344" s="17">
        <f>J5344+L5344+N5344+O5344-P5344-M5344</f>
        <v/>
      </c>
    </row>
    <row r="5345">
      <c r="A5345" s="16" t="inlineStr">
        <is>
          <t>5.8-5.14</t>
        </is>
      </c>
      <c r="B5345" s="16" t="inlineStr">
        <is>
          <t>PO-128-11441934577272041</t>
        </is>
      </c>
      <c r="C5345" s="16" t="inlineStr">
        <is>
          <t>Delivered</t>
        </is>
      </c>
      <c r="D5345" s="16" t="inlineStr">
        <is>
          <t>128-11441913605752041</t>
        </is>
      </c>
      <c r="E5345" s="16" t="inlineStr">
        <is>
          <t>Delivered</t>
        </is>
      </c>
      <c r="F5345" s="16" t="inlineStr">
        <is>
          <t>S58W60</t>
        </is>
      </c>
      <c r="G5345"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345" s="16" t="inlineStr">
        <is>
          <t>1 pieza</t>
        </is>
      </c>
      <c r="I5345" s="16" t="n">
        <v>1</v>
      </c>
      <c r="J5345" s="17" t="n">
        <v>59</v>
      </c>
      <c r="K5345" s="17" t="n">
        <v>71.17</v>
      </c>
      <c r="L5345" s="17" t="n">
        <v>25.86</v>
      </c>
      <c r="M5345" s="17" t="n">
        <v>8.390000000000001</v>
      </c>
      <c r="N5345" s="17">
        <f>K5345*0.08+L5345*0.08</f>
        <v/>
      </c>
      <c r="O5345" s="17">
        <f>-(K5345*0.025+L5345*0.025)</f>
        <v/>
      </c>
      <c r="P5345" s="17">
        <f>32</f>
        <v/>
      </c>
      <c r="Q5345" s="17">
        <f>J5345+L5345+N5345+O5345-P5345-M5345</f>
        <v/>
      </c>
    </row>
    <row r="5346">
      <c r="A5346" s="16" t="inlineStr">
        <is>
          <t>5.8-5.14</t>
        </is>
      </c>
      <c r="B5346" s="16" t="inlineStr">
        <is>
          <t>PO-128-11331214482552637</t>
        </is>
      </c>
      <c r="C5346" s="16" t="inlineStr">
        <is>
          <t>Delivered</t>
        </is>
      </c>
      <c r="D5346" s="16" t="inlineStr">
        <is>
          <t>128-11331256425592637</t>
        </is>
      </c>
      <c r="E5346" s="16" t="inlineStr">
        <is>
          <t>Delivered</t>
        </is>
      </c>
      <c r="F5346" s="16" t="inlineStr">
        <is>
          <t>AIR50W06-2P</t>
        </is>
      </c>
      <c r="G5346" s="16" t="inlineStr">
        <is>
          <t>Link Bits Ventilador de piso de 16 pulgadas, 2 unidades, 3 velocidades, motor silencioso, flujo de aire fuerte, altura ajustable, oscilación amplia, ventilador eléctrico para el hogar, ideal para sala, recámara y oficina</t>
        </is>
      </c>
      <c r="H5346" s="16" t="inlineStr">
        <is>
          <t>2PZ</t>
        </is>
      </c>
      <c r="I5346" s="16" t="n">
        <v>1</v>
      </c>
      <c r="J5346" s="17" t="n">
        <v>440</v>
      </c>
      <c r="K5346" s="17" t="n">
        <v>501.47</v>
      </c>
      <c r="L5346" s="17" t="n">
        <v>0</v>
      </c>
      <c r="M5346" s="17" t="n">
        <v>0</v>
      </c>
      <c r="N5346" s="17">
        <f>K5346*0.08+L5346*0.08</f>
        <v/>
      </c>
      <c r="O5346" s="17">
        <f>-(K5346*0.025+L5346*0.025)</f>
        <v/>
      </c>
      <c r="P5346" s="17">
        <f>32</f>
        <v/>
      </c>
      <c r="Q5346" s="17">
        <f>J5346+L5346+N5346+O5346-P5346-M5346</f>
        <v/>
      </c>
    </row>
    <row r="5347">
      <c r="A5347" s="16" t="inlineStr">
        <is>
          <t>5.8-5.14</t>
        </is>
      </c>
      <c r="B5347" s="16" t="inlineStr">
        <is>
          <t>PO-128-11526501891190449</t>
        </is>
      </c>
      <c r="C5347" s="16" t="inlineStr">
        <is>
          <t>Delivered</t>
        </is>
      </c>
      <c r="D5347" s="16" t="inlineStr">
        <is>
          <t>128-11526528105590449</t>
        </is>
      </c>
      <c r="E5347" s="16" t="inlineStr">
        <is>
          <t>Delivered</t>
        </is>
      </c>
      <c r="F5347" s="16" t="inlineStr">
        <is>
          <t>MB-178-N</t>
        </is>
      </c>
      <c r="G5347" s="16" t="inlineStr">
        <is>
          <t>Bocina de Barra Bluetooth LINK BITS con dos altavoces, sonido de alta calidad y multifuncional (Bluetooth, Radio FM, USB, TF, AUX, TWS), ideal para juegos, reuniones, oficina y cine en casa.</t>
        </is>
      </c>
      <c r="H5347" s="16" t="inlineStr">
        <is>
          <t>NEGRO</t>
        </is>
      </c>
      <c r="I5347" s="16" t="n">
        <v>1</v>
      </c>
      <c r="J5347" s="17" t="n">
        <v>120</v>
      </c>
      <c r="K5347" s="17" t="n">
        <v>139.34</v>
      </c>
      <c r="L5347" s="17" t="n">
        <v>25.86</v>
      </c>
      <c r="M5347" s="17" t="n">
        <v>0</v>
      </c>
      <c r="N5347" s="17">
        <f>K5347*0.08+L5347*0.08</f>
        <v/>
      </c>
      <c r="O5347" s="17">
        <f>-(K5347*0.025+L5347*0.025)</f>
        <v/>
      </c>
      <c r="P5347" s="17">
        <f>32</f>
        <v/>
      </c>
      <c r="Q5347" s="17">
        <f>J5347+L5347+N5347+O5347-P5347-M5347</f>
        <v/>
      </c>
    </row>
    <row r="5348">
      <c r="A5348" s="16" t="inlineStr">
        <is>
          <t>5.8-5.14</t>
        </is>
      </c>
      <c r="B5348" s="16" t="inlineStr">
        <is>
          <t>PO-128-11303914140792734</t>
        </is>
      </c>
      <c r="C5348" s="16" t="inlineStr">
        <is>
          <t>Delivered</t>
        </is>
      </c>
      <c r="D5348" s="16" t="inlineStr">
        <is>
          <t>128-11303966569592734</t>
        </is>
      </c>
      <c r="E5348" s="16" t="inlineStr">
        <is>
          <t>Delivered</t>
        </is>
      </c>
      <c r="F5348" s="16" t="inlineStr">
        <is>
          <t>VB347T</t>
        </is>
      </c>
      <c r="G5348"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348" s="16" t="inlineStr">
        <is>
          <t>1 pieza</t>
        </is>
      </c>
      <c r="I5348" s="16" t="n">
        <v>1</v>
      </c>
      <c r="J5348" s="17" t="n">
        <v>79.89</v>
      </c>
      <c r="K5348" s="17" t="n">
        <v>11.74</v>
      </c>
      <c r="L5348" s="17" t="n">
        <v>25.86</v>
      </c>
      <c r="M5348" s="17" t="n">
        <v>0</v>
      </c>
      <c r="N5348" s="17">
        <f>K5348*0.08+L5348*0.08</f>
        <v/>
      </c>
      <c r="O5348" s="17">
        <f>-(K5348*0.025+L5348*0.025)</f>
        <v/>
      </c>
      <c r="P5348" s="17">
        <f>32</f>
        <v/>
      </c>
      <c r="Q5348" s="17">
        <f>J5348+L5348+N5348+O5348-P5348-M5348</f>
        <v/>
      </c>
    </row>
    <row r="5349">
      <c r="A5349" s="16" t="inlineStr">
        <is>
          <t>5.8-5.14</t>
        </is>
      </c>
      <c r="B5349" s="16" t="inlineStr">
        <is>
          <t>PO-128-11178478922872522</t>
        </is>
      </c>
      <c r="C5349" s="16" t="inlineStr">
        <is>
          <t>Delivered</t>
        </is>
      </c>
      <c r="D5349" s="16" t="inlineStr">
        <is>
          <t>128-11178436979832522</t>
        </is>
      </c>
      <c r="E5349" s="16" t="inlineStr">
        <is>
          <t>Delivered</t>
        </is>
      </c>
      <c r="F5349" s="16" t="inlineStr">
        <is>
          <t>LB02235-negro</t>
        </is>
      </c>
      <c r="G5349" s="16" t="inlineStr">
        <is>
          <t>Audífonos Inalámbricos para la Cabeza, Recargables y Multifuncionales - Conectan a Varios Dispositivos, soportan Radio FM, Tarjeta TF y AUX - 4 Horas de Reproducción Musical - Ideal para Trabajo Cotidiano, Juegos y Estudio</t>
        </is>
      </c>
      <c r="H5349" s="16" t="inlineStr">
        <is>
          <t>NEGRO</t>
        </is>
      </c>
      <c r="I5349" s="16" t="n">
        <v>1</v>
      </c>
      <c r="J5349" s="17" t="n">
        <v>37.71</v>
      </c>
      <c r="K5349" s="17" t="n">
        <v>50.83</v>
      </c>
      <c r="L5349" s="17" t="n">
        <v>25.86</v>
      </c>
      <c r="M5349" s="17" t="n">
        <v>0</v>
      </c>
      <c r="N5349" s="17">
        <f>K5349*0.08+L5349*0.08</f>
        <v/>
      </c>
      <c r="O5349" s="17">
        <f>-(K5349*0.025+L5349*0.025)</f>
        <v/>
      </c>
      <c r="P5349" s="17">
        <f>32</f>
        <v/>
      </c>
      <c r="Q5349" s="17">
        <f>J5349+L5349+N5349+O5349-P5349-M5349</f>
        <v/>
      </c>
    </row>
    <row r="5350">
      <c r="A5350" s="16" t="inlineStr">
        <is>
          <t>5.8-5.14</t>
        </is>
      </c>
      <c r="B5350" s="16" t="inlineStr">
        <is>
          <t>PO-128-11026505221753365</t>
        </is>
      </c>
      <c r="C5350" s="16" t="inlineStr">
        <is>
          <t>Delivered</t>
        </is>
      </c>
      <c r="D5350" s="16" t="inlineStr">
        <is>
          <t>128-11026557650553365</t>
        </is>
      </c>
      <c r="E5350" s="16" t="inlineStr">
        <is>
          <t>Delivered</t>
        </is>
      </c>
      <c r="F5350" s="16" t="inlineStr">
        <is>
          <t>MCM-001R</t>
        </is>
      </c>
      <c r="G5350" s="16" t="inlineStr">
        <is>
          <t>Musicord Altavoz Inalámbrico BT Portátil: ¡Sonido impactante, luces LED multicolores y 4 horas de autonomía! Compatible con TWS, FM, TF y USB – Imprescindible para fiestas y viajes</t>
        </is>
      </c>
      <c r="H5350" s="16" t="inlineStr">
        <is>
          <t>ROJO</t>
        </is>
      </c>
      <c r="I5350" s="16" t="n">
        <v>1</v>
      </c>
      <c r="J5350" s="17" t="n">
        <v>66.5</v>
      </c>
      <c r="K5350" s="17" t="n">
        <v>77.79000000000001</v>
      </c>
      <c r="L5350" s="17" t="n">
        <v>25.86</v>
      </c>
      <c r="M5350" s="17" t="n">
        <v>0</v>
      </c>
      <c r="N5350" s="17">
        <f>K5350*0.08+L5350*0.08</f>
        <v/>
      </c>
      <c r="O5350" s="17">
        <f>-(K5350*0.025+L5350*0.025)</f>
        <v/>
      </c>
      <c r="P5350" s="17">
        <f>32</f>
        <v/>
      </c>
      <c r="Q5350" s="17">
        <f>J5350+L5350+N5350+O5350-P5350-M5350</f>
        <v/>
      </c>
    </row>
    <row r="5351">
      <c r="A5351" s="16" t="inlineStr">
        <is>
          <t>5.8-5.14</t>
        </is>
      </c>
      <c r="B5351" s="16" t="inlineStr">
        <is>
          <t>PO-128-11013386767993570</t>
        </is>
      </c>
      <c r="C5351" s="16" t="inlineStr">
        <is>
          <t>Delivered</t>
        </is>
      </c>
      <c r="D5351" s="16" t="inlineStr">
        <is>
          <t>128-11013344824953570</t>
        </is>
      </c>
      <c r="E5351" s="16" t="inlineStr">
        <is>
          <t>Delivered</t>
        </is>
      </c>
      <c r="F5351" s="16" t="inlineStr">
        <is>
          <t>VA384T-A</t>
        </is>
      </c>
      <c r="G5351" s="16" t="inlineStr">
        <is>
          <t>Bocina Portátil Bluetooth de 3 Pulgadas con Radio FM, USB TF TWS, Sonido Estéreo 5W, Bocina Recargable para Hogar Exterior Viaje Fiesta Camping</t>
        </is>
      </c>
      <c r="H5351" s="16" t="inlineStr">
        <is>
          <t>AZUL</t>
        </is>
      </c>
      <c r="I5351" s="16" t="n">
        <v>1</v>
      </c>
      <c r="J5351" s="17" t="n">
        <v>47.99</v>
      </c>
      <c r="K5351" s="17" t="n">
        <v>58.71</v>
      </c>
      <c r="L5351" s="17" t="n">
        <v>14.36</v>
      </c>
      <c r="M5351" s="17" t="n">
        <v>0</v>
      </c>
      <c r="N5351" s="17">
        <f>K5351*0.08+L5351*0.08</f>
        <v/>
      </c>
      <c r="O5351" s="17">
        <f>-(K5351*0.025+L5351*0.025)</f>
        <v/>
      </c>
      <c r="P5351" s="17">
        <f>32</f>
        <v/>
      </c>
      <c r="Q5351" s="17">
        <f>J5351+L5351+N5351+O5351-P5351-M5351</f>
        <v/>
      </c>
    </row>
    <row r="5352">
      <c r="A5352" s="16" t="inlineStr">
        <is>
          <t>5.8-5.14</t>
        </is>
      </c>
      <c r="B5352" s="16" t="inlineStr">
        <is>
          <t>PO-128-11013386767993570</t>
        </is>
      </c>
      <c r="C5352" s="16" t="inlineStr">
        <is>
          <t>Delivered</t>
        </is>
      </c>
      <c r="D5352" s="16" t="inlineStr">
        <is>
          <t>128-11013302881913570</t>
        </is>
      </c>
      <c r="E5352" s="16" t="inlineStr">
        <is>
          <t>Delivered</t>
        </is>
      </c>
      <c r="F5352" s="16" t="inlineStr">
        <is>
          <t>SA325T</t>
        </is>
      </c>
      <c r="G5352" s="16" t="inlineStr">
        <is>
          <t>Subwoofer Portátil Inalámbrico con Luces RGB, Sonido de Alta Potencia y Batería Duradera, TWS TF USB, Perfecto para Campamento Fiestas y Entretenimiento en Casa</t>
        </is>
      </c>
      <c r="H5352" s="16" t="inlineStr">
        <is>
          <t>NEGRO</t>
        </is>
      </c>
      <c r="I5352" s="16" t="n">
        <v>1</v>
      </c>
      <c r="J5352" s="17" t="n">
        <v>37.99</v>
      </c>
      <c r="K5352" s="17" t="n">
        <v>47.04</v>
      </c>
      <c r="L5352" s="17" t="n">
        <v>11.5</v>
      </c>
      <c r="M5352" s="17" t="n">
        <v>0</v>
      </c>
      <c r="N5352" s="17">
        <f>K5352*0.08+L5352*0.08</f>
        <v/>
      </c>
      <c r="O5352" s="17">
        <f>-(K5352*0.025+L5352*0.025)</f>
        <v/>
      </c>
      <c r="P5352" s="17">
        <f>32</f>
        <v/>
      </c>
      <c r="Q5352" s="17">
        <f>J5352+L5352+N5352+O5352-P5352-M5352</f>
        <v/>
      </c>
    </row>
    <row r="5353">
      <c r="A5353" s="16" t="inlineStr">
        <is>
          <t>5.8-5.14</t>
        </is>
      </c>
      <c r="B5353" s="16" t="inlineStr">
        <is>
          <t>PO-128-11600925207670900</t>
        </is>
      </c>
      <c r="C5353" s="16" t="inlineStr">
        <is>
          <t>Delivered</t>
        </is>
      </c>
      <c r="D5353" s="16" t="inlineStr">
        <is>
          <t>128-11600883264630900</t>
        </is>
      </c>
      <c r="E5353" s="16" t="inlineStr">
        <is>
          <t>Delivered</t>
        </is>
      </c>
      <c r="F5353" s="16" t="inlineStr">
        <is>
          <t>AIR50W06-2P</t>
        </is>
      </c>
      <c r="G5353" s="16" t="inlineStr">
        <is>
          <t>Link Bits Ventilador de piso de 16 pulgadas, 2 unidades, 3 velocidades, motor silencioso, flujo de aire fuerte, altura ajustable, oscilación amplia, ventilador eléctrico para el hogar, ideal para sala, recámara y oficina</t>
        </is>
      </c>
      <c r="H5353" s="16" t="inlineStr">
        <is>
          <t>2PZ</t>
        </is>
      </c>
      <c r="I5353" s="16" t="n">
        <v>1</v>
      </c>
      <c r="J5353" s="17" t="n">
        <v>440</v>
      </c>
      <c r="K5353" s="17" t="n">
        <v>501.47</v>
      </c>
      <c r="L5353" s="17" t="n">
        <v>0</v>
      </c>
      <c r="M5353" s="17" t="n">
        <v>0</v>
      </c>
      <c r="N5353" s="17">
        <f>K5353*0.08+L5353*0.08</f>
        <v/>
      </c>
      <c r="O5353" s="17">
        <f>-(K5353*0.025+L5353*0.025)</f>
        <v/>
      </c>
      <c r="P5353" s="17">
        <f>32</f>
        <v/>
      </c>
      <c r="Q5353" s="17">
        <f>J5353+L5353+N5353+O5353-P5353-M5353</f>
        <v/>
      </c>
    </row>
    <row r="5354">
      <c r="A5354" s="16" t="inlineStr">
        <is>
          <t>5.8-5.14</t>
        </is>
      </c>
      <c r="B5354" s="16" t="inlineStr">
        <is>
          <t>PO-128-11473979313271720</t>
        </is>
      </c>
      <c r="C5354" s="16" t="inlineStr">
        <is>
          <t>Delivered</t>
        </is>
      </c>
      <c r="D5354" s="16" t="inlineStr">
        <is>
          <t>128-11473968827511720</t>
        </is>
      </c>
      <c r="E5354" s="16" t="inlineStr">
        <is>
          <t>Delivered</t>
        </is>
      </c>
      <c r="F5354" s="16" t="inlineStr">
        <is>
          <t>MCM-001G</t>
        </is>
      </c>
      <c r="G5354" s="16" t="inlineStr">
        <is>
          <t>Musicord Altavoz Inalámbrico BT Portátil: ¡Sonido impactante, luces LED multicolores y 4 horas de autonomía! Compatible con TWS, FM, TF y USB – Imprescindible para fiestas y viajes</t>
        </is>
      </c>
      <c r="H5354" s="16" t="inlineStr">
        <is>
          <t>GRIS</t>
        </is>
      </c>
      <c r="I5354" s="16" t="n">
        <v>1</v>
      </c>
      <c r="J5354" s="17" t="n">
        <v>51.07</v>
      </c>
      <c r="K5354" s="17" t="n">
        <v>62.36</v>
      </c>
      <c r="L5354" s="17" t="n">
        <v>0</v>
      </c>
      <c r="M5354" s="17" t="n">
        <v>62.36</v>
      </c>
      <c r="N5354" s="17">
        <f>K5354*0.08+L5354*0.08</f>
        <v/>
      </c>
      <c r="O5354" s="17">
        <f>-(K5354*0.025+L5354*0.025)</f>
        <v/>
      </c>
      <c r="P5354" s="17">
        <f>32</f>
        <v/>
      </c>
      <c r="Q5354" s="17">
        <f>J5354+L5354+N5354+O5354-P5354-M5354</f>
        <v/>
      </c>
    </row>
    <row r="5355">
      <c r="A5355" s="16" t="inlineStr">
        <is>
          <t>5.8-5.14</t>
        </is>
      </c>
      <c r="B5355" s="16" t="inlineStr">
        <is>
          <t>PO-128-11312751680632811</t>
        </is>
      </c>
      <c r="C5355" s="16" t="inlineStr">
        <is>
          <t>Delivered</t>
        </is>
      </c>
      <c r="D5355" s="16" t="inlineStr">
        <is>
          <t>128-11312791657592811</t>
        </is>
      </c>
      <c r="E5355" s="16" t="inlineStr">
        <is>
          <t>Delivered</t>
        </is>
      </c>
      <c r="F5355" s="16" t="inlineStr">
        <is>
          <t>LB02235-negro</t>
        </is>
      </c>
      <c r="G5355" s="16" t="inlineStr">
        <is>
          <t>Audífonos Inalámbricos para la Cabeza, Recargables y Multifuncionales - Conectan a Varios Dispositivos, soportan Radio FM, Tarjeta TF y AUX - 4 Horas de Reproducción Musical - Ideal para Trabajo Cotidiano, Juegos y Estudio</t>
        </is>
      </c>
      <c r="H5355" s="16" t="inlineStr">
        <is>
          <t>NEGRO</t>
        </is>
      </c>
      <c r="I5355" s="16" t="n">
        <v>1</v>
      </c>
      <c r="J5355" s="17" t="n">
        <v>37.71</v>
      </c>
      <c r="K5355" s="17" t="n">
        <v>50.83</v>
      </c>
      <c r="L5355" s="17" t="n">
        <v>25.86</v>
      </c>
      <c r="M5355" s="17" t="n">
        <v>0</v>
      </c>
      <c r="N5355" s="17">
        <f>K5355*0.08+L5355*0.08</f>
        <v/>
      </c>
      <c r="O5355" s="17">
        <f>-(K5355*0.025+L5355*0.025)</f>
        <v/>
      </c>
      <c r="P5355" s="17">
        <f>32</f>
        <v/>
      </c>
      <c r="Q5355" s="17">
        <f>J5355+L5355+N5355+O5355-P5355-M5355</f>
        <v/>
      </c>
    </row>
    <row r="5356">
      <c r="A5356" s="16" t="inlineStr">
        <is>
          <t>5.8-5.14</t>
        </is>
      </c>
      <c r="B5356" s="16" t="inlineStr">
        <is>
          <t>PO-128-11678903227510629</t>
        </is>
      </c>
      <c r="C5356" s="16" t="inlineStr">
        <is>
          <t>Delivered</t>
        </is>
      </c>
      <c r="D5356" s="16" t="inlineStr">
        <is>
          <t>128-11678924199030629</t>
        </is>
      </c>
      <c r="E5356" s="16" t="inlineStr">
        <is>
          <t>Delivered</t>
        </is>
      </c>
      <c r="F5356" s="16" t="inlineStr">
        <is>
          <t>LV25W22</t>
        </is>
      </c>
      <c r="G535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56" s="16" t="inlineStr">
        <is>
          <t>LV25W32</t>
        </is>
      </c>
      <c r="I5356" s="16" t="n">
        <v>1</v>
      </c>
      <c r="J5356" s="17" t="n">
        <v>97</v>
      </c>
      <c r="K5356" s="17" t="n">
        <v>107.43</v>
      </c>
      <c r="L5356" s="17" t="n">
        <v>25.86</v>
      </c>
      <c r="M5356" s="17" t="n">
        <v>0</v>
      </c>
      <c r="N5356" s="17">
        <f>K5356*0.08+L5356*0.08</f>
        <v/>
      </c>
      <c r="O5356" s="17">
        <f>-(K5356*0.025+L5356*0.025)</f>
        <v/>
      </c>
      <c r="P5356" s="17">
        <f>32</f>
        <v/>
      </c>
      <c r="Q5356" s="17">
        <f>J5356+L5356+N5356+O5356-P5356-M5356</f>
        <v/>
      </c>
    </row>
    <row r="5357">
      <c r="A5357" s="16" t="inlineStr">
        <is>
          <t>5.8-5.14</t>
        </is>
      </c>
      <c r="B5357" s="16" t="inlineStr">
        <is>
          <t>PO-128-11126043192953730</t>
        </is>
      </c>
      <c r="C5357" s="16" t="inlineStr">
        <is>
          <t>Delivered</t>
        </is>
      </c>
      <c r="D5357" s="16" t="inlineStr">
        <is>
          <t>128-11126022221433730</t>
        </is>
      </c>
      <c r="E5357" s="16" t="inlineStr">
        <is>
          <t>Delivered</t>
        </is>
      </c>
      <c r="F5357" s="16" t="inlineStr">
        <is>
          <t>LB02235-azul</t>
        </is>
      </c>
      <c r="G5357" s="16" t="inlineStr">
        <is>
          <t>Audífonos Inalámbricos para la Cabeza, Recargables y Multifuncionales - Conectan a Varios Dispositivos, soportan Radio FM, Tarjeta TF y AUX - 4 Horas de Reproducción Musical - Ideal para Trabajo Cotidiano, Juegos y Estudio</t>
        </is>
      </c>
      <c r="H5357" s="16" t="inlineStr">
        <is>
          <t>AZUL</t>
        </is>
      </c>
      <c r="I5357" s="16" t="n">
        <v>1</v>
      </c>
      <c r="J5357" s="17" t="n">
        <v>36.8</v>
      </c>
      <c r="K5357" s="17" t="n">
        <v>43.75</v>
      </c>
      <c r="L5357" s="17" t="n">
        <v>25.86</v>
      </c>
      <c r="M5357" s="17" t="n">
        <v>0</v>
      </c>
      <c r="N5357" s="17">
        <f>K5357*0.08+L5357*0.08</f>
        <v/>
      </c>
      <c r="O5357" s="17">
        <f>-(K5357*0.025+L5357*0.025)</f>
        <v/>
      </c>
      <c r="P5357" s="17">
        <f>32</f>
        <v/>
      </c>
      <c r="Q5357" s="17">
        <f>J5357+L5357+N5357+O5357-P5357-M5357</f>
        <v/>
      </c>
    </row>
    <row r="5358">
      <c r="A5358" s="16" t="inlineStr">
        <is>
          <t>5.8-5.14</t>
        </is>
      </c>
      <c r="B5358" s="16" t="inlineStr">
        <is>
          <t>PO-128-11650772554870730</t>
        </is>
      </c>
      <c r="C5358" s="16" t="inlineStr">
        <is>
          <t>Delivered</t>
        </is>
      </c>
      <c r="D5358" s="16" t="inlineStr">
        <is>
          <t>128-11650796147830730</t>
        </is>
      </c>
      <c r="E5358" s="16" t="inlineStr">
        <is>
          <t>Delivered</t>
        </is>
      </c>
      <c r="F5358" s="16" t="inlineStr">
        <is>
          <t>BS-22</t>
        </is>
      </c>
      <c r="G5358" s="16" t="inlineStr">
        <is>
          <t>link bits Barra de Sonido para TV, 2x2" Altavoces + 2 Membranas de Graves, Sonido Claro ≥80dB, Bluetooth Inalámbrico, Conexiones AUX/USB, Diseño Compacto 76cm, Sonido Envolvente 3D para Cine en Casa, PC, Juegos y Fiestas</t>
        </is>
      </c>
      <c r="H5358" s="16" t="inlineStr">
        <is>
          <t>BS-22</t>
        </is>
      </c>
      <c r="I5358" s="16" t="n">
        <v>1</v>
      </c>
      <c r="J5358" s="17" t="n">
        <v>255</v>
      </c>
      <c r="K5358" s="17" t="n">
        <v>294.61</v>
      </c>
      <c r="L5358" s="17" t="n">
        <v>0</v>
      </c>
      <c r="M5358" s="17" t="n">
        <v>0</v>
      </c>
      <c r="N5358" s="17">
        <f>K5358*0.08+L5358*0.08</f>
        <v/>
      </c>
      <c r="O5358" s="17">
        <f>-(K5358*0.025+L5358*0.025)</f>
        <v/>
      </c>
      <c r="P5358" s="17">
        <f>32</f>
        <v/>
      </c>
      <c r="Q5358" s="17">
        <f>J5358+L5358+N5358+O5358-P5358-M5358</f>
        <v/>
      </c>
    </row>
    <row r="5359">
      <c r="A5359" s="16" t="inlineStr">
        <is>
          <t>5.8-5.14</t>
        </is>
      </c>
      <c r="B5359" s="16" t="inlineStr">
        <is>
          <t>PO-128-11010756467833523</t>
        </is>
      </c>
      <c r="C5359" s="16" t="inlineStr">
        <is>
          <t>Delivered</t>
        </is>
      </c>
      <c r="D5359" s="16" t="inlineStr">
        <is>
          <t>128-11010777439353523</t>
        </is>
      </c>
      <c r="E5359" s="16" t="inlineStr">
        <is>
          <t>Delivered</t>
        </is>
      </c>
      <c r="F5359" s="16" t="inlineStr">
        <is>
          <t>LV25W22</t>
        </is>
      </c>
      <c r="G5359"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59" s="16" t="inlineStr">
        <is>
          <t>LV25W32</t>
        </is>
      </c>
      <c r="I5359" s="16" t="n">
        <v>1</v>
      </c>
      <c r="J5359" s="17" t="n">
        <v>97</v>
      </c>
      <c r="K5359" s="17" t="n">
        <v>107.43</v>
      </c>
      <c r="L5359" s="17" t="n">
        <v>25.86</v>
      </c>
      <c r="M5359" s="17" t="n">
        <v>0</v>
      </c>
      <c r="N5359" s="17">
        <f>K5359*0.08+L5359*0.08</f>
        <v/>
      </c>
      <c r="O5359" s="17">
        <f>-(K5359*0.025+L5359*0.025)</f>
        <v/>
      </c>
      <c r="P5359" s="17">
        <f>32</f>
        <v/>
      </c>
      <c r="Q5359" s="17">
        <f>J5359+L5359+N5359+O5359-P5359-M5359</f>
        <v/>
      </c>
    </row>
    <row r="5360">
      <c r="A5360" s="16" t="inlineStr">
        <is>
          <t>5.8-5.14</t>
        </is>
      </c>
      <c r="B5360" s="16" t="inlineStr">
        <is>
          <t>PO-128-11303894154872734</t>
        </is>
      </c>
      <c r="C5360" s="16" t="inlineStr">
        <is>
          <t>Delivered</t>
        </is>
      </c>
      <c r="D5360" s="16" t="inlineStr">
        <is>
          <t>128-11303936097912734</t>
        </is>
      </c>
      <c r="E5360" s="16" t="inlineStr">
        <is>
          <t>Delivered</t>
        </is>
      </c>
      <c r="F5360" s="16" t="inlineStr">
        <is>
          <t>MB-185N</t>
        </is>
      </c>
      <c r="G5360" s="16" t="inlineStr">
        <is>
          <t>Bocina Radio FM/Reproductor, Compatible con Tarjeta TF, USB, Bluetooth, Aplicable para celular, computadora, Ipad y consola.</t>
        </is>
      </c>
      <c r="H5360" s="16" t="inlineStr">
        <is>
          <t>NEGRO/MB-185</t>
        </is>
      </c>
      <c r="I5360" s="16" t="n">
        <v>1</v>
      </c>
      <c r="J5360" s="17" t="n">
        <v>75.5</v>
      </c>
      <c r="K5360" s="17" t="n">
        <v>5.7</v>
      </c>
      <c r="L5360" s="17" t="n">
        <v>25.86</v>
      </c>
      <c r="M5360" s="17" t="n">
        <v>0</v>
      </c>
      <c r="N5360" s="17">
        <f>K5360*0.08+L5360*0.08</f>
        <v/>
      </c>
      <c r="O5360" s="17">
        <f>-(K5360*0.025+L5360*0.025)</f>
        <v/>
      </c>
      <c r="P5360" s="17">
        <f>32</f>
        <v/>
      </c>
      <c r="Q5360" s="17">
        <f>J5360+L5360+N5360+O5360-P5360-M5360</f>
        <v/>
      </c>
    </row>
    <row r="5361">
      <c r="A5361" s="16" t="inlineStr">
        <is>
          <t>5.8-5.14</t>
        </is>
      </c>
      <c r="B5361" s="16" t="inlineStr">
        <is>
          <t>PO-128-11194517233272362</t>
        </is>
      </c>
      <c r="C5361" s="16" t="inlineStr">
        <is>
          <t>Delivered</t>
        </is>
      </c>
      <c r="D5361" s="16" t="inlineStr">
        <is>
          <t>128-11194498883192362</t>
        </is>
      </c>
      <c r="E5361" s="16" t="inlineStr">
        <is>
          <t>Delivered</t>
        </is>
      </c>
      <c r="F5361" s="16" t="inlineStr">
        <is>
          <t>LB02235-negro</t>
        </is>
      </c>
      <c r="G5361" s="16" t="inlineStr">
        <is>
          <t>Audífonos Inalámbricos para la Cabeza, Recargables y Multifuncionales - Conectan a Varios Dispositivos, soportan Radio FM, Tarjeta TF y AUX - 4 Horas de Reproducción Musical - Ideal para Trabajo Cotidiano, Juegos y Estudio</t>
        </is>
      </c>
      <c r="H5361" s="16" t="inlineStr">
        <is>
          <t>NEGRO</t>
        </is>
      </c>
      <c r="I5361" s="16" t="n">
        <v>1</v>
      </c>
      <c r="J5361" s="17" t="n">
        <v>37.71</v>
      </c>
      <c r="K5361" s="17" t="n">
        <v>45.75</v>
      </c>
      <c r="L5361" s="17" t="n">
        <v>25.86</v>
      </c>
      <c r="M5361" s="17" t="n">
        <v>0</v>
      </c>
      <c r="N5361" s="17">
        <f>K5361*0.08+L5361*0.08</f>
        <v/>
      </c>
      <c r="O5361" s="17">
        <f>-(K5361*0.025+L5361*0.025)</f>
        <v/>
      </c>
      <c r="P5361" s="17">
        <f>32</f>
        <v/>
      </c>
      <c r="Q5361" s="17">
        <f>J5361+L5361+N5361+O5361-P5361-M5361</f>
        <v/>
      </c>
    </row>
    <row r="5362">
      <c r="A5362" s="16" t="inlineStr">
        <is>
          <t>5.8-5.14</t>
        </is>
      </c>
      <c r="B5362" s="16" t="inlineStr">
        <is>
          <t>PO-128-11085683797113973</t>
        </is>
      </c>
      <c r="C5362" s="16" t="inlineStr">
        <is>
          <t>Delivered</t>
        </is>
      </c>
      <c r="D5362" s="16" t="inlineStr">
        <is>
          <t>128-11085641854073973</t>
        </is>
      </c>
      <c r="E5362" s="16" t="inlineStr">
        <is>
          <t>Delivered</t>
        </is>
      </c>
      <c r="F5362" s="16" t="inlineStr">
        <is>
          <t>MB-185N</t>
        </is>
      </c>
      <c r="G5362" s="16" t="inlineStr">
        <is>
          <t>Bocina Radio FM/Reproductor, Compatible con Tarjeta TF, USB, Bluetooth, Aplicable para celular, computadora, Ipad y consola.</t>
        </is>
      </c>
      <c r="H5362" s="16" t="inlineStr">
        <is>
          <t>NEGRO/MB-185</t>
        </is>
      </c>
      <c r="I5362" s="16" t="n">
        <v>1</v>
      </c>
      <c r="J5362" s="17" t="n">
        <v>75.5</v>
      </c>
      <c r="K5362" s="17" t="n">
        <v>88.45999999999999</v>
      </c>
      <c r="L5362" s="17" t="n">
        <v>25.86</v>
      </c>
      <c r="M5362" s="17" t="n">
        <v>4.2</v>
      </c>
      <c r="N5362" s="17">
        <f>K5362*0.08+L5362*0.08</f>
        <v/>
      </c>
      <c r="O5362" s="17">
        <f>-(K5362*0.025+L5362*0.025)</f>
        <v/>
      </c>
      <c r="P5362" s="17">
        <f>32</f>
        <v/>
      </c>
      <c r="Q5362" s="17">
        <f>J5362+L5362+N5362+O5362-P5362-M5362</f>
        <v/>
      </c>
    </row>
    <row r="5363">
      <c r="A5363" s="16" t="inlineStr">
        <is>
          <t>5.8-5.14</t>
        </is>
      </c>
      <c r="B5363" s="16" t="inlineStr">
        <is>
          <t>PO-128-11109088312953897</t>
        </is>
      </c>
      <c r="C5363" s="16" t="inlineStr">
        <is>
          <t>Delivered</t>
        </is>
      </c>
      <c r="D5363" s="16" t="inlineStr">
        <is>
          <t>128-11109046369913897</t>
        </is>
      </c>
      <c r="E5363" s="16" t="inlineStr">
        <is>
          <t>Delivered</t>
        </is>
      </c>
      <c r="F5363" s="16" t="inlineStr">
        <is>
          <t>KTS-1678V</t>
        </is>
      </c>
      <c r="G5363" s="16" t="inlineStr">
        <is>
          <t>Bocina portátil Inalámbrico, de 3 pulgadas, tamaño de bolsillo, 170 g, con asa, compatible con TF, USB y Micro SD, con radio FM y función TWS (True Wireless Stereo), adecuada para relajarse en casa o viajar al aire libre.</t>
        </is>
      </c>
      <c r="H5363" s="16" t="inlineStr">
        <is>
          <t>KTS-1678V</t>
        </is>
      </c>
      <c r="I5363" s="16" t="n">
        <v>1</v>
      </c>
      <c r="J5363" s="17" t="n">
        <v>42.5</v>
      </c>
      <c r="K5363" s="17" t="n">
        <v>50.79</v>
      </c>
      <c r="L5363" s="17" t="n">
        <v>25.86</v>
      </c>
      <c r="M5363" s="17" t="n">
        <v>0</v>
      </c>
      <c r="N5363" s="17">
        <f>K5363*0.08+L5363*0.08</f>
        <v/>
      </c>
      <c r="O5363" s="17">
        <f>-(K5363*0.025+L5363*0.025)</f>
        <v/>
      </c>
      <c r="P5363" s="17">
        <f>32</f>
        <v/>
      </c>
      <c r="Q5363" s="17">
        <f>J5363+L5363+N5363+O5363-P5363-M5363</f>
        <v/>
      </c>
    </row>
    <row r="5364">
      <c r="A5364" s="16" t="inlineStr">
        <is>
          <t>5.8-5.14</t>
        </is>
      </c>
      <c r="B5364" s="16" t="inlineStr">
        <is>
          <t>PO-128-11176427945592470</t>
        </is>
      </c>
      <c r="C5364" s="16" t="inlineStr">
        <is>
          <t>Delivered</t>
        </is>
      </c>
      <c r="D5364" s="16" t="inlineStr">
        <is>
          <t>128-11176448917112470</t>
        </is>
      </c>
      <c r="E5364" s="16" t="inlineStr">
        <is>
          <t>Delivered</t>
        </is>
      </c>
      <c r="F5364" s="16" t="inlineStr">
        <is>
          <t>MB-185N</t>
        </is>
      </c>
      <c r="G5364" s="16" t="inlineStr">
        <is>
          <t>Bocina Radio FM/Reproductor, Compatible con Tarjeta TF, USB, Bluetooth, Aplicable para celular, computadora, Ipad y consola.</t>
        </is>
      </c>
      <c r="H5364" s="16" t="inlineStr">
        <is>
          <t>NEGRO/MB-185</t>
        </is>
      </c>
      <c r="I5364" s="16" t="n">
        <v>1</v>
      </c>
      <c r="J5364" s="17" t="n">
        <v>75.5</v>
      </c>
      <c r="K5364" s="17" t="n">
        <v>45.36</v>
      </c>
      <c r="L5364" s="17" t="n">
        <v>25.86</v>
      </c>
      <c r="M5364" s="17" t="n">
        <v>0</v>
      </c>
      <c r="N5364" s="17">
        <f>K5364*0.08+L5364*0.08</f>
        <v/>
      </c>
      <c r="O5364" s="17">
        <f>-(K5364*0.025+L5364*0.025)</f>
        <v/>
      </c>
      <c r="P5364" s="17">
        <f>32</f>
        <v/>
      </c>
      <c r="Q5364" s="17">
        <f>J5364+L5364+N5364+O5364-P5364-M5364</f>
        <v/>
      </c>
    </row>
    <row r="5365">
      <c r="A5365" s="16" t="inlineStr">
        <is>
          <t>5.8-5.14</t>
        </is>
      </c>
      <c r="B5365" s="16" t="inlineStr">
        <is>
          <t>PO-128-11594918935670105</t>
        </is>
      </c>
      <c r="C5365" s="16" t="inlineStr">
        <is>
          <t>Delivered</t>
        </is>
      </c>
      <c r="D5365" s="16" t="inlineStr">
        <is>
          <t>128-11594971364470105</t>
        </is>
      </c>
      <c r="E5365" s="16" t="inlineStr">
        <is>
          <t>Delivered</t>
        </is>
      </c>
      <c r="F5365" s="16" t="inlineStr">
        <is>
          <t>BS-22</t>
        </is>
      </c>
      <c r="G5365" s="16" t="inlineStr">
        <is>
          <t>link bits Barra de Sonido para TV, 2x2" Altavoces + 2 Membranas de Graves, Sonido Claro ≥80dB, Bluetooth Inalámbrico, Conexiones AUX/USB, Diseño Compacto 76cm, Sonido Envolvente 3D para Cine en Casa, PC, Juegos y Fiestas</t>
        </is>
      </c>
      <c r="H5365" s="16" t="inlineStr">
        <is>
          <t>BS-22</t>
        </is>
      </c>
      <c r="I5365" s="16" t="n">
        <v>1</v>
      </c>
      <c r="J5365" s="17" t="n">
        <v>255</v>
      </c>
      <c r="K5365" s="17" t="n">
        <v>250.42</v>
      </c>
      <c r="L5365" s="17" t="n">
        <v>0</v>
      </c>
      <c r="M5365" s="17" t="n">
        <v>0</v>
      </c>
      <c r="N5365" s="17">
        <f>K5365*0.08+L5365*0.08</f>
        <v/>
      </c>
      <c r="O5365" s="17">
        <f>-(K5365*0.025+L5365*0.025)</f>
        <v/>
      </c>
      <c r="P5365" s="17">
        <f>32</f>
        <v/>
      </c>
      <c r="Q5365" s="17">
        <f>J5365+L5365+N5365+O5365-P5365-M5365</f>
        <v/>
      </c>
    </row>
    <row r="5366">
      <c r="A5366" s="16" t="inlineStr">
        <is>
          <t>5.8-5.14</t>
        </is>
      </c>
      <c r="B5366" s="16" t="inlineStr">
        <is>
          <t>PO-128-11626826686070811</t>
        </is>
      </c>
      <c r="C5366" s="16" t="inlineStr">
        <is>
          <t>Delivered</t>
        </is>
      </c>
      <c r="D5366" s="16" t="inlineStr">
        <is>
          <t>128-11626789985910811</t>
        </is>
      </c>
      <c r="E5366" s="16" t="inlineStr">
        <is>
          <t>Delivered</t>
        </is>
      </c>
      <c r="F5366" s="16" t="inlineStr">
        <is>
          <t>MCM-001N</t>
        </is>
      </c>
      <c r="G5366" s="16" t="inlineStr">
        <is>
          <t>Musicord Altavoz Inalámbrico BT Portátil: ¡Sonido impactante, luces LED multicolores y 4 horas de autonomía! Compatible con TWS, FM, TF y USB – Imprescindible para fiestas y viajes</t>
        </is>
      </c>
      <c r="H5366" s="16" t="inlineStr">
        <is>
          <t>NEGRO</t>
        </is>
      </c>
      <c r="I5366" s="16" t="n">
        <v>1</v>
      </c>
      <c r="J5366" s="17" t="n">
        <v>61</v>
      </c>
      <c r="K5366" s="17" t="n">
        <v>72.29000000000001</v>
      </c>
      <c r="L5366" s="17" t="n">
        <v>25.86</v>
      </c>
      <c r="M5366" s="17" t="n">
        <v>0</v>
      </c>
      <c r="N5366" s="17">
        <f>K5366*0.08+L5366*0.08</f>
        <v/>
      </c>
      <c r="O5366" s="17">
        <f>-(K5366*0.025+L5366*0.025)</f>
        <v/>
      </c>
      <c r="P5366" s="17">
        <f>32</f>
        <v/>
      </c>
      <c r="Q5366" s="17">
        <f>J5366+L5366+N5366+O5366-P5366-M5366</f>
        <v/>
      </c>
    </row>
    <row r="5367">
      <c r="A5367" s="16" t="inlineStr">
        <is>
          <t>5.8-5.14</t>
        </is>
      </c>
      <c r="B5367" s="16" t="inlineStr">
        <is>
          <t>PO-128-11628931743350863</t>
        </is>
      </c>
      <c r="C5367" s="16" t="inlineStr">
        <is>
          <t>Delivered</t>
        </is>
      </c>
      <c r="D5367" s="16" t="inlineStr">
        <is>
          <t>128-11628889800310863</t>
        </is>
      </c>
      <c r="E5367" s="16" t="inlineStr">
        <is>
          <t>Delivered</t>
        </is>
      </c>
      <c r="F5367" s="16" t="inlineStr">
        <is>
          <t>SA325T</t>
        </is>
      </c>
      <c r="G5367" s="16" t="inlineStr">
        <is>
          <t>Subwoofer Portátil Inalámbrico con Luces RGB, Sonido de Alta Potencia y Batería Duradera, TWS TF USB, Perfecto para Campamento Fiestas y Entretenimiento en Casa</t>
        </is>
      </c>
      <c r="H5367" s="16" t="inlineStr">
        <is>
          <t>NEGRO</t>
        </is>
      </c>
      <c r="I5367" s="16" t="n">
        <v>1</v>
      </c>
      <c r="J5367" s="17" t="n">
        <v>37.99</v>
      </c>
      <c r="K5367" s="17" t="n">
        <v>3.94</v>
      </c>
      <c r="L5367" s="17" t="n">
        <v>25.86</v>
      </c>
      <c r="M5367" s="17" t="n">
        <v>0</v>
      </c>
      <c r="N5367" s="17">
        <f>K5367*0.08+L5367*0.08</f>
        <v/>
      </c>
      <c r="O5367" s="17">
        <f>-(K5367*0.025+L5367*0.025)</f>
        <v/>
      </c>
      <c r="P5367" s="17">
        <f>32</f>
        <v/>
      </c>
      <c r="Q5367" s="17">
        <f>J5367+L5367+N5367+O5367-P5367-M5367</f>
        <v/>
      </c>
    </row>
    <row r="5368">
      <c r="A5368" s="16" t="inlineStr">
        <is>
          <t>5.8-5.14</t>
        </is>
      </c>
      <c r="B5368" s="16" t="inlineStr">
        <is>
          <t>PO-128-11037266181753429</t>
        </is>
      </c>
      <c r="C5368" s="16" t="inlineStr">
        <is>
          <t>Delivered</t>
        </is>
      </c>
      <c r="D5368" s="16" t="inlineStr">
        <is>
          <t>128-11037239967353429</t>
        </is>
      </c>
      <c r="E5368" s="16" t="inlineStr">
        <is>
          <t>Delivered</t>
        </is>
      </c>
      <c r="F5368" s="16" t="inlineStr">
        <is>
          <t>KTS-1678Y</t>
        </is>
      </c>
      <c r="G5368" s="16" t="inlineStr">
        <is>
          <t>Bocina portátil Inalámbrico, de 3 pulgadas, tamaño de bolsillo, 170 g, con asa, compatible con TF, USB y Micro SD, con radio FM y función TWS (True Wireless Stereo), adecuada para relajarse en casa o viajar al aire libre.</t>
        </is>
      </c>
      <c r="H5368" s="16" t="inlineStr">
        <is>
          <t>KTS-1678Y</t>
        </is>
      </c>
      <c r="I5368" s="16" t="n">
        <v>1</v>
      </c>
      <c r="J5368" s="17" t="n">
        <v>42.5</v>
      </c>
      <c r="K5368" s="17" t="n">
        <v>48.72</v>
      </c>
      <c r="L5368" s="17" t="n">
        <v>25.86</v>
      </c>
      <c r="M5368" s="17" t="n">
        <v>0</v>
      </c>
      <c r="N5368" s="17">
        <f>K5368*0.08+L5368*0.08</f>
        <v/>
      </c>
      <c r="O5368" s="17">
        <f>-(K5368*0.025+L5368*0.025)</f>
        <v/>
      </c>
      <c r="P5368" s="17">
        <f>32</f>
        <v/>
      </c>
      <c r="Q5368" s="17">
        <f>J5368+L5368+N5368+O5368-P5368-M5368</f>
        <v/>
      </c>
    </row>
    <row r="5369">
      <c r="A5369" s="16" t="inlineStr">
        <is>
          <t>5.8-5.14</t>
        </is>
      </c>
      <c r="B5369" s="16" t="inlineStr">
        <is>
          <t>PO-128-11515312305270386</t>
        </is>
      </c>
      <c r="C5369" s="16" t="inlineStr">
        <is>
          <t>Delivered</t>
        </is>
      </c>
      <c r="D5369" s="16" t="inlineStr">
        <is>
          <t>128-11515364734070386</t>
        </is>
      </c>
      <c r="E5369" s="16" t="inlineStr">
        <is>
          <t>Delivered</t>
        </is>
      </c>
      <c r="F5369" s="16" t="inlineStr">
        <is>
          <t>SA323T</t>
        </is>
      </c>
      <c r="G5369" s="16" t="inlineStr">
        <is>
          <t>Linkbits Bocina Portátil Parlantes BT Portátiles con Iluminación de Ambiente | 1 Hora de Duración, FM, TWS, TF/Micro SD | Ideal para Hogar, Fiestas y Viajes</t>
        </is>
      </c>
      <c r="H5369" s="16" t="inlineStr">
        <is>
          <t>SA323T</t>
        </is>
      </c>
      <c r="I5369" s="16" t="n">
        <v>1</v>
      </c>
      <c r="J5369" s="17" t="n">
        <v>46</v>
      </c>
      <c r="K5369" s="17" t="n">
        <v>3.35</v>
      </c>
      <c r="L5369" s="17" t="n">
        <v>25.86</v>
      </c>
      <c r="M5369" s="17" t="n">
        <v>0</v>
      </c>
      <c r="N5369" s="17">
        <f>K5369*0.08+L5369*0.08</f>
        <v/>
      </c>
      <c r="O5369" s="17">
        <f>-(K5369*0.025+L5369*0.025)</f>
        <v/>
      </c>
      <c r="P5369" s="17">
        <f>32</f>
        <v/>
      </c>
      <c r="Q5369" s="17">
        <f>J5369+L5369+N5369+O5369-P5369-M5369</f>
        <v/>
      </c>
    </row>
    <row r="5370">
      <c r="A5370" s="16" t="inlineStr">
        <is>
          <t>5.8-5.14</t>
        </is>
      </c>
      <c r="B5370" s="16" t="inlineStr">
        <is>
          <t>PO-128-11623290698870830</t>
        </is>
      </c>
      <c r="C5370" s="16" t="inlineStr">
        <is>
          <t>Delivered</t>
        </is>
      </c>
      <c r="D5370" s="16" t="inlineStr">
        <is>
          <t>128-11623311670390830</t>
        </is>
      </c>
      <c r="E5370" s="16" t="inlineStr">
        <is>
          <t>Delivered</t>
        </is>
      </c>
      <c r="F5370" s="16" t="inlineStr">
        <is>
          <t>LB02235-negro</t>
        </is>
      </c>
      <c r="G5370" s="16" t="inlineStr">
        <is>
          <t>Audífonos Inalámbricos para la Cabeza, Recargables y Multifuncionales - Conectan a Varios Dispositivos, soportan Radio FM, Tarjeta TF y AUX - 4 Horas de Reproducción Musical - Ideal para Trabajo Cotidiano, Juegos y Estudio</t>
        </is>
      </c>
      <c r="H5370" s="16" t="inlineStr">
        <is>
          <t>NEGRO</t>
        </is>
      </c>
      <c r="I5370" s="16" t="n">
        <v>1</v>
      </c>
      <c r="J5370" s="17" t="n">
        <v>37.71</v>
      </c>
      <c r="K5370" s="17" t="n">
        <v>41.3</v>
      </c>
      <c r="L5370" s="17" t="n">
        <v>25.86</v>
      </c>
      <c r="M5370" s="17" t="n">
        <v>0</v>
      </c>
      <c r="N5370" s="17">
        <f>K5370*0.08+L5370*0.08</f>
        <v/>
      </c>
      <c r="O5370" s="17">
        <f>-(K5370*0.025+L5370*0.025)</f>
        <v/>
      </c>
      <c r="P5370" s="17">
        <f>32</f>
        <v/>
      </c>
      <c r="Q5370" s="17">
        <f>J5370+L5370+N5370+O5370-P5370-M5370</f>
        <v/>
      </c>
    </row>
    <row r="5371">
      <c r="A5371" s="16" t="inlineStr">
        <is>
          <t>5.8-5.14</t>
        </is>
      </c>
      <c r="B5371" s="16" t="inlineStr">
        <is>
          <t>PO-128-11571285601910244</t>
        </is>
      </c>
      <c r="C5371" s="16" t="inlineStr">
        <is>
          <t>Delivered</t>
        </is>
      </c>
      <c r="D5371" s="16" t="inlineStr">
        <is>
          <t>128-11571264630390244</t>
        </is>
      </c>
      <c r="E5371" s="16" t="inlineStr">
        <is>
          <t>Delivered</t>
        </is>
      </c>
      <c r="F5371" s="16" t="inlineStr">
        <is>
          <t>KTS-1678Y</t>
        </is>
      </c>
      <c r="G5371" s="16" t="inlineStr">
        <is>
          <t>Bocina portátil Inalámbrico, de 3 pulgadas, tamaño de bolsillo, 170 g, con asa, compatible con TF, USB y Micro SD, con radio FM y función TWS (True Wireless Stereo), adecuada para relajarse en casa o viajar al aire libre.</t>
        </is>
      </c>
      <c r="H5371" s="16" t="inlineStr">
        <is>
          <t>KTS-1678Y</t>
        </is>
      </c>
      <c r="I5371" s="16" t="n">
        <v>1</v>
      </c>
      <c r="J5371" s="17" t="n">
        <v>42.5</v>
      </c>
      <c r="K5371" s="17" t="n">
        <v>48.72</v>
      </c>
      <c r="L5371" s="17" t="n">
        <v>25.86</v>
      </c>
      <c r="M5371" s="17" t="n">
        <v>0</v>
      </c>
      <c r="N5371" s="17">
        <f>K5371*0.08+L5371*0.08</f>
        <v/>
      </c>
      <c r="O5371" s="17">
        <f>-(K5371*0.025+L5371*0.025)</f>
        <v/>
      </c>
      <c r="P5371" s="17">
        <f>32</f>
        <v/>
      </c>
      <c r="Q5371" s="17">
        <f>J5371+L5371+N5371+O5371-P5371-M5371</f>
        <v/>
      </c>
    </row>
    <row r="5372">
      <c r="A5372" s="16" t="inlineStr">
        <is>
          <t>5.8-5.14</t>
        </is>
      </c>
      <c r="B5372" s="16" t="inlineStr">
        <is>
          <t>PO-128-11360158497911505</t>
        </is>
      </c>
      <c r="C5372" s="16" t="inlineStr">
        <is>
          <t>Delivered</t>
        </is>
      </c>
      <c r="D5372" s="16" t="inlineStr">
        <is>
          <t>128-11360116554871505</t>
        </is>
      </c>
      <c r="E5372" s="16" t="inlineStr">
        <is>
          <t>Delivered</t>
        </is>
      </c>
      <c r="F5372" s="16" t="inlineStr">
        <is>
          <t>LB02235-negro</t>
        </is>
      </c>
      <c r="G5372" s="16" t="inlineStr">
        <is>
          <t>Audífonos Inalámbricos para la Cabeza, Recargables y Multifuncionales - Conectan a Varios Dispositivos, soportan Radio FM, Tarjeta TF y AUX - 4 Horas de Reproducción Musical - Ideal para Trabajo Cotidiano, Juegos y Estudio</t>
        </is>
      </c>
      <c r="H5372" s="16" t="inlineStr">
        <is>
          <t>NEGRO</t>
        </is>
      </c>
      <c r="I5372" s="16" t="n">
        <v>1</v>
      </c>
      <c r="J5372" s="17" t="n">
        <v>37.71</v>
      </c>
      <c r="K5372" s="17" t="n">
        <v>50.83</v>
      </c>
      <c r="L5372" s="17" t="n">
        <v>25.86</v>
      </c>
      <c r="M5372" s="17" t="n">
        <v>0</v>
      </c>
      <c r="N5372" s="17">
        <f>K5372*0.08+L5372*0.08</f>
        <v/>
      </c>
      <c r="O5372" s="17">
        <f>-(K5372*0.025+L5372*0.025)</f>
        <v/>
      </c>
      <c r="P5372" s="17">
        <f>32</f>
        <v/>
      </c>
      <c r="Q5372" s="17">
        <f>J5372+L5372+N5372+O5372-P5372-M5372</f>
        <v/>
      </c>
    </row>
    <row r="5373">
      <c r="A5373" s="16" t="inlineStr">
        <is>
          <t>5.8-5.14</t>
        </is>
      </c>
      <c r="B5373" s="16" t="inlineStr">
        <is>
          <t>PO-128-11499127926391570</t>
        </is>
      </c>
      <c r="C5373" s="16" t="inlineStr">
        <is>
          <t>Delivered</t>
        </is>
      </c>
      <c r="D5373" s="16" t="inlineStr">
        <is>
          <t>128-11499232783991570</t>
        </is>
      </c>
      <c r="E5373" s="16" t="inlineStr">
        <is>
          <t>Delivered</t>
        </is>
      </c>
      <c r="F5373" s="16" t="inlineStr">
        <is>
          <t>MCM-001G</t>
        </is>
      </c>
      <c r="G5373" s="16" t="inlineStr">
        <is>
          <t>Musicord Altavoz Inalámbrico BT Portátil: ¡Sonido impactante, luces LED multicolores y 4 horas de autonomía! Compatible con TWS, FM, TF y USB – Imprescindible para fiestas y viajes</t>
        </is>
      </c>
      <c r="H5373" s="16" t="inlineStr">
        <is>
          <t>GRIS</t>
        </is>
      </c>
      <c r="I5373" s="16" t="n">
        <v>1</v>
      </c>
      <c r="J5373" s="17" t="n">
        <v>51.07</v>
      </c>
      <c r="K5373" s="17" t="n">
        <v>19.26</v>
      </c>
      <c r="L5373" s="17" t="n">
        <v>25.86</v>
      </c>
      <c r="M5373" s="17" t="n">
        <v>0</v>
      </c>
      <c r="N5373" s="17">
        <f>K5373*0.08+L5373*0.08</f>
        <v/>
      </c>
      <c r="O5373" s="17">
        <f>-(K5373*0.025+L5373*0.025)</f>
        <v/>
      </c>
      <c r="P5373" s="17">
        <f>32</f>
        <v/>
      </c>
      <c r="Q5373" s="17">
        <f>J5373+L5373+N5373+O5373-P5373-M5373</f>
        <v/>
      </c>
    </row>
    <row r="5374">
      <c r="A5374" s="16" t="inlineStr">
        <is>
          <t>5.8-5.14</t>
        </is>
      </c>
      <c r="B5374" s="16" t="inlineStr">
        <is>
          <t>PO-128-11510333443191632</t>
        </is>
      </c>
      <c r="C5374" s="16" t="inlineStr">
        <is>
          <t>Delivered</t>
        </is>
      </c>
      <c r="D5374" s="16" t="inlineStr">
        <is>
          <t>128-11510291500151632</t>
        </is>
      </c>
      <c r="E5374" s="16" t="inlineStr">
        <is>
          <t>Delivered</t>
        </is>
      </c>
      <c r="F5374" s="16" t="inlineStr">
        <is>
          <t>MB-185N</t>
        </is>
      </c>
      <c r="G5374" s="16" t="inlineStr">
        <is>
          <t>Bocina Radio FM/Reproductor, Compatible con Tarjeta TF, USB, Bluetooth, Aplicable para celular, computadora, Ipad y consola.</t>
        </is>
      </c>
      <c r="H5374" s="16" t="inlineStr">
        <is>
          <t>NEGRO/MB-185</t>
        </is>
      </c>
      <c r="I5374" s="16" t="n">
        <v>1</v>
      </c>
      <c r="J5374" s="17" t="n">
        <v>75.5</v>
      </c>
      <c r="K5374" s="17" t="n">
        <v>88.45999999999999</v>
      </c>
      <c r="L5374" s="17" t="n">
        <v>25.86</v>
      </c>
      <c r="M5374" s="17" t="n">
        <v>0</v>
      </c>
      <c r="N5374" s="17">
        <f>K5374*0.08+L5374*0.08</f>
        <v/>
      </c>
      <c r="O5374" s="17">
        <f>-(K5374*0.025+L5374*0.025)</f>
        <v/>
      </c>
      <c r="P5374" s="17">
        <f>32</f>
        <v/>
      </c>
      <c r="Q5374" s="17">
        <f>J5374+L5374+N5374+O5374-P5374-M5374</f>
        <v/>
      </c>
    </row>
    <row r="5375">
      <c r="A5375" s="16" t="inlineStr">
        <is>
          <t>5.8-5.14</t>
        </is>
      </c>
      <c r="B5375" s="16" t="inlineStr">
        <is>
          <t>PO-128-11204319132792368</t>
        </is>
      </c>
      <c r="C5375" s="16" t="inlineStr">
        <is>
          <t>Delivered</t>
        </is>
      </c>
      <c r="D5375" s="16" t="inlineStr">
        <is>
          <t>128-11204277189752368</t>
        </is>
      </c>
      <c r="E5375" s="16" t="inlineStr">
        <is>
          <t>Delivered</t>
        </is>
      </c>
      <c r="F5375" s="16" t="inlineStr">
        <is>
          <t>AIR50W06-2P</t>
        </is>
      </c>
      <c r="G5375" s="16" t="inlineStr">
        <is>
          <t>Link Bits Ventilador de piso de 16 pulgadas, 2 unidades, 3 velocidades, motor silencioso, flujo de aire fuerte, altura ajustable, oscilación amplia, ventilador eléctrico para el hogar, ideal para sala, recámara y oficina</t>
        </is>
      </c>
      <c r="H5375" s="16" t="inlineStr">
        <is>
          <t>2PZ</t>
        </is>
      </c>
      <c r="I5375" s="16" t="n">
        <v>1</v>
      </c>
      <c r="J5375" s="17" t="n">
        <v>440</v>
      </c>
      <c r="K5375" s="17" t="n">
        <v>426.25</v>
      </c>
      <c r="L5375" s="17" t="n">
        <v>0</v>
      </c>
      <c r="M5375" s="17" t="n">
        <v>0</v>
      </c>
      <c r="N5375" s="17">
        <f>K5375*0.08+L5375*0.08</f>
        <v/>
      </c>
      <c r="O5375" s="17">
        <f>-(K5375*0.025+L5375*0.025)</f>
        <v/>
      </c>
      <c r="P5375" s="17">
        <f>32</f>
        <v/>
      </c>
      <c r="Q5375" s="17">
        <f>J5375+L5375+N5375+O5375-P5375-M5375</f>
        <v/>
      </c>
    </row>
    <row r="5376">
      <c r="A5376" s="16" t="inlineStr">
        <is>
          <t>5.8-5.14</t>
        </is>
      </c>
      <c r="B5376" s="16" t="inlineStr">
        <is>
          <t>PO-128-11035138883193440</t>
        </is>
      </c>
      <c r="C5376" s="16" t="inlineStr">
        <is>
          <t>Delivered</t>
        </is>
      </c>
      <c r="D5376" s="16" t="inlineStr">
        <is>
          <t>128-11035207040633440</t>
        </is>
      </c>
      <c r="E5376" s="16" t="inlineStr">
        <is>
          <t>Delivered</t>
        </is>
      </c>
      <c r="F5376" s="16" t="inlineStr">
        <is>
          <t>BS-22</t>
        </is>
      </c>
      <c r="G5376" s="16" t="inlineStr">
        <is>
          <t>link bits Barra de Sonido para TV, 2x2" Altavoces + 2 Membranas de Graves, Sonido Claro ≥80dB, Bluetooth Inalámbrico, Conexiones AUX/USB, Diseño Compacto 76cm, Sonido Envolvente 3D para Cine en Casa, PC, Juegos y Fiestas</t>
        </is>
      </c>
      <c r="H5376" s="16" t="inlineStr">
        <is>
          <t>BS-22</t>
        </is>
      </c>
      <c r="I5376" s="16" t="n">
        <v>1</v>
      </c>
      <c r="J5376" s="17" t="n">
        <v>255</v>
      </c>
      <c r="K5376" s="17" t="n">
        <v>235.69</v>
      </c>
      <c r="L5376" s="17" t="n">
        <v>0</v>
      </c>
      <c r="M5376" s="17" t="n">
        <v>0</v>
      </c>
      <c r="N5376" s="17">
        <f>K5376*0.08+L5376*0.08</f>
        <v/>
      </c>
      <c r="O5376" s="17">
        <f>-(K5376*0.025+L5376*0.025)</f>
        <v/>
      </c>
      <c r="P5376" s="17">
        <f>32</f>
        <v/>
      </c>
      <c r="Q5376" s="17">
        <f>J5376+L5376+N5376+O5376-P5376-M5376</f>
        <v/>
      </c>
    </row>
    <row r="5377">
      <c r="A5377" s="16" t="inlineStr">
        <is>
          <t>5.8-5.14</t>
        </is>
      </c>
      <c r="B5377" s="16" t="inlineStr">
        <is>
          <t>PO-128-11045505285753250</t>
        </is>
      </c>
      <c r="C5377" s="16" t="inlineStr">
        <is>
          <t>Delivered</t>
        </is>
      </c>
      <c r="D5377" s="16" t="inlineStr">
        <is>
          <t>128-11045547228793250</t>
        </is>
      </c>
      <c r="E5377" s="16" t="inlineStr">
        <is>
          <t>Delivered</t>
        </is>
      </c>
      <c r="F5377" s="16" t="inlineStr">
        <is>
          <t>LB02235-rojo</t>
        </is>
      </c>
      <c r="G5377" s="16" t="inlineStr">
        <is>
          <t>Audífonos Inalámbricos para la Cabeza, Recargables y Multifuncionales - Conectan a Varios Dispositivos, soportan Radio FM, Tarjeta TF y AUX - 4 Horas de Reproducción Musical - Ideal para Trabajo Cotidiano, Juegos y Estudio</t>
        </is>
      </c>
      <c r="H5377" s="16" t="inlineStr">
        <is>
          <t>ROJO</t>
        </is>
      </c>
      <c r="I5377" s="16" t="n">
        <v>3</v>
      </c>
      <c r="J5377" s="17" t="n">
        <v>110.4</v>
      </c>
      <c r="K5377" s="17" t="n">
        <v>46.98</v>
      </c>
      <c r="L5377" s="17" t="n">
        <v>25.86</v>
      </c>
      <c r="M5377" s="17" t="n">
        <v>0</v>
      </c>
      <c r="N5377" s="17">
        <f>K5377*0.08+L5377*0.08</f>
        <v/>
      </c>
      <c r="O5377" s="17">
        <f>-(K5377*0.025+L5377*0.025)</f>
        <v/>
      </c>
      <c r="P5377" s="17">
        <f>32</f>
        <v/>
      </c>
      <c r="Q5377" s="17">
        <f>J5377+L5377+N5377+O5377-P5377-M5377</f>
        <v/>
      </c>
    </row>
    <row r="5378">
      <c r="A5378" s="16" t="inlineStr">
        <is>
          <t>5.8-5.14</t>
        </is>
      </c>
      <c r="B5378" s="16" t="inlineStr">
        <is>
          <t>PO-128-11478172429431697</t>
        </is>
      </c>
      <c r="C5378" s="16" t="inlineStr">
        <is>
          <t>Delivered</t>
        </is>
      </c>
      <c r="D5378" s="16" t="inlineStr">
        <is>
          <t>128-11478277287031697</t>
        </is>
      </c>
      <c r="E5378" s="16" t="inlineStr">
        <is>
          <t>Delivered</t>
        </is>
      </c>
      <c r="F5378" s="16" t="inlineStr">
        <is>
          <t>LB02235-rojo</t>
        </is>
      </c>
      <c r="G5378" s="16" t="inlineStr">
        <is>
          <t>Audífonos Inalámbricos para la Cabeza, Recargables y Multifuncionales - Conectan a Varios Dispositivos, soportan Radio FM, Tarjeta TF y AUX - 4 Horas de Reproducción Musical - Ideal para Trabajo Cotidiano, Juegos y Estudio</t>
        </is>
      </c>
      <c r="H5378" s="16" t="inlineStr">
        <is>
          <t>ROJO</t>
        </is>
      </c>
      <c r="I5378" s="16" t="n">
        <v>1</v>
      </c>
      <c r="J5378" s="17" t="n">
        <v>36.8</v>
      </c>
      <c r="K5378" s="17" t="n">
        <v>6.81</v>
      </c>
      <c r="L5378" s="17" t="n">
        <v>25.86</v>
      </c>
      <c r="M5378" s="17" t="n">
        <v>0</v>
      </c>
      <c r="N5378" s="17">
        <f>K5378*0.08+L5378*0.08</f>
        <v/>
      </c>
      <c r="O5378" s="17">
        <f>-(K5378*0.025+L5378*0.025)</f>
        <v/>
      </c>
      <c r="P5378" s="17">
        <f>32</f>
        <v/>
      </c>
      <c r="Q5378" s="17">
        <f>J5378+L5378+N5378+O5378-P5378-M5378</f>
        <v/>
      </c>
    </row>
    <row r="5379">
      <c r="A5379" s="16" t="inlineStr">
        <is>
          <t>5.8-5.14</t>
        </is>
      </c>
      <c r="B5379" s="16" t="inlineStr">
        <is>
          <t>PO-128-11045489024633250</t>
        </is>
      </c>
      <c r="C5379" s="16" t="inlineStr">
        <is>
          <t>Delivered</t>
        </is>
      </c>
      <c r="D5379" s="16" t="inlineStr">
        <is>
          <t>128-11045509996153250</t>
        </is>
      </c>
      <c r="E5379" s="16" t="inlineStr">
        <is>
          <t>Delivered</t>
        </is>
      </c>
      <c r="F5379" s="16" t="inlineStr">
        <is>
          <t>LB02235-blanco</t>
        </is>
      </c>
      <c r="G5379" s="16" t="inlineStr">
        <is>
          <t>Audífonos Inalámbricos para la Cabeza, Recargables y Multifuncionales - Conectan a Varios Dispositivos, soportan Radio FM, Tarjeta TF y AUX - 4 Horas de Reproducción Musical - Ideal para Trabajo Cotidiano, Juegos y Estudio</t>
        </is>
      </c>
      <c r="H5379" s="16" t="inlineStr">
        <is>
          <t>BLANCO</t>
        </is>
      </c>
      <c r="I5379" s="16" t="n">
        <v>1</v>
      </c>
      <c r="J5379" s="17" t="n">
        <v>37.71</v>
      </c>
      <c r="K5379" s="17" t="n">
        <v>30.29</v>
      </c>
      <c r="L5379" s="17" t="n">
        <v>6.41</v>
      </c>
      <c r="M5379" s="17" t="n">
        <v>0</v>
      </c>
      <c r="N5379" s="17">
        <f>K5379*0.08+L5379*0.08</f>
        <v/>
      </c>
      <c r="O5379" s="17">
        <f>-(K5379*0.025+L5379*0.025)</f>
        <v/>
      </c>
      <c r="P5379" s="17">
        <f>32</f>
        <v/>
      </c>
      <c r="Q5379" s="17">
        <f>J5379+L5379+N5379+O5379-P5379-M5379</f>
        <v/>
      </c>
    </row>
    <row r="5380">
      <c r="A5380" s="16" t="inlineStr">
        <is>
          <t>5.8-5.14</t>
        </is>
      </c>
      <c r="B5380" s="16" t="inlineStr">
        <is>
          <t>PO-128-11045489024633250</t>
        </is>
      </c>
      <c r="C5380" s="16" t="inlineStr">
        <is>
          <t>Delivered</t>
        </is>
      </c>
      <c r="D5380" s="16" t="inlineStr">
        <is>
          <t>128-11045593882233250</t>
        </is>
      </c>
      <c r="E5380" s="16" t="inlineStr">
        <is>
          <t>Delivered</t>
        </is>
      </c>
      <c r="F5380" s="16" t="inlineStr">
        <is>
          <t>VB347T</t>
        </is>
      </c>
      <c r="G5380"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380" s="16" t="inlineStr">
        <is>
          <t>1 pieza</t>
        </is>
      </c>
      <c r="I5380" s="16" t="n">
        <v>1</v>
      </c>
      <c r="J5380" s="17" t="n">
        <v>79.89</v>
      </c>
      <c r="K5380" s="17" t="n">
        <v>56.32</v>
      </c>
      <c r="L5380" s="17" t="n">
        <v>11.94</v>
      </c>
      <c r="M5380" s="17" t="n">
        <v>0</v>
      </c>
      <c r="N5380" s="17">
        <f>K5380*0.08+L5380*0.08</f>
        <v/>
      </c>
      <c r="O5380" s="17">
        <f>-(K5380*0.025+L5380*0.025)</f>
        <v/>
      </c>
      <c r="P5380" s="17">
        <f>32</f>
        <v/>
      </c>
      <c r="Q5380" s="17">
        <f>J5380+L5380+N5380+O5380-P5380-M5380</f>
        <v/>
      </c>
    </row>
    <row r="5381">
      <c r="A5381" s="16" t="inlineStr">
        <is>
          <t>5.8-5.14</t>
        </is>
      </c>
      <c r="B5381" s="16" t="inlineStr">
        <is>
          <t>PO-128-11045489024633250</t>
        </is>
      </c>
      <c r="C5381" s="16" t="inlineStr">
        <is>
          <t>Delivered</t>
        </is>
      </c>
      <c r="D5381" s="16" t="inlineStr">
        <is>
          <t>128-11045551939193250</t>
        </is>
      </c>
      <c r="E5381" s="16" t="inlineStr">
        <is>
          <t>Delivered</t>
        </is>
      </c>
      <c r="F5381" s="16" t="inlineStr">
        <is>
          <t>MCM-001A</t>
        </is>
      </c>
      <c r="G5381" s="16" t="inlineStr">
        <is>
          <t>Musicord Altavoz Inalámbrico BT Portátil: ¡Sonido impactante, luces LED multicolores y 4 horas de autonomía! Compatible con TWS, FM, TF y USB – Imprescindible para fiestas y viajes</t>
        </is>
      </c>
      <c r="H5381" s="16" t="inlineStr">
        <is>
          <t>AZUL</t>
        </is>
      </c>
      <c r="I5381" s="16" t="n">
        <v>1</v>
      </c>
      <c r="J5381" s="17" t="n">
        <v>51.07</v>
      </c>
      <c r="K5381" s="17" t="n">
        <v>35.44</v>
      </c>
      <c r="L5381" s="17" t="n">
        <v>7.51</v>
      </c>
      <c r="M5381" s="17" t="n">
        <v>0</v>
      </c>
      <c r="N5381" s="17">
        <f>K5381*0.08+L5381*0.08</f>
        <v/>
      </c>
      <c r="O5381" s="17">
        <f>-(K5381*0.025+L5381*0.025)</f>
        <v/>
      </c>
      <c r="P5381" s="17">
        <f>32</f>
        <v/>
      </c>
      <c r="Q5381" s="17">
        <f>J5381+L5381+N5381+O5381-P5381-M5381</f>
        <v/>
      </c>
    </row>
    <row r="5382">
      <c r="A5382" s="16" t="inlineStr">
        <is>
          <t>5.8-5.14</t>
        </is>
      </c>
      <c r="B5382" s="16" t="inlineStr">
        <is>
          <t>PO-128-11081595367033997</t>
        </is>
      </c>
      <c r="C5382" s="16" t="inlineStr">
        <is>
          <t>Delivered</t>
        </is>
      </c>
      <c r="D5382" s="16" t="inlineStr">
        <is>
          <t>128-11081574395513997</t>
        </is>
      </c>
      <c r="E5382" s="16" t="inlineStr">
        <is>
          <t>Delivered</t>
        </is>
      </c>
      <c r="F5382" s="16" t="inlineStr">
        <is>
          <t>MCM-001A</t>
        </is>
      </c>
      <c r="G5382" s="16" t="inlineStr">
        <is>
          <t>Musicord Altavoz Inalámbrico BT Portátil: ¡Sonido impactante, luces LED multicolores y 4 horas de autonomía! Compatible con TWS, FM, TF y USB – Imprescindible para fiestas y viajes</t>
        </is>
      </c>
      <c r="H5382" s="16" t="inlineStr">
        <is>
          <t>AZUL</t>
        </is>
      </c>
      <c r="I5382" s="16" t="n">
        <v>1</v>
      </c>
      <c r="J5382" s="17" t="n">
        <v>51.07</v>
      </c>
      <c r="K5382" s="17" t="n">
        <v>59.47</v>
      </c>
      <c r="L5382" s="17" t="n">
        <v>25.86</v>
      </c>
      <c r="M5382" s="17" t="n">
        <v>0</v>
      </c>
      <c r="N5382" s="17">
        <f>K5382*0.08+L5382*0.08</f>
        <v/>
      </c>
      <c r="O5382" s="17">
        <f>-(K5382*0.025+L5382*0.025)</f>
        <v/>
      </c>
      <c r="P5382" s="17">
        <f>32</f>
        <v/>
      </c>
      <c r="Q5382" s="17">
        <f>J5382+L5382+N5382+O5382-P5382-M5382</f>
        <v/>
      </c>
    </row>
    <row r="5383">
      <c r="A5383" s="16" t="inlineStr">
        <is>
          <t>5.8-5.14</t>
        </is>
      </c>
      <c r="B5383" s="16" t="inlineStr">
        <is>
          <t>PO-128-11476614334071707</t>
        </is>
      </c>
      <c r="C5383" s="16" t="inlineStr">
        <is>
          <t>Delivered</t>
        </is>
      </c>
      <c r="D5383" s="16" t="inlineStr">
        <is>
          <t>128-11476572391031707</t>
        </is>
      </c>
      <c r="E5383" s="16" t="inlineStr">
        <is>
          <t>Delivered</t>
        </is>
      </c>
      <c r="F5383" s="16" t="inlineStr">
        <is>
          <t>SA325T</t>
        </is>
      </c>
      <c r="G5383" s="16" t="inlineStr">
        <is>
          <t>Subwoofer Portátil Inalámbrico con Luces RGB, Sonido de Alta Potencia y Batería Duradera, TWS TF USB, Perfecto para Campamento Fiestas y Entretenimiento en Casa</t>
        </is>
      </c>
      <c r="H5383" s="16" t="inlineStr">
        <is>
          <t>NEGRO</t>
        </is>
      </c>
      <c r="I5383" s="16" t="n">
        <v>1</v>
      </c>
      <c r="J5383" s="17" t="n">
        <v>37.99</v>
      </c>
      <c r="K5383" s="17" t="n">
        <v>47.04</v>
      </c>
      <c r="L5383" s="17" t="n">
        <v>25.86</v>
      </c>
      <c r="M5383" s="17" t="n">
        <v>0</v>
      </c>
      <c r="N5383" s="17">
        <f>K5383*0.08+L5383*0.08</f>
        <v/>
      </c>
      <c r="O5383" s="17">
        <f>-(K5383*0.025+L5383*0.025)</f>
        <v/>
      </c>
      <c r="P5383" s="17">
        <f>32</f>
        <v/>
      </c>
      <c r="Q5383" s="17">
        <f>J5383+L5383+N5383+O5383-P5383-M5383</f>
        <v/>
      </c>
    </row>
    <row r="5384">
      <c r="A5384" s="16" t="inlineStr">
        <is>
          <t>5.8-5.14</t>
        </is>
      </c>
      <c r="B5384" s="16" t="inlineStr">
        <is>
          <t>PO-128-11384743539831164</t>
        </is>
      </c>
      <c r="C5384" s="16" t="inlineStr">
        <is>
          <t>Delivered</t>
        </is>
      </c>
      <c r="D5384" s="16" t="inlineStr">
        <is>
          <t>128-11384816940151164</t>
        </is>
      </c>
      <c r="E5384" s="16" t="inlineStr">
        <is>
          <t>Delivered</t>
        </is>
      </c>
      <c r="F5384" s="16" t="inlineStr">
        <is>
          <t>LV25W22</t>
        </is>
      </c>
      <c r="G5384"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84" s="16" t="inlineStr">
        <is>
          <t>LV25W32</t>
        </is>
      </c>
      <c r="I5384" s="16" t="n">
        <v>3</v>
      </c>
      <c r="J5384" s="17" t="n">
        <v>291</v>
      </c>
      <c r="K5384" s="17" t="n">
        <v>273.96</v>
      </c>
      <c r="L5384" s="17" t="n">
        <v>0</v>
      </c>
      <c r="M5384" s="17" t="n">
        <v>0</v>
      </c>
      <c r="N5384" s="17">
        <f>K5384*0.08+L5384*0.08</f>
        <v/>
      </c>
      <c r="O5384" s="17">
        <f>-(K5384*0.025+L5384*0.025)</f>
        <v/>
      </c>
      <c r="P5384" s="17">
        <f>32</f>
        <v/>
      </c>
      <c r="Q5384" s="17">
        <f>J5384+L5384+N5384+O5384-P5384-M5384</f>
        <v/>
      </c>
    </row>
    <row r="5385">
      <c r="A5385" s="16" t="inlineStr">
        <is>
          <t>5.8-5.14</t>
        </is>
      </c>
      <c r="B5385" s="16" t="inlineStr">
        <is>
          <t>PO-128-11315088297592797</t>
        </is>
      </c>
      <c r="C5385" s="16" t="inlineStr">
        <is>
          <t>Delivered</t>
        </is>
      </c>
      <c r="D5385" s="16" t="inlineStr">
        <is>
          <t>128-11315109269112797</t>
        </is>
      </c>
      <c r="E5385" s="16" t="inlineStr">
        <is>
          <t>Delivered</t>
        </is>
      </c>
      <c r="F5385" s="16" t="inlineStr">
        <is>
          <t>MCM-001N</t>
        </is>
      </c>
      <c r="G5385" s="16" t="inlineStr">
        <is>
          <t>Musicord Altavoz Inalámbrico BT Portátil: ¡Sonido impactante, luces LED multicolores y 4 horas de autonomía! Compatible con TWS, FM, TF y USB – Imprescindible para fiestas y viajes</t>
        </is>
      </c>
      <c r="H5385" s="16" t="inlineStr">
        <is>
          <t>NEGRO</t>
        </is>
      </c>
      <c r="I5385" s="16" t="n">
        <v>1</v>
      </c>
      <c r="J5385" s="17" t="n">
        <v>61</v>
      </c>
      <c r="K5385" s="17" t="n">
        <v>72.29000000000001</v>
      </c>
      <c r="L5385" s="17" t="n">
        <v>25.86</v>
      </c>
      <c r="M5385" s="17" t="n">
        <v>0</v>
      </c>
      <c r="N5385" s="17">
        <f>K5385*0.08+L5385*0.08</f>
        <v/>
      </c>
      <c r="O5385" s="17">
        <f>-(K5385*0.025+L5385*0.025)</f>
        <v/>
      </c>
      <c r="P5385" s="17">
        <f>32</f>
        <v/>
      </c>
      <c r="Q5385" s="17">
        <f>J5385+L5385+N5385+O5385-P5385-M5385</f>
        <v/>
      </c>
    </row>
    <row r="5386">
      <c r="A5386" s="16" t="inlineStr">
        <is>
          <t>5.8-5.14</t>
        </is>
      </c>
      <c r="B5386" s="16" t="inlineStr">
        <is>
          <t>PO-128-11364122668151289</t>
        </is>
      </c>
      <c r="C5386" s="16" t="inlineStr">
        <is>
          <t>Delivered</t>
        </is>
      </c>
      <c r="D5386" s="16" t="inlineStr">
        <is>
          <t>128-11364112182391289</t>
        </is>
      </c>
      <c r="E5386" s="16" t="inlineStr">
        <is>
          <t>Delivered</t>
        </is>
      </c>
      <c r="F5386" s="16" t="inlineStr">
        <is>
          <t>LB02235-rojo</t>
        </is>
      </c>
      <c r="G5386" s="16" t="inlineStr">
        <is>
          <t>Audífonos Inalámbricos para la Cabeza, Recargables y Multifuncionales - Conectan a Varios Dispositivos, soportan Radio FM, Tarjeta TF y AUX - 4 Horas de Reproducción Musical - Ideal para Trabajo Cotidiano, Juegos y Estudio</t>
        </is>
      </c>
      <c r="H5386" s="16" t="inlineStr">
        <is>
          <t>ROJO</t>
        </is>
      </c>
      <c r="I5386" s="16" t="n">
        <v>1</v>
      </c>
      <c r="J5386" s="17" t="n">
        <v>36.8</v>
      </c>
      <c r="K5386" s="17" t="n">
        <v>49.91</v>
      </c>
      <c r="L5386" s="17" t="n">
        <v>25.86</v>
      </c>
      <c r="M5386" s="17" t="n">
        <v>0</v>
      </c>
      <c r="N5386" s="17">
        <f>K5386*0.08+L5386*0.08</f>
        <v/>
      </c>
      <c r="O5386" s="17">
        <f>-(K5386*0.025+L5386*0.025)</f>
        <v/>
      </c>
      <c r="P5386" s="17">
        <f>32</f>
        <v/>
      </c>
      <c r="Q5386" s="17">
        <f>J5386+L5386+N5386+O5386-P5386-M5386</f>
        <v/>
      </c>
    </row>
    <row r="5387">
      <c r="A5387" s="16" t="inlineStr">
        <is>
          <t>5.8-5.14</t>
        </is>
      </c>
      <c r="B5387" s="16" t="inlineStr">
        <is>
          <t>PO-128-11141731200633831</t>
        </is>
      </c>
      <c r="C5387" s="16" t="inlineStr">
        <is>
          <t>Delivered</t>
        </is>
      </c>
      <c r="D5387" s="16" t="inlineStr">
        <is>
          <t>128-11141744307833831</t>
        </is>
      </c>
      <c r="E5387" s="16" t="inlineStr">
        <is>
          <t>Delivered</t>
        </is>
      </c>
      <c r="F5387" s="16" t="inlineStr">
        <is>
          <t>LB02235-rojo</t>
        </is>
      </c>
      <c r="G5387" s="16" t="inlineStr">
        <is>
          <t>Audífonos Inalámbricos para la Cabeza, Recargables y Multifuncionales - Conectan a Varios Dispositivos, soportan Radio FM, Tarjeta TF y AUX - 4 Horas de Reproducción Musical - Ideal para Trabajo Cotidiano, Juegos y Estudio</t>
        </is>
      </c>
      <c r="H5387" s="16" t="inlineStr">
        <is>
          <t>ROJO</t>
        </is>
      </c>
      <c r="I5387" s="16" t="n">
        <v>1</v>
      </c>
      <c r="J5387" s="17" t="n">
        <v>36.8</v>
      </c>
      <c r="K5387" s="17" t="n">
        <v>49.91</v>
      </c>
      <c r="L5387" s="17" t="n">
        <v>25.86</v>
      </c>
      <c r="M5387" s="17" t="n">
        <v>0</v>
      </c>
      <c r="N5387" s="17">
        <f>K5387*0.08+L5387*0.08</f>
        <v/>
      </c>
      <c r="O5387" s="17">
        <f>-(K5387*0.025+L5387*0.025)</f>
        <v/>
      </c>
      <c r="P5387" s="17">
        <f>32</f>
        <v/>
      </c>
      <c r="Q5387" s="17">
        <f>J5387+L5387+N5387+O5387-P5387-M5387</f>
        <v/>
      </c>
    </row>
    <row r="5388">
      <c r="A5388" s="16" t="inlineStr">
        <is>
          <t>5.8-5.14</t>
        </is>
      </c>
      <c r="B5388" s="16" t="inlineStr">
        <is>
          <t>PO-128-11425317010551946</t>
        </is>
      </c>
      <c r="C5388" s="16" t="inlineStr">
        <is>
          <t>Delivered</t>
        </is>
      </c>
      <c r="D5388" s="16" t="inlineStr">
        <is>
          <t>128-11425421868151946</t>
        </is>
      </c>
      <c r="E5388" s="16" t="inlineStr">
        <is>
          <t>Delivered</t>
        </is>
      </c>
      <c r="F5388" s="16" t="inlineStr">
        <is>
          <t>BS-22</t>
        </is>
      </c>
      <c r="G5388" s="16" t="inlineStr">
        <is>
          <t>link bits Barra de Sonido para TV, 2x2" Altavoces + 2 Membranas de Graves, Sonido Claro ≥80dB, Bluetooth Inalámbrico, Conexiones AUX/USB, Diseño Compacto 76cm, Sonido Envolvente 3D para Cine en Casa, PC, Juegos y Fiestas</t>
        </is>
      </c>
      <c r="H5388" s="16" t="inlineStr">
        <is>
          <t>BS-22</t>
        </is>
      </c>
      <c r="I5388" s="16" t="n">
        <v>1</v>
      </c>
      <c r="J5388" s="17" t="n">
        <v>255</v>
      </c>
      <c r="K5388" s="17" t="n">
        <v>294.61</v>
      </c>
      <c r="L5388" s="17" t="n">
        <v>0</v>
      </c>
      <c r="M5388" s="17" t="n">
        <v>0</v>
      </c>
      <c r="N5388" s="17">
        <f>K5388*0.08+L5388*0.08</f>
        <v/>
      </c>
      <c r="O5388" s="17">
        <f>-(K5388*0.025+L5388*0.025)</f>
        <v/>
      </c>
      <c r="P5388" s="17">
        <f>32</f>
        <v/>
      </c>
      <c r="Q5388" s="17">
        <f>J5388+L5388+N5388+O5388-P5388-M5388</f>
        <v/>
      </c>
    </row>
    <row r="5389">
      <c r="A5389" s="16" t="inlineStr">
        <is>
          <t>5.8-5.14</t>
        </is>
      </c>
      <c r="B5389" s="16" t="inlineStr">
        <is>
          <t>PO-128-11246366334072119</t>
        </is>
      </c>
      <c r="C5389" s="16" t="inlineStr">
        <is>
          <t>Delivered</t>
        </is>
      </c>
      <c r="D5389" s="16" t="inlineStr">
        <is>
          <t>128-11246418762872119</t>
        </is>
      </c>
      <c r="E5389" s="16" t="inlineStr">
        <is>
          <t>Delivered</t>
        </is>
      </c>
      <c r="F5389" s="16" t="inlineStr">
        <is>
          <t>LB02235-negro</t>
        </is>
      </c>
      <c r="G5389" s="16" t="inlineStr">
        <is>
          <t>Audífonos Inalámbricos para la Cabeza, Recargables y Multifuncionales - Conectan a Varios Dispositivos, soportan Radio FM, Tarjeta TF y AUX - 4 Horas de Reproducción Musical - Ideal para Trabajo Cotidiano, Juegos y Estudio</t>
        </is>
      </c>
      <c r="H5389" s="16" t="inlineStr">
        <is>
          <t>NEGRO</t>
        </is>
      </c>
      <c r="I5389" s="16" t="n">
        <v>1</v>
      </c>
      <c r="J5389" s="17" t="n">
        <v>37.71</v>
      </c>
      <c r="K5389" s="17" t="n">
        <v>50.83</v>
      </c>
      <c r="L5389" s="17" t="n">
        <v>25.86</v>
      </c>
      <c r="M5389" s="17" t="n">
        <v>0</v>
      </c>
      <c r="N5389" s="17">
        <f>K5389*0.08+L5389*0.08</f>
        <v/>
      </c>
      <c r="O5389" s="17">
        <f>-(K5389*0.025+L5389*0.025)</f>
        <v/>
      </c>
      <c r="P5389" s="17">
        <f>32</f>
        <v/>
      </c>
      <c r="Q5389" s="17">
        <f>J5389+L5389+N5389+O5389-P5389-M5389</f>
        <v/>
      </c>
    </row>
    <row r="5390">
      <c r="A5390" s="16" t="inlineStr">
        <is>
          <t>5.8-5.14</t>
        </is>
      </c>
      <c r="B5390" s="16" t="inlineStr">
        <is>
          <t>PO-128-11148641398393597</t>
        </is>
      </c>
      <c r="C5390" s="16" t="inlineStr">
        <is>
          <t>Delivered</t>
        </is>
      </c>
      <c r="D5390" s="16" t="inlineStr">
        <is>
          <t>128-11148693827193597</t>
        </is>
      </c>
      <c r="E5390" s="16" t="inlineStr">
        <is>
          <t>Delivered</t>
        </is>
      </c>
      <c r="F5390" s="16" t="inlineStr">
        <is>
          <t>MCM-001A</t>
        </is>
      </c>
      <c r="G5390" s="16" t="inlineStr">
        <is>
          <t>Musicord Altavoz Inalámbrico BT Portátil: ¡Sonido impactante, luces LED multicolores y 4 horas de autonomía! Compatible con TWS, FM, TF y USB – Imprescindible para fiestas y viajes</t>
        </is>
      </c>
      <c r="H5390" s="16" t="inlineStr">
        <is>
          <t>AZUL</t>
        </is>
      </c>
      <c r="I5390" s="16" t="n">
        <v>1</v>
      </c>
      <c r="J5390" s="17" t="n">
        <v>51.07</v>
      </c>
      <c r="K5390" s="17" t="n">
        <v>41.63</v>
      </c>
      <c r="L5390" s="17" t="n">
        <v>25.86</v>
      </c>
      <c r="M5390" s="17" t="n">
        <v>0</v>
      </c>
      <c r="N5390" s="17">
        <f>K5390*0.08+L5390*0.08</f>
        <v/>
      </c>
      <c r="O5390" s="17">
        <f>-(K5390*0.025+L5390*0.025)</f>
        <v/>
      </c>
      <c r="P5390" s="17">
        <f>32</f>
        <v/>
      </c>
      <c r="Q5390" s="17">
        <f>J5390+L5390+N5390+O5390-P5390-M5390</f>
        <v/>
      </c>
    </row>
    <row r="5391">
      <c r="A5391" s="16" t="inlineStr">
        <is>
          <t>5.8-5.14</t>
        </is>
      </c>
      <c r="B5391" s="16" t="inlineStr">
        <is>
          <t>PO-128-11486517742711774</t>
        </is>
      </c>
      <c r="C5391" s="16" t="inlineStr">
        <is>
          <t>Delivered</t>
        </is>
      </c>
      <c r="D5391" s="16" t="inlineStr">
        <is>
          <t>128-11486475799671774</t>
        </is>
      </c>
      <c r="E5391" s="16" t="inlineStr">
        <is>
          <t>Delivered</t>
        </is>
      </c>
      <c r="F5391" s="16" t="inlineStr">
        <is>
          <t>LV25W22</t>
        </is>
      </c>
      <c r="G539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391" s="16" t="inlineStr">
        <is>
          <t>LV25W32</t>
        </is>
      </c>
      <c r="I5391" s="16" t="n">
        <v>3</v>
      </c>
      <c r="J5391" s="17" t="n">
        <v>291</v>
      </c>
      <c r="K5391" s="17" t="n">
        <v>322.29</v>
      </c>
      <c r="L5391" s="17" t="n">
        <v>0</v>
      </c>
      <c r="M5391" s="17" t="n">
        <v>75.06</v>
      </c>
      <c r="N5391" s="17">
        <f>K5391*0.08+L5391*0.08</f>
        <v/>
      </c>
      <c r="O5391" s="17">
        <f>-(K5391*0.025+L5391*0.025)</f>
        <v/>
      </c>
      <c r="P5391" s="17">
        <f>32</f>
        <v/>
      </c>
      <c r="Q5391" s="17">
        <f>J5391+L5391+N5391+O5391-P5391-M5391</f>
        <v/>
      </c>
    </row>
    <row r="5392">
      <c r="A5392" s="16" t="inlineStr">
        <is>
          <t>5.8-5.14</t>
        </is>
      </c>
      <c r="B5392" s="16" t="inlineStr">
        <is>
          <t>PO-128-11575668257910026</t>
        </is>
      </c>
      <c r="C5392" s="16" t="inlineStr">
        <is>
          <t>Delivered</t>
        </is>
      </c>
      <c r="D5392" s="16" t="inlineStr">
        <is>
          <t>128-11575710200950026</t>
        </is>
      </c>
      <c r="E5392" s="16" t="inlineStr">
        <is>
          <t>Delivered</t>
        </is>
      </c>
      <c r="F5392" s="16" t="inlineStr">
        <is>
          <t>S09W18IB</t>
        </is>
      </c>
      <c r="G5392" s="16" t="inlineStr">
        <is>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is>
      </c>
      <c r="H5392" s="16" t="inlineStr">
        <is>
          <t>1 pieza</t>
        </is>
      </c>
      <c r="I5392" s="16" t="n">
        <v>3</v>
      </c>
      <c r="J5392" s="17" t="n">
        <v>96</v>
      </c>
      <c r="K5392" s="17" t="n">
        <v>127.98</v>
      </c>
      <c r="L5392" s="17" t="n">
        <v>25.86</v>
      </c>
      <c r="M5392" s="17" t="n">
        <v>0</v>
      </c>
      <c r="N5392" s="17">
        <f>K5392*0.08+L5392*0.08</f>
        <v/>
      </c>
      <c r="O5392" s="17">
        <f>-(K5392*0.025+L5392*0.025)</f>
        <v/>
      </c>
      <c r="P5392" s="17">
        <f>32</f>
        <v/>
      </c>
      <c r="Q5392" s="17">
        <f>J5392+L5392+N5392+O5392-P5392-M5392</f>
        <v/>
      </c>
    </row>
    <row r="5393">
      <c r="A5393" s="16" t="inlineStr">
        <is>
          <t>5.8-5.14</t>
        </is>
      </c>
      <c r="B5393" s="16" t="inlineStr">
        <is>
          <t>PO-128-11637245965430877</t>
        </is>
      </c>
      <c r="C5393" s="16" t="inlineStr">
        <is>
          <t>Delivered</t>
        </is>
      </c>
      <c r="D5393" s="16" t="inlineStr">
        <is>
          <t>128-11637287908470877</t>
        </is>
      </c>
      <c r="E5393" s="16" t="inlineStr">
        <is>
          <t>Delivered</t>
        </is>
      </c>
      <c r="F5393" s="16" t="inlineStr">
        <is>
          <t>MCM-001A</t>
        </is>
      </c>
      <c r="G5393" s="16" t="inlineStr">
        <is>
          <t>Musicord Altavoz Inalámbrico BT Portátil: ¡Sonido impactante, luces LED multicolores y 4 horas de autonomía! Compatible con TWS, FM, TF y USB – Imprescindible para fiestas y viajes</t>
        </is>
      </c>
      <c r="H5393" s="16" t="inlineStr">
        <is>
          <t>AZUL</t>
        </is>
      </c>
      <c r="I5393" s="16" t="n">
        <v>1</v>
      </c>
      <c r="J5393" s="17" t="n">
        <v>51.07</v>
      </c>
      <c r="K5393" s="17" t="n">
        <v>59.47</v>
      </c>
      <c r="L5393" s="17" t="n">
        <v>25.86</v>
      </c>
      <c r="M5393" s="17" t="n">
        <v>0</v>
      </c>
      <c r="N5393" s="17">
        <f>K5393*0.08+L5393*0.08</f>
        <v/>
      </c>
      <c r="O5393" s="17">
        <f>-(K5393*0.025+L5393*0.025)</f>
        <v/>
      </c>
      <c r="P5393" s="17">
        <f>32</f>
        <v/>
      </c>
      <c r="Q5393" s="17">
        <f>J5393+L5393+N5393+O5393-P5393-M5393</f>
        <v/>
      </c>
    </row>
    <row r="5394">
      <c r="A5394" s="16" t="inlineStr">
        <is>
          <t>5.8-5.14</t>
        </is>
      </c>
      <c r="B5394" s="16" t="inlineStr">
        <is>
          <t>PO-128-11364313398391286</t>
        </is>
      </c>
      <c r="C5394" s="16" t="inlineStr">
        <is>
          <t>Delivered</t>
        </is>
      </c>
      <c r="D5394" s="16" t="inlineStr">
        <is>
          <t>128-11364323884151286</t>
        </is>
      </c>
      <c r="E5394" s="16" t="inlineStr">
        <is>
          <t>Delivered</t>
        </is>
      </c>
      <c r="F5394" s="16" t="inlineStr">
        <is>
          <t>MCM-001A</t>
        </is>
      </c>
      <c r="G5394" s="16" t="inlineStr">
        <is>
          <t>Musicord Altavoz Inalámbrico BT Portátil: ¡Sonido impactante, luces LED multicolores y 4 horas de autonomía! Compatible con TWS, FM, TF y USB – Imprescindible para fiestas y viajes</t>
        </is>
      </c>
      <c r="H5394" s="16" t="inlineStr">
        <is>
          <t>AZUL</t>
        </is>
      </c>
      <c r="I5394" s="16" t="n">
        <v>1</v>
      </c>
      <c r="J5394" s="17" t="n">
        <v>51.07</v>
      </c>
      <c r="K5394" s="17" t="n">
        <v>59.47</v>
      </c>
      <c r="L5394" s="17" t="n">
        <v>25.86</v>
      </c>
      <c r="M5394" s="17" t="n">
        <v>0</v>
      </c>
      <c r="N5394" s="17">
        <f>K5394*0.08+L5394*0.08</f>
        <v/>
      </c>
      <c r="O5394" s="17">
        <f>-(K5394*0.025+L5394*0.025)</f>
        <v/>
      </c>
      <c r="P5394" s="17">
        <f>32</f>
        <v/>
      </c>
      <c r="Q5394" s="17">
        <f>J5394+L5394+N5394+O5394-P5394-M5394</f>
        <v/>
      </c>
    </row>
    <row r="5395">
      <c r="A5395" s="16" t="inlineStr">
        <is>
          <t>5.8-5.14</t>
        </is>
      </c>
      <c r="B5395" s="16" t="inlineStr">
        <is>
          <t>PO-128-11409482816631083</t>
        </is>
      </c>
      <c r="C5395" s="16" t="inlineStr">
        <is>
          <t>Delivered</t>
        </is>
      </c>
      <c r="D5395" s="16" t="inlineStr">
        <is>
          <t>128-11409440873591083</t>
        </is>
      </c>
      <c r="E5395" s="16" t="inlineStr">
        <is>
          <t>Delivered</t>
        </is>
      </c>
      <c r="F5395" s="16" t="inlineStr">
        <is>
          <t>AIR50W06-2P</t>
        </is>
      </c>
      <c r="G5395" s="16" t="inlineStr">
        <is>
          <t>Link Bits Ventilador de piso de 16 pulgadas, 2 unidades, 3 velocidades, motor silencioso, flujo de aire fuerte, altura ajustable, oscilación amplia, ventilador eléctrico para el hogar, ideal para sala, recámara y oficina</t>
        </is>
      </c>
      <c r="H5395" s="16" t="inlineStr">
        <is>
          <t>2PZ</t>
        </is>
      </c>
      <c r="I5395" s="16" t="n">
        <v>1</v>
      </c>
      <c r="J5395" s="17" t="n">
        <v>440</v>
      </c>
      <c r="K5395" s="17" t="n">
        <v>426.25</v>
      </c>
      <c r="L5395" s="17" t="n">
        <v>0</v>
      </c>
      <c r="M5395" s="17" t="n">
        <v>0</v>
      </c>
      <c r="N5395" s="17">
        <f>K5395*0.08+L5395*0.08</f>
        <v/>
      </c>
      <c r="O5395" s="17">
        <f>-(K5395*0.025+L5395*0.025)</f>
        <v/>
      </c>
      <c r="P5395" s="17">
        <f>32</f>
        <v/>
      </c>
      <c r="Q5395" s="17">
        <f>J5395+L5395+N5395+O5395-P5395-M5395</f>
        <v/>
      </c>
    </row>
    <row r="5396">
      <c r="A5396" s="16" t="inlineStr">
        <is>
          <t>5.8-5.14</t>
        </is>
      </c>
      <c r="B5396" s="16" t="inlineStr">
        <is>
          <t>PO-128-11484520164471787</t>
        </is>
      </c>
      <c r="C5396" s="16" t="inlineStr">
        <is>
          <t>Delivered</t>
        </is>
      </c>
      <c r="D5396" s="16" t="inlineStr">
        <is>
          <t>128-11484530650231787</t>
        </is>
      </c>
      <c r="E5396" s="16" t="inlineStr">
        <is>
          <t>Delivered</t>
        </is>
      </c>
      <c r="F5396" s="16" t="inlineStr">
        <is>
          <t>MB-184R</t>
        </is>
      </c>
      <c r="G5396" s="16" t="inlineStr">
        <is>
          <t>Link bits Portable Bluetooth Speaker - 800W Peak Power, 50W Full-Range Audio with Dual Bass System &amp; Deep Bass Membranes, Powerful &amp; Distortion-Free Sound, IP65 Waterproof Dustproof, TWS Support &amp; 6H Battery for Outdoor/Party</t>
        </is>
      </c>
      <c r="H5396" s="16" t="inlineStr">
        <is>
          <t>ROJO/MB-184</t>
        </is>
      </c>
      <c r="I5396" s="16" t="n">
        <v>1</v>
      </c>
      <c r="J5396" s="17" t="n">
        <v>620</v>
      </c>
      <c r="K5396" s="17" t="n">
        <v>678.52</v>
      </c>
      <c r="L5396" s="17" t="n">
        <v>0</v>
      </c>
      <c r="M5396" s="17" t="n">
        <v>0</v>
      </c>
      <c r="N5396" s="17">
        <f>K5396*0.08+L5396*0.08</f>
        <v/>
      </c>
      <c r="O5396" s="17">
        <f>-(K5396*0.025+L5396*0.025)</f>
        <v/>
      </c>
      <c r="P5396" s="17">
        <f>32</f>
        <v/>
      </c>
      <c r="Q5396" s="17">
        <f>J5396+L5396+N5396+O5396-P5396-M5396</f>
        <v/>
      </c>
    </row>
    <row r="5397">
      <c r="A5397" s="16" t="inlineStr">
        <is>
          <t>5.8-5.14</t>
        </is>
      </c>
      <c r="B5397" s="16" t="inlineStr">
        <is>
          <t>PO-128-11029203267193413</t>
        </is>
      </c>
      <c r="C5397" s="16" t="inlineStr">
        <is>
          <t>Delivered</t>
        </is>
      </c>
      <c r="D5397" s="16" t="inlineStr">
        <is>
          <t>128-11029208510073413</t>
        </is>
      </c>
      <c r="E5397" s="16" t="inlineStr">
        <is>
          <t>Delivered</t>
        </is>
      </c>
      <c r="F5397" s="16" t="inlineStr">
        <is>
          <t>KTS-1678Y</t>
        </is>
      </c>
      <c r="G5397" s="16" t="inlineStr">
        <is>
          <t>Bocina portátil Inalámbrico, de 3 pulgadas, tamaño de bolsillo, 170 g, con asa, compatible con TF, USB y Micro SD, con radio FM y función TWS (True Wireless Stereo), adecuada para relajarse en casa o viajar al aire libre.</t>
        </is>
      </c>
      <c r="H5397" s="16" t="inlineStr">
        <is>
          <t>KTS-1678Y</t>
        </is>
      </c>
      <c r="I5397" s="16" t="n">
        <v>1</v>
      </c>
      <c r="J5397" s="17" t="n">
        <v>42.5</v>
      </c>
      <c r="K5397" s="17" t="n">
        <v>38.98</v>
      </c>
      <c r="L5397" s="17" t="n">
        <v>25.86</v>
      </c>
      <c r="M5397" s="17" t="n">
        <v>0</v>
      </c>
      <c r="N5397" s="17">
        <f>K5397*0.08+L5397*0.08</f>
        <v/>
      </c>
      <c r="O5397" s="17">
        <f>-(K5397*0.025+L5397*0.025)</f>
        <v/>
      </c>
      <c r="P5397" s="17">
        <f>32</f>
        <v/>
      </c>
      <c r="Q5397" s="17">
        <f>J5397+L5397+N5397+O5397-P5397-M5397</f>
        <v/>
      </c>
    </row>
    <row r="5398">
      <c r="A5398" s="16" t="inlineStr">
        <is>
          <t>5.8-5.14</t>
        </is>
      </c>
      <c r="B5398" s="16" t="inlineStr">
        <is>
          <t>PO-128-11069718298233106</t>
        </is>
      </c>
      <c r="C5398" s="16" t="inlineStr">
        <is>
          <t>Delivered</t>
        </is>
      </c>
      <c r="D5398" s="16" t="inlineStr">
        <is>
          <t>128-11069739269753106</t>
        </is>
      </c>
      <c r="E5398" s="16" t="inlineStr">
        <is>
          <t>Delivered</t>
        </is>
      </c>
      <c r="F5398" s="16" t="inlineStr">
        <is>
          <t>SA323T</t>
        </is>
      </c>
      <c r="G5398" s="16" t="inlineStr">
        <is>
          <t>Linkbits Bocina Portátil Parlantes BT Portátiles con Iluminación de Ambiente | 1 Hora de Duración, FM, TWS, TF/Micro SD | Ideal para Hogar, Fiestas y Viajes</t>
        </is>
      </c>
      <c r="H5398" s="16" t="inlineStr">
        <is>
          <t>SA323T</t>
        </is>
      </c>
      <c r="I5398" s="16" t="n">
        <v>1</v>
      </c>
      <c r="J5398" s="17" t="n">
        <v>46</v>
      </c>
      <c r="K5398" s="17" t="n">
        <v>55.07</v>
      </c>
      <c r="L5398" s="17" t="n">
        <v>25.86</v>
      </c>
      <c r="M5398" s="17" t="n">
        <v>0</v>
      </c>
      <c r="N5398" s="17">
        <f>K5398*0.08+L5398*0.08</f>
        <v/>
      </c>
      <c r="O5398" s="17">
        <f>-(K5398*0.025+L5398*0.025)</f>
        <v/>
      </c>
      <c r="P5398" s="17">
        <f>32</f>
        <v/>
      </c>
      <c r="Q5398" s="17">
        <f>J5398+L5398+N5398+O5398-P5398-M5398</f>
        <v/>
      </c>
    </row>
    <row r="5399">
      <c r="A5399" s="16" t="inlineStr">
        <is>
          <t>5.8-5.14</t>
        </is>
      </c>
      <c r="B5399" s="16" t="inlineStr">
        <is>
          <t>PO-128-11324126129272615</t>
        </is>
      </c>
      <c r="C5399" s="16" t="inlineStr">
        <is>
          <t>Delivered</t>
        </is>
      </c>
      <c r="D5399" s="16" t="inlineStr">
        <is>
          <t>128-11324152343672615</t>
        </is>
      </c>
      <c r="E5399" s="16" t="inlineStr">
        <is>
          <t>Delivered</t>
        </is>
      </c>
      <c r="F5399" s="16" t="inlineStr">
        <is>
          <t>VA384T-N</t>
        </is>
      </c>
      <c r="G5399" s="16" t="inlineStr">
        <is>
          <t>Bocina Portátil Bluetooth de 3 Pulgadas con Radio FM, USB TF TWS, Sonido Estéreo 5W, Bocina Recargable para Hogar Exterior Viaje Fiesta Camping</t>
        </is>
      </c>
      <c r="H5399" s="16" t="inlineStr">
        <is>
          <t>NEGRO</t>
        </is>
      </c>
      <c r="I5399" s="16" t="n">
        <v>1</v>
      </c>
      <c r="J5399" s="17" t="n">
        <v>50</v>
      </c>
      <c r="K5399" s="17" t="n">
        <v>60.72</v>
      </c>
      <c r="L5399" s="17" t="n">
        <v>25.86</v>
      </c>
      <c r="M5399" s="17" t="n">
        <v>0</v>
      </c>
      <c r="N5399" s="17">
        <f>K5399*0.08+L5399*0.08</f>
        <v/>
      </c>
      <c r="O5399" s="17">
        <f>-(K5399*0.025+L5399*0.025)</f>
        <v/>
      </c>
      <c r="P5399" s="17">
        <f>32</f>
        <v/>
      </c>
      <c r="Q5399" s="17">
        <f>J5399+L5399+N5399+O5399-P5399-M5399</f>
        <v/>
      </c>
    </row>
    <row r="5400">
      <c r="A5400" s="16" t="inlineStr">
        <is>
          <t>5.8-5.14</t>
        </is>
      </c>
      <c r="B5400" s="16" t="inlineStr">
        <is>
          <t>PO-128-11125414341753734</t>
        </is>
      </c>
      <c r="C5400" s="16" t="inlineStr">
        <is>
          <t>Delivered</t>
        </is>
      </c>
      <c r="D5400" s="16" t="inlineStr">
        <is>
          <t>128-11125435313273734</t>
        </is>
      </c>
      <c r="E5400" s="16" t="inlineStr">
        <is>
          <t>Delivered</t>
        </is>
      </c>
      <c r="F5400" s="16" t="inlineStr">
        <is>
          <t>LB02235-rojo</t>
        </is>
      </c>
      <c r="G5400" s="16" t="inlineStr">
        <is>
          <t>Audífonos Inalámbricos para la Cabeza, Recargables y Multifuncionales - Conectan a Varios Dispositivos, soportan Radio FM, Tarjeta TF y AUX - 4 Horas de Reproducción Musical - Ideal para Trabajo Cotidiano, Juegos y Estudio</t>
        </is>
      </c>
      <c r="H5400" s="16" t="inlineStr">
        <is>
          <t>ROJO</t>
        </is>
      </c>
      <c r="I5400" s="16" t="n">
        <v>1</v>
      </c>
      <c r="J5400" s="17" t="n">
        <v>36.8</v>
      </c>
      <c r="K5400" s="17" t="n">
        <v>6.81</v>
      </c>
      <c r="L5400" s="17" t="n">
        <v>25.86</v>
      </c>
      <c r="M5400" s="17" t="n">
        <v>0</v>
      </c>
      <c r="N5400" s="17">
        <f>K5400*0.08+L5400*0.08</f>
        <v/>
      </c>
      <c r="O5400" s="17">
        <f>-(K5400*0.025+L5400*0.025)</f>
        <v/>
      </c>
      <c r="P5400" s="17">
        <f>32</f>
        <v/>
      </c>
      <c r="Q5400" s="17">
        <f>J5400+L5400+N5400+O5400-P5400-M5400</f>
        <v/>
      </c>
    </row>
    <row r="5401">
      <c r="A5401" s="16" t="inlineStr">
        <is>
          <t>5.8-5.14</t>
        </is>
      </c>
      <c r="B5401" s="16" t="inlineStr">
        <is>
          <t>PO-128-11527883689590505</t>
        </is>
      </c>
      <c r="C5401" s="16" t="inlineStr">
        <is>
          <t>Delivered</t>
        </is>
      </c>
      <c r="D5401" s="16" t="inlineStr">
        <is>
          <t>128-11527951847030505</t>
        </is>
      </c>
      <c r="E5401" s="16" t="inlineStr">
        <is>
          <t>Delivered</t>
        </is>
      </c>
      <c r="F5401" s="16" t="inlineStr">
        <is>
          <t>LV25W22</t>
        </is>
      </c>
      <c r="G540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01" s="16" t="inlineStr">
        <is>
          <t>LV25W32</t>
        </is>
      </c>
      <c r="I5401" s="16" t="n">
        <v>1</v>
      </c>
      <c r="J5401" s="17" t="n">
        <v>97</v>
      </c>
      <c r="K5401" s="17" t="n">
        <v>64.33</v>
      </c>
      <c r="L5401" s="17" t="n">
        <v>25.86</v>
      </c>
      <c r="M5401" s="17" t="n">
        <v>0</v>
      </c>
      <c r="N5401" s="17">
        <f>K5401*0.08+L5401*0.08</f>
        <v/>
      </c>
      <c r="O5401" s="17">
        <f>-(K5401*0.025+L5401*0.025)</f>
        <v/>
      </c>
      <c r="P5401" s="17">
        <f>32</f>
        <v/>
      </c>
      <c r="Q5401" s="17">
        <f>J5401+L5401+N5401+O5401-P5401-M5401</f>
        <v/>
      </c>
    </row>
    <row r="5402">
      <c r="A5402" s="16" t="inlineStr">
        <is>
          <t>5.8-5.14</t>
        </is>
      </c>
      <c r="B5402" s="16" t="inlineStr">
        <is>
          <t>PO-128-11632501845110841</t>
        </is>
      </c>
      <c r="C5402" s="16" t="inlineStr">
        <is>
          <t>Delivered</t>
        </is>
      </c>
      <c r="D5402" s="16" t="inlineStr">
        <is>
          <t>128-11632512330870841</t>
        </is>
      </c>
      <c r="E5402" s="16" t="inlineStr">
        <is>
          <t>Delivered</t>
        </is>
      </c>
      <c r="F5402" s="16" t="inlineStr">
        <is>
          <t>LB02235-negro</t>
        </is>
      </c>
      <c r="G5402" s="16" t="inlineStr">
        <is>
          <t>Audífonos Inalámbricos para la Cabeza, Recargables y Multifuncionales - Conectan a Varios Dispositivos, soportan Radio FM, Tarjeta TF y AUX - 4 Horas de Reproducción Musical - Ideal para Trabajo Cotidiano, Juegos y Estudio</t>
        </is>
      </c>
      <c r="H5402" s="16" t="inlineStr">
        <is>
          <t>NEGRO</t>
        </is>
      </c>
      <c r="I5402" s="16" t="n">
        <v>1</v>
      </c>
      <c r="J5402" s="17" t="n">
        <v>37.71</v>
      </c>
      <c r="K5402" s="17" t="n">
        <v>50.83</v>
      </c>
      <c r="L5402" s="17" t="n">
        <v>25.86</v>
      </c>
      <c r="M5402" s="17" t="n">
        <v>0</v>
      </c>
      <c r="N5402" s="17">
        <f>K5402*0.08+L5402*0.08</f>
        <v/>
      </c>
      <c r="O5402" s="17">
        <f>-(K5402*0.025+L5402*0.025)</f>
        <v/>
      </c>
      <c r="P5402" s="17">
        <f>32</f>
        <v/>
      </c>
      <c r="Q5402" s="17">
        <f>J5402+L5402+N5402+O5402-P5402-M5402</f>
        <v/>
      </c>
    </row>
    <row r="5403">
      <c r="A5403" s="16" t="inlineStr">
        <is>
          <t>5.8-5.14</t>
        </is>
      </c>
      <c r="B5403" s="16" t="inlineStr">
        <is>
          <t>PO-128-11180532403832511</t>
        </is>
      </c>
      <c r="C5403" s="16" t="inlineStr">
        <is>
          <t>Delivered</t>
        </is>
      </c>
      <c r="D5403" s="16" t="inlineStr">
        <is>
          <t>128-11180553375352511</t>
        </is>
      </c>
      <c r="E5403" s="16" t="inlineStr">
        <is>
          <t>Delivered</t>
        </is>
      </c>
      <c r="F5403" s="16" t="inlineStr">
        <is>
          <t>LV25W22</t>
        </is>
      </c>
      <c r="G5403"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03" s="16" t="inlineStr">
        <is>
          <t>LV25W32</t>
        </is>
      </c>
      <c r="I5403" s="16" t="n">
        <v>1</v>
      </c>
      <c r="J5403" s="17" t="n">
        <v>97</v>
      </c>
      <c r="K5403" s="17" t="n">
        <v>84.09999999999999</v>
      </c>
      <c r="L5403" s="17" t="n">
        <v>25.86</v>
      </c>
      <c r="M5403" s="17" t="n">
        <v>0</v>
      </c>
      <c r="N5403" s="17">
        <f>K5403*0.08+L5403*0.08</f>
        <v/>
      </c>
      <c r="O5403" s="17">
        <f>-(K5403*0.025+L5403*0.025)</f>
        <v/>
      </c>
      <c r="P5403" s="17">
        <f>32</f>
        <v/>
      </c>
      <c r="Q5403" s="17">
        <f>J5403+L5403+N5403+O5403-P5403-M5403</f>
        <v/>
      </c>
    </row>
    <row r="5404">
      <c r="A5404" s="16" t="inlineStr">
        <is>
          <t>5.8-5.14</t>
        </is>
      </c>
      <c r="B5404" s="16" t="inlineStr">
        <is>
          <t>PO-128-11420862131831143</t>
        </is>
      </c>
      <c r="C5404" s="16" t="inlineStr">
        <is>
          <t>Delivered</t>
        </is>
      </c>
      <c r="D5404" s="16" t="inlineStr">
        <is>
          <t>128-11420883103351143</t>
        </is>
      </c>
      <c r="E5404" s="16" t="inlineStr">
        <is>
          <t>Delivered</t>
        </is>
      </c>
      <c r="F5404" s="16" t="inlineStr">
        <is>
          <t>LB02235-azul</t>
        </is>
      </c>
      <c r="G5404" s="16" t="inlineStr">
        <is>
          <t>Audífonos Inalámbricos para la Cabeza, Recargables y Multifuncionales - Conectan a Varios Dispositivos, soportan Radio FM, Tarjeta TF y AUX - 4 Horas de Reproducción Musical - Ideal para Trabajo Cotidiano, Juegos y Estudio</t>
        </is>
      </c>
      <c r="H5404" s="16" t="inlineStr">
        <is>
          <t>AZUL</t>
        </is>
      </c>
      <c r="I5404" s="16" t="n">
        <v>1</v>
      </c>
      <c r="J5404" s="17" t="n">
        <v>36.8</v>
      </c>
      <c r="K5404" s="17" t="n">
        <v>6.81</v>
      </c>
      <c r="L5404" s="17" t="n">
        <v>25.86</v>
      </c>
      <c r="M5404" s="17" t="n">
        <v>0</v>
      </c>
      <c r="N5404" s="17">
        <f>K5404*0.08+L5404*0.08</f>
        <v/>
      </c>
      <c r="O5404" s="17">
        <f>-(K5404*0.025+L5404*0.025)</f>
        <v/>
      </c>
      <c r="P5404" s="17">
        <f>32</f>
        <v/>
      </c>
      <c r="Q5404" s="17">
        <f>J5404+L5404+N5404+O5404-P5404-M5404</f>
        <v/>
      </c>
    </row>
    <row r="5405">
      <c r="A5405" s="16" t="inlineStr">
        <is>
          <t>5.8-5.14</t>
        </is>
      </c>
      <c r="B5405" s="16" t="inlineStr">
        <is>
          <t>PO-128-11639241272950865</t>
        </is>
      </c>
      <c r="C5405" s="16" t="inlineStr">
        <is>
          <t>Delivered</t>
        </is>
      </c>
      <c r="D5405" s="16" t="inlineStr">
        <is>
          <t>128-11639283215990865</t>
        </is>
      </c>
      <c r="E5405" s="16" t="inlineStr">
        <is>
          <t>Delivered</t>
        </is>
      </c>
      <c r="F5405" s="16" t="inlineStr">
        <is>
          <t>BS-22</t>
        </is>
      </c>
      <c r="G5405" s="16" t="inlineStr">
        <is>
          <t>link bits Barra de Sonido para TV, 2x2" Altavoces + 2 Membranas de Graves, Sonido Claro ≥80dB, Bluetooth Inalámbrico, Conexiones AUX/USB, Diseño Compacto 76cm, Sonido Envolvente 3D para Cine en Casa, PC, Juegos y Fiestas</t>
        </is>
      </c>
      <c r="H5405" s="16" t="inlineStr">
        <is>
          <t>BS-22</t>
        </is>
      </c>
      <c r="I5405" s="16" t="n">
        <v>1</v>
      </c>
      <c r="J5405" s="17" t="n">
        <v>255</v>
      </c>
      <c r="K5405" s="17" t="n">
        <v>294.61</v>
      </c>
      <c r="L5405" s="17" t="n">
        <v>0</v>
      </c>
      <c r="M5405" s="17" t="n">
        <v>0</v>
      </c>
      <c r="N5405" s="17">
        <f>K5405*0.08+L5405*0.08</f>
        <v/>
      </c>
      <c r="O5405" s="17">
        <f>-(K5405*0.025+L5405*0.025)</f>
        <v/>
      </c>
      <c r="P5405" s="17">
        <f>32</f>
        <v/>
      </c>
      <c r="Q5405" s="17">
        <f>J5405+L5405+N5405+O5405-P5405-M5405</f>
        <v/>
      </c>
    </row>
    <row r="5406">
      <c r="A5406" s="16" t="inlineStr">
        <is>
          <t>5.8-5.14</t>
        </is>
      </c>
      <c r="B5406" s="16" t="inlineStr">
        <is>
          <t>PO-128-11418574966391090</t>
        </is>
      </c>
      <c r="C5406" s="16" t="inlineStr">
        <is>
          <t>Delivered</t>
        </is>
      </c>
      <c r="D5406" s="16" t="inlineStr">
        <is>
          <t>128-11418738806391090</t>
        </is>
      </c>
      <c r="E5406" s="16" t="inlineStr">
        <is>
          <t>Delivered</t>
        </is>
      </c>
      <c r="F5406" s="16" t="inlineStr">
        <is>
          <t>FA028</t>
        </is>
      </c>
      <c r="G5406" s="16" t="inlineStr">
        <is>
          <t>Extractor de agua para garrafas de agua, compatible con carga USB, extractor de agua automático, práctico, con dos modos de toma de agua: manual y programado, ideal para dormitorios, salones, oficinas, uso al aire libre y otros escenarios.</t>
        </is>
      </c>
      <c r="H5406" s="16" t="inlineStr">
        <is>
          <t>FA028</t>
        </is>
      </c>
      <c r="I5406" s="16" t="n">
        <v>1</v>
      </c>
      <c r="J5406" s="17" t="n">
        <v>35</v>
      </c>
      <c r="K5406" s="17" t="n">
        <v>44.6</v>
      </c>
      <c r="L5406" s="17" t="n">
        <v>25.86</v>
      </c>
      <c r="M5406" s="17" t="n">
        <v>0</v>
      </c>
      <c r="N5406" s="17">
        <f>K5406*0.08+L5406*0.08</f>
        <v/>
      </c>
      <c r="O5406" s="17">
        <f>-(K5406*0.025+L5406*0.025)</f>
        <v/>
      </c>
      <c r="P5406" s="17">
        <f>32</f>
        <v/>
      </c>
      <c r="Q5406" s="17">
        <f>J5406+L5406+N5406+O5406-P5406-M5406</f>
        <v/>
      </c>
    </row>
    <row r="5407">
      <c r="A5407" s="16" t="inlineStr">
        <is>
          <t>5.8-5.14</t>
        </is>
      </c>
      <c r="B5407" s="16" t="inlineStr">
        <is>
          <t>PO-128-11376382807671406</t>
        </is>
      </c>
      <c r="C5407" s="16" t="inlineStr">
        <is>
          <t>Delivered</t>
        </is>
      </c>
      <c r="D5407" s="16" t="inlineStr">
        <is>
          <t>128-11376385429111406</t>
        </is>
      </c>
      <c r="E5407" s="16" t="inlineStr">
        <is>
          <t>Delivered</t>
        </is>
      </c>
      <c r="F5407" s="16" t="inlineStr">
        <is>
          <t>BS-22</t>
        </is>
      </c>
      <c r="G5407" s="16" t="inlineStr">
        <is>
          <t>link bits Barra de Sonido para TV, 2x2" Altavoces + 2 Membranas de Graves, Sonido Claro ≥80dB, Bluetooth Inalámbrico, Conexiones AUX/USB, Diseño Compacto 76cm, Sonido Envolvente 3D para Cine en Casa, PC, Juegos y Fiestas</t>
        </is>
      </c>
      <c r="H5407" s="16" t="inlineStr">
        <is>
          <t>BS-22</t>
        </is>
      </c>
      <c r="I5407" s="16" t="n">
        <v>1</v>
      </c>
      <c r="J5407" s="17" t="n">
        <v>255</v>
      </c>
      <c r="K5407" s="17" t="n">
        <v>265.15</v>
      </c>
      <c r="L5407" s="17" t="n">
        <v>0</v>
      </c>
      <c r="M5407" s="17" t="n">
        <v>0</v>
      </c>
      <c r="N5407" s="17">
        <f>K5407*0.08+L5407*0.08</f>
        <v/>
      </c>
      <c r="O5407" s="17">
        <f>-(K5407*0.025+L5407*0.025)</f>
        <v/>
      </c>
      <c r="P5407" s="17">
        <f>32</f>
        <v/>
      </c>
      <c r="Q5407" s="17">
        <f>J5407+L5407+N5407+O5407-P5407-M5407</f>
        <v/>
      </c>
    </row>
    <row r="5408">
      <c r="A5408" s="16" t="inlineStr">
        <is>
          <t>5.8-5.14</t>
        </is>
      </c>
      <c r="B5408" s="16" t="inlineStr">
        <is>
          <t>PO-128-11133106957433752</t>
        </is>
      </c>
      <c r="C5408" s="16" t="inlineStr">
        <is>
          <t>Delivered</t>
        </is>
      </c>
      <c r="D5408" s="16" t="inlineStr">
        <is>
          <t>128-11133085985913752</t>
        </is>
      </c>
      <c r="E5408" s="16" t="inlineStr">
        <is>
          <t>Delivered</t>
        </is>
      </c>
      <c r="F5408" s="16" t="inlineStr">
        <is>
          <t>SA8056T</t>
        </is>
      </c>
      <c r="G5408"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408" s="16" t="inlineStr">
        <is>
          <t>SA8056T</t>
        </is>
      </c>
      <c r="I5408" s="16" t="n">
        <v>1</v>
      </c>
      <c r="J5408" s="17" t="n">
        <v>140</v>
      </c>
      <c r="K5408" s="17" t="n">
        <v>160.4</v>
      </c>
      <c r="L5408" s="17" t="n">
        <v>25.86</v>
      </c>
      <c r="M5408" s="17" t="n">
        <v>0</v>
      </c>
      <c r="N5408" s="17">
        <f>K5408*0.08+L5408*0.08</f>
        <v/>
      </c>
      <c r="O5408" s="17">
        <f>-(K5408*0.025+L5408*0.025)</f>
        <v/>
      </c>
      <c r="P5408" s="17">
        <f>32</f>
        <v/>
      </c>
      <c r="Q5408" s="17">
        <f>J5408+L5408+N5408+O5408-P5408-M5408</f>
        <v/>
      </c>
    </row>
    <row r="5409">
      <c r="A5409" s="16" t="inlineStr">
        <is>
          <t>5.8-5.14</t>
        </is>
      </c>
      <c r="B5409" s="16" t="inlineStr">
        <is>
          <t>PO-128-11223395925112254</t>
        </is>
      </c>
      <c r="C5409" s="16" t="inlineStr">
        <is>
          <t>Delivered</t>
        </is>
      </c>
      <c r="D5409" s="16" t="inlineStr">
        <is>
          <t>128-11223416896632254</t>
        </is>
      </c>
      <c r="E5409" s="16" t="inlineStr">
        <is>
          <t>Delivered</t>
        </is>
      </c>
      <c r="F5409" s="16" t="inlineStr">
        <is>
          <t>LB02235-blanco</t>
        </is>
      </c>
      <c r="G5409" s="16" t="inlineStr">
        <is>
          <t>Audífonos Inalámbricos para la Cabeza, Recargables y Multifuncionales - Conectan a Varios Dispositivos, soportan Radio FM, Tarjeta TF y AUX - 4 Horas de Reproducción Musical - Ideal para Trabajo Cotidiano, Juegos y Estudio</t>
        </is>
      </c>
      <c r="H5409" s="16" t="inlineStr">
        <is>
          <t>BLANCO</t>
        </is>
      </c>
      <c r="I5409" s="16" t="n">
        <v>1</v>
      </c>
      <c r="J5409" s="17" t="n">
        <v>37.71</v>
      </c>
      <c r="K5409" s="17" t="n">
        <v>50.83</v>
      </c>
      <c r="L5409" s="17" t="n">
        <v>25.86</v>
      </c>
      <c r="M5409" s="17" t="n">
        <v>0</v>
      </c>
      <c r="N5409" s="17">
        <f>K5409*0.08+L5409*0.08</f>
        <v/>
      </c>
      <c r="O5409" s="17">
        <f>-(K5409*0.025+L5409*0.025)</f>
        <v/>
      </c>
      <c r="P5409" s="17">
        <f>32</f>
        <v/>
      </c>
      <c r="Q5409" s="17">
        <f>J5409+L5409+N5409+O5409-P5409-M5409</f>
        <v/>
      </c>
    </row>
    <row r="5410">
      <c r="A5410" s="16" t="inlineStr">
        <is>
          <t>5.8-5.14</t>
        </is>
      </c>
      <c r="B5410" s="16" t="inlineStr">
        <is>
          <t>PO-128-11415150095991113</t>
        </is>
      </c>
      <c r="C5410" s="16" t="inlineStr">
        <is>
          <t>Delivered</t>
        </is>
      </c>
      <c r="D5410" s="16" t="inlineStr">
        <is>
          <t>128-11415202524791113</t>
        </is>
      </c>
      <c r="E5410" s="16" t="inlineStr">
        <is>
          <t>Delivered</t>
        </is>
      </c>
      <c r="F5410" s="16" t="inlineStr">
        <is>
          <t>AIR50W06-2P</t>
        </is>
      </c>
      <c r="G5410" s="16" t="inlineStr">
        <is>
          <t>Link Bits Ventilador de piso de 16 pulgadas, 2 unidades, 3 velocidades, motor silencioso, flujo de aire fuerte, altura ajustable, oscilación amplia, ventilador eléctrico para el hogar, ideal para sala, recámara y oficina</t>
        </is>
      </c>
      <c r="H5410" s="16" t="inlineStr">
        <is>
          <t>2PZ</t>
        </is>
      </c>
      <c r="I5410" s="16" t="n">
        <v>1</v>
      </c>
      <c r="J5410" s="17" t="n">
        <v>440</v>
      </c>
      <c r="K5410" s="17" t="n">
        <v>501.47</v>
      </c>
      <c r="L5410" s="17" t="n">
        <v>0</v>
      </c>
      <c r="M5410" s="17" t="n">
        <v>0</v>
      </c>
      <c r="N5410" s="17">
        <f>K5410*0.08+L5410*0.08</f>
        <v/>
      </c>
      <c r="O5410" s="17">
        <f>-(K5410*0.025+L5410*0.025)</f>
        <v/>
      </c>
      <c r="P5410" s="17">
        <f>32</f>
        <v/>
      </c>
      <c r="Q5410" s="17">
        <f>J5410+L5410+N5410+O5410-P5410-M5410</f>
        <v/>
      </c>
    </row>
    <row r="5411">
      <c r="A5411" s="16" t="inlineStr">
        <is>
          <t>5.8-5.14</t>
        </is>
      </c>
      <c r="B5411" s="16" t="inlineStr">
        <is>
          <t>PO-128-11016141983353555</t>
        </is>
      </c>
      <c r="C5411" s="16" t="inlineStr">
        <is>
          <t>Delivered</t>
        </is>
      </c>
      <c r="D5411" s="16" t="inlineStr">
        <is>
          <t>128-11016152469113555</t>
        </is>
      </c>
      <c r="E5411" s="16" t="inlineStr">
        <is>
          <t>Delivered</t>
        </is>
      </c>
      <c r="F5411" s="16" t="inlineStr">
        <is>
          <t>LV25W22</t>
        </is>
      </c>
      <c r="G5411"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11" s="16" t="inlineStr">
        <is>
          <t>LV25W32</t>
        </is>
      </c>
      <c r="I5411" s="16" t="n">
        <v>1</v>
      </c>
      <c r="J5411" s="17" t="n">
        <v>97</v>
      </c>
      <c r="K5411" s="17" t="n">
        <v>107.43</v>
      </c>
      <c r="L5411" s="17" t="n">
        <v>25.86</v>
      </c>
      <c r="M5411" s="17" t="n">
        <v>0</v>
      </c>
      <c r="N5411" s="17">
        <f>K5411*0.08+L5411*0.08</f>
        <v/>
      </c>
      <c r="O5411" s="17">
        <f>-(K5411*0.025+L5411*0.025)</f>
        <v/>
      </c>
      <c r="P5411" s="17">
        <f>32</f>
        <v/>
      </c>
      <c r="Q5411" s="17">
        <f>J5411+L5411+N5411+O5411-P5411-M5411</f>
        <v/>
      </c>
    </row>
    <row r="5412">
      <c r="A5412" s="16" t="inlineStr">
        <is>
          <t>5.8-5.14</t>
        </is>
      </c>
      <c r="B5412" s="16" t="inlineStr">
        <is>
          <t>PO-128-11146072981113613</t>
        </is>
      </c>
      <c r="C5412" s="16" t="inlineStr">
        <is>
          <t>Delivered</t>
        </is>
      </c>
      <c r="D5412" s="16" t="inlineStr">
        <is>
          <t>128-11146031038073613</t>
        </is>
      </c>
      <c r="E5412" s="16" t="inlineStr">
        <is>
          <t>Delivered</t>
        </is>
      </c>
      <c r="F5412" s="16" t="inlineStr">
        <is>
          <t>AIR50W06-2P</t>
        </is>
      </c>
      <c r="G5412" s="16" t="inlineStr">
        <is>
          <t>Link Bits Ventilador de piso de 16 pulgadas, 2 unidades, 3 velocidades, motor silencioso, flujo de aire fuerte, altura ajustable, oscilación amplia, ventilador eléctrico para el hogar, ideal para sala, recámara y oficina</t>
        </is>
      </c>
      <c r="H5412" s="16" t="inlineStr">
        <is>
          <t>2PZ</t>
        </is>
      </c>
      <c r="I5412" s="16" t="n">
        <v>1</v>
      </c>
      <c r="J5412" s="17" t="n">
        <v>440</v>
      </c>
      <c r="K5412" s="17" t="n">
        <v>501.47</v>
      </c>
      <c r="L5412" s="17" t="n">
        <v>0</v>
      </c>
      <c r="M5412" s="17" t="n">
        <v>0</v>
      </c>
      <c r="N5412" s="17">
        <f>K5412*0.08+L5412*0.08</f>
        <v/>
      </c>
      <c r="O5412" s="17">
        <f>-(K5412*0.025+L5412*0.025)</f>
        <v/>
      </c>
      <c r="P5412" s="17">
        <f>32</f>
        <v/>
      </c>
      <c r="Q5412" s="17">
        <f>J5412+L5412+N5412+O5412-P5412-M5412</f>
        <v/>
      </c>
    </row>
    <row r="5413">
      <c r="A5413" s="16" t="inlineStr">
        <is>
          <t>5.8-5.14</t>
        </is>
      </c>
      <c r="B5413" s="16" t="inlineStr">
        <is>
          <t>PO-128-11604858074230940</t>
        </is>
      </c>
      <c r="C5413" s="16" t="inlineStr">
        <is>
          <t>Delivered</t>
        </is>
      </c>
      <c r="D5413" s="16" t="inlineStr">
        <is>
          <t>128-11604826616950940</t>
        </is>
      </c>
      <c r="E5413" s="16" t="inlineStr">
        <is>
          <t>Delivered</t>
        </is>
      </c>
      <c r="F5413" s="16" t="inlineStr">
        <is>
          <t>BS-22</t>
        </is>
      </c>
      <c r="G5413" s="16" t="inlineStr">
        <is>
          <t>link bits Barra de Sonido para TV, 2x2" Altavoces + 2 Membranas de Graves, Sonido Claro ≥80dB, Bluetooth Inalámbrico, Conexiones AUX/USB, Diseño Compacto 76cm, Sonido Envolvente 3D para Cine en Casa, PC, Juegos y Fiestas</t>
        </is>
      </c>
      <c r="H5413" s="16" t="inlineStr">
        <is>
          <t>BS-22</t>
        </is>
      </c>
      <c r="I5413" s="16" t="n">
        <v>1</v>
      </c>
      <c r="J5413" s="17" t="n">
        <v>255</v>
      </c>
      <c r="K5413" s="17" t="n">
        <v>256.72</v>
      </c>
      <c r="L5413" s="17" t="n">
        <v>0</v>
      </c>
      <c r="M5413" s="17" t="n">
        <v>0</v>
      </c>
      <c r="N5413" s="17">
        <f>K5413*0.08+L5413*0.08</f>
        <v/>
      </c>
      <c r="O5413" s="17">
        <f>-(K5413*0.025+L5413*0.025)</f>
        <v/>
      </c>
      <c r="P5413" s="17">
        <f>32</f>
        <v/>
      </c>
      <c r="Q5413" s="17">
        <f>J5413+L5413+N5413+O5413-P5413-M5413</f>
        <v/>
      </c>
    </row>
    <row r="5414">
      <c r="A5414" s="16" t="inlineStr">
        <is>
          <t>5.8-5.14</t>
        </is>
      </c>
      <c r="B5414" s="16" t="inlineStr">
        <is>
          <t>PO-128-11267044170873018</t>
        </is>
      </c>
      <c r="C5414" s="16" t="inlineStr">
        <is>
          <t>Delivered</t>
        </is>
      </c>
      <c r="D5414" s="16" t="inlineStr">
        <is>
          <t>128-11267002227833018</t>
        </is>
      </c>
      <c r="E5414" s="16" t="inlineStr">
        <is>
          <t>Delivered</t>
        </is>
      </c>
      <c r="F5414" s="16" t="inlineStr">
        <is>
          <t>LB02235-blanco</t>
        </is>
      </c>
      <c r="G5414" s="16" t="inlineStr">
        <is>
          <t>Audífonos Inalámbricos para la Cabeza, Recargables y Multifuncionales - Conectan a Varios Dispositivos, soportan Radio FM, Tarjeta TF y AUX - 4 Horas de Reproducción Musical - Ideal para Trabajo Cotidiano, Juegos y Estudio</t>
        </is>
      </c>
      <c r="H5414" s="16" t="inlineStr">
        <is>
          <t>BLANCO</t>
        </is>
      </c>
      <c r="I5414" s="16" t="n">
        <v>1</v>
      </c>
      <c r="J5414" s="17" t="n">
        <v>37.71</v>
      </c>
      <c r="K5414" s="17" t="n">
        <v>43.21</v>
      </c>
      <c r="L5414" s="17" t="n">
        <v>25.86</v>
      </c>
      <c r="M5414" s="17" t="n">
        <v>0</v>
      </c>
      <c r="N5414" s="17">
        <f>K5414*0.08+L5414*0.08</f>
        <v/>
      </c>
      <c r="O5414" s="17">
        <f>-(K5414*0.025+L5414*0.025)</f>
        <v/>
      </c>
      <c r="P5414" s="17">
        <f>32</f>
        <v/>
      </c>
      <c r="Q5414" s="17">
        <f>J5414+L5414+N5414+O5414-P5414-M5414</f>
        <v/>
      </c>
    </row>
    <row r="5415">
      <c r="A5415" s="16" t="inlineStr">
        <is>
          <t>5.8-5.14</t>
        </is>
      </c>
      <c r="B5415" s="16" t="inlineStr">
        <is>
          <t>PO-128-11358640008311512</t>
        </is>
      </c>
      <c r="C5415" s="16" t="inlineStr">
        <is>
          <t>Delivered</t>
        </is>
      </c>
      <c r="D5415" s="16" t="inlineStr">
        <is>
          <t>128-11358598065271512</t>
        </is>
      </c>
      <c r="E5415" s="16" t="inlineStr">
        <is>
          <t>Delivered</t>
        </is>
      </c>
      <c r="F5415" s="16" t="inlineStr">
        <is>
          <t>LB02235-negro</t>
        </is>
      </c>
      <c r="G5415" s="16" t="inlineStr">
        <is>
          <t>Audífonos Inalámbricos para la Cabeza, Recargables y Multifuncionales - Conectan a Varios Dispositivos, soportan Radio FM, Tarjeta TF y AUX - 4 Horas de Reproducción Musical - Ideal para Trabajo Cotidiano, Juegos y Estudio</t>
        </is>
      </c>
      <c r="H5415" s="16" t="inlineStr">
        <is>
          <t>NEGRO</t>
        </is>
      </c>
      <c r="I5415" s="16" t="n">
        <v>1</v>
      </c>
      <c r="J5415" s="17" t="n">
        <v>37.71</v>
      </c>
      <c r="K5415" s="17" t="n">
        <v>7.73</v>
      </c>
      <c r="L5415" s="17" t="n">
        <v>25.86</v>
      </c>
      <c r="M5415" s="17" t="n">
        <v>0</v>
      </c>
      <c r="N5415" s="17">
        <f>K5415*0.08+L5415*0.08</f>
        <v/>
      </c>
      <c r="O5415" s="17">
        <f>-(K5415*0.025+L5415*0.025)</f>
        <v/>
      </c>
      <c r="P5415" s="17">
        <f>32</f>
        <v/>
      </c>
      <c r="Q5415" s="17">
        <f>J5415+L5415+N5415+O5415-P5415-M5415</f>
        <v/>
      </c>
    </row>
    <row r="5416">
      <c r="A5416" s="16" t="inlineStr">
        <is>
          <t>5.8-5.14</t>
        </is>
      </c>
      <c r="B5416" s="16" t="inlineStr">
        <is>
          <t>PO-128-11664446336630523</t>
        </is>
      </c>
      <c r="C5416" s="16" t="inlineStr">
        <is>
          <t>Delivered</t>
        </is>
      </c>
      <c r="D5416" s="16" t="inlineStr">
        <is>
          <t>128-11664459443830523</t>
        </is>
      </c>
      <c r="E5416" s="16" t="inlineStr">
        <is>
          <t>Delivered</t>
        </is>
      </c>
      <c r="F5416" s="16" t="inlineStr">
        <is>
          <t>MB-185N</t>
        </is>
      </c>
      <c r="G5416" s="16" t="inlineStr">
        <is>
          <t>Bocina Radio FM/Reproductor, Compatible con Tarjeta TF, USB, Bluetooth, Aplicable para celular, computadora, Ipad y consola.</t>
        </is>
      </c>
      <c r="H5416" s="16" t="inlineStr">
        <is>
          <t>NEGRO/MB-185</t>
        </is>
      </c>
      <c r="I5416" s="16" t="n">
        <v>1</v>
      </c>
      <c r="J5416" s="17" t="n">
        <v>75.5</v>
      </c>
      <c r="K5416" s="17" t="n">
        <v>71.91</v>
      </c>
      <c r="L5416" s="17" t="n">
        <v>25.86</v>
      </c>
      <c r="M5416" s="17" t="n">
        <v>0</v>
      </c>
      <c r="N5416" s="17">
        <f>K5416*0.08+L5416*0.08</f>
        <v/>
      </c>
      <c r="O5416" s="17">
        <f>-(K5416*0.025+L5416*0.025)</f>
        <v/>
      </c>
      <c r="P5416" s="17">
        <f>32</f>
        <v/>
      </c>
      <c r="Q5416" s="17">
        <f>J5416+L5416+N5416+O5416-P5416-M5416</f>
        <v/>
      </c>
    </row>
    <row r="5417">
      <c r="A5417" s="16" t="inlineStr">
        <is>
          <t>5.8-5.14</t>
        </is>
      </c>
      <c r="B5417" s="16" t="inlineStr">
        <is>
          <t>PO-128-11645578775670699</t>
        </is>
      </c>
      <c r="C5417" s="16" t="inlineStr">
        <is>
          <t>Delivered</t>
        </is>
      </c>
      <c r="D5417" s="16" t="inlineStr">
        <is>
          <t>128-11645730819190699</t>
        </is>
      </c>
      <c r="E5417" s="16" t="inlineStr">
        <is>
          <t>Delivered</t>
        </is>
      </c>
      <c r="F5417" s="16" t="inlineStr">
        <is>
          <t>MCM-001A</t>
        </is>
      </c>
      <c r="G5417" s="16" t="inlineStr">
        <is>
          <t>Musicord Altavoz Inalámbrico BT Portátil: ¡Sonido impactante, luces LED multicolores y 4 horas de autonomía! Compatible con TWS, FM, TF y USB – Imprescindible para fiestas y viajes</t>
        </is>
      </c>
      <c r="H5417" s="16" t="inlineStr">
        <is>
          <t>AZUL</t>
        </is>
      </c>
      <c r="I5417" s="16" t="n">
        <v>1</v>
      </c>
      <c r="J5417" s="17" t="n">
        <v>51.07</v>
      </c>
      <c r="K5417" s="17" t="n">
        <v>59.47</v>
      </c>
      <c r="L5417" s="17" t="n">
        <v>25.86</v>
      </c>
      <c r="M5417" s="17" t="n">
        <v>0</v>
      </c>
      <c r="N5417" s="17">
        <f>K5417*0.08+L5417*0.08</f>
        <v/>
      </c>
      <c r="O5417" s="17">
        <f>-(K5417*0.025+L5417*0.025)</f>
        <v/>
      </c>
      <c r="P5417" s="17">
        <f>32</f>
        <v/>
      </c>
      <c r="Q5417" s="17">
        <f>J5417+L5417+N5417+O5417-P5417-M5417</f>
        <v/>
      </c>
    </row>
    <row r="5418">
      <c r="A5418" s="16" t="inlineStr">
        <is>
          <t>5.8-5.14</t>
        </is>
      </c>
      <c r="B5418" s="16" t="inlineStr">
        <is>
          <t>PO-128-11212687946872190</t>
        </is>
      </c>
      <c r="C5418" s="16" t="inlineStr">
        <is>
          <t>Delivered</t>
        </is>
      </c>
      <c r="D5418" s="16" t="inlineStr">
        <is>
          <t>128-11212646003832190</t>
        </is>
      </c>
      <c r="E5418" s="16" t="inlineStr">
        <is>
          <t>Delivered</t>
        </is>
      </c>
      <c r="F5418" s="16" t="inlineStr">
        <is>
          <t>MCM-001R</t>
        </is>
      </c>
      <c r="G5418" s="16" t="inlineStr">
        <is>
          <t>Musicord Altavoz Inalámbrico BT Portátil: ¡Sonido impactante, luces LED multicolores y 4 horas de autonomía! Compatible con TWS, FM, TF y USB – Imprescindible para fiestas y viajes</t>
        </is>
      </c>
      <c r="H5418" s="16" t="inlineStr">
        <is>
          <t>ROJO</t>
        </is>
      </c>
      <c r="I5418" s="16" t="n">
        <v>1</v>
      </c>
      <c r="J5418" s="17" t="n">
        <v>66.5</v>
      </c>
      <c r="K5418" s="17" t="n">
        <v>77.79000000000001</v>
      </c>
      <c r="L5418" s="17" t="n">
        <v>25.86</v>
      </c>
      <c r="M5418" s="17" t="n">
        <v>0</v>
      </c>
      <c r="N5418" s="17">
        <f>K5418*0.08+L5418*0.08</f>
        <v/>
      </c>
      <c r="O5418" s="17">
        <f>-(K5418*0.025+L5418*0.025)</f>
        <v/>
      </c>
      <c r="P5418" s="17">
        <f>32</f>
        <v/>
      </c>
      <c r="Q5418" s="17">
        <f>J5418+L5418+N5418+O5418-P5418-M5418</f>
        <v/>
      </c>
    </row>
    <row r="5419">
      <c r="A5419" s="16" t="inlineStr">
        <is>
          <t>5.8-5.14</t>
        </is>
      </c>
      <c r="B5419" s="16" t="inlineStr">
        <is>
          <t>PO-128-11623194340470769</t>
        </is>
      </c>
      <c r="C5419" s="16" t="inlineStr">
        <is>
          <t>Delivered</t>
        </is>
      </c>
      <c r="D5419" s="16" t="inlineStr">
        <is>
          <t>128-11623131425910769</t>
        </is>
      </c>
      <c r="E5419" s="16" t="inlineStr">
        <is>
          <t>Delivered</t>
        </is>
      </c>
      <c r="F5419" s="16" t="inlineStr">
        <is>
          <t>KTS-1678Y</t>
        </is>
      </c>
      <c r="G5419" s="16" t="inlineStr">
        <is>
          <t>Bocina portátil Inalámbrico, de 3 pulgadas, tamaño de bolsillo, 170 g, con asa, compatible con TF, USB y Micro SD, con radio FM y función TWS (True Wireless Stereo), adecuada para relajarse en casa o viajar al aire libre.</t>
        </is>
      </c>
      <c r="H5419" s="16" t="inlineStr">
        <is>
          <t>KTS-1678Y</t>
        </is>
      </c>
      <c r="I5419" s="16" t="n">
        <v>1</v>
      </c>
      <c r="J5419" s="17" t="n">
        <v>42.5</v>
      </c>
      <c r="K5419" s="17" t="n">
        <v>47.69</v>
      </c>
      <c r="L5419" s="17" t="n">
        <v>25.86</v>
      </c>
      <c r="M5419" s="17" t="n">
        <v>0</v>
      </c>
      <c r="N5419" s="17">
        <f>K5419*0.08+L5419*0.08</f>
        <v/>
      </c>
      <c r="O5419" s="17">
        <f>-(K5419*0.025+L5419*0.025)</f>
        <v/>
      </c>
      <c r="P5419" s="17">
        <f>32</f>
        <v/>
      </c>
      <c r="Q5419" s="17">
        <f>J5419+L5419+N5419+O5419-P5419-M5419</f>
        <v/>
      </c>
    </row>
    <row r="5420">
      <c r="A5420" s="16" t="inlineStr">
        <is>
          <t>5.8-5.14</t>
        </is>
      </c>
      <c r="B5420" s="16" t="inlineStr">
        <is>
          <t>PO-128-11250604455032156</t>
        </is>
      </c>
      <c r="C5420" s="16" t="inlineStr">
        <is>
          <t>Delivered</t>
        </is>
      </c>
      <c r="D5420" s="16" t="inlineStr">
        <is>
          <t>128-11250562511992156</t>
        </is>
      </c>
      <c r="E5420" s="16" t="inlineStr">
        <is>
          <t>Delivered</t>
        </is>
      </c>
      <c r="F5420" s="16" t="inlineStr">
        <is>
          <t>AIR50W06-2P</t>
        </is>
      </c>
      <c r="G5420" s="16" t="inlineStr">
        <is>
          <t>Link Bits Ventilador de piso de 16 pulgadas, 2 unidades, 3 velocidades, motor silencioso, flujo de aire fuerte, altura ajustable, oscilación amplia, ventilador eléctrico para el hogar, ideal para sala, recámara y oficina</t>
        </is>
      </c>
      <c r="H5420" s="16" t="inlineStr">
        <is>
          <t>2PZ</t>
        </is>
      </c>
      <c r="I5420" s="16" t="n">
        <v>1</v>
      </c>
      <c r="J5420" s="17" t="n">
        <v>440</v>
      </c>
      <c r="K5420" s="17" t="n">
        <v>501.47</v>
      </c>
      <c r="L5420" s="17" t="n">
        <v>0</v>
      </c>
      <c r="M5420" s="17" t="n">
        <v>0</v>
      </c>
      <c r="N5420" s="17">
        <f>K5420*0.08+L5420*0.08</f>
        <v/>
      </c>
      <c r="O5420" s="17">
        <f>-(K5420*0.025+L5420*0.025)</f>
        <v/>
      </c>
      <c r="P5420" s="17">
        <f>32</f>
        <v/>
      </c>
      <c r="Q5420" s="17">
        <f>J5420+L5420+N5420+O5420-P5420-M5420</f>
        <v/>
      </c>
    </row>
    <row r="5421">
      <c r="A5421" s="16" t="inlineStr">
        <is>
          <t>5.8-5.14</t>
        </is>
      </c>
      <c r="B5421" s="16" t="inlineStr">
        <is>
          <t>PO-128-11340665052791429</t>
        </is>
      </c>
      <c r="C5421" s="16" t="inlineStr">
        <is>
          <t>Delivered</t>
        </is>
      </c>
      <c r="D5421" s="16" t="inlineStr">
        <is>
          <t>128-11340644081271429</t>
        </is>
      </c>
      <c r="E5421" s="16" t="inlineStr">
        <is>
          <t>Delivered</t>
        </is>
      </c>
      <c r="F5421" s="16" t="inlineStr">
        <is>
          <t>SA323T</t>
        </is>
      </c>
      <c r="G5421" s="16" t="inlineStr">
        <is>
          <t>Linkbits Bocina Portátil Parlantes BT Portátiles con Iluminación de Ambiente | 1 Hora de Duración, FM, TWS, TF/Micro SD | Ideal para Hogar, Fiestas y Viajes</t>
        </is>
      </c>
      <c r="H5421" s="16" t="inlineStr">
        <is>
          <t>SA323T</t>
        </is>
      </c>
      <c r="I5421" s="16" t="n">
        <v>1</v>
      </c>
      <c r="J5421" s="17" t="n">
        <v>46</v>
      </c>
      <c r="K5421" s="17" t="n">
        <v>41.42</v>
      </c>
      <c r="L5421" s="17" t="n">
        <v>0</v>
      </c>
      <c r="M5421" s="17" t="n">
        <v>0</v>
      </c>
      <c r="N5421" s="17">
        <f>K5421*0.08+L5421*0.08</f>
        <v/>
      </c>
      <c r="O5421" s="17">
        <f>-(K5421*0.025+L5421*0.025)</f>
        <v/>
      </c>
      <c r="P5421" s="17">
        <f>32</f>
        <v/>
      </c>
      <c r="Q5421" s="17">
        <f>J5421+L5421+N5421+O5421-P5421-M5421</f>
        <v/>
      </c>
    </row>
    <row r="5422">
      <c r="A5422" s="16" t="inlineStr">
        <is>
          <t>5.8-5.14</t>
        </is>
      </c>
      <c r="B5422" s="16" t="inlineStr">
        <is>
          <t>PO-128-11340665052791429</t>
        </is>
      </c>
      <c r="C5422" s="16" t="inlineStr">
        <is>
          <t>Delivered</t>
        </is>
      </c>
      <c r="D5422" s="16" t="inlineStr">
        <is>
          <t>128-11340686024311429</t>
        </is>
      </c>
      <c r="E5422" s="16" t="inlineStr">
        <is>
          <t>Delivered</t>
        </is>
      </c>
      <c r="F5422" s="16" t="inlineStr">
        <is>
          <t>AIR50W06-2P</t>
        </is>
      </c>
      <c r="G5422" s="16" t="inlineStr">
        <is>
          <t>Link Bits Ventilador de piso de 16 pulgadas, 2 unidades, 3 velocidades, motor silencioso, flujo de aire fuerte, altura ajustable, oscilación amplia, ventilador eléctrico para el hogar, ideal para sala, recámara y oficina</t>
        </is>
      </c>
      <c r="H5422" s="16" t="inlineStr">
        <is>
          <t>2PZ</t>
        </is>
      </c>
      <c r="I5422" s="16" t="n">
        <v>1</v>
      </c>
      <c r="J5422" s="17" t="n">
        <v>440</v>
      </c>
      <c r="K5422" s="17" t="n">
        <v>377.23</v>
      </c>
      <c r="L5422" s="17" t="n">
        <v>0</v>
      </c>
      <c r="M5422" s="17" t="n">
        <v>0</v>
      </c>
      <c r="N5422" s="17">
        <f>K5422*0.08+L5422*0.08</f>
        <v/>
      </c>
      <c r="O5422" s="17">
        <f>-(K5422*0.025+L5422*0.025)</f>
        <v/>
      </c>
      <c r="P5422" s="17">
        <f>32</f>
        <v/>
      </c>
      <c r="Q5422" s="17">
        <f>J5422+L5422+N5422+O5422-P5422-M5422</f>
        <v/>
      </c>
    </row>
    <row r="5423">
      <c r="A5423" s="16" t="inlineStr">
        <is>
          <t>5.8-5.14</t>
        </is>
      </c>
      <c r="B5423" s="16" t="inlineStr">
        <is>
          <t>PO-128-11340665052791429</t>
        </is>
      </c>
      <c r="C5423" s="16" t="inlineStr">
        <is>
          <t>Delivered</t>
        </is>
      </c>
      <c r="D5423" s="16" t="inlineStr">
        <is>
          <t>128-11340602138231429</t>
        </is>
      </c>
      <c r="E5423" s="16" t="inlineStr">
        <is>
          <t>Delivered</t>
        </is>
      </c>
      <c r="F5423" s="16" t="inlineStr">
        <is>
          <t>MB-178-N</t>
        </is>
      </c>
      <c r="G5423" s="16" t="inlineStr">
        <is>
          <t>Bocina de Barra Bluetooth LINK BITS con dos altavoces, sonido de alta calidad y multifuncional (Bluetooth, Radio FM, USB, TF, AUX, TWS), ideal para juegos, reuniones, oficina y cine en casa.</t>
        </is>
      </c>
      <c r="H5423" s="16" t="inlineStr">
        <is>
          <t>NEGRO</t>
        </is>
      </c>
      <c r="I5423" s="16" t="n">
        <v>1</v>
      </c>
      <c r="J5423" s="17" t="n">
        <v>120</v>
      </c>
      <c r="K5423" s="17" t="n">
        <v>104.81</v>
      </c>
      <c r="L5423" s="17" t="n">
        <v>0</v>
      </c>
      <c r="M5423" s="17" t="n">
        <v>0</v>
      </c>
      <c r="N5423" s="17">
        <f>K5423*0.08+L5423*0.08</f>
        <v/>
      </c>
      <c r="O5423" s="17">
        <f>-(K5423*0.025+L5423*0.025)</f>
        <v/>
      </c>
      <c r="P5423" s="17">
        <f>32</f>
        <v/>
      </c>
      <c r="Q5423" s="17">
        <f>J5423+L5423+N5423+O5423-P5423-M5423</f>
        <v/>
      </c>
    </row>
    <row r="5424">
      <c r="A5424" s="16" t="inlineStr">
        <is>
          <t>5.8-5.14</t>
        </is>
      </c>
      <c r="B5424" s="16" t="inlineStr">
        <is>
          <t>PO-128-11272077335673052</t>
        </is>
      </c>
      <c r="C5424" s="16" t="inlineStr">
        <is>
          <t>Delivered</t>
        </is>
      </c>
      <c r="D5424" s="16" t="inlineStr">
        <is>
          <t>128-11272035392633052</t>
        </is>
      </c>
      <c r="E5424" s="16" t="inlineStr">
        <is>
          <t>Delivered</t>
        </is>
      </c>
      <c r="F5424" s="16" t="inlineStr">
        <is>
          <t>BS-22</t>
        </is>
      </c>
      <c r="G5424" s="16" t="inlineStr">
        <is>
          <t>link bits Barra de Sonido para TV, 2x2" Altavoces + 2 Membranas de Graves, Sonido Claro ≥80dB, Bluetooth Inalámbrico, Conexiones AUX/USB, Diseño Compacto 76cm, Sonido Envolvente 3D para Cine en Casa, PC, Juegos y Fiestas</t>
        </is>
      </c>
      <c r="H5424" s="16" t="inlineStr">
        <is>
          <t>BS-22</t>
        </is>
      </c>
      <c r="I5424" s="16" t="n">
        <v>1</v>
      </c>
      <c r="J5424" s="17" t="n">
        <v>255</v>
      </c>
      <c r="K5424" s="17" t="n">
        <v>294.61</v>
      </c>
      <c r="L5424" s="17" t="n">
        <v>0</v>
      </c>
      <c r="M5424" s="17" t="n">
        <v>0</v>
      </c>
      <c r="N5424" s="17">
        <f>K5424*0.08+L5424*0.08</f>
        <v/>
      </c>
      <c r="O5424" s="17">
        <f>-(K5424*0.025+L5424*0.025)</f>
        <v/>
      </c>
      <c r="P5424" s="17">
        <f>32</f>
        <v/>
      </c>
      <c r="Q5424" s="17">
        <f>J5424+L5424+N5424+O5424-P5424-M5424</f>
        <v/>
      </c>
    </row>
    <row r="5425">
      <c r="A5425" s="16" t="inlineStr">
        <is>
          <t>5.8-5.14</t>
        </is>
      </c>
      <c r="B5425" s="16" t="inlineStr">
        <is>
          <t>PO-128-11317942410872586</t>
        </is>
      </c>
      <c r="C5425" s="16" t="inlineStr">
        <is>
          <t>Delivered</t>
        </is>
      </c>
      <c r="D5425" s="16" t="inlineStr">
        <is>
          <t>128-11317921439352586</t>
        </is>
      </c>
      <c r="E5425" s="16" t="inlineStr">
        <is>
          <t>Delivered</t>
        </is>
      </c>
      <c r="F5425" s="16" t="inlineStr">
        <is>
          <t>KTS-1678R</t>
        </is>
      </c>
      <c r="G5425" s="16" t="inlineStr">
        <is>
          <t>Bocina portátil Inalámbrico, de 3 pulgadas, tamaño de bolsillo, 170 g, con asa, compatible con TF, USB y Micro SD, con radio FM y función TWS (True Wireless Stereo), adecuada para relajarse en casa o viajar al aire libre.</t>
        </is>
      </c>
      <c r="H5425" s="16" t="inlineStr">
        <is>
          <t>KTS-1678R</t>
        </is>
      </c>
      <c r="I5425" s="16" t="n">
        <v>1</v>
      </c>
      <c r="J5425" s="17" t="n">
        <v>42.5</v>
      </c>
      <c r="K5425" s="17" t="n">
        <v>46.24</v>
      </c>
      <c r="L5425" s="17" t="n">
        <v>25.86</v>
      </c>
      <c r="M5425" s="17" t="n">
        <v>0</v>
      </c>
      <c r="N5425" s="17">
        <f>K5425*0.08+L5425*0.08</f>
        <v/>
      </c>
      <c r="O5425" s="17">
        <f>-(K5425*0.025+L5425*0.025)</f>
        <v/>
      </c>
      <c r="P5425" s="17">
        <f>32</f>
        <v/>
      </c>
      <c r="Q5425" s="17">
        <f>J5425+L5425+N5425+O5425-P5425-M5425</f>
        <v/>
      </c>
    </row>
    <row r="5426">
      <c r="A5426" s="16" t="inlineStr">
        <is>
          <t>5.8-5.14</t>
        </is>
      </c>
      <c r="B5426" s="16" t="inlineStr">
        <is>
          <t>PO-128-11372226637431369</t>
        </is>
      </c>
      <c r="C5426" s="16" t="inlineStr">
        <is>
          <t>Delivered</t>
        </is>
      </c>
      <c r="D5426" s="16" t="inlineStr">
        <is>
          <t>128-11372184694391369</t>
        </is>
      </c>
      <c r="E5426" s="16" t="inlineStr">
        <is>
          <t>Delivered</t>
        </is>
      </c>
      <c r="F5426" s="16" t="inlineStr">
        <is>
          <t>AIR50W06-2P</t>
        </is>
      </c>
      <c r="G5426" s="16" t="inlineStr">
        <is>
          <t>Link Bits Ventilador de piso de 16 pulgadas, 2 unidades, 3 velocidades, motor silencioso, flujo de aire fuerte, altura ajustable, oscilación amplia, ventilador eléctrico para el hogar, ideal para sala, recámara y oficina</t>
        </is>
      </c>
      <c r="H5426" s="16" t="inlineStr">
        <is>
          <t>2PZ</t>
        </is>
      </c>
      <c r="I5426" s="16" t="n">
        <v>1</v>
      </c>
      <c r="J5426" s="17" t="n">
        <v>440</v>
      </c>
      <c r="K5426" s="17" t="n">
        <v>501.47</v>
      </c>
      <c r="L5426" s="17" t="n">
        <v>0</v>
      </c>
      <c r="M5426" s="17" t="n">
        <v>0</v>
      </c>
      <c r="N5426" s="17">
        <f>K5426*0.08+L5426*0.08</f>
        <v/>
      </c>
      <c r="O5426" s="17">
        <f>-(K5426*0.025+L5426*0.025)</f>
        <v/>
      </c>
      <c r="P5426" s="17">
        <f>32</f>
        <v/>
      </c>
      <c r="Q5426" s="17">
        <f>J5426+L5426+N5426+O5426-P5426-M5426</f>
        <v/>
      </c>
    </row>
    <row r="5427">
      <c r="A5427" s="16" t="inlineStr">
        <is>
          <t>5.8-5.14</t>
        </is>
      </c>
      <c r="B5427" s="16" t="inlineStr">
        <is>
          <t>PO-128-11351567580791490</t>
        </is>
      </c>
      <c r="C5427" s="16" t="inlineStr">
        <is>
          <t>Delivered</t>
        </is>
      </c>
      <c r="D5427" s="16" t="inlineStr">
        <is>
          <t>128-11351620009591490</t>
        </is>
      </c>
      <c r="E5427" s="16" t="inlineStr">
        <is>
          <t>Delivered</t>
        </is>
      </c>
      <c r="F5427" s="16" t="inlineStr">
        <is>
          <t>S58W60</t>
        </is>
      </c>
      <c r="G5427"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427" s="16" t="inlineStr">
        <is>
          <t>1 pieza</t>
        </is>
      </c>
      <c r="I5427" s="16" t="n">
        <v>1</v>
      </c>
      <c r="J5427" s="17" t="n">
        <v>59</v>
      </c>
      <c r="K5427" s="17" t="n">
        <v>76.54000000000001</v>
      </c>
      <c r="L5427" s="17" t="n">
        <v>25.86</v>
      </c>
      <c r="M5427" s="17" t="n">
        <v>0</v>
      </c>
      <c r="N5427" s="17">
        <f>K5427*0.08+L5427*0.08</f>
        <v/>
      </c>
      <c r="O5427" s="17">
        <f>-(K5427*0.025+L5427*0.025)</f>
        <v/>
      </c>
      <c r="P5427" s="17">
        <f>32</f>
        <v/>
      </c>
      <c r="Q5427" s="17">
        <f>J5427+L5427+N5427+O5427-P5427-M5427</f>
        <v/>
      </c>
    </row>
    <row r="5428">
      <c r="A5428" s="16" t="inlineStr">
        <is>
          <t>5.8-5.14</t>
        </is>
      </c>
      <c r="B5428" s="16" t="inlineStr">
        <is>
          <t>PO-128-11357477276791521</t>
        </is>
      </c>
      <c r="C5428" s="16" t="inlineStr">
        <is>
          <t>Delivered</t>
        </is>
      </c>
      <c r="D5428" s="16" t="inlineStr">
        <is>
          <t>128-11357435333751521</t>
        </is>
      </c>
      <c r="E5428" s="16" t="inlineStr">
        <is>
          <t>Delivered</t>
        </is>
      </c>
      <c r="F5428" s="16" t="inlineStr">
        <is>
          <t>MCM-001A</t>
        </is>
      </c>
      <c r="G5428" s="16" t="inlineStr">
        <is>
          <t>Musicord Altavoz Inalámbrico BT Portátil: ¡Sonido impactante, luces LED multicolores y 4 horas de autonomía! Compatible con TWS, FM, TF y USB – Imprescindible para fiestas y viajes</t>
        </is>
      </c>
      <c r="H5428" s="16" t="inlineStr">
        <is>
          <t>AZUL</t>
        </is>
      </c>
      <c r="I5428" s="16" t="n">
        <v>1</v>
      </c>
      <c r="J5428" s="17" t="n">
        <v>51.07</v>
      </c>
      <c r="K5428" s="17" t="n">
        <v>16.37</v>
      </c>
      <c r="L5428" s="17" t="n">
        <v>25.86</v>
      </c>
      <c r="M5428" s="17" t="n">
        <v>0</v>
      </c>
      <c r="N5428" s="17">
        <f>K5428*0.08+L5428*0.08</f>
        <v/>
      </c>
      <c r="O5428" s="17">
        <f>-(K5428*0.025+L5428*0.025)</f>
        <v/>
      </c>
      <c r="P5428" s="17">
        <f>32</f>
        <v/>
      </c>
      <c r="Q5428" s="17">
        <f>J5428+L5428+N5428+O5428-P5428-M5428</f>
        <v/>
      </c>
    </row>
    <row r="5429">
      <c r="A5429" s="16" t="inlineStr">
        <is>
          <t>5.8-5.14</t>
        </is>
      </c>
      <c r="B5429" s="16" t="inlineStr">
        <is>
          <t>PO-128-11583342280310044</t>
        </is>
      </c>
      <c r="C5429" s="16" t="inlineStr">
        <is>
          <t>Delivered</t>
        </is>
      </c>
      <c r="D5429" s="16" t="inlineStr">
        <is>
          <t>128-11583373737590044</t>
        </is>
      </c>
      <c r="E5429" s="16" t="inlineStr">
        <is>
          <t>Delivered</t>
        </is>
      </c>
      <c r="F5429" s="16" t="inlineStr">
        <is>
          <t>MB-185N</t>
        </is>
      </c>
      <c r="G5429" s="16" t="inlineStr">
        <is>
          <t>Bocina Radio FM/Reproductor, Compatible con Tarjeta TF, USB, Bluetooth, Aplicable para celular, computadora, Ipad y consola.</t>
        </is>
      </c>
      <c r="H5429" s="16" t="inlineStr">
        <is>
          <t>NEGRO/MB-185</t>
        </is>
      </c>
      <c r="I5429" s="16" t="n">
        <v>1</v>
      </c>
      <c r="J5429" s="17" t="n">
        <v>75.5</v>
      </c>
      <c r="K5429" s="17" t="n">
        <v>88.45999999999999</v>
      </c>
      <c r="L5429" s="17" t="n">
        <v>25.86</v>
      </c>
      <c r="M5429" s="17" t="n">
        <v>0</v>
      </c>
      <c r="N5429" s="17">
        <f>K5429*0.08+L5429*0.08</f>
        <v/>
      </c>
      <c r="O5429" s="17">
        <f>-(K5429*0.025+L5429*0.025)</f>
        <v/>
      </c>
      <c r="P5429" s="17">
        <f>32</f>
        <v/>
      </c>
      <c r="Q5429" s="17">
        <f>J5429+L5429+N5429+O5429-P5429-M5429</f>
        <v/>
      </c>
    </row>
    <row r="5430">
      <c r="A5430" s="16" t="inlineStr">
        <is>
          <t>5.8-5.14</t>
        </is>
      </c>
      <c r="B5430" s="16" t="inlineStr">
        <is>
          <t>PO-128-11076096179833196</t>
        </is>
      </c>
      <c r="C5430" s="16" t="inlineStr">
        <is>
          <t>Delivered</t>
        </is>
      </c>
      <c r="D5430" s="16" t="inlineStr">
        <is>
          <t>128-11076117151353196</t>
        </is>
      </c>
      <c r="E5430" s="16" t="inlineStr">
        <is>
          <t>Delivered</t>
        </is>
      </c>
      <c r="F5430" s="16" t="inlineStr">
        <is>
          <t>LV25W22</t>
        </is>
      </c>
      <c r="G543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30" s="16" t="inlineStr">
        <is>
          <t>LV25W32</t>
        </is>
      </c>
      <c r="I5430" s="16" t="n">
        <v>4</v>
      </c>
      <c r="J5430" s="17" t="n">
        <v>388</v>
      </c>
      <c r="K5430" s="17" t="n">
        <v>429.72</v>
      </c>
      <c r="L5430" s="17" t="n">
        <v>0</v>
      </c>
      <c r="M5430" s="17" t="n">
        <v>0</v>
      </c>
      <c r="N5430" s="17">
        <f>K5430*0.08+L5430*0.08</f>
        <v/>
      </c>
      <c r="O5430" s="17">
        <f>-(K5430*0.025+L5430*0.025)</f>
        <v/>
      </c>
      <c r="P5430" s="17">
        <f>32</f>
        <v/>
      </c>
      <c r="Q5430" s="17">
        <f>J5430+L5430+N5430+O5430-P5430-M5430</f>
        <v/>
      </c>
    </row>
    <row r="5431">
      <c r="A5431" s="16" t="inlineStr">
        <is>
          <t>5.8-5.14</t>
        </is>
      </c>
      <c r="B5431" s="16" t="inlineStr">
        <is>
          <t>PO-128-11276210680952837</t>
        </is>
      </c>
      <c r="C5431" s="16" t="inlineStr">
        <is>
          <t>Delivered</t>
        </is>
      </c>
      <c r="D5431" s="16" t="inlineStr">
        <is>
          <t>128-11276189709432837</t>
        </is>
      </c>
      <c r="E5431" s="16" t="inlineStr">
        <is>
          <t>Delivered</t>
        </is>
      </c>
      <c r="F5431" s="16" t="inlineStr">
        <is>
          <t>LB02235-negro</t>
        </is>
      </c>
      <c r="G5431" s="16" t="inlineStr">
        <is>
          <t>Audífonos Inalámbricos para la Cabeza, Recargables y Multifuncionales - Conectan a Varios Dispositivos, soportan Radio FM, Tarjeta TF y AUX - 4 Horas de Reproducción Musical - Ideal para Trabajo Cotidiano, Juegos y Estudio</t>
        </is>
      </c>
      <c r="H5431" s="16" t="inlineStr">
        <is>
          <t>NEGRO</t>
        </is>
      </c>
      <c r="I5431" s="16" t="n">
        <v>1</v>
      </c>
      <c r="J5431" s="17" t="n">
        <v>37.71</v>
      </c>
      <c r="K5431" s="17" t="n">
        <v>43.2</v>
      </c>
      <c r="L5431" s="17" t="n">
        <v>25.86</v>
      </c>
      <c r="M5431" s="17" t="n">
        <v>0</v>
      </c>
      <c r="N5431" s="17">
        <f>K5431*0.08+L5431*0.08</f>
        <v/>
      </c>
      <c r="O5431" s="17">
        <f>-(K5431*0.025+L5431*0.025)</f>
        <v/>
      </c>
      <c r="P5431" s="17">
        <f>32</f>
        <v/>
      </c>
      <c r="Q5431" s="17">
        <f>J5431+L5431+N5431+O5431-P5431-M5431</f>
        <v/>
      </c>
    </row>
    <row r="5432">
      <c r="A5432" s="16" t="inlineStr">
        <is>
          <t>5.8-5.14</t>
        </is>
      </c>
      <c r="B5432" s="16" t="inlineStr">
        <is>
          <t>PO-128-11580050046070000</t>
        </is>
      </c>
      <c r="C5432" s="16" t="inlineStr">
        <is>
          <t>Delivered</t>
        </is>
      </c>
      <c r="D5432" s="16" t="inlineStr">
        <is>
          <t>128-11580029074550000</t>
        </is>
      </c>
      <c r="E5432" s="16" t="inlineStr">
        <is>
          <t>Delivered</t>
        </is>
      </c>
      <c r="F5432" s="16" t="inlineStr">
        <is>
          <t>S58W60</t>
        </is>
      </c>
      <c r="G5432" s="16" t="inlineStr">
        <is>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is>
      </c>
      <c r="H5432" s="16" t="inlineStr">
        <is>
          <t>1 pieza</t>
        </is>
      </c>
      <c r="I5432" s="16" t="n">
        <v>2</v>
      </c>
      <c r="J5432" s="17" t="n">
        <v>118</v>
      </c>
      <c r="K5432" s="17" t="n">
        <v>153.08</v>
      </c>
      <c r="L5432" s="17" t="n">
        <v>0</v>
      </c>
      <c r="M5432" s="17" t="n">
        <v>0</v>
      </c>
      <c r="N5432" s="17">
        <f>K5432*0.08+L5432*0.08</f>
        <v/>
      </c>
      <c r="O5432" s="17">
        <f>-(K5432*0.025+L5432*0.025)</f>
        <v/>
      </c>
      <c r="P5432" s="17">
        <f>32</f>
        <v/>
      </c>
      <c r="Q5432" s="17">
        <f>J5432+L5432+N5432+O5432-P5432-M5432</f>
        <v/>
      </c>
    </row>
    <row r="5433">
      <c r="A5433" s="16" t="inlineStr">
        <is>
          <t>5.8-5.14</t>
        </is>
      </c>
      <c r="B5433" s="16" t="inlineStr">
        <is>
          <t>PO-128-11580050046070000</t>
        </is>
      </c>
      <c r="C5433" s="16" t="inlineStr">
        <is>
          <t>Delivered</t>
        </is>
      </c>
      <c r="D5433" s="16" t="inlineStr">
        <is>
          <t>128-11580071017590000</t>
        </is>
      </c>
      <c r="E5433" s="16" t="inlineStr">
        <is>
          <t>Delivered</t>
        </is>
      </c>
      <c r="F5433" s="16" t="inlineStr">
        <is>
          <t>AIR50W06-2P</t>
        </is>
      </c>
      <c r="G5433" s="16" t="inlineStr">
        <is>
          <t>Link Bits Ventilador de piso de 16 pulgadas, 2 unidades, 3 velocidades, motor silencioso, flujo de aire fuerte, altura ajustable, oscilación amplia, ventilador eléctrico para el hogar, ideal para sala, recámara y oficina</t>
        </is>
      </c>
      <c r="H5433" s="16" t="inlineStr">
        <is>
          <t>2PZ</t>
        </is>
      </c>
      <c r="I5433" s="16" t="n">
        <v>1</v>
      </c>
      <c r="J5433" s="17" t="n">
        <v>440</v>
      </c>
      <c r="K5433" s="17" t="n">
        <v>501.47</v>
      </c>
      <c r="L5433" s="17" t="n">
        <v>0</v>
      </c>
      <c r="M5433" s="17" t="n">
        <v>0</v>
      </c>
      <c r="N5433" s="17">
        <f>K5433*0.08+L5433*0.08</f>
        <v/>
      </c>
      <c r="O5433" s="17">
        <f>-(K5433*0.025+L5433*0.025)</f>
        <v/>
      </c>
      <c r="P5433" s="17">
        <f>32</f>
        <v/>
      </c>
      <c r="Q5433" s="17">
        <f>J5433+L5433+N5433+O5433-P5433-M5433</f>
        <v/>
      </c>
    </row>
    <row r="5434">
      <c r="A5434" s="16" t="inlineStr">
        <is>
          <t>5.8-5.14</t>
        </is>
      </c>
      <c r="B5434" s="16" t="inlineStr">
        <is>
          <t>PO-128-11116208277113919</t>
        </is>
      </c>
      <c r="C5434" s="16" t="inlineStr">
        <is>
          <t>Delivered</t>
        </is>
      </c>
      <c r="D5434" s="16" t="inlineStr">
        <is>
          <t>128-11116166334073919</t>
        </is>
      </c>
      <c r="E5434" s="16" t="inlineStr">
        <is>
          <t>Delivered</t>
        </is>
      </c>
      <c r="F5434" s="16" t="inlineStr">
        <is>
          <t>VB347T</t>
        </is>
      </c>
      <c r="G5434"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434" s="16" t="inlineStr">
        <is>
          <t>1 pieza</t>
        </is>
      </c>
      <c r="I5434" s="16" t="n">
        <v>1</v>
      </c>
      <c r="J5434" s="17" t="n">
        <v>79.89</v>
      </c>
      <c r="K5434" s="17" t="n">
        <v>94.5</v>
      </c>
      <c r="L5434" s="17" t="n">
        <v>25.86</v>
      </c>
      <c r="M5434" s="17" t="n">
        <v>0</v>
      </c>
      <c r="N5434" s="17">
        <f>K5434*0.08+L5434*0.08</f>
        <v/>
      </c>
      <c r="O5434" s="17">
        <f>-(K5434*0.025+L5434*0.025)</f>
        <v/>
      </c>
      <c r="P5434" s="17">
        <f>32</f>
        <v/>
      </c>
      <c r="Q5434" s="17">
        <f>J5434+L5434+N5434+O5434-P5434-M5434</f>
        <v/>
      </c>
    </row>
    <row r="5435">
      <c r="A5435" s="16" t="inlineStr">
        <is>
          <t>5.8-5.14</t>
        </is>
      </c>
      <c r="B5435" s="16" t="inlineStr">
        <is>
          <t>PO-128-11562988434550166</t>
        </is>
      </c>
      <c r="C5435" s="16" t="inlineStr">
        <is>
          <t>Delivered</t>
        </is>
      </c>
      <c r="D5435" s="16" t="inlineStr">
        <is>
          <t>128-11562946491510166</t>
        </is>
      </c>
      <c r="E5435" s="16" t="inlineStr">
        <is>
          <t>Delivered</t>
        </is>
      </c>
      <c r="F5435" s="16" t="inlineStr">
        <is>
          <t>MCM-001R</t>
        </is>
      </c>
      <c r="G5435" s="16" t="inlineStr">
        <is>
          <t>Musicord Altavoz Inalámbrico BT Portátil: ¡Sonido impactante, luces LED multicolores y 4 horas de autonomía! Compatible con TWS, FM, TF y USB – Imprescindible para fiestas y viajes</t>
        </is>
      </c>
      <c r="H5435" s="16" t="inlineStr">
        <is>
          <t>ROJO</t>
        </is>
      </c>
      <c r="I5435" s="16" t="n">
        <v>1</v>
      </c>
      <c r="J5435" s="17" t="n">
        <v>66.5</v>
      </c>
      <c r="K5435" s="17" t="n">
        <v>77.79000000000001</v>
      </c>
      <c r="L5435" s="17" t="n">
        <v>25.86</v>
      </c>
      <c r="M5435" s="17" t="n">
        <v>0</v>
      </c>
      <c r="N5435" s="17">
        <f>K5435*0.08+L5435*0.08</f>
        <v/>
      </c>
      <c r="O5435" s="17">
        <f>-(K5435*0.025+L5435*0.025)</f>
        <v/>
      </c>
      <c r="P5435" s="17">
        <f>32</f>
        <v/>
      </c>
      <c r="Q5435" s="17">
        <f>J5435+L5435+N5435+O5435-P5435-M5435</f>
        <v/>
      </c>
    </row>
    <row r="5436">
      <c r="A5436" s="16" t="inlineStr">
        <is>
          <t>5.8-5.14</t>
        </is>
      </c>
      <c r="B5436" s="16" t="inlineStr">
        <is>
          <t>PO-128-11324926561912611</t>
        </is>
      </c>
      <c r="C5436" s="16" t="inlineStr">
        <is>
          <t>Delivered</t>
        </is>
      </c>
      <c r="D5436" s="16" t="inlineStr">
        <is>
          <t>128-11324884618872611</t>
        </is>
      </c>
      <c r="E5436" s="16" t="inlineStr">
        <is>
          <t>Delivered</t>
        </is>
      </c>
      <c r="F5436" s="16" t="inlineStr">
        <is>
          <t>LB02235-rojo</t>
        </is>
      </c>
      <c r="G5436" s="16" t="inlineStr">
        <is>
          <t>Audífonos Inalámbricos para la Cabeza, Recargables y Multifuncionales - Conectan a Varios Dispositivos, soportan Radio FM, Tarjeta TF y AUX - 4 Horas de Reproducción Musical - Ideal para Trabajo Cotidiano, Juegos y Estudio</t>
        </is>
      </c>
      <c r="H5436" s="16" t="inlineStr">
        <is>
          <t>ROJO</t>
        </is>
      </c>
      <c r="I5436" s="16" t="n">
        <v>1</v>
      </c>
      <c r="J5436" s="17" t="n">
        <v>36.8</v>
      </c>
      <c r="K5436" s="17" t="n">
        <v>49.91</v>
      </c>
      <c r="L5436" s="17" t="n">
        <v>25.86</v>
      </c>
      <c r="M5436" s="17" t="n">
        <v>0</v>
      </c>
      <c r="N5436" s="17">
        <f>K5436*0.08+L5436*0.08</f>
        <v/>
      </c>
      <c r="O5436" s="17">
        <f>-(K5436*0.025+L5436*0.025)</f>
        <v/>
      </c>
      <c r="P5436" s="17">
        <f>32</f>
        <v/>
      </c>
      <c r="Q5436" s="17">
        <f>J5436+L5436+N5436+O5436-P5436-M5436</f>
        <v/>
      </c>
    </row>
    <row r="5437">
      <c r="A5437" s="16" t="inlineStr">
        <is>
          <t>5.8-5.14</t>
        </is>
      </c>
      <c r="B5437" s="16" t="inlineStr">
        <is>
          <t>PO-128-11208662400632406</t>
        </is>
      </c>
      <c r="C5437" s="16" t="inlineStr">
        <is>
          <t>Delivered</t>
        </is>
      </c>
      <c r="D5437" s="16" t="inlineStr">
        <is>
          <t>128-11208620457592406</t>
        </is>
      </c>
      <c r="E5437" s="16" t="inlineStr">
        <is>
          <t>Delivered</t>
        </is>
      </c>
      <c r="F5437" s="16" t="inlineStr">
        <is>
          <t>LB02235-negro</t>
        </is>
      </c>
      <c r="G5437" s="16" t="inlineStr">
        <is>
          <t>Audífonos Inalámbricos para la Cabeza, Recargables y Multifuncionales - Conectan a Varios Dispositivos, soportan Radio FM, Tarjeta TF y AUX - 4 Horas de Reproducción Musical - Ideal para Trabajo Cotidiano, Juegos y Estudio</t>
        </is>
      </c>
      <c r="H5437" s="16" t="inlineStr">
        <is>
          <t>NEGRO</t>
        </is>
      </c>
      <c r="I5437" s="16" t="n">
        <v>1</v>
      </c>
      <c r="J5437" s="17" t="n">
        <v>37.71</v>
      </c>
      <c r="K5437" s="17" t="n">
        <v>50.83</v>
      </c>
      <c r="L5437" s="17" t="n">
        <v>25.86</v>
      </c>
      <c r="M5437" s="17" t="n">
        <v>0</v>
      </c>
      <c r="N5437" s="17">
        <f>K5437*0.08+L5437*0.08</f>
        <v/>
      </c>
      <c r="O5437" s="17">
        <f>-(K5437*0.025+L5437*0.025)</f>
        <v/>
      </c>
      <c r="P5437" s="17">
        <f>32</f>
        <v/>
      </c>
      <c r="Q5437" s="17">
        <f>J5437+L5437+N5437+O5437-P5437-M5437</f>
        <v/>
      </c>
    </row>
    <row r="5438">
      <c r="A5438" s="16" t="inlineStr">
        <is>
          <t>5.8-5.14</t>
        </is>
      </c>
      <c r="B5438" s="16" t="inlineStr">
        <is>
          <t>PO-128-11540438492790300</t>
        </is>
      </c>
      <c r="C5438" s="16" t="inlineStr">
        <is>
          <t>Delivered</t>
        </is>
      </c>
      <c r="D5438" s="16" t="inlineStr">
        <is>
          <t>128-11540480435830300</t>
        </is>
      </c>
      <c r="E5438" s="16" t="inlineStr">
        <is>
          <t>Delivered</t>
        </is>
      </c>
      <c r="F5438" s="16" t="inlineStr">
        <is>
          <t>MCM-001N</t>
        </is>
      </c>
      <c r="G5438" s="16" t="inlineStr">
        <is>
          <t>Musicord Altavoz Inalámbrico BT Portátil: ¡Sonido impactante, luces LED multicolores y 4 horas de autonomía! Compatible con TWS, FM, TF y USB – Imprescindible para fiestas y viajes</t>
        </is>
      </c>
      <c r="H5438" s="16" t="inlineStr">
        <is>
          <t>NEGRO</t>
        </is>
      </c>
      <c r="I5438" s="16" t="n">
        <v>1</v>
      </c>
      <c r="J5438" s="17" t="n">
        <v>61</v>
      </c>
      <c r="K5438" s="17" t="n">
        <v>18.84</v>
      </c>
      <c r="L5438" s="17" t="n">
        <v>25.86</v>
      </c>
      <c r="M5438" s="17" t="n">
        <v>0</v>
      </c>
      <c r="N5438" s="17">
        <f>K5438*0.08+L5438*0.08</f>
        <v/>
      </c>
      <c r="O5438" s="17">
        <f>-(K5438*0.025+L5438*0.025)</f>
        <v/>
      </c>
      <c r="P5438" s="17">
        <f>32</f>
        <v/>
      </c>
      <c r="Q5438" s="17">
        <f>J5438+L5438+N5438+O5438-P5438-M5438</f>
        <v/>
      </c>
    </row>
    <row r="5439">
      <c r="A5439" s="16" t="inlineStr">
        <is>
          <t>5.8-5.14</t>
        </is>
      </c>
      <c r="B5439" s="16" t="inlineStr">
        <is>
          <t>PO-128-11672601150070600</t>
        </is>
      </c>
      <c r="C5439" s="16" t="inlineStr">
        <is>
          <t>Delivered</t>
        </is>
      </c>
      <c r="D5439" s="16" t="inlineStr">
        <is>
          <t>128-11672653578870600</t>
        </is>
      </c>
      <c r="E5439" s="16" t="inlineStr">
        <is>
          <t>Delivered</t>
        </is>
      </c>
      <c r="F5439" s="16" t="inlineStr">
        <is>
          <t>SA8056T</t>
        </is>
      </c>
      <c r="G5439"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439" s="16" t="inlineStr">
        <is>
          <t>SA8056T</t>
        </is>
      </c>
      <c r="I5439" s="16" t="n">
        <v>1</v>
      </c>
      <c r="J5439" s="17" t="n">
        <v>150.45</v>
      </c>
      <c r="K5439" s="17" t="n">
        <v>170.84</v>
      </c>
      <c r="L5439" s="17" t="n">
        <v>25.86</v>
      </c>
      <c r="M5439" s="17" t="n">
        <v>0</v>
      </c>
      <c r="N5439" s="17">
        <f>K5439*0.08+L5439*0.08</f>
        <v/>
      </c>
      <c r="O5439" s="17">
        <f>-(K5439*0.025+L5439*0.025)</f>
        <v/>
      </c>
      <c r="P5439" s="17">
        <f>32</f>
        <v/>
      </c>
      <c r="Q5439" s="17">
        <f>J5439+L5439+N5439+O5439-P5439-M5439</f>
        <v/>
      </c>
    </row>
    <row r="5440">
      <c r="A5440" s="16" t="inlineStr">
        <is>
          <t>5.8-5.14</t>
        </is>
      </c>
      <c r="B5440" s="16" t="inlineStr">
        <is>
          <t>PO-128-11305955789432722</t>
        </is>
      </c>
      <c r="C5440" s="16" t="inlineStr">
        <is>
          <t>Delivered</t>
        </is>
      </c>
      <c r="D5440" s="16" t="inlineStr">
        <is>
          <t>128-11305976760952722</t>
        </is>
      </c>
      <c r="E5440" s="16" t="inlineStr">
        <is>
          <t>Delivered</t>
        </is>
      </c>
      <c r="F5440" s="16" t="inlineStr">
        <is>
          <t>MB-178-N</t>
        </is>
      </c>
      <c r="G5440" s="16" t="inlineStr">
        <is>
          <t>Bocina de Barra Bluetooth LINK BITS con dos altavoces, sonido de alta calidad y multifuncional (Bluetooth, Radio FM, USB, TF, AUX, TWS), ideal para juegos, reuniones, oficina y cine en casa.</t>
        </is>
      </c>
      <c r="H5440" s="16" t="inlineStr">
        <is>
          <t>NEGRO</t>
        </is>
      </c>
      <c r="I5440" s="16" t="n">
        <v>1</v>
      </c>
      <c r="J5440" s="17" t="n">
        <v>120</v>
      </c>
      <c r="K5440" s="17" t="n">
        <v>139.34</v>
      </c>
      <c r="L5440" s="17" t="n">
        <v>25.86</v>
      </c>
      <c r="M5440" s="17" t="n">
        <v>0</v>
      </c>
      <c r="N5440" s="17">
        <f>K5440*0.08+L5440*0.08</f>
        <v/>
      </c>
      <c r="O5440" s="17">
        <f>-(K5440*0.025+L5440*0.025)</f>
        <v/>
      </c>
      <c r="P5440" s="17">
        <f>32</f>
        <v/>
      </c>
      <c r="Q5440" s="17">
        <f>J5440+L5440+N5440+O5440-P5440-M5440</f>
        <v/>
      </c>
    </row>
    <row r="5441">
      <c r="A5441" s="16" t="inlineStr">
        <is>
          <t>5.8-5.14</t>
        </is>
      </c>
      <c r="B5441" s="16" t="inlineStr">
        <is>
          <t>PO-128-11356521293431524</t>
        </is>
      </c>
      <c r="C5441" s="16" t="inlineStr">
        <is>
          <t>Delivered</t>
        </is>
      </c>
      <c r="D5441" s="16" t="inlineStr">
        <is>
          <t>128-11356513429111524</t>
        </is>
      </c>
      <c r="E5441" s="16" t="inlineStr">
        <is>
          <t>Delivered</t>
        </is>
      </c>
      <c r="F5441" s="16" t="inlineStr">
        <is>
          <t>SA323T</t>
        </is>
      </c>
      <c r="G5441" s="16" t="inlineStr">
        <is>
          <t>Linkbits Bocina Portátil Parlantes BT Portátiles con Iluminación de Ambiente | 1 Hora de Duración, FM, TWS, TF/Micro SD | Ideal para Hogar, Fiestas y Viajes</t>
        </is>
      </c>
      <c r="H5441" s="16" t="inlineStr">
        <is>
          <t>SA323T</t>
        </is>
      </c>
      <c r="I5441" s="16" t="n">
        <v>2</v>
      </c>
      <c r="J5441" s="17" t="n">
        <v>92</v>
      </c>
      <c r="K5441" s="17" t="n">
        <v>110.14</v>
      </c>
      <c r="L5441" s="17" t="n">
        <v>25.86</v>
      </c>
      <c r="M5441" s="17" t="n">
        <v>0</v>
      </c>
      <c r="N5441" s="17">
        <f>K5441*0.08+L5441*0.08</f>
        <v/>
      </c>
      <c r="O5441" s="17">
        <f>-(K5441*0.025+L5441*0.025)</f>
        <v/>
      </c>
      <c r="P5441" s="17">
        <f>32</f>
        <v/>
      </c>
      <c r="Q5441" s="17">
        <f>J5441+L5441+N5441+O5441-P5441-M5441</f>
        <v/>
      </c>
    </row>
    <row r="5442">
      <c r="A5442" s="16" t="inlineStr">
        <is>
          <t>5.8-5.14</t>
        </is>
      </c>
      <c r="B5442" s="16" t="inlineStr">
        <is>
          <t>PO-128-11476704830071704</t>
        </is>
      </c>
      <c r="C5442" s="16" t="inlineStr">
        <is>
          <t>Delivered</t>
        </is>
      </c>
      <c r="D5442" s="16" t="inlineStr">
        <is>
          <t>128-11476746773111704</t>
        </is>
      </c>
      <c r="E5442" s="16" t="inlineStr">
        <is>
          <t>Delivered</t>
        </is>
      </c>
      <c r="F5442" s="16" t="inlineStr">
        <is>
          <t>LB02235-azul</t>
        </is>
      </c>
      <c r="G5442" s="16" t="inlineStr">
        <is>
          <t>Audífonos Inalámbricos para la Cabeza, Recargables y Multifuncionales - Conectan a Varios Dispositivos, soportan Radio FM, Tarjeta TF y AUX - 4 Horas de Reproducción Musical - Ideal para Trabajo Cotidiano, Juegos y Estudio</t>
        </is>
      </c>
      <c r="H5442" s="16" t="inlineStr">
        <is>
          <t>AZUL</t>
        </is>
      </c>
      <c r="I5442" s="16" t="n">
        <v>1</v>
      </c>
      <c r="J5442" s="17" t="n">
        <v>36.8</v>
      </c>
      <c r="K5442" s="17" t="n">
        <v>49.91</v>
      </c>
      <c r="L5442" s="17" t="n">
        <v>25.86</v>
      </c>
      <c r="M5442" s="17" t="n">
        <v>0</v>
      </c>
      <c r="N5442" s="17">
        <f>K5442*0.08+L5442*0.08</f>
        <v/>
      </c>
      <c r="O5442" s="17">
        <f>-(K5442*0.025+L5442*0.025)</f>
        <v/>
      </c>
      <c r="P5442" s="17">
        <f>32</f>
        <v/>
      </c>
      <c r="Q5442" s="17">
        <f>J5442+L5442+N5442+O5442-P5442-M5442</f>
        <v/>
      </c>
    </row>
    <row r="5443">
      <c r="A5443" s="16" t="inlineStr">
        <is>
          <t>5.8-5.14</t>
        </is>
      </c>
      <c r="B5443" s="16" t="inlineStr">
        <is>
          <t>PO-128-11267239839353019</t>
        </is>
      </c>
      <c r="C5443" s="16" t="inlineStr">
        <is>
          <t>Delivered</t>
        </is>
      </c>
      <c r="D5443" s="16" t="inlineStr">
        <is>
          <t>128-11267218867833019</t>
        </is>
      </c>
      <c r="E5443" s="16" t="inlineStr">
        <is>
          <t>Delivered</t>
        </is>
      </c>
      <c r="F5443" s="16" t="inlineStr">
        <is>
          <t>FA028</t>
        </is>
      </c>
      <c r="G5443" s="16" t="inlineStr">
        <is>
          <t>Extractor de agua para garrafas de agua, compatible con carga USB, extractor de agua automático, práctico, con dos modos de toma de agua: manual y programado, ideal para dormitorios, salones, oficinas, uso al aire libre y otros escenarios.</t>
        </is>
      </c>
      <c r="H5443" s="16" t="inlineStr">
        <is>
          <t>FA028</t>
        </is>
      </c>
      <c r="I5443" s="16" t="n">
        <v>1</v>
      </c>
      <c r="J5443" s="17" t="n">
        <v>35</v>
      </c>
      <c r="K5443" s="17" t="n">
        <v>44.6</v>
      </c>
      <c r="L5443" s="17" t="n">
        <v>25.86</v>
      </c>
      <c r="M5443" s="17" t="n">
        <v>0</v>
      </c>
      <c r="N5443" s="17">
        <f>K5443*0.08+L5443*0.08</f>
        <v/>
      </c>
      <c r="O5443" s="17">
        <f>-(K5443*0.025+L5443*0.025)</f>
        <v/>
      </c>
      <c r="P5443" s="17">
        <f>32</f>
        <v/>
      </c>
      <c r="Q5443" s="17">
        <f>J5443+L5443+N5443+O5443-P5443-M5443</f>
        <v/>
      </c>
    </row>
    <row r="5444">
      <c r="A5444" s="16" t="inlineStr">
        <is>
          <t>5.8-5.14</t>
        </is>
      </c>
      <c r="B5444" s="16" t="inlineStr">
        <is>
          <t>PO-128-11285084160632910</t>
        </is>
      </c>
      <c r="C5444" s="16" t="inlineStr">
        <is>
          <t>Delivered</t>
        </is>
      </c>
      <c r="D5444" s="16" t="inlineStr">
        <is>
          <t>128-11285094646392910</t>
        </is>
      </c>
      <c r="E5444" s="16" t="inlineStr">
        <is>
          <t>Delivered</t>
        </is>
      </c>
      <c r="F5444" s="16" t="inlineStr">
        <is>
          <t>LB02235-rojo</t>
        </is>
      </c>
      <c r="G5444" s="16" t="inlineStr">
        <is>
          <t>Audífonos Inalámbricos para la Cabeza, Recargables y Multifuncionales - Conectan a Varios Dispositivos, soportan Radio FM, Tarjeta TF y AUX - 4 Horas de Reproducción Musical - Ideal para Trabajo Cotidiano, Juegos y Estudio</t>
        </is>
      </c>
      <c r="H5444" s="16" t="inlineStr">
        <is>
          <t>ROJO</t>
        </is>
      </c>
      <c r="I5444" s="16" t="n">
        <v>1</v>
      </c>
      <c r="J5444" s="17" t="n">
        <v>37.71</v>
      </c>
      <c r="K5444" s="17" t="n">
        <v>50.83</v>
      </c>
      <c r="L5444" s="17" t="n">
        <v>25.86</v>
      </c>
      <c r="M5444" s="17" t="n">
        <v>0</v>
      </c>
      <c r="N5444" s="17">
        <f>K5444*0.08+L5444*0.08</f>
        <v/>
      </c>
      <c r="O5444" s="17">
        <f>-(K5444*0.025+L5444*0.025)</f>
        <v/>
      </c>
      <c r="P5444" s="17">
        <f>32</f>
        <v/>
      </c>
      <c r="Q5444" s="17">
        <f>J5444+L5444+N5444+O5444-P5444-M5444</f>
        <v/>
      </c>
    </row>
    <row r="5445">
      <c r="A5445" s="16" t="inlineStr">
        <is>
          <t>5.8-5.14</t>
        </is>
      </c>
      <c r="B5445" s="16" t="inlineStr">
        <is>
          <t>PO-128-11344809482871466</t>
        </is>
      </c>
      <c r="C5445" s="16" t="inlineStr">
        <is>
          <t>Delivered</t>
        </is>
      </c>
      <c r="D5445" s="16" t="inlineStr">
        <is>
          <t>128-11344851425911466</t>
        </is>
      </c>
      <c r="E5445" s="16" t="inlineStr">
        <is>
          <t>Delivered</t>
        </is>
      </c>
      <c r="F5445" s="16" t="inlineStr">
        <is>
          <t>LB02235-negro</t>
        </is>
      </c>
      <c r="G5445" s="16" t="inlineStr">
        <is>
          <t>Audífonos Inalámbricos para la Cabeza, Recargables y Multifuncionales - Conectan a Varios Dispositivos, soportan Radio FM, Tarjeta TF y AUX - 4 Horas de Reproducción Musical - Ideal para Trabajo Cotidiano, Juegos y Estudio</t>
        </is>
      </c>
      <c r="H5445" s="16" t="inlineStr">
        <is>
          <t>NEGRO</t>
        </is>
      </c>
      <c r="I5445" s="16" t="n">
        <v>1</v>
      </c>
      <c r="J5445" s="17" t="n">
        <v>37.71</v>
      </c>
      <c r="K5445" s="17" t="n">
        <v>50.83</v>
      </c>
      <c r="L5445" s="17" t="n">
        <v>13.61</v>
      </c>
      <c r="M5445" s="17" t="n">
        <v>0</v>
      </c>
      <c r="N5445" s="17">
        <f>K5445*0.08+L5445*0.08</f>
        <v/>
      </c>
      <c r="O5445" s="17">
        <f>-(K5445*0.025+L5445*0.025)</f>
        <v/>
      </c>
      <c r="P5445" s="17">
        <f>32</f>
        <v/>
      </c>
      <c r="Q5445" s="17">
        <f>J5445+L5445+N5445+O5445-P5445-M5445</f>
        <v/>
      </c>
    </row>
    <row r="5446">
      <c r="A5446" s="16" t="inlineStr">
        <is>
          <t>5.8-5.14</t>
        </is>
      </c>
      <c r="B5446" s="16" t="inlineStr">
        <is>
          <t>PO-128-11344809482871466</t>
        </is>
      </c>
      <c r="C5446" s="16" t="inlineStr">
        <is>
          <t>Delivered</t>
        </is>
      </c>
      <c r="D5446" s="16" t="inlineStr">
        <is>
          <t>128-11344903854711466</t>
        </is>
      </c>
      <c r="E5446" s="16" t="inlineStr">
        <is>
          <t>Delivered</t>
        </is>
      </c>
      <c r="F5446" s="16" t="inlineStr">
        <is>
          <t>LB02235-rojo</t>
        </is>
      </c>
      <c r="G5446" s="16" t="inlineStr">
        <is>
          <t>Audífonos Inalámbricos para la Cabeza, Recargables y Multifuncionales - Conectan a Varios Dispositivos, soportan Radio FM, Tarjeta TF y AUX - 4 Horas de Reproducción Musical - Ideal para Trabajo Cotidiano, Juegos y Estudio</t>
        </is>
      </c>
      <c r="H5446" s="16" t="inlineStr">
        <is>
          <t>ROJO</t>
        </is>
      </c>
      <c r="I5446" s="16" t="n">
        <v>1</v>
      </c>
      <c r="J5446" s="17" t="n">
        <v>37.71</v>
      </c>
      <c r="K5446" s="17" t="n">
        <v>45.75</v>
      </c>
      <c r="L5446" s="17" t="n">
        <v>12.25</v>
      </c>
      <c r="M5446" s="17" t="n">
        <v>0</v>
      </c>
      <c r="N5446" s="17">
        <f>K5446*0.08+L5446*0.08</f>
        <v/>
      </c>
      <c r="O5446" s="17">
        <f>-(K5446*0.025+L5446*0.025)</f>
        <v/>
      </c>
      <c r="P5446" s="17">
        <f>32</f>
        <v/>
      </c>
      <c r="Q5446" s="17">
        <f>J5446+L5446+N5446+O5446-P5446-M5446</f>
        <v/>
      </c>
    </row>
    <row r="5447">
      <c r="A5447" s="16" t="inlineStr">
        <is>
          <t>5.8-5.14</t>
        </is>
      </c>
      <c r="B5447" s="16" t="inlineStr">
        <is>
          <t>PO-128-11456835584631886</t>
        </is>
      </c>
      <c r="C5447" s="16" t="inlineStr">
        <is>
          <t>Delivered</t>
        </is>
      </c>
      <c r="D5447" s="16" t="inlineStr">
        <is>
          <t>128-11456987628151886</t>
        </is>
      </c>
      <c r="E5447" s="16" t="inlineStr">
        <is>
          <t>Delivered</t>
        </is>
      </c>
      <c r="F5447" s="16" t="inlineStr">
        <is>
          <t>SA8056T</t>
        </is>
      </c>
      <c r="G5447" s="16" t="inlineStr">
        <is>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is>
      </c>
      <c r="H5447" s="16" t="inlineStr">
        <is>
          <t>SA8056T</t>
        </is>
      </c>
      <c r="I5447" s="16" t="n">
        <v>2</v>
      </c>
      <c r="J5447" s="17" t="n">
        <v>300.9</v>
      </c>
      <c r="K5447" s="17" t="n">
        <v>307.51</v>
      </c>
      <c r="L5447" s="17" t="n">
        <v>0</v>
      </c>
      <c r="M5447" s="17" t="n">
        <v>0</v>
      </c>
      <c r="N5447" s="17">
        <f>K5447*0.08+L5447*0.08</f>
        <v/>
      </c>
      <c r="O5447" s="17">
        <f>-(K5447*0.025+L5447*0.025)</f>
        <v/>
      </c>
      <c r="P5447" s="17">
        <f>32</f>
        <v/>
      </c>
      <c r="Q5447" s="17">
        <f>J5447+L5447+N5447+O5447-P5447-M5447</f>
        <v/>
      </c>
    </row>
    <row r="5448">
      <c r="A5448" s="16" t="inlineStr">
        <is>
          <t>5.8-5.14</t>
        </is>
      </c>
      <c r="B5448" s="16" t="inlineStr">
        <is>
          <t>PO-128-11545754634870332</t>
        </is>
      </c>
      <c r="C5448" s="16" t="inlineStr">
        <is>
          <t>Delivered</t>
        </is>
      </c>
      <c r="D5448" s="16" t="inlineStr">
        <is>
          <t>128-11545906678390332</t>
        </is>
      </c>
      <c r="E5448" s="16" t="inlineStr">
        <is>
          <t>Delivered</t>
        </is>
      </c>
      <c r="F5448" s="16" t="inlineStr">
        <is>
          <t>BS-22</t>
        </is>
      </c>
      <c r="G5448" s="16" t="inlineStr">
        <is>
          <t>link bits Barra de Sonido para TV, 2x2" Altavoces + 2 Membranas de Graves, Sonido Claro ≥80dB, Bluetooth Inalámbrico, Conexiones AUX/USB, Diseño Compacto 76cm, Sonido Envolvente 3D para Cine en Casa, PC, Juegos y Fiestas</t>
        </is>
      </c>
      <c r="H5448" s="16" t="inlineStr">
        <is>
          <t>BS-22</t>
        </is>
      </c>
      <c r="I5448" s="16" t="n">
        <v>1</v>
      </c>
      <c r="J5448" s="17" t="n">
        <v>260</v>
      </c>
      <c r="K5448" s="17" t="n">
        <v>299.61</v>
      </c>
      <c r="L5448" s="17" t="n">
        <v>0</v>
      </c>
      <c r="M5448" s="17" t="n">
        <v>0</v>
      </c>
      <c r="N5448" s="17">
        <f>K5448*0.08+L5448*0.08</f>
        <v/>
      </c>
      <c r="O5448" s="17">
        <f>-(K5448*0.025+L5448*0.025)</f>
        <v/>
      </c>
      <c r="P5448" s="17">
        <f>32</f>
        <v/>
      </c>
      <c r="Q5448" s="17">
        <f>J5448+L5448+N5448+O5448-P5448-M5448</f>
        <v/>
      </c>
    </row>
    <row r="5449">
      <c r="A5449" s="16" t="inlineStr">
        <is>
          <t>5.8-5.14</t>
        </is>
      </c>
      <c r="B5449" s="16" t="inlineStr">
        <is>
          <t>PO-128-11529264097910497</t>
        </is>
      </c>
      <c r="C5449" s="16" t="inlineStr">
        <is>
          <t>Delivered</t>
        </is>
      </c>
      <c r="D5449" s="16" t="inlineStr">
        <is>
          <t>128-11529222154870497</t>
        </is>
      </c>
      <c r="E5449" s="16" t="inlineStr">
        <is>
          <t>Delivered</t>
        </is>
      </c>
      <c r="F5449" s="16" t="inlineStr">
        <is>
          <t>MCM-001R</t>
        </is>
      </c>
      <c r="G5449" s="16" t="inlineStr">
        <is>
          <t>Musicord Altavoz Inalámbrico BT Portátil: ¡Sonido impactante, luces LED multicolores y 4 horas de autonomía! Compatible con TWS, FM, TF y USB – Imprescindible para fiestas y viajes</t>
        </is>
      </c>
      <c r="H5449" s="16" t="inlineStr">
        <is>
          <t>ROJO</t>
        </is>
      </c>
      <c r="I5449" s="16" t="n">
        <v>1</v>
      </c>
      <c r="J5449" s="17" t="n">
        <v>66.5</v>
      </c>
      <c r="K5449" s="17" t="n">
        <v>77.79000000000001</v>
      </c>
      <c r="L5449" s="17" t="n">
        <v>25.86</v>
      </c>
      <c r="M5449" s="17" t="n">
        <v>0</v>
      </c>
      <c r="N5449" s="17">
        <f>K5449*0.08+L5449*0.08</f>
        <v/>
      </c>
      <c r="O5449" s="17">
        <f>-(K5449*0.025+L5449*0.025)</f>
        <v/>
      </c>
      <c r="P5449" s="17">
        <f>32</f>
        <v/>
      </c>
      <c r="Q5449" s="17">
        <f>J5449+L5449+N5449+O5449-P5449-M5449</f>
        <v/>
      </c>
    </row>
    <row r="5450">
      <c r="A5450" s="16" t="inlineStr">
        <is>
          <t>5.8-5.14</t>
        </is>
      </c>
      <c r="B5450" s="16" t="inlineStr">
        <is>
          <t>PO-128-11341470065271422</t>
        </is>
      </c>
      <c r="C5450" s="16" t="inlineStr">
        <is>
          <t>Delivered</t>
        </is>
      </c>
      <c r="D5450" s="16" t="inlineStr">
        <is>
          <t>128-11341428122231422</t>
        </is>
      </c>
      <c r="E5450" s="16" t="inlineStr">
        <is>
          <t>Delivered</t>
        </is>
      </c>
      <c r="F5450" s="16" t="inlineStr">
        <is>
          <t>LV25W22</t>
        </is>
      </c>
      <c r="G5450"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50" s="16" t="inlineStr">
        <is>
          <t>LV25W32</t>
        </is>
      </c>
      <c r="I5450" s="16" t="n">
        <v>1</v>
      </c>
      <c r="J5450" s="17" t="n">
        <v>97</v>
      </c>
      <c r="K5450" s="17" t="n">
        <v>107.43</v>
      </c>
      <c r="L5450" s="17" t="n">
        <v>25.86</v>
      </c>
      <c r="M5450" s="17" t="n">
        <v>0</v>
      </c>
      <c r="N5450" s="17">
        <f>K5450*0.08+L5450*0.08</f>
        <v/>
      </c>
      <c r="O5450" s="17">
        <f>-(K5450*0.025+L5450*0.025)</f>
        <v/>
      </c>
      <c r="P5450" s="17">
        <f>32</f>
        <v/>
      </c>
      <c r="Q5450" s="17">
        <f>J5450+L5450+N5450+O5450-P5450-M5450</f>
        <v/>
      </c>
    </row>
    <row r="5451">
      <c r="A5451" s="16" t="inlineStr">
        <is>
          <t>5.8-5.14</t>
        </is>
      </c>
      <c r="B5451" s="16" t="inlineStr">
        <is>
          <t>PO-128-11021161216633333</t>
        </is>
      </c>
      <c r="C5451" s="16" t="inlineStr">
        <is>
          <t>Delivered</t>
        </is>
      </c>
      <c r="D5451" s="16" t="inlineStr">
        <is>
          <t>128-11021150730873333</t>
        </is>
      </c>
      <c r="E5451" s="16" t="inlineStr">
        <is>
          <t>Delivered</t>
        </is>
      </c>
      <c r="F5451" s="16" t="inlineStr">
        <is>
          <t>MB-185R</t>
        </is>
      </c>
      <c r="G5451" s="16" t="inlineStr">
        <is>
          <t>Bocina Radio FM/Reproductor, Compatible con Tarjeta TF, USB, Bluetooth, Aplicable para celular, computadora, Ipad y consola.</t>
        </is>
      </c>
      <c r="H5451" s="16" t="inlineStr">
        <is>
          <t>ROJO/MB-185</t>
        </is>
      </c>
      <c r="I5451" s="16" t="n">
        <v>1</v>
      </c>
      <c r="J5451" s="17" t="n">
        <v>75.59999999999999</v>
      </c>
      <c r="K5451" s="17" t="n">
        <v>88.55</v>
      </c>
      <c r="L5451" s="17" t="n">
        <v>25.86</v>
      </c>
      <c r="M5451" s="17" t="n">
        <v>0</v>
      </c>
      <c r="N5451" s="17">
        <f>K5451*0.08+L5451*0.08</f>
        <v/>
      </c>
      <c r="O5451" s="17">
        <f>-(K5451*0.025+L5451*0.025)</f>
        <v/>
      </c>
      <c r="P5451" s="17">
        <f>32</f>
        <v/>
      </c>
      <c r="Q5451" s="17">
        <f>J5451+L5451+N5451+O5451-P5451-M5451</f>
        <v/>
      </c>
    </row>
    <row r="5452">
      <c r="A5452" s="16" t="inlineStr">
        <is>
          <t>5.8-5.14</t>
        </is>
      </c>
      <c r="B5452" s="16" t="inlineStr">
        <is>
          <t>PO-128-11468322140791690</t>
        </is>
      </c>
      <c r="C5452" s="16" t="inlineStr">
        <is>
          <t>Delivered</t>
        </is>
      </c>
      <c r="D5452" s="16" t="inlineStr">
        <is>
          <t>128-11468398162551690</t>
        </is>
      </c>
      <c r="E5452" s="16" t="inlineStr">
        <is>
          <t>Delivered</t>
        </is>
      </c>
      <c r="F5452" s="16" t="inlineStr">
        <is>
          <t>VA396T</t>
        </is>
      </c>
      <c r="G5452" s="16" t="inlineStr">
        <is>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is>
      </c>
      <c r="H5452" s="16" t="inlineStr">
        <is>
          <t>VA396T</t>
        </is>
      </c>
      <c r="I5452" s="16" t="n">
        <v>1</v>
      </c>
      <c r="J5452" s="17" t="n">
        <v>41</v>
      </c>
      <c r="K5452" s="17" t="n">
        <v>49.45</v>
      </c>
      <c r="L5452" s="17" t="n">
        <v>25.86</v>
      </c>
      <c r="M5452" s="17" t="n">
        <v>0</v>
      </c>
      <c r="N5452" s="17">
        <f>K5452*0.08+L5452*0.08</f>
        <v/>
      </c>
      <c r="O5452" s="17">
        <f>-(K5452*0.025+L5452*0.025)</f>
        <v/>
      </c>
      <c r="P5452" s="17">
        <f>32</f>
        <v/>
      </c>
      <c r="Q5452" s="17">
        <f>J5452+L5452+N5452+O5452-P5452-M5452</f>
        <v/>
      </c>
    </row>
    <row r="5453">
      <c r="A5453" s="16" t="inlineStr">
        <is>
          <t>5.8-5.14</t>
        </is>
      </c>
      <c r="B5453" s="16" t="inlineStr">
        <is>
          <t>PO-128-00469419420791907</t>
        </is>
      </c>
      <c r="C5453" s="16" t="inlineStr">
        <is>
          <t>Delivered</t>
        </is>
      </c>
      <c r="D5453" s="16" t="inlineStr">
        <is>
          <t>128-00469377477751907</t>
        </is>
      </c>
      <c r="E5453" s="16" t="inlineStr">
        <is>
          <t>Delivered</t>
        </is>
      </c>
      <c r="F5453" s="16" t="inlineStr">
        <is>
          <t>LB02235-negro</t>
        </is>
      </c>
      <c r="G5453" s="16" t="inlineStr">
        <is>
          <t>Audífonos Inalámbricos para la Cabeza, Recargables y Multifuncionales - Conectan a Varios Dispositivos, soportan Radio FM, Tarjeta TF y AUX - 4 Horas de Reproducción Musical - Ideal para Trabajo Cotidiano, Juegos y Estudio</t>
        </is>
      </c>
      <c r="H5453" s="16" t="inlineStr">
        <is>
          <t>NEGRO</t>
        </is>
      </c>
      <c r="I5453" s="16" t="n">
        <v>1</v>
      </c>
      <c r="J5453" s="17" t="n">
        <v>37.71</v>
      </c>
      <c r="K5453" s="17" t="n">
        <v>50.83</v>
      </c>
      <c r="L5453" s="17" t="n">
        <v>25.86</v>
      </c>
      <c r="M5453" s="17" t="n">
        <v>0</v>
      </c>
      <c r="N5453" s="17">
        <f>K5453*0.08+L5453*0.08</f>
        <v/>
      </c>
      <c r="O5453" s="17">
        <f>-(K5453*0.025+L5453*0.025)</f>
        <v/>
      </c>
      <c r="P5453" s="17">
        <f>32</f>
        <v/>
      </c>
      <c r="Q5453" s="17">
        <f>J5453+L5453+N5453+O5453-P5453-M5453</f>
        <v/>
      </c>
    </row>
    <row r="5454">
      <c r="A5454" s="16" t="inlineStr">
        <is>
          <t>5.8-5.14</t>
        </is>
      </c>
      <c r="B5454" s="16" t="inlineStr">
        <is>
          <t>PO-128-19536496297592880</t>
        </is>
      </c>
      <c r="C5454" s="16" t="inlineStr">
        <is>
          <t>Delivered</t>
        </is>
      </c>
      <c r="D5454" s="16" t="inlineStr">
        <is>
          <t>128-19536548726392880</t>
        </is>
      </c>
      <c r="E5454" s="16" t="inlineStr">
        <is>
          <t>Delivered</t>
        </is>
      </c>
      <c r="F5454" s="16" t="inlineStr">
        <is>
          <t>LB02235-azul</t>
        </is>
      </c>
      <c r="G5454" s="16" t="inlineStr">
        <is>
          <t>Audífonos Inalámbricos para la Cabeza, Recargables y Multifuncionales - Conectan a Varios Dispositivos, soportan Radio FM, Tarjeta TF y AUX - 4 Horas de Reproducción Musical - Ideal para Trabajo Cotidiano, Juegos y Estudio</t>
        </is>
      </c>
      <c r="H5454" s="16" t="inlineStr">
        <is>
          <t>AZUL</t>
        </is>
      </c>
      <c r="I5454" s="16" t="n">
        <v>1</v>
      </c>
      <c r="J5454" s="17" t="n">
        <v>36.8</v>
      </c>
      <c r="K5454" s="17" t="n">
        <v>49.91</v>
      </c>
      <c r="L5454" s="17" t="n">
        <v>25.86</v>
      </c>
      <c r="M5454" s="17" t="n">
        <v>0</v>
      </c>
      <c r="N5454" s="17">
        <f>K5454*0.08+L5454*0.08</f>
        <v/>
      </c>
      <c r="O5454" s="17">
        <f>-(K5454*0.025+L5454*0.025)</f>
        <v/>
      </c>
      <c r="P5454" s="17">
        <f>32</f>
        <v/>
      </c>
      <c r="Q5454" s="17">
        <f>J5454+L5454+N5454+O5454-P5454-M5454</f>
        <v/>
      </c>
    </row>
    <row r="5455">
      <c r="A5455" s="16" t="inlineStr">
        <is>
          <t>5.8-5.14</t>
        </is>
      </c>
      <c r="B5455" s="16" t="inlineStr">
        <is>
          <t>PO-128-19784037100150316</t>
        </is>
      </c>
      <c r="C5455" s="16" t="inlineStr">
        <is>
          <t>Delivered</t>
        </is>
      </c>
      <c r="D5455" s="16" t="inlineStr">
        <is>
          <t>128-19784063314550316</t>
        </is>
      </c>
      <c r="E5455" s="16" t="inlineStr">
        <is>
          <t>Delivered</t>
        </is>
      </c>
      <c r="F5455" s="16" t="inlineStr">
        <is>
          <t>LB02235-blanco</t>
        </is>
      </c>
      <c r="G5455" s="16" t="inlineStr">
        <is>
          <t>Audífonos Inalámbricos para la Cabeza, Recargables y Multifuncionales - Conectan a Varios Dispositivos, soportan Radio FM, Tarjeta TF y AUX - 4 Horas de Reproducción Musical - Ideal para Trabajo Cotidiano, Juegos y Estudio</t>
        </is>
      </c>
      <c r="H5455" s="16" t="inlineStr">
        <is>
          <t>BLANCO</t>
        </is>
      </c>
      <c r="I5455" s="16" t="n">
        <v>1</v>
      </c>
      <c r="J5455" s="17" t="n">
        <v>37.71</v>
      </c>
      <c r="K5455" s="17" t="n">
        <v>40.67</v>
      </c>
      <c r="L5455" s="17" t="n">
        <v>25.86</v>
      </c>
      <c r="M5455" s="17" t="n">
        <v>0</v>
      </c>
      <c r="N5455" s="17">
        <f>K5455*0.08+L5455*0.08</f>
        <v/>
      </c>
      <c r="O5455" s="17">
        <f>-(K5455*0.025+L5455*0.025)</f>
        <v/>
      </c>
      <c r="P5455" s="17">
        <f>32</f>
        <v/>
      </c>
      <c r="Q5455" s="17">
        <f>J5455+L5455+N5455+O5455-P5455-M5455</f>
        <v/>
      </c>
    </row>
    <row r="5456">
      <c r="A5456" s="16" t="inlineStr">
        <is>
          <t>5.8-5.14</t>
        </is>
      </c>
      <c r="B5456" s="16" t="inlineStr">
        <is>
          <t>PO-128-19535916800632885</t>
        </is>
      </c>
      <c r="C5456" s="16" t="inlineStr">
        <is>
          <t>Delivered</t>
        </is>
      </c>
      <c r="D5456" s="16" t="inlineStr">
        <is>
          <t>128-19535928597112885</t>
        </is>
      </c>
      <c r="E5456" s="16" t="inlineStr">
        <is>
          <t>Delivered</t>
        </is>
      </c>
      <c r="F5456" s="16" t="inlineStr">
        <is>
          <t>KTS-1678N</t>
        </is>
      </c>
      <c r="G5456" s="16" t="inlineStr">
        <is>
          <t>Bocina portátil Inalámbrico, de 3 pulgadas, tamaño de bolsillo, 170 g, con asa, compatible con TF, USB y Micro SD, con radio FM y función TWS (True Wireless Stereo), adecuada para relajarse en casa o viajar al aire libre.</t>
        </is>
      </c>
      <c r="H5456" s="16" t="inlineStr">
        <is>
          <t>KTS-1678N</t>
        </is>
      </c>
      <c r="I5456" s="16" t="n">
        <v>1</v>
      </c>
      <c r="J5456" s="17" t="n">
        <v>43</v>
      </c>
      <c r="K5456" s="17" t="n">
        <v>49.22</v>
      </c>
      <c r="L5456" s="17" t="n">
        <v>25.86</v>
      </c>
      <c r="M5456" s="17" t="n">
        <v>0</v>
      </c>
      <c r="N5456" s="17">
        <f>K5456*0.08+L5456*0.08</f>
        <v/>
      </c>
      <c r="O5456" s="17">
        <f>-(K5456*0.025+L5456*0.025)</f>
        <v/>
      </c>
      <c r="P5456" s="17">
        <f>32</f>
        <v/>
      </c>
      <c r="Q5456" s="17">
        <f>J5456+L5456+N5456+O5456-P5456-M5456</f>
        <v/>
      </c>
    </row>
    <row r="5457">
      <c r="A5457" s="16" t="inlineStr">
        <is>
          <t>5.8-5.14</t>
        </is>
      </c>
      <c r="B5457" s="16" t="inlineStr">
        <is>
          <t>PO-128-15778486559350705</t>
        </is>
      </c>
      <c r="C5457" s="16" t="inlineStr">
        <is>
          <t>Partially delivered</t>
        </is>
      </c>
      <c r="D5457" s="16" t="inlineStr">
        <is>
          <t>128-15778538988150705</t>
        </is>
      </c>
      <c r="E5457" s="16" t="inlineStr">
        <is>
          <t>Delivered</t>
        </is>
      </c>
      <c r="F5457" s="16" t="inlineStr">
        <is>
          <t>MCM-001N</t>
        </is>
      </c>
      <c r="G5457" s="16" t="inlineStr">
        <is>
          <t>Musicord Altavoz Inalámbrico BT Portátil: ¡Sonido impactante, luces LED multicolores y 4 horas de autonomía! Compatible con TWS, FM, TF y USB – Imprescindible para fiestas y viajes</t>
        </is>
      </c>
      <c r="H5457" s="16" t="inlineStr">
        <is>
          <t>NEGRO</t>
        </is>
      </c>
      <c r="I5457" s="16" t="n">
        <v>1</v>
      </c>
      <c r="J5457" s="17" t="n">
        <v>61</v>
      </c>
      <c r="K5457" s="17" t="n">
        <v>72.27</v>
      </c>
      <c r="L5457" s="17" t="n">
        <v>10.72</v>
      </c>
      <c r="M5457" s="17" t="n">
        <v>0</v>
      </c>
      <c r="N5457" s="17">
        <f>K5457*0.08+L5457*0.08</f>
        <v/>
      </c>
      <c r="O5457" s="17">
        <f>-(K5457*0.025+L5457*0.025)</f>
        <v/>
      </c>
      <c r="P5457" s="17">
        <f>32</f>
        <v/>
      </c>
      <c r="Q5457" s="17">
        <f>J5457+L5457+N5457+O5457-P5457-M5457</f>
        <v/>
      </c>
    </row>
    <row r="5458">
      <c r="A5458" s="16" t="inlineStr">
        <is>
          <t>5.8-5.14</t>
        </is>
      </c>
      <c r="B5458" s="16" t="inlineStr">
        <is>
          <t>PO-128-15778486559350705</t>
        </is>
      </c>
      <c r="C5458" s="16" t="inlineStr">
        <is>
          <t>Partially delivered</t>
        </is>
      </c>
      <c r="D5458" s="16" t="inlineStr">
        <is>
          <t>128-15778580931190705</t>
        </is>
      </c>
      <c r="E5458" s="16" t="inlineStr">
        <is>
          <t>Shipped</t>
        </is>
      </c>
      <c r="F5458" s="16" t="inlineStr">
        <is>
          <t>SA323T</t>
        </is>
      </c>
      <c r="G5458" s="16" t="inlineStr">
        <is>
          <t>Linkbits Bocina Portátil Parlantes BT Portátiles con Iluminación de Ambiente | 1 Hora de Duración, FM, TWS, TF/Micro SD | Ideal para Hogar, Fiestas y Viajes</t>
        </is>
      </c>
      <c r="H5458" s="16" t="inlineStr">
        <is>
          <t>SA323T</t>
        </is>
      </c>
      <c r="I5458" s="16" t="n">
        <v>1</v>
      </c>
      <c r="J5458" s="17" t="n">
        <v>46</v>
      </c>
      <c r="K5458" s="17" t="n">
        <v>55.04</v>
      </c>
      <c r="L5458" s="17" t="n">
        <v>8.16</v>
      </c>
      <c r="M5458" s="17" t="n">
        <v>0</v>
      </c>
      <c r="N5458" s="17">
        <f>K5458*0.08+L5458*0.08</f>
        <v/>
      </c>
      <c r="O5458" s="17">
        <f>-(K5458*0.025+L5458*0.025)</f>
        <v/>
      </c>
      <c r="P5458" s="17">
        <f>32</f>
        <v/>
      </c>
      <c r="Q5458" s="17">
        <f>J5458+L5458+N5458+O5458-P5458-M5458</f>
        <v/>
      </c>
    </row>
    <row r="5459">
      <c r="A5459" s="16" t="inlineStr">
        <is>
          <t>5.8-5.14</t>
        </is>
      </c>
      <c r="B5459" s="16" t="inlineStr">
        <is>
          <t>PO-128-15778486559350705</t>
        </is>
      </c>
      <c r="C5459" s="16" t="inlineStr">
        <is>
          <t>Partially delivered</t>
        </is>
      </c>
      <c r="D5459" s="16" t="inlineStr">
        <is>
          <t>128-15778622874230705</t>
        </is>
      </c>
      <c r="E5459" s="16" t="inlineStr">
        <is>
          <t>Shipped</t>
        </is>
      </c>
      <c r="F5459" s="16" t="inlineStr">
        <is>
          <t>SA325T</t>
        </is>
      </c>
      <c r="G5459" s="16" t="inlineStr">
        <is>
          <t>Subwoofer Portátil Inalámbrico con Luces RGB, Sonido de Alta Potencia y Batería Duradera, TWS TF USB, Perfecto para Campamento Fiestas y Entretenimiento en Casa</t>
        </is>
      </c>
      <c r="H5459" s="16" t="inlineStr">
        <is>
          <t>NEGRO</t>
        </is>
      </c>
      <c r="I5459" s="16" t="n">
        <v>1</v>
      </c>
      <c r="J5459" s="17" t="n">
        <v>38</v>
      </c>
      <c r="K5459" s="17" t="n">
        <v>47.06</v>
      </c>
      <c r="L5459" s="17" t="n">
        <v>6.97</v>
      </c>
      <c r="M5459" s="17" t="n">
        <v>0</v>
      </c>
      <c r="N5459" s="17">
        <f>K5459*0.08+L5459*0.08</f>
        <v/>
      </c>
      <c r="O5459" s="17">
        <f>-(K5459*0.025+L5459*0.025)</f>
        <v/>
      </c>
      <c r="P5459" s="17">
        <f>32</f>
        <v/>
      </c>
      <c r="Q5459" s="17">
        <f>J5459+L5459+N5459+O5459-P5459-M5459</f>
        <v/>
      </c>
    </row>
    <row r="5460">
      <c r="A5460" s="16" t="inlineStr">
        <is>
          <t>5.8-5.14</t>
        </is>
      </c>
      <c r="B5460" s="16" t="inlineStr">
        <is>
          <t>PO-128-04593979310711896</t>
        </is>
      </c>
      <c r="C5460" s="16" t="inlineStr">
        <is>
          <t>Partially delivered</t>
        </is>
      </c>
      <c r="D5460" s="16" t="inlineStr">
        <is>
          <t>128-04594104894071896</t>
        </is>
      </c>
      <c r="E5460" s="16" t="inlineStr">
        <is>
          <t>Shipped</t>
        </is>
      </c>
      <c r="F5460" s="16" t="inlineStr">
        <is>
          <t>KTS-1678Y</t>
        </is>
      </c>
      <c r="G5460" s="16" t="inlineStr">
        <is>
          <t>Bocina portátil Inalámbrico, de 3 pulgadas, tamaño de bolsillo, 170 g, con asa, compatible con TF, USB y Micro SD, con radio FM y función TWS (True Wireless Stereo), adecuada para relajarse en casa o viajar al aire libre.</t>
        </is>
      </c>
      <c r="H5460" s="16" t="inlineStr">
        <is>
          <t>KTS-1678Y</t>
        </is>
      </c>
      <c r="I5460" s="16" t="n">
        <v>1</v>
      </c>
      <c r="J5460" s="17" t="n">
        <v>68</v>
      </c>
      <c r="K5460" s="17" t="n">
        <v>74.2</v>
      </c>
      <c r="L5460" s="17" t="n">
        <v>9.73</v>
      </c>
      <c r="M5460" s="17" t="n">
        <v>0</v>
      </c>
      <c r="N5460" s="17">
        <f>K5460*0.08+L5460*0.08</f>
        <v/>
      </c>
      <c r="O5460" s="17">
        <f>-(K5460*0.025+L5460*0.025)</f>
        <v/>
      </c>
      <c r="P5460" s="17">
        <f>32</f>
        <v/>
      </c>
      <c r="Q5460" s="17">
        <f>J5460+L5460+N5460+O5460-P5460-M5460</f>
        <v/>
      </c>
    </row>
    <row r="5461">
      <c r="A5461" s="16" t="inlineStr">
        <is>
          <t>5.8-5.14</t>
        </is>
      </c>
      <c r="B5461" s="16" t="inlineStr">
        <is>
          <t>PO-128-04593979310711896</t>
        </is>
      </c>
      <c r="C5461" s="16" t="inlineStr">
        <is>
          <t>Partially delivered</t>
        </is>
      </c>
      <c r="D5461" s="16" t="inlineStr">
        <is>
          <t>128-04594021253751896</t>
        </is>
      </c>
      <c r="E5461" s="16" t="inlineStr">
        <is>
          <t>Delivered</t>
        </is>
      </c>
      <c r="F5461" s="16" t="inlineStr">
        <is>
          <t>MCM-001N</t>
        </is>
      </c>
      <c r="G5461" s="16" t="inlineStr">
        <is>
          <t>Musicord Altavoz Inalámbrico BT Portátil: ¡Sonido impactante, luces LED multicolores y 4 horas de autonomía! Compatible con TWS, FM, TF y USB – Imprescindible para fiestas y viajes</t>
        </is>
      </c>
      <c r="H5461" s="16" t="inlineStr">
        <is>
          <t>NEGRO</t>
        </is>
      </c>
      <c r="I5461" s="16" t="n">
        <v>1</v>
      </c>
      <c r="J5461" s="17" t="n">
        <v>61</v>
      </c>
      <c r="K5461" s="17" t="n">
        <v>72.27</v>
      </c>
      <c r="L5461" s="17" t="n">
        <v>9.470000000000001</v>
      </c>
      <c r="M5461" s="17" t="n">
        <v>0</v>
      </c>
      <c r="N5461" s="17">
        <f>K5461*0.08+L5461*0.08</f>
        <v/>
      </c>
      <c r="O5461" s="17">
        <f>-(K5461*0.025+L5461*0.025)</f>
        <v/>
      </c>
      <c r="P5461" s="17">
        <f>32</f>
        <v/>
      </c>
      <c r="Q5461" s="17">
        <f>J5461+L5461+N5461+O5461-P5461-M5461</f>
        <v/>
      </c>
    </row>
    <row r="5462">
      <c r="A5462" s="16" t="inlineStr">
        <is>
          <t>5.8-5.14</t>
        </is>
      </c>
      <c r="B5462" s="16" t="inlineStr">
        <is>
          <t>PO-128-04593979310711896</t>
        </is>
      </c>
      <c r="C5462" s="16" t="inlineStr">
        <is>
          <t>Partially delivered</t>
        </is>
      </c>
      <c r="D5462" s="16" t="inlineStr">
        <is>
          <t>128-04594021007991896</t>
        </is>
      </c>
      <c r="E5462" s="16" t="inlineStr">
        <is>
          <t>Delivered</t>
        </is>
      </c>
      <c r="F5462" s="16" t="inlineStr">
        <is>
          <t>LB02235-azul</t>
        </is>
      </c>
      <c r="G5462" s="16" t="inlineStr">
        <is>
          <t>Audífonos Inalámbricos para la Cabeza, Recargables y Multifuncionales - Conectan a Varios Dispositivos, soportan Radio FM, Tarjeta TF y AUX - 4 Horas de Reproducción Musical - Ideal para Trabajo Cotidiano, Juegos y Estudio</t>
        </is>
      </c>
      <c r="H5462" s="16" t="inlineStr">
        <is>
          <t>AZUL</t>
        </is>
      </c>
      <c r="I5462" s="16" t="n">
        <v>1</v>
      </c>
      <c r="J5462" s="17" t="n">
        <v>37.73</v>
      </c>
      <c r="K5462" s="17" t="n">
        <v>50.84</v>
      </c>
      <c r="L5462" s="17" t="n">
        <v>6.66</v>
      </c>
      <c r="M5462" s="17" t="n">
        <v>0</v>
      </c>
      <c r="N5462" s="17">
        <f>K5462*0.08+L5462*0.08</f>
        <v/>
      </c>
      <c r="O5462" s="17">
        <f>-(K5462*0.025+L5462*0.025)</f>
        <v/>
      </c>
      <c r="P5462" s="17">
        <f>32</f>
        <v/>
      </c>
      <c r="Q5462" s="17">
        <f>J5462+L5462+N5462+O5462-P5462-M5462</f>
        <v/>
      </c>
    </row>
    <row r="5463">
      <c r="A5463" s="16" t="inlineStr">
        <is>
          <t>5.8-5.14</t>
        </is>
      </c>
      <c r="B5463" s="16" t="inlineStr">
        <is>
          <t>PO-128-16530240901753393</t>
        </is>
      </c>
      <c r="C5463" s="16" t="inlineStr">
        <is>
          <t>Partially delivered</t>
        </is>
      </c>
      <c r="D5463" s="16" t="inlineStr">
        <is>
          <t>128-16530246144633393</t>
        </is>
      </c>
      <c r="E5463" s="16" t="inlineStr">
        <is>
          <t>Delivered</t>
        </is>
      </c>
      <c r="F5463" s="16" t="inlineStr">
        <is>
          <t>VB347T</t>
        </is>
      </c>
      <c r="G5463" s="16" t="inlineStr">
        <is>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is>
      </c>
      <c r="H5463" s="16" t="inlineStr">
        <is>
          <t>1 pieza</t>
        </is>
      </c>
      <c r="I5463" s="16" t="n">
        <v>3</v>
      </c>
      <c r="J5463" s="17" t="n">
        <v>233.7</v>
      </c>
      <c r="K5463" s="17" t="n">
        <v>235.91</v>
      </c>
      <c r="L5463" s="17" t="n">
        <v>0</v>
      </c>
      <c r="M5463" s="17" t="n">
        <v>0</v>
      </c>
      <c r="N5463" s="17">
        <f>K5463*0.08+L5463*0.08</f>
        <v/>
      </c>
      <c r="O5463" s="17">
        <f>-(K5463*0.025+L5463*0.025)</f>
        <v/>
      </c>
      <c r="P5463" s="17">
        <f>32</f>
        <v/>
      </c>
      <c r="Q5463" s="17">
        <f>J5463+L5463+N5463+O5463-P5463-M5463</f>
        <v/>
      </c>
    </row>
    <row r="5464">
      <c r="A5464" s="16" t="inlineStr">
        <is>
          <t>5.8-5.14</t>
        </is>
      </c>
      <c r="B5464" s="16" t="inlineStr">
        <is>
          <t>PO-128-16530240901753393</t>
        </is>
      </c>
      <c r="C5464" s="16" t="inlineStr">
        <is>
          <t>Partially delivered</t>
        </is>
      </c>
      <c r="D5464" s="16" t="inlineStr">
        <is>
          <t>128-16530219930233393</t>
        </is>
      </c>
      <c r="E5464" s="16" t="inlineStr">
        <is>
          <t>Shipped</t>
        </is>
      </c>
      <c r="F5464" s="16" t="inlineStr">
        <is>
          <t>SA325T</t>
        </is>
      </c>
      <c r="G5464" s="16" t="inlineStr">
        <is>
          <t>Subwoofer Portátil Inalámbrico con Luces RGB, Sonido de Alta Potencia y Batería Duradera, TWS TF USB, Perfecto para Campamento Fiestas y Entretenimiento en Casa</t>
        </is>
      </c>
      <c r="H5464" s="16" t="inlineStr">
        <is>
          <t>NEGRO</t>
        </is>
      </c>
      <c r="I5464" s="16" t="n">
        <v>1</v>
      </c>
      <c r="J5464" s="17" t="n">
        <v>36</v>
      </c>
      <c r="K5464" s="17" t="n">
        <v>38.3</v>
      </c>
      <c r="L5464" s="17" t="n">
        <v>0</v>
      </c>
      <c r="M5464" s="17" t="n">
        <v>0</v>
      </c>
      <c r="N5464" s="17">
        <f>K5464*0.08+L5464*0.08</f>
        <v/>
      </c>
      <c r="O5464" s="17">
        <f>-(K5464*0.025+L5464*0.025)</f>
        <v/>
      </c>
      <c r="P5464" s="17">
        <f>32</f>
        <v/>
      </c>
      <c r="Q5464" s="17">
        <f>J5464+L5464+N5464+O5464-P5464-M5464</f>
        <v/>
      </c>
    </row>
    <row r="5465">
      <c r="A5465" s="16" t="inlineStr">
        <is>
          <t>5.8-5.14</t>
        </is>
      </c>
      <c r="B5465" s="16" t="inlineStr">
        <is>
          <t>PO-128-17074892247670016</t>
        </is>
      </c>
      <c r="C5465" s="16" t="inlineStr">
        <is>
          <t>Partially delivered</t>
        </is>
      </c>
      <c r="D5465" s="16" t="inlineStr">
        <is>
          <t>128-17075002348150016</t>
        </is>
      </c>
      <c r="E5465" s="16" t="inlineStr">
        <is>
          <t>Shipped</t>
        </is>
      </c>
      <c r="F5465" s="16" t="inlineStr">
        <is>
          <t>LV64W25</t>
        </is>
      </c>
      <c r="G5465" s="16" t="inlineStr">
        <is>
          <t>Ventilador de Techo LED TIANLAI con 5 Aspas, Control Remoto, 3 Colores Luz, 3 Velocidades, Temporizador, Fácil Instalación, E27 para Baño Cocina Dormitorio Salón</t>
        </is>
      </c>
      <c r="H5465" s="16" t="inlineStr">
        <is>
          <t>LV64W25</t>
        </is>
      </c>
      <c r="I5465" s="16" t="n">
        <v>3</v>
      </c>
      <c r="J5465" s="17" t="n">
        <v>360</v>
      </c>
      <c r="K5465" s="17" t="n">
        <v>420.42</v>
      </c>
      <c r="L5465" s="17" t="n">
        <v>0</v>
      </c>
      <c r="M5465" s="17" t="n">
        <v>0</v>
      </c>
      <c r="N5465" s="17">
        <f>K5465*0.08+L5465*0.08</f>
        <v/>
      </c>
      <c r="O5465" s="17">
        <f>-(K5465*0.025+L5465*0.025)</f>
        <v/>
      </c>
      <c r="P5465" s="17">
        <f>32</f>
        <v/>
      </c>
      <c r="Q5465" s="17">
        <f>J5465+L5465+N5465+O5465-P5465-M5465</f>
        <v/>
      </c>
    </row>
    <row r="5466">
      <c r="A5466" s="16" t="inlineStr">
        <is>
          <t>5.8-5.14</t>
        </is>
      </c>
      <c r="B5466" s="16" t="inlineStr">
        <is>
          <t>PO-128-17074892247670016</t>
        </is>
      </c>
      <c r="C5466" s="16" t="inlineStr">
        <is>
          <t>Partially delivered</t>
        </is>
      </c>
      <c r="D5466" s="16" t="inlineStr">
        <is>
          <t>128-17074918462070016</t>
        </is>
      </c>
      <c r="E5466" s="16" t="inlineStr">
        <is>
          <t>Shipped</t>
        </is>
      </c>
      <c r="F5466" s="16" t="inlineStr">
        <is>
          <t>LV25W22</t>
        </is>
      </c>
      <c r="G5466" s="16" t="inlineStr">
        <is>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is>
      </c>
      <c r="H5466" s="16" t="inlineStr">
        <is>
          <t>LV25W32</t>
        </is>
      </c>
      <c r="I5466" s="16" t="n">
        <v>1</v>
      </c>
      <c r="J5466" s="17" t="n">
        <v>81.01000000000001</v>
      </c>
      <c r="K5466" s="17" t="n">
        <v>91.42</v>
      </c>
      <c r="L5466" s="17" t="n">
        <v>0</v>
      </c>
      <c r="M5466" s="17" t="n">
        <v>0</v>
      </c>
      <c r="N5466" s="17">
        <f>K5466*0.08+L5466*0.08</f>
        <v/>
      </c>
      <c r="O5466" s="17">
        <f>-(K5466*0.025+L5466*0.025)</f>
        <v/>
      </c>
      <c r="P5466" s="17">
        <f>32</f>
        <v/>
      </c>
      <c r="Q5466" s="17">
        <f>J5466+L5466+N5466+O5466-P5466-M5466</f>
        <v/>
      </c>
    </row>
    <row r="5467">
      <c r="A5467" s="16" t="inlineStr">
        <is>
          <t>5.8-5.14</t>
        </is>
      </c>
      <c r="B5467" s="16" t="inlineStr">
        <is>
          <t>PO-128-17074892247670016</t>
        </is>
      </c>
      <c r="C5467" s="16" t="inlineStr">
        <is>
          <t>Partially delivered</t>
        </is>
      </c>
      <c r="D5467" s="16" t="inlineStr">
        <is>
          <t>128-17074934190710016</t>
        </is>
      </c>
      <c r="E5467" s="16" t="inlineStr">
        <is>
          <t>Delivered</t>
        </is>
      </c>
      <c r="F5467" s="16" t="inlineStr">
        <is>
          <t>LB02235-azul</t>
        </is>
      </c>
      <c r="G5467" s="16" t="inlineStr">
        <is>
          <t>Audífonos Inalámbricos para la Cabeza, Recargables y Multifuncionales - Conectan a Varios Dispositivos, soportan Radio FM, Tarjeta TF y AUX - 4 Horas de Reproducción Musical - Ideal para Trabajo Cotidiano, Juegos y Estudio</t>
        </is>
      </c>
      <c r="H5467" s="16" t="inlineStr">
        <is>
          <t>AZUL</t>
        </is>
      </c>
      <c r="I5467" s="16" t="n">
        <v>1</v>
      </c>
      <c r="J5467" s="17" t="n">
        <v>35</v>
      </c>
      <c r="K5467" s="17" t="n">
        <v>48.12</v>
      </c>
      <c r="L5467" s="17" t="n">
        <v>0</v>
      </c>
      <c r="M5467" s="17" t="n">
        <v>0</v>
      </c>
      <c r="N5467" s="17">
        <f>K5467*0.08+L5467*0.08</f>
        <v/>
      </c>
      <c r="O5467" s="17">
        <f>-(K5467*0.025+L5467*0.025)</f>
        <v/>
      </c>
      <c r="P5467" s="17">
        <f>32</f>
        <v/>
      </c>
      <c r="Q5467" s="17">
        <f>J5467+L5467+N5467+O5467-P5467-M5467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c r="A1" s="5" t="inlineStr">
        <is>
          <t>项目</t>
        </is>
      </c>
      <c r="B1" s="19" t="inlineStr">
        <is>
          <t>公式/口径</t>
        </is>
      </c>
    </row>
    <row r="2">
      <c r="A2" s="16" t="inlineStr">
        <is>
          <t>返还VAT（应收）</t>
        </is>
      </c>
      <c r="B2" s="16" t="inlineStr">
        <is>
          <t>Retail price total after discounts(tax excl.)*0.08 + Shipping total(tax excl.)*0.08</t>
        </is>
      </c>
    </row>
    <row r="3">
      <c r="A3" s="16" t="inlineStr">
        <is>
          <t>ISR预扣（应扣）</t>
        </is>
      </c>
      <c r="B3" s="16" t="inlineStr">
        <is>
          <t>-(Retail price total after discounts(tax excl.)*0.025 + Shipping total(tax excl.)*0.025)</t>
        </is>
      </c>
    </row>
    <row r="4">
      <c r="A4" s="16" t="inlineStr">
        <is>
          <t>尾程预估（应扣）</t>
        </is>
      </c>
      <c r="B4" s="16" t="inlineStr">
        <is>
          <t>每个订单行固定 32</t>
        </is>
      </c>
    </row>
    <row r="5">
      <c r="A5" s="16" t="inlineStr">
        <is>
          <t>GMV</t>
        </is>
      </c>
      <c r="B5" s="16" t="inlineStr">
        <is>
          <t>Base price total + Shipping total(tax excl.) + 返还VAT（应收） + ISR预扣（应扣） - 尾程预估（应扣） - Product refund</t>
        </is>
      </c>
    </row>
    <row r="6">
      <c r="A6" s="16" t="inlineStr">
        <is>
          <t>数据范围</t>
        </is>
      </c>
      <c r="B6" s="16" t="inlineStr">
        <is>
          <t>5.1-5.7, 5.8-5.14, 5.15-5.21, 5.22-5.28, 5.29-6.4 订单导出文件；原始 5,757 行，已剔除取消订单 291 行，纳入分析 5,466 行。</t>
        </is>
      </c>
    </row>
    <row r="7">
      <c r="A7" s="16" t="inlineStr">
        <is>
          <t>客单价</t>
        </is>
      </c>
      <c r="B7" s="16" t="inlineStr">
        <is>
          <t>GMV / 去重订单数</t>
        </is>
      </c>
    </row>
    <row r="8">
      <c r="A8" s="16" t="inlineStr">
        <is>
          <t>件单价</t>
        </is>
      </c>
      <c r="B8" s="16" t="inlineStr">
        <is>
          <t>GMV / 销量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2026-06-07T02:46:05Z</dcterms:created>
  <dcterms:modified xsi:type="dcterms:W3CDTF">2026-06-07T02:46:08Z</dcterms:modified>
</cp:coreProperties>
</file>